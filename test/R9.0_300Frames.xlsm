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1" defaultThemeVersion="124226"/>
  <mc:AlternateContent xmlns:mc="http://schemas.openxmlformats.org/markup-compatibility/2006">
    <mc:Choice Requires="x15">
      <x15ac:absPath xmlns:x15ac="http://schemas.microsoft.com/office/spreadsheetml/2010/11/ac" url="\\rennsrdhnevs02\wp21\PCC\ricardj\gitMpeg129\tm2_r81_v18\test\"/>
    </mc:Choice>
  </mc:AlternateContent>
  <xr:revisionPtr revIDLastSave="0" documentId="13_ncr:1_{018CF20C-481E-456D-9650-C02C8567A935}" xr6:coauthVersionLast="45" xr6:coauthVersionMax="45" xr10:uidLastSave="{00000000-0000-0000-0000-000000000000}"/>
  <bookViews>
    <workbookView xWindow="-120" yWindow="-120" windowWidth="29040" windowHeight="1764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46" i="7" l="1"/>
  <c r="BB46" i="7"/>
  <c r="BA46" i="7"/>
  <c r="AZ46" i="7"/>
  <c r="AZ47" i="7" s="1"/>
  <c r="AE46" i="7"/>
  <c r="AD46" i="7"/>
  <c r="AC46" i="7"/>
  <c r="AB46" i="7"/>
  <c r="BC44" i="7"/>
  <c r="BC45" i="7" s="1"/>
  <c r="BB44" i="7"/>
  <c r="BA44" i="7"/>
  <c r="AZ44" i="7"/>
  <c r="AE44" i="7"/>
  <c r="AD44" i="7"/>
  <c r="BB45" i="7" s="1"/>
  <c r="AC44" i="7"/>
  <c r="BA45" i="7" s="1"/>
  <c r="AB44" i="7"/>
  <c r="AZ45" i="7" s="1"/>
  <c r="BF39" i="7"/>
  <c r="AL39" i="7"/>
  <c r="AK39" i="7"/>
  <c r="AJ39" i="7"/>
  <c r="AI39" i="7"/>
  <c r="AH39" i="7"/>
  <c r="AG39" i="7"/>
  <c r="N39" i="7"/>
  <c r="M39" i="7"/>
  <c r="L39" i="7"/>
  <c r="J39" i="7"/>
  <c r="I39" i="7"/>
  <c r="BF38" i="7"/>
  <c r="AL38" i="7"/>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F35" i="7"/>
  <c r="AL35" i="7"/>
  <c r="AI35" i="7" s="1"/>
  <c r="AK35" i="7"/>
  <c r="AJ35" i="7"/>
  <c r="AH35" i="7"/>
  <c r="AG35" i="7"/>
  <c r="N35" i="7"/>
  <c r="K35" i="7" s="1"/>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I32" i="7" s="1"/>
  <c r="AK32" i="7"/>
  <c r="AJ32" i="7"/>
  <c r="AH32" i="7"/>
  <c r="AG32" i="7"/>
  <c r="N32" i="7"/>
  <c r="K32" i="7" s="1"/>
  <c r="M32" i="7"/>
  <c r="L32" i="7"/>
  <c r="J32" i="7"/>
  <c r="I32" i="7"/>
  <c r="BF31" i="7"/>
  <c r="AL31" i="7"/>
  <c r="AI31" i="7" s="1"/>
  <c r="AK31" i="7"/>
  <c r="AJ31" i="7"/>
  <c r="AH31" i="7"/>
  <c r="AG31" i="7"/>
  <c r="N31" i="7"/>
  <c r="K31" i="7" s="1"/>
  <c r="M31" i="7"/>
  <c r="L31" i="7"/>
  <c r="J31" i="7"/>
  <c r="I31" i="7"/>
  <c r="BF30" i="7"/>
  <c r="AL30" i="7"/>
  <c r="AK30" i="7"/>
  <c r="AJ30" i="7"/>
  <c r="AH30" i="7"/>
  <c r="AG30" i="7"/>
  <c r="N30" i="7"/>
  <c r="M30" i="7"/>
  <c r="L30" i="7"/>
  <c r="L42" i="7" s="1"/>
  <c r="J30" i="7"/>
  <c r="J42" i="7" s="1"/>
  <c r="I30" i="7"/>
  <c r="BF29" i="7"/>
  <c r="AL29" i="7"/>
  <c r="BG29" i="7" s="1"/>
  <c r="AK29" i="7"/>
  <c r="AJ29" i="7"/>
  <c r="AH29" i="7"/>
  <c r="AG29" i="7"/>
  <c r="N29" i="7"/>
  <c r="M29" i="7"/>
  <c r="L29" i="7"/>
  <c r="K29" i="7"/>
  <c r="J29" i="7"/>
  <c r="I29" i="7"/>
  <c r="BF28" i="7"/>
  <c r="AL28" i="7"/>
  <c r="AI28" i="7" s="1"/>
  <c r="AK28" i="7"/>
  <c r="AJ28" i="7"/>
  <c r="AH28" i="7"/>
  <c r="AG28" i="7"/>
  <c r="N28" i="7"/>
  <c r="K28" i="7" s="1"/>
  <c r="M28" i="7"/>
  <c r="L28" i="7"/>
  <c r="J28" i="7"/>
  <c r="I28" i="7"/>
  <c r="BF27" i="7"/>
  <c r="AL27" i="7"/>
  <c r="AI27" i="7" s="1"/>
  <c r="AK27" i="7"/>
  <c r="AJ27" i="7"/>
  <c r="AH27" i="7"/>
  <c r="AG27" i="7"/>
  <c r="N27" i="7"/>
  <c r="BG27" i="7" s="1"/>
  <c r="M27" i="7"/>
  <c r="L27" i="7"/>
  <c r="K27" i="7"/>
  <c r="J27" i="7"/>
  <c r="I27" i="7"/>
  <c r="BF26" i="7"/>
  <c r="AL26" i="7"/>
  <c r="AK26" i="7"/>
  <c r="AK41" i="7" s="1"/>
  <c r="AJ26" i="7"/>
  <c r="AH26" i="7"/>
  <c r="AG26" i="7"/>
  <c r="N26" i="7"/>
  <c r="K26" i="7" s="1"/>
  <c r="M26" i="7"/>
  <c r="L26" i="7"/>
  <c r="J26" i="7"/>
  <c r="I26" i="7"/>
  <c r="BF25" i="7"/>
  <c r="AL25" i="7"/>
  <c r="AI25" i="7" s="1"/>
  <c r="AK25" i="7"/>
  <c r="AJ25" i="7"/>
  <c r="AJ41" i="7" s="1"/>
  <c r="AH25" i="7"/>
  <c r="AH41" i="7" s="1"/>
  <c r="AG25" i="7"/>
  <c r="N25" i="7"/>
  <c r="BG25" i="7" s="1"/>
  <c r="M25" i="7"/>
  <c r="M41" i="7" s="1"/>
  <c r="L25" i="7"/>
  <c r="J25" i="7"/>
  <c r="I25" i="7"/>
  <c r="BF24" i="7"/>
  <c r="AL24" i="7"/>
  <c r="AI24" i="7" s="1"/>
  <c r="BE24" i="7" s="1"/>
  <c r="AK24" i="7"/>
  <c r="AJ24" i="7"/>
  <c r="AH24" i="7"/>
  <c r="AG24" i="7"/>
  <c r="N24" i="7"/>
  <c r="K24" i="7" s="1"/>
  <c r="M24" i="7"/>
  <c r="L24" i="7"/>
  <c r="J24" i="7"/>
  <c r="I24" i="7"/>
  <c r="BF23" i="7"/>
  <c r="AL23" i="7"/>
  <c r="AK23" i="7"/>
  <c r="AJ23" i="7"/>
  <c r="AI23" i="7"/>
  <c r="AH23" i="7"/>
  <c r="AG23" i="7"/>
  <c r="N23" i="7"/>
  <c r="BG23" i="7" s="1"/>
  <c r="M23" i="7"/>
  <c r="L23" i="7"/>
  <c r="J23" i="7"/>
  <c r="I23" i="7"/>
  <c r="BF22" i="7"/>
  <c r="AL22" i="7"/>
  <c r="AK22" i="7"/>
  <c r="AJ22" i="7"/>
  <c r="AH22" i="7"/>
  <c r="AG22" i="7"/>
  <c r="N22" i="7"/>
  <c r="K22" i="7" s="1"/>
  <c r="M22" i="7"/>
  <c r="L22" i="7"/>
  <c r="J22" i="7"/>
  <c r="I22" i="7"/>
  <c r="BF21" i="7"/>
  <c r="AL21" i="7"/>
  <c r="BG21" i="7" s="1"/>
  <c r="AK21" i="7"/>
  <c r="AJ21" i="7"/>
  <c r="AI21" i="7"/>
  <c r="AH21" i="7"/>
  <c r="AG21" i="7"/>
  <c r="N21" i="7"/>
  <c r="M21" i="7"/>
  <c r="L21" i="7"/>
  <c r="K21" i="7"/>
  <c r="J21" i="7"/>
  <c r="I21" i="7"/>
  <c r="BH20" i="7" a="1"/>
  <c r="BF20" i="7"/>
  <c r="AL20" i="7"/>
  <c r="AI20" i="7" s="1"/>
  <c r="AK20" i="7"/>
  <c r="AJ20" i="7"/>
  <c r="AH20" i="7"/>
  <c r="AG20" i="7"/>
  <c r="N20" i="7"/>
  <c r="K20" i="7" s="1"/>
  <c r="M20" i="7"/>
  <c r="L20" i="7"/>
  <c r="J20" i="7"/>
  <c r="I20" i="7"/>
  <c r="BF19" i="7"/>
  <c r="AL19" i="7"/>
  <c r="AI19" i="7" s="1"/>
  <c r="AK19" i="7"/>
  <c r="AJ19" i="7"/>
  <c r="AH19" i="7"/>
  <c r="AG19" i="7"/>
  <c r="N19" i="7"/>
  <c r="BG19" i="7" s="1"/>
  <c r="M19" i="7"/>
  <c r="L19" i="7"/>
  <c r="K19" i="7"/>
  <c r="J19" i="7"/>
  <c r="I19" i="7"/>
  <c r="BF18" i="7"/>
  <c r="AL18" i="7"/>
  <c r="AK18" i="7"/>
  <c r="AJ18" i="7"/>
  <c r="AH18" i="7"/>
  <c r="AG18" i="7"/>
  <c r="N18" i="7"/>
  <c r="K18" i="7" s="1"/>
  <c r="M18" i="7"/>
  <c r="L18" i="7"/>
  <c r="J18" i="7"/>
  <c r="I18" i="7"/>
  <c r="BF17" i="7"/>
  <c r="AL17" i="7"/>
  <c r="AI17" i="7" s="1"/>
  <c r="AK17" i="7"/>
  <c r="AJ17" i="7"/>
  <c r="AH17" i="7"/>
  <c r="AG17" i="7"/>
  <c r="N17" i="7"/>
  <c r="BG17" i="7" s="1"/>
  <c r="M17" i="7"/>
  <c r="L17" i="7"/>
  <c r="J17" i="7"/>
  <c r="I17" i="7"/>
  <c r="BF16" i="7"/>
  <c r="AL16" i="7"/>
  <c r="AI16" i="7" s="1"/>
  <c r="AK16" i="7"/>
  <c r="AJ16" i="7"/>
  <c r="AH16" i="7"/>
  <c r="AG16" i="7"/>
  <c r="N16" i="7"/>
  <c r="K16" i="7" s="1"/>
  <c r="M16" i="7"/>
  <c r="L16" i="7"/>
  <c r="J16" i="7"/>
  <c r="I16" i="7"/>
  <c r="BF15" i="7"/>
  <c r="AL15" i="7"/>
  <c r="AK15" i="7"/>
  <c r="AJ15" i="7"/>
  <c r="AI15" i="7"/>
  <c r="AH15" i="7"/>
  <c r="AG15" i="7"/>
  <c r="N15" i="7"/>
  <c r="BG15" i="7" s="1"/>
  <c r="M15" i="7"/>
  <c r="L15" i="7"/>
  <c r="J15" i="7"/>
  <c r="I15" i="7"/>
  <c r="BF14" i="7"/>
  <c r="AL14" i="7"/>
  <c r="AK14" i="7"/>
  <c r="AJ14" i="7"/>
  <c r="AH14" i="7"/>
  <c r="AG14" i="7"/>
  <c r="N14" i="7"/>
  <c r="K14" i="7" s="1"/>
  <c r="M14" i="7"/>
  <c r="L14" i="7"/>
  <c r="J14" i="7"/>
  <c r="I14" i="7"/>
  <c r="BF13" i="7"/>
  <c r="AL13" i="7"/>
  <c r="BG13" i="7" s="1"/>
  <c r="AK13" i="7"/>
  <c r="AJ13" i="7"/>
  <c r="AI13" i="7"/>
  <c r="AH13" i="7"/>
  <c r="AG13" i="7"/>
  <c r="N13" i="7"/>
  <c r="M13" i="7"/>
  <c r="L13" i="7"/>
  <c r="K13" i="7"/>
  <c r="J13" i="7"/>
  <c r="I13" i="7"/>
  <c r="BF12" i="7"/>
  <c r="AL12" i="7"/>
  <c r="AI12" i="7" s="1"/>
  <c r="AK12" i="7"/>
  <c r="AJ12" i="7"/>
  <c r="AH12" i="7"/>
  <c r="AG12" i="7"/>
  <c r="N12" i="7"/>
  <c r="K12" i="7" s="1"/>
  <c r="M12" i="7"/>
  <c r="L12" i="7"/>
  <c r="J12" i="7"/>
  <c r="I12" i="7"/>
  <c r="BF11" i="7"/>
  <c r="AL11" i="7"/>
  <c r="AK11" i="7"/>
  <c r="AJ11" i="7"/>
  <c r="AI11" i="7"/>
  <c r="AH11" i="7"/>
  <c r="AG11" i="7"/>
  <c r="N11" i="7"/>
  <c r="BG11" i="7" s="1"/>
  <c r="M11" i="7"/>
  <c r="L11" i="7"/>
  <c r="J11" i="7"/>
  <c r="I11" i="7"/>
  <c r="BF10" i="7"/>
  <c r="AL10" i="7"/>
  <c r="AK10" i="7"/>
  <c r="AJ10" i="7"/>
  <c r="AH10" i="7"/>
  <c r="AG10" i="7"/>
  <c r="N10" i="7"/>
  <c r="M10" i="7"/>
  <c r="L10" i="7"/>
  <c r="J10" i="7"/>
  <c r="I10" i="7"/>
  <c r="BF9" i="7"/>
  <c r="AL9" i="7"/>
  <c r="AI9" i="7" s="1"/>
  <c r="AK9" i="7"/>
  <c r="AJ9" i="7"/>
  <c r="AH9" i="7"/>
  <c r="AG9" i="7"/>
  <c r="N9" i="7"/>
  <c r="K9" i="7" s="1"/>
  <c r="BE9" i="7" s="1"/>
  <c r="M9" i="7"/>
  <c r="L9" i="7"/>
  <c r="J9" i="7"/>
  <c r="I9" i="7"/>
  <c r="BF8" i="7"/>
  <c r="AL8" i="7"/>
  <c r="AI8" i="7" s="1"/>
  <c r="AK8" i="7"/>
  <c r="AJ8" i="7"/>
  <c r="AH8" i="7"/>
  <c r="AG8" i="7"/>
  <c r="N8" i="7"/>
  <c r="M8" i="7"/>
  <c r="L8" i="7"/>
  <c r="J8" i="7"/>
  <c r="I8" i="7"/>
  <c r="BF7" i="7"/>
  <c r="AL7" i="7"/>
  <c r="AK7" i="7"/>
  <c r="AJ7" i="7"/>
  <c r="AI7" i="7"/>
  <c r="AH7" i="7"/>
  <c r="AG7" i="7"/>
  <c r="N7" i="7"/>
  <c r="BG7" i="7" s="1"/>
  <c r="M7" i="7"/>
  <c r="L7" i="7"/>
  <c r="J7" i="7"/>
  <c r="I7" i="7"/>
  <c r="BF6" i="7"/>
  <c r="AL6" i="7"/>
  <c r="AK6" i="7"/>
  <c r="AJ6" i="7"/>
  <c r="AH6" i="7"/>
  <c r="AG6" i="7"/>
  <c r="N6" i="7"/>
  <c r="K6" i="7" s="1"/>
  <c r="M6" i="7"/>
  <c r="L6" i="7"/>
  <c r="J6" i="7"/>
  <c r="I6" i="7"/>
  <c r="BF5" i="7"/>
  <c r="AL5" i="7"/>
  <c r="AI5" i="7" s="1"/>
  <c r="AK5" i="7"/>
  <c r="AJ5" i="7"/>
  <c r="AH5" i="7"/>
  <c r="AG5" i="7"/>
  <c r="N5" i="7"/>
  <c r="K5" i="7" s="1"/>
  <c r="M5" i="7"/>
  <c r="L5" i="7"/>
  <c r="J5" i="7"/>
  <c r="I5" i="7"/>
  <c r="AG1" i="7"/>
  <c r="I1" i="7"/>
  <c r="AZ18" i="6"/>
  <c r="AY18" i="6"/>
  <c r="AX18" i="6"/>
  <c r="AW18" i="6"/>
  <c r="AC18" i="6"/>
  <c r="AB18" i="6"/>
  <c r="AA18" i="6"/>
  <c r="Z18" i="6"/>
  <c r="AZ16" i="6"/>
  <c r="AY16" i="6"/>
  <c r="AX16" i="6"/>
  <c r="AW16" i="6"/>
  <c r="AC16" i="6"/>
  <c r="AB16" i="6"/>
  <c r="AA16" i="6"/>
  <c r="Z16" i="6"/>
  <c r="AW17" i="6" s="1"/>
  <c r="AI15" i="6"/>
  <c r="AI12" i="6"/>
  <c r="AK11" i="6"/>
  <c r="AH11" i="6" s="1"/>
  <c r="AJ11" i="6"/>
  <c r="AI11" i="6"/>
  <c r="AG11" i="6"/>
  <c r="AF11" i="6"/>
  <c r="AE11" i="6"/>
  <c r="N11" i="6"/>
  <c r="M11" i="6"/>
  <c r="L11" i="6"/>
  <c r="J11" i="6"/>
  <c r="I11" i="6"/>
  <c r="H11" i="6"/>
  <c r="AK10" i="6"/>
  <c r="AJ10" i="6"/>
  <c r="AJ14" i="6" s="1"/>
  <c r="AI10" i="6"/>
  <c r="AI14" i="6" s="1"/>
  <c r="AG10" i="6"/>
  <c r="AG14" i="6" s="1"/>
  <c r="AF10" i="6"/>
  <c r="AE10" i="6"/>
  <c r="N10" i="6"/>
  <c r="K10" i="6" s="1"/>
  <c r="M10" i="6"/>
  <c r="L10" i="6"/>
  <c r="J10" i="6"/>
  <c r="J14" i="6" s="1"/>
  <c r="I10" i="6"/>
  <c r="H10" i="6"/>
  <c r="BG9" i="6" a="1"/>
  <c r="AK9" i="6"/>
  <c r="AJ9" i="6"/>
  <c r="AJ13" i="6" s="1"/>
  <c r="AI9" i="6"/>
  <c r="AI13" i="6" s="1"/>
  <c r="AH9" i="6"/>
  <c r="AG9" i="6"/>
  <c r="AF9" i="6"/>
  <c r="AE9" i="6"/>
  <c r="N9" i="6"/>
  <c r="K9" i="6" s="1"/>
  <c r="K13" i="6" s="1"/>
  <c r="M9" i="6"/>
  <c r="M13" i="6" s="1"/>
  <c r="L9" i="6"/>
  <c r="L13" i="6" s="1"/>
  <c r="J9" i="6"/>
  <c r="J13" i="6" s="1"/>
  <c r="I9" i="6"/>
  <c r="H9" i="6"/>
  <c r="BG8" i="6" a="1"/>
  <c r="AK8" i="6"/>
  <c r="AH8" i="6" s="1"/>
  <c r="AJ8" i="6"/>
  <c r="AI8" i="6"/>
  <c r="AG8" i="6"/>
  <c r="AF8" i="6"/>
  <c r="AE8" i="6"/>
  <c r="N8" i="6"/>
  <c r="K8" i="6" s="1"/>
  <c r="M8" i="6"/>
  <c r="L8" i="6"/>
  <c r="BD8" i="6" s="1"/>
  <c r="J8" i="6"/>
  <c r="I8" i="6"/>
  <c r="H8" i="6"/>
  <c r="AK7" i="6"/>
  <c r="AH7" i="6" s="1"/>
  <c r="AJ7" i="6"/>
  <c r="AI7" i="6"/>
  <c r="AG7" i="6"/>
  <c r="AF7" i="6"/>
  <c r="AE7" i="6"/>
  <c r="N7" i="6"/>
  <c r="K7" i="6" s="1"/>
  <c r="M7" i="6"/>
  <c r="L7" i="6"/>
  <c r="BD7" i="6" s="1"/>
  <c r="J7" i="6"/>
  <c r="I7" i="6"/>
  <c r="H7" i="6"/>
  <c r="AK6" i="6"/>
  <c r="AJ6" i="6"/>
  <c r="AI6" i="6"/>
  <c r="AG6" i="6"/>
  <c r="AF6" i="6"/>
  <c r="AE6" i="6"/>
  <c r="N6" i="6"/>
  <c r="K6" i="6" s="1"/>
  <c r="M6" i="6"/>
  <c r="L6" i="6"/>
  <c r="J6" i="6"/>
  <c r="I6" i="6"/>
  <c r="H6" i="6"/>
  <c r="BG5" i="6" a="1"/>
  <c r="AK5" i="6"/>
  <c r="AH5" i="6" s="1"/>
  <c r="AJ5" i="6"/>
  <c r="AI5" i="6"/>
  <c r="AG5" i="6"/>
  <c r="AG15" i="6" s="1"/>
  <c r="AF5" i="6"/>
  <c r="AE5" i="6"/>
  <c r="N5" i="6"/>
  <c r="K5" i="6" s="1"/>
  <c r="M5" i="6"/>
  <c r="L5" i="6"/>
  <c r="J5" i="6"/>
  <c r="I5" i="6"/>
  <c r="H5" i="6"/>
  <c r="AE1" i="6"/>
  <c r="H1" i="6"/>
  <c r="AZ18" i="5"/>
  <c r="AY18" i="5"/>
  <c r="AX18" i="5"/>
  <c r="AW18" i="5"/>
  <c r="AC18" i="5"/>
  <c r="AB18" i="5"/>
  <c r="AA18" i="5"/>
  <c r="Z18" i="5"/>
  <c r="AZ16" i="5"/>
  <c r="AY16" i="5"/>
  <c r="AX16" i="5"/>
  <c r="AW16" i="5"/>
  <c r="AC16" i="5"/>
  <c r="AB16" i="5"/>
  <c r="AY17" i="5" s="1"/>
  <c r="AA16" i="5"/>
  <c r="Z16" i="5"/>
  <c r="M14" i="5"/>
  <c r="AH13" i="5"/>
  <c r="AK11" i="5"/>
  <c r="AJ11" i="5"/>
  <c r="BE11" i="5" s="1"/>
  <c r="AI11" i="5"/>
  <c r="BD11" i="5" s="1"/>
  <c r="AG11" i="5"/>
  <c r="AF11" i="5"/>
  <c r="AE11" i="5"/>
  <c r="N11" i="5"/>
  <c r="M11" i="5"/>
  <c r="L11" i="5"/>
  <c r="K11" i="5"/>
  <c r="J11" i="5"/>
  <c r="J14" i="5" s="1"/>
  <c r="I11" i="5"/>
  <c r="H11" i="5"/>
  <c r="BG10" i="5" a="1"/>
  <c r="BG10" i="5" s="1"/>
  <c r="AK10" i="5"/>
  <c r="BF10" i="5" s="1"/>
  <c r="AJ10" i="5"/>
  <c r="AI10" i="5"/>
  <c r="AH10" i="5"/>
  <c r="AG10" i="5"/>
  <c r="AF10" i="5"/>
  <c r="AE10" i="5"/>
  <c r="N10" i="5"/>
  <c r="K10" i="5" s="1"/>
  <c r="K14" i="5" s="1"/>
  <c r="M10" i="5"/>
  <c r="L10" i="5"/>
  <c r="L14" i="5" s="1"/>
  <c r="J10" i="5"/>
  <c r="I10" i="5"/>
  <c r="H10" i="5"/>
  <c r="AK9" i="5"/>
  <c r="AH9" i="5" s="1"/>
  <c r="AJ9" i="5"/>
  <c r="AJ13" i="5" s="1"/>
  <c r="AI9" i="5"/>
  <c r="AI13" i="5" s="1"/>
  <c r="AG9" i="5"/>
  <c r="AF9" i="5"/>
  <c r="AE9" i="5"/>
  <c r="N9" i="5"/>
  <c r="K9" i="5" s="1"/>
  <c r="K13" i="5" s="1"/>
  <c r="M9" i="5"/>
  <c r="M13" i="5" s="1"/>
  <c r="L9" i="5"/>
  <c r="BD9" i="5" s="1"/>
  <c r="J9" i="5"/>
  <c r="J13" i="5" s="1"/>
  <c r="I9" i="5"/>
  <c r="H9" i="5"/>
  <c r="AK8" i="5"/>
  <c r="AH8" i="5" s="1"/>
  <c r="AJ8" i="5"/>
  <c r="AI8" i="5"/>
  <c r="AG8" i="5"/>
  <c r="AF8" i="5"/>
  <c r="AE8" i="5"/>
  <c r="N8" i="5"/>
  <c r="BF8" i="5" s="1"/>
  <c r="M8" i="5"/>
  <c r="BE8" i="5" s="1"/>
  <c r="L8" i="5"/>
  <c r="K8" i="5"/>
  <c r="J8" i="5"/>
  <c r="BB8" i="5" s="1"/>
  <c r="I8" i="5"/>
  <c r="H8" i="5"/>
  <c r="AK7" i="5"/>
  <c r="AJ7" i="5"/>
  <c r="AI7" i="5"/>
  <c r="AG7" i="5"/>
  <c r="AF7" i="5"/>
  <c r="AE7" i="5"/>
  <c r="N7" i="5"/>
  <c r="K7" i="5" s="1"/>
  <c r="M7" i="5"/>
  <c r="L7" i="5"/>
  <c r="L15" i="5" s="1"/>
  <c r="J7" i="5"/>
  <c r="I7" i="5"/>
  <c r="H7" i="5"/>
  <c r="BG6" i="5" a="1"/>
  <c r="AK6" i="5"/>
  <c r="AJ6" i="5"/>
  <c r="BE6" i="5" s="1"/>
  <c r="AI6" i="5"/>
  <c r="BD6" i="5" s="1"/>
  <c r="AH6" i="5"/>
  <c r="AG6" i="5"/>
  <c r="BB6" i="5" s="1"/>
  <c r="AF6" i="5"/>
  <c r="AE6" i="5"/>
  <c r="N6" i="5"/>
  <c r="K6" i="5" s="1"/>
  <c r="M6" i="5"/>
  <c r="L6" i="5"/>
  <c r="J6" i="5"/>
  <c r="I6" i="5"/>
  <c r="H6" i="5"/>
  <c r="BG5" i="5" a="1"/>
  <c r="AK5" i="5"/>
  <c r="AH5" i="5" s="1"/>
  <c r="AJ5" i="5"/>
  <c r="AI5" i="5"/>
  <c r="AI15" i="5" s="1"/>
  <c r="AG5" i="5"/>
  <c r="AF5" i="5"/>
  <c r="AE5" i="5"/>
  <c r="N5" i="5"/>
  <c r="K5" i="5" s="1"/>
  <c r="M5" i="5"/>
  <c r="L5" i="5"/>
  <c r="J5" i="5"/>
  <c r="J12" i="5" s="1"/>
  <c r="I5" i="5"/>
  <c r="H5" i="5"/>
  <c r="AE1" i="5"/>
  <c r="H1" i="5"/>
  <c r="BC46" i="3"/>
  <c r="BB46" i="3"/>
  <c r="BA46" i="3"/>
  <c r="AZ46" i="3"/>
  <c r="AE46" i="3"/>
  <c r="AD46" i="3"/>
  <c r="AC46" i="3"/>
  <c r="BA47" i="3" s="1"/>
  <c r="AB46" i="3"/>
  <c r="AZ47" i="3" s="1"/>
  <c r="BC44" i="3"/>
  <c r="BB44" i="3"/>
  <c r="BA44" i="3"/>
  <c r="AZ44" i="3"/>
  <c r="AE44" i="3"/>
  <c r="AD44" i="3"/>
  <c r="BB45" i="3" s="1"/>
  <c r="AC44" i="3"/>
  <c r="AB44" i="3"/>
  <c r="BF39" i="3"/>
  <c r="AL39" i="3"/>
  <c r="AI39" i="3" s="1"/>
  <c r="AK39" i="3"/>
  <c r="AJ39" i="3"/>
  <c r="AH39" i="3"/>
  <c r="AG39" i="3"/>
  <c r="N39" i="3"/>
  <c r="K39" i="3" s="1"/>
  <c r="M39" i="3"/>
  <c r="L39" i="3"/>
  <c r="J39" i="3"/>
  <c r="I39" i="3"/>
  <c r="BF38" i="3"/>
  <c r="AL38" i="3"/>
  <c r="AK38" i="3"/>
  <c r="AJ38" i="3"/>
  <c r="AH38" i="3"/>
  <c r="AG38" i="3"/>
  <c r="N38" i="3"/>
  <c r="K38" i="3" s="1"/>
  <c r="M38" i="3"/>
  <c r="L38" i="3"/>
  <c r="J38" i="3"/>
  <c r="I38" i="3"/>
  <c r="BF37" i="3"/>
  <c r="AL37" i="3"/>
  <c r="AI37" i="3" s="1"/>
  <c r="AK37" i="3"/>
  <c r="AJ37" i="3"/>
  <c r="AH37" i="3"/>
  <c r="AG37" i="3"/>
  <c r="N37" i="3"/>
  <c r="K37" i="3" s="1"/>
  <c r="M37" i="3"/>
  <c r="L37" i="3"/>
  <c r="J37" i="3"/>
  <c r="I37" i="3"/>
  <c r="BF36" i="3"/>
  <c r="AL36" i="3"/>
  <c r="AK36" i="3"/>
  <c r="AJ36" i="3"/>
  <c r="AH36" i="3"/>
  <c r="AG36" i="3"/>
  <c r="N36" i="3"/>
  <c r="K36" i="3" s="1"/>
  <c r="M36" i="3"/>
  <c r="L36" i="3"/>
  <c r="J36" i="3"/>
  <c r="I36" i="3"/>
  <c r="BF35" i="3"/>
  <c r="AL35" i="3"/>
  <c r="AI35" i="3" s="1"/>
  <c r="AK35" i="3"/>
  <c r="AJ35" i="3"/>
  <c r="AH35" i="3"/>
  <c r="AG35" i="3"/>
  <c r="N35" i="3"/>
  <c r="M35" i="3"/>
  <c r="L35" i="3"/>
  <c r="K35" i="3"/>
  <c r="J35" i="3"/>
  <c r="I35" i="3"/>
  <c r="BF34" i="3"/>
  <c r="AL34" i="3"/>
  <c r="AK34" i="3"/>
  <c r="AJ34" i="3"/>
  <c r="AH34" i="3"/>
  <c r="AG34" i="3"/>
  <c r="N34" i="3"/>
  <c r="K34" i="3" s="1"/>
  <c r="M34" i="3"/>
  <c r="L34" i="3"/>
  <c r="J34" i="3"/>
  <c r="I34" i="3"/>
  <c r="BF33" i="3"/>
  <c r="AL33" i="3"/>
  <c r="AI33" i="3" s="1"/>
  <c r="BE33" i="3" s="1"/>
  <c r="AK33" i="3"/>
  <c r="AJ33" i="3"/>
  <c r="AH33" i="3"/>
  <c r="AG33" i="3"/>
  <c r="N33" i="3"/>
  <c r="M33" i="3"/>
  <c r="L33" i="3"/>
  <c r="K33" i="3"/>
  <c r="J33" i="3"/>
  <c r="I33" i="3"/>
  <c r="BF32" i="3"/>
  <c r="AL32" i="3"/>
  <c r="AK32" i="3"/>
  <c r="AJ32" i="3"/>
  <c r="AH32" i="3"/>
  <c r="AG32" i="3"/>
  <c r="N32" i="3"/>
  <c r="K32" i="3" s="1"/>
  <c r="M32" i="3"/>
  <c r="L32" i="3"/>
  <c r="J32" i="3"/>
  <c r="I32" i="3"/>
  <c r="BG31" i="3"/>
  <c r="BF31" i="3"/>
  <c r="AL31" i="3"/>
  <c r="AK31" i="3"/>
  <c r="AJ31" i="3"/>
  <c r="AI31" i="3"/>
  <c r="BE31" i="3" s="1"/>
  <c r="AH31" i="3"/>
  <c r="AG31" i="3"/>
  <c r="N31" i="3"/>
  <c r="M31" i="3"/>
  <c r="L31" i="3"/>
  <c r="K31" i="3"/>
  <c r="J31" i="3"/>
  <c r="I31" i="3"/>
  <c r="BF30" i="3"/>
  <c r="AL30" i="3"/>
  <c r="AK30" i="3"/>
  <c r="AJ30" i="3"/>
  <c r="AJ42" i="3" s="1"/>
  <c r="AI30" i="3"/>
  <c r="AH30" i="3"/>
  <c r="AG30" i="3"/>
  <c r="N30" i="3"/>
  <c r="M30" i="3"/>
  <c r="L30" i="3"/>
  <c r="J30" i="3"/>
  <c r="J42" i="3" s="1"/>
  <c r="I30" i="3"/>
  <c r="BF29" i="3"/>
  <c r="AL29" i="3"/>
  <c r="AK29" i="3"/>
  <c r="AJ29" i="3"/>
  <c r="AI29" i="3"/>
  <c r="AH29" i="3"/>
  <c r="AG29" i="3"/>
  <c r="N29" i="3"/>
  <c r="K29" i="3" s="1"/>
  <c r="M29" i="3"/>
  <c r="L29" i="3"/>
  <c r="J29" i="3"/>
  <c r="I29" i="3"/>
  <c r="BF28" i="3"/>
  <c r="AL28" i="3"/>
  <c r="AK28" i="3"/>
  <c r="AJ28" i="3"/>
  <c r="AH28" i="3"/>
  <c r="AG28" i="3"/>
  <c r="N28" i="3"/>
  <c r="M28" i="3"/>
  <c r="L28" i="3"/>
  <c r="K28" i="3"/>
  <c r="J28" i="3"/>
  <c r="I28" i="3"/>
  <c r="BF27" i="3"/>
  <c r="AL27" i="3"/>
  <c r="AI27" i="3" s="1"/>
  <c r="AK27" i="3"/>
  <c r="AJ27" i="3"/>
  <c r="AH27" i="3"/>
  <c r="AG27" i="3"/>
  <c r="N27" i="3"/>
  <c r="M27" i="3"/>
  <c r="L27" i="3"/>
  <c r="K27" i="3"/>
  <c r="J27" i="3"/>
  <c r="I27" i="3"/>
  <c r="BF26" i="3"/>
  <c r="AL26" i="3"/>
  <c r="BG26" i="3" s="1"/>
  <c r="AK26" i="3"/>
  <c r="AJ26" i="3"/>
  <c r="AI26" i="3"/>
  <c r="AH26" i="3"/>
  <c r="AG26" i="3"/>
  <c r="N26" i="3"/>
  <c r="K26" i="3" s="1"/>
  <c r="M26" i="3"/>
  <c r="L26" i="3"/>
  <c r="J26" i="3"/>
  <c r="I26" i="3"/>
  <c r="BF25" i="3"/>
  <c r="AL25" i="3"/>
  <c r="AK25" i="3"/>
  <c r="AK41" i="3" s="1"/>
  <c r="AJ25" i="3"/>
  <c r="AI25" i="3"/>
  <c r="AH25" i="3"/>
  <c r="AG25" i="3"/>
  <c r="N25" i="3"/>
  <c r="M25" i="3"/>
  <c r="M41" i="3" s="1"/>
  <c r="L25" i="3"/>
  <c r="L41" i="3" s="1"/>
  <c r="J25" i="3"/>
  <c r="I25" i="3"/>
  <c r="BF24" i="3"/>
  <c r="AL24" i="3"/>
  <c r="BG24" i="3" s="1"/>
  <c r="AK24" i="3"/>
  <c r="AJ24" i="3"/>
  <c r="AI24" i="3"/>
  <c r="AH24" i="3"/>
  <c r="AG24" i="3"/>
  <c r="N24" i="3"/>
  <c r="K24" i="3" s="1"/>
  <c r="M24" i="3"/>
  <c r="L24" i="3"/>
  <c r="J24" i="3"/>
  <c r="I24" i="3"/>
  <c r="BF23" i="3"/>
  <c r="AL23" i="3"/>
  <c r="AI23" i="3" s="1"/>
  <c r="AK23" i="3"/>
  <c r="AJ23" i="3"/>
  <c r="AH23" i="3"/>
  <c r="AG23" i="3"/>
  <c r="N23" i="3"/>
  <c r="K23" i="3" s="1"/>
  <c r="M23" i="3"/>
  <c r="L23" i="3"/>
  <c r="J23" i="3"/>
  <c r="I23" i="3"/>
  <c r="BF22" i="3"/>
  <c r="AL22" i="3"/>
  <c r="AI22" i="3" s="1"/>
  <c r="AK22" i="3"/>
  <c r="AJ22" i="3"/>
  <c r="AH22" i="3"/>
  <c r="AG22" i="3"/>
  <c r="N22" i="3"/>
  <c r="M22" i="3"/>
  <c r="L22" i="3"/>
  <c r="K22" i="3"/>
  <c r="J22" i="3"/>
  <c r="I22" i="3"/>
  <c r="BF21" i="3"/>
  <c r="AL21" i="3"/>
  <c r="AK21" i="3"/>
  <c r="AJ21" i="3"/>
  <c r="AI21" i="3"/>
  <c r="AH21" i="3"/>
  <c r="AG21" i="3"/>
  <c r="N21" i="3"/>
  <c r="M21" i="3"/>
  <c r="L21" i="3"/>
  <c r="J21" i="3"/>
  <c r="I21" i="3"/>
  <c r="BF20" i="3"/>
  <c r="AL20" i="3"/>
  <c r="BH20" i="3" s="1" a="1"/>
  <c r="AK20" i="3"/>
  <c r="AJ20" i="3"/>
  <c r="AI20" i="3"/>
  <c r="AH20" i="3"/>
  <c r="AG20" i="3"/>
  <c r="N20" i="3"/>
  <c r="M20" i="3"/>
  <c r="L20" i="3"/>
  <c r="J20" i="3"/>
  <c r="I20" i="3"/>
  <c r="BF19" i="3"/>
  <c r="AL19" i="3"/>
  <c r="AI19" i="3" s="1"/>
  <c r="AK19" i="3"/>
  <c r="AJ19" i="3"/>
  <c r="AH19" i="3"/>
  <c r="AG19" i="3"/>
  <c r="N19" i="3"/>
  <c r="M19" i="3"/>
  <c r="L19" i="3"/>
  <c r="K19" i="3"/>
  <c r="J19" i="3"/>
  <c r="I19" i="3"/>
  <c r="BF18" i="3"/>
  <c r="AL18" i="3"/>
  <c r="AI18" i="3" s="1"/>
  <c r="AK18" i="3"/>
  <c r="AJ18" i="3"/>
  <c r="AH18" i="3"/>
  <c r="AG18" i="3"/>
  <c r="N18" i="3"/>
  <c r="K18" i="3" s="1"/>
  <c r="M18" i="3"/>
  <c r="L18" i="3"/>
  <c r="J18" i="3"/>
  <c r="I18" i="3"/>
  <c r="BF17" i="3"/>
  <c r="AL17" i="3"/>
  <c r="AK17" i="3"/>
  <c r="AJ17" i="3"/>
  <c r="AI17" i="3"/>
  <c r="AH17" i="3"/>
  <c r="AG17" i="3"/>
  <c r="N17" i="3"/>
  <c r="M17" i="3"/>
  <c r="L17" i="3"/>
  <c r="J17" i="3"/>
  <c r="I17" i="3"/>
  <c r="BF16" i="3"/>
  <c r="AL16" i="3"/>
  <c r="AK16" i="3"/>
  <c r="AJ16" i="3"/>
  <c r="AI16" i="3"/>
  <c r="AH16" i="3"/>
  <c r="AG16" i="3"/>
  <c r="N16" i="3"/>
  <c r="K16" i="3" s="1"/>
  <c r="M16" i="3"/>
  <c r="L16" i="3"/>
  <c r="J16" i="3"/>
  <c r="I16" i="3"/>
  <c r="BF15" i="3"/>
  <c r="AL15" i="3"/>
  <c r="AI15" i="3" s="1"/>
  <c r="AK15" i="3"/>
  <c r="AJ15" i="3"/>
  <c r="AH15" i="3"/>
  <c r="AG15" i="3"/>
  <c r="N15" i="3"/>
  <c r="K15" i="3" s="1"/>
  <c r="M15" i="3"/>
  <c r="L15" i="3"/>
  <c r="J15" i="3"/>
  <c r="I15" i="3"/>
  <c r="BG14" i="3"/>
  <c r="BF14" i="3"/>
  <c r="AL14" i="3"/>
  <c r="AI14" i="3" s="1"/>
  <c r="AK14" i="3"/>
  <c r="AJ14" i="3"/>
  <c r="AH14" i="3"/>
  <c r="AG14" i="3"/>
  <c r="N14" i="3"/>
  <c r="M14" i="3"/>
  <c r="L14" i="3"/>
  <c r="K14" i="3"/>
  <c r="J14" i="3"/>
  <c r="I14" i="3"/>
  <c r="BF13" i="3"/>
  <c r="AL13" i="3"/>
  <c r="AK13" i="3"/>
  <c r="AJ13" i="3"/>
  <c r="AI13" i="3"/>
  <c r="AH13" i="3"/>
  <c r="AG13" i="3"/>
  <c r="N13" i="3"/>
  <c r="M13" i="3"/>
  <c r="L13" i="3"/>
  <c r="J13" i="3"/>
  <c r="I13" i="3"/>
  <c r="BF12" i="3"/>
  <c r="AL12" i="3"/>
  <c r="AK12" i="3"/>
  <c r="AJ12" i="3"/>
  <c r="AI12" i="3"/>
  <c r="AH12" i="3"/>
  <c r="AG12" i="3"/>
  <c r="N12" i="3"/>
  <c r="K12" i="3" s="1"/>
  <c r="M12" i="3"/>
  <c r="L12" i="3"/>
  <c r="J12" i="3"/>
  <c r="I12" i="3"/>
  <c r="BF11" i="3"/>
  <c r="AL11" i="3"/>
  <c r="AI11" i="3" s="1"/>
  <c r="AK11" i="3"/>
  <c r="AJ11" i="3"/>
  <c r="AH11" i="3"/>
  <c r="AG11" i="3"/>
  <c r="N11" i="3"/>
  <c r="M11" i="3"/>
  <c r="L11" i="3"/>
  <c r="K11" i="3"/>
  <c r="J11" i="3"/>
  <c r="I11" i="3"/>
  <c r="BF10" i="3"/>
  <c r="AL10" i="3"/>
  <c r="AI10" i="3" s="1"/>
  <c r="AK10" i="3"/>
  <c r="AJ10" i="3"/>
  <c r="AH10" i="3"/>
  <c r="AG10" i="3"/>
  <c r="N10" i="3"/>
  <c r="M10" i="3"/>
  <c r="L10" i="3"/>
  <c r="K10" i="3"/>
  <c r="J10" i="3"/>
  <c r="I10" i="3"/>
  <c r="BF9" i="3"/>
  <c r="AL9" i="3"/>
  <c r="AK9" i="3"/>
  <c r="AJ9" i="3"/>
  <c r="AI9" i="3"/>
  <c r="AH9" i="3"/>
  <c r="AG9" i="3"/>
  <c r="N9" i="3"/>
  <c r="M9" i="3"/>
  <c r="L9" i="3"/>
  <c r="J9" i="3"/>
  <c r="I9" i="3"/>
  <c r="BF8" i="3"/>
  <c r="AL8" i="3"/>
  <c r="AK8" i="3"/>
  <c r="AJ8" i="3"/>
  <c r="AI8" i="3"/>
  <c r="AH8" i="3"/>
  <c r="AG8" i="3"/>
  <c r="N8" i="3"/>
  <c r="K8" i="3" s="1"/>
  <c r="M8" i="3"/>
  <c r="L8" i="3"/>
  <c r="J8" i="3"/>
  <c r="I8" i="3"/>
  <c r="BF7" i="3"/>
  <c r="AL7" i="3"/>
  <c r="AK7" i="3"/>
  <c r="AJ7" i="3"/>
  <c r="AH7" i="3"/>
  <c r="AG7" i="3"/>
  <c r="N7" i="3"/>
  <c r="M7" i="3"/>
  <c r="L7" i="3"/>
  <c r="K7" i="3"/>
  <c r="J7" i="3"/>
  <c r="I7" i="3"/>
  <c r="BF6" i="3"/>
  <c r="AL6" i="3"/>
  <c r="AI6" i="3" s="1"/>
  <c r="AK6" i="3"/>
  <c r="AJ6" i="3"/>
  <c r="AH6" i="3"/>
  <c r="AG6" i="3"/>
  <c r="N6" i="3"/>
  <c r="M6" i="3"/>
  <c r="L6" i="3"/>
  <c r="K6" i="3"/>
  <c r="J6" i="3"/>
  <c r="I6" i="3"/>
  <c r="BH5" i="3" a="1"/>
  <c r="BF5" i="3"/>
  <c r="AL5" i="3"/>
  <c r="AK5" i="3"/>
  <c r="AK40" i="3" s="1"/>
  <c r="AJ5" i="3"/>
  <c r="AJ40" i="3" s="1"/>
  <c r="AI5" i="3"/>
  <c r="AH5" i="3"/>
  <c r="AG5" i="3"/>
  <c r="N5" i="3"/>
  <c r="M5" i="3"/>
  <c r="L5" i="3"/>
  <c r="J5" i="3"/>
  <c r="I5" i="3"/>
  <c r="AG1" i="3"/>
  <c r="I1" i="3"/>
  <c r="B2" i="2"/>
  <c r="B1" i="2"/>
  <c r="BN35" i="7"/>
  <c r="BJ35" i="7"/>
  <c r="BP30" i="7"/>
  <c r="BL25" i="7"/>
  <c r="BP20" i="7"/>
  <c r="BP15" i="7"/>
  <c r="BN10" i="7"/>
  <c r="BR35" i="3"/>
  <c r="BS30" i="3"/>
  <c r="BQ25" i="3"/>
  <c r="BK25" i="3"/>
  <c r="BM35" i="7"/>
  <c r="BN30" i="7"/>
  <c r="BK25" i="7"/>
  <c r="BN20" i="7"/>
  <c r="BN15" i="7"/>
  <c r="BJ15" i="7"/>
  <c r="BM10" i="7"/>
  <c r="BT5" i="7"/>
  <c r="BQ35" i="3"/>
  <c r="BR30" i="3"/>
  <c r="BP25" i="3"/>
  <c r="BL20" i="3"/>
  <c r="BL35" i="7"/>
  <c r="BM30" i="7"/>
  <c r="BM20" i="7"/>
  <c r="BM15" i="7"/>
  <c r="BL10" i="7"/>
  <c r="BS5" i="7"/>
  <c r="BP35" i="3"/>
  <c r="BQ30" i="3"/>
  <c r="BK30" i="3"/>
  <c r="BN25" i="3"/>
  <c r="BR10" i="3"/>
  <c r="BQ5" i="3"/>
  <c r="BK35" i="7"/>
  <c r="BL30" i="7"/>
  <c r="BL20" i="7"/>
  <c r="BL15" i="7"/>
  <c r="BR5" i="7"/>
  <c r="BN35" i="3"/>
  <c r="BJ35" i="3"/>
  <c r="BP30" i="3"/>
  <c r="BM25" i="3"/>
  <c r="BT15" i="3"/>
  <c r="BQ10" i="3"/>
  <c r="BP5" i="3"/>
  <c r="BJ20" i="7"/>
  <c r="BK15" i="7"/>
  <c r="BQ5" i="7"/>
  <c r="BM35" i="3"/>
  <c r="BN30" i="3"/>
  <c r="BL25" i="3"/>
  <c r="BS15" i="3"/>
  <c r="BP10" i="3"/>
  <c r="BJ10" i="3"/>
  <c r="BN5" i="3"/>
  <c r="BT25" i="7"/>
  <c r="BP5" i="7"/>
  <c r="BJ5" i="7"/>
  <c r="BL35" i="3"/>
  <c r="BM30" i="3"/>
  <c r="BR15" i="3"/>
  <c r="BJ15" i="3"/>
  <c r="BN10" i="3"/>
  <c r="BM5" i="3"/>
  <c r="BN5" i="7"/>
  <c r="BL30" i="3"/>
  <c r="BQ15" i="3"/>
  <c r="BM10" i="3"/>
  <c r="BT25" i="3"/>
  <c r="BS25" i="7"/>
  <c r="BK35" i="3"/>
  <c r="BT20" i="3"/>
  <c r="BL5" i="3"/>
  <c r="BS5" i="3"/>
  <c r="BT35" i="7"/>
  <c r="BR25" i="7"/>
  <c r="BT10" i="7"/>
  <c r="BM5" i="7"/>
  <c r="BS20" i="3"/>
  <c r="BP15" i="3"/>
  <c r="BL10" i="3"/>
  <c r="BK5" i="3"/>
  <c r="BT30" i="7"/>
  <c r="BT20" i="7"/>
  <c r="BS10" i="7"/>
  <c r="BL5" i="7"/>
  <c r="BR20" i="3"/>
  <c r="BK10" i="3"/>
  <c r="BJ20" i="3"/>
  <c r="BM20" i="3"/>
  <c r="BS35" i="7"/>
  <c r="BQ25" i="7"/>
  <c r="BT15" i="7"/>
  <c r="BN15" i="3"/>
  <c r="BM15" i="3"/>
  <c r="BT10" i="3"/>
  <c r="BR35" i="7"/>
  <c r="BS30" i="7"/>
  <c r="BP25" i="7"/>
  <c r="BS20" i="7"/>
  <c r="BS15" i="7"/>
  <c r="BR10" i="7"/>
  <c r="BK10" i="7"/>
  <c r="BK5" i="7"/>
  <c r="BQ20" i="3"/>
  <c r="BT5" i="3"/>
  <c r="BR5" i="3"/>
  <c r="BQ35" i="7"/>
  <c r="BR30" i="7"/>
  <c r="BK30" i="7"/>
  <c r="BN25" i="7"/>
  <c r="BR20" i="7"/>
  <c r="BR15" i="7"/>
  <c r="BQ10" i="7"/>
  <c r="BT35" i="3"/>
  <c r="BS25" i="3"/>
  <c r="BP20" i="3"/>
  <c r="BL15" i="3"/>
  <c r="BP35" i="7"/>
  <c r="BQ30" i="7"/>
  <c r="BM25" i="7"/>
  <c r="BJ25" i="7"/>
  <c r="BQ20" i="7"/>
  <c r="BQ15" i="7"/>
  <c r="BP10" i="7"/>
  <c r="BS35" i="3"/>
  <c r="BT30" i="3"/>
  <c r="BR25" i="3"/>
  <c r="BN20" i="3"/>
  <c r="BS10" i="3"/>
  <c r="AI29" i="7" l="1"/>
  <c r="AH43" i="7"/>
  <c r="AJ40" i="7"/>
  <c r="BG39" i="7"/>
  <c r="AJ43" i="7"/>
  <c r="AK42" i="7"/>
  <c r="BG9" i="7"/>
  <c r="BE29" i="7"/>
  <c r="BE13" i="7"/>
  <c r="BE21" i="7"/>
  <c r="BE33" i="7"/>
  <c r="BA47" i="7"/>
  <c r="BB47" i="7"/>
  <c r="K23" i="7"/>
  <c r="BE19" i="7"/>
  <c r="BC47" i="7"/>
  <c r="BG31" i="7"/>
  <c r="BE37" i="7"/>
  <c r="BG5" i="7"/>
  <c r="BG33" i="7"/>
  <c r="K15" i="7"/>
  <c r="K17" i="7"/>
  <c r="BE17" i="7" s="1"/>
  <c r="BE23" i="7"/>
  <c r="BG35" i="7"/>
  <c r="BG37" i="7"/>
  <c r="C47" i="1"/>
  <c r="M40" i="7"/>
  <c r="BH20" i="7"/>
  <c r="BE27" i="7"/>
  <c r="BE31" i="7"/>
  <c r="BE15" i="7"/>
  <c r="J41" i="7"/>
  <c r="K25" i="7"/>
  <c r="BE25" i="7" s="1"/>
  <c r="BE35" i="7"/>
  <c r="BC7" i="6"/>
  <c r="BD11" i="6"/>
  <c r="BC5" i="6"/>
  <c r="BF11" i="6"/>
  <c r="AZ17" i="6"/>
  <c r="BD5" i="6"/>
  <c r="BB8" i="6"/>
  <c r="M14" i="6"/>
  <c r="BE14" i="6" s="1"/>
  <c r="BG8" i="6"/>
  <c r="BD9" i="6"/>
  <c r="BE6" i="6"/>
  <c r="BG5" i="6"/>
  <c r="BE9" i="6"/>
  <c r="BD10" i="6"/>
  <c r="BE10" i="6"/>
  <c r="AW19" i="6"/>
  <c r="AX19" i="6"/>
  <c r="M15" i="6"/>
  <c r="J12" i="6"/>
  <c r="BF8" i="6"/>
  <c r="BD13" i="6"/>
  <c r="AX17" i="6"/>
  <c r="BE13" i="6"/>
  <c r="BB14" i="6"/>
  <c r="BC9" i="6"/>
  <c r="BF9" i="6"/>
  <c r="BB11" i="6"/>
  <c r="BG9" i="6"/>
  <c r="BG13" i="6" s="1"/>
  <c r="BF10" i="6"/>
  <c r="BB10" i="6"/>
  <c r="BF5" i="6"/>
  <c r="BD6" i="6"/>
  <c r="BB7" i="6"/>
  <c r="J15" i="6"/>
  <c r="BB15" i="6" s="1"/>
  <c r="BB6" i="6"/>
  <c r="BE8" i="6"/>
  <c r="K11" i="6"/>
  <c r="K15" i="6" s="1"/>
  <c r="BF7" i="6"/>
  <c r="BC8" i="6"/>
  <c r="K14" i="6"/>
  <c r="L14" i="6"/>
  <c r="BD14" i="6" s="1"/>
  <c r="BD5" i="5"/>
  <c r="BF9" i="5"/>
  <c r="AZ17" i="5"/>
  <c r="BC8" i="5"/>
  <c r="AY19" i="5"/>
  <c r="AZ19" i="5"/>
  <c r="BB11" i="5"/>
  <c r="BE7" i="5"/>
  <c r="L13" i="5"/>
  <c r="M12" i="5"/>
  <c r="BG6" i="5"/>
  <c r="BB9" i="5"/>
  <c r="K15" i="5"/>
  <c r="BC13" i="5"/>
  <c r="BD7" i="5"/>
  <c r="BF6" i="5"/>
  <c r="BB10" i="5"/>
  <c r="BD13" i="5"/>
  <c r="J15" i="5"/>
  <c r="BC9" i="5"/>
  <c r="L12" i="5"/>
  <c r="BE10" i="5"/>
  <c r="BG5" i="5"/>
  <c r="BC6" i="5"/>
  <c r="BG18" i="3"/>
  <c r="BG5" i="3"/>
  <c r="BG35" i="3"/>
  <c r="AJ43" i="3"/>
  <c r="BG33" i="3"/>
  <c r="BB47" i="3"/>
  <c r="BG9" i="3"/>
  <c r="BG13" i="3"/>
  <c r="BG17" i="3"/>
  <c r="BG21" i="3"/>
  <c r="AZ45" i="3"/>
  <c r="AH43" i="3"/>
  <c r="BG6" i="3"/>
  <c r="BG10" i="3"/>
  <c r="BG22" i="3"/>
  <c r="BA45" i="3"/>
  <c r="AH42" i="3"/>
  <c r="AJ41" i="3"/>
  <c r="AK42" i="3"/>
  <c r="C13" i="1"/>
  <c r="C14" i="1"/>
  <c r="BE23" i="3"/>
  <c r="BE27" i="3"/>
  <c r="BG28" i="3"/>
  <c r="BG29" i="3"/>
  <c r="BE37" i="3"/>
  <c r="BE39" i="3"/>
  <c r="BE6" i="3"/>
  <c r="M42" i="3"/>
  <c r="BC47" i="3"/>
  <c r="BG7" i="3"/>
  <c r="BG8" i="3"/>
  <c r="BE10" i="3"/>
  <c r="L42" i="3"/>
  <c r="BG37" i="3"/>
  <c r="BC45" i="3"/>
  <c r="BH5" i="3"/>
  <c r="BE11" i="3"/>
  <c r="BG12" i="3"/>
  <c r="BE14" i="3"/>
  <c r="BE24" i="3"/>
  <c r="BG39" i="3"/>
  <c r="BE15" i="3"/>
  <c r="BG16" i="3"/>
  <c r="BE18" i="3"/>
  <c r="BE26" i="3"/>
  <c r="M43" i="3"/>
  <c r="BE19" i="3"/>
  <c r="BH20" i="3"/>
  <c r="BE22" i="3"/>
  <c r="BE29" i="3"/>
  <c r="BR41" i="3"/>
  <c r="BT42" i="3"/>
  <c r="BJ41" i="7"/>
  <c r="C44" i="1" s="1"/>
  <c r="BM41" i="7"/>
  <c r="F44" i="1" s="1"/>
  <c r="BQ42" i="7"/>
  <c r="BN41" i="7"/>
  <c r="G44" i="1" s="1"/>
  <c r="BK42" i="7"/>
  <c r="D45" i="1" s="1"/>
  <c r="BR42" i="7"/>
  <c r="BR43" i="3"/>
  <c r="BP41" i="7"/>
  <c r="BS42" i="7"/>
  <c r="BQ41" i="7"/>
  <c r="BL43" i="7"/>
  <c r="E46" i="1" s="1"/>
  <c r="BT42" i="7"/>
  <c r="BM43" i="7"/>
  <c r="F46" i="1" s="1"/>
  <c r="BS40" i="3"/>
  <c r="BL42" i="3"/>
  <c r="E11" i="1" s="1"/>
  <c r="BN43" i="7"/>
  <c r="G46" i="1" s="1"/>
  <c r="BM42" i="3"/>
  <c r="F11" i="1" s="1"/>
  <c r="BP43" i="7"/>
  <c r="BP40" i="7"/>
  <c r="H43" i="1" s="1"/>
  <c r="BL41" i="3"/>
  <c r="E10" i="1" s="1"/>
  <c r="BN42" i="3"/>
  <c r="G11" i="1" s="1"/>
  <c r="BQ40" i="7"/>
  <c r="BQ43" i="7"/>
  <c r="BP40" i="3"/>
  <c r="BM41" i="3"/>
  <c r="F10" i="1" s="1"/>
  <c r="BL42" i="7"/>
  <c r="E45" i="1" s="1"/>
  <c r="BQ40" i="3"/>
  <c r="BN41" i="3"/>
  <c r="G10" i="1" s="1"/>
  <c r="BK42" i="3"/>
  <c r="D11" i="1" s="1"/>
  <c r="BS43" i="7"/>
  <c r="BM42" i="7"/>
  <c r="F45" i="1" s="1"/>
  <c r="BP41" i="3"/>
  <c r="BK41" i="7"/>
  <c r="D44" i="1" s="1"/>
  <c r="BN42" i="7"/>
  <c r="G45" i="1" s="1"/>
  <c r="BK41" i="3"/>
  <c r="D10" i="1" s="1"/>
  <c r="BQ41" i="3"/>
  <c r="BL41" i="7"/>
  <c r="E44" i="1" s="1"/>
  <c r="BP42" i="7"/>
  <c r="BE16" i="3"/>
  <c r="BE12" i="3"/>
  <c r="H9" i="1"/>
  <c r="BE8" i="3"/>
  <c r="D32" i="1"/>
  <c r="AI40" i="3"/>
  <c r="C48" i="1"/>
  <c r="K9" i="1"/>
  <c r="AI7" i="3"/>
  <c r="BE7" i="3" s="1"/>
  <c r="L43" i="3"/>
  <c r="L40" i="3"/>
  <c r="AI28" i="3"/>
  <c r="BE28" i="3" s="1"/>
  <c r="BH35" i="3" a="1"/>
  <c r="BH35" i="3" s="1"/>
  <c r="BR40" i="3"/>
  <c r="BF5" i="5"/>
  <c r="BG8" i="5" a="1"/>
  <c r="BG8" i="5" s="1"/>
  <c r="BC10" i="5"/>
  <c r="BE7" i="6"/>
  <c r="BE5" i="7"/>
  <c r="BT43" i="7"/>
  <c r="BT40" i="7"/>
  <c r="BE20" i="7"/>
  <c r="AH40" i="7"/>
  <c r="BT41" i="7"/>
  <c r="BH25" i="3" a="1"/>
  <c r="BH25" i="3" s="1"/>
  <c r="BH41" i="3" s="1"/>
  <c r="BT40" i="3"/>
  <c r="AK43" i="3"/>
  <c r="AH11" i="5"/>
  <c r="BC11" i="5" s="1"/>
  <c r="BG11" i="5" a="1"/>
  <c r="BG11" i="5" s="1"/>
  <c r="BG14" i="5" s="1"/>
  <c r="AG13" i="5"/>
  <c r="BB13" i="5" s="1"/>
  <c r="M15" i="5"/>
  <c r="BB9" i="6"/>
  <c r="AG13" i="6"/>
  <c r="BB13" i="6" s="1"/>
  <c r="AH13" i="6"/>
  <c r="BC13" i="6" s="1"/>
  <c r="J43" i="7"/>
  <c r="J40" i="7"/>
  <c r="BG22" i="7"/>
  <c r="AI22" i="7"/>
  <c r="BE22" i="7" s="1"/>
  <c r="M42" i="7"/>
  <c r="BG36" i="7"/>
  <c r="K36" i="7"/>
  <c r="BE36" i="7" s="1"/>
  <c r="BR43" i="7"/>
  <c r="BL43" i="3"/>
  <c r="E12" i="1" s="1"/>
  <c r="BL40" i="3"/>
  <c r="E9" i="1" s="1"/>
  <c r="BH10" i="3" a="1"/>
  <c r="BH10" i="3" s="1"/>
  <c r="AH41" i="3"/>
  <c r="M40" i="3"/>
  <c r="BP43" i="3"/>
  <c r="K12" i="5"/>
  <c r="BE13" i="5"/>
  <c r="K12" i="6"/>
  <c r="BE11" i="6"/>
  <c r="L43" i="7"/>
  <c r="L40" i="7"/>
  <c r="BR41" i="7"/>
  <c r="BG26" i="7"/>
  <c r="BH25" i="7" a="1"/>
  <c r="BH25" i="7" s="1"/>
  <c r="BH41" i="7" s="1"/>
  <c r="AI26" i="7"/>
  <c r="BE26" i="7" s="1"/>
  <c r="BE5" i="6"/>
  <c r="AJ15" i="6"/>
  <c r="BE15" i="6" s="1"/>
  <c r="BD15" i="5"/>
  <c r="BM43" i="3"/>
  <c r="F12" i="1" s="1"/>
  <c r="BM40" i="3"/>
  <c r="F9" i="1" s="1"/>
  <c r="BG11" i="3"/>
  <c r="BG15" i="3"/>
  <c r="BG19" i="3"/>
  <c r="BG23" i="3"/>
  <c r="AI41" i="3"/>
  <c r="BE41" i="3" s="1"/>
  <c r="BQ42" i="3"/>
  <c r="AH40" i="3"/>
  <c r="BQ43" i="3"/>
  <c r="BF11" i="5"/>
  <c r="L12" i="6"/>
  <c r="BD12" i="6" s="1"/>
  <c r="AH6" i="6"/>
  <c r="BG6" i="6" a="1"/>
  <c r="BG6" i="6" s="1"/>
  <c r="BG8" i="7"/>
  <c r="K8" i="7"/>
  <c r="BS41" i="7"/>
  <c r="AH42" i="7"/>
  <c r="BR40" i="7"/>
  <c r="BG12" i="5"/>
  <c r="BR42" i="3"/>
  <c r="BE9" i="5"/>
  <c r="AW19" i="5"/>
  <c r="M12" i="6"/>
  <c r="BE28" i="7"/>
  <c r="AJ42" i="7"/>
  <c r="BE32" i="7"/>
  <c r="BS40" i="7"/>
  <c r="BH15" i="3" a="1"/>
  <c r="BH15" i="3" s="1"/>
  <c r="BS43" i="3"/>
  <c r="BB5" i="5"/>
  <c r="AG15" i="5"/>
  <c r="AH7" i="5"/>
  <c r="BC7" i="5" s="1"/>
  <c r="BG7" i="5" a="1"/>
  <c r="BG7" i="5" s="1"/>
  <c r="AG12" i="5"/>
  <c r="BB12" i="5" s="1"/>
  <c r="AX19" i="5"/>
  <c r="BE12" i="7"/>
  <c r="K20" i="3"/>
  <c r="BE20" i="3" s="1"/>
  <c r="BG20" i="3"/>
  <c r="BG30" i="3"/>
  <c r="BG32" i="3"/>
  <c r="AI32" i="3"/>
  <c r="BE32" i="3" s="1"/>
  <c r="BP42" i="3"/>
  <c r="BT43" i="3"/>
  <c r="BB7" i="5"/>
  <c r="BF6" i="6"/>
  <c r="AJ12" i="6"/>
  <c r="AY19" i="6"/>
  <c r="BE16" i="7"/>
  <c r="K41" i="7"/>
  <c r="BH30" i="7" a="1"/>
  <c r="BH30" i="7" s="1"/>
  <c r="BG30" i="7"/>
  <c r="AI30" i="7"/>
  <c r="BG34" i="7"/>
  <c r="AI34" i="7"/>
  <c r="BE34" i="7" s="1"/>
  <c r="BG38" i="7"/>
  <c r="AI38" i="7"/>
  <c r="BE38" i="7" s="1"/>
  <c r="M43" i="7"/>
  <c r="BG27" i="3"/>
  <c r="BS41" i="3"/>
  <c r="BE35" i="3"/>
  <c r="BG36" i="3"/>
  <c r="AI36" i="3"/>
  <c r="BE36" i="3" s="1"/>
  <c r="BS42" i="3"/>
  <c r="AJ15" i="5"/>
  <c r="AJ12" i="5"/>
  <c r="BG9" i="5" a="1"/>
  <c r="BG9" i="5" s="1"/>
  <c r="BG13" i="5" s="1"/>
  <c r="BD10" i="5"/>
  <c r="AI14" i="5"/>
  <c r="BD14" i="5" s="1"/>
  <c r="AI12" i="5"/>
  <c r="BD12" i="5" s="1"/>
  <c r="AG14" i="5"/>
  <c r="BB14" i="5" s="1"/>
  <c r="AW17" i="5"/>
  <c r="AH10" i="6"/>
  <c r="BG10" i="6" a="1"/>
  <c r="BG10" i="6" s="1"/>
  <c r="AZ19" i="6"/>
  <c r="BG14" i="7"/>
  <c r="AI14" i="7"/>
  <c r="BE14" i="7" s="1"/>
  <c r="L41" i="7"/>
  <c r="BD8" i="5"/>
  <c r="BN43" i="3"/>
  <c r="G12" i="1" s="1"/>
  <c r="BN40" i="3"/>
  <c r="G9" i="1" s="1"/>
  <c r="J43" i="3"/>
  <c r="J40" i="3"/>
  <c r="J41" i="3"/>
  <c r="AI34" i="3"/>
  <c r="BE34" i="3" s="1"/>
  <c r="BG34" i="3"/>
  <c r="BT41" i="3"/>
  <c r="BC5" i="5"/>
  <c r="BF7" i="5"/>
  <c r="AJ14" i="5"/>
  <c r="BE14" i="5" s="1"/>
  <c r="AX17" i="5"/>
  <c r="AG12" i="6"/>
  <c r="BB5" i="6"/>
  <c r="AK43" i="7"/>
  <c r="BG6" i="7"/>
  <c r="AI6" i="7"/>
  <c r="BE8" i="7"/>
  <c r="BH15" i="7" a="1"/>
  <c r="BH15" i="7" s="1"/>
  <c r="BG18" i="7"/>
  <c r="AI18" i="7"/>
  <c r="BE18" i="7" s="1"/>
  <c r="BH35" i="7" a="1"/>
  <c r="BH35" i="7" s="1"/>
  <c r="I46" i="1"/>
  <c r="K5" i="3"/>
  <c r="K9" i="3"/>
  <c r="BE9" i="3" s="1"/>
  <c r="K13" i="3"/>
  <c r="BE13" i="3" s="1"/>
  <c r="K17" i="3"/>
  <c r="BE17" i="3" s="1"/>
  <c r="K21" i="3"/>
  <c r="BE21" i="3" s="1"/>
  <c r="K25" i="3"/>
  <c r="K41" i="3" s="1"/>
  <c r="BG25" i="3"/>
  <c r="K30" i="3"/>
  <c r="K42" i="3" s="1"/>
  <c r="BH30" i="3" a="1"/>
  <c r="BH30" i="3" s="1"/>
  <c r="AI38" i="3"/>
  <c r="BE38" i="3" s="1"/>
  <c r="BG38" i="3"/>
  <c r="BE5" i="5"/>
  <c r="AH12" i="6"/>
  <c r="AY17" i="6"/>
  <c r="BH10" i="7" a="1"/>
  <c r="BH10" i="7" s="1"/>
  <c r="BG10" i="7"/>
  <c r="AI10" i="7"/>
  <c r="L15" i="6"/>
  <c r="BD15" i="6" s="1"/>
  <c r="BG12" i="7"/>
  <c r="BG16" i="7"/>
  <c r="BG20" i="7"/>
  <c r="BG24" i="7"/>
  <c r="BG28" i="7"/>
  <c r="BG32" i="7"/>
  <c r="BN40" i="7"/>
  <c r="G43" i="1" s="1"/>
  <c r="BH5" i="7" a="1"/>
  <c r="BH5" i="7" s="1"/>
  <c r="AK40" i="7"/>
  <c r="BG7" i="6" a="1"/>
  <c r="BG7" i="6" s="1"/>
  <c r="BG11" i="6" a="1"/>
  <c r="BG11" i="6" s="1"/>
  <c r="K10" i="7"/>
  <c r="K30" i="7"/>
  <c r="K42" i="7" s="1"/>
  <c r="K7" i="7"/>
  <c r="K40" i="7" s="1"/>
  <c r="K11" i="7"/>
  <c r="BE11" i="7" s="1"/>
  <c r="K39" i="7"/>
  <c r="BE39" i="7" s="1"/>
  <c r="BL40" i="7"/>
  <c r="E43" i="1" s="1"/>
  <c r="BM40" i="7"/>
  <c r="F43" i="1" s="1"/>
  <c r="BJ25" i="3"/>
  <c r="BK20" i="7"/>
  <c r="BK20" i="3"/>
  <c r="BJ30" i="3"/>
  <c r="BK15" i="3"/>
  <c r="BJ10" i="7"/>
  <c r="BJ5" i="3"/>
  <c r="BJ30" i="7"/>
  <c r="BH42" i="7" l="1"/>
  <c r="BE7" i="7"/>
  <c r="K43" i="7"/>
  <c r="C35" i="1"/>
  <c r="BG12" i="6"/>
  <c r="E34" i="1"/>
  <c r="BB12" i="6"/>
  <c r="E31" i="1" s="1"/>
  <c r="BG15" i="6"/>
  <c r="E33" i="1"/>
  <c r="BC11" i="6"/>
  <c r="C20" i="1"/>
  <c r="C24" i="1"/>
  <c r="AH14" i="5"/>
  <c r="BC14" i="5" s="1"/>
  <c r="BG15" i="5"/>
  <c r="BB15" i="5"/>
  <c r="BE12" i="5"/>
  <c r="BH40" i="3"/>
  <c r="BE30" i="3"/>
  <c r="BH43" i="3"/>
  <c r="BJ42" i="7"/>
  <c r="C45" i="1" s="1"/>
  <c r="BJ43" i="7"/>
  <c r="C46" i="1" s="1"/>
  <c r="BJ40" i="7"/>
  <c r="C43" i="1" s="1"/>
  <c r="BK40" i="3"/>
  <c r="D9" i="1" s="1"/>
  <c r="BK43" i="3"/>
  <c r="D12" i="1" s="1"/>
  <c r="BJ42" i="3"/>
  <c r="C11" i="1" s="1"/>
  <c r="BK43" i="7"/>
  <c r="D46" i="1" s="1"/>
  <c r="BK40" i="7"/>
  <c r="D43" i="1" s="1"/>
  <c r="BJ41" i="3"/>
  <c r="C10" i="1" s="1"/>
  <c r="I10" i="1"/>
  <c r="J10" i="1"/>
  <c r="J12" i="1"/>
  <c r="I45" i="1"/>
  <c r="H10" i="1"/>
  <c r="I44" i="1"/>
  <c r="K46" i="1"/>
  <c r="I9" i="1"/>
  <c r="J45" i="1"/>
  <c r="H45" i="1"/>
  <c r="H46" i="1"/>
  <c r="K45" i="1"/>
  <c r="I43" i="1"/>
  <c r="L45" i="1"/>
  <c r="H44" i="1"/>
  <c r="L11" i="1"/>
  <c r="J46" i="1"/>
  <c r="K10" i="1"/>
  <c r="D20" i="1"/>
  <c r="L43" i="1"/>
  <c r="D21" i="1"/>
  <c r="BE25" i="3"/>
  <c r="K12" i="1"/>
  <c r="J11" i="1"/>
  <c r="L46" i="1"/>
  <c r="H12" i="1"/>
  <c r="AI41" i="7"/>
  <c r="BE41" i="7" s="1"/>
  <c r="BH42" i="3"/>
  <c r="AH15" i="5"/>
  <c r="BC15" i="5" s="1"/>
  <c r="C36" i="1"/>
  <c r="K43" i="1"/>
  <c r="BC6" i="6"/>
  <c r="AH15" i="6"/>
  <c r="BC15" i="6" s="1"/>
  <c r="J44" i="1"/>
  <c r="L9" i="1"/>
  <c r="AI42" i="3"/>
  <c r="BE42" i="3" s="1"/>
  <c r="D19" i="1"/>
  <c r="BE12" i="6"/>
  <c r="L10" i="1"/>
  <c r="BE15" i="5"/>
  <c r="BJ43" i="3"/>
  <c r="C12" i="1" s="1"/>
  <c r="BJ40" i="3"/>
  <c r="C9" i="1" s="1"/>
  <c r="AH12" i="5"/>
  <c r="BC12" i="5" s="1"/>
  <c r="BE6" i="7"/>
  <c r="AI40" i="7"/>
  <c r="BE40" i="7" s="1"/>
  <c r="K11" i="1"/>
  <c r="C21" i="1"/>
  <c r="J43" i="1"/>
  <c r="I12" i="1"/>
  <c r="C23" i="1"/>
  <c r="BE10" i="7"/>
  <c r="D34" i="1"/>
  <c r="C32" i="1"/>
  <c r="BH43" i="7"/>
  <c r="BH40" i="7"/>
  <c r="BG14" i="6"/>
  <c r="L12" i="1"/>
  <c r="E19" i="1"/>
  <c r="K44" i="1"/>
  <c r="I11" i="1"/>
  <c r="E32" i="1"/>
  <c r="AI43" i="3"/>
  <c r="AI43" i="7"/>
  <c r="E21" i="1"/>
  <c r="E20" i="1"/>
  <c r="BC12" i="6"/>
  <c r="K43" i="3"/>
  <c r="K40" i="3"/>
  <c r="BE40" i="3" s="1"/>
  <c r="BE5" i="3"/>
  <c r="D33" i="1"/>
  <c r="BC10" i="6"/>
  <c r="AH14" i="6"/>
  <c r="BC14" i="6" s="1"/>
  <c r="AI42" i="7"/>
  <c r="BE42" i="7" s="1"/>
  <c r="BE30" i="7"/>
  <c r="H11" i="1"/>
  <c r="L44" i="1"/>
  <c r="J9" i="1"/>
  <c r="BE43" i="7" l="1"/>
  <c r="E22" i="1"/>
  <c r="BE43" i="3"/>
  <c r="D22" i="1"/>
  <c r="C34" i="1"/>
  <c r="C22" i="1"/>
  <c r="C19" i="1"/>
  <c r="C33" i="1"/>
  <c r="C31" i="1"/>
  <c r="D31"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<sst xmlns="http://schemas.openxmlformats.org/spreadsheetml/2006/main" count="1459" uniqueCount="575">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</sst>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ALL_master+r90</c:v>
                </c:pt>
              </c:strCache>
            </c:strRef>
          </c:tx>
          <c:spPr>
            <a:ln>
              <a:prstDash val="solid"/>
            </a:ln>
          </c:spPr>
          <c:marker>
            <c:symbol val="none"/>
          </c:marker>
          <c:xVal>
            <c:numRef>
              <c:f>Graphs!graph_a_x_range_A</c:f>
              <c:numCache>
                <c:formatCode>0.00</c:formatCode>
                <c:ptCount val="5"/>
                <c:pt idx="0">
                  <c:v>3.4664359032843796E-2</c:v>
                </c:pt>
                <c:pt idx="1">
                  <c:v>4.8075471359966988E-2</c:v>
                </c:pt>
                <c:pt idx="2">
                  <c:v>6.741638171623604E-2</c:v>
                </c:pt>
                <c:pt idx="3">
                  <c:v>0.10028366123759566</c:v>
                </c:pt>
                <c:pt idx="4">
                  <c:v>0.15538694432702951</c:v>
                </c:pt>
              </c:numCache>
            </c:numRef>
          </c:xVal>
          <c:yVal>
            <c:numRef>
              <c:f>Graphs!graph_a_y_range_A</c:f>
              <c:numCache>
                <c:formatCode>0.00</c:formatCode>
                <c:ptCount val="5"/>
                <c:pt idx="0">
                  <c:v>66.3066216666667</c:v>
                </c:pt>
                <c:pt idx="1">
                  <c:v>68.1577056666667</c:v>
                </c:pt>
                <c:pt idx="2">
                  <c:v>69.555043333333202</c:v>
                </c:pt>
                <c:pt idx="3">
                  <c:v>70.687751000000006</c:v>
                </c:pt>
                <c:pt idx="4">
                  <c:v>71.790062333333395</c:v>
                </c:pt>
              </c:numCache>
            </c:numRef>
          </c:yVal>
          <c:smooth val="1"/>
          <c:extLst>
            <c:ext xmlns:c16="http://schemas.microsoft.com/office/drawing/2014/chart" uri="{C3380CC4-5D6E-409C-BE32-E72D297353CC}">
              <c16:uniqueId val="{00000000-FFEE-46FB-BA93-D0BCAD03D7E2}"/>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FFEE-46FB-BA93-D0BCAD03D7E2}"/>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ALL_master+r90</c:v>
                </c:pt>
              </c:strCache>
            </c:strRef>
          </c:tx>
          <c:spPr>
            <a:ln>
              <a:prstDash val="solid"/>
            </a:ln>
          </c:spPr>
          <c:marker>
            <c:symbol val="none"/>
          </c:marker>
          <c:xVal>
            <c:numRef>
              <c:f>Graphs!graph_b_x_range_A</c:f>
              <c:numCache>
                <c:formatCode>0.00</c:formatCode>
                <c:ptCount val="5"/>
                <c:pt idx="0">
                  <c:v>3.4664359032843796E-2</c:v>
                </c:pt>
                <c:pt idx="1">
                  <c:v>4.8075471359966988E-2</c:v>
                </c:pt>
                <c:pt idx="2">
                  <c:v>6.741638171623604E-2</c:v>
                </c:pt>
                <c:pt idx="3">
                  <c:v>0.10028366123759566</c:v>
                </c:pt>
                <c:pt idx="4">
                  <c:v>0.15538694432702951</c:v>
                </c:pt>
              </c:numCache>
            </c:numRef>
          </c:xVal>
          <c:yVal>
            <c:numRef>
              <c:f>Graphs!graph_b_y_range_A</c:f>
              <c:numCache>
                <c:formatCode>0.00</c:formatCode>
                <c:ptCount val="5"/>
                <c:pt idx="0">
                  <c:v>68.366856666666706</c:v>
                </c:pt>
                <c:pt idx="1">
                  <c:v>70.306219000000098</c:v>
                </c:pt>
                <c:pt idx="2">
                  <c:v>71.985652666666695</c:v>
                </c:pt>
                <c:pt idx="3">
                  <c:v>73.255336999999898</c:v>
                </c:pt>
                <c:pt idx="4">
                  <c:v>75.225993000000003</c:v>
                </c:pt>
              </c:numCache>
            </c:numRef>
          </c:yVal>
          <c:smooth val="1"/>
          <c:extLst>
            <c:ext xmlns:c16="http://schemas.microsoft.com/office/drawing/2014/chart" uri="{C3380CC4-5D6E-409C-BE32-E72D297353CC}">
              <c16:uniqueId val="{00000000-5D65-46FD-89EF-7988E2BA7667}"/>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5D65-46FD-89EF-7988E2BA7667}"/>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ALL_master+r90</c:v>
                </c:pt>
              </c:strCache>
            </c:strRef>
          </c:tx>
          <c:spPr>
            <a:ln>
              <a:prstDash val="solid"/>
            </a:ln>
          </c:spPr>
          <c:marker>
            <c:symbol val="none"/>
          </c:marker>
          <c:xVal>
            <c:numRef>
              <c:f>Graphs!graph_c_x_range_A</c:f>
              <c:numCache>
                <c:formatCode>0.00</c:formatCode>
                <c:ptCount val="5"/>
                <c:pt idx="0">
                  <c:v>3.4473518433458014E-2</c:v>
                </c:pt>
                <c:pt idx="1">
                  <c:v>7.1818447166810101E-2</c:v>
                </c:pt>
                <c:pt idx="2">
                  <c:v>0.14239315514128451</c:v>
                </c:pt>
                <c:pt idx="3">
                  <c:v>0.26859724277744779</c:v>
                </c:pt>
                <c:pt idx="4">
                  <c:v>0.4937616711562931</c:v>
                </c:pt>
              </c:numCache>
            </c:numRef>
          </c:xVal>
          <c:yVal>
            <c:numRef>
              <c:f>Graphs!graph_c_y_range_A</c:f>
              <c:numCache>
                <c:formatCode>0.00</c:formatCode>
                <c:ptCount val="5"/>
                <c:pt idx="0">
                  <c:v>32.3263896666666</c:v>
                </c:pt>
                <c:pt idx="1">
                  <c:v>34.599279000000003</c:v>
                </c:pt>
                <c:pt idx="2">
                  <c:v>37.1390076666667</c:v>
                </c:pt>
                <c:pt idx="3">
                  <c:v>39.744751999999998</c:v>
                </c:pt>
                <c:pt idx="4">
                  <c:v>42.293630999999998</c:v>
                </c:pt>
              </c:numCache>
            </c:numRef>
          </c:yVal>
          <c:smooth val="1"/>
          <c:extLst>
            <c:ext xmlns:c16="http://schemas.microsoft.com/office/drawing/2014/chart" uri="{C3380CC4-5D6E-409C-BE32-E72D297353CC}">
              <c16:uniqueId val="{00000000-5F62-4AFC-8187-752665CBFC5A}"/>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5F62-4AFC-8187-752665CBFC5A}"/>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ALL_master+r90</c:v>
                </c:pt>
              </c:strCache>
            </c:strRef>
          </c:tx>
          <c:spPr>
            <a:ln>
              <a:prstDash val="solid"/>
            </a:ln>
          </c:spPr>
          <c:marker>
            <c:symbol val="none"/>
          </c:marker>
          <c:xVal>
            <c:numRef>
              <c:f>Graphs!graph_d_x_range_A</c:f>
              <c:numCache>
                <c:formatCode>0.00</c:formatCode>
                <c:ptCount val="5"/>
                <c:pt idx="0">
                  <c:v>3.4473518433458014E-2</c:v>
                </c:pt>
                <c:pt idx="1">
                  <c:v>7.1818447166810101E-2</c:v>
                </c:pt>
                <c:pt idx="2">
                  <c:v>0.14239315514128451</c:v>
                </c:pt>
                <c:pt idx="3">
                  <c:v>0.26859724277744779</c:v>
                </c:pt>
                <c:pt idx="4">
                  <c:v>0.4937616711562931</c:v>
                </c:pt>
              </c:numCache>
            </c:numRef>
          </c:xVal>
          <c:yVal>
            <c:numRef>
              <c:f>Graphs!graph_d_y_range_A</c:f>
              <c:numCache>
                <c:formatCode>0.00</c:formatCode>
                <c:ptCount val="5"/>
                <c:pt idx="0">
                  <c:v>44.1480976666667</c:v>
                </c:pt>
                <c:pt idx="1">
                  <c:v>45.4373413333334</c:v>
                </c:pt>
                <c:pt idx="2">
                  <c:v>46.566942666666698</c:v>
                </c:pt>
                <c:pt idx="3">
                  <c:v>47.9068646666666</c:v>
                </c:pt>
                <c:pt idx="4">
                  <c:v>49.428381000000002</c:v>
                </c:pt>
              </c:numCache>
            </c:numRef>
          </c:yVal>
          <c:smooth val="1"/>
          <c:extLst>
            <c:ext xmlns:c16="http://schemas.microsoft.com/office/drawing/2014/chart" uri="{C3380CC4-5D6E-409C-BE32-E72D297353CC}">
              <c16:uniqueId val="{00000000-4DC4-4242-92C5-1FD2E5EB8A63}"/>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4DC4-4242-92C5-1FD2E5EB8A63}"/>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ALL_master+r90</c:v>
                </c:pt>
              </c:strCache>
            </c:strRef>
          </c:tx>
          <c:spPr>
            <a:ln>
              <a:prstDash val="solid"/>
            </a:ln>
          </c:spPr>
          <c:marker>
            <c:symbol val="none"/>
          </c:marker>
          <c:xVal>
            <c:numRef>
              <c:f>Graphs!graph_e_x_range_A</c:f>
              <c:numCache>
                <c:formatCode>0.00</c:formatCode>
                <c:ptCount val="5"/>
                <c:pt idx="0">
                  <c:v>3.4473518433458014E-2</c:v>
                </c:pt>
                <c:pt idx="1">
                  <c:v>7.1818447166810101E-2</c:v>
                </c:pt>
                <c:pt idx="2">
                  <c:v>0.14239315514128451</c:v>
                </c:pt>
                <c:pt idx="3">
                  <c:v>0.26859724277744779</c:v>
                </c:pt>
                <c:pt idx="4">
                  <c:v>0.4937616711562931</c:v>
                </c:pt>
              </c:numCache>
            </c:numRef>
          </c:xVal>
          <c:yVal>
            <c:numRef>
              <c:f>Graphs!graph_e_y_range_A</c:f>
              <c:numCache>
                <c:formatCode>0.00</c:formatCode>
                <c:ptCount val="5"/>
                <c:pt idx="0">
                  <c:v>43.802683333333299</c:v>
                </c:pt>
                <c:pt idx="1">
                  <c:v>45.239785333333302</c:v>
                </c:pt>
                <c:pt idx="2">
                  <c:v>46.478541333333297</c:v>
                </c:pt>
                <c:pt idx="3">
                  <c:v>47.9990526666666</c:v>
                </c:pt>
                <c:pt idx="4">
                  <c:v>49.587266333333297</c:v>
                </c:pt>
              </c:numCache>
            </c:numRef>
          </c:yVal>
          <c:smooth val="1"/>
          <c:extLst>
            <c:ext xmlns:c16="http://schemas.microsoft.com/office/drawing/2014/chart" uri="{C3380CC4-5D6E-409C-BE32-E72D297353CC}">
              <c16:uniqueId val="{00000000-C007-4C1D-9B30-67FACC5383EE}"/>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C007-4C1D-9B30-67FACC5383EE}"/>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ALL_master+r90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4830-4067-8CB6-BA6ECB3D2190}"/>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4830-4067-8CB6-BA6ECB3D2190}"/>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H25" sqref="H25"/>
    </sheetView>
  </sheetViews>
  <sheetFormatPr defaultRowHeight="15" x14ac:dyDescent="0.25"/>
  <cols>
    <col min="2" max="2" width="16.7109375" style="53" customWidth="1"/>
    <col min="3" max="12" width="24.7109375" style="53" customWidth="1"/>
  </cols>
  <sheetData>
    <row r="1" spans="2:12" x14ac:dyDescent="0.25">
      <c r="B1" t="s">
        <v>0</v>
      </c>
      <c r="C1" s="67" t="s">
        <v>574</v>
      </c>
      <c r="D1" s="59"/>
      <c r="E1" s="59"/>
    </row>
    <row r="2" spans="2:12" x14ac:dyDescent="0.25">
      <c r="B2" t="s">
        <v>1</v>
      </c>
      <c r="C2" s="68"/>
      <c r="D2" s="59"/>
      <c r="E2" s="59"/>
    </row>
    <row r="4" spans="2:12" s="1" customFormat="1" x14ac:dyDescent="0.25">
      <c r="B4" s="1" t="s">
        <v>2</v>
      </c>
    </row>
    <row r="6" spans="2:12" x14ac:dyDescent="0.25">
      <c r="B6" s="62"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58" t="e">
        <f>'C2 lossyG,lossyA,intra'!AZ47</f>
        <v>#NUM!</v>
      </c>
      <c r="D13" s="59"/>
      <c r="E13" s="59"/>
      <c r="F13" s="59"/>
      <c r="G13" s="59"/>
      <c r="H13" s="59"/>
      <c r="I13" s="59"/>
      <c r="J13" s="59"/>
      <c r="K13" s="59"/>
      <c r="L13" s="59"/>
    </row>
    <row r="14" spans="2:12" x14ac:dyDescent="0.25">
      <c r="B14" s="6" t="s">
        <v>19</v>
      </c>
      <c r="C14" s="60" t="e">
        <f>'C2 lossyG,lossyA,intra'!BB47</f>
        <v>#NUM!</v>
      </c>
      <c r="D14" s="61"/>
      <c r="E14" s="61"/>
      <c r="F14" s="61"/>
      <c r="G14" s="61"/>
      <c r="H14" s="61"/>
      <c r="I14" s="61"/>
      <c r="J14" s="61"/>
      <c r="K14" s="61"/>
      <c r="L14" s="61"/>
    </row>
    <row r="16" spans="2:12" x14ac:dyDescent="0.25">
      <c r="B16" s="62" t="s">
        <v>20</v>
      </c>
      <c r="C16" s="63" t="s">
        <v>21</v>
      </c>
      <c r="D16" s="64"/>
      <c r="E16" s="64"/>
    </row>
    <row r="17" spans="2:5" x14ac:dyDescent="0.25">
      <c r="B17" s="59"/>
      <c r="C17" s="65" t="s">
        <v>22</v>
      </c>
      <c r="D17" s="59"/>
      <c r="E17" s="59"/>
    </row>
    <row r="18" spans="2:5" x14ac:dyDescent="0.25">
      <c r="B18" s="61"/>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58" t="e">
        <f>'CW losslG,losslA,intra'!AW19</f>
        <v>#NUM!</v>
      </c>
      <c r="D23" s="59"/>
      <c r="E23" s="59"/>
    </row>
    <row r="24" spans="2:5" x14ac:dyDescent="0.25">
      <c r="B24" s="6" t="s">
        <v>19</v>
      </c>
      <c r="C24" s="60" t="e">
        <f>'CW losslG,losslA,intra'!AY19</f>
        <v>#NUM!</v>
      </c>
      <c r="D24" s="61"/>
      <c r="E24" s="61"/>
    </row>
    <row r="26" spans="2:5" s="1" customFormat="1" x14ac:dyDescent="0.25">
      <c r="B26" s="1" t="s">
        <v>26</v>
      </c>
    </row>
    <row r="28" spans="2:5" x14ac:dyDescent="0.25">
      <c r="B28" s="62" t="s">
        <v>27</v>
      </c>
      <c r="C28" s="63" t="s">
        <v>28</v>
      </c>
      <c r="D28" s="64"/>
      <c r="E28" s="64"/>
    </row>
    <row r="29" spans="2:5" x14ac:dyDescent="0.25">
      <c r="B29" s="59"/>
      <c r="C29" s="65" t="s">
        <v>22</v>
      </c>
      <c r="D29" s="59"/>
      <c r="E29" s="59"/>
    </row>
    <row r="30" spans="2:5" x14ac:dyDescent="0.25">
      <c r="B30" s="61"/>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58" t="e">
        <f>'CW losslG,losslA,interLD'!AW19</f>
        <v>#NUM!</v>
      </c>
      <c r="D35" s="59"/>
      <c r="E35" s="59"/>
    </row>
    <row r="36" spans="2:12" x14ac:dyDescent="0.25">
      <c r="B36" s="6" t="s">
        <v>19</v>
      </c>
      <c r="C36" s="60" t="e">
        <f>'CW losslG,losslA,interLD'!AY19</f>
        <v>#NUM!</v>
      </c>
      <c r="D36" s="61"/>
      <c r="E36" s="61"/>
    </row>
    <row r="38" spans="2:12" s="1" customFormat="1" x14ac:dyDescent="0.25">
      <c r="B38" s="1" t="s">
        <v>29</v>
      </c>
    </row>
    <row r="40" spans="2:12" x14ac:dyDescent="0.25">
      <c r="B40" s="62"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58" t="e">
        <f>'C2 lossyG,lossyA,interRA'!AZ47</f>
        <v>#NUM!</v>
      </c>
      <c r="D47" s="59"/>
      <c r="E47" s="59"/>
      <c r="F47" s="59"/>
      <c r="G47" s="59"/>
      <c r="H47" s="59"/>
      <c r="I47" s="59"/>
      <c r="J47" s="59"/>
      <c r="K47" s="59"/>
      <c r="L47" s="59"/>
    </row>
    <row r="48" spans="2:12" x14ac:dyDescent="0.25">
      <c r="B48" s="6" t="s">
        <v>19</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AA5" activePane="bottomRight" state="frozen"/>
      <selection pane="topRight" activeCell="C1" sqref="C1"/>
      <selection pane="bottomLeft" activeCell="A5" sqref="A5"/>
      <selection pane="bottomRight" activeCell="AV55" sqref="AV55"/>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136</v>
      </c>
      <c r="B1" s="59"/>
      <c r="C1" s="59"/>
      <c r="D1" s="59"/>
      <c r="E1" s="59"/>
      <c r="F1" s="59"/>
      <c r="G1" s="59"/>
      <c r="I1" s="67" t="str">
        <f>Summary!$C$1</f>
        <v>ALL_master+r90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2.2823760000000002</v>
      </c>
      <c r="J5" s="12">
        <f t="shared" ref="J5:J39" si="1">IF(ISBLANK(S5),"·",S5/D5)</f>
        <v>9.583920169506159E-2</v>
      </c>
      <c r="K5" s="12">
        <f t="shared" ref="K5:K39" si="2">IF(N5="","·",N5/D5)</f>
        <v>6.1365683261603576E-2</v>
      </c>
      <c r="L5" s="12">
        <f t="shared" ref="L5:L39" si="3">IF(T5="","·",T5/D5)</f>
        <v>3.4664359032843796E-2</v>
      </c>
      <c r="M5" s="12">
        <f t="shared" ref="M5:M39" si="4">IF(ISBLANK(V5),"·",V5/D5)</f>
        <v>3.4473518433458014E-2</v>
      </c>
      <c r="N5" s="54">
        <f t="shared" ref="N5:N39" si="5">IF(OR(ISBLANK(T5),ISBLANK(U5)),"",T5+U5)</f>
        <v>14614016</v>
      </c>
      <c r="O5" s="12">
        <v>16</v>
      </c>
      <c r="P5" s="13">
        <v>210114715</v>
      </c>
      <c r="Q5" s="13">
        <v>700382.38333333295</v>
      </c>
      <c r="R5" s="13">
        <v>14452.65</v>
      </c>
      <c r="S5" s="14">
        <v>22823760</v>
      </c>
      <c r="T5" s="14">
        <v>8255192</v>
      </c>
      <c r="U5" s="14">
        <v>6358824</v>
      </c>
      <c r="V5" s="14">
        <v>8209744</v>
      </c>
      <c r="W5" s="15">
        <v>66.3066216666667</v>
      </c>
      <c r="X5" s="15">
        <v>68.366856666666706</v>
      </c>
      <c r="Y5" s="15">
        <v>32.3263896666666</v>
      </c>
      <c r="Z5" s="15">
        <v>44.1480976666667</v>
      </c>
      <c r="AA5" s="15">
        <v>43.802683333333299</v>
      </c>
      <c r="AB5" s="16">
        <v>17213.3</v>
      </c>
      <c r="AC5" s="16">
        <v>16122.4</v>
      </c>
      <c r="AD5" s="16">
        <v>282.56299999999999</v>
      </c>
      <c r="AE5" s="16">
        <v>245.821</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3.4911127999999998</v>
      </c>
      <c r="J6" s="21">
        <f t="shared" si="1"/>
        <v>0.14659524275553687</v>
      </c>
      <c r="K6" s="21">
        <f t="shared" si="2"/>
        <v>7.4776795588726769E-2</v>
      </c>
      <c r="L6" s="21">
        <f t="shared" si="3"/>
        <v>4.8075471359966988E-2</v>
      </c>
      <c r="M6" s="21">
        <f t="shared" si="4"/>
        <v>7.1818447166810101E-2</v>
      </c>
      <c r="N6" s="18">
        <f t="shared" si="5"/>
        <v>17807824</v>
      </c>
      <c r="O6" s="21">
        <v>16</v>
      </c>
      <c r="P6" s="22">
        <v>230812362</v>
      </c>
      <c r="Q6" s="22">
        <v>769374.54</v>
      </c>
      <c r="R6" s="22">
        <v>19712.886666666702</v>
      </c>
      <c r="S6" s="23">
        <v>34911128</v>
      </c>
      <c r="T6" s="23">
        <v>11449000</v>
      </c>
      <c r="U6" s="23">
        <v>6358824</v>
      </c>
      <c r="V6" s="23">
        <v>17103304</v>
      </c>
      <c r="W6" s="24">
        <v>68.1577056666667</v>
      </c>
      <c r="X6" s="24">
        <v>70.306219000000098</v>
      </c>
      <c r="Y6" s="24">
        <v>34.599279000000003</v>
      </c>
      <c r="Z6" s="24">
        <v>45.4373413333334</v>
      </c>
      <c r="AA6" s="24">
        <v>45.239785333333302</v>
      </c>
      <c r="AB6" s="25">
        <v>17266.599999999999</v>
      </c>
      <c r="AC6" s="25">
        <v>16885.2</v>
      </c>
      <c r="AD6" s="25">
        <v>308.30099999999999</v>
      </c>
      <c r="AE6" s="25">
        <v>250.24199999999999</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5.6324208000000002</v>
      </c>
      <c r="J7" s="12">
        <f t="shared" si="1"/>
        <v>0.23651086108628033</v>
      </c>
      <c r="K7" s="12">
        <f t="shared" si="2"/>
        <v>9.4117705944995828E-2</v>
      </c>
      <c r="L7" s="12">
        <f t="shared" si="3"/>
        <v>6.741638171623604E-2</v>
      </c>
      <c r="M7" s="12">
        <f t="shared" si="4"/>
        <v>0.14239315514128451</v>
      </c>
      <c r="N7" s="54">
        <f t="shared" si="5"/>
        <v>22413792</v>
      </c>
      <c r="O7" s="12">
        <v>16</v>
      </c>
      <c r="P7" s="13">
        <v>236176995</v>
      </c>
      <c r="Q7" s="13">
        <v>787256.65</v>
      </c>
      <c r="R7" s="13">
        <v>21574.926666666699</v>
      </c>
      <c r="S7" s="14">
        <v>56324208</v>
      </c>
      <c r="T7" s="14">
        <v>16054968</v>
      </c>
      <c r="U7" s="14">
        <v>6358824</v>
      </c>
      <c r="V7" s="14">
        <v>33910416</v>
      </c>
      <c r="W7" s="15">
        <v>69.555043333333202</v>
      </c>
      <c r="X7" s="15">
        <v>71.985652666666695</v>
      </c>
      <c r="Y7" s="15">
        <v>37.1390076666667</v>
      </c>
      <c r="Z7" s="15">
        <v>46.566942666666698</v>
      </c>
      <c r="AA7" s="15">
        <v>46.478541333333297</v>
      </c>
      <c r="AB7" s="16">
        <v>17399.099999999999</v>
      </c>
      <c r="AC7" s="16">
        <v>17734.5</v>
      </c>
      <c r="AD7" s="16">
        <v>310.27999999999997</v>
      </c>
      <c r="AE7" s="16">
        <v>247.46700000000001</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9.4206479999999999</v>
      </c>
      <c r="J8" s="21">
        <f t="shared" si="1"/>
        <v>0.39558222824380318</v>
      </c>
      <c r="K8" s="21">
        <f t="shared" si="2"/>
        <v>0.12698498546635545</v>
      </c>
      <c r="L8" s="21">
        <f t="shared" si="3"/>
        <v>0.10028366123759566</v>
      </c>
      <c r="M8" s="21">
        <f t="shared" si="4"/>
        <v>0.26859724277744779</v>
      </c>
      <c r="N8" s="18">
        <f t="shared" si="5"/>
        <v>30241016</v>
      </c>
      <c r="O8" s="21">
        <v>16</v>
      </c>
      <c r="P8" s="22">
        <v>245523120</v>
      </c>
      <c r="Q8" s="22">
        <v>818410.4</v>
      </c>
      <c r="R8" s="22">
        <v>24831.553333333301</v>
      </c>
      <c r="S8" s="23">
        <v>94206480</v>
      </c>
      <c r="T8" s="23">
        <v>23882192</v>
      </c>
      <c r="U8" s="23">
        <v>6358824</v>
      </c>
      <c r="V8" s="23">
        <v>63965464</v>
      </c>
      <c r="W8" s="24">
        <v>70.687751000000006</v>
      </c>
      <c r="X8" s="24">
        <v>73.255336999999898</v>
      </c>
      <c r="Y8" s="24">
        <v>39.744751999999998</v>
      </c>
      <c r="Z8" s="24">
        <v>47.9068646666666</v>
      </c>
      <c r="AA8" s="24">
        <v>47.9990526666666</v>
      </c>
      <c r="AB8" s="25">
        <v>17331</v>
      </c>
      <c r="AC8" s="25">
        <v>18955.8</v>
      </c>
      <c r="AD8" s="25">
        <v>322.95499999999998</v>
      </c>
      <c r="AE8" s="25">
        <v>264.73599999999999</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16.6811224</v>
      </c>
      <c r="J9" s="30">
        <f t="shared" si="1"/>
        <v>0.7004566531516323</v>
      </c>
      <c r="K9" s="30">
        <f t="shared" si="2"/>
        <v>0.20669498199533917</v>
      </c>
      <c r="L9" s="30">
        <f t="shared" si="3"/>
        <v>0.15538694432702951</v>
      </c>
      <c r="M9" s="30">
        <f t="shared" si="4"/>
        <v>0.4937616711562931</v>
      </c>
      <c r="N9" s="27">
        <f t="shared" si="5"/>
        <v>49223664</v>
      </c>
      <c r="O9" s="30">
        <v>16</v>
      </c>
      <c r="P9" s="31">
        <v>236240674</v>
      </c>
      <c r="Q9" s="31">
        <v>787468.91333333298</v>
      </c>
      <c r="R9" s="31">
        <v>10954.1033333333</v>
      </c>
      <c r="S9" s="32">
        <v>166811224</v>
      </c>
      <c r="T9" s="32">
        <v>37004840</v>
      </c>
      <c r="U9" s="32">
        <v>12218824</v>
      </c>
      <c r="V9" s="32">
        <v>117587560</v>
      </c>
      <c r="W9" s="33">
        <v>71.790062333333395</v>
      </c>
      <c r="X9" s="33">
        <v>75.225993000000003</v>
      </c>
      <c r="Y9" s="33">
        <v>42.293630999999998</v>
      </c>
      <c r="Z9" s="33">
        <v>49.428381000000002</v>
      </c>
      <c r="AA9" s="33">
        <v>49.587266333333297</v>
      </c>
      <c r="AB9" s="34">
        <v>17439.8</v>
      </c>
      <c r="AC9" s="34">
        <v>21016</v>
      </c>
      <c r="AD9" s="34">
        <v>307.18599999999998</v>
      </c>
      <c r="AE9" s="34">
        <v>268.43</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3.3970176000000003</v>
      </c>
      <c r="J10" s="21">
        <f t="shared" si="1"/>
        <v>0.15573987974999703</v>
      </c>
      <c r="K10" s="21">
        <f t="shared" si="2"/>
        <v>8.2158307167533917E-2</v>
      </c>
      <c r="L10" s="21">
        <f t="shared" si="3"/>
        <v>4.3101350028072923E-2</v>
      </c>
      <c r="M10" s="21">
        <f t="shared" si="4"/>
        <v>7.3581572582463103E-2</v>
      </c>
      <c r="N10" s="18">
        <f t="shared" si="5"/>
        <v>17920472</v>
      </c>
      <c r="O10" s="21">
        <v>16</v>
      </c>
      <c r="P10" s="22">
        <v>199616063</v>
      </c>
      <c r="Q10" s="22">
        <v>665386.87666666706</v>
      </c>
      <c r="R10" s="22">
        <v>19573.676666666699</v>
      </c>
      <c r="S10" s="23">
        <v>33970176</v>
      </c>
      <c r="T10" s="23">
        <v>9401320</v>
      </c>
      <c r="U10" s="23">
        <v>8519152</v>
      </c>
      <c r="V10" s="23">
        <v>16049704</v>
      </c>
      <c r="W10" s="24">
        <v>65.811341000000098</v>
      </c>
      <c r="X10" s="24">
        <v>67.673830666666603</v>
      </c>
      <c r="Y10" s="24">
        <v>32.284476666666698</v>
      </c>
      <c r="Z10" s="24">
        <v>39.165874333333299</v>
      </c>
      <c r="AA10" s="24">
        <v>31.989179333333301</v>
      </c>
      <c r="AB10" s="25">
        <v>15811.2</v>
      </c>
      <c r="AC10" s="25">
        <v>16936.2</v>
      </c>
      <c r="AD10" s="25">
        <v>270.41199999999998</v>
      </c>
      <c r="AE10" s="25">
        <v>248.274</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4.8948608</v>
      </c>
      <c r="J11" s="12">
        <f t="shared" si="1"/>
        <v>0.22441009207163784</v>
      </c>
      <c r="K11" s="12">
        <f t="shared" si="2"/>
        <v>0.10007080374134308</v>
      </c>
      <c r="L11" s="12">
        <f t="shared" si="3"/>
        <v>6.1013846601882082E-2</v>
      </c>
      <c r="M11" s="12">
        <f t="shared" si="4"/>
        <v>0.12433928833029477</v>
      </c>
      <c r="N11" s="54">
        <f t="shared" si="5"/>
        <v>21827568</v>
      </c>
      <c r="O11" s="12">
        <v>16</v>
      </c>
      <c r="P11" s="13">
        <v>213502846</v>
      </c>
      <c r="Q11" s="13">
        <v>711676.15333333297</v>
      </c>
      <c r="R11" s="13">
        <v>24833.8966666667</v>
      </c>
      <c r="S11" s="14">
        <v>48948608</v>
      </c>
      <c r="T11" s="14">
        <v>13308416</v>
      </c>
      <c r="U11" s="14">
        <v>8519152</v>
      </c>
      <c r="V11" s="14">
        <v>27121040</v>
      </c>
      <c r="W11" s="15">
        <v>67.515376000000003</v>
      </c>
      <c r="X11" s="15">
        <v>69.558186000000006</v>
      </c>
      <c r="Y11" s="15">
        <v>34.111236666666699</v>
      </c>
      <c r="Z11" s="15">
        <v>40.018671666666698</v>
      </c>
      <c r="AA11" s="15">
        <v>33.744905666666703</v>
      </c>
      <c r="AB11" s="16">
        <v>15878.1</v>
      </c>
      <c r="AC11" s="16">
        <v>17659.7</v>
      </c>
      <c r="AD11" s="16">
        <v>288.25900000000001</v>
      </c>
      <c r="AE11" s="16">
        <v>253.988</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7.5632344000000007</v>
      </c>
      <c r="J12" s="21">
        <f t="shared" si="1"/>
        <v>0.34674451376908993</v>
      </c>
      <c r="K12" s="21">
        <f t="shared" si="2"/>
        <v>0.12756211978657264</v>
      </c>
      <c r="L12" s="21">
        <f t="shared" si="3"/>
        <v>8.850516264711164E-2</v>
      </c>
      <c r="M12" s="21">
        <f t="shared" si="4"/>
        <v>0.21918239398251729</v>
      </c>
      <c r="N12" s="18">
        <f t="shared" si="5"/>
        <v>27824008</v>
      </c>
      <c r="O12" s="21">
        <v>16</v>
      </c>
      <c r="P12" s="22">
        <v>217298403</v>
      </c>
      <c r="Q12" s="22">
        <v>724328.01</v>
      </c>
      <c r="R12" s="22">
        <v>26559.073333333301</v>
      </c>
      <c r="S12" s="23">
        <v>75632344</v>
      </c>
      <c r="T12" s="23">
        <v>19304856</v>
      </c>
      <c r="U12" s="23">
        <v>8519152</v>
      </c>
      <c r="V12" s="23">
        <v>47808336</v>
      </c>
      <c r="W12" s="24">
        <v>68.866378333333401</v>
      </c>
      <c r="X12" s="24">
        <v>71.214300666666702</v>
      </c>
      <c r="Y12" s="24">
        <v>36.200484666666704</v>
      </c>
      <c r="Z12" s="24">
        <v>40.905065333333297</v>
      </c>
      <c r="AA12" s="24">
        <v>35.496540000000003</v>
      </c>
      <c r="AB12" s="25">
        <v>15855.4</v>
      </c>
      <c r="AC12" s="25">
        <v>18495.5</v>
      </c>
      <c r="AD12" s="25">
        <v>292.28800000000001</v>
      </c>
      <c r="AE12" s="25">
        <v>259.67</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12.771590400000001</v>
      </c>
      <c r="J13" s="12">
        <f t="shared" si="1"/>
        <v>0.58552712623926839</v>
      </c>
      <c r="K13" s="12">
        <f t="shared" si="2"/>
        <v>0.17528141527820568</v>
      </c>
      <c r="L13" s="12">
        <f t="shared" si="3"/>
        <v>0.1362244581387447</v>
      </c>
      <c r="M13" s="12">
        <f t="shared" si="4"/>
        <v>0.41024571096106266</v>
      </c>
      <c r="N13" s="54">
        <f t="shared" si="5"/>
        <v>38232600</v>
      </c>
      <c r="O13" s="12">
        <v>16</v>
      </c>
      <c r="P13" s="13">
        <v>224949831</v>
      </c>
      <c r="Q13" s="13">
        <v>749832.77</v>
      </c>
      <c r="R13" s="13">
        <v>30098.09</v>
      </c>
      <c r="S13" s="14">
        <v>127715904</v>
      </c>
      <c r="T13" s="14">
        <v>29713448</v>
      </c>
      <c r="U13" s="14">
        <v>8519152</v>
      </c>
      <c r="V13" s="14">
        <v>89483304</v>
      </c>
      <c r="W13" s="15">
        <v>69.942534333333299</v>
      </c>
      <c r="X13" s="15">
        <v>72.471533000000093</v>
      </c>
      <c r="Y13" s="15">
        <v>38.521647999999999</v>
      </c>
      <c r="Z13" s="15">
        <v>42.074781666666702</v>
      </c>
      <c r="AA13" s="15">
        <v>37.512986333333302</v>
      </c>
      <c r="AB13" s="16">
        <v>15927.9</v>
      </c>
      <c r="AC13" s="16">
        <v>19884.2</v>
      </c>
      <c r="AD13" s="16">
        <v>303.238</v>
      </c>
      <c r="AE13" s="16">
        <v>283.608</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22.9144848</v>
      </c>
      <c r="J14" s="40">
        <f t="shared" si="1"/>
        <v>1.050538892493561</v>
      </c>
      <c r="K14" s="40">
        <f t="shared" si="2"/>
        <v>0.28888307907214283</v>
      </c>
      <c r="L14" s="40">
        <f t="shared" si="3"/>
        <v>0.21556073846306084</v>
      </c>
      <c r="M14" s="40">
        <f t="shared" si="4"/>
        <v>0.76165581342141819</v>
      </c>
      <c r="N14" s="37">
        <f t="shared" si="5"/>
        <v>63011536</v>
      </c>
      <c r="O14" s="40">
        <v>16</v>
      </c>
      <c r="P14" s="41">
        <v>212746167</v>
      </c>
      <c r="Q14" s="41">
        <v>709153.89</v>
      </c>
      <c r="R14" s="41">
        <v>14215.776666666699</v>
      </c>
      <c r="S14" s="42">
        <v>229144848</v>
      </c>
      <c r="T14" s="42">
        <v>47018376</v>
      </c>
      <c r="U14" s="42">
        <v>15993160</v>
      </c>
      <c r="V14" s="42">
        <v>166133312</v>
      </c>
      <c r="W14" s="43">
        <v>70.817831333333302</v>
      </c>
      <c r="X14" s="43">
        <v>74.590870999999893</v>
      </c>
      <c r="Y14" s="43">
        <v>40.779704666666703</v>
      </c>
      <c r="Z14" s="43">
        <v>43.391489999999997</v>
      </c>
      <c r="AA14" s="43">
        <v>39.251662000000003</v>
      </c>
      <c r="AB14" s="44">
        <v>15859.1</v>
      </c>
      <c r="AC14" s="44">
        <v>22272.400000000001</v>
      </c>
      <c r="AD14" s="44">
        <v>284.81799999999998</v>
      </c>
      <c r="AE14" s="44">
        <v>292.214</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4.3894984000000008</v>
      </c>
      <c r="J15" s="12">
        <f t="shared" si="1"/>
        <v>0.13607062921016227</v>
      </c>
      <c r="K15" s="12">
        <f t="shared" si="2"/>
        <v>7.7443860390534969E-2</v>
      </c>
      <c r="L15" s="12">
        <f t="shared" si="3"/>
        <v>4.1803491657625876E-2</v>
      </c>
      <c r="M15" s="12">
        <f t="shared" si="4"/>
        <v>5.8626768819627299E-2</v>
      </c>
      <c r="N15" s="54">
        <f t="shared" si="5"/>
        <v>24982592</v>
      </c>
      <c r="O15" s="12">
        <v>16</v>
      </c>
      <c r="P15" s="13">
        <v>295680337</v>
      </c>
      <c r="Q15" s="13">
        <v>985601.12333333294</v>
      </c>
      <c r="R15" s="13">
        <v>28254.0333333333</v>
      </c>
      <c r="S15" s="14">
        <v>43894984</v>
      </c>
      <c r="T15" s="14">
        <v>13485376</v>
      </c>
      <c r="U15" s="14">
        <v>11497216</v>
      </c>
      <c r="V15" s="14">
        <v>18912392</v>
      </c>
      <c r="W15" s="15">
        <v>65.9528453333333</v>
      </c>
      <c r="X15" s="15">
        <v>67.740673999999999</v>
      </c>
      <c r="Y15" s="15">
        <v>29.5071813333333</v>
      </c>
      <c r="Z15" s="15">
        <v>43.202091666666597</v>
      </c>
      <c r="AA15" s="15">
        <v>43.416378000000002</v>
      </c>
      <c r="AB15" s="16">
        <v>22515.599999999999</v>
      </c>
      <c r="AC15" s="16">
        <v>16766.5</v>
      </c>
      <c r="AD15" s="16">
        <v>392.53899999999999</v>
      </c>
      <c r="AE15" s="16">
        <v>249.11799999999999</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6.9824184000000002</v>
      </c>
      <c r="J16" s="21">
        <f t="shared" si="1"/>
        <v>0.21644889199563541</v>
      </c>
      <c r="K16" s="21">
        <f t="shared" si="2"/>
        <v>9.4742143413231811E-2</v>
      </c>
      <c r="L16" s="21">
        <f t="shared" si="3"/>
        <v>5.9101774680322718E-2</v>
      </c>
      <c r="M16" s="21">
        <f t="shared" si="4"/>
        <v>0.12170674858240361</v>
      </c>
      <c r="N16" s="18">
        <f t="shared" si="5"/>
        <v>30562840</v>
      </c>
      <c r="O16" s="21">
        <v>16</v>
      </c>
      <c r="P16" s="22">
        <v>315641750</v>
      </c>
      <c r="Q16" s="22">
        <v>1052139.16666667</v>
      </c>
      <c r="R16" s="22">
        <v>35006.066666666702</v>
      </c>
      <c r="S16" s="23">
        <v>69824184</v>
      </c>
      <c r="T16" s="23">
        <v>19065624</v>
      </c>
      <c r="U16" s="23">
        <v>11497216</v>
      </c>
      <c r="V16" s="23">
        <v>39261344</v>
      </c>
      <c r="W16" s="24">
        <v>67.752557999999993</v>
      </c>
      <c r="X16" s="24">
        <v>69.809453666666698</v>
      </c>
      <c r="Y16" s="24">
        <v>31.9188236666667</v>
      </c>
      <c r="Z16" s="24">
        <v>44.069803666666701</v>
      </c>
      <c r="AA16" s="24">
        <v>44.379560666666599</v>
      </c>
      <c r="AB16" s="25">
        <v>22893.9</v>
      </c>
      <c r="AC16" s="25">
        <v>17862.099999999999</v>
      </c>
      <c r="AD16" s="25">
        <v>424.75599999999997</v>
      </c>
      <c r="AE16" s="25">
        <v>253.49100000000001</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11.592432800000001</v>
      </c>
      <c r="J17" s="12">
        <f t="shared" si="1"/>
        <v>0.35935532524001446</v>
      </c>
      <c r="K17" s="12">
        <f t="shared" si="2"/>
        <v>0.12069379622853679</v>
      </c>
      <c r="L17" s="12">
        <f t="shared" si="3"/>
        <v>8.5053427495627693E-2</v>
      </c>
      <c r="M17" s="12">
        <f t="shared" si="4"/>
        <v>0.23866152901147769</v>
      </c>
      <c r="N17" s="54">
        <f t="shared" si="5"/>
        <v>38934576</v>
      </c>
      <c r="O17" s="12">
        <v>16</v>
      </c>
      <c r="P17" s="13">
        <v>319970355</v>
      </c>
      <c r="Q17" s="13">
        <v>1066567.8500000001</v>
      </c>
      <c r="R17" s="13">
        <v>36800.446666666699</v>
      </c>
      <c r="S17" s="14">
        <v>115924328</v>
      </c>
      <c r="T17" s="14">
        <v>27437360</v>
      </c>
      <c r="U17" s="14">
        <v>11497216</v>
      </c>
      <c r="V17" s="14">
        <v>76989752</v>
      </c>
      <c r="W17" s="15">
        <v>69.144206333333301</v>
      </c>
      <c r="X17" s="15">
        <v>71.605048999999994</v>
      </c>
      <c r="Y17" s="15">
        <v>34.470416999999998</v>
      </c>
      <c r="Z17" s="15">
        <v>44.9266303333333</v>
      </c>
      <c r="AA17" s="15">
        <v>45.338232333333401</v>
      </c>
      <c r="AB17" s="16">
        <v>22634.3</v>
      </c>
      <c r="AC17" s="16">
        <v>19262.900000000001</v>
      </c>
      <c r="AD17" s="16">
        <v>424.47899999999998</v>
      </c>
      <c r="AE17" s="16">
        <v>254.625</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19.967745600000001</v>
      </c>
      <c r="J18" s="21">
        <f t="shared" si="1"/>
        <v>0.61898273107935275</v>
      </c>
      <c r="K18" s="21">
        <f t="shared" si="2"/>
        <v>0.16391595684653346</v>
      </c>
      <c r="L18" s="21">
        <f t="shared" si="3"/>
        <v>0.12827558811362436</v>
      </c>
      <c r="M18" s="21">
        <f t="shared" si="4"/>
        <v>0.45506677423281927</v>
      </c>
      <c r="N18" s="18">
        <f t="shared" si="5"/>
        <v>52877600</v>
      </c>
      <c r="O18" s="21">
        <v>16</v>
      </c>
      <c r="P18" s="22">
        <v>330498557</v>
      </c>
      <c r="Q18" s="22">
        <v>1101661.8566666699</v>
      </c>
      <c r="R18" s="22">
        <v>41195.15</v>
      </c>
      <c r="S18" s="23">
        <v>199677456</v>
      </c>
      <c r="T18" s="23">
        <v>41380384</v>
      </c>
      <c r="U18" s="23">
        <v>11497216</v>
      </c>
      <c r="V18" s="23">
        <v>146799856</v>
      </c>
      <c r="W18" s="24">
        <v>70.367131999999998</v>
      </c>
      <c r="X18" s="24">
        <v>72.960673333333304</v>
      </c>
      <c r="Y18" s="24">
        <v>37.152926666666701</v>
      </c>
      <c r="Z18" s="24">
        <v>46.291108999999999</v>
      </c>
      <c r="AA18" s="24">
        <v>46.802652666666702</v>
      </c>
      <c r="AB18" s="25">
        <v>22733.8</v>
      </c>
      <c r="AC18" s="25">
        <v>21583.9</v>
      </c>
      <c r="AD18" s="25">
        <v>442.52</v>
      </c>
      <c r="AE18" s="25">
        <v>277.45999999999998</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35.3003912</v>
      </c>
      <c r="J19" s="30">
        <f t="shared" si="1"/>
        <v>1.0942813971520926</v>
      </c>
      <c r="K19" s="30">
        <f t="shared" si="2"/>
        <v>0.26354844852704906</v>
      </c>
      <c r="L19" s="30">
        <f t="shared" si="3"/>
        <v>0.19726645708444557</v>
      </c>
      <c r="M19" s="30">
        <f t="shared" si="4"/>
        <v>0.83073294862504354</v>
      </c>
      <c r="N19" s="27">
        <f t="shared" si="5"/>
        <v>85018016</v>
      </c>
      <c r="O19" s="30">
        <v>16</v>
      </c>
      <c r="P19" s="31">
        <v>314302643</v>
      </c>
      <c r="Q19" s="31">
        <v>1047675.4766666699</v>
      </c>
      <c r="R19" s="31">
        <v>18188.73</v>
      </c>
      <c r="S19" s="32">
        <v>353003912</v>
      </c>
      <c r="T19" s="32">
        <v>63636128</v>
      </c>
      <c r="U19" s="32">
        <v>21381888</v>
      </c>
      <c r="V19" s="32">
        <v>267985896</v>
      </c>
      <c r="W19" s="33">
        <v>71.149853333333397</v>
      </c>
      <c r="X19" s="33">
        <v>75.005090666666604</v>
      </c>
      <c r="Y19" s="33">
        <v>39.680425999999997</v>
      </c>
      <c r="Z19" s="33">
        <v>48.067457666666698</v>
      </c>
      <c r="AA19" s="33">
        <v>48.648671666666701</v>
      </c>
      <c r="AB19" s="34">
        <v>23031.1</v>
      </c>
      <c r="AC19" s="34">
        <v>25003.1</v>
      </c>
      <c r="AD19" s="34">
        <v>413.62099999999998</v>
      </c>
      <c r="AE19" s="34">
        <v>302.88900000000001</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4.8570479999999998</v>
      </c>
      <c r="J20" s="21">
        <f t="shared" si="1"/>
        <v>9.6907261935777103E-2</v>
      </c>
      <c r="K20" s="21">
        <f t="shared" si="2"/>
        <v>5.8459724632626046E-2</v>
      </c>
      <c r="L20" s="21">
        <f t="shared" si="3"/>
        <v>2.9222743483833153E-2</v>
      </c>
      <c r="M20" s="21">
        <f t="shared" si="4"/>
        <v>3.8447537303151064E-2</v>
      </c>
      <c r="N20" s="18">
        <f t="shared" si="5"/>
        <v>14650176</v>
      </c>
      <c r="O20" s="21">
        <v>16</v>
      </c>
      <c r="P20" s="22">
        <v>234675165</v>
      </c>
      <c r="Q20" s="22">
        <v>938700.66</v>
      </c>
      <c r="R20" s="22">
        <v>27933.984</v>
      </c>
      <c r="S20" s="23">
        <v>24285240</v>
      </c>
      <c r="T20" s="23">
        <v>7323304</v>
      </c>
      <c r="U20" s="23">
        <v>7326872</v>
      </c>
      <c r="V20" s="23">
        <v>9635064</v>
      </c>
      <c r="W20" s="24">
        <v>67.292702000000006</v>
      </c>
      <c r="X20" s="24">
        <v>69.088280800000007</v>
      </c>
      <c r="Y20" s="24">
        <v>31.128256799999999</v>
      </c>
      <c r="Z20" s="24">
        <v>40.3106844</v>
      </c>
      <c r="AA20" s="24">
        <v>39.123410399999997</v>
      </c>
      <c r="AB20" s="25">
        <v>19078.400000000001</v>
      </c>
      <c r="AC20" s="25">
        <v>15339</v>
      </c>
      <c r="AD20" s="25">
        <v>311.19400000000002</v>
      </c>
      <c r="AE20" s="25">
        <v>225.93299999999999</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7.1339264</v>
      </c>
      <c r="J21" s="12">
        <f t="shared" si="1"/>
        <v>0.14233527736916651</v>
      </c>
      <c r="K21" s="12">
        <f t="shared" si="2"/>
        <v>6.9423237419874773E-2</v>
      </c>
      <c r="L21" s="12">
        <f t="shared" si="3"/>
        <v>4.0186256271081883E-2</v>
      </c>
      <c r="M21" s="12">
        <f t="shared" si="4"/>
        <v>7.2912039949291726E-2</v>
      </c>
      <c r="N21" s="54">
        <f t="shared" si="5"/>
        <v>17397664</v>
      </c>
      <c r="O21" s="12">
        <v>16</v>
      </c>
      <c r="P21" s="13">
        <v>244372466</v>
      </c>
      <c r="Q21" s="13">
        <v>977489.86399999994</v>
      </c>
      <c r="R21" s="13">
        <v>33347.252</v>
      </c>
      <c r="S21" s="14">
        <v>35669632</v>
      </c>
      <c r="T21" s="14">
        <v>10070792</v>
      </c>
      <c r="U21" s="14">
        <v>7326872</v>
      </c>
      <c r="V21" s="14">
        <v>18271968</v>
      </c>
      <c r="W21" s="15">
        <v>68.879831999999894</v>
      </c>
      <c r="X21" s="15">
        <v>71.013356799999997</v>
      </c>
      <c r="Y21" s="15">
        <v>32.8921244</v>
      </c>
      <c r="Z21" s="15">
        <v>41.514909600000003</v>
      </c>
      <c r="AA21" s="15">
        <v>40.464046000000003</v>
      </c>
      <c r="AB21" s="16">
        <v>19126</v>
      </c>
      <c r="AC21" s="16">
        <v>16231.3</v>
      </c>
      <c r="AD21" s="16">
        <v>322.95299999999997</v>
      </c>
      <c r="AE21" s="16">
        <v>223.38</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11.5214496</v>
      </c>
      <c r="J22" s="21">
        <f t="shared" si="1"/>
        <v>0.2298746346066694</v>
      </c>
      <c r="K22" s="21">
        <f t="shared" si="2"/>
        <v>8.6358173737109842E-2</v>
      </c>
      <c r="L22" s="21">
        <f t="shared" si="3"/>
        <v>5.7121192588316945E-2</v>
      </c>
      <c r="M22" s="21">
        <f t="shared" si="4"/>
        <v>0.14351646086955955</v>
      </c>
      <c r="N22" s="18">
        <f t="shared" si="5"/>
        <v>21641608</v>
      </c>
      <c r="O22" s="21">
        <v>16</v>
      </c>
      <c r="P22" s="22">
        <v>255382334</v>
      </c>
      <c r="Q22" s="22">
        <v>1021529.336</v>
      </c>
      <c r="R22" s="22">
        <v>35812</v>
      </c>
      <c r="S22" s="23">
        <v>57607248</v>
      </c>
      <c r="T22" s="23">
        <v>14314736</v>
      </c>
      <c r="U22" s="23">
        <v>7326872</v>
      </c>
      <c r="V22" s="23">
        <v>35965640</v>
      </c>
      <c r="W22" s="24">
        <v>70.043271599999997</v>
      </c>
      <c r="X22" s="24">
        <v>72.458006400000002</v>
      </c>
      <c r="Y22" s="24">
        <v>34.798227199999999</v>
      </c>
      <c r="Z22" s="24">
        <v>42.621036400000001</v>
      </c>
      <c r="AA22" s="24">
        <v>41.635829600000001</v>
      </c>
      <c r="AB22" s="25">
        <v>19217.5</v>
      </c>
      <c r="AC22" s="25">
        <v>17143.5</v>
      </c>
      <c r="AD22" s="25">
        <v>339.82400000000001</v>
      </c>
      <c r="AE22" s="25">
        <v>237.71299999999999</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20.260344</v>
      </c>
      <c r="J23" s="12">
        <f t="shared" si="1"/>
        <v>0.40423204854408484</v>
      </c>
      <c r="K23" s="12">
        <f t="shared" si="2"/>
        <v>0.11581168870075007</v>
      </c>
      <c r="L23" s="12">
        <f t="shared" si="3"/>
        <v>8.6574707551957175E-2</v>
      </c>
      <c r="M23" s="12">
        <f t="shared" si="4"/>
        <v>0.28842035984333475</v>
      </c>
      <c r="N23" s="54">
        <f t="shared" si="5"/>
        <v>29022744</v>
      </c>
      <c r="O23" s="12">
        <v>16</v>
      </c>
      <c r="P23" s="13">
        <v>255641962</v>
      </c>
      <c r="Q23" s="13">
        <v>1022567.848</v>
      </c>
      <c r="R23" s="13">
        <v>37896.531999999999</v>
      </c>
      <c r="S23" s="14">
        <v>101301720</v>
      </c>
      <c r="T23" s="14">
        <v>21695872</v>
      </c>
      <c r="U23" s="14">
        <v>7326872</v>
      </c>
      <c r="V23" s="14">
        <v>72278976</v>
      </c>
      <c r="W23" s="15">
        <v>71.078891200000001</v>
      </c>
      <c r="X23" s="15">
        <v>73.827556000000101</v>
      </c>
      <c r="Y23" s="15">
        <v>36.304123599999997</v>
      </c>
      <c r="Z23" s="15">
        <v>43.960566399999998</v>
      </c>
      <c r="AA23" s="15">
        <v>42.902107600000001</v>
      </c>
      <c r="AB23" s="16">
        <v>18591.2</v>
      </c>
      <c r="AC23" s="16">
        <v>18414.5</v>
      </c>
      <c r="AD23" s="16">
        <v>335.43099999999998</v>
      </c>
      <c r="AE23" s="16">
        <v>236.11699999999999</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35.419387200000003</v>
      </c>
      <c r="J24" s="40">
        <f t="shared" si="1"/>
        <v>0.70668353143619556</v>
      </c>
      <c r="K24" s="40">
        <f t="shared" si="2"/>
        <v>0.19191516828910007</v>
      </c>
      <c r="L24" s="40">
        <f t="shared" si="3"/>
        <v>0.13633199466960658</v>
      </c>
      <c r="M24" s="40">
        <f t="shared" si="4"/>
        <v>0.51476836314709551</v>
      </c>
      <c r="N24" s="37">
        <f t="shared" si="5"/>
        <v>48094496</v>
      </c>
      <c r="O24" s="40">
        <v>16</v>
      </c>
      <c r="P24" s="41">
        <v>245253778</v>
      </c>
      <c r="Q24" s="41">
        <v>981015.11199999996</v>
      </c>
      <c r="R24" s="41">
        <v>18980.276000000002</v>
      </c>
      <c r="S24" s="42">
        <v>177096936</v>
      </c>
      <c r="T24" s="42">
        <v>34165192</v>
      </c>
      <c r="U24" s="42">
        <v>13929304</v>
      </c>
      <c r="V24" s="42">
        <v>129002440</v>
      </c>
      <c r="W24" s="43">
        <v>71.913038799999995</v>
      </c>
      <c r="X24" s="43">
        <v>75.788485600000001</v>
      </c>
      <c r="Y24" s="43">
        <v>37.478253600000002</v>
      </c>
      <c r="Z24" s="43">
        <v>45.079465599999999</v>
      </c>
      <c r="AA24" s="43">
        <v>43.778854000000003</v>
      </c>
      <c r="AB24" s="44">
        <v>18535.2</v>
      </c>
      <c r="AC24" s="44">
        <v>20337.099999999999</v>
      </c>
      <c r="AD24" s="44">
        <v>321.78500000000003</v>
      </c>
      <c r="AE24" s="44">
        <v>245.815</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4.6503472000000006</v>
      </c>
      <c r="J25" s="12">
        <f t="shared" si="1"/>
        <v>0.18579496059567122</v>
      </c>
      <c r="K25" s="12">
        <f t="shared" si="2"/>
        <v>6.4368600675503235E-2</v>
      </c>
      <c r="L25" s="12">
        <f t="shared" si="3"/>
        <v>3.6534134806002316E-2</v>
      </c>
      <c r="M25" s="12">
        <f t="shared" si="4"/>
        <v>0.12142635992016799</v>
      </c>
      <c r="N25" s="54">
        <f t="shared" si="5"/>
        <v>16111112</v>
      </c>
      <c r="O25" s="12">
        <v>16</v>
      </c>
      <c r="P25" s="13">
        <v>229813520</v>
      </c>
      <c r="Q25" s="13">
        <v>766045.066666667</v>
      </c>
      <c r="R25" s="13">
        <v>15663.35</v>
      </c>
      <c r="S25" s="14">
        <v>46503472</v>
      </c>
      <c r="T25" s="14">
        <v>9144296</v>
      </c>
      <c r="U25" s="14">
        <v>6966816</v>
      </c>
      <c r="V25" s="14">
        <v>30392360</v>
      </c>
      <c r="W25" s="15">
        <v>66.287796</v>
      </c>
      <c r="X25" s="15">
        <v>68.082541000000006</v>
      </c>
      <c r="Y25" s="15">
        <v>27.281255333333402</v>
      </c>
      <c r="Z25" s="15">
        <v>33.102601999999997</v>
      </c>
      <c r="AA25" s="15">
        <v>32.535389000000002</v>
      </c>
      <c r="AB25" s="16">
        <v>8911.4599999999991</v>
      </c>
      <c r="AC25" s="16">
        <v>16406.5</v>
      </c>
      <c r="AD25" s="16">
        <v>301.76100000000002</v>
      </c>
      <c r="AE25" s="16">
        <v>237.85</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7.9860407999999996</v>
      </c>
      <c r="J26" s="21">
        <f t="shared" si="1"/>
        <v>0.3190656679895692</v>
      </c>
      <c r="K26" s="21">
        <f t="shared" si="2"/>
        <v>7.9419377923250448E-2</v>
      </c>
      <c r="L26" s="21">
        <f t="shared" si="3"/>
        <v>5.1584912053749529E-2</v>
      </c>
      <c r="M26" s="21">
        <f t="shared" si="4"/>
        <v>0.23964629006631874</v>
      </c>
      <c r="N26" s="18">
        <f t="shared" si="5"/>
        <v>19878240</v>
      </c>
      <c r="O26" s="21">
        <v>16</v>
      </c>
      <c r="P26" s="22">
        <v>243596625</v>
      </c>
      <c r="Q26" s="22">
        <v>811988.75</v>
      </c>
      <c r="R26" s="22">
        <v>19477.93</v>
      </c>
      <c r="S26" s="23">
        <v>79860408</v>
      </c>
      <c r="T26" s="23">
        <v>12911424</v>
      </c>
      <c r="U26" s="23">
        <v>6966816</v>
      </c>
      <c r="V26" s="23">
        <v>59982168</v>
      </c>
      <c r="W26" s="24">
        <v>68.006917999999999</v>
      </c>
      <c r="X26" s="24">
        <v>70.038729000000004</v>
      </c>
      <c r="Y26" s="24">
        <v>29.675616333333299</v>
      </c>
      <c r="Z26" s="24">
        <v>34.267220999999999</v>
      </c>
      <c r="AA26" s="24">
        <v>33.850929666666701</v>
      </c>
      <c r="AB26" s="25">
        <v>8866.39</v>
      </c>
      <c r="AC26" s="25">
        <v>17340.400000000001</v>
      </c>
      <c r="AD26" s="25">
        <v>320.21699999999998</v>
      </c>
      <c r="AE26" s="25">
        <v>245.44200000000001</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14.0592904</v>
      </c>
      <c r="J27" s="12">
        <f t="shared" si="1"/>
        <v>0.56170973768820931</v>
      </c>
      <c r="K27" s="12">
        <f t="shared" si="2"/>
        <v>0.10211350080282601</v>
      </c>
      <c r="L27" s="12">
        <f t="shared" si="3"/>
        <v>7.4279034933325092E-2</v>
      </c>
      <c r="M27" s="12">
        <f t="shared" si="4"/>
        <v>0.45959623688538331</v>
      </c>
      <c r="N27" s="54">
        <f t="shared" si="5"/>
        <v>25558456</v>
      </c>
      <c r="O27" s="12">
        <v>16</v>
      </c>
      <c r="P27" s="13">
        <v>246292624</v>
      </c>
      <c r="Q27" s="13">
        <v>820975.41333333298</v>
      </c>
      <c r="R27" s="13">
        <v>20455.1733333333</v>
      </c>
      <c r="S27" s="14">
        <v>140592904</v>
      </c>
      <c r="T27" s="14">
        <v>18591640</v>
      </c>
      <c r="U27" s="14">
        <v>6966816</v>
      </c>
      <c r="V27" s="14">
        <v>115034448</v>
      </c>
      <c r="W27" s="15">
        <v>69.315214666666606</v>
      </c>
      <c r="X27" s="15">
        <v>71.735003333333296</v>
      </c>
      <c r="Y27" s="15">
        <v>32.185760333333299</v>
      </c>
      <c r="Z27" s="15">
        <v>35.538513333333299</v>
      </c>
      <c r="AA27" s="15">
        <v>35.188739333333302</v>
      </c>
      <c r="AB27" s="16">
        <v>8789.85</v>
      </c>
      <c r="AC27" s="16">
        <v>18608.8</v>
      </c>
      <c r="AD27" s="16">
        <v>324.81900000000002</v>
      </c>
      <c r="AE27" s="16">
        <v>268.72000000000003</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25.987087199999998</v>
      </c>
      <c r="J28" s="21">
        <f t="shared" si="1"/>
        <v>1.0382600770798946</v>
      </c>
      <c r="K28" s="21">
        <f t="shared" si="2"/>
        <v>0.13987108997828807</v>
      </c>
      <c r="L28" s="21">
        <f t="shared" si="3"/>
        <v>0.11203662410878715</v>
      </c>
      <c r="M28" s="21">
        <f t="shared" si="4"/>
        <v>0.89838898710160653</v>
      </c>
      <c r="N28" s="18">
        <f t="shared" si="5"/>
        <v>35008976</v>
      </c>
      <c r="O28" s="21">
        <v>16</v>
      </c>
      <c r="P28" s="22">
        <v>253012628</v>
      </c>
      <c r="Q28" s="22">
        <v>843375.42666666699</v>
      </c>
      <c r="R28" s="22">
        <v>22919.02</v>
      </c>
      <c r="S28" s="23">
        <v>259870872</v>
      </c>
      <c r="T28" s="23">
        <v>28042160</v>
      </c>
      <c r="U28" s="23">
        <v>6966816</v>
      </c>
      <c r="V28" s="23">
        <v>224861896</v>
      </c>
      <c r="W28" s="24">
        <v>70.454707999999997</v>
      </c>
      <c r="X28" s="24">
        <v>73.019469666666694</v>
      </c>
      <c r="Y28" s="24">
        <v>34.866251666666599</v>
      </c>
      <c r="Z28" s="24">
        <v>37.362479666666701</v>
      </c>
      <c r="AA28" s="24">
        <v>36.933483333333299</v>
      </c>
      <c r="AB28" s="25">
        <v>8843.34</v>
      </c>
      <c r="AC28" s="25">
        <v>21060.400000000001</v>
      </c>
      <c r="AD28" s="25">
        <v>330.096</v>
      </c>
      <c r="AE28" s="25">
        <v>275.46499999999997</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46.7890984</v>
      </c>
      <c r="J29" s="30">
        <f t="shared" si="1"/>
        <v>1.8693612153378534</v>
      </c>
      <c r="K29" s="30">
        <f t="shared" si="2"/>
        <v>0.22618020553077733</v>
      </c>
      <c r="L29" s="30">
        <f t="shared" si="3"/>
        <v>0.17326914411595215</v>
      </c>
      <c r="M29" s="30">
        <f t="shared" si="4"/>
        <v>1.643181009807076</v>
      </c>
      <c r="N29" s="27">
        <f t="shared" si="5"/>
        <v>56611680</v>
      </c>
      <c r="O29" s="30">
        <v>16</v>
      </c>
      <c r="P29" s="31">
        <v>243449471</v>
      </c>
      <c r="Q29" s="31">
        <v>811498.23666666704</v>
      </c>
      <c r="R29" s="31">
        <v>10618.3666666667</v>
      </c>
      <c r="S29" s="32">
        <v>467890984</v>
      </c>
      <c r="T29" s="32">
        <v>43368328</v>
      </c>
      <c r="U29" s="32">
        <v>13243352</v>
      </c>
      <c r="V29" s="32">
        <v>411279304</v>
      </c>
      <c r="W29" s="33">
        <v>71.195141333333297</v>
      </c>
      <c r="X29" s="33">
        <v>74.9500593333333</v>
      </c>
      <c r="Y29" s="33">
        <v>37.287153333333301</v>
      </c>
      <c r="Z29" s="33">
        <v>39.410108333333298</v>
      </c>
      <c r="AA29" s="33">
        <v>38.764994333333298</v>
      </c>
      <c r="AB29" s="34">
        <v>8820.58</v>
      </c>
      <c r="AC29" s="34">
        <v>24385.4</v>
      </c>
      <c r="AD29" s="34">
        <v>317.67099999999999</v>
      </c>
      <c r="AE29" s="34">
        <v>295.35199999999998</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128</v>
      </c>
      <c r="G30" s="19">
        <v>30</v>
      </c>
      <c r="I30" s="20">
        <f t="shared" si="0"/>
        <v>2.9331468749999998</v>
      </c>
      <c r="J30" s="21">
        <f t="shared" si="1"/>
        <v>3.3335132284106152E-2</v>
      </c>
      <c r="K30" s="21">
        <f t="shared" si="2"/>
        <v>2.0352917596138255E-2</v>
      </c>
      <c r="L30" s="21">
        <f t="shared" si="3"/>
        <v>1.2606659186224299E-2</v>
      </c>
      <c r="M30" s="21">
        <f t="shared" si="4"/>
        <v>1.2982214687967895E-2</v>
      </c>
      <c r="N30" s="18">
        <f t="shared" si="5"/>
        <v>7640944</v>
      </c>
      <c r="O30" s="21">
        <v>16</v>
      </c>
      <c r="P30" s="22">
        <v>169249572</v>
      </c>
      <c r="Q30" s="22">
        <v>2644524.5625</v>
      </c>
      <c r="R30" s="22">
        <v>31572.421875</v>
      </c>
      <c r="S30" s="23">
        <v>12514760</v>
      </c>
      <c r="T30" s="23">
        <v>4732824</v>
      </c>
      <c r="U30" s="23">
        <v>2908120</v>
      </c>
      <c r="V30" s="23">
        <v>4873816</v>
      </c>
      <c r="W30" s="24">
        <v>73.420406249999999</v>
      </c>
      <c r="X30" s="24">
        <v>75.652500000000003</v>
      </c>
      <c r="Y30" s="24">
        <v>34.760590624999999</v>
      </c>
      <c r="Z30" s="24">
        <v>42.257957812500003</v>
      </c>
      <c r="AA30" s="24">
        <v>43.863029687500003</v>
      </c>
      <c r="AB30" s="25">
        <v>5235.87</v>
      </c>
      <c r="AC30" s="25">
        <v>10706.5</v>
      </c>
      <c r="AD30" s="25">
        <v>232.53</v>
      </c>
      <c r="AE30" s="25">
        <v>157.97900000000001</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128</v>
      </c>
      <c r="G31" s="10">
        <v>30</v>
      </c>
      <c r="I31" s="11">
        <f t="shared" si="0"/>
        <v>4.1720306249999997</v>
      </c>
      <c r="J31" s="12">
        <f t="shared" si="1"/>
        <v>4.741501148922761E-2</v>
      </c>
      <c r="K31" s="12">
        <f t="shared" si="2"/>
        <v>2.4988824658713417E-2</v>
      </c>
      <c r="L31" s="12">
        <f t="shared" si="3"/>
        <v>1.7242566248799461E-2</v>
      </c>
      <c r="M31" s="12">
        <f t="shared" si="4"/>
        <v>2.2426186830514189E-2</v>
      </c>
      <c r="N31" s="54">
        <f t="shared" si="5"/>
        <v>9381368</v>
      </c>
      <c r="O31" s="12">
        <v>16</v>
      </c>
      <c r="P31" s="13">
        <v>180376418</v>
      </c>
      <c r="Q31" s="13">
        <v>2818381.53125</v>
      </c>
      <c r="R31" s="13">
        <v>39636.09375</v>
      </c>
      <c r="S31" s="14">
        <v>17800664</v>
      </c>
      <c r="T31" s="14">
        <v>6473248</v>
      </c>
      <c r="U31" s="14">
        <v>2908120</v>
      </c>
      <c r="V31" s="14">
        <v>8419296</v>
      </c>
      <c r="W31" s="15">
        <v>75.126996875000003</v>
      </c>
      <c r="X31" s="15">
        <v>77.554306249999996</v>
      </c>
      <c r="Y31" s="15">
        <v>36.698001562499996</v>
      </c>
      <c r="Z31" s="15">
        <v>42.786576562500002</v>
      </c>
      <c r="AA31" s="15">
        <v>45.098356250000002</v>
      </c>
      <c r="AB31" s="16">
        <v>5044.8500000000004</v>
      </c>
      <c r="AC31" s="16">
        <v>10527.5</v>
      </c>
      <c r="AD31" s="16">
        <v>230.92099999999999</v>
      </c>
      <c r="AE31" s="16">
        <v>154.405</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128</v>
      </c>
      <c r="G32" s="19">
        <v>30</v>
      </c>
      <c r="I32" s="20">
        <f t="shared" si="0"/>
        <v>6.4160418750000003</v>
      </c>
      <c r="J32" s="21">
        <f t="shared" si="1"/>
        <v>7.2918136649222337E-2</v>
      </c>
      <c r="K32" s="21">
        <f t="shared" si="2"/>
        <v>3.169510288778906E-2</v>
      </c>
      <c r="L32" s="21">
        <f t="shared" si="3"/>
        <v>2.3948844477875101E-2</v>
      </c>
      <c r="M32" s="21">
        <f t="shared" si="4"/>
        <v>4.1223033761433277E-2</v>
      </c>
      <c r="N32" s="18">
        <f t="shared" si="5"/>
        <v>11899056</v>
      </c>
      <c r="O32" s="21">
        <v>16</v>
      </c>
      <c r="P32" s="22">
        <v>184125577</v>
      </c>
      <c r="Q32" s="22">
        <v>2876962.140625</v>
      </c>
      <c r="R32" s="22">
        <v>42824.203125</v>
      </c>
      <c r="S32" s="23">
        <v>27375112</v>
      </c>
      <c r="T32" s="23">
        <v>8990936</v>
      </c>
      <c r="U32" s="23">
        <v>2908120</v>
      </c>
      <c r="V32" s="23">
        <v>15476056</v>
      </c>
      <c r="W32" s="24">
        <v>76.418717187499993</v>
      </c>
      <c r="X32" s="24">
        <v>79.128390624999994</v>
      </c>
      <c r="Y32" s="24">
        <v>38.4425375</v>
      </c>
      <c r="Z32" s="24">
        <v>43.304998437499997</v>
      </c>
      <c r="AA32" s="24">
        <v>46.267151562499997</v>
      </c>
      <c r="AB32" s="25">
        <v>5032.3599999999997</v>
      </c>
      <c r="AC32" s="25">
        <v>10947.2</v>
      </c>
      <c r="AD32" s="25">
        <v>241.196</v>
      </c>
      <c r="AE32" s="25">
        <v>161.834</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128</v>
      </c>
      <c r="G33" s="10">
        <v>30</v>
      </c>
      <c r="I33" s="11">
        <f t="shared" si="0"/>
        <v>10.682688750000001</v>
      </c>
      <c r="J33" s="12">
        <f t="shared" si="1"/>
        <v>0.12140845917618175</v>
      </c>
      <c r="K33" s="12">
        <f t="shared" si="2"/>
        <v>4.2834103788318367E-2</v>
      </c>
      <c r="L33" s="12">
        <f t="shared" si="3"/>
        <v>3.5087845378404411E-2</v>
      </c>
      <c r="M33" s="12">
        <f t="shared" si="4"/>
        <v>7.8574355387863379E-2</v>
      </c>
      <c r="N33" s="54">
        <f t="shared" si="5"/>
        <v>16080888</v>
      </c>
      <c r="O33" s="12">
        <v>16</v>
      </c>
      <c r="P33" s="13">
        <v>188671882</v>
      </c>
      <c r="Q33" s="13">
        <v>2947998.15625</v>
      </c>
      <c r="R33" s="13">
        <v>47562.4375</v>
      </c>
      <c r="S33" s="14">
        <v>45579472</v>
      </c>
      <c r="T33" s="14">
        <v>13172768</v>
      </c>
      <c r="U33" s="14">
        <v>2908120</v>
      </c>
      <c r="V33" s="14">
        <v>29498584</v>
      </c>
      <c r="W33" s="15">
        <v>77.572209375</v>
      </c>
      <c r="X33" s="15">
        <v>80.316196875000003</v>
      </c>
      <c r="Y33" s="15">
        <v>40.047579687499997</v>
      </c>
      <c r="Z33" s="15">
        <v>44.018974999999998</v>
      </c>
      <c r="AA33" s="15">
        <v>47.877131249999998</v>
      </c>
      <c r="AB33" s="16">
        <v>5149.3500000000004</v>
      </c>
      <c r="AC33" s="16">
        <v>11797.2</v>
      </c>
      <c r="AD33" s="16">
        <v>246.26300000000001</v>
      </c>
      <c r="AE33" s="16">
        <v>167.16300000000001</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128</v>
      </c>
      <c r="G34" s="38">
        <v>30</v>
      </c>
      <c r="I34" s="39">
        <f t="shared" si="0"/>
        <v>19.996537499999999</v>
      </c>
      <c r="J34" s="40">
        <f t="shared" si="1"/>
        <v>0.22726008999688749</v>
      </c>
      <c r="K34" s="40">
        <f t="shared" si="2"/>
        <v>6.8702513356556888E-2</v>
      </c>
      <c r="L34" s="40">
        <f t="shared" si="3"/>
        <v>5.3339514599574964E-2</v>
      </c>
      <c r="M34" s="40">
        <f t="shared" si="4"/>
        <v>0.1585575766403306</v>
      </c>
      <c r="N34" s="37">
        <f t="shared" si="5"/>
        <v>25792472</v>
      </c>
      <c r="O34" s="40">
        <v>16</v>
      </c>
      <c r="P34" s="41">
        <v>184986519</v>
      </c>
      <c r="Q34" s="41">
        <v>2890414.359375</v>
      </c>
      <c r="R34" s="41">
        <v>18988.453125</v>
      </c>
      <c r="S34" s="42">
        <v>85318560</v>
      </c>
      <c r="T34" s="42">
        <v>20024856</v>
      </c>
      <c r="U34" s="42">
        <v>5767616</v>
      </c>
      <c r="V34" s="42">
        <v>59526088</v>
      </c>
      <c r="W34" s="43">
        <v>78.495448437500002</v>
      </c>
      <c r="X34" s="43">
        <v>81.985429687500002</v>
      </c>
      <c r="Y34" s="43">
        <v>41.544267187499997</v>
      </c>
      <c r="Z34" s="43">
        <v>44.8030015625</v>
      </c>
      <c r="AA34" s="43">
        <v>49.259210937500001</v>
      </c>
      <c r="AB34" s="44">
        <v>5217.45</v>
      </c>
      <c r="AC34" s="44">
        <v>13207.5</v>
      </c>
      <c r="AD34" s="44">
        <v>242.80799999999999</v>
      </c>
      <c r="AE34" s="44">
        <v>174.09700000000001</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128</v>
      </c>
      <c r="G35" s="10">
        <v>30</v>
      </c>
      <c r="I35" s="11">
        <f t="shared" si="0"/>
        <v>3.0169631250000002</v>
      </c>
      <c r="J35" s="12">
        <f t="shared" si="1"/>
        <v>3.8633660618289364E-2</v>
      </c>
      <c r="K35" s="12">
        <f t="shared" si="2"/>
        <v>2.2969981613141656E-2</v>
      </c>
      <c r="L35" s="12">
        <f t="shared" si="3"/>
        <v>1.4026754511138216E-2</v>
      </c>
      <c r="M35" s="12">
        <f t="shared" si="4"/>
        <v>1.5663679005147708E-2</v>
      </c>
      <c r="N35" s="54">
        <f t="shared" si="5"/>
        <v>7653384</v>
      </c>
      <c r="O35" s="12">
        <v>16</v>
      </c>
      <c r="P35" s="13">
        <v>149475345</v>
      </c>
      <c r="Q35" s="13">
        <v>2335552.265625</v>
      </c>
      <c r="R35" s="13">
        <v>30858.4375</v>
      </c>
      <c r="S35" s="14">
        <v>12872376</v>
      </c>
      <c r="T35" s="14">
        <v>4673584</v>
      </c>
      <c r="U35" s="14">
        <v>2979800</v>
      </c>
      <c r="V35" s="14">
        <v>5218992</v>
      </c>
      <c r="W35" s="15">
        <v>73.203678124999996</v>
      </c>
      <c r="X35" s="15">
        <v>75.427323437499993</v>
      </c>
      <c r="Y35" s="15">
        <v>34.094359375000003</v>
      </c>
      <c r="Z35" s="15">
        <v>42.518606249999998</v>
      </c>
      <c r="AA35" s="15">
        <v>44.022521875000002</v>
      </c>
      <c r="AB35" s="16">
        <v>4393.9799999999996</v>
      </c>
      <c r="AC35" s="16">
        <v>9987.1200000000008</v>
      </c>
      <c r="AD35" s="16">
        <v>197.23599999999999</v>
      </c>
      <c r="AE35" s="16">
        <v>145.25399999999999</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128</v>
      </c>
      <c r="G36" s="19">
        <v>30</v>
      </c>
      <c r="I36" s="20">
        <f t="shared" si="0"/>
        <v>4.3104224999999996</v>
      </c>
      <c r="J36" s="21">
        <f t="shared" si="1"/>
        <v>5.5197028630052741E-2</v>
      </c>
      <c r="K36" s="21">
        <f t="shared" si="2"/>
        <v>2.8190895814618637E-2</v>
      </c>
      <c r="L36" s="21">
        <f t="shared" si="3"/>
        <v>1.9247668712615195E-2</v>
      </c>
      <c r="M36" s="21">
        <f t="shared" si="4"/>
        <v>2.7006132815434108E-2</v>
      </c>
      <c r="N36" s="18">
        <f t="shared" si="5"/>
        <v>9392944</v>
      </c>
      <c r="O36" s="21">
        <v>16</v>
      </c>
      <c r="P36" s="22">
        <v>159667518</v>
      </c>
      <c r="Q36" s="22">
        <v>2494804.96875</v>
      </c>
      <c r="R36" s="22">
        <v>39145.453125</v>
      </c>
      <c r="S36" s="23">
        <v>18391136</v>
      </c>
      <c r="T36" s="23">
        <v>6413144</v>
      </c>
      <c r="U36" s="23">
        <v>2979800</v>
      </c>
      <c r="V36" s="23">
        <v>8998192</v>
      </c>
      <c r="W36" s="24">
        <v>74.931957812500002</v>
      </c>
      <c r="X36" s="24">
        <v>77.373424999999997</v>
      </c>
      <c r="Y36" s="24">
        <v>36.168896875000002</v>
      </c>
      <c r="Z36" s="24">
        <v>43.174875</v>
      </c>
      <c r="AA36" s="24">
        <v>45.351596874999998</v>
      </c>
      <c r="AB36" s="25">
        <v>4546.6400000000003</v>
      </c>
      <c r="AC36" s="25">
        <v>10455.6</v>
      </c>
      <c r="AD36" s="25">
        <v>211.79</v>
      </c>
      <c r="AE36" s="25">
        <v>149.17400000000001</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128</v>
      </c>
      <c r="G37" s="10">
        <v>30</v>
      </c>
      <c r="I37" s="11">
        <f t="shared" si="0"/>
        <v>6.5870793750000001</v>
      </c>
      <c r="J37" s="12">
        <f t="shared" si="1"/>
        <v>8.4350712453432342E-2</v>
      </c>
      <c r="K37" s="12">
        <f t="shared" si="2"/>
        <v>3.5676603195835405E-2</v>
      </c>
      <c r="L37" s="12">
        <f t="shared" si="3"/>
        <v>2.6733376093831963E-2</v>
      </c>
      <c r="M37" s="12">
        <f t="shared" si="4"/>
        <v>4.867410925759693E-2</v>
      </c>
      <c r="N37" s="54">
        <f t="shared" si="5"/>
        <v>11887112</v>
      </c>
      <c r="O37" s="12">
        <v>16</v>
      </c>
      <c r="P37" s="13">
        <v>163021167</v>
      </c>
      <c r="Q37" s="13">
        <v>2547205.734375</v>
      </c>
      <c r="R37" s="13">
        <v>42107.53125</v>
      </c>
      <c r="S37" s="14">
        <v>28104872</v>
      </c>
      <c r="T37" s="14">
        <v>8907312</v>
      </c>
      <c r="U37" s="14">
        <v>2979800</v>
      </c>
      <c r="V37" s="14">
        <v>16217760</v>
      </c>
      <c r="W37" s="15">
        <v>76.231182812499995</v>
      </c>
      <c r="X37" s="15">
        <v>78.983845312499994</v>
      </c>
      <c r="Y37" s="15">
        <v>38.015500000000003</v>
      </c>
      <c r="Z37" s="15">
        <v>43.727787499999998</v>
      </c>
      <c r="AA37" s="15">
        <v>46.498609375000001</v>
      </c>
      <c r="AB37" s="16">
        <v>4566.79</v>
      </c>
      <c r="AC37" s="16">
        <v>10833.1</v>
      </c>
      <c r="AD37" s="16">
        <v>216.51400000000001</v>
      </c>
      <c r="AE37" s="16">
        <v>153.941</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128</v>
      </c>
      <c r="G38" s="19">
        <v>30</v>
      </c>
      <c r="I38" s="20">
        <f t="shared" si="0"/>
        <v>11.0602725</v>
      </c>
      <c r="J38" s="21">
        <f t="shared" si="1"/>
        <v>0.14163209704818613</v>
      </c>
      <c r="K38" s="21">
        <f t="shared" si="2"/>
        <v>4.8313426909717759E-2</v>
      </c>
      <c r="L38" s="21">
        <f t="shared" si="3"/>
        <v>3.9370199807714314E-2</v>
      </c>
      <c r="M38" s="21">
        <f t="shared" si="4"/>
        <v>9.3318670138468368E-2</v>
      </c>
      <c r="N38" s="18">
        <f t="shared" si="5"/>
        <v>16097584</v>
      </c>
      <c r="O38" s="21">
        <v>16</v>
      </c>
      <c r="P38" s="22">
        <v>167227668</v>
      </c>
      <c r="Q38" s="22">
        <v>2612932.3125</v>
      </c>
      <c r="R38" s="22">
        <v>46854.9375</v>
      </c>
      <c r="S38" s="23">
        <v>47190496</v>
      </c>
      <c r="T38" s="23">
        <v>13117784</v>
      </c>
      <c r="U38" s="23">
        <v>2979800</v>
      </c>
      <c r="V38" s="23">
        <v>31092912</v>
      </c>
      <c r="W38" s="24">
        <v>77.427364062500004</v>
      </c>
      <c r="X38" s="24">
        <v>80.206965624999995</v>
      </c>
      <c r="Y38" s="24">
        <v>39.784824999999998</v>
      </c>
      <c r="Z38" s="24">
        <v>44.510896875</v>
      </c>
      <c r="AA38" s="24">
        <v>47.854967187500002</v>
      </c>
      <c r="AB38" s="25">
        <v>4565.46</v>
      </c>
      <c r="AC38" s="25">
        <v>11570.3</v>
      </c>
      <c r="AD38" s="25">
        <v>223.358</v>
      </c>
      <c r="AE38" s="25">
        <v>157.20400000000001</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128</v>
      </c>
      <c r="G39" s="28">
        <v>30</v>
      </c>
      <c r="I39" s="29">
        <f t="shared" si="0"/>
        <v>20.280736874999999</v>
      </c>
      <c r="J39" s="30">
        <f t="shared" si="1"/>
        <v>0.25970456815496423</v>
      </c>
      <c r="K39" s="30">
        <f t="shared" si="2"/>
        <v>7.7565744941930234E-2</v>
      </c>
      <c r="L39" s="30">
        <f t="shared" si="3"/>
        <v>5.9757852357032702E-2</v>
      </c>
      <c r="M39" s="30">
        <f t="shared" si="4"/>
        <v>0.18213882321303401</v>
      </c>
      <c r="N39" s="27">
        <f t="shared" si="5"/>
        <v>25844184</v>
      </c>
      <c r="O39" s="30">
        <v>16</v>
      </c>
      <c r="P39" s="31">
        <v>163674339</v>
      </c>
      <c r="Q39" s="31">
        <v>2557411.546875</v>
      </c>
      <c r="R39" s="31">
        <v>18643.625</v>
      </c>
      <c r="S39" s="32">
        <v>86531144</v>
      </c>
      <c r="T39" s="32">
        <v>19910760</v>
      </c>
      <c r="U39" s="32">
        <v>5933424</v>
      </c>
      <c r="V39" s="32">
        <v>60686960</v>
      </c>
      <c r="W39" s="33">
        <v>78.2997765625</v>
      </c>
      <c r="X39" s="33">
        <v>81.903846874999999</v>
      </c>
      <c r="Y39" s="33">
        <v>41.372376562500001</v>
      </c>
      <c r="Z39" s="33">
        <v>45.498410937499997</v>
      </c>
      <c r="AA39" s="33">
        <v>49.189079687499998</v>
      </c>
      <c r="AB39" s="34">
        <v>4486.3900000000003</v>
      </c>
      <c r="AC39" s="34">
        <v>12562.4</v>
      </c>
      <c r="AD39" s="34">
        <v>215.702</v>
      </c>
      <c r="AE39" s="34">
        <v>170.381</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0.39715582099125091</v>
      </c>
      <c r="K40" s="48">
        <f>AVERAGE(K5:K24)</f>
        <v>0.12901040377440828</v>
      </c>
      <c r="L40" s="48">
        <f>AVERAGE(L5:L24)</f>
        <v>9.055850035744932E-2</v>
      </c>
      <c r="M40" s="48">
        <f>AVERAGE(M5:M24)</f>
        <v>0.26814541721684265</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0.79483833173823959</v>
      </c>
      <c r="K41" s="48">
        <f>AVERAGE(K25:K29)</f>
        <v>0.122390554982129</v>
      </c>
      <c r="L41" s="48">
        <f>AVERAGE(L25:L29)</f>
        <v>8.9540770003563239E-2</v>
      </c>
      <c r="M41" s="48">
        <f>AVERAGE(M25:M29)</f>
        <v>0.67244777675611045</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0.10818548965005501</v>
      </c>
      <c r="K42" s="48">
        <f>AVERAGE(K30:K39)</f>
        <v>4.0129011476275969E-2</v>
      </c>
      <c r="L42" s="48">
        <f>AVERAGE(L30:L39)</f>
        <v>3.0136128137321062E-2</v>
      </c>
      <c r="M42" s="48">
        <f>AVERAGE(M30:M39)</f>
        <v>6.805647817377905E-2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0.37140465642905057</v>
      </c>
      <c r="K43" s="48">
        <f>AVERAGE(K5:K39)</f>
        <v>0.10267002757604488</v>
      </c>
      <c r="L43" s="48">
        <f>AVERAGE(L5:L39)</f>
        <v>7.3149575386857513E-2</v>
      </c>
      <c r="M43" s="48">
        <f>AVERAGE(M5:M39)</f>
        <v>0.26873462885300559</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466809.26</v>
      </c>
      <c r="AC44" s="49">
        <f>SUM(AC5:AC24,AC25:AC29,AC30:AC39)</f>
        <v>584301.72</v>
      </c>
      <c r="AD44" s="49">
        <f>SUM(AD5:AD24,AD25:AD29,AD30:AD39)</f>
        <v>10552.284000000001</v>
      </c>
      <c r="AE44" s="49">
        <f>SUM(AE5:AE24,AE25:AE29,AE30:AE39)</f>
        <v>8035.2520000000004</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f>BA44/AC44</f>
        <v>0</v>
      </c>
      <c r="BB45" s="55">
        <f>BB44/AD44</f>
        <v>0</v>
      </c>
      <c r="BC45" s="55">
        <f>BC44/AE44</f>
        <v>0</v>
      </c>
    </row>
    <row r="46" spans="1:72" hidden="1" outlineLevel="2" x14ac:dyDescent="0.25">
      <c r="B46" s="47" t="s">
        <v>240</v>
      </c>
      <c r="AB46" s="49">
        <f>GEOMEAN(AB5:AB24,AB25:AB29,AB30:AB39)</f>
        <v>11349.075271399168</v>
      </c>
      <c r="AC46" s="49">
        <f>GEOMEAN(AC5:AC24,AC25:AC29,AC30:AC39)</f>
        <v>16169.447415762434</v>
      </c>
      <c r="AD46" s="49">
        <f>GEOMEAN(AD5:AD24,AD25:AD29,AD30:AD39)</f>
        <v>295.06153014993657</v>
      </c>
      <c r="AE46" s="49">
        <f>GEOMEAN(AE5:AE24,AE25:AE29,AE30:AE39)</f>
        <v>223.98366226477677</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Q5" activePane="bottomRight" state="frozen"/>
      <selection pane="topRight" activeCell="C1" sqref="C1"/>
      <selection pane="bottomLeft" activeCell="A5" sqref="A5"/>
      <selection pane="bottomRight" activeCell="AP31" sqref="AP3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564</v>
      </c>
      <c r="B1" s="59"/>
      <c r="C1" s="59"/>
      <c r="D1" s="59"/>
      <c r="E1" s="59"/>
      <c r="F1" s="59"/>
      <c r="H1" s="67" t="str">
        <f>Summary!$C$1</f>
        <v>ALL_master+r90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0.16883072999009688</v>
      </c>
      <c r="I5" s="11">
        <f t="shared" ref="I5:I11" si="1">IF(OR(ISBLANK(Q5),ISBLANK(F5)),"·",Q5*F5/E5/1000000)</f>
        <v>217.11471680000002</v>
      </c>
      <c r="J5" s="12">
        <f t="shared" ref="J5:J11" si="2">IF(ISBLANK(Q5),"·",Q5/C5)</f>
        <v>9.1168594194652322</v>
      </c>
      <c r="K5" s="12">
        <f t="shared" ref="K5:K11" si="3">IF(N5="","·",N5/C5)</f>
        <v>1.4351155966079705</v>
      </c>
      <c r="L5" s="12">
        <f t="shared" ref="L5:L11" si="4">IF(R5="","·",R5/C5)</f>
        <v>1.3377402977314068</v>
      </c>
      <c r="M5" s="12">
        <f t="shared" ref="M5:M11" si="5">IF(ISBLANK(T5),"·",T5/C5)</f>
        <v>7.6817438228572605</v>
      </c>
      <c r="N5" s="54">
        <f t="shared" ref="N5:N11" si="6">IF(OR(ISBLANK(R5),ISBLANK(S5)),"",R5+S5)</f>
        <v>341767600</v>
      </c>
      <c r="O5" s="12">
        <v>16</v>
      </c>
      <c r="P5" s="13">
        <v>238146391</v>
      </c>
      <c r="Q5" s="14">
        <v>2171147168</v>
      </c>
      <c r="R5" s="14">
        <v>318578024</v>
      </c>
      <c r="S5" s="14">
        <v>23189576</v>
      </c>
      <c r="T5" s="14">
        <v>1829379568</v>
      </c>
      <c r="U5" s="15" t="s">
        <v>571</v>
      </c>
      <c r="V5" s="15" t="s">
        <v>571</v>
      </c>
      <c r="W5" s="15" t="s">
        <v>571</v>
      </c>
      <c r="X5" s="15" t="s">
        <v>571</v>
      </c>
      <c r="Y5" s="15" t="s">
        <v>571</v>
      </c>
      <c r="Z5" s="16">
        <v>16442.8</v>
      </c>
      <c r="AA5" s="16">
        <v>55471.1</v>
      </c>
      <c r="AB5" s="16">
        <v>58.514000000000003</v>
      </c>
      <c r="AC5" s="16">
        <v>255.922</v>
      </c>
      <c r="AE5" s="17">
        <f t="shared" ref="AE5:AE11" si="7">IF(ISBLANK(Q5),"·",Q5/(C5*(D5*3+IF(AND(ISNUMBER(T5),T5&gt;0),24,0))))</f>
        <v>0.16883072999009688</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0.24067728350822429</v>
      </c>
      <c r="I6" s="20">
        <f t="shared" si="1"/>
        <v>283.48287119999998</v>
      </c>
      <c r="J6" s="21">
        <f t="shared" si="2"/>
        <v>12.996573309444111</v>
      </c>
      <c r="K6" s="21">
        <f t="shared" si="3"/>
        <v>1.7643521028547966</v>
      </c>
      <c r="L6" s="21">
        <f t="shared" si="4"/>
        <v>1.6028042972540932</v>
      </c>
      <c r="M6" s="21">
        <f t="shared" si="5"/>
        <v>11.232221206589315</v>
      </c>
      <c r="N6" s="18">
        <f t="shared" si="6"/>
        <v>384842672</v>
      </c>
      <c r="O6" s="21">
        <v>16</v>
      </c>
      <c r="P6" s="22">
        <v>218121242</v>
      </c>
      <c r="Q6" s="23">
        <v>2834828712</v>
      </c>
      <c r="R6" s="23">
        <v>349605664</v>
      </c>
      <c r="S6" s="23">
        <v>35237008</v>
      </c>
      <c r="T6" s="23">
        <v>2449986040</v>
      </c>
      <c r="U6" s="24" t="s">
        <v>571</v>
      </c>
      <c r="V6" s="24" t="s">
        <v>571</v>
      </c>
      <c r="W6" s="24" t="s">
        <v>571</v>
      </c>
      <c r="X6" s="24" t="s">
        <v>571</v>
      </c>
      <c r="Y6" s="24" t="s">
        <v>571</v>
      </c>
      <c r="Z6" s="25">
        <v>15397.5</v>
      </c>
      <c r="AA6" s="25">
        <v>56515.199999999997</v>
      </c>
      <c r="AB6" s="25">
        <v>55.484999999999999</v>
      </c>
      <c r="AC6" s="25">
        <v>266.45800000000003</v>
      </c>
      <c r="AE6" s="26">
        <f t="shared" si="7"/>
        <v>0.24067728350822429</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0.18814290443644119</v>
      </c>
      <c r="I7" s="11">
        <f t="shared" si="1"/>
        <v>327.74200480000002</v>
      </c>
      <c r="J7" s="12">
        <f t="shared" si="2"/>
        <v>10.159716839567825</v>
      </c>
      <c r="K7" s="12">
        <f t="shared" si="3"/>
        <v>1.6484419973924525</v>
      </c>
      <c r="L7" s="12">
        <f t="shared" si="4"/>
        <v>1.5287132412632736</v>
      </c>
      <c r="M7" s="12">
        <f t="shared" si="5"/>
        <v>8.5112748421753714</v>
      </c>
      <c r="N7" s="54">
        <f t="shared" si="6"/>
        <v>531770416</v>
      </c>
      <c r="O7" s="12">
        <v>16</v>
      </c>
      <c r="P7" s="13">
        <v>322589704</v>
      </c>
      <c r="Q7" s="14">
        <v>3277420048</v>
      </c>
      <c r="R7" s="14">
        <v>493147152</v>
      </c>
      <c r="S7" s="14">
        <v>38623264</v>
      </c>
      <c r="T7" s="14">
        <v>2745649632</v>
      </c>
      <c r="U7" s="15" t="s">
        <v>571</v>
      </c>
      <c r="V7" s="15" t="s">
        <v>571</v>
      </c>
      <c r="W7" s="15" t="s">
        <v>571</v>
      </c>
      <c r="X7" s="15" t="s">
        <v>571</v>
      </c>
      <c r="Y7" s="15" t="s">
        <v>571</v>
      </c>
      <c r="Z7" s="16">
        <v>22328</v>
      </c>
      <c r="AA7" s="16">
        <v>74258.399999999994</v>
      </c>
      <c r="AB7" s="16">
        <v>78.95</v>
      </c>
      <c r="AC7" s="16">
        <v>303.02699999999999</v>
      </c>
      <c r="AE7" s="17">
        <f t="shared" si="7"/>
        <v>0.18814290443644119</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0.1608462494198086</v>
      </c>
      <c r="I8" s="39">
        <f t="shared" si="1"/>
        <v>435.33217919999998</v>
      </c>
      <c r="J8" s="40">
        <f t="shared" si="2"/>
        <v>8.685697468669666</v>
      </c>
      <c r="K8" s="40">
        <f t="shared" si="3"/>
        <v>1.2330597415175071</v>
      </c>
      <c r="L8" s="40">
        <f t="shared" si="4"/>
        <v>1.0904327197087282</v>
      </c>
      <c r="M8" s="40">
        <f t="shared" si="5"/>
        <v>7.4526377271521582</v>
      </c>
      <c r="N8" s="37">
        <f t="shared" si="6"/>
        <v>309008336</v>
      </c>
      <c r="O8" s="40">
        <v>16</v>
      </c>
      <c r="P8" s="41">
        <v>250602891</v>
      </c>
      <c r="Q8" s="42">
        <v>2176660896</v>
      </c>
      <c r="R8" s="42">
        <v>273265592</v>
      </c>
      <c r="S8" s="42">
        <v>35742744</v>
      </c>
      <c r="T8" s="42">
        <v>1867652560</v>
      </c>
      <c r="U8" s="43" t="s">
        <v>571</v>
      </c>
      <c r="V8" s="43" t="s">
        <v>571</v>
      </c>
      <c r="W8" s="43" t="s">
        <v>571</v>
      </c>
      <c r="X8" s="43" t="s">
        <v>571</v>
      </c>
      <c r="Y8" s="43" t="s">
        <v>571</v>
      </c>
      <c r="Z8" s="44">
        <v>18305.8</v>
      </c>
      <c r="AA8" s="44">
        <v>50817.2</v>
      </c>
      <c r="AB8" s="44">
        <v>56.459000000000003</v>
      </c>
      <c r="AC8" s="44">
        <v>238.03</v>
      </c>
      <c r="AE8" s="46">
        <f t="shared" si="7"/>
        <v>0.1608462494198086</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0.27565976075579851</v>
      </c>
      <c r="I9" s="29">
        <f t="shared" si="1"/>
        <v>372.57918080000002</v>
      </c>
      <c r="J9" s="30">
        <f t="shared" si="2"/>
        <v>14.885627080813119</v>
      </c>
      <c r="K9" s="30">
        <f t="shared" si="3"/>
        <v>1.5221137787153538</v>
      </c>
      <c r="L9" s="30">
        <f t="shared" si="4"/>
        <v>1.4223212870025288</v>
      </c>
      <c r="M9" s="30">
        <f t="shared" si="5"/>
        <v>13.363513302097767</v>
      </c>
      <c r="N9" s="27">
        <f t="shared" si="6"/>
        <v>380976832</v>
      </c>
      <c r="O9" s="30">
        <v>16</v>
      </c>
      <c r="P9" s="31">
        <v>250294582</v>
      </c>
      <c r="Q9" s="32">
        <v>3725791808</v>
      </c>
      <c r="R9" s="32">
        <v>355999312</v>
      </c>
      <c r="S9" s="32">
        <v>24977520</v>
      </c>
      <c r="T9" s="32">
        <v>3344814976</v>
      </c>
      <c r="U9" s="33" t="s">
        <v>571</v>
      </c>
      <c r="V9" s="33" t="s">
        <v>571</v>
      </c>
      <c r="W9" s="33" t="s">
        <v>571</v>
      </c>
      <c r="X9" s="33" t="s">
        <v>571</v>
      </c>
      <c r="Y9" s="33" t="s">
        <v>571</v>
      </c>
      <c r="Z9" s="34">
        <v>8252.02</v>
      </c>
      <c r="AA9" s="34">
        <v>62063.4</v>
      </c>
      <c r="AB9" s="34">
        <v>61.027000000000001</v>
      </c>
      <c r="AC9" s="34">
        <v>283.41300000000001</v>
      </c>
      <c r="AE9" s="36">
        <f t="shared" si="7"/>
        <v>0.27565976075579851</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128</v>
      </c>
      <c r="F10" s="19">
        <v>30</v>
      </c>
      <c r="H10" s="26">
        <f t="shared" si="0"/>
        <v>8.5984771770278107E-2</v>
      </c>
      <c r="I10" s="20">
        <f t="shared" si="1"/>
        <v>431.24892562500003</v>
      </c>
      <c r="J10" s="21">
        <f t="shared" si="2"/>
        <v>4.9011319909058519</v>
      </c>
      <c r="K10" s="21">
        <f t="shared" si="3"/>
        <v>0.56254932525508283</v>
      </c>
      <c r="L10" s="21">
        <f t="shared" si="4"/>
        <v>0.53741674790601746</v>
      </c>
      <c r="M10" s="21">
        <f t="shared" si="5"/>
        <v>4.3385826656507698</v>
      </c>
      <c r="N10" s="18">
        <f t="shared" si="6"/>
        <v>211193696</v>
      </c>
      <c r="O10" s="21">
        <v>16</v>
      </c>
      <c r="P10" s="22">
        <v>186907991</v>
      </c>
      <c r="Q10" s="23">
        <v>1839995416</v>
      </c>
      <c r="R10" s="23">
        <v>201758360</v>
      </c>
      <c r="S10" s="23">
        <v>9435336</v>
      </c>
      <c r="T10" s="23">
        <v>1628801720</v>
      </c>
      <c r="U10" s="24" t="s">
        <v>571</v>
      </c>
      <c r="V10" s="24" t="s">
        <v>571</v>
      </c>
      <c r="W10" s="24" t="s">
        <v>571</v>
      </c>
      <c r="X10" s="24" t="s">
        <v>571</v>
      </c>
      <c r="Y10" s="24" t="s">
        <v>571</v>
      </c>
      <c r="Z10" s="25">
        <v>4714.0600000000004</v>
      </c>
      <c r="AA10" s="25">
        <v>40296.800000000003</v>
      </c>
      <c r="AB10" s="25">
        <v>43.435000000000002</v>
      </c>
      <c r="AC10" s="25">
        <v>181.64699999999999</v>
      </c>
      <c r="AE10" s="26">
        <f t="shared" si="7"/>
        <v>8.5984771770278107E-2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128</v>
      </c>
      <c r="F11" s="28">
        <v>30</v>
      </c>
      <c r="H11" s="36">
        <f t="shared" si="0"/>
        <v>8.7339680373546558E-2</v>
      </c>
      <c r="I11" s="29">
        <f t="shared" si="1"/>
        <v>388.76807624999998</v>
      </c>
      <c r="J11" s="30">
        <f t="shared" si="2"/>
        <v>4.9783617812921541</v>
      </c>
      <c r="K11" s="30">
        <f t="shared" si="3"/>
        <v>0.59524474887111867</v>
      </c>
      <c r="L11" s="30">
        <f t="shared" si="4"/>
        <v>0.56629647294855834</v>
      </c>
      <c r="M11" s="30">
        <f t="shared" si="5"/>
        <v>4.3831170324210351</v>
      </c>
      <c r="N11" s="27">
        <f t="shared" si="6"/>
        <v>198330008</v>
      </c>
      <c r="O11" s="30">
        <v>16</v>
      </c>
      <c r="P11" s="31">
        <v>166028718</v>
      </c>
      <c r="Q11" s="32">
        <v>1658743792</v>
      </c>
      <c r="R11" s="32">
        <v>188684712</v>
      </c>
      <c r="S11" s="32">
        <v>9645296</v>
      </c>
      <c r="T11" s="32">
        <v>1460413784</v>
      </c>
      <c r="U11" s="33" t="s">
        <v>571</v>
      </c>
      <c r="V11" s="33" t="s">
        <v>571</v>
      </c>
      <c r="W11" s="33" t="s">
        <v>571</v>
      </c>
      <c r="X11" s="33" t="s">
        <v>571</v>
      </c>
      <c r="Y11" s="33" t="s">
        <v>571</v>
      </c>
      <c r="Z11" s="34">
        <v>4002.21</v>
      </c>
      <c r="AA11" s="34">
        <v>35327.300000000003</v>
      </c>
      <c r="AB11" s="34">
        <v>38.950000000000003</v>
      </c>
      <c r="AC11" s="34">
        <v>163.10900000000001</v>
      </c>
      <c r="AE11" s="36">
        <f t="shared" si="7"/>
        <v>8.7339680373546558E-2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10.239711759286708</v>
      </c>
      <c r="K12" s="48">
        <f>AVERAGE(K5:K8)</f>
        <v>1.5202423595931815</v>
      </c>
      <c r="L12" s="48">
        <f>AVERAGE(L5:L8)</f>
        <v>1.3899226389893755</v>
      </c>
      <c r="M12" s="48">
        <f>AVERAGE(M5:M8)</f>
        <v>8.7194693996935264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14.885627080813119</v>
      </c>
      <c r="K13" s="48">
        <f>AVERAGE(K9:K9)</f>
        <v>1.5221137787153538</v>
      </c>
      <c r="L13" s="48">
        <f>AVERAGE(L9:L9)</f>
        <v>1.4223212870025288</v>
      </c>
      <c r="M13" s="48">
        <f>AVERAGE(M9:M9)</f>
        <v>13.363513302097767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4.9397468860990035</v>
      </c>
      <c r="K14" s="48">
        <f>AVERAGE(K10:K11)</f>
        <v>0.57889703706310081</v>
      </c>
      <c r="L14" s="48">
        <f>AVERAGE(L10:L11)</f>
        <v>0.55185661042728795</v>
      </c>
      <c r="M14" s="48">
        <f>AVERAGE(M10:M11)</f>
        <v>4.3608498490359029</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9.3891382700225652</v>
      </c>
      <c r="K15" s="48">
        <f>AVERAGE(K5:K11)</f>
        <v>1.2515538987448973</v>
      </c>
      <c r="L15" s="48">
        <f>AVERAGE(L5:L11)</f>
        <v>1.1551035805449439</v>
      </c>
      <c r="M15" s="48">
        <f>AVERAGE(M5:M11)</f>
        <v>8.1375843712776668</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89442.390000000014</v>
      </c>
      <c r="AA16" s="49">
        <f>SUM(AA5:AA8,AA9:AA9,AA10:AA11)</f>
        <v>374749.39999999997</v>
      </c>
      <c r="AB16" s="49">
        <f>SUM(AB5:AB8,AB9:AB9,AB10:AB11)</f>
        <v>392.82</v>
      </c>
      <c r="AC16" s="49">
        <f>SUM(AC5:AC8,AC9:AC9,AC10:AC11)</f>
        <v>1691.6059999999998</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f>AX16/AA16</f>
        <v>0</v>
      </c>
      <c r="AY17" s="55">
        <f>AY16/AB16</f>
        <v>0</v>
      </c>
      <c r="AZ17" s="55">
        <f>AZ16/AC16</f>
        <v>0</v>
      </c>
    </row>
    <row r="18" spans="2:52" hidden="1" outlineLevel="2" x14ac:dyDescent="0.25">
      <c r="B18" s="47" t="s">
        <v>240</v>
      </c>
      <c r="Z18" s="49">
        <f>GEOMEAN(Z5:Z8,Z9:Z9,Z10:Z11)</f>
        <v>10705.046033676255</v>
      </c>
      <c r="AA18" s="49">
        <f>GEOMEAN(AA5:AA8,AA9:AA9,AA10:AA11)</f>
        <v>52122.984702831971</v>
      </c>
      <c r="AB18" s="49">
        <f>GEOMEAN(AB5:AB8,AB9:AB9,AB10:AB11)</f>
        <v>54.852771011202336</v>
      </c>
      <c r="AC18" s="49">
        <f>GEOMEAN(AC5:AC8,AC9:AC9,AC10:AC11)</f>
        <v>236.4344527820227</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Q5" activePane="bottomRight" state="frozen"/>
      <selection pane="topRight" activeCell="C1" sqref="C1"/>
      <selection pane="bottomLeft" activeCell="A5" sqref="A5"/>
      <selection pane="bottomRight" activeCell="AM5" sqref="AM5:AZ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572</v>
      </c>
      <c r="B1" s="59"/>
      <c r="C1" s="59"/>
      <c r="D1" s="59"/>
      <c r="E1" s="59"/>
      <c r="F1" s="59"/>
      <c r="H1" s="67" t="str">
        <f>Summary!$C$1</f>
        <v>ALL_master+r90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thickBot="1" x14ac:dyDescent="0.3">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0.16737312172364135</v>
      </c>
      <c r="I5" s="11">
        <f t="shared" ref="I5:I11" si="1">IF(OR(ISBLANK(Q5),ISBLANK(F5)),"·",Q5*F5/E5/1000000)</f>
        <v>215.24024640000002</v>
      </c>
      <c r="J5" s="12">
        <f t="shared" ref="J5:J11" si="2">IF(ISBLANK(Q5),"·",Q5/C5)</f>
        <v>9.0381485730766329</v>
      </c>
      <c r="K5" s="12">
        <f t="shared" ref="K5:K11" si="3">IF(N5="","·",N5/C5)</f>
        <v>1.4168999436989158</v>
      </c>
      <c r="L5" s="12">
        <f t="shared" ref="L5:L11" si="4">IF(R5="","·",R5/C5)</f>
        <v>1.3191667137210574</v>
      </c>
      <c r="M5" s="12">
        <f t="shared" ref="M5:M11" si="5">IF(ISBLANK(T5),"·",T5/C5)</f>
        <v>7.6212486293777175</v>
      </c>
      <c r="N5" s="54">
        <f t="shared" ref="N5:N11" si="6">IF(OR(ISBLANK(R5),ISBLANK(S5)),"",R5+S5)</f>
        <v>337429608</v>
      </c>
      <c r="O5" s="12">
        <v>16</v>
      </c>
      <c r="P5" s="13">
        <v>238146391</v>
      </c>
      <c r="Q5" s="14">
        <v>2152402464</v>
      </c>
      <c r="R5" s="14">
        <v>314154792</v>
      </c>
      <c r="S5" s="14">
        <v>23274816</v>
      </c>
      <c r="T5" s="14">
        <v>1814972856</v>
      </c>
      <c r="U5" s="15" t="s">
        <v>571</v>
      </c>
      <c r="V5" s="15" t="s">
        <v>571</v>
      </c>
      <c r="W5" s="15" t="s">
        <v>571</v>
      </c>
      <c r="X5" s="15" t="s">
        <v>571</v>
      </c>
      <c r="Y5" s="15" t="s">
        <v>571</v>
      </c>
      <c r="Z5" s="16">
        <v>16360.1</v>
      </c>
      <c r="AA5" s="16">
        <v>82278.3</v>
      </c>
      <c r="AB5" s="16">
        <v>60.896000000000001</v>
      </c>
      <c r="AC5" s="16">
        <v>254.88399999999999</v>
      </c>
      <c r="AE5" s="17">
        <f t="shared" ref="AE5:AE11" si="7">IF(ISBLANK(Q5),"·",Q5/(C5*(D5*3+IF(AND(ISNUMBER(T5),T5&gt;0),24,0))))</f>
        <v>0.16737312172364135</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0.23917156366878986</v>
      </c>
      <c r="I6" s="20">
        <f t="shared" si="1"/>
        <v>281.70935200000002</v>
      </c>
      <c r="J6" s="21">
        <f t="shared" si="2"/>
        <v>12.915264438114653</v>
      </c>
      <c r="K6" s="21">
        <f t="shared" si="3"/>
        <v>1.7618812568470521</v>
      </c>
      <c r="L6" s="21">
        <f t="shared" si="4"/>
        <v>1.5956644882849145</v>
      </c>
      <c r="M6" s="21">
        <f t="shared" si="5"/>
        <v>11.1533831812676</v>
      </c>
      <c r="N6" s="18">
        <f t="shared" si="6"/>
        <v>384303728</v>
      </c>
      <c r="O6" s="21">
        <v>16</v>
      </c>
      <c r="P6" s="22">
        <v>218121242</v>
      </c>
      <c r="Q6" s="23">
        <v>2817093520</v>
      </c>
      <c r="R6" s="23">
        <v>348048320</v>
      </c>
      <c r="S6" s="23">
        <v>36255408</v>
      </c>
      <c r="T6" s="23">
        <v>2432789792</v>
      </c>
      <c r="U6" s="24" t="s">
        <v>571</v>
      </c>
      <c r="V6" s="24" t="s">
        <v>571</v>
      </c>
      <c r="W6" s="24" t="s">
        <v>571</v>
      </c>
      <c r="X6" s="24" t="s">
        <v>571</v>
      </c>
      <c r="Y6" s="24" t="s">
        <v>571</v>
      </c>
      <c r="Z6" s="25">
        <v>15348.8</v>
      </c>
      <c r="AA6" s="25">
        <v>98889.5</v>
      </c>
      <c r="AB6" s="25">
        <v>60.554000000000002</v>
      </c>
      <c r="AC6" s="25">
        <v>284.51100000000002</v>
      </c>
      <c r="AE6" s="26">
        <f t="shared" si="7"/>
        <v>0.23917156366878986</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0.18406661856759074</v>
      </c>
      <c r="I7" s="11">
        <f t="shared" si="1"/>
        <v>320.6411784</v>
      </c>
      <c r="J7" s="12">
        <f t="shared" si="2"/>
        <v>9.9395974026499001</v>
      </c>
      <c r="K7" s="12">
        <f t="shared" si="3"/>
        <v>1.5521079618833713</v>
      </c>
      <c r="L7" s="12">
        <f t="shared" si="4"/>
        <v>1.4374410164064009</v>
      </c>
      <c r="M7" s="12">
        <f t="shared" si="5"/>
        <v>8.3874894407665295</v>
      </c>
      <c r="N7" s="54">
        <f t="shared" si="6"/>
        <v>500694048</v>
      </c>
      <c r="O7" s="12">
        <v>16</v>
      </c>
      <c r="P7" s="13">
        <v>322589704</v>
      </c>
      <c r="Q7" s="14">
        <v>3206411784</v>
      </c>
      <c r="R7" s="14">
        <v>463703672</v>
      </c>
      <c r="S7" s="14">
        <v>36990376</v>
      </c>
      <c r="T7" s="14">
        <v>2705717736</v>
      </c>
      <c r="U7" s="15" t="s">
        <v>571</v>
      </c>
      <c r="V7" s="15" t="s">
        <v>571</v>
      </c>
      <c r="W7" s="15" t="s">
        <v>571</v>
      </c>
      <c r="X7" s="15" t="s">
        <v>571</v>
      </c>
      <c r="Y7" s="15" t="s">
        <v>571</v>
      </c>
      <c r="Z7" s="16">
        <v>22206.799999999999</v>
      </c>
      <c r="AA7" s="16">
        <v>103679</v>
      </c>
      <c r="AB7" s="16">
        <v>77.766999999999996</v>
      </c>
      <c r="AC7" s="16">
        <v>315.041</v>
      </c>
      <c r="AE7" s="17">
        <f t="shared" si="7"/>
        <v>0.18406661856759074</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ht="15.75" collapsed="1" thickBot="1" x14ac:dyDescent="0.3">
      <c r="A8" s="37"/>
      <c r="B8" s="37" t="s">
        <v>68</v>
      </c>
      <c r="C8" s="37">
        <v>250602891</v>
      </c>
      <c r="D8" s="38">
        <v>10</v>
      </c>
      <c r="E8" s="38">
        <v>250</v>
      </c>
      <c r="F8" s="38">
        <v>50</v>
      </c>
      <c r="H8" s="46">
        <f t="shared" si="0"/>
        <v>0.15284524036520836</v>
      </c>
      <c r="I8" s="39">
        <f t="shared" si="1"/>
        <v>413.6773584</v>
      </c>
      <c r="J8" s="40">
        <f t="shared" si="2"/>
        <v>8.2536429797212509</v>
      </c>
      <c r="K8" s="40">
        <f t="shared" si="3"/>
        <v>1.0116959424861542</v>
      </c>
      <c r="L8" s="40">
        <f t="shared" si="4"/>
        <v>0.89740331048295852</v>
      </c>
      <c r="M8" s="40">
        <f t="shared" si="5"/>
        <v>7.2419470372350974</v>
      </c>
      <c r="N8" s="37">
        <f t="shared" si="6"/>
        <v>253533928</v>
      </c>
      <c r="O8" s="40">
        <v>16</v>
      </c>
      <c r="P8" s="41">
        <v>250602891</v>
      </c>
      <c r="Q8" s="42">
        <v>2068386792</v>
      </c>
      <c r="R8" s="42">
        <v>224891864</v>
      </c>
      <c r="S8" s="42">
        <v>28642064</v>
      </c>
      <c r="T8" s="42">
        <v>1814852864</v>
      </c>
      <c r="U8" s="43" t="s">
        <v>571</v>
      </c>
      <c r="V8" s="43" t="s">
        <v>571</v>
      </c>
      <c r="W8" s="43" t="s">
        <v>571</v>
      </c>
      <c r="X8" s="43" t="s">
        <v>571</v>
      </c>
      <c r="Y8" s="43" t="s">
        <v>571</v>
      </c>
      <c r="Z8" s="44">
        <v>17443.900000000001</v>
      </c>
      <c r="AA8" s="44">
        <v>67246.600000000006</v>
      </c>
      <c r="AB8" s="44">
        <v>55.828000000000003</v>
      </c>
      <c r="AC8" s="44">
        <v>232.38300000000001</v>
      </c>
      <c r="AE8" s="46">
        <f t="shared" si="7"/>
        <v>0.15284524036520836</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ht="15.75" collapsed="1" thickBot="1" x14ac:dyDescent="0.3">
      <c r="A9" s="27" t="s">
        <v>235</v>
      </c>
      <c r="B9" s="27" t="s">
        <v>71</v>
      </c>
      <c r="C9" s="27">
        <v>250294582</v>
      </c>
      <c r="D9" s="28">
        <v>10</v>
      </c>
      <c r="E9" s="28">
        <v>300</v>
      </c>
      <c r="F9" s="28">
        <v>30</v>
      </c>
      <c r="H9" s="36">
        <f t="shared" si="0"/>
        <v>0.27383903920002495</v>
      </c>
      <c r="I9" s="29">
        <f t="shared" si="1"/>
        <v>370.11831039999998</v>
      </c>
      <c r="J9" s="30">
        <f t="shared" si="2"/>
        <v>14.787308116801345</v>
      </c>
      <c r="K9" s="30">
        <f t="shared" si="3"/>
        <v>1.5160104424473719</v>
      </c>
      <c r="L9" s="30">
        <f t="shared" si="4"/>
        <v>1.4145296041605886</v>
      </c>
      <c r="M9" s="30">
        <f t="shared" si="5"/>
        <v>13.271297674353974</v>
      </c>
      <c r="N9" s="27">
        <f t="shared" si="6"/>
        <v>379449200</v>
      </c>
      <c r="O9" s="30">
        <v>16</v>
      </c>
      <c r="P9" s="31">
        <v>250294582</v>
      </c>
      <c r="Q9" s="32">
        <v>3701183104</v>
      </c>
      <c r="R9" s="32">
        <v>354049096</v>
      </c>
      <c r="S9" s="32">
        <v>25400104</v>
      </c>
      <c r="T9" s="32">
        <v>3321733904</v>
      </c>
      <c r="U9" s="33" t="s">
        <v>571</v>
      </c>
      <c r="V9" s="33" t="s">
        <v>571</v>
      </c>
      <c r="W9" s="33" t="s">
        <v>571</v>
      </c>
      <c r="X9" s="33" t="s">
        <v>571</v>
      </c>
      <c r="Y9" s="33" t="s">
        <v>571</v>
      </c>
      <c r="Z9" s="34">
        <v>8037.09</v>
      </c>
      <c r="AA9" s="34">
        <v>101395</v>
      </c>
      <c r="AB9" s="34">
        <v>62.378</v>
      </c>
      <c r="AC9" s="34">
        <v>302.23500000000001</v>
      </c>
      <c r="AE9" s="36">
        <f t="shared" si="7"/>
        <v>0.27383903920002495</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128</v>
      </c>
      <c r="F10" s="19">
        <v>30</v>
      </c>
      <c r="H10" s="26">
        <f t="shared" si="0"/>
        <v>8.5956824406746374E-2</v>
      </c>
      <c r="I10" s="20">
        <f t="shared" si="1"/>
        <v>431.10875812500001</v>
      </c>
      <c r="J10" s="21">
        <f t="shared" si="2"/>
        <v>4.8995389911845439</v>
      </c>
      <c r="K10" s="21">
        <f t="shared" si="3"/>
        <v>0.56166986820149334</v>
      </c>
      <c r="L10" s="21">
        <f t="shared" si="4"/>
        <v>0.53597289213368193</v>
      </c>
      <c r="M10" s="21">
        <f t="shared" si="5"/>
        <v>4.3378691229830499</v>
      </c>
      <c r="N10" s="18">
        <f t="shared" si="6"/>
        <v>210863528</v>
      </c>
      <c r="O10" s="21">
        <v>16</v>
      </c>
      <c r="P10" s="22">
        <v>186907991</v>
      </c>
      <c r="Q10" s="23">
        <v>1839397368</v>
      </c>
      <c r="R10" s="23">
        <v>201216304</v>
      </c>
      <c r="S10" s="23">
        <v>9647224</v>
      </c>
      <c r="T10" s="23">
        <v>1628533840</v>
      </c>
      <c r="U10" s="24" t="s">
        <v>571</v>
      </c>
      <c r="V10" s="24" t="s">
        <v>571</v>
      </c>
      <c r="W10" s="24" t="s">
        <v>571</v>
      </c>
      <c r="X10" s="24" t="s">
        <v>571</v>
      </c>
      <c r="Y10" s="24" t="s">
        <v>571</v>
      </c>
      <c r="Z10" s="25">
        <v>4711.7</v>
      </c>
      <c r="AA10" s="25">
        <v>75250.3</v>
      </c>
      <c r="AB10" s="25">
        <v>45.103000000000002</v>
      </c>
      <c r="AC10" s="25">
        <v>189.804</v>
      </c>
      <c r="AE10" s="26">
        <f t="shared" si="7"/>
        <v>8.5956824406746374E-2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ht="15.75" collapsed="1" thickBot="1" x14ac:dyDescent="0.3">
      <c r="A11" s="27"/>
      <c r="B11" s="27" t="s">
        <v>80</v>
      </c>
      <c r="C11" s="27">
        <v>333190689</v>
      </c>
      <c r="D11" s="28">
        <v>11</v>
      </c>
      <c r="E11" s="28">
        <v>128</v>
      </c>
      <c r="F11" s="28">
        <v>30</v>
      </c>
      <c r="H11" s="36">
        <f t="shared" si="0"/>
        <v>8.731461785899583E-2</v>
      </c>
      <c r="I11" s="29">
        <f t="shared" si="1"/>
        <v>388.65651750000001</v>
      </c>
      <c r="J11" s="30">
        <f t="shared" si="2"/>
        <v>4.9769332179627623</v>
      </c>
      <c r="K11" s="30">
        <f t="shared" si="3"/>
        <v>0.59499434571534504</v>
      </c>
      <c r="L11" s="30">
        <f t="shared" si="4"/>
        <v>0.5653113553842436</v>
      </c>
      <c r="M11" s="30">
        <f t="shared" si="5"/>
        <v>4.3819388722474173</v>
      </c>
      <c r="N11" s="27">
        <f t="shared" si="6"/>
        <v>198246576</v>
      </c>
      <c r="O11" s="30">
        <v>16</v>
      </c>
      <c r="P11" s="31">
        <v>166028718</v>
      </c>
      <c r="Q11" s="32">
        <v>1658267808</v>
      </c>
      <c r="R11" s="32">
        <v>188356480</v>
      </c>
      <c r="S11" s="32">
        <v>9890096</v>
      </c>
      <c r="T11" s="32">
        <v>1460021232</v>
      </c>
      <c r="U11" s="33" t="s">
        <v>571</v>
      </c>
      <c r="V11" s="33" t="s">
        <v>571</v>
      </c>
      <c r="W11" s="33" t="s">
        <v>571</v>
      </c>
      <c r="X11" s="33" t="s">
        <v>571</v>
      </c>
      <c r="Y11" s="33" t="s">
        <v>571</v>
      </c>
      <c r="Z11" s="34">
        <v>4045.43</v>
      </c>
      <c r="AA11" s="34">
        <v>73730.399999999994</v>
      </c>
      <c r="AB11" s="34">
        <v>39.46</v>
      </c>
      <c r="AC11" s="34">
        <v>173.27099999999999</v>
      </c>
      <c r="AE11" s="36">
        <f t="shared" si="7"/>
        <v>8.731461785899583E-2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10.03666334839061</v>
      </c>
      <c r="K12" s="48">
        <f>AVERAGE(K5:K8)</f>
        <v>1.4356462762288735</v>
      </c>
      <c r="L12" s="48">
        <f>AVERAGE(L5:L8)</f>
        <v>1.3124188822238327</v>
      </c>
      <c r="M12" s="48">
        <f>AVERAGE(M5:M8)</f>
        <v>8.6010170721617367</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14.787308116801345</v>
      </c>
      <c r="K13" s="48">
        <f>AVERAGE(K9:K9)</f>
        <v>1.5160104424473719</v>
      </c>
      <c r="L13" s="48">
        <f>AVERAGE(L9:L9)</f>
        <v>1.4145296041605886</v>
      </c>
      <c r="M13" s="48">
        <f>AVERAGE(M9:M9)</f>
        <v>13.271297674353974</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4.9382361045736527</v>
      </c>
      <c r="K14" s="48">
        <f>AVERAGE(K10:K11)</f>
        <v>0.57833210695841919</v>
      </c>
      <c r="L14" s="48">
        <f>AVERAGE(L10:L11)</f>
        <v>0.55064212375896271</v>
      </c>
      <c r="M14" s="48">
        <f>AVERAGE(M10:M11)</f>
        <v>4.3599039976152341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9.2586333885015843</v>
      </c>
      <c r="K15" s="48">
        <f>AVERAGE(K5:K11)</f>
        <v>1.2021799658971004</v>
      </c>
      <c r="L15" s="48">
        <f>AVERAGE(L5:L11)</f>
        <v>1.1093556257962633</v>
      </c>
      <c r="M15" s="48">
        <f>AVERAGE(M5:M11)</f>
        <v>8.0564534226044842</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88153.819999999992</v>
      </c>
      <c r="AA16" s="49">
        <f>SUM(AA5:AA8,AA9:AA9,AA10:AA11)</f>
        <v>602469.10000000009</v>
      </c>
      <c r="AB16" s="49">
        <f>SUM(AB5:AB8,AB9:AB9,AB10:AB11)</f>
        <v>401.98599999999999</v>
      </c>
      <c r="AC16" s="49">
        <f>SUM(AC5:AC8,AC9:AC9,AC10:AC11)</f>
        <v>1752.1290000000001</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f>AX16/AA16</f>
        <v>0</v>
      </c>
      <c r="AY17" s="55">
        <f>AY16/AB16</f>
        <v>0</v>
      </c>
      <c r="AZ17" s="55">
        <f>AZ16/AC16</f>
        <v>0</v>
      </c>
    </row>
    <row r="18" spans="2:52" hidden="1" outlineLevel="2" x14ac:dyDescent="0.25">
      <c r="B18" s="47" t="s">
        <v>240</v>
      </c>
      <c r="Z18" s="49">
        <f>GEOMEAN(Z5:Z8,Z9:Z9,Z10:Z11)</f>
        <v>10586.375648876134</v>
      </c>
      <c r="AA18" s="49">
        <f>GEOMEAN(AA5:AA8,AA9:AA9,AA10:AA11)</f>
        <v>84945.090597502101</v>
      </c>
      <c r="AB18" s="49">
        <f>GEOMEAN(AB5:AB8,AB9:AB9,AB10:AB11)</f>
        <v>56.229933239582991</v>
      </c>
      <c r="AC18" s="49">
        <f>GEOMEAN(AC5:AC8,AC9:AC9,AC10:AC11)</f>
        <v>244.85711248985152</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AA5" activePane="bottomRight" state="frozen"/>
      <selection pane="topRight" activeCell="C1" sqref="C1"/>
      <selection pane="bottomLeft" activeCell="A5" sqref="A5"/>
      <selection pane="bottomRight" activeCell="BE59" sqref="BE59"/>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573</v>
      </c>
      <c r="B1" s="59"/>
      <c r="C1" s="59"/>
      <c r="D1" s="59"/>
      <c r="E1" s="59"/>
      <c r="F1" s="59"/>
      <c r="G1" s="59"/>
      <c r="I1" s="67" t="str">
        <f>Summary!$C$1</f>
        <v>ALL_master+r90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1.2500031999999999</v>
      </c>
      <c r="J5" s="12">
        <f t="shared" ref="J5:J39" si="1">IF(ISBLANK(S5),"·",S5/D5)</f>
        <v>5.2488857578362379E-2</v>
      </c>
      <c r="K5" s="12">
        <f t="shared" ref="K5:K39" si="2">IF(N5="","·",N5/D5)</f>
        <v>4.4587633494727198E-2</v>
      </c>
      <c r="L5" s="12">
        <f t="shared" ref="L5:L39" si="3">IF(T5="","·",T5/D5)</f>
        <v>2.7862156433015185E-2</v>
      </c>
      <c r="M5" s="12">
        <f t="shared" ref="M5:M39" si="4">IF(ISBLANK(V5),"·",V5/D5)</f>
        <v>7.9012240836351787E-3</v>
      </c>
      <c r="N5" s="54">
        <f t="shared" ref="N5:N39" si="5">IF(OR(ISBLANK(T5),ISBLANK(U5)),"",T5+U5)</f>
        <v>10618384</v>
      </c>
      <c r="O5" s="12">
        <v>16</v>
      </c>
      <c r="P5" s="13">
        <v>222175774</v>
      </c>
      <c r="Q5" s="13">
        <v>740585.91333333298</v>
      </c>
      <c r="R5" s="13">
        <v>16831.916666666701</v>
      </c>
      <c r="S5" s="14">
        <v>12500032</v>
      </c>
      <c r="T5" s="14">
        <v>6635272</v>
      </c>
      <c r="U5" s="14">
        <v>3983112</v>
      </c>
      <c r="V5" s="14">
        <v>1881648</v>
      </c>
      <c r="W5" s="15">
        <v>66.605775666666702</v>
      </c>
      <c r="X5" s="15">
        <v>68.398893333333305</v>
      </c>
      <c r="Y5" s="15">
        <v>31.595291</v>
      </c>
      <c r="Z5" s="15">
        <v>44.336108333333399</v>
      </c>
      <c r="AA5" s="15">
        <v>43.837736666666601</v>
      </c>
      <c r="AB5" s="16">
        <v>17314.5</v>
      </c>
      <c r="AC5" s="16">
        <v>47481.3</v>
      </c>
      <c r="AD5" s="16">
        <v>292.745</v>
      </c>
      <c r="AE5" s="16">
        <v>225.57</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1.6525176000000001</v>
      </c>
      <c r="J6" s="21">
        <f t="shared" si="1"/>
        <v>6.9390831121182092E-2</v>
      </c>
      <c r="K6" s="21">
        <f t="shared" si="2"/>
        <v>5.472549865347319E-2</v>
      </c>
      <c r="L6" s="21">
        <f t="shared" si="3"/>
        <v>3.8000021591761177E-2</v>
      </c>
      <c r="M6" s="21">
        <f t="shared" si="4"/>
        <v>1.4665332467708906E-2</v>
      </c>
      <c r="N6" s="18">
        <f t="shared" si="5"/>
        <v>13032680</v>
      </c>
      <c r="O6" s="21">
        <v>16</v>
      </c>
      <c r="P6" s="22">
        <v>234561263</v>
      </c>
      <c r="Q6" s="22">
        <v>781870.87666666706</v>
      </c>
      <c r="R6" s="22">
        <v>20264.1466666667</v>
      </c>
      <c r="S6" s="23">
        <v>16525176</v>
      </c>
      <c r="T6" s="23">
        <v>9049568</v>
      </c>
      <c r="U6" s="23">
        <v>3983112</v>
      </c>
      <c r="V6" s="23">
        <v>3492496</v>
      </c>
      <c r="W6" s="24">
        <v>68.316653000000002</v>
      </c>
      <c r="X6" s="24">
        <v>70.389345333333296</v>
      </c>
      <c r="Y6" s="24">
        <v>33.640767666666697</v>
      </c>
      <c r="Z6" s="24">
        <v>45.396017999999998</v>
      </c>
      <c r="AA6" s="24">
        <v>44.999181</v>
      </c>
      <c r="AB6" s="25">
        <v>17276.3</v>
      </c>
      <c r="AC6" s="25">
        <v>50646.6</v>
      </c>
      <c r="AD6" s="25">
        <v>310.16699999999997</v>
      </c>
      <c r="AE6" s="25">
        <v>234.30600000000001</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2.3465576000000001</v>
      </c>
      <c r="J7" s="12">
        <f t="shared" si="1"/>
        <v>9.8534249884979358E-2</v>
      </c>
      <c r="K7" s="12">
        <f t="shared" si="2"/>
        <v>6.9016002850112473E-2</v>
      </c>
      <c r="L7" s="12">
        <f t="shared" si="3"/>
        <v>5.229052578840046E-2</v>
      </c>
      <c r="M7" s="12">
        <f t="shared" si="4"/>
        <v>2.9518247034866885E-2</v>
      </c>
      <c r="N7" s="54">
        <f t="shared" si="5"/>
        <v>16435912</v>
      </c>
      <c r="O7" s="12">
        <v>16</v>
      </c>
      <c r="P7" s="13">
        <v>237155375</v>
      </c>
      <c r="Q7" s="13">
        <v>790517.91666666698</v>
      </c>
      <c r="R7" s="13">
        <v>21719.383333333299</v>
      </c>
      <c r="S7" s="14">
        <v>23465576</v>
      </c>
      <c r="T7" s="14">
        <v>12452800</v>
      </c>
      <c r="U7" s="14">
        <v>3983112</v>
      </c>
      <c r="V7" s="14">
        <v>7029664</v>
      </c>
      <c r="W7" s="15">
        <v>69.641815666666702</v>
      </c>
      <c r="X7" s="15">
        <v>72.052471333333401</v>
      </c>
      <c r="Y7" s="15">
        <v>36.020986999999998</v>
      </c>
      <c r="Z7" s="15">
        <v>46.667222333333299</v>
      </c>
      <c r="AA7" s="15">
        <v>46.490161666666701</v>
      </c>
      <c r="AB7" s="16">
        <v>16929</v>
      </c>
      <c r="AC7" s="16">
        <v>53865.8</v>
      </c>
      <c r="AD7" s="16">
        <v>293.34300000000002</v>
      </c>
      <c r="AE7" s="16">
        <v>224.69800000000001</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3.8742719999999999</v>
      </c>
      <c r="J8" s="21">
        <f t="shared" si="1"/>
        <v>0.16268447251002011</v>
      </c>
      <c r="K8" s="21">
        <f t="shared" si="2"/>
        <v>9.8912403841551394E-2</v>
      </c>
      <c r="L8" s="21">
        <f t="shared" si="3"/>
        <v>8.2186926779839381E-2</v>
      </c>
      <c r="M8" s="21">
        <f t="shared" si="4"/>
        <v>6.3772068668468712E-2</v>
      </c>
      <c r="N8" s="18">
        <f t="shared" si="5"/>
        <v>23555632</v>
      </c>
      <c r="O8" s="21">
        <v>16</v>
      </c>
      <c r="P8" s="22">
        <v>246286726</v>
      </c>
      <c r="Q8" s="22">
        <v>820955.75333333295</v>
      </c>
      <c r="R8" s="22">
        <v>25005.6033333333</v>
      </c>
      <c r="S8" s="23">
        <v>38742720</v>
      </c>
      <c r="T8" s="23">
        <v>19572520</v>
      </c>
      <c r="U8" s="23">
        <v>3983112</v>
      </c>
      <c r="V8" s="23">
        <v>15187088</v>
      </c>
      <c r="W8" s="24">
        <v>70.708436666666699</v>
      </c>
      <c r="X8" s="24">
        <v>73.267008666666698</v>
      </c>
      <c r="Y8" s="24">
        <v>38.4990666666667</v>
      </c>
      <c r="Z8" s="24">
        <v>47.931567333333298</v>
      </c>
      <c r="AA8" s="24">
        <v>47.909495</v>
      </c>
      <c r="AB8" s="25">
        <v>16701.8</v>
      </c>
      <c r="AC8" s="25">
        <v>56671.6</v>
      </c>
      <c r="AD8" s="25">
        <v>277.24</v>
      </c>
      <c r="AE8" s="25">
        <v>211.90899999999999</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7.7058895999999999</v>
      </c>
      <c r="J9" s="30">
        <f t="shared" si="1"/>
        <v>0.3235778450239038</v>
      </c>
      <c r="K9" s="30">
        <f t="shared" si="2"/>
        <v>0.17056782523317768</v>
      </c>
      <c r="L9" s="30">
        <f t="shared" si="3"/>
        <v>0.13409859316322792</v>
      </c>
      <c r="M9" s="30">
        <f t="shared" si="4"/>
        <v>0.15301001979072612</v>
      </c>
      <c r="N9" s="27">
        <f t="shared" si="5"/>
        <v>40620112</v>
      </c>
      <c r="O9" s="30">
        <v>16</v>
      </c>
      <c r="P9" s="31">
        <v>236690659</v>
      </c>
      <c r="Q9" s="31">
        <v>788968.86333333305</v>
      </c>
      <c r="R9" s="31">
        <v>10948.0433333333</v>
      </c>
      <c r="S9" s="32">
        <v>77058896</v>
      </c>
      <c r="T9" s="32">
        <v>31935096</v>
      </c>
      <c r="U9" s="32">
        <v>8685016</v>
      </c>
      <c r="V9" s="32">
        <v>36438784</v>
      </c>
      <c r="W9" s="33">
        <v>71.773281999999995</v>
      </c>
      <c r="X9" s="33">
        <v>75.150792000000095</v>
      </c>
      <c r="Y9" s="33">
        <v>41.056145000000001</v>
      </c>
      <c r="Z9" s="33">
        <v>49.407711999999997</v>
      </c>
      <c r="AA9" s="33">
        <v>49.487539666666699</v>
      </c>
      <c r="AB9" s="34">
        <v>17068.2</v>
      </c>
      <c r="AC9" s="34">
        <v>64652.4</v>
      </c>
      <c r="AD9" s="34">
        <v>307.96899999999999</v>
      </c>
      <c r="AE9" s="34">
        <v>264.07100000000003</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2.1295839999999999</v>
      </c>
      <c r="J10" s="21">
        <f t="shared" si="1"/>
        <v>9.7633040251989767E-2</v>
      </c>
      <c r="K10" s="21">
        <f t="shared" si="2"/>
        <v>7.2955058636609088E-2</v>
      </c>
      <c r="L10" s="21">
        <f t="shared" si="3"/>
        <v>4.1374677299884435E-2</v>
      </c>
      <c r="M10" s="21">
        <f t="shared" si="4"/>
        <v>2.4677981615380679E-2</v>
      </c>
      <c r="N10" s="18">
        <f t="shared" si="5"/>
        <v>15913048</v>
      </c>
      <c r="O10" s="21">
        <v>16</v>
      </c>
      <c r="P10" s="22">
        <v>202678143</v>
      </c>
      <c r="Q10" s="22">
        <v>675593.81</v>
      </c>
      <c r="R10" s="22">
        <v>20402.4866666667</v>
      </c>
      <c r="S10" s="23">
        <v>21295840</v>
      </c>
      <c r="T10" s="23">
        <v>9024696</v>
      </c>
      <c r="U10" s="23">
        <v>6888352</v>
      </c>
      <c r="V10" s="23">
        <v>5382792</v>
      </c>
      <c r="W10" s="24">
        <v>65.897205666666693</v>
      </c>
      <c r="X10" s="24">
        <v>67.692311000000103</v>
      </c>
      <c r="Y10" s="24">
        <v>30.8686676666666</v>
      </c>
      <c r="Z10" s="24">
        <v>38.6459713333333</v>
      </c>
      <c r="AA10" s="24">
        <v>29.905207000000001</v>
      </c>
      <c r="AB10" s="25">
        <v>16007.2</v>
      </c>
      <c r="AC10" s="25">
        <v>58228.6</v>
      </c>
      <c r="AD10" s="25">
        <v>269.09699999999998</v>
      </c>
      <c r="AE10" s="25">
        <v>252.21199999999999</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2.9039127999999996</v>
      </c>
      <c r="J11" s="12">
        <f t="shared" si="1"/>
        <v>0.13313296648109127</v>
      </c>
      <c r="K11" s="12">
        <f t="shared" si="2"/>
        <v>8.967973875740172E-2</v>
      </c>
      <c r="L11" s="12">
        <f t="shared" si="3"/>
        <v>5.8099357420677074E-2</v>
      </c>
      <c r="M11" s="12">
        <f t="shared" si="4"/>
        <v>4.3453227723689564E-2</v>
      </c>
      <c r="N11" s="54">
        <f t="shared" si="5"/>
        <v>19561056</v>
      </c>
      <c r="O11" s="12">
        <v>16</v>
      </c>
      <c r="P11" s="13">
        <v>214390714</v>
      </c>
      <c r="Q11" s="13">
        <v>714635.71333333303</v>
      </c>
      <c r="R11" s="13">
        <v>24998.4866666667</v>
      </c>
      <c r="S11" s="14">
        <v>29039128</v>
      </c>
      <c r="T11" s="14">
        <v>12672704</v>
      </c>
      <c r="U11" s="14">
        <v>6888352</v>
      </c>
      <c r="V11" s="14">
        <v>9478072</v>
      </c>
      <c r="W11" s="15">
        <v>67.573559333333293</v>
      </c>
      <c r="X11" s="15">
        <v>69.614537999999996</v>
      </c>
      <c r="Y11" s="15">
        <v>32.681404999999998</v>
      </c>
      <c r="Z11" s="15">
        <v>39.628989333333301</v>
      </c>
      <c r="AA11" s="15">
        <v>32.109204666666699</v>
      </c>
      <c r="AB11" s="16">
        <v>16006.8</v>
      </c>
      <c r="AC11" s="16">
        <v>62273.599999999999</v>
      </c>
      <c r="AD11" s="16">
        <v>291.36200000000002</v>
      </c>
      <c r="AE11" s="16">
        <v>264.327</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4.1396264</v>
      </c>
      <c r="J12" s="21">
        <f t="shared" si="1"/>
        <v>0.18978556889016798</v>
      </c>
      <c r="K12" s="21">
        <f t="shared" si="2"/>
        <v>0.11498401425753847</v>
      </c>
      <c r="L12" s="21">
        <f t="shared" si="3"/>
        <v>8.3403632920813833E-2</v>
      </c>
      <c r="M12" s="21">
        <f t="shared" si="4"/>
        <v>7.4801554632629497E-2</v>
      </c>
      <c r="N12" s="18">
        <f t="shared" si="5"/>
        <v>25080456</v>
      </c>
      <c r="O12" s="21">
        <v>16</v>
      </c>
      <c r="P12" s="22">
        <v>217286162</v>
      </c>
      <c r="Q12" s="22">
        <v>724287.20666666701</v>
      </c>
      <c r="R12" s="22">
        <v>26541.406666666699</v>
      </c>
      <c r="S12" s="23">
        <v>41396264</v>
      </c>
      <c r="T12" s="23">
        <v>18192104</v>
      </c>
      <c r="U12" s="23">
        <v>6888352</v>
      </c>
      <c r="V12" s="23">
        <v>16315808</v>
      </c>
      <c r="W12" s="24">
        <v>68.893530999999996</v>
      </c>
      <c r="X12" s="24">
        <v>71.249480333333395</v>
      </c>
      <c r="Y12" s="24">
        <v>34.691038333333303</v>
      </c>
      <c r="Z12" s="24">
        <v>40.577685333333399</v>
      </c>
      <c r="AA12" s="24">
        <v>33.9876796666667</v>
      </c>
      <c r="AB12" s="25">
        <v>15949.9</v>
      </c>
      <c r="AC12" s="25">
        <v>66234.899999999994</v>
      </c>
      <c r="AD12" s="25">
        <v>292.90499999999997</v>
      </c>
      <c r="AE12" s="25">
        <v>268.17099999999999</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6.7100935999999995</v>
      </c>
      <c r="J13" s="12">
        <f t="shared" si="1"/>
        <v>0.30763136769595323</v>
      </c>
      <c r="K13" s="12">
        <f t="shared" si="2"/>
        <v>0.16194978387295264</v>
      </c>
      <c r="L13" s="12">
        <f t="shared" si="3"/>
        <v>0.130369402536228</v>
      </c>
      <c r="M13" s="12">
        <f t="shared" si="4"/>
        <v>0.14568158382300062</v>
      </c>
      <c r="N13" s="54">
        <f t="shared" si="5"/>
        <v>35324688</v>
      </c>
      <c r="O13" s="12">
        <v>16</v>
      </c>
      <c r="P13" s="13">
        <v>225171185</v>
      </c>
      <c r="Q13" s="13">
        <v>750570.61666666705</v>
      </c>
      <c r="R13" s="13">
        <v>30159.856666666699</v>
      </c>
      <c r="S13" s="14">
        <v>67100936</v>
      </c>
      <c r="T13" s="14">
        <v>28436336</v>
      </c>
      <c r="U13" s="14">
        <v>6888352</v>
      </c>
      <c r="V13" s="14">
        <v>31776248</v>
      </c>
      <c r="W13" s="15">
        <v>69.941466000000005</v>
      </c>
      <c r="X13" s="15">
        <v>72.463044333333301</v>
      </c>
      <c r="Y13" s="15">
        <v>36.882905000000001</v>
      </c>
      <c r="Z13" s="15">
        <v>41.624657999999997</v>
      </c>
      <c r="AA13" s="15">
        <v>35.921083000000003</v>
      </c>
      <c r="AB13" s="16">
        <v>15835.4</v>
      </c>
      <c r="AC13" s="16">
        <v>71248</v>
      </c>
      <c r="AD13" s="16">
        <v>304.36700000000002</v>
      </c>
      <c r="AE13" s="16">
        <v>279.89499999999998</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13.202990400000001</v>
      </c>
      <c r="J14" s="40">
        <f t="shared" si="1"/>
        <v>0.6053051174172206</v>
      </c>
      <c r="K14" s="40">
        <f t="shared" si="2"/>
        <v>0.2729224877602705</v>
      </c>
      <c r="L14" s="40">
        <f t="shared" si="3"/>
        <v>0.21079546209442546</v>
      </c>
      <c r="M14" s="40">
        <f t="shared" si="4"/>
        <v>0.33238262965695015</v>
      </c>
      <c r="N14" s="37">
        <f t="shared" si="5"/>
        <v>59530192</v>
      </c>
      <c r="O14" s="40">
        <v>16</v>
      </c>
      <c r="P14" s="41">
        <v>212984057</v>
      </c>
      <c r="Q14" s="41">
        <v>709946.85666666704</v>
      </c>
      <c r="R14" s="41">
        <v>14248.9633333333</v>
      </c>
      <c r="S14" s="42">
        <v>132029904</v>
      </c>
      <c r="T14" s="42">
        <v>45978968</v>
      </c>
      <c r="U14" s="42">
        <v>13551224</v>
      </c>
      <c r="V14" s="42">
        <v>72499712</v>
      </c>
      <c r="W14" s="43">
        <v>70.810416333333293</v>
      </c>
      <c r="X14" s="43">
        <v>74.574849666666694</v>
      </c>
      <c r="Y14" s="43">
        <v>39.2991763333333</v>
      </c>
      <c r="Z14" s="43">
        <v>42.913586333333399</v>
      </c>
      <c r="AA14" s="43">
        <v>38.0401283333333</v>
      </c>
      <c r="AB14" s="44">
        <v>16080.2</v>
      </c>
      <c r="AC14" s="44">
        <v>78688.7</v>
      </c>
      <c r="AD14" s="44">
        <v>285.17399999999998</v>
      </c>
      <c r="AE14" s="44">
        <v>309.57499999999999</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1.8763783999999999</v>
      </c>
      <c r="J15" s="12">
        <f t="shared" si="1"/>
        <v>5.8166096956398829E-2</v>
      </c>
      <c r="K15" s="12">
        <f t="shared" si="2"/>
        <v>4.8286327204044924E-2</v>
      </c>
      <c r="L15" s="12">
        <f t="shared" si="3"/>
        <v>2.6889711272372163E-2</v>
      </c>
      <c r="M15" s="12">
        <f t="shared" si="4"/>
        <v>9.8797697523539067E-3</v>
      </c>
      <c r="N15" s="54">
        <f t="shared" si="5"/>
        <v>15576672</v>
      </c>
      <c r="O15" s="12">
        <v>16</v>
      </c>
      <c r="P15" s="13">
        <v>308605834</v>
      </c>
      <c r="Q15" s="13">
        <v>1028686.11333333</v>
      </c>
      <c r="R15" s="13">
        <v>31656.65</v>
      </c>
      <c r="S15" s="14">
        <v>18763784</v>
      </c>
      <c r="T15" s="14">
        <v>8674344</v>
      </c>
      <c r="U15" s="14">
        <v>6902328</v>
      </c>
      <c r="V15" s="14">
        <v>3187112</v>
      </c>
      <c r="W15" s="15">
        <v>66.2888186666666</v>
      </c>
      <c r="X15" s="15">
        <v>67.884724666666699</v>
      </c>
      <c r="Y15" s="15">
        <v>29.027526666666599</v>
      </c>
      <c r="Z15" s="15">
        <v>43.381498000000001</v>
      </c>
      <c r="AA15" s="15">
        <v>43.5878716666667</v>
      </c>
      <c r="AB15" s="16">
        <v>22905.599999999999</v>
      </c>
      <c r="AC15" s="16">
        <v>50472.800000000003</v>
      </c>
      <c r="AD15" s="16">
        <v>413.26400000000001</v>
      </c>
      <c r="AE15" s="16">
        <v>247.70400000000001</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2.5015480000000001</v>
      </c>
      <c r="J16" s="21">
        <f t="shared" si="1"/>
        <v>7.7545810327536061E-2</v>
      </c>
      <c r="K16" s="21">
        <f t="shared" si="2"/>
        <v>5.8589098677495302E-2</v>
      </c>
      <c r="L16" s="21">
        <f t="shared" si="3"/>
        <v>3.7192482745822542E-2</v>
      </c>
      <c r="M16" s="21">
        <f t="shared" si="4"/>
        <v>1.8956711650040758E-2</v>
      </c>
      <c r="N16" s="18">
        <f t="shared" si="5"/>
        <v>18900240</v>
      </c>
      <c r="O16" s="21">
        <v>16</v>
      </c>
      <c r="P16" s="22">
        <v>321091422</v>
      </c>
      <c r="Q16" s="22">
        <v>1070304.74</v>
      </c>
      <c r="R16" s="22">
        <v>36518.2366666667</v>
      </c>
      <c r="S16" s="23">
        <v>25015480</v>
      </c>
      <c r="T16" s="23">
        <v>11997912</v>
      </c>
      <c r="U16" s="23">
        <v>6902328</v>
      </c>
      <c r="V16" s="23">
        <v>6115240</v>
      </c>
      <c r="W16" s="24">
        <v>67.999486333333394</v>
      </c>
      <c r="X16" s="24">
        <v>70.006182999999993</v>
      </c>
      <c r="Y16" s="24">
        <v>31.3395506666667</v>
      </c>
      <c r="Z16" s="24">
        <v>44.049796000000001</v>
      </c>
      <c r="AA16" s="24">
        <v>44.317233999999999</v>
      </c>
      <c r="AB16" s="25">
        <v>22905</v>
      </c>
      <c r="AC16" s="25">
        <v>53941.1</v>
      </c>
      <c r="AD16" s="25">
        <v>434.91199999999998</v>
      </c>
      <c r="AE16" s="25">
        <v>253.74799999999999</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3.5943296</v>
      </c>
      <c r="J17" s="12">
        <f t="shared" si="1"/>
        <v>0.11142108862842071</v>
      </c>
      <c r="K17" s="12">
        <f t="shared" si="2"/>
        <v>7.2595695738633989E-2</v>
      </c>
      <c r="L17" s="12">
        <f t="shared" si="3"/>
        <v>5.1199079806961229E-2</v>
      </c>
      <c r="M17" s="12">
        <f t="shared" si="4"/>
        <v>3.882539288978671E-2</v>
      </c>
      <c r="N17" s="54">
        <f t="shared" si="5"/>
        <v>23418624</v>
      </c>
      <c r="O17" s="12">
        <v>16</v>
      </c>
      <c r="P17" s="13">
        <v>321732378</v>
      </c>
      <c r="Q17" s="13">
        <v>1072441.26</v>
      </c>
      <c r="R17" s="13">
        <v>37380.403333333299</v>
      </c>
      <c r="S17" s="14">
        <v>35943296</v>
      </c>
      <c r="T17" s="14">
        <v>16516296</v>
      </c>
      <c r="U17" s="14">
        <v>6902328</v>
      </c>
      <c r="V17" s="14">
        <v>12524672</v>
      </c>
      <c r="W17" s="15">
        <v>69.3191286666667</v>
      </c>
      <c r="X17" s="15">
        <v>71.776923333333301</v>
      </c>
      <c r="Y17" s="15">
        <v>33.741808666666699</v>
      </c>
      <c r="Z17" s="15">
        <v>45.170802333333299</v>
      </c>
      <c r="AA17" s="15">
        <v>45.596319999999999</v>
      </c>
      <c r="AB17" s="16">
        <v>23111</v>
      </c>
      <c r="AC17" s="16">
        <v>57507.6</v>
      </c>
      <c r="AD17" s="16">
        <v>445.33199999999999</v>
      </c>
      <c r="AE17" s="16">
        <v>272.29599999999999</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6.2379544000000005</v>
      </c>
      <c r="J18" s="21">
        <f t="shared" si="1"/>
        <v>0.19337115607384667</v>
      </c>
      <c r="K18" s="21">
        <f t="shared" si="2"/>
        <v>0.10650085720032776</v>
      </c>
      <c r="L18" s="21">
        <f t="shared" si="3"/>
        <v>8.5104241268654998E-2</v>
      </c>
      <c r="M18" s="21">
        <f t="shared" si="4"/>
        <v>8.6870298873518909E-2</v>
      </c>
      <c r="N18" s="18">
        <f t="shared" si="5"/>
        <v>34356080</v>
      </c>
      <c r="O18" s="21">
        <v>16</v>
      </c>
      <c r="P18" s="22">
        <v>331738139</v>
      </c>
      <c r="Q18" s="22">
        <v>1105793.7966666699</v>
      </c>
      <c r="R18" s="22">
        <v>41758.8766666667</v>
      </c>
      <c r="S18" s="23">
        <v>62379544</v>
      </c>
      <c r="T18" s="23">
        <v>27453752</v>
      </c>
      <c r="U18" s="23">
        <v>6902328</v>
      </c>
      <c r="V18" s="23">
        <v>28023464</v>
      </c>
      <c r="W18" s="24">
        <v>70.481152666666603</v>
      </c>
      <c r="X18" s="24">
        <v>73.086757333333296</v>
      </c>
      <c r="Y18" s="24">
        <v>36.1623606666667</v>
      </c>
      <c r="Z18" s="24">
        <v>46.486408666666698</v>
      </c>
      <c r="AA18" s="24">
        <v>46.976429666666697</v>
      </c>
      <c r="AB18" s="25">
        <v>22469.1</v>
      </c>
      <c r="AC18" s="25">
        <v>62326.400000000001</v>
      </c>
      <c r="AD18" s="25">
        <v>444.185</v>
      </c>
      <c r="AE18" s="25">
        <v>273.99599999999998</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13.0854576</v>
      </c>
      <c r="J19" s="30">
        <f t="shared" si="1"/>
        <v>0.40563779431720487</v>
      </c>
      <c r="K19" s="30">
        <f t="shared" si="2"/>
        <v>0.18404076529361271</v>
      </c>
      <c r="L19" s="30">
        <f t="shared" si="3"/>
        <v>0.13882263272729869</v>
      </c>
      <c r="M19" s="30">
        <f t="shared" si="4"/>
        <v>0.22159702902359216</v>
      </c>
      <c r="N19" s="27">
        <f t="shared" si="5"/>
        <v>59369656</v>
      </c>
      <c r="O19" s="30">
        <v>16</v>
      </c>
      <c r="P19" s="31">
        <v>314150218</v>
      </c>
      <c r="Q19" s="31">
        <v>1047167.3933333301</v>
      </c>
      <c r="R19" s="31">
        <v>18178.596666666701</v>
      </c>
      <c r="S19" s="32">
        <v>130854576</v>
      </c>
      <c r="T19" s="32">
        <v>44782752</v>
      </c>
      <c r="U19" s="32">
        <v>14586904</v>
      </c>
      <c r="V19" s="32">
        <v>71484920</v>
      </c>
      <c r="W19" s="33">
        <v>71.167197333333405</v>
      </c>
      <c r="X19" s="33">
        <v>75.031733000000003</v>
      </c>
      <c r="Y19" s="33">
        <v>38.677728333333299</v>
      </c>
      <c r="Z19" s="33">
        <v>48.282810333333302</v>
      </c>
      <c r="AA19" s="33">
        <v>48.820425666666701</v>
      </c>
      <c r="AB19" s="34">
        <v>22640.799999999999</v>
      </c>
      <c r="AC19" s="34">
        <v>71029.5</v>
      </c>
      <c r="AD19" s="34">
        <v>415.56099999999998</v>
      </c>
      <c r="AE19" s="34">
        <v>300.70999999999998</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2.2155872000000003</v>
      </c>
      <c r="J20" s="21">
        <f t="shared" si="1"/>
        <v>4.4205140474616475E-2</v>
      </c>
      <c r="K20" s="21">
        <f t="shared" si="2"/>
        <v>3.5175492049690678E-2</v>
      </c>
      <c r="L20" s="21">
        <f t="shared" si="3"/>
        <v>1.9917056742972689E-2</v>
      </c>
      <c r="M20" s="21">
        <f t="shared" si="4"/>
        <v>9.029648424925792E-3</v>
      </c>
      <c r="N20" s="18">
        <f t="shared" si="5"/>
        <v>8815080</v>
      </c>
      <c r="O20" s="21">
        <v>16</v>
      </c>
      <c r="P20" s="22">
        <v>237407070</v>
      </c>
      <c r="Q20" s="22">
        <v>949628.28</v>
      </c>
      <c r="R20" s="22">
        <v>29313.223999999998</v>
      </c>
      <c r="S20" s="23">
        <v>11077936</v>
      </c>
      <c r="T20" s="23">
        <v>4991272</v>
      </c>
      <c r="U20" s="23">
        <v>3823808</v>
      </c>
      <c r="V20" s="23">
        <v>2262856</v>
      </c>
      <c r="W20" s="24">
        <v>67.492355200000006</v>
      </c>
      <c r="X20" s="24">
        <v>69.259778799999907</v>
      </c>
      <c r="Y20" s="24">
        <v>30.334740400000001</v>
      </c>
      <c r="Z20" s="24">
        <v>40.2115656</v>
      </c>
      <c r="AA20" s="24">
        <v>38.815618800000003</v>
      </c>
      <c r="AB20" s="25">
        <v>18477.900000000001</v>
      </c>
      <c r="AC20" s="25">
        <v>40461.4</v>
      </c>
      <c r="AD20" s="25">
        <v>311.29300000000001</v>
      </c>
      <c r="AE20" s="25">
        <v>209.84899999999999</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2.9337360000000001</v>
      </c>
      <c r="J21" s="12">
        <f t="shared" si="1"/>
        <v>5.8533562567719938E-2</v>
      </c>
      <c r="K21" s="12">
        <f t="shared" si="2"/>
        <v>4.186483227761327E-2</v>
      </c>
      <c r="L21" s="12">
        <f t="shared" si="3"/>
        <v>2.6606396970895278E-2</v>
      </c>
      <c r="M21" s="12">
        <f t="shared" si="4"/>
        <v>1.6668730290106668E-2</v>
      </c>
      <c r="N21" s="54">
        <f t="shared" si="5"/>
        <v>10491448</v>
      </c>
      <c r="O21" s="12">
        <v>16</v>
      </c>
      <c r="P21" s="13">
        <v>246103056</v>
      </c>
      <c r="Q21" s="13">
        <v>984412.22400000005</v>
      </c>
      <c r="R21" s="13">
        <v>33748.468000000001</v>
      </c>
      <c r="S21" s="14">
        <v>14668680</v>
      </c>
      <c r="T21" s="14">
        <v>6667640</v>
      </c>
      <c r="U21" s="14">
        <v>3823808</v>
      </c>
      <c r="V21" s="14">
        <v>4177232</v>
      </c>
      <c r="W21" s="15">
        <v>69.059734399999996</v>
      </c>
      <c r="X21" s="15">
        <v>71.219593599999996</v>
      </c>
      <c r="Y21" s="15">
        <v>31.8658024</v>
      </c>
      <c r="Z21" s="15">
        <v>41.377026000000001</v>
      </c>
      <c r="AA21" s="15">
        <v>40.123612399999999</v>
      </c>
      <c r="AB21" s="16">
        <v>19076.400000000001</v>
      </c>
      <c r="AC21" s="16">
        <v>43248.4</v>
      </c>
      <c r="AD21" s="16">
        <v>324.88200000000001</v>
      </c>
      <c r="AE21" s="16">
        <v>221.33699999999999</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4.3548415999999994</v>
      </c>
      <c r="J22" s="21">
        <f t="shared" si="1"/>
        <v>8.6887297720759329E-2</v>
      </c>
      <c r="K22" s="21">
        <f t="shared" si="2"/>
        <v>4.999428358549942E-2</v>
      </c>
      <c r="L22" s="21">
        <f t="shared" si="3"/>
        <v>3.4735848278781428E-2</v>
      </c>
      <c r="M22" s="21">
        <f t="shared" si="4"/>
        <v>3.6893014135259916E-2</v>
      </c>
      <c r="N22" s="18">
        <f t="shared" si="5"/>
        <v>12528712</v>
      </c>
      <c r="O22" s="21">
        <v>16</v>
      </c>
      <c r="P22" s="22">
        <v>253070598</v>
      </c>
      <c r="Q22" s="22">
        <v>1012282.392</v>
      </c>
      <c r="R22" s="22">
        <v>35699.588000000003</v>
      </c>
      <c r="S22" s="23">
        <v>21774208</v>
      </c>
      <c r="T22" s="23">
        <v>8704904</v>
      </c>
      <c r="U22" s="23">
        <v>3823808</v>
      </c>
      <c r="V22" s="23">
        <v>9245496</v>
      </c>
      <c r="W22" s="24">
        <v>70.247885200000098</v>
      </c>
      <c r="X22" s="24">
        <v>72.726473999999996</v>
      </c>
      <c r="Y22" s="24">
        <v>33.770670799999998</v>
      </c>
      <c r="Z22" s="24">
        <v>42.630948799999999</v>
      </c>
      <c r="AA22" s="24">
        <v>41.436534399999999</v>
      </c>
      <c r="AB22" s="25">
        <v>18679.099999999999</v>
      </c>
      <c r="AC22" s="25">
        <v>45629</v>
      </c>
      <c r="AD22" s="25">
        <v>332.75099999999998</v>
      </c>
      <c r="AE22" s="25">
        <v>217.99700000000001</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7.9475072000000004</v>
      </c>
      <c r="J23" s="12">
        <f t="shared" si="1"/>
        <v>0.15856774772801804</v>
      </c>
      <c r="K23" s="12">
        <f t="shared" si="2"/>
        <v>7.2480951546564559E-2</v>
      </c>
      <c r="L23" s="12">
        <f t="shared" si="3"/>
        <v>5.7222516239846567E-2</v>
      </c>
      <c r="M23" s="12">
        <f t="shared" si="4"/>
        <v>8.608679618145347E-2</v>
      </c>
      <c r="N23" s="54">
        <f t="shared" si="5"/>
        <v>18163936</v>
      </c>
      <c r="O23" s="12">
        <v>16</v>
      </c>
      <c r="P23" s="13">
        <v>255954824</v>
      </c>
      <c r="Q23" s="13">
        <v>1023819.296</v>
      </c>
      <c r="R23" s="13">
        <v>38049.572</v>
      </c>
      <c r="S23" s="14">
        <v>39737536</v>
      </c>
      <c r="T23" s="14">
        <v>14340128</v>
      </c>
      <c r="U23" s="14">
        <v>3823808</v>
      </c>
      <c r="V23" s="14">
        <v>21573600</v>
      </c>
      <c r="W23" s="15">
        <v>71.200280400000096</v>
      </c>
      <c r="X23" s="15">
        <v>73.980531600000006</v>
      </c>
      <c r="Y23" s="15">
        <v>35.6413948</v>
      </c>
      <c r="Z23" s="15">
        <v>43.8321228</v>
      </c>
      <c r="AA23" s="15">
        <v>42.629512800000001</v>
      </c>
      <c r="AB23" s="16">
        <v>18497.3</v>
      </c>
      <c r="AC23" s="16">
        <v>49208</v>
      </c>
      <c r="AD23" s="16">
        <v>335.65699999999998</v>
      </c>
      <c r="AE23" s="16">
        <v>223.03700000000001</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15.895992</v>
      </c>
      <c r="J24" s="40">
        <f t="shared" si="1"/>
        <v>0.31715500041857059</v>
      </c>
      <c r="K24" s="40">
        <f t="shared" si="2"/>
        <v>0.12502693753840213</v>
      </c>
      <c r="L24" s="40">
        <f t="shared" si="3"/>
        <v>9.2003280201583951E-2</v>
      </c>
      <c r="M24" s="40">
        <f t="shared" si="4"/>
        <v>0.19212806288016845</v>
      </c>
      <c r="N24" s="37">
        <f t="shared" si="5"/>
        <v>31332112</v>
      </c>
      <c r="O24" s="40">
        <v>16</v>
      </c>
      <c r="P24" s="41">
        <v>244674086</v>
      </c>
      <c r="Q24" s="41">
        <v>978696.34400000004</v>
      </c>
      <c r="R24" s="41">
        <v>18813.608</v>
      </c>
      <c r="S24" s="42">
        <v>79479960</v>
      </c>
      <c r="T24" s="42">
        <v>23056288</v>
      </c>
      <c r="U24" s="42">
        <v>8275824</v>
      </c>
      <c r="V24" s="42">
        <v>48147848</v>
      </c>
      <c r="W24" s="43">
        <v>71.975096399999998</v>
      </c>
      <c r="X24" s="43">
        <v>75.955701599999998</v>
      </c>
      <c r="Y24" s="43">
        <v>37.135307599999997</v>
      </c>
      <c r="Z24" s="43">
        <v>44.9405432</v>
      </c>
      <c r="AA24" s="43">
        <v>43.593484400000001</v>
      </c>
      <c r="AB24" s="44">
        <v>18248.599999999999</v>
      </c>
      <c r="AC24" s="44">
        <v>54483.9</v>
      </c>
      <c r="AD24" s="44">
        <v>307.06</v>
      </c>
      <c r="AE24" s="44">
        <v>231.72499999999999</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2.1795079999999998</v>
      </c>
      <c r="J25" s="12">
        <f t="shared" si="1"/>
        <v>8.7077713891545602E-2</v>
      </c>
      <c r="K25" s="12">
        <f t="shared" si="2"/>
        <v>5.6066798920961058E-2</v>
      </c>
      <c r="L25" s="12">
        <f t="shared" si="3"/>
        <v>3.4340719368827571E-2</v>
      </c>
      <c r="M25" s="12">
        <f t="shared" si="4"/>
        <v>3.101091497058454E-2</v>
      </c>
      <c r="N25" s="54">
        <f t="shared" si="5"/>
        <v>14033216</v>
      </c>
      <c r="O25" s="12">
        <v>16</v>
      </c>
      <c r="P25" s="13">
        <v>232245529</v>
      </c>
      <c r="Q25" s="13">
        <v>774151.76333333296</v>
      </c>
      <c r="R25" s="13">
        <v>16183.733333333301</v>
      </c>
      <c r="S25" s="14">
        <v>21795080</v>
      </c>
      <c r="T25" s="14">
        <v>8595296</v>
      </c>
      <c r="U25" s="14">
        <v>5437920</v>
      </c>
      <c r="V25" s="14">
        <v>7761864</v>
      </c>
      <c r="W25" s="15">
        <v>66.369531999999893</v>
      </c>
      <c r="X25" s="15">
        <v>68.128068999999996</v>
      </c>
      <c r="Y25" s="15">
        <v>25.826380666666701</v>
      </c>
      <c r="Z25" s="15">
        <v>32.379563666666598</v>
      </c>
      <c r="AA25" s="15">
        <v>31.539064</v>
      </c>
      <c r="AB25" s="16">
        <v>8855.24</v>
      </c>
      <c r="AC25" s="16">
        <v>56254.400000000001</v>
      </c>
      <c r="AD25" s="16">
        <v>306.17200000000003</v>
      </c>
      <c r="AE25" s="16">
        <v>249.93199999999999</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3.3556767999999999</v>
      </c>
      <c r="J26" s="21">
        <f t="shared" si="1"/>
        <v>0.13406909463186062</v>
      </c>
      <c r="K26" s="21">
        <f t="shared" si="2"/>
        <v>7.0091776896712851E-2</v>
      </c>
      <c r="L26" s="21">
        <f t="shared" si="3"/>
        <v>4.8365697344579357E-2</v>
      </c>
      <c r="M26" s="21">
        <f t="shared" si="4"/>
        <v>6.3977317735147782E-2</v>
      </c>
      <c r="N26" s="18">
        <f t="shared" si="5"/>
        <v>17543592</v>
      </c>
      <c r="O26" s="21">
        <v>16</v>
      </c>
      <c r="P26" s="22">
        <v>244084101</v>
      </c>
      <c r="Q26" s="22">
        <v>813613.67</v>
      </c>
      <c r="R26" s="22">
        <v>19480.406666666699</v>
      </c>
      <c r="S26" s="23">
        <v>33556768</v>
      </c>
      <c r="T26" s="23">
        <v>12105672</v>
      </c>
      <c r="U26" s="23">
        <v>5437920</v>
      </c>
      <c r="V26" s="23">
        <v>16013176</v>
      </c>
      <c r="W26" s="24">
        <v>68.072850000000003</v>
      </c>
      <c r="X26" s="24">
        <v>70.116752333333295</v>
      </c>
      <c r="Y26" s="24">
        <v>27.868635333333302</v>
      </c>
      <c r="Z26" s="24">
        <v>33.5841803333333</v>
      </c>
      <c r="AA26" s="24">
        <v>32.952759333333397</v>
      </c>
      <c r="AB26" s="25">
        <v>8866.91</v>
      </c>
      <c r="AC26" s="25">
        <v>60650.9</v>
      </c>
      <c r="AD26" s="25">
        <v>320.80200000000002</v>
      </c>
      <c r="AE26" s="25">
        <v>262.01</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5.6598584000000001</v>
      </c>
      <c r="J27" s="12">
        <f t="shared" si="1"/>
        <v>0.22612788318366395</v>
      </c>
      <c r="K27" s="12">
        <f t="shared" si="2"/>
        <v>9.0830827492702174E-2</v>
      </c>
      <c r="L27" s="12">
        <f t="shared" si="3"/>
        <v>6.9104747940568687E-2</v>
      </c>
      <c r="M27" s="12">
        <f t="shared" si="4"/>
        <v>0.13529705569096179</v>
      </c>
      <c r="N27" s="54">
        <f t="shared" si="5"/>
        <v>22734464</v>
      </c>
      <c r="O27" s="12">
        <v>16</v>
      </c>
      <c r="P27" s="13">
        <v>246150191</v>
      </c>
      <c r="Q27" s="13">
        <v>820500.63666666695</v>
      </c>
      <c r="R27" s="13">
        <v>20394.356666666699</v>
      </c>
      <c r="S27" s="14">
        <v>56598584</v>
      </c>
      <c r="T27" s="14">
        <v>17296544</v>
      </c>
      <c r="U27" s="14">
        <v>5437920</v>
      </c>
      <c r="V27" s="14">
        <v>33864120</v>
      </c>
      <c r="W27" s="15">
        <v>69.361491999999998</v>
      </c>
      <c r="X27" s="15">
        <v>71.797428333333301</v>
      </c>
      <c r="Y27" s="15">
        <v>30.174727333333401</v>
      </c>
      <c r="Z27" s="15">
        <v>34.835906000000001</v>
      </c>
      <c r="AA27" s="15">
        <v>34.291381333333298</v>
      </c>
      <c r="AB27" s="16">
        <v>8843.49</v>
      </c>
      <c r="AC27" s="16">
        <v>65149.599999999999</v>
      </c>
      <c r="AD27" s="16">
        <v>327.98899999999998</v>
      </c>
      <c r="AE27" s="16">
        <v>272.18099999999998</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10.905835199999999</v>
      </c>
      <c r="J28" s="21">
        <f t="shared" si="1"/>
        <v>0.43571998693922986</v>
      </c>
      <c r="K28" s="21">
        <f t="shared" si="2"/>
        <v>0.1277091327530214</v>
      </c>
      <c r="L28" s="21">
        <f t="shared" si="3"/>
        <v>0.1059830532008879</v>
      </c>
      <c r="M28" s="21">
        <f t="shared" si="4"/>
        <v>0.30801085418620849</v>
      </c>
      <c r="N28" s="18">
        <f t="shared" si="5"/>
        <v>31964904</v>
      </c>
      <c r="O28" s="21">
        <v>16</v>
      </c>
      <c r="P28" s="22">
        <v>253033881</v>
      </c>
      <c r="Q28" s="22">
        <v>843446.27</v>
      </c>
      <c r="R28" s="22">
        <v>22935.33</v>
      </c>
      <c r="S28" s="23">
        <v>109058352</v>
      </c>
      <c r="T28" s="23">
        <v>26526984</v>
      </c>
      <c r="U28" s="23">
        <v>5437920</v>
      </c>
      <c r="V28" s="23">
        <v>77093448</v>
      </c>
      <c r="W28" s="24">
        <v>70.475684000000001</v>
      </c>
      <c r="X28" s="24">
        <v>73.025847666666706</v>
      </c>
      <c r="Y28" s="24">
        <v>32.691479999999999</v>
      </c>
      <c r="Z28" s="24">
        <v>36.391761333333299</v>
      </c>
      <c r="AA28" s="24">
        <v>35.841872000000002</v>
      </c>
      <c r="AB28" s="25">
        <v>8861.24</v>
      </c>
      <c r="AC28" s="25">
        <v>70898</v>
      </c>
      <c r="AD28" s="25">
        <v>335.94200000000001</v>
      </c>
      <c r="AE28" s="25">
        <v>279.24299999999999</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25.145398399999998</v>
      </c>
      <c r="J29" s="30">
        <f t="shared" si="1"/>
        <v>1.0046321498081807</v>
      </c>
      <c r="K29" s="30">
        <f t="shared" si="2"/>
        <v>0.21140992976028541</v>
      </c>
      <c r="L29" s="30">
        <f t="shared" si="3"/>
        <v>0.16752388191926584</v>
      </c>
      <c r="M29" s="30">
        <f t="shared" si="4"/>
        <v>0.79322222004789544</v>
      </c>
      <c r="N29" s="27">
        <f t="shared" si="5"/>
        <v>52914760</v>
      </c>
      <c r="O29" s="30">
        <v>16</v>
      </c>
      <c r="P29" s="31">
        <v>243615027</v>
      </c>
      <c r="Q29" s="31">
        <v>812050.09</v>
      </c>
      <c r="R29" s="31">
        <v>10648.276666666699</v>
      </c>
      <c r="S29" s="32">
        <v>251453984</v>
      </c>
      <c r="T29" s="32">
        <v>41930320</v>
      </c>
      <c r="U29" s="32">
        <v>10984440</v>
      </c>
      <c r="V29" s="32">
        <v>198539224</v>
      </c>
      <c r="W29" s="33">
        <v>71.191898333333299</v>
      </c>
      <c r="X29" s="33">
        <v>74.928939999999997</v>
      </c>
      <c r="Y29" s="33">
        <v>35.719505666666699</v>
      </c>
      <c r="Z29" s="33">
        <v>38.378629333333301</v>
      </c>
      <c r="AA29" s="33">
        <v>37.768337666666703</v>
      </c>
      <c r="AB29" s="34">
        <v>8920.26</v>
      </c>
      <c r="AC29" s="34">
        <v>80350.600000000006</v>
      </c>
      <c r="AD29" s="34">
        <v>319.58999999999997</v>
      </c>
      <c r="AE29" s="34">
        <v>300.505</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128</v>
      </c>
      <c r="G30" s="19">
        <v>30</v>
      </c>
      <c r="I30" s="20">
        <f t="shared" si="0"/>
        <v>1.9848937499999999</v>
      </c>
      <c r="J30" s="21">
        <f t="shared" si="1"/>
        <v>2.2558262012073813E-2</v>
      </c>
      <c r="K30" s="21">
        <f t="shared" si="2"/>
        <v>1.762396050493921E-2</v>
      </c>
      <c r="L30" s="21">
        <f t="shared" si="3"/>
        <v>1.1207297279506173E-2</v>
      </c>
      <c r="M30" s="21">
        <f t="shared" si="4"/>
        <v>4.9343015071346046E-3</v>
      </c>
      <c r="N30" s="18">
        <f t="shared" si="5"/>
        <v>6616432</v>
      </c>
      <c r="O30" s="21">
        <v>16</v>
      </c>
      <c r="P30" s="22">
        <v>172282793</v>
      </c>
      <c r="Q30" s="22">
        <v>2691918.640625</v>
      </c>
      <c r="R30" s="22">
        <v>32558.609375</v>
      </c>
      <c r="S30" s="23">
        <v>8468880</v>
      </c>
      <c r="T30" s="23">
        <v>4207472</v>
      </c>
      <c r="U30" s="23">
        <v>2408960</v>
      </c>
      <c r="V30" s="23">
        <v>1852448</v>
      </c>
      <c r="W30" s="24">
        <v>73.532010937500004</v>
      </c>
      <c r="X30" s="24">
        <v>75.624971875</v>
      </c>
      <c r="Y30" s="24">
        <v>32.966354687500001</v>
      </c>
      <c r="Z30" s="24">
        <v>41.844732812499998</v>
      </c>
      <c r="AA30" s="24">
        <v>43.150642187499997</v>
      </c>
      <c r="AB30" s="25">
        <v>5456.65</v>
      </c>
      <c r="AC30" s="25">
        <v>45760.3</v>
      </c>
      <c r="AD30" s="25">
        <v>236.274</v>
      </c>
      <c r="AE30" s="25">
        <v>205.142</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128</v>
      </c>
      <c r="G31" s="10">
        <v>30</v>
      </c>
      <c r="I31" s="11">
        <f t="shared" si="0"/>
        <v>2.6572800000000001</v>
      </c>
      <c r="J31" s="12">
        <f t="shared" si="1"/>
        <v>3.0199912957277187E-2</v>
      </c>
      <c r="K31" s="12">
        <f t="shared" si="2"/>
        <v>2.1778660444252123E-2</v>
      </c>
      <c r="L31" s="12">
        <f t="shared" si="3"/>
        <v>1.5361997218819087E-2</v>
      </c>
      <c r="M31" s="12">
        <f t="shared" si="4"/>
        <v>8.421252513025064E-3</v>
      </c>
      <c r="N31" s="54">
        <f t="shared" si="5"/>
        <v>8176200</v>
      </c>
      <c r="O31" s="12">
        <v>16</v>
      </c>
      <c r="P31" s="13">
        <v>181467697</v>
      </c>
      <c r="Q31" s="13">
        <v>2835432.765625</v>
      </c>
      <c r="R31" s="13">
        <v>39838.984375</v>
      </c>
      <c r="S31" s="14">
        <v>11337728</v>
      </c>
      <c r="T31" s="14">
        <v>5767240</v>
      </c>
      <c r="U31" s="14">
        <v>2408960</v>
      </c>
      <c r="V31" s="14">
        <v>3161528</v>
      </c>
      <c r="W31" s="15">
        <v>75.180025000000001</v>
      </c>
      <c r="X31" s="15">
        <v>77.545546874999999</v>
      </c>
      <c r="Y31" s="15">
        <v>35.002264062499997</v>
      </c>
      <c r="Z31" s="15">
        <v>42.516117187500001</v>
      </c>
      <c r="AA31" s="15">
        <v>44.414595312499998</v>
      </c>
      <c r="AB31" s="16">
        <v>5346.09</v>
      </c>
      <c r="AC31" s="16">
        <v>47796.7</v>
      </c>
      <c r="AD31" s="16">
        <v>247.036</v>
      </c>
      <c r="AE31" s="16">
        <v>206.28100000000001</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128</v>
      </c>
      <c r="G32" s="19">
        <v>30</v>
      </c>
      <c r="I32" s="20">
        <f t="shared" si="0"/>
        <v>3.8344818749999998</v>
      </c>
      <c r="J32" s="21">
        <f t="shared" si="1"/>
        <v>4.3578779376376227E-2</v>
      </c>
      <c r="K32" s="21">
        <f t="shared" si="2"/>
        <v>2.7929170230240226E-2</v>
      </c>
      <c r="L32" s="21">
        <f t="shared" si="3"/>
        <v>2.151250700480719E-2</v>
      </c>
      <c r="M32" s="21">
        <f t="shared" si="4"/>
        <v>1.5649609146136001E-2</v>
      </c>
      <c r="N32" s="18">
        <f t="shared" si="5"/>
        <v>10485240</v>
      </c>
      <c r="O32" s="21">
        <v>16</v>
      </c>
      <c r="P32" s="22">
        <v>184191613</v>
      </c>
      <c r="Q32" s="22">
        <v>2877993.953125</v>
      </c>
      <c r="R32" s="22">
        <v>42690.109375</v>
      </c>
      <c r="S32" s="23">
        <v>16360456</v>
      </c>
      <c r="T32" s="23">
        <v>8076280</v>
      </c>
      <c r="U32" s="23">
        <v>2408960</v>
      </c>
      <c r="V32" s="23">
        <v>5875216</v>
      </c>
      <c r="W32" s="24">
        <v>76.422521875000001</v>
      </c>
      <c r="X32" s="24">
        <v>79.111943749999995</v>
      </c>
      <c r="Y32" s="24">
        <v>36.879482812500001</v>
      </c>
      <c r="Z32" s="24">
        <v>43.148579687500003</v>
      </c>
      <c r="AA32" s="24">
        <v>45.880240624999999</v>
      </c>
      <c r="AB32" s="25">
        <v>5242.9</v>
      </c>
      <c r="AC32" s="25">
        <v>48618.2</v>
      </c>
      <c r="AD32" s="25">
        <v>251.297</v>
      </c>
      <c r="AE32" s="25">
        <v>211.113</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128</v>
      </c>
      <c r="G33" s="10">
        <v>30</v>
      </c>
      <c r="I33" s="11">
        <f t="shared" si="0"/>
        <v>6.3263381250000004</v>
      </c>
      <c r="J33" s="12">
        <f t="shared" si="1"/>
        <v>7.1898656036738381E-2</v>
      </c>
      <c r="K33" s="12">
        <f t="shared" si="2"/>
        <v>3.8689419230633883E-2</v>
      </c>
      <c r="L33" s="12">
        <f t="shared" si="3"/>
        <v>3.2272756005200846E-2</v>
      </c>
      <c r="M33" s="12">
        <f t="shared" si="4"/>
        <v>3.3209236806104492E-2</v>
      </c>
      <c r="N33" s="54">
        <f t="shared" si="5"/>
        <v>14524880</v>
      </c>
      <c r="O33" s="12">
        <v>16</v>
      </c>
      <c r="P33" s="13">
        <v>188806131</v>
      </c>
      <c r="Q33" s="13">
        <v>2950095.796875</v>
      </c>
      <c r="R33" s="13">
        <v>47691.4375</v>
      </c>
      <c r="S33" s="14">
        <v>26992376</v>
      </c>
      <c r="T33" s="14">
        <v>12115920</v>
      </c>
      <c r="U33" s="14">
        <v>2408960</v>
      </c>
      <c r="V33" s="14">
        <v>12467496</v>
      </c>
      <c r="W33" s="15">
        <v>77.551282812500006</v>
      </c>
      <c r="X33" s="15">
        <v>80.268201562499996</v>
      </c>
      <c r="Y33" s="15">
        <v>38.690284374999997</v>
      </c>
      <c r="Z33" s="15">
        <v>43.741859374999997</v>
      </c>
      <c r="AA33" s="15">
        <v>47.245921875000001</v>
      </c>
      <c r="AB33" s="16">
        <v>5343.66</v>
      </c>
      <c r="AC33" s="16">
        <v>53222.400000000001</v>
      </c>
      <c r="AD33" s="16">
        <v>256.15300000000002</v>
      </c>
      <c r="AE33" s="16">
        <v>216.995</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128</v>
      </c>
      <c r="G34" s="38">
        <v>30</v>
      </c>
      <c r="I34" s="39">
        <f t="shared" si="0"/>
        <v>12.791051250000001</v>
      </c>
      <c r="J34" s="40">
        <f t="shared" si="1"/>
        <v>0.14536994008236676</v>
      </c>
      <c r="K34" s="40">
        <f t="shared" si="2"/>
        <v>6.429150488484657E-2</v>
      </c>
      <c r="L34" s="40">
        <f t="shared" si="3"/>
        <v>5.1089740245989869E-2</v>
      </c>
      <c r="M34" s="40">
        <f t="shared" si="4"/>
        <v>8.1078435197520199E-2</v>
      </c>
      <c r="N34" s="37">
        <f t="shared" si="5"/>
        <v>24136480</v>
      </c>
      <c r="O34" s="40">
        <v>16</v>
      </c>
      <c r="P34" s="41">
        <v>185070843</v>
      </c>
      <c r="Q34" s="41">
        <v>2891731.921875</v>
      </c>
      <c r="R34" s="41">
        <v>18923.953125</v>
      </c>
      <c r="S34" s="42">
        <v>54575152</v>
      </c>
      <c r="T34" s="42">
        <v>19180240</v>
      </c>
      <c r="U34" s="42">
        <v>4956240</v>
      </c>
      <c r="V34" s="42">
        <v>30438672</v>
      </c>
      <c r="W34" s="43">
        <v>78.460593750000001</v>
      </c>
      <c r="X34" s="43">
        <v>81.916093750000002</v>
      </c>
      <c r="Y34" s="43">
        <v>40.526649999999997</v>
      </c>
      <c r="Z34" s="43">
        <v>44.453842187500001</v>
      </c>
      <c r="AA34" s="43">
        <v>48.733712500000003</v>
      </c>
      <c r="AB34" s="44">
        <v>5389.7</v>
      </c>
      <c r="AC34" s="44">
        <v>57287.6</v>
      </c>
      <c r="AD34" s="44">
        <v>251.197</v>
      </c>
      <c r="AE34" s="44">
        <v>233.76499999999999</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128</v>
      </c>
      <c r="G35" s="10">
        <v>30</v>
      </c>
      <c r="I35" s="11">
        <f t="shared" si="0"/>
        <v>2.1797268750000001</v>
      </c>
      <c r="J35" s="12">
        <f t="shared" si="1"/>
        <v>2.7912448657891518E-2</v>
      </c>
      <c r="K35" s="12">
        <f t="shared" si="2"/>
        <v>2.1485234240744343E-2</v>
      </c>
      <c r="L35" s="12">
        <f t="shared" si="3"/>
        <v>1.3745402111161636E-2</v>
      </c>
      <c r="M35" s="12">
        <f t="shared" si="4"/>
        <v>6.4272144171471732E-3</v>
      </c>
      <c r="N35" s="54">
        <f t="shared" si="5"/>
        <v>7158680</v>
      </c>
      <c r="O35" s="12">
        <v>16</v>
      </c>
      <c r="P35" s="13">
        <v>149903109</v>
      </c>
      <c r="Q35" s="13">
        <v>2342236.078125</v>
      </c>
      <c r="R35" s="13">
        <v>30822.421875</v>
      </c>
      <c r="S35" s="14">
        <v>9300168</v>
      </c>
      <c r="T35" s="14">
        <v>4579840</v>
      </c>
      <c r="U35" s="14">
        <v>2578840</v>
      </c>
      <c r="V35" s="14">
        <v>2141488</v>
      </c>
      <c r="W35" s="15">
        <v>73.214260937500001</v>
      </c>
      <c r="X35" s="15">
        <v>75.410712500000002</v>
      </c>
      <c r="Y35" s="15">
        <v>31.887712499999999</v>
      </c>
      <c r="Z35" s="15">
        <v>42.160545312499998</v>
      </c>
      <c r="AA35" s="15">
        <v>43.432337500000003</v>
      </c>
      <c r="AB35" s="16">
        <v>4606.6499999999996</v>
      </c>
      <c r="AC35" s="16">
        <v>38652</v>
      </c>
      <c r="AD35" s="16">
        <v>204.869</v>
      </c>
      <c r="AE35" s="16">
        <v>162.083</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128</v>
      </c>
      <c r="G36" s="19">
        <v>30</v>
      </c>
      <c r="I36" s="20">
        <f t="shared" si="0"/>
        <v>2.9332199999999999</v>
      </c>
      <c r="J36" s="21">
        <f t="shared" si="1"/>
        <v>3.7561289715391778E-2</v>
      </c>
      <c r="K36" s="21">
        <f t="shared" si="2"/>
        <v>2.6603144363376852E-2</v>
      </c>
      <c r="L36" s="21">
        <f t="shared" si="3"/>
        <v>1.8863312233794144E-2</v>
      </c>
      <c r="M36" s="21">
        <f t="shared" si="4"/>
        <v>1.0958145352014923E-2</v>
      </c>
      <c r="N36" s="18">
        <f t="shared" si="5"/>
        <v>8863920</v>
      </c>
      <c r="O36" s="21">
        <v>16</v>
      </c>
      <c r="P36" s="22">
        <v>159705315</v>
      </c>
      <c r="Q36" s="22">
        <v>2495395.546875</v>
      </c>
      <c r="R36" s="22">
        <v>38648.546875</v>
      </c>
      <c r="S36" s="23">
        <v>12515072</v>
      </c>
      <c r="T36" s="23">
        <v>6285080</v>
      </c>
      <c r="U36" s="23">
        <v>2578840</v>
      </c>
      <c r="V36" s="23">
        <v>3651152</v>
      </c>
      <c r="W36" s="24">
        <v>74.935885937500004</v>
      </c>
      <c r="X36" s="24">
        <v>77.368315624999994</v>
      </c>
      <c r="Y36" s="24">
        <v>34.105979687500003</v>
      </c>
      <c r="Z36" s="24">
        <v>42.9345984375</v>
      </c>
      <c r="AA36" s="24">
        <v>44.759818750000001</v>
      </c>
      <c r="AB36" s="25">
        <v>4617.0600000000004</v>
      </c>
      <c r="AC36" s="25">
        <v>41193.800000000003</v>
      </c>
      <c r="AD36" s="25">
        <v>216.226</v>
      </c>
      <c r="AE36" s="25">
        <v>168.35499999999999</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128</v>
      </c>
      <c r="G37" s="10">
        <v>30</v>
      </c>
      <c r="I37" s="11">
        <f t="shared" si="0"/>
        <v>4.2182250000000003</v>
      </c>
      <c r="J37" s="12">
        <f t="shared" si="1"/>
        <v>5.4016395398131911E-2</v>
      </c>
      <c r="K37" s="12">
        <f t="shared" si="2"/>
        <v>3.4009497786416237E-2</v>
      </c>
      <c r="L37" s="12">
        <f t="shared" si="3"/>
        <v>2.6269665656833526E-2</v>
      </c>
      <c r="M37" s="12">
        <f t="shared" si="4"/>
        <v>2.0006897611715674E-2</v>
      </c>
      <c r="N37" s="54">
        <f t="shared" si="5"/>
        <v>11331648</v>
      </c>
      <c r="O37" s="12">
        <v>16</v>
      </c>
      <c r="P37" s="13">
        <v>163111668</v>
      </c>
      <c r="Q37" s="13">
        <v>2548619.8125</v>
      </c>
      <c r="R37" s="13">
        <v>41930.140625</v>
      </c>
      <c r="S37" s="14">
        <v>17997760</v>
      </c>
      <c r="T37" s="14">
        <v>8752808</v>
      </c>
      <c r="U37" s="14">
        <v>2578840</v>
      </c>
      <c r="V37" s="14">
        <v>6666112</v>
      </c>
      <c r="W37" s="15">
        <v>76.245125000000002</v>
      </c>
      <c r="X37" s="15">
        <v>78.983759375000005</v>
      </c>
      <c r="Y37" s="15">
        <v>36.186214062499999</v>
      </c>
      <c r="Z37" s="15">
        <v>43.520001562499999</v>
      </c>
      <c r="AA37" s="15">
        <v>46.114387499999999</v>
      </c>
      <c r="AB37" s="16">
        <v>4653.83</v>
      </c>
      <c r="AC37" s="16">
        <v>43785.599999999999</v>
      </c>
      <c r="AD37" s="16">
        <v>221.53899999999999</v>
      </c>
      <c r="AE37" s="16">
        <v>172.215</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128</v>
      </c>
      <c r="G38" s="19">
        <v>30</v>
      </c>
      <c r="I38" s="20">
        <f t="shared" si="0"/>
        <v>6.9000750000000002</v>
      </c>
      <c r="J38" s="21">
        <f t="shared" si="1"/>
        <v>8.8358771634221747E-2</v>
      </c>
      <c r="K38" s="21">
        <f t="shared" si="2"/>
        <v>4.6737152369825077E-2</v>
      </c>
      <c r="L38" s="21">
        <f t="shared" si="3"/>
        <v>3.899732024024237E-2</v>
      </c>
      <c r="M38" s="21">
        <f t="shared" si="4"/>
        <v>4.162161926439667E-2</v>
      </c>
      <c r="N38" s="18">
        <f t="shared" si="5"/>
        <v>15572384</v>
      </c>
      <c r="O38" s="21">
        <v>16</v>
      </c>
      <c r="P38" s="22">
        <v>167401357</v>
      </c>
      <c r="Q38" s="22">
        <v>2615646.203125</v>
      </c>
      <c r="R38" s="22">
        <v>46927.546875</v>
      </c>
      <c r="S38" s="23">
        <v>29440320</v>
      </c>
      <c r="T38" s="23">
        <v>12993544</v>
      </c>
      <c r="U38" s="23">
        <v>2578840</v>
      </c>
      <c r="V38" s="23">
        <v>13867936</v>
      </c>
      <c r="W38" s="24">
        <v>77.430582812500006</v>
      </c>
      <c r="X38" s="24">
        <v>80.1885328125</v>
      </c>
      <c r="Y38" s="24">
        <v>38.160107812500002</v>
      </c>
      <c r="Z38" s="24">
        <v>44.138823437500001</v>
      </c>
      <c r="AA38" s="24">
        <v>47.2741859375</v>
      </c>
      <c r="AB38" s="25">
        <v>4426.51</v>
      </c>
      <c r="AC38" s="25">
        <v>44051</v>
      </c>
      <c r="AD38" s="25">
        <v>228.05</v>
      </c>
      <c r="AE38" s="25">
        <v>174.53899999999999</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128</v>
      </c>
      <c r="G39" s="28">
        <v>30</v>
      </c>
      <c r="I39" s="29">
        <f t="shared" si="0"/>
        <v>13.724371874999999</v>
      </c>
      <c r="J39" s="30">
        <f t="shared" si="1"/>
        <v>0.17574716801284923</v>
      </c>
      <c r="K39" s="30">
        <f t="shared" si="2"/>
        <v>7.5786343477323284E-2</v>
      </c>
      <c r="L39" s="30">
        <f t="shared" si="3"/>
        <v>6.0105257022953607E-2</v>
      </c>
      <c r="M39" s="30">
        <f t="shared" si="4"/>
        <v>9.9960824535525961E-2</v>
      </c>
      <c r="N39" s="27">
        <f t="shared" si="5"/>
        <v>25251304</v>
      </c>
      <c r="O39" s="30">
        <v>16</v>
      </c>
      <c r="P39" s="31">
        <v>163642490</v>
      </c>
      <c r="Q39" s="31">
        <v>2556913.90625</v>
      </c>
      <c r="R39" s="31">
        <v>18550.453125</v>
      </c>
      <c r="S39" s="32">
        <v>58557320</v>
      </c>
      <c r="T39" s="32">
        <v>20026512</v>
      </c>
      <c r="U39" s="32">
        <v>5224792</v>
      </c>
      <c r="V39" s="32">
        <v>33306016</v>
      </c>
      <c r="W39" s="33">
        <v>78.2872921875</v>
      </c>
      <c r="X39" s="33">
        <v>81.8868875</v>
      </c>
      <c r="Y39" s="33">
        <v>40.247412500000003</v>
      </c>
      <c r="Z39" s="33">
        <v>45.062551562499998</v>
      </c>
      <c r="AA39" s="33">
        <v>48.669573437499999</v>
      </c>
      <c r="AB39" s="34">
        <v>4551.24</v>
      </c>
      <c r="AC39" s="34">
        <v>49274.8</v>
      </c>
      <c r="AD39" s="34">
        <v>222.32900000000001</v>
      </c>
      <c r="AE39" s="34">
        <v>186.298</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0.17758275060339812</v>
      </c>
      <c r="K40" s="48">
        <f>AVERAGE(K5:K24)</f>
        <v>9.7242784423484954E-2</v>
      </c>
      <c r="L40" s="48">
        <f>AVERAGE(L5:L24)</f>
        <v>7.1408700114173121E-2</v>
      </c>
      <c r="M40" s="48">
        <f>AVERAGE(M5:M24)</f>
        <v>8.0339966179913153E-2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0.37752536569089618</v>
      </c>
      <c r="K41" s="48">
        <f>AVERAGE(K25:K29)</f>
        <v>0.11122169316473658</v>
      </c>
      <c r="L41" s="48">
        <f>AVERAGE(L25:L29)</f>
        <v>8.5063619954825878E-2</v>
      </c>
      <c r="M41" s="48">
        <f>AVERAGE(M25:M29)</f>
        <v>0.26630367252615961</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6.9720162388331855E-2</v>
      </c>
      <c r="K42" s="48">
        <f>AVERAGE(K30:K39)</f>
        <v>3.749340875325978E-2</v>
      </c>
      <c r="L42" s="48">
        <f>AVERAGE(L30:L39)</f>
        <v>2.8942525501930844E-2</v>
      </c>
      <c r="M42" s="48">
        <f>AVERAGE(M30:M39)</f>
        <v>3.2226753635072075E-2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0.17532809898302179</v>
      </c>
      <c r="K43" s="48">
        <f>AVERAGE(K5:K39)</f>
        <v>8.2168521195028002E-2</v>
      </c>
      <c r="L43" s="48">
        <f>AVERAGE(L5:L39)</f>
        <v>6.1226210202197137E-2</v>
      </c>
      <c r="M43" s="48">
        <f>AVERAGE(M5:M39)</f>
        <v>9.3159577787993761E-2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466161.53000000009</v>
      </c>
      <c r="AC44" s="49">
        <f>SUM(AC5:AC24,AC25:AC29,AC30:AC39)</f>
        <v>1941245.5</v>
      </c>
      <c r="AD44" s="49">
        <f>SUM(AD5:AD24,AD25:AD29,AD30:AD39)</f>
        <v>10634.731</v>
      </c>
      <c r="AE44" s="49">
        <f>SUM(AE5:AE24,AE25:AE29,AE30:AE39)</f>
        <v>8287.7900000000009</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f>BA44/AC44</f>
        <v>0</v>
      </c>
      <c r="BB45" s="55">
        <f>BB44/AD44</f>
        <v>0</v>
      </c>
      <c r="BC45" s="55">
        <f>BC44/AE44</f>
        <v>0</v>
      </c>
    </row>
    <row r="46" spans="1:72" hidden="1" outlineLevel="2" x14ac:dyDescent="0.25">
      <c r="B46" s="47" t="s">
        <v>240</v>
      </c>
      <c r="AB46" s="49">
        <f>GEOMEAN(AB5:AB24,AB25:AB29,AB30:AB39)</f>
        <v>11403.931113727578</v>
      </c>
      <c r="AC46" s="49">
        <f>GEOMEAN(AC5:AC24,AC25:AC29,AC30:AC39)</f>
        <v>54486.824947706446</v>
      </c>
      <c r="AD46" s="49">
        <f>GEOMEAN(AD5:AD24,AD25:AD29,AD30:AD39)</f>
        <v>297.59117790576238</v>
      </c>
      <c r="AE46" s="49">
        <f>GEOMEAN(AE5:AE24,AE25:AE29,AE30:AE39)</f>
        <v>233.58954616301426</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2020-03-27T15:46:56Z</dcterms:modified>
</cp:coreProperties>
</file>