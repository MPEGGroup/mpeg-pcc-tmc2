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0EC3E0BC-D699-4355-9C7B-BE1E0465DCEA}" xr6:coauthVersionLast="45" xr6:coauthVersionMax="45" xr10:uidLastSave="{00000000-0000-0000-0000-000000000000}"/>
  <bookViews>
    <workbookView xWindow="28680" yWindow="-135"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B46" i="7"/>
  <c r="BA46" i="7"/>
  <c r="AZ46" i="7"/>
  <c r="AE46" i="7"/>
  <c r="AD46" i="7"/>
  <c r="AC46" i="7"/>
  <c r="AB46" i="7"/>
  <c r="BC44" i="7"/>
  <c r="BC45" i="7" s="1"/>
  <c r="BB44" i="7"/>
  <c r="BA44" i="7"/>
  <c r="BA45" i="7" s="1"/>
  <c r="AZ44" i="7"/>
  <c r="AE44" i="7"/>
  <c r="AD44" i="7"/>
  <c r="AC44" i="7"/>
  <c r="AB44" i="7"/>
  <c r="BF39" i="7"/>
  <c r="AL39" i="7"/>
  <c r="BG39" i="7" s="1"/>
  <c r="AK39" i="7"/>
  <c r="AJ39" i="7"/>
  <c r="AI39" i="7"/>
  <c r="AH39" i="7"/>
  <c r="AG39" i="7"/>
  <c r="N39" i="7"/>
  <c r="K39" i="7" s="1"/>
  <c r="M39" i="7"/>
  <c r="L39" i="7"/>
  <c r="J39" i="7"/>
  <c r="I39" i="7"/>
  <c r="BF38" i="7"/>
  <c r="AL38" i="7"/>
  <c r="AK38" i="7"/>
  <c r="AJ38" i="7"/>
  <c r="AH38" i="7"/>
  <c r="AG38" i="7"/>
  <c r="N38" i="7"/>
  <c r="K38" i="7" s="1"/>
  <c r="M38" i="7"/>
  <c r="L38" i="7"/>
  <c r="J38" i="7"/>
  <c r="I38" i="7"/>
  <c r="BF37" i="7"/>
  <c r="AL37" i="7"/>
  <c r="BG37" i="7" s="1"/>
  <c r="AK37" i="7"/>
  <c r="AJ37" i="7"/>
  <c r="AI37" i="7"/>
  <c r="AH37" i="7"/>
  <c r="AG37" i="7"/>
  <c r="N37" i="7"/>
  <c r="M37" i="7"/>
  <c r="L37" i="7"/>
  <c r="K37" i="7"/>
  <c r="J37" i="7"/>
  <c r="I37" i="7"/>
  <c r="BF36" i="7"/>
  <c r="AL36" i="7"/>
  <c r="AI36" i="7" s="1"/>
  <c r="AK36" i="7"/>
  <c r="AJ36" i="7"/>
  <c r="AH36" i="7"/>
  <c r="AG36" i="7"/>
  <c r="N36" i="7"/>
  <c r="K36" i="7" s="1"/>
  <c r="M36" i="7"/>
  <c r="L36" i="7"/>
  <c r="J36" i="7"/>
  <c r="I36" i="7"/>
  <c r="BF35" i="7"/>
  <c r="AL35" i="7"/>
  <c r="AK35" i="7"/>
  <c r="AJ35" i="7"/>
  <c r="AI35" i="7"/>
  <c r="AH35" i="7"/>
  <c r="AG35" i="7"/>
  <c r="N35" i="7"/>
  <c r="BG35" i="7" s="1"/>
  <c r="M35" i="7"/>
  <c r="L35" i="7"/>
  <c r="J35" i="7"/>
  <c r="I35" i="7"/>
  <c r="BF34" i="7"/>
  <c r="AL34" i="7"/>
  <c r="AK34" i="7"/>
  <c r="AJ34" i="7"/>
  <c r="AH34" i="7"/>
  <c r="AG34" i="7"/>
  <c r="N34" i="7"/>
  <c r="K34" i="7" s="1"/>
  <c r="M34" i="7"/>
  <c r="L34" i="7"/>
  <c r="J34" i="7"/>
  <c r="I34" i="7"/>
  <c r="BF33" i="7"/>
  <c r="AL33" i="7"/>
  <c r="AK33" i="7"/>
  <c r="AJ33" i="7"/>
  <c r="AI33" i="7"/>
  <c r="AH33" i="7"/>
  <c r="AG33" i="7"/>
  <c r="N33" i="7"/>
  <c r="M33" i="7"/>
  <c r="L33" i="7"/>
  <c r="J33" i="7"/>
  <c r="I33" i="7"/>
  <c r="BF32" i="7"/>
  <c r="AL32" i="7"/>
  <c r="BG32" i="7" s="1"/>
  <c r="AK32" i="7"/>
  <c r="AJ32" i="7"/>
  <c r="AI32" i="7"/>
  <c r="AH32" i="7"/>
  <c r="AG32" i="7"/>
  <c r="N32" i="7"/>
  <c r="K32" i="7" s="1"/>
  <c r="M32" i="7"/>
  <c r="L32" i="7"/>
  <c r="J32" i="7"/>
  <c r="I32" i="7"/>
  <c r="BF31" i="7"/>
  <c r="AL31" i="7"/>
  <c r="BG31" i="7" s="1"/>
  <c r="AK31" i="7"/>
  <c r="AJ31" i="7"/>
  <c r="AH31" i="7"/>
  <c r="AG31" i="7"/>
  <c r="N31" i="7"/>
  <c r="K31" i="7" s="1"/>
  <c r="M31" i="7"/>
  <c r="L31" i="7"/>
  <c r="J31" i="7"/>
  <c r="I31" i="7"/>
  <c r="BF30" i="7"/>
  <c r="AL30" i="7"/>
  <c r="AK30" i="7"/>
  <c r="AJ30" i="7"/>
  <c r="AH30" i="7"/>
  <c r="AG30" i="7"/>
  <c r="N30" i="7"/>
  <c r="K30" i="7" s="1"/>
  <c r="M30" i="7"/>
  <c r="L30" i="7"/>
  <c r="J30" i="7"/>
  <c r="I30" i="7"/>
  <c r="BF29" i="7"/>
  <c r="AL29" i="7"/>
  <c r="BG29" i="7" s="1"/>
  <c r="AK29" i="7"/>
  <c r="AJ29" i="7"/>
  <c r="AH29" i="7"/>
  <c r="AG29" i="7"/>
  <c r="N29" i="7"/>
  <c r="M29" i="7"/>
  <c r="L29" i="7"/>
  <c r="K29" i="7"/>
  <c r="J29" i="7"/>
  <c r="I29" i="7"/>
  <c r="BF28" i="7"/>
  <c r="AL28" i="7"/>
  <c r="BG28" i="7" s="1"/>
  <c r="AK28" i="7"/>
  <c r="AJ28" i="7"/>
  <c r="AI28" i="7"/>
  <c r="AH28" i="7"/>
  <c r="AG28" i="7"/>
  <c r="N28" i="7"/>
  <c r="K28" i="7" s="1"/>
  <c r="M28" i="7"/>
  <c r="L28" i="7"/>
  <c r="J28" i="7"/>
  <c r="I28" i="7"/>
  <c r="BF27" i="7"/>
  <c r="AL27" i="7"/>
  <c r="BG27" i="7" s="1"/>
  <c r="AK27" i="7"/>
  <c r="AJ27" i="7"/>
  <c r="AI27" i="7"/>
  <c r="AH27" i="7"/>
  <c r="AG27" i="7"/>
  <c r="N27" i="7"/>
  <c r="K27" i="7" s="1"/>
  <c r="M27" i="7"/>
  <c r="L27" i="7"/>
  <c r="J27" i="7"/>
  <c r="I27" i="7"/>
  <c r="BF26" i="7"/>
  <c r="AL26" i="7"/>
  <c r="AK26" i="7"/>
  <c r="AJ26" i="7"/>
  <c r="AH26" i="7"/>
  <c r="AG26" i="7"/>
  <c r="N26" i="7"/>
  <c r="K26" i="7" s="1"/>
  <c r="M26" i="7"/>
  <c r="L26" i="7"/>
  <c r="J26" i="7"/>
  <c r="I26" i="7"/>
  <c r="BF25" i="7"/>
  <c r="AL25" i="7"/>
  <c r="BG25" i="7" s="1"/>
  <c r="AK25" i="7"/>
  <c r="AK41" i="7" s="1"/>
  <c r="AJ25" i="7"/>
  <c r="AI25" i="7"/>
  <c r="AH25" i="7"/>
  <c r="AG25" i="7"/>
  <c r="N25" i="7"/>
  <c r="M25" i="7"/>
  <c r="L25" i="7"/>
  <c r="K25" i="7"/>
  <c r="J25" i="7"/>
  <c r="J41" i="7" s="1"/>
  <c r="I25" i="7"/>
  <c r="BF24" i="7"/>
  <c r="AL24" i="7"/>
  <c r="BG24" i="7" s="1"/>
  <c r="AK24" i="7"/>
  <c r="AJ24" i="7"/>
  <c r="AI24" i="7"/>
  <c r="BE24" i="7" s="1"/>
  <c r="AH24" i="7"/>
  <c r="AG24" i="7"/>
  <c r="N24" i="7"/>
  <c r="K24" i="7" s="1"/>
  <c r="M24" i="7"/>
  <c r="L24" i="7"/>
  <c r="J24" i="7"/>
  <c r="I24" i="7"/>
  <c r="BF23" i="7"/>
  <c r="AL23" i="7"/>
  <c r="BG23" i="7" s="1"/>
  <c r="AK23" i="7"/>
  <c r="AJ23" i="7"/>
  <c r="AI23" i="7"/>
  <c r="AH23" i="7"/>
  <c r="AG23" i="7"/>
  <c r="N23" i="7"/>
  <c r="M23" i="7"/>
  <c r="L23" i="7"/>
  <c r="K23" i="7"/>
  <c r="J23" i="7"/>
  <c r="I23" i="7"/>
  <c r="BF22" i="7"/>
  <c r="AL22" i="7"/>
  <c r="AK22" i="7"/>
  <c r="AJ22" i="7"/>
  <c r="AH22" i="7"/>
  <c r="AG22" i="7"/>
  <c r="N22" i="7"/>
  <c r="M22" i="7"/>
  <c r="L22" i="7"/>
  <c r="K22" i="7"/>
  <c r="J22" i="7"/>
  <c r="I22" i="7"/>
  <c r="BF21" i="7"/>
  <c r="AL21" i="7"/>
  <c r="AI21" i="7" s="1"/>
  <c r="AK21" i="7"/>
  <c r="AJ21" i="7"/>
  <c r="AH21" i="7"/>
  <c r="AG21" i="7"/>
  <c r="N21" i="7"/>
  <c r="K21" i="7" s="1"/>
  <c r="M21" i="7"/>
  <c r="L21" i="7"/>
  <c r="J21" i="7"/>
  <c r="I21" i="7"/>
  <c r="BF20" i="7"/>
  <c r="AL20" i="7"/>
  <c r="BH20" i="7" s="1" a="1"/>
  <c r="AK20" i="7"/>
  <c r="AJ20" i="7"/>
  <c r="AH20" i="7"/>
  <c r="AG20" i="7"/>
  <c r="N20" i="7"/>
  <c r="M20" i="7"/>
  <c r="L20" i="7"/>
  <c r="J20" i="7"/>
  <c r="I20" i="7"/>
  <c r="BF19" i="7"/>
  <c r="AL19" i="7"/>
  <c r="BG19" i="7" s="1"/>
  <c r="AK19" i="7"/>
  <c r="AJ19" i="7"/>
  <c r="AH19" i="7"/>
  <c r="AG19" i="7"/>
  <c r="N19" i="7"/>
  <c r="K19" i="7" s="1"/>
  <c r="M19" i="7"/>
  <c r="L19" i="7"/>
  <c r="J19" i="7"/>
  <c r="I19" i="7"/>
  <c r="BF18" i="7"/>
  <c r="AL18" i="7"/>
  <c r="AK18" i="7"/>
  <c r="AJ18" i="7"/>
  <c r="AH18" i="7"/>
  <c r="AG18" i="7"/>
  <c r="N18" i="7"/>
  <c r="K18" i="7" s="1"/>
  <c r="M18" i="7"/>
  <c r="L18" i="7"/>
  <c r="J18" i="7"/>
  <c r="I18" i="7"/>
  <c r="BG17" i="7"/>
  <c r="BF17" i="7"/>
  <c r="AL17" i="7"/>
  <c r="AI17" i="7" s="1"/>
  <c r="AK17" i="7"/>
  <c r="AJ17" i="7"/>
  <c r="AH17" i="7"/>
  <c r="AG17" i="7"/>
  <c r="N17" i="7"/>
  <c r="M17" i="7"/>
  <c r="L17" i="7"/>
  <c r="K17" i="7"/>
  <c r="J17" i="7"/>
  <c r="I17" i="7"/>
  <c r="BF16" i="7"/>
  <c r="AL16" i="7"/>
  <c r="AI16" i="7" s="1"/>
  <c r="BE16" i="7" s="1"/>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M14" i="7"/>
  <c r="L14" i="7"/>
  <c r="K14" i="7"/>
  <c r="J14" i="7"/>
  <c r="I14" i="7"/>
  <c r="BG13" i="7"/>
  <c r="BF13" i="7"/>
  <c r="AL13" i="7"/>
  <c r="AK13" i="7"/>
  <c r="AJ13" i="7"/>
  <c r="AI13" i="7"/>
  <c r="AH13" i="7"/>
  <c r="AG13" i="7"/>
  <c r="N13" i="7"/>
  <c r="K13" i="7" s="1"/>
  <c r="M13" i="7"/>
  <c r="L13" i="7"/>
  <c r="J13" i="7"/>
  <c r="I13" i="7"/>
  <c r="BF12" i="7"/>
  <c r="AL12" i="7"/>
  <c r="AK12" i="7"/>
  <c r="AJ12" i="7"/>
  <c r="AI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AI9" i="7" s="1"/>
  <c r="AK9" i="7"/>
  <c r="AJ9" i="7"/>
  <c r="AH9" i="7"/>
  <c r="AG9" i="7"/>
  <c r="N9" i="7"/>
  <c r="M9" i="7"/>
  <c r="L9" i="7"/>
  <c r="K9" i="7"/>
  <c r="J9" i="7"/>
  <c r="I9" i="7"/>
  <c r="BF8" i="7"/>
  <c r="AL8" i="7"/>
  <c r="AK8" i="7"/>
  <c r="AJ8" i="7"/>
  <c r="AI8" i="7"/>
  <c r="BE8" i="7" s="1"/>
  <c r="AH8" i="7"/>
  <c r="AG8" i="7"/>
  <c r="N8" i="7"/>
  <c r="K8" i="7" s="1"/>
  <c r="M8" i="7"/>
  <c r="L8" i="7"/>
  <c r="J8" i="7"/>
  <c r="I8" i="7"/>
  <c r="BF7" i="7"/>
  <c r="AL7" i="7"/>
  <c r="AK7" i="7"/>
  <c r="AJ7" i="7"/>
  <c r="AI7" i="7"/>
  <c r="AH7" i="7"/>
  <c r="AG7" i="7"/>
  <c r="N7" i="7"/>
  <c r="K7" i="7" s="1"/>
  <c r="M7" i="7"/>
  <c r="L7" i="7"/>
  <c r="J7" i="7"/>
  <c r="I7" i="7"/>
  <c r="BF6" i="7"/>
  <c r="AL6" i="7"/>
  <c r="AK6" i="7"/>
  <c r="AJ6" i="7"/>
  <c r="AH6" i="7"/>
  <c r="AG6" i="7"/>
  <c r="N6" i="7"/>
  <c r="K6" i="7" s="1"/>
  <c r="M6" i="7"/>
  <c r="M40" i="7" s="1"/>
  <c r="L6" i="7"/>
  <c r="J6" i="7"/>
  <c r="I6" i="7"/>
  <c r="BF5" i="7"/>
  <c r="AL5" i="7"/>
  <c r="AI5" i="7" s="1"/>
  <c r="AK5" i="7"/>
  <c r="AJ5" i="7"/>
  <c r="AH5" i="7"/>
  <c r="AG5" i="7"/>
  <c r="N5" i="7"/>
  <c r="K5" i="7" s="1"/>
  <c r="M5" i="7"/>
  <c r="M43" i="7" s="1"/>
  <c r="L5" i="7"/>
  <c r="J5" i="7"/>
  <c r="I5" i="7"/>
  <c r="AG1" i="7"/>
  <c r="I1" i="7"/>
  <c r="AX19" i="6"/>
  <c r="AZ18" i="6"/>
  <c r="AZ19" i="6" s="1"/>
  <c r="AY18" i="6"/>
  <c r="AX18" i="6"/>
  <c r="AW18" i="6"/>
  <c r="AW19" i="6" s="1"/>
  <c r="AC18" i="6"/>
  <c r="AB18" i="6"/>
  <c r="AA18" i="6"/>
  <c r="Z18" i="6"/>
  <c r="AZ16" i="6"/>
  <c r="AY16" i="6"/>
  <c r="AX16" i="6"/>
  <c r="AW16" i="6"/>
  <c r="AW17" i="6" s="1"/>
  <c r="AC16" i="6"/>
  <c r="AB16" i="6"/>
  <c r="AY17" i="6" s="1"/>
  <c r="AA16" i="6"/>
  <c r="Z16" i="6"/>
  <c r="BG11" i="6" a="1"/>
  <c r="AK11" i="6"/>
  <c r="AH11" i="6" s="1"/>
  <c r="AJ11" i="6"/>
  <c r="AI11" i="6"/>
  <c r="BD11" i="6" s="1"/>
  <c r="AG11" i="6"/>
  <c r="AF11" i="6"/>
  <c r="AE11" i="6"/>
  <c r="N11" i="6"/>
  <c r="K11" i="6" s="1"/>
  <c r="BC11" i="6" s="1"/>
  <c r="M11" i="6"/>
  <c r="L11" i="6"/>
  <c r="J11" i="6"/>
  <c r="I11" i="6"/>
  <c r="H11" i="6"/>
  <c r="BG10" i="6" a="1"/>
  <c r="AK10" i="6"/>
  <c r="AH10" i="6" s="1"/>
  <c r="AJ10" i="6"/>
  <c r="AI10" i="6"/>
  <c r="AI14" i="6" s="1"/>
  <c r="AG10" i="6"/>
  <c r="AG14" i="6" s="1"/>
  <c r="AF10" i="6"/>
  <c r="AE10" i="6"/>
  <c r="N10" i="6"/>
  <c r="K10" i="6" s="1"/>
  <c r="M10" i="6"/>
  <c r="L10" i="6"/>
  <c r="J10" i="6"/>
  <c r="I10" i="6"/>
  <c r="H10" i="6"/>
  <c r="AK9" i="6"/>
  <c r="BG9" i="6" s="1" a="1"/>
  <c r="AJ9" i="6"/>
  <c r="AJ13" i="6" s="1"/>
  <c r="AI9" i="6"/>
  <c r="AH9" i="6"/>
  <c r="AH13" i="6" s="1"/>
  <c r="AG9" i="6"/>
  <c r="AG13" i="6" s="1"/>
  <c r="AF9" i="6"/>
  <c r="AE9" i="6"/>
  <c r="N9" i="6"/>
  <c r="BF9" i="6" s="1"/>
  <c r="M9" i="6"/>
  <c r="L9" i="6"/>
  <c r="L13" i="6" s="1"/>
  <c r="J9" i="6"/>
  <c r="J13" i="6" s="1"/>
  <c r="I9" i="6"/>
  <c r="H9" i="6"/>
  <c r="BG8" i="6" a="1"/>
  <c r="AK8" i="6"/>
  <c r="AH8" i="6" s="1"/>
  <c r="AJ8" i="6"/>
  <c r="AI8" i="6"/>
  <c r="AG8" i="6"/>
  <c r="AF8" i="6"/>
  <c r="AE8" i="6"/>
  <c r="N8" i="6"/>
  <c r="K8" i="6" s="1"/>
  <c r="M8" i="6"/>
  <c r="L8" i="6"/>
  <c r="J8" i="6"/>
  <c r="BB8" i="6" s="1"/>
  <c r="I8" i="6"/>
  <c r="H8" i="6"/>
  <c r="BG7" i="6" a="1"/>
  <c r="AK7" i="6"/>
  <c r="AH7" i="6" s="1"/>
  <c r="AJ7" i="6"/>
  <c r="AI7" i="6"/>
  <c r="BD7" i="6" s="1"/>
  <c r="AG7" i="6"/>
  <c r="BB7" i="6" s="1"/>
  <c r="AF7" i="6"/>
  <c r="AE7" i="6"/>
  <c r="N7" i="6"/>
  <c r="K7" i="6" s="1"/>
  <c r="M7" i="6"/>
  <c r="BE7" i="6" s="1"/>
  <c r="L7" i="6"/>
  <c r="J7" i="6"/>
  <c r="I7" i="6"/>
  <c r="H7" i="6"/>
  <c r="BG6" i="6" a="1"/>
  <c r="AK6" i="6"/>
  <c r="BF6" i="6" s="1"/>
  <c r="AJ6" i="6"/>
  <c r="AI6" i="6"/>
  <c r="AG6" i="6"/>
  <c r="BB6" i="6" s="1"/>
  <c r="AF6" i="6"/>
  <c r="AE6" i="6"/>
  <c r="N6" i="6"/>
  <c r="K6" i="6" s="1"/>
  <c r="M6" i="6"/>
  <c r="L6" i="6"/>
  <c r="J6" i="6"/>
  <c r="I6" i="6"/>
  <c r="H6" i="6"/>
  <c r="AK5" i="6"/>
  <c r="BG5" i="6" s="1" a="1"/>
  <c r="BG5" i="6" s="1"/>
  <c r="AJ5" i="6"/>
  <c r="AI5" i="6"/>
  <c r="AG5" i="6"/>
  <c r="AF5" i="6"/>
  <c r="AE5" i="6"/>
  <c r="N5" i="6"/>
  <c r="BF5" i="6" s="1"/>
  <c r="M5" i="6"/>
  <c r="L5" i="6"/>
  <c r="J5" i="6"/>
  <c r="I5" i="6"/>
  <c r="H5" i="6"/>
  <c r="AE1" i="6"/>
  <c r="H1" i="6"/>
  <c r="AZ19" i="5"/>
  <c r="AZ18" i="5"/>
  <c r="AY18" i="5"/>
  <c r="AX18" i="5"/>
  <c r="AW18" i="5"/>
  <c r="AW19" i="5" s="1"/>
  <c r="AC18" i="5"/>
  <c r="AB18" i="5"/>
  <c r="AA18" i="5"/>
  <c r="Z18" i="5"/>
  <c r="AZ16" i="5"/>
  <c r="AY16" i="5"/>
  <c r="AX16" i="5"/>
  <c r="AW16" i="5"/>
  <c r="AC16" i="5"/>
  <c r="AB16" i="5"/>
  <c r="AA16" i="5"/>
  <c r="AX17" i="5" s="1"/>
  <c r="Z16" i="5"/>
  <c r="AK11" i="5"/>
  <c r="BG11" i="5" s="1" a="1"/>
  <c r="AJ11" i="5"/>
  <c r="AJ14" i="5" s="1"/>
  <c r="AI11" i="5"/>
  <c r="AH11" i="5"/>
  <c r="AG11" i="5"/>
  <c r="BB11" i="5" s="1"/>
  <c r="AF11" i="5"/>
  <c r="AE11" i="5"/>
  <c r="N11" i="5"/>
  <c r="K11" i="5" s="1"/>
  <c r="M11" i="5"/>
  <c r="L11" i="5"/>
  <c r="BD11" i="5" s="1"/>
  <c r="J11" i="5"/>
  <c r="I11" i="5"/>
  <c r="H11" i="5"/>
  <c r="AK10" i="5"/>
  <c r="BG10" i="5" s="1" a="1"/>
  <c r="AJ10" i="5"/>
  <c r="AI10" i="5"/>
  <c r="BD10" i="5" s="1"/>
  <c r="AG10" i="5"/>
  <c r="AG14" i="5" s="1"/>
  <c r="AF10" i="5"/>
  <c r="AE10" i="5"/>
  <c r="N10" i="5"/>
  <c r="M10" i="5"/>
  <c r="BE10" i="5" s="1"/>
  <c r="L10" i="5"/>
  <c r="J10" i="5"/>
  <c r="I10" i="5"/>
  <c r="H10" i="5"/>
  <c r="AK9" i="5"/>
  <c r="AH9" i="5" s="1"/>
  <c r="AH13" i="5" s="1"/>
  <c r="AJ9" i="5"/>
  <c r="AJ13" i="5" s="1"/>
  <c r="AI9" i="5"/>
  <c r="AI13" i="5" s="1"/>
  <c r="AG9" i="5"/>
  <c r="AG13" i="5" s="1"/>
  <c r="AF9" i="5"/>
  <c r="AE9" i="5"/>
  <c r="N9" i="5"/>
  <c r="BG9" i="5" s="1" a="1"/>
  <c r="BG9" i="5" s="1"/>
  <c r="BG13" i="5" s="1"/>
  <c r="M9" i="5"/>
  <c r="M13" i="5" s="1"/>
  <c r="L9" i="5"/>
  <c r="L13" i="5" s="1"/>
  <c r="J9" i="5"/>
  <c r="I9" i="5"/>
  <c r="H9" i="5"/>
  <c r="AK8" i="5"/>
  <c r="BG8" i="5" s="1" a="1"/>
  <c r="BG8" i="5" s="1"/>
  <c r="AJ8" i="5"/>
  <c r="AI8" i="5"/>
  <c r="AG8" i="5"/>
  <c r="AF8" i="5"/>
  <c r="AE8" i="5"/>
  <c r="N8" i="5"/>
  <c r="K8" i="5" s="1"/>
  <c r="M8" i="5"/>
  <c r="L8" i="5"/>
  <c r="J8" i="5"/>
  <c r="I8" i="5"/>
  <c r="H8" i="5"/>
  <c r="AK7" i="5"/>
  <c r="BG7" i="5" s="1" a="1"/>
  <c r="BG7" i="5" s="1"/>
  <c r="AJ7" i="5"/>
  <c r="AJ15" i="5" s="1"/>
  <c r="AI7" i="5"/>
  <c r="AH7" i="5"/>
  <c r="AG7" i="5"/>
  <c r="AF7" i="5"/>
  <c r="AE7" i="5"/>
  <c r="N7" i="5"/>
  <c r="K7" i="5" s="1"/>
  <c r="M7" i="5"/>
  <c r="L7" i="5"/>
  <c r="J7" i="5"/>
  <c r="I7" i="5"/>
  <c r="H7" i="5"/>
  <c r="AK6" i="5"/>
  <c r="AH6" i="5" s="1"/>
  <c r="AJ6" i="5"/>
  <c r="AI6" i="5"/>
  <c r="AG6" i="5"/>
  <c r="AF6" i="5"/>
  <c r="AE6" i="5"/>
  <c r="N6" i="5"/>
  <c r="K6" i="5" s="1"/>
  <c r="M6" i="5"/>
  <c r="L6" i="5"/>
  <c r="J6" i="5"/>
  <c r="I6" i="5"/>
  <c r="H6" i="5"/>
  <c r="AK5" i="5"/>
  <c r="AH5" i="5" s="1"/>
  <c r="AJ5" i="5"/>
  <c r="AI5" i="5"/>
  <c r="AG5" i="5"/>
  <c r="AF5" i="5"/>
  <c r="AE5" i="5"/>
  <c r="N5" i="5"/>
  <c r="BG5" i="5" s="1" a="1"/>
  <c r="M5" i="5"/>
  <c r="L5" i="5"/>
  <c r="L12" i="5" s="1"/>
  <c r="J5" i="5"/>
  <c r="I5" i="5"/>
  <c r="H5" i="5"/>
  <c r="AE1" i="5"/>
  <c r="H1" i="5"/>
  <c r="BC46" i="3"/>
  <c r="BB46" i="3"/>
  <c r="BA46" i="3"/>
  <c r="AZ46" i="3"/>
  <c r="AE46" i="3"/>
  <c r="BC47" i="3" s="1"/>
  <c r="AD46" i="3"/>
  <c r="BB47" i="3" s="1"/>
  <c r="C14" i="1" s="1"/>
  <c r="AC46" i="3"/>
  <c r="AB46" i="3"/>
  <c r="BC44" i="3"/>
  <c r="BB44" i="3"/>
  <c r="BB45" i="3" s="1"/>
  <c r="BA44" i="3"/>
  <c r="AZ44" i="3"/>
  <c r="AE44" i="3"/>
  <c r="BC45" i="3" s="1"/>
  <c r="AD44" i="3"/>
  <c r="AC44" i="3"/>
  <c r="BA45" i="3" s="1"/>
  <c r="AB44" i="3"/>
  <c r="BF39" i="3"/>
  <c r="AL39" i="3"/>
  <c r="BG39" i="3" s="1"/>
  <c r="AK39" i="3"/>
  <c r="AJ39" i="3"/>
  <c r="AI39" i="3"/>
  <c r="AH39" i="3"/>
  <c r="AG39" i="3"/>
  <c r="N39" i="3"/>
  <c r="M39" i="3"/>
  <c r="L39" i="3"/>
  <c r="K39" i="3"/>
  <c r="BE39" i="3" s="1"/>
  <c r="J39" i="3"/>
  <c r="I39" i="3"/>
  <c r="BF38" i="3"/>
  <c r="AL38" i="3"/>
  <c r="AK38" i="3"/>
  <c r="AJ38" i="3"/>
  <c r="AH38" i="3"/>
  <c r="AG38" i="3"/>
  <c r="N38" i="3"/>
  <c r="K38" i="3" s="1"/>
  <c r="M38" i="3"/>
  <c r="L38" i="3"/>
  <c r="J38" i="3"/>
  <c r="I38" i="3"/>
  <c r="BF37" i="3"/>
  <c r="AL37" i="3"/>
  <c r="AI37" i="3" s="1"/>
  <c r="AK37" i="3"/>
  <c r="AJ37" i="3"/>
  <c r="AH37" i="3"/>
  <c r="AG37" i="3"/>
  <c r="N37" i="3"/>
  <c r="BG37" i="3" s="1"/>
  <c r="M37" i="3"/>
  <c r="L37" i="3"/>
  <c r="K37" i="3"/>
  <c r="J37" i="3"/>
  <c r="I37" i="3"/>
  <c r="BF36" i="3"/>
  <c r="AL36" i="3"/>
  <c r="AI36" i="3" s="1"/>
  <c r="AK36" i="3"/>
  <c r="AJ36" i="3"/>
  <c r="AH36" i="3"/>
  <c r="AG36" i="3"/>
  <c r="N36" i="3"/>
  <c r="K36" i="3" s="1"/>
  <c r="BE36" i="3" s="1"/>
  <c r="M36" i="3"/>
  <c r="L36" i="3"/>
  <c r="J36" i="3"/>
  <c r="I36" i="3"/>
  <c r="BF35" i="3"/>
  <c r="AL35" i="3"/>
  <c r="BG35" i="3" s="1"/>
  <c r="AK35" i="3"/>
  <c r="AJ35" i="3"/>
  <c r="AH35" i="3"/>
  <c r="AG35" i="3"/>
  <c r="N35" i="3"/>
  <c r="M35" i="3"/>
  <c r="L35" i="3"/>
  <c r="K35" i="3"/>
  <c r="J35" i="3"/>
  <c r="I35" i="3"/>
  <c r="BF34" i="3"/>
  <c r="AL34" i="3"/>
  <c r="AI34" i="3" s="1"/>
  <c r="AK34" i="3"/>
  <c r="AJ34" i="3"/>
  <c r="AH34" i="3"/>
  <c r="AG34" i="3"/>
  <c r="N34" i="3"/>
  <c r="M34" i="3"/>
  <c r="L34" i="3"/>
  <c r="K34" i="3"/>
  <c r="J34" i="3"/>
  <c r="I34" i="3"/>
  <c r="BF33" i="3"/>
  <c r="AL33" i="3"/>
  <c r="AI33" i="3" s="1"/>
  <c r="AK33" i="3"/>
  <c r="AJ33" i="3"/>
  <c r="AH33" i="3"/>
  <c r="AG33" i="3"/>
  <c r="N33" i="3"/>
  <c r="M33" i="3"/>
  <c r="L33" i="3"/>
  <c r="K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I30" i="3" s="1"/>
  <c r="AK30" i="3"/>
  <c r="AK42" i="3" s="1"/>
  <c r="AJ30" i="3"/>
  <c r="AJ42" i="3" s="1"/>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J41" i="3" s="1"/>
  <c r="AH27" i="3"/>
  <c r="AG27" i="3"/>
  <c r="N27" i="3"/>
  <c r="M27" i="3"/>
  <c r="L27" i="3"/>
  <c r="J27" i="3"/>
  <c r="I27" i="3"/>
  <c r="BF26" i="3"/>
  <c r="AL26" i="3"/>
  <c r="AK26" i="3"/>
  <c r="AJ26" i="3"/>
  <c r="AI26" i="3"/>
  <c r="AH26" i="3"/>
  <c r="AG26" i="3"/>
  <c r="N26" i="3"/>
  <c r="BG26" i="3" s="1"/>
  <c r="M26" i="3"/>
  <c r="L26" i="3"/>
  <c r="J26" i="3"/>
  <c r="I26" i="3"/>
  <c r="BF25" i="3"/>
  <c r="AL25" i="3"/>
  <c r="AI25" i="3" s="1"/>
  <c r="AK25" i="3"/>
  <c r="AJ25" i="3"/>
  <c r="AH25" i="3"/>
  <c r="AG25" i="3"/>
  <c r="N25" i="3"/>
  <c r="M25" i="3"/>
  <c r="L25" i="3"/>
  <c r="L41" i="3" s="1"/>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BG22" i="3" s="1"/>
  <c r="M22" i="3"/>
  <c r="L22" i="3"/>
  <c r="J22" i="3"/>
  <c r="I22" i="3"/>
  <c r="BF21" i="3"/>
  <c r="AL21" i="3"/>
  <c r="AI21" i="3" s="1"/>
  <c r="AK21" i="3"/>
  <c r="AJ21" i="3"/>
  <c r="AH21" i="3"/>
  <c r="AG21" i="3"/>
  <c r="N21" i="3"/>
  <c r="K21" i="3" s="1"/>
  <c r="M21" i="3"/>
  <c r="L21" i="3"/>
  <c r="J21" i="3"/>
  <c r="I21" i="3"/>
  <c r="BF20" i="3"/>
  <c r="AL20" i="3"/>
  <c r="AI20" i="3" s="1"/>
  <c r="AK20" i="3"/>
  <c r="AJ20" i="3"/>
  <c r="AH20" i="3"/>
  <c r="AG20" i="3"/>
  <c r="N20" i="3"/>
  <c r="BG20" i="3" s="1"/>
  <c r="M20" i="3"/>
  <c r="L20" i="3"/>
  <c r="K20" i="3"/>
  <c r="J20" i="3"/>
  <c r="I20" i="3"/>
  <c r="BF19" i="3"/>
  <c r="AL19" i="3"/>
  <c r="AI19" i="3" s="1"/>
  <c r="AK19" i="3"/>
  <c r="AJ19" i="3"/>
  <c r="AH19" i="3"/>
  <c r="AG19" i="3"/>
  <c r="N19" i="3"/>
  <c r="BG19" i="3" s="1"/>
  <c r="M19" i="3"/>
  <c r="L19" i="3"/>
  <c r="J19" i="3"/>
  <c r="I19" i="3"/>
  <c r="BF18" i="3"/>
  <c r="AL18" i="3"/>
  <c r="AI18" i="3" s="1"/>
  <c r="AK18" i="3"/>
  <c r="AJ18" i="3"/>
  <c r="AH18" i="3"/>
  <c r="AG18" i="3"/>
  <c r="N18" i="3"/>
  <c r="BG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BG16" i="3" s="1"/>
  <c r="M16" i="3"/>
  <c r="L16" i="3"/>
  <c r="K16" i="3"/>
  <c r="J16" i="3"/>
  <c r="I16" i="3"/>
  <c r="BH15" i="3" a="1"/>
  <c r="BF15" i="3"/>
  <c r="AL15" i="3"/>
  <c r="AI15" i="3" s="1"/>
  <c r="AK15" i="3"/>
  <c r="AJ15" i="3"/>
  <c r="AH15" i="3"/>
  <c r="AG15" i="3"/>
  <c r="N15" i="3"/>
  <c r="M15" i="3"/>
  <c r="L15" i="3"/>
  <c r="J15" i="3"/>
  <c r="I15" i="3"/>
  <c r="BF14" i="3"/>
  <c r="AL14" i="3"/>
  <c r="AI14" i="3" s="1"/>
  <c r="AK14" i="3"/>
  <c r="AJ14" i="3"/>
  <c r="AH14" i="3"/>
  <c r="AG14" i="3"/>
  <c r="N14" i="3"/>
  <c r="M14" i="3"/>
  <c r="L14" i="3"/>
  <c r="J14" i="3"/>
  <c r="I14" i="3"/>
  <c r="BF13" i="3"/>
  <c r="AL13" i="3"/>
  <c r="AI13" i="3" s="1"/>
  <c r="AK13" i="3"/>
  <c r="AJ13" i="3"/>
  <c r="AH13" i="3"/>
  <c r="AG13" i="3"/>
  <c r="N13" i="3"/>
  <c r="K13" i="3" s="1"/>
  <c r="M13" i="3"/>
  <c r="L13" i="3"/>
  <c r="J13" i="3"/>
  <c r="I13" i="3"/>
  <c r="BF12" i="3"/>
  <c r="AL12" i="3"/>
  <c r="AI12" i="3" s="1"/>
  <c r="AK12" i="3"/>
  <c r="AJ12" i="3"/>
  <c r="AH12" i="3"/>
  <c r="AG12" i="3"/>
  <c r="N12" i="3"/>
  <c r="BG12" i="3" s="1"/>
  <c r="M12" i="3"/>
  <c r="L12" i="3"/>
  <c r="K12" i="3"/>
  <c r="J12" i="3"/>
  <c r="I12" i="3"/>
  <c r="BF11" i="3"/>
  <c r="AL11" i="3"/>
  <c r="AI11" i="3" s="1"/>
  <c r="AK11" i="3"/>
  <c r="AJ11" i="3"/>
  <c r="AH11" i="3"/>
  <c r="AG11" i="3"/>
  <c r="N11" i="3"/>
  <c r="BG11" i="3" s="1"/>
  <c r="M11" i="3"/>
  <c r="L11" i="3"/>
  <c r="J11" i="3"/>
  <c r="I11" i="3"/>
  <c r="BF10" i="3"/>
  <c r="AL10" i="3"/>
  <c r="BH10" i="3" s="1" a="1"/>
  <c r="BH10" i="3" s="1"/>
  <c r="AK10" i="3"/>
  <c r="AJ10" i="3"/>
  <c r="AI10" i="3"/>
  <c r="AH10" i="3"/>
  <c r="AG10" i="3"/>
  <c r="N10" i="3"/>
  <c r="M10" i="3"/>
  <c r="L10" i="3"/>
  <c r="J10" i="3"/>
  <c r="I10" i="3"/>
  <c r="BF9" i="3"/>
  <c r="AL9" i="3"/>
  <c r="BG9" i="3" s="1"/>
  <c r="AK9" i="3"/>
  <c r="AJ9" i="3"/>
  <c r="AH9" i="3"/>
  <c r="AG9" i="3"/>
  <c r="N9" i="3"/>
  <c r="K9" i="3" s="1"/>
  <c r="M9" i="3"/>
  <c r="L9" i="3"/>
  <c r="J9" i="3"/>
  <c r="I9" i="3"/>
  <c r="BF8" i="3"/>
  <c r="AL8" i="3"/>
  <c r="AI8" i="3" s="1"/>
  <c r="BE8" i="3" s="1"/>
  <c r="AK8" i="3"/>
  <c r="AJ8" i="3"/>
  <c r="AH8" i="3"/>
  <c r="AG8" i="3"/>
  <c r="N8" i="3"/>
  <c r="M8" i="3"/>
  <c r="L8" i="3"/>
  <c r="K8" i="3"/>
  <c r="J8" i="3"/>
  <c r="I8" i="3"/>
  <c r="BF7" i="3"/>
  <c r="AL7" i="3"/>
  <c r="AI7" i="3" s="1"/>
  <c r="AK7" i="3"/>
  <c r="AJ7" i="3"/>
  <c r="AH7" i="3"/>
  <c r="AG7" i="3"/>
  <c r="N7" i="3"/>
  <c r="M7" i="3"/>
  <c r="L7" i="3"/>
  <c r="J7" i="3"/>
  <c r="I7" i="3"/>
  <c r="BF6" i="3"/>
  <c r="AL6" i="3"/>
  <c r="AI6" i="3" s="1"/>
  <c r="AK6" i="3"/>
  <c r="AJ6" i="3"/>
  <c r="AH6" i="3"/>
  <c r="AG6" i="3"/>
  <c r="N6" i="3"/>
  <c r="M6" i="3"/>
  <c r="L6" i="3"/>
  <c r="J6" i="3"/>
  <c r="I6" i="3"/>
  <c r="BF5" i="3"/>
  <c r="AL5" i="3"/>
  <c r="AI5" i="3" s="1"/>
  <c r="AK5" i="3"/>
  <c r="AJ5" i="3"/>
  <c r="AH5" i="3"/>
  <c r="AG5" i="3"/>
  <c r="N5" i="3"/>
  <c r="M5" i="3"/>
  <c r="L5" i="3"/>
  <c r="J5" i="3"/>
  <c r="J43" i="3" s="1"/>
  <c r="I5" i="3"/>
  <c r="AG1" i="3"/>
  <c r="I1" i="3"/>
  <c r="B1" i="2"/>
  <c r="B2" i="2" s="1"/>
  <c r="C35" i="1"/>
  <c r="C23" i="1"/>
  <c r="BM20" i="7"/>
  <c r="BM15" i="7"/>
  <c r="BN10" i="7"/>
  <c r="BM5" i="7"/>
  <c r="BT30" i="3"/>
  <c r="BQ25" i="3"/>
  <c r="BS15" i="3"/>
  <c r="BN10" i="3"/>
  <c r="BQ10" i="7"/>
  <c r="BL20" i="7"/>
  <c r="BL15" i="7"/>
  <c r="BM10" i="7"/>
  <c r="BL5" i="7"/>
  <c r="BT35" i="3"/>
  <c r="BS30" i="3"/>
  <c r="BP25" i="3"/>
  <c r="BR15" i="3"/>
  <c r="BM10" i="3"/>
  <c r="BP15" i="7"/>
  <c r="BT35" i="7"/>
  <c r="BK15" i="7"/>
  <c r="BL10" i="7"/>
  <c r="BS35" i="3"/>
  <c r="BR30" i="3"/>
  <c r="BN25" i="3"/>
  <c r="BQ15" i="3"/>
  <c r="BL10" i="3"/>
  <c r="BT5" i="3"/>
  <c r="BP5" i="7"/>
  <c r="BS35" i="7"/>
  <c r="BR35" i="3"/>
  <c r="BQ30" i="3"/>
  <c r="BM25" i="3"/>
  <c r="BT20" i="3"/>
  <c r="BP15" i="3"/>
  <c r="BS5" i="3"/>
  <c r="BS25" i="3"/>
  <c r="BR35" i="7"/>
  <c r="BT30" i="7"/>
  <c r="BT25" i="7"/>
  <c r="BQ35" i="3"/>
  <c r="BP30" i="3"/>
  <c r="BJ30" i="3"/>
  <c r="BL25" i="3"/>
  <c r="BS20" i="3"/>
  <c r="BN15" i="3"/>
  <c r="BR5" i="3"/>
  <c r="BJ5" i="3"/>
  <c r="BK5" i="7"/>
  <c r="BQ35" i="7"/>
  <c r="BS30" i="7"/>
  <c r="BS25" i="7"/>
  <c r="BP35" i="3"/>
  <c r="BN30" i="3"/>
  <c r="BR20" i="3"/>
  <c r="BM15" i="3"/>
  <c r="BQ5" i="3"/>
  <c r="BQ10" i="3"/>
  <c r="BP35" i="7"/>
  <c r="BR30" i="7"/>
  <c r="BR25" i="7"/>
  <c r="BT20" i="7"/>
  <c r="BT15" i="7"/>
  <c r="BT5" i="7"/>
  <c r="BN35" i="3"/>
  <c r="BM30" i="3"/>
  <c r="BQ20" i="3"/>
  <c r="BJ20" i="3"/>
  <c r="BL15" i="3"/>
  <c r="BP5" i="3"/>
  <c r="BN35" i="7"/>
  <c r="BJ35" i="7"/>
  <c r="BQ30" i="7"/>
  <c r="BQ25" i="7"/>
  <c r="BS20" i="7"/>
  <c r="BS15" i="7"/>
  <c r="BT10" i="7"/>
  <c r="BS5" i="7"/>
  <c r="BM35" i="3"/>
  <c r="BL30" i="3"/>
  <c r="BP20" i="3"/>
  <c r="BJ15" i="3"/>
  <c r="BT10" i="3"/>
  <c r="BN5" i="3"/>
  <c r="BJ20" i="7"/>
  <c r="BM35" i="7"/>
  <c r="BP30" i="7"/>
  <c r="BP25" i="7"/>
  <c r="BR20" i="7"/>
  <c r="BR15" i="7"/>
  <c r="BS10" i="7"/>
  <c r="BR5" i="7"/>
  <c r="BL35" i="3"/>
  <c r="BK30" i="3"/>
  <c r="BN20" i="3"/>
  <c r="BS10" i="3"/>
  <c r="BM5" i="3"/>
  <c r="BJ15" i="7"/>
  <c r="BJ10" i="3"/>
  <c r="BL35" i="7"/>
  <c r="BN30" i="7"/>
  <c r="BN25" i="7"/>
  <c r="BK25" i="7"/>
  <c r="BQ20" i="7"/>
  <c r="BQ15" i="7"/>
  <c r="BR10" i="7"/>
  <c r="BK10" i="7"/>
  <c r="BQ5" i="7"/>
  <c r="BT25" i="3"/>
  <c r="BM20" i="3"/>
  <c r="BR10" i="3"/>
  <c r="BL5" i="3"/>
  <c r="BK35" i="7"/>
  <c r="BM30" i="7"/>
  <c r="BM25" i="7"/>
  <c r="BL20" i="3"/>
  <c r="BL30" i="7"/>
  <c r="BL25" i="7"/>
  <c r="BN20" i="7"/>
  <c r="BN15" i="7"/>
  <c r="BP10" i="7"/>
  <c r="BN5" i="7"/>
  <c r="BR25" i="3"/>
  <c r="BJ25" i="3"/>
  <c r="BT15" i="3"/>
  <c r="BP10" i="3"/>
  <c r="BP20" i="7"/>
  <c r="BG14" i="3" l="1"/>
  <c r="BG15" i="3"/>
  <c r="BG6" i="3"/>
  <c r="BG7" i="3"/>
  <c r="BE32" i="3"/>
  <c r="BG34" i="3"/>
  <c r="AH40" i="3"/>
  <c r="BG27" i="3"/>
  <c r="AJ40" i="3"/>
  <c r="AH41" i="3"/>
  <c r="BG8" i="3"/>
  <c r="AK41" i="3"/>
  <c r="AJ43" i="3"/>
  <c r="AZ47" i="3"/>
  <c r="BE28" i="3"/>
  <c r="BE29" i="3"/>
  <c r="BA47" i="3"/>
  <c r="BE24" i="3"/>
  <c r="BG30" i="3"/>
  <c r="BG31" i="3"/>
  <c r="AZ45" i="3"/>
  <c r="BE20" i="3"/>
  <c r="BG28" i="3"/>
  <c r="BE12" i="3"/>
  <c r="BE13" i="3"/>
  <c r="BE16" i="3"/>
  <c r="BG24" i="3"/>
  <c r="J42" i="3"/>
  <c r="BE33" i="3"/>
  <c r="BE34" i="3"/>
  <c r="BE37" i="3"/>
  <c r="BG38" i="3"/>
  <c r="BH15" i="3"/>
  <c r="BG32" i="3"/>
  <c r="L42" i="3"/>
  <c r="M41" i="3"/>
  <c r="L43" i="3"/>
  <c r="AH10" i="5"/>
  <c r="AZ17" i="5"/>
  <c r="BB7" i="5"/>
  <c r="BE6" i="5"/>
  <c r="BD7" i="5"/>
  <c r="BB9" i="5"/>
  <c r="BB10" i="5"/>
  <c r="BG5" i="5"/>
  <c r="BD8" i="5"/>
  <c r="AX19" i="5"/>
  <c r="BE8" i="5"/>
  <c r="BF10" i="5"/>
  <c r="AI14" i="5"/>
  <c r="BE11" i="5"/>
  <c r="AG12" i="5"/>
  <c r="L14" i="5"/>
  <c r="BG11" i="5"/>
  <c r="AW17" i="5"/>
  <c r="J13" i="5"/>
  <c r="AY17" i="5"/>
  <c r="BD6" i="5"/>
  <c r="J12" i="5"/>
  <c r="BD5" i="5"/>
  <c r="BB13" i="5"/>
  <c r="E20" i="1" s="1"/>
  <c r="K5" i="5"/>
  <c r="BC5" i="5" s="1"/>
  <c r="BB8" i="5"/>
  <c r="BE13" i="5"/>
  <c r="D20" i="1" s="1"/>
  <c r="M14" i="5"/>
  <c r="BE9" i="5"/>
  <c r="M12" i="5"/>
  <c r="BG10" i="5"/>
  <c r="AY19" i="5"/>
  <c r="C24" i="1" s="1"/>
  <c r="BB10" i="6"/>
  <c r="AH5" i="6"/>
  <c r="AI12" i="6"/>
  <c r="BD12" i="6" s="1"/>
  <c r="AH6" i="6"/>
  <c r="BC6" i="6" s="1"/>
  <c r="BE9" i="6"/>
  <c r="BD10" i="6"/>
  <c r="BG11" i="6"/>
  <c r="AJ15" i="6"/>
  <c r="AJ12" i="6"/>
  <c r="AY19" i="6"/>
  <c r="C36" i="1" s="1"/>
  <c r="BE11" i="6"/>
  <c r="BD6" i="6"/>
  <c r="AX17" i="6"/>
  <c r="J14" i="6"/>
  <c r="BG10" i="6"/>
  <c r="BG14" i="6" s="1"/>
  <c r="M13" i="6"/>
  <c r="L12" i="6"/>
  <c r="BG6" i="6"/>
  <c r="BD8" i="6"/>
  <c r="AZ17" i="6"/>
  <c r="BC7" i="6"/>
  <c r="BE8" i="6"/>
  <c r="BB13" i="6"/>
  <c r="E32" i="1" s="1"/>
  <c r="BE13" i="6"/>
  <c r="D32" i="1" s="1"/>
  <c r="M15" i="6"/>
  <c r="BG7" i="6"/>
  <c r="L14" i="6"/>
  <c r="BF8" i="6"/>
  <c r="BC10" i="6"/>
  <c r="BB14" i="6"/>
  <c r="E33" i="1" s="1"/>
  <c r="BG8" i="6"/>
  <c r="BG15" i="6" s="1"/>
  <c r="BD14" i="6"/>
  <c r="BB5" i="6"/>
  <c r="BG9" i="6"/>
  <c r="BG13" i="6" s="1"/>
  <c r="BF10" i="6"/>
  <c r="BB11" i="6"/>
  <c r="AI29" i="7"/>
  <c r="BE29" i="7" s="1"/>
  <c r="AH42" i="7"/>
  <c r="AI31" i="7"/>
  <c r="BE9" i="7"/>
  <c r="AK42" i="7"/>
  <c r="BE13" i="7"/>
  <c r="BE17" i="7"/>
  <c r="BE5" i="7"/>
  <c r="BG9" i="7"/>
  <c r="BA47" i="7"/>
  <c r="BE25" i="7"/>
  <c r="BE37" i="7"/>
  <c r="AH43" i="7"/>
  <c r="BE21" i="7"/>
  <c r="AK43" i="7"/>
  <c r="AI19" i="7"/>
  <c r="BE19" i="7" s="1"/>
  <c r="AI20" i="7"/>
  <c r="BG33" i="7"/>
  <c r="AH41" i="7"/>
  <c r="BH20" i="7"/>
  <c r="BG11" i="7"/>
  <c r="BG12" i="7"/>
  <c r="BE15" i="7"/>
  <c r="K35" i="7"/>
  <c r="BB45" i="7"/>
  <c r="K41" i="7"/>
  <c r="BE31" i="7"/>
  <c r="M41" i="7"/>
  <c r="BE7" i="7"/>
  <c r="BE35" i="7"/>
  <c r="BE23" i="7"/>
  <c r="AZ47" i="7"/>
  <c r="C47" i="1" s="1"/>
  <c r="J42" i="7"/>
  <c r="J43" i="7"/>
  <c r="BG5" i="7"/>
  <c r="BG7" i="7"/>
  <c r="BG8" i="7"/>
  <c r="BE11" i="7"/>
  <c r="BE12" i="7"/>
  <c r="BE36" i="7"/>
  <c r="BE39" i="7"/>
  <c r="BB47" i="7"/>
  <c r="C48" i="1" s="1"/>
  <c r="BG21" i="7"/>
  <c r="K33" i="7"/>
  <c r="BE33" i="7" s="1"/>
  <c r="AZ45" i="7"/>
  <c r="BC47" i="7"/>
  <c r="BE27" i="7"/>
  <c r="M42" i="7"/>
  <c r="BJ41" i="3"/>
  <c r="C10" i="1" s="1"/>
  <c r="BR41" i="3"/>
  <c r="BN43" i="7"/>
  <c r="G46" i="1" s="1"/>
  <c r="BL41" i="7"/>
  <c r="E44" i="1" s="1"/>
  <c r="BL42" i="7"/>
  <c r="E45" i="1" s="1"/>
  <c r="BM41" i="7"/>
  <c r="F44" i="1" s="1"/>
  <c r="BM42" i="7"/>
  <c r="F45" i="1" s="1"/>
  <c r="BL43" i="3"/>
  <c r="E12" i="1" s="1"/>
  <c r="BL40" i="3"/>
  <c r="E9" i="1" s="1"/>
  <c r="BK41" i="7"/>
  <c r="D44" i="1" s="1"/>
  <c r="BN41" i="7"/>
  <c r="G44" i="1" s="1"/>
  <c r="BN42" i="7"/>
  <c r="G45" i="1" s="1"/>
  <c r="BM43" i="3"/>
  <c r="F12" i="1" s="1"/>
  <c r="BP41" i="7"/>
  <c r="BP42" i="7"/>
  <c r="BN43" i="3"/>
  <c r="G12" i="1" s="1"/>
  <c r="BL42" i="3"/>
  <c r="E11" i="1" s="1"/>
  <c r="BQ41" i="7"/>
  <c r="BM42" i="3"/>
  <c r="F11" i="1" s="1"/>
  <c r="BR42" i="7"/>
  <c r="BQ43" i="3"/>
  <c r="I12" i="1" s="1"/>
  <c r="BN42" i="3"/>
  <c r="G11" i="1" s="1"/>
  <c r="BS42" i="7"/>
  <c r="BL41" i="3"/>
  <c r="E10" i="1" s="1"/>
  <c r="BT42" i="7"/>
  <c r="BM41" i="3"/>
  <c r="F10" i="1" s="1"/>
  <c r="BN41" i="3"/>
  <c r="G10" i="1" s="1"/>
  <c r="BL43" i="7"/>
  <c r="E46" i="1" s="1"/>
  <c r="BQ41" i="3"/>
  <c r="BT42" i="3"/>
  <c r="BM43" i="7"/>
  <c r="F46" i="1" s="1"/>
  <c r="BM40" i="3"/>
  <c r="F9" i="1" s="1"/>
  <c r="BP40" i="7"/>
  <c r="BP43" i="7"/>
  <c r="K42" i="3"/>
  <c r="BE31" i="3"/>
  <c r="AI41" i="3"/>
  <c r="BE21" i="3"/>
  <c r="BJ40" i="3"/>
  <c r="C9" i="1" s="1"/>
  <c r="BE7" i="3"/>
  <c r="BE18" i="3"/>
  <c r="C13" i="1"/>
  <c r="BE17" i="3"/>
  <c r="AK43" i="3"/>
  <c r="AK40" i="3"/>
  <c r="BH35" i="7" a="1"/>
  <c r="BH35" i="7" s="1"/>
  <c r="BG38" i="7"/>
  <c r="AI38" i="7"/>
  <c r="BE38" i="7" s="1"/>
  <c r="K7" i="3"/>
  <c r="AI9" i="3"/>
  <c r="BE9" i="3" s="1"/>
  <c r="K15" i="3"/>
  <c r="BE15" i="3" s="1"/>
  <c r="AH42" i="3"/>
  <c r="AH43" i="3"/>
  <c r="BB5" i="5"/>
  <c r="BE7" i="5"/>
  <c r="J14" i="5"/>
  <c r="BB14" i="5" s="1"/>
  <c r="BG14" i="5"/>
  <c r="BE14" i="5"/>
  <c r="BC8" i="6"/>
  <c r="BH25" i="7" a="1"/>
  <c r="BH25" i="7" s="1"/>
  <c r="BH41" i="7" s="1"/>
  <c r="AJ42" i="7"/>
  <c r="BH30" i="7" a="1"/>
  <c r="BH30" i="7" s="1"/>
  <c r="BG30" i="7"/>
  <c r="AI30" i="7"/>
  <c r="BP42" i="3"/>
  <c r="BG33" i="3"/>
  <c r="AI35" i="3"/>
  <c r="BE35" i="3" s="1"/>
  <c r="BN40" i="3"/>
  <c r="G9" i="1" s="1"/>
  <c r="BF5" i="5"/>
  <c r="BC6" i="5"/>
  <c r="BD13" i="5"/>
  <c r="J15" i="5"/>
  <c r="AJ43" i="7"/>
  <c r="BG6" i="7"/>
  <c r="BH5" i="7" a="1"/>
  <c r="BH5" i="7" s="1"/>
  <c r="AI6" i="7"/>
  <c r="K20" i="7"/>
  <c r="K43" i="7" s="1"/>
  <c r="BH20" i="3" a="1"/>
  <c r="BH20" i="3" s="1"/>
  <c r="J41" i="3"/>
  <c r="BG29" i="3"/>
  <c r="BQ42" i="3"/>
  <c r="BQ40" i="3"/>
  <c r="BP41" i="3"/>
  <c r="M15" i="5"/>
  <c r="BE15" i="5" s="1"/>
  <c r="L15" i="5"/>
  <c r="BB9" i="6"/>
  <c r="BE10" i="6"/>
  <c r="AJ14" i="6"/>
  <c r="BT43" i="7"/>
  <c r="BT40" i="7"/>
  <c r="L41" i="7"/>
  <c r="BP43" i="3"/>
  <c r="BP40" i="3"/>
  <c r="K5" i="3"/>
  <c r="BE5" i="3" s="1"/>
  <c r="BG5" i="3"/>
  <c r="BT43" i="3"/>
  <c r="BT40" i="3"/>
  <c r="BG13" i="3"/>
  <c r="BG17" i="3"/>
  <c r="BG21" i="3"/>
  <c r="K25" i="3"/>
  <c r="BG25" i="3"/>
  <c r="BT41" i="3"/>
  <c r="BE30" i="3"/>
  <c r="J40" i="3"/>
  <c r="BR40" i="3"/>
  <c r="J15" i="6"/>
  <c r="J12" i="6"/>
  <c r="BG16" i="7"/>
  <c r="BS42" i="3"/>
  <c r="BS40" i="3"/>
  <c r="BG6" i="5" a="1"/>
  <c r="BG6" i="5" s="1"/>
  <c r="BE20" i="7"/>
  <c r="BR43" i="7"/>
  <c r="M43" i="3"/>
  <c r="M40" i="3"/>
  <c r="BH5" i="3" a="1"/>
  <c r="BH5" i="3" s="1"/>
  <c r="BH25" i="3" a="1"/>
  <c r="BH25" i="3" s="1"/>
  <c r="BH41" i="3" s="1"/>
  <c r="L40" i="3"/>
  <c r="BS41" i="3"/>
  <c r="BR42" i="3"/>
  <c r="BB6" i="5"/>
  <c r="BC7" i="5"/>
  <c r="BD9" i="5"/>
  <c r="M12" i="6"/>
  <c r="BE12" i="6" s="1"/>
  <c r="BE6" i="6"/>
  <c r="BH10" i="7" a="1"/>
  <c r="BH10" i="7" s="1"/>
  <c r="BG10" i="7"/>
  <c r="AI10" i="7"/>
  <c r="BE10" i="7" s="1"/>
  <c r="BG14" i="7"/>
  <c r="AI14" i="7"/>
  <c r="BE14" i="7" s="1"/>
  <c r="L42" i="7"/>
  <c r="BG34" i="7"/>
  <c r="AI34" i="7"/>
  <c r="BE34" i="7" s="1"/>
  <c r="K6" i="3"/>
  <c r="BE6" i="3" s="1"/>
  <c r="K10" i="3"/>
  <c r="BE10" i="3" s="1"/>
  <c r="BG10" i="3"/>
  <c r="K14" i="3"/>
  <c r="BE14" i="3" s="1"/>
  <c r="K18" i="3"/>
  <c r="K22" i="3"/>
  <c r="BE22" i="3" s="1"/>
  <c r="K26" i="3"/>
  <c r="BE26" i="3" s="1"/>
  <c r="AI38" i="3"/>
  <c r="BE38" i="3" s="1"/>
  <c r="AG15" i="5"/>
  <c r="BB15" i="5" s="1"/>
  <c r="BF6" i="5"/>
  <c r="K9" i="5"/>
  <c r="BF9" i="5"/>
  <c r="K40" i="7"/>
  <c r="BH15" i="7" a="1"/>
  <c r="BH15" i="7" s="1"/>
  <c r="BG18" i="7"/>
  <c r="AI18" i="7"/>
  <c r="BE18" i="7" s="1"/>
  <c r="BE28" i="7"/>
  <c r="BQ42" i="7"/>
  <c r="BE32" i="7"/>
  <c r="BR40" i="7"/>
  <c r="AH8" i="5"/>
  <c r="BC8" i="5" s="1"/>
  <c r="BF8" i="5"/>
  <c r="BD9" i="6"/>
  <c r="AI13" i="6"/>
  <c r="BD13" i="6" s="1"/>
  <c r="M42" i="3"/>
  <c r="BH30" i="3" a="1"/>
  <c r="BH30" i="3" s="1"/>
  <c r="BR43" i="3"/>
  <c r="AI15" i="5"/>
  <c r="BD15" i="5" s="1"/>
  <c r="AI12" i="5"/>
  <c r="BD12" i="5" s="1"/>
  <c r="M14" i="6"/>
  <c r="AH15" i="6"/>
  <c r="L43" i="7"/>
  <c r="BR41" i="7"/>
  <c r="BG36" i="3"/>
  <c r="BS43" i="3"/>
  <c r="AJ12" i="5"/>
  <c r="BE12" i="5" s="1"/>
  <c r="BC11" i="5"/>
  <c r="K14" i="6"/>
  <c r="BG22" i="7"/>
  <c r="AI22" i="7"/>
  <c r="BE22" i="7" s="1"/>
  <c r="AJ41" i="7"/>
  <c r="BG26" i="7"/>
  <c r="AI26" i="7"/>
  <c r="BE26" i="7" s="1"/>
  <c r="BD5" i="6"/>
  <c r="AI15" i="6"/>
  <c r="K11" i="3"/>
  <c r="BE11" i="3" s="1"/>
  <c r="K19" i="3"/>
  <c r="BE19" i="3" s="1"/>
  <c r="K23" i="3"/>
  <c r="BE23" i="3" s="1"/>
  <c r="K27" i="3"/>
  <c r="BE27" i="3" s="1"/>
  <c r="BH35" i="3" a="1"/>
  <c r="BH35" i="3" s="1"/>
  <c r="AG12" i="6"/>
  <c r="BB12" i="6" s="1"/>
  <c r="AG15" i="6"/>
  <c r="BT41" i="7"/>
  <c r="BE5" i="5"/>
  <c r="AH12" i="6"/>
  <c r="L15" i="6"/>
  <c r="BG20" i="7"/>
  <c r="BG36" i="7"/>
  <c r="L40" i="7"/>
  <c r="BN40" i="7"/>
  <c r="G43" i="1" s="1"/>
  <c r="BS41" i="7"/>
  <c r="AH14" i="6"/>
  <c r="BC14" i="6" s="1"/>
  <c r="AH40" i="7"/>
  <c r="BQ40" i="7"/>
  <c r="BQ43" i="7"/>
  <c r="BF7" i="6"/>
  <c r="BF11" i="6"/>
  <c r="AJ40" i="7"/>
  <c r="BS40" i="7"/>
  <c r="BS43" i="7"/>
  <c r="AH14" i="5"/>
  <c r="AK40" i="7"/>
  <c r="BF7" i="5"/>
  <c r="K10" i="5"/>
  <c r="K14" i="5" s="1"/>
  <c r="BF11" i="5"/>
  <c r="K5" i="6"/>
  <c r="K9" i="6"/>
  <c r="K13" i="6" s="1"/>
  <c r="BC13" i="6" s="1"/>
  <c r="BE5" i="6"/>
  <c r="BG15" i="7"/>
  <c r="J40" i="7"/>
  <c r="BL40" i="7"/>
  <c r="E43" i="1" s="1"/>
  <c r="BM40" i="7"/>
  <c r="F43" i="1" s="1"/>
  <c r="BK20" i="7"/>
  <c r="BK25" i="3"/>
  <c r="BK30" i="7"/>
  <c r="BJ35" i="3"/>
  <c r="BK20" i="3"/>
  <c r="BK15" i="3"/>
  <c r="BJ10" i="7"/>
  <c r="BJ5" i="7"/>
  <c r="BJ30" i="7"/>
  <c r="BK10" i="3"/>
  <c r="BJ25" i="7"/>
  <c r="BK5" i="3"/>
  <c r="BK35" i="3"/>
  <c r="AI40" i="3" l="1"/>
  <c r="BE40" i="3" s="1"/>
  <c r="BB12" i="5"/>
  <c r="E19" i="1" s="1"/>
  <c r="BG12" i="5"/>
  <c r="BD14" i="5"/>
  <c r="BC14" i="5"/>
  <c r="C21" i="1" s="1"/>
  <c r="K12" i="5"/>
  <c r="BE15" i="6"/>
  <c r="BG12" i="6"/>
  <c r="BB15" i="6"/>
  <c r="E34" i="1" s="1"/>
  <c r="K42" i="7"/>
  <c r="BH42" i="7"/>
  <c r="BK42" i="3"/>
  <c r="D11" i="1" s="1"/>
  <c r="BJ41" i="7"/>
  <c r="C44" i="1" s="1"/>
  <c r="BJ42" i="7"/>
  <c r="C45" i="1" s="1"/>
  <c r="BJ43" i="3"/>
  <c r="C12" i="1" s="1"/>
  <c r="BJ42" i="3"/>
  <c r="C11" i="1" s="1"/>
  <c r="BK42" i="7"/>
  <c r="D45" i="1" s="1"/>
  <c r="BK41" i="3"/>
  <c r="D10" i="1" s="1"/>
  <c r="BK43" i="7"/>
  <c r="D46" i="1" s="1"/>
  <c r="BK40" i="7"/>
  <c r="D43" i="1" s="1"/>
  <c r="I10" i="1"/>
  <c r="H45" i="1"/>
  <c r="H44" i="1"/>
  <c r="J10" i="1"/>
  <c r="J45" i="1"/>
  <c r="K45" i="1"/>
  <c r="I44" i="1"/>
  <c r="L11" i="1"/>
  <c r="L45" i="1"/>
  <c r="H46" i="1"/>
  <c r="H43" i="1"/>
  <c r="C32" i="1"/>
  <c r="D31" i="1"/>
  <c r="K15" i="6"/>
  <c r="K12" i="6"/>
  <c r="D22" i="1"/>
  <c r="J43" i="1"/>
  <c r="K13" i="5"/>
  <c r="BC13" i="5" s="1"/>
  <c r="BC9" i="5"/>
  <c r="BE6" i="7"/>
  <c r="AI40" i="7"/>
  <c r="BE40" i="7" s="1"/>
  <c r="AI43" i="7"/>
  <c r="BE43" i="7" s="1"/>
  <c r="K46" i="1"/>
  <c r="K9" i="1"/>
  <c r="K43" i="3"/>
  <c r="K40" i="3"/>
  <c r="BH43" i="7"/>
  <c r="BH40" i="7"/>
  <c r="D34" i="1"/>
  <c r="E21" i="1"/>
  <c r="K43" i="1"/>
  <c r="D19" i="1"/>
  <c r="E22" i="1"/>
  <c r="J11" i="1"/>
  <c r="K11" i="1"/>
  <c r="L10" i="1"/>
  <c r="H9" i="1"/>
  <c r="H11" i="1"/>
  <c r="K12" i="1"/>
  <c r="AH15" i="5"/>
  <c r="BC12" i="6"/>
  <c r="BD15" i="6"/>
  <c r="BH42" i="3"/>
  <c r="I9" i="1"/>
  <c r="BC9" i="6"/>
  <c r="K41" i="3"/>
  <c r="BE41" i="3" s="1"/>
  <c r="I11" i="1"/>
  <c r="BG15" i="5"/>
  <c r="H12" i="1"/>
  <c r="I46" i="1"/>
  <c r="L44" i="1"/>
  <c r="BH40" i="3"/>
  <c r="BH43" i="3"/>
  <c r="L43" i="1"/>
  <c r="K15" i="5"/>
  <c r="BC5" i="6"/>
  <c r="I45" i="1"/>
  <c r="I43" i="1"/>
  <c r="J44" i="1"/>
  <c r="BK43" i="3"/>
  <c r="D12" i="1" s="1"/>
  <c r="BK40" i="3"/>
  <c r="D9" i="1" s="1"/>
  <c r="L46" i="1"/>
  <c r="D21" i="1"/>
  <c r="AI42" i="3"/>
  <c r="BE42" i="3" s="1"/>
  <c r="J12" i="1"/>
  <c r="K10" i="1"/>
  <c r="H10" i="1"/>
  <c r="BJ43" i="7"/>
  <c r="C46" i="1" s="1"/>
  <c r="BJ40" i="7"/>
  <c r="C43" i="1" s="1"/>
  <c r="AI41" i="7"/>
  <c r="BE41" i="7" s="1"/>
  <c r="C33" i="1"/>
  <c r="AH12" i="5"/>
  <c r="BE14" i="6"/>
  <c r="J46" i="1"/>
  <c r="L9" i="1"/>
  <c r="K44" i="1"/>
  <c r="E31" i="1"/>
  <c r="BC15" i="6"/>
  <c r="BC10" i="5"/>
  <c r="L12" i="1"/>
  <c r="AI42" i="7"/>
  <c r="BE42" i="7" s="1"/>
  <c r="BE30" i="7"/>
  <c r="BE25" i="3"/>
  <c r="AI43" i="3"/>
  <c r="J9" i="1"/>
  <c r="BE43" i="3" l="1"/>
  <c r="BC12" i="5"/>
  <c r="C19" i="1" s="1"/>
  <c r="C34" i="1"/>
  <c r="C20" i="1"/>
  <c r="C31" i="1"/>
  <c r="D33" i="1"/>
  <c r="BC15" i="5"/>
  <c r="C22"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<sst xmlns="http://schemas.openxmlformats.org/spreadsheetml/2006/main" count="1459" uniqueCount="575">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</sst>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R10.0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F4AB-4F53-B543-C10B7AA0A6B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4AB-4F53-B543-C10B7AA0A6B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R10.0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4902-494A-88FD-31A1473C8B70}"/>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4902-494A-88FD-31A1473C8B7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R10.0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32.326923000000001</c:v>
                </c:pt>
                <c:pt idx="1">
                  <c:v>34.599110000000003</c:v>
                </c:pt>
                <c:pt idx="2">
                  <c:v>37.138071333333301</c:v>
                </c:pt>
                <c:pt idx="3">
                  <c:v>39.743133</c:v>
                </c:pt>
                <c:pt idx="4">
                  <c:v>42.256189333333303</c:v>
                </c:pt>
              </c:numCache>
            </c:numRef>
          </c:yVal>
          <c:smooth val="1"/>
          <c:extLst>
            <c:ext xmlns:c16="http://schemas.microsoft.com/office/drawing/2014/chart" uri="{C3380CC4-5D6E-409C-BE32-E72D297353CC}">
              <c16:uniqueId val="{00000000-46AD-4706-8C24-D996B71B9F32}"/>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6AD-4706-8C24-D996B71B9F3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R10.0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44.152233666666604</c:v>
                </c:pt>
                <c:pt idx="1">
                  <c:v>45.442110999999997</c:v>
                </c:pt>
                <c:pt idx="2">
                  <c:v>46.571712333333302</c:v>
                </c:pt>
                <c:pt idx="3">
                  <c:v>47.911042999999999</c:v>
                </c:pt>
                <c:pt idx="4">
                  <c:v>49.427818666666703</c:v>
                </c:pt>
              </c:numCache>
            </c:numRef>
          </c:yVal>
          <c:smooth val="1"/>
          <c:extLst>
            <c:ext xmlns:c16="http://schemas.microsoft.com/office/drawing/2014/chart" uri="{C3380CC4-5D6E-409C-BE32-E72D297353CC}">
              <c16:uniqueId val="{00000000-3B57-4FAF-98DB-8143007E161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3B57-4FAF-98DB-8143007E161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R10.0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43.80706</c:v>
                </c:pt>
                <c:pt idx="1">
                  <c:v>45.245072333333297</c:v>
                </c:pt>
                <c:pt idx="2">
                  <c:v>46.483829</c:v>
                </c:pt>
                <c:pt idx="3">
                  <c:v>48.003837333333301</c:v>
                </c:pt>
                <c:pt idx="4">
                  <c:v>49.576478999999999</c:v>
                </c:pt>
              </c:numCache>
            </c:numRef>
          </c:yVal>
          <c:smooth val="1"/>
          <c:extLst>
            <c:ext xmlns:c16="http://schemas.microsoft.com/office/drawing/2014/chart" uri="{C3380CC4-5D6E-409C-BE32-E72D297353CC}">
              <c16:uniqueId val="{00000000-A6B2-4FAD-A549-7B63425BD320}"/>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A6B2-4FAD-A549-7B63425BD320}"/>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ABBF-4795-A4B6-66E551C1C70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ABBF-4795-A4B6-66E551C1C70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I26" sqref="I26"/>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X55" sqref="AX5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R10.0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2.2812136000000001</v>
      </c>
      <c r="J5" s="12">
        <f t="shared" ref="J5:J39" si="1">IF(ISBLANK(S5),"·",S5/D5)</f>
        <v>9.5790391381576717E-2</v>
      </c>
      <c r="K5" s="12">
        <f t="shared" ref="K5:K39" si="2">IF(N5="","·",N5/D5)</f>
        <v>6.1316872948118703E-2</v>
      </c>
      <c r="L5" s="12">
        <f t="shared" ref="L5:L39" si="3">IF(T5="","·",T5/D5)</f>
        <v>3.4664359032843796E-2</v>
      </c>
      <c r="M5" s="12">
        <f t="shared" ref="M5:M39" si="4">IF(ISBLANK(V5),"·",V5/D5)</f>
        <v>3.4473518433458014E-2</v>
      </c>
      <c r="N5" s="54">
        <f t="shared" ref="N5:N39" si="5">IF(OR(ISBLANK(T5),ISBLANK(U5)),"",T5+U5)</f>
        <v>14602392</v>
      </c>
      <c r="O5" s="12">
        <v>16</v>
      </c>
      <c r="P5" s="13">
        <v>210114715</v>
      </c>
      <c r="Q5" s="13">
        <v>700382.38333333295</v>
      </c>
      <c r="R5" s="13">
        <v>14452.65</v>
      </c>
      <c r="S5" s="14">
        <v>22812136</v>
      </c>
      <c r="T5" s="14">
        <v>8255192</v>
      </c>
      <c r="U5" s="14">
        <v>6347200</v>
      </c>
      <c r="V5" s="14">
        <v>8209744</v>
      </c>
      <c r="W5" s="15">
        <v>66.3066216666667</v>
      </c>
      <c r="X5" s="15">
        <v>68.366856666666706</v>
      </c>
      <c r="Y5" s="15">
        <v>32.326923000000001</v>
      </c>
      <c r="Z5" s="15">
        <v>44.152233666666604</v>
      </c>
      <c r="AA5" s="15">
        <v>43.80706</v>
      </c>
      <c r="AB5" s="16">
        <v>32395.1</v>
      </c>
      <c r="AC5" s="16">
        <v>0</v>
      </c>
      <c r="AD5" s="16">
        <v>404.91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3.4899504000000001</v>
      </c>
      <c r="J6" s="21">
        <f t="shared" si="1"/>
        <v>0.14654643244205201</v>
      </c>
      <c r="K6" s="21">
        <f t="shared" si="2"/>
        <v>7.4727985275241895E-2</v>
      </c>
      <c r="L6" s="21">
        <f t="shared" si="3"/>
        <v>4.8075471359966988E-2</v>
      </c>
      <c r="M6" s="21">
        <f t="shared" si="4"/>
        <v>7.1818447166810101E-2</v>
      </c>
      <c r="N6" s="18">
        <f t="shared" si="5"/>
        <v>17796200</v>
      </c>
      <c r="O6" s="21">
        <v>16</v>
      </c>
      <c r="P6" s="22">
        <v>230812362</v>
      </c>
      <c r="Q6" s="22">
        <v>769374.54</v>
      </c>
      <c r="R6" s="22">
        <v>19712.886666666702</v>
      </c>
      <c r="S6" s="23">
        <v>34899504</v>
      </c>
      <c r="T6" s="23">
        <v>11449000</v>
      </c>
      <c r="U6" s="23">
        <v>6347200</v>
      </c>
      <c r="V6" s="23">
        <v>17103304</v>
      </c>
      <c r="W6" s="24">
        <v>68.1577056666667</v>
      </c>
      <c r="X6" s="24">
        <v>70.306219000000098</v>
      </c>
      <c r="Y6" s="24">
        <v>34.599110000000003</v>
      </c>
      <c r="Z6" s="24">
        <v>45.442110999999997</v>
      </c>
      <c r="AA6" s="24">
        <v>45.245072333333297</v>
      </c>
      <c r="AB6" s="25">
        <v>33976.800000000003</v>
      </c>
      <c r="AC6" s="25">
        <v>0</v>
      </c>
      <c r="AD6" s="25">
        <v>431.16500000000002</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5.6312584000000001</v>
      </c>
      <c r="J7" s="12">
        <f t="shared" si="1"/>
        <v>0.23646205077279547</v>
      </c>
      <c r="K7" s="12">
        <f t="shared" si="2"/>
        <v>9.4068895631510954E-2</v>
      </c>
      <c r="L7" s="12">
        <f t="shared" si="3"/>
        <v>6.741638171623604E-2</v>
      </c>
      <c r="M7" s="12">
        <f t="shared" si="4"/>
        <v>0.14239315514128451</v>
      </c>
      <c r="N7" s="54">
        <f t="shared" si="5"/>
        <v>22402168</v>
      </c>
      <c r="O7" s="12">
        <v>16</v>
      </c>
      <c r="P7" s="13">
        <v>236176995</v>
      </c>
      <c r="Q7" s="13">
        <v>787256.65</v>
      </c>
      <c r="R7" s="13">
        <v>21574.926666666699</v>
      </c>
      <c r="S7" s="14">
        <v>56312584</v>
      </c>
      <c r="T7" s="14">
        <v>16054968</v>
      </c>
      <c r="U7" s="14">
        <v>6347200</v>
      </c>
      <c r="V7" s="14">
        <v>33910416</v>
      </c>
      <c r="W7" s="15">
        <v>69.555043333333202</v>
      </c>
      <c r="X7" s="15">
        <v>71.985652666666695</v>
      </c>
      <c r="Y7" s="15">
        <v>37.138071333333301</v>
      </c>
      <c r="Z7" s="15">
        <v>46.571712333333302</v>
      </c>
      <c r="AA7" s="15">
        <v>46.483829</v>
      </c>
      <c r="AB7" s="16">
        <v>34663.800000000003</v>
      </c>
      <c r="AC7" s="16">
        <v>0</v>
      </c>
      <c r="AD7" s="16">
        <v>442.43099999999998</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9.4194855999999998</v>
      </c>
      <c r="J8" s="21">
        <f t="shared" si="1"/>
        <v>0.39553341793031832</v>
      </c>
      <c r="K8" s="21">
        <f t="shared" si="2"/>
        <v>0.12693617515287056</v>
      </c>
      <c r="L8" s="21">
        <f t="shared" si="3"/>
        <v>0.10028366123759566</v>
      </c>
      <c r="M8" s="21">
        <f t="shared" si="4"/>
        <v>0.26859724277744779</v>
      </c>
      <c r="N8" s="18">
        <f t="shared" si="5"/>
        <v>30229392</v>
      </c>
      <c r="O8" s="21">
        <v>16</v>
      </c>
      <c r="P8" s="22">
        <v>245523120</v>
      </c>
      <c r="Q8" s="22">
        <v>818410.4</v>
      </c>
      <c r="R8" s="22">
        <v>24831.553333333301</v>
      </c>
      <c r="S8" s="23">
        <v>94194856</v>
      </c>
      <c r="T8" s="23">
        <v>23882192</v>
      </c>
      <c r="U8" s="23">
        <v>6347200</v>
      </c>
      <c r="V8" s="23">
        <v>63965464</v>
      </c>
      <c r="W8" s="24">
        <v>70.687751000000006</v>
      </c>
      <c r="X8" s="24">
        <v>73.255336999999898</v>
      </c>
      <c r="Y8" s="24">
        <v>39.743133</v>
      </c>
      <c r="Z8" s="24">
        <v>47.911042999999999</v>
      </c>
      <c r="AA8" s="24">
        <v>48.003837333333301</v>
      </c>
      <c r="AB8" s="25">
        <v>35354.1</v>
      </c>
      <c r="AC8" s="25">
        <v>0</v>
      </c>
      <c r="AD8" s="25">
        <v>460.03399999999999</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16.679961599999999</v>
      </c>
      <c r="J9" s="30">
        <f t="shared" si="1"/>
        <v>0.70040791002371305</v>
      </c>
      <c r="K9" s="30">
        <f t="shared" si="2"/>
        <v>0.20664623886742001</v>
      </c>
      <c r="L9" s="30">
        <f t="shared" si="3"/>
        <v>0.15538694432702951</v>
      </c>
      <c r="M9" s="30">
        <f t="shared" si="4"/>
        <v>0.4937616711562931</v>
      </c>
      <c r="N9" s="27">
        <f t="shared" si="5"/>
        <v>49212056</v>
      </c>
      <c r="O9" s="30">
        <v>16</v>
      </c>
      <c r="P9" s="31">
        <v>236240674</v>
      </c>
      <c r="Q9" s="31">
        <v>787468.91333333298</v>
      </c>
      <c r="R9" s="31">
        <v>10954.1033333333</v>
      </c>
      <c r="S9" s="32">
        <v>166799616</v>
      </c>
      <c r="T9" s="32">
        <v>37004840</v>
      </c>
      <c r="U9" s="32">
        <v>12207216</v>
      </c>
      <c r="V9" s="32">
        <v>117587560</v>
      </c>
      <c r="W9" s="33">
        <v>71.790062333333395</v>
      </c>
      <c r="X9" s="33">
        <v>75.225993000000003</v>
      </c>
      <c r="Y9" s="33">
        <v>42.256189333333303</v>
      </c>
      <c r="Z9" s="33">
        <v>49.427818666666703</v>
      </c>
      <c r="AA9" s="33">
        <v>49.576478999999999</v>
      </c>
      <c r="AB9" s="34">
        <v>37253.199999999997</v>
      </c>
      <c r="AC9" s="34">
        <v>0</v>
      </c>
      <c r="AD9" s="34">
        <v>451.70499999999998</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3.3940535999999999</v>
      </c>
      <c r="J10" s="21">
        <f t="shared" si="1"/>
        <v>0.155603992022015</v>
      </c>
      <c r="K10" s="21">
        <f t="shared" si="2"/>
        <v>8.202241943955188E-2</v>
      </c>
      <c r="L10" s="21">
        <f t="shared" si="3"/>
        <v>4.3101350028072923E-2</v>
      </c>
      <c r="M10" s="21">
        <f t="shared" si="4"/>
        <v>7.3581572582463103E-2</v>
      </c>
      <c r="N10" s="18">
        <f t="shared" si="5"/>
        <v>17890832</v>
      </c>
      <c r="O10" s="21">
        <v>16</v>
      </c>
      <c r="P10" s="22">
        <v>199616063</v>
      </c>
      <c r="Q10" s="22">
        <v>665386.87666666706</v>
      </c>
      <c r="R10" s="22">
        <v>19573.676666666699</v>
      </c>
      <c r="S10" s="23">
        <v>33940536</v>
      </c>
      <c r="T10" s="23">
        <v>9401320</v>
      </c>
      <c r="U10" s="23">
        <v>8489512</v>
      </c>
      <c r="V10" s="23">
        <v>16049704</v>
      </c>
      <c r="W10" s="24">
        <v>65.811341000000098</v>
      </c>
      <c r="X10" s="24">
        <v>67.673830666666603</v>
      </c>
      <c r="Y10" s="24">
        <v>32.286147999999997</v>
      </c>
      <c r="Z10" s="24">
        <v>39.167335666666702</v>
      </c>
      <c r="AA10" s="24">
        <v>31.9905896666667</v>
      </c>
      <c r="AB10" s="25">
        <v>32148.799999999999</v>
      </c>
      <c r="AC10" s="25">
        <v>0</v>
      </c>
      <c r="AD10" s="25">
        <v>413.08300000000003</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4.8918967999999996</v>
      </c>
      <c r="J11" s="12">
        <f t="shared" si="1"/>
        <v>0.2242742043436558</v>
      </c>
      <c r="K11" s="12">
        <f t="shared" si="2"/>
        <v>9.9934916013361047E-2</v>
      </c>
      <c r="L11" s="12">
        <f t="shared" si="3"/>
        <v>6.1013846601882082E-2</v>
      </c>
      <c r="M11" s="12">
        <f t="shared" si="4"/>
        <v>0.12433928833029477</v>
      </c>
      <c r="N11" s="54">
        <f t="shared" si="5"/>
        <v>21797928</v>
      </c>
      <c r="O11" s="12">
        <v>16</v>
      </c>
      <c r="P11" s="13">
        <v>213502846</v>
      </c>
      <c r="Q11" s="13">
        <v>711676.15333333297</v>
      </c>
      <c r="R11" s="13">
        <v>24833.8966666667</v>
      </c>
      <c r="S11" s="14">
        <v>48918968</v>
      </c>
      <c r="T11" s="14">
        <v>13308416</v>
      </c>
      <c r="U11" s="14">
        <v>8489512</v>
      </c>
      <c r="V11" s="14">
        <v>27121040</v>
      </c>
      <c r="W11" s="15">
        <v>67.515376000000003</v>
      </c>
      <c r="X11" s="15">
        <v>69.558186000000006</v>
      </c>
      <c r="Y11" s="15">
        <v>34.111228666666698</v>
      </c>
      <c r="Z11" s="15">
        <v>40.019959333333297</v>
      </c>
      <c r="AA11" s="15">
        <v>33.746103666666698</v>
      </c>
      <c r="AB11" s="16">
        <v>32570</v>
      </c>
      <c r="AC11" s="16">
        <v>0</v>
      </c>
      <c r="AD11" s="16">
        <v>427.31099999999998</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7.5602704000000003</v>
      </c>
      <c r="J12" s="21">
        <f t="shared" si="1"/>
        <v>0.34660862604110793</v>
      </c>
      <c r="K12" s="21">
        <f t="shared" si="2"/>
        <v>0.1274262320585906</v>
      </c>
      <c r="L12" s="21">
        <f t="shared" si="3"/>
        <v>8.850516264711164E-2</v>
      </c>
      <c r="M12" s="21">
        <f t="shared" si="4"/>
        <v>0.21918239398251729</v>
      </c>
      <c r="N12" s="18">
        <f t="shared" si="5"/>
        <v>27794368</v>
      </c>
      <c r="O12" s="21">
        <v>16</v>
      </c>
      <c r="P12" s="22">
        <v>217298403</v>
      </c>
      <c r="Q12" s="22">
        <v>724328.01</v>
      </c>
      <c r="R12" s="22">
        <v>26559.073333333301</v>
      </c>
      <c r="S12" s="23">
        <v>75602704</v>
      </c>
      <c r="T12" s="23">
        <v>19304856</v>
      </c>
      <c r="U12" s="23">
        <v>8489512</v>
      </c>
      <c r="V12" s="23">
        <v>47808336</v>
      </c>
      <c r="W12" s="24">
        <v>68.866378333333401</v>
      </c>
      <c r="X12" s="24">
        <v>71.214300666666702</v>
      </c>
      <c r="Y12" s="24">
        <v>36.198197999999998</v>
      </c>
      <c r="Z12" s="24">
        <v>40.906022</v>
      </c>
      <c r="AA12" s="24">
        <v>35.497234333333303</v>
      </c>
      <c r="AB12" s="25">
        <v>33366.1</v>
      </c>
      <c r="AC12" s="25">
        <v>0</v>
      </c>
      <c r="AD12" s="25">
        <v>441.03500000000003</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12.7686264</v>
      </c>
      <c r="J13" s="12">
        <f t="shared" si="1"/>
        <v>0.58539123851128627</v>
      </c>
      <c r="K13" s="12">
        <f t="shared" si="2"/>
        <v>0.17514552755022364</v>
      </c>
      <c r="L13" s="12">
        <f t="shared" si="3"/>
        <v>0.1362244581387447</v>
      </c>
      <c r="M13" s="12">
        <f t="shared" si="4"/>
        <v>0.41024571096106266</v>
      </c>
      <c r="N13" s="54">
        <f t="shared" si="5"/>
        <v>38202960</v>
      </c>
      <c r="O13" s="12">
        <v>16</v>
      </c>
      <c r="P13" s="13">
        <v>224949831</v>
      </c>
      <c r="Q13" s="13">
        <v>749832.77</v>
      </c>
      <c r="R13" s="13">
        <v>30098.09</v>
      </c>
      <c r="S13" s="14">
        <v>127686264</v>
      </c>
      <c r="T13" s="14">
        <v>29713448</v>
      </c>
      <c r="U13" s="14">
        <v>8489512</v>
      </c>
      <c r="V13" s="14">
        <v>89483304</v>
      </c>
      <c r="W13" s="15">
        <v>69.942534333333299</v>
      </c>
      <c r="X13" s="15">
        <v>72.471533000000093</v>
      </c>
      <c r="Y13" s="15">
        <v>38.517009000000002</v>
      </c>
      <c r="Z13" s="15">
        <v>42.075518000000002</v>
      </c>
      <c r="AA13" s="15">
        <v>37.5135406666667</v>
      </c>
      <c r="AB13" s="16">
        <v>34626.9</v>
      </c>
      <c r="AC13" s="16">
        <v>0</v>
      </c>
      <c r="AD13" s="16">
        <v>454.27800000000002</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22.911520800000002</v>
      </c>
      <c r="J14" s="40">
        <f t="shared" si="1"/>
        <v>1.050403004765579</v>
      </c>
      <c r="K14" s="40">
        <f t="shared" si="2"/>
        <v>0.28874719134416077</v>
      </c>
      <c r="L14" s="40">
        <f t="shared" si="3"/>
        <v>0.21556073846306084</v>
      </c>
      <c r="M14" s="40">
        <f t="shared" si="4"/>
        <v>0.76165581342141819</v>
      </c>
      <c r="N14" s="37">
        <f t="shared" si="5"/>
        <v>62981896</v>
      </c>
      <c r="O14" s="40">
        <v>16</v>
      </c>
      <c r="P14" s="41">
        <v>212746167</v>
      </c>
      <c r="Q14" s="41">
        <v>709153.89</v>
      </c>
      <c r="R14" s="41">
        <v>14215.776666666699</v>
      </c>
      <c r="S14" s="42">
        <v>229115208</v>
      </c>
      <c r="T14" s="42">
        <v>47018376</v>
      </c>
      <c r="U14" s="42">
        <v>15963520</v>
      </c>
      <c r="V14" s="42">
        <v>166133312</v>
      </c>
      <c r="W14" s="43">
        <v>70.817831333333302</v>
      </c>
      <c r="X14" s="43">
        <v>74.590870999999893</v>
      </c>
      <c r="Y14" s="43">
        <v>40.731774999999999</v>
      </c>
      <c r="Z14" s="43">
        <v>43.387790333333299</v>
      </c>
      <c r="AA14" s="43">
        <v>39.237424666666698</v>
      </c>
      <c r="AB14" s="44">
        <v>37235.599999999999</v>
      </c>
      <c r="AC14" s="44">
        <v>0</v>
      </c>
      <c r="AD14" s="44">
        <v>460.21100000000001</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4.3858671999999999</v>
      </c>
      <c r="J15" s="12">
        <f t="shared" si="1"/>
        <v>0.13595806517123063</v>
      </c>
      <c r="K15" s="12">
        <f t="shared" si="2"/>
        <v>7.7331296351603337E-2</v>
      </c>
      <c r="L15" s="12">
        <f t="shared" si="3"/>
        <v>4.1803491657625876E-2</v>
      </c>
      <c r="M15" s="12">
        <f t="shared" si="4"/>
        <v>5.8626768819627299E-2</v>
      </c>
      <c r="N15" s="54">
        <f t="shared" si="5"/>
        <v>24946280</v>
      </c>
      <c r="O15" s="12">
        <v>16</v>
      </c>
      <c r="P15" s="13">
        <v>295680337</v>
      </c>
      <c r="Q15" s="13">
        <v>985601.12333333294</v>
      </c>
      <c r="R15" s="13">
        <v>28254.0333333333</v>
      </c>
      <c r="S15" s="14">
        <v>43858672</v>
      </c>
      <c r="T15" s="14">
        <v>13485376</v>
      </c>
      <c r="U15" s="14">
        <v>11460904</v>
      </c>
      <c r="V15" s="14">
        <v>18912392</v>
      </c>
      <c r="W15" s="15">
        <v>65.9528453333333</v>
      </c>
      <c r="X15" s="15">
        <v>67.740673999999999</v>
      </c>
      <c r="Y15" s="15">
        <v>29.5076826666667</v>
      </c>
      <c r="Z15" s="15">
        <v>43.202889333333303</v>
      </c>
      <c r="AA15" s="15">
        <v>43.417364333333303</v>
      </c>
      <c r="AB15" s="16">
        <v>38505.599999999999</v>
      </c>
      <c r="AC15" s="16">
        <v>0</v>
      </c>
      <c r="AD15" s="16">
        <v>515.81100000000004</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6.9787872000000002</v>
      </c>
      <c r="J16" s="21">
        <f t="shared" si="1"/>
        <v>0.21633632795670379</v>
      </c>
      <c r="K16" s="21">
        <f t="shared" si="2"/>
        <v>9.462957937430018E-2</v>
      </c>
      <c r="L16" s="21">
        <f t="shared" si="3"/>
        <v>5.9101774680322718E-2</v>
      </c>
      <c r="M16" s="21">
        <f t="shared" si="4"/>
        <v>0.12170674858240361</v>
      </c>
      <c r="N16" s="18">
        <f t="shared" si="5"/>
        <v>30526528</v>
      </c>
      <c r="O16" s="21">
        <v>16</v>
      </c>
      <c r="P16" s="22">
        <v>315641750</v>
      </c>
      <c r="Q16" s="22">
        <v>1052139.16666667</v>
      </c>
      <c r="R16" s="22">
        <v>35006.066666666702</v>
      </c>
      <c r="S16" s="23">
        <v>69787872</v>
      </c>
      <c r="T16" s="23">
        <v>19065624</v>
      </c>
      <c r="U16" s="23">
        <v>11460904</v>
      </c>
      <c r="V16" s="23">
        <v>39261344</v>
      </c>
      <c r="W16" s="24">
        <v>67.752557999999993</v>
      </c>
      <c r="X16" s="24">
        <v>69.809453666666698</v>
      </c>
      <c r="Y16" s="24">
        <v>31.918449333333299</v>
      </c>
      <c r="Z16" s="24">
        <v>44.0711266666667</v>
      </c>
      <c r="AA16" s="24">
        <v>44.380765666666697</v>
      </c>
      <c r="AB16" s="25">
        <v>40600.199999999997</v>
      </c>
      <c r="AC16" s="25">
        <v>0</v>
      </c>
      <c r="AD16" s="25">
        <v>549.54899999999998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11.5888016</v>
      </c>
      <c r="J17" s="12">
        <f t="shared" si="1"/>
        <v>0.35924276120108284</v>
      </c>
      <c r="K17" s="12">
        <f t="shared" si="2"/>
        <v>0.12058123218960516</v>
      </c>
      <c r="L17" s="12">
        <f t="shared" si="3"/>
        <v>8.5053427495627693E-2</v>
      </c>
      <c r="M17" s="12">
        <f t="shared" si="4"/>
        <v>0.23866152901147769</v>
      </c>
      <c r="N17" s="54">
        <f t="shared" si="5"/>
        <v>38898264</v>
      </c>
      <c r="O17" s="12">
        <v>16</v>
      </c>
      <c r="P17" s="13">
        <v>319970355</v>
      </c>
      <c r="Q17" s="13">
        <v>1066567.8500000001</v>
      </c>
      <c r="R17" s="13">
        <v>36800.446666666699</v>
      </c>
      <c r="S17" s="14">
        <v>115888016</v>
      </c>
      <c r="T17" s="14">
        <v>27437360</v>
      </c>
      <c r="U17" s="14">
        <v>11460904</v>
      </c>
      <c r="V17" s="14">
        <v>76989752</v>
      </c>
      <c r="W17" s="15">
        <v>69.144206333333301</v>
      </c>
      <c r="X17" s="15">
        <v>71.605048999999994</v>
      </c>
      <c r="Y17" s="15">
        <v>34.468869333333302</v>
      </c>
      <c r="Z17" s="15">
        <v>44.928091000000002</v>
      </c>
      <c r="AA17" s="15">
        <v>45.339612666666703</v>
      </c>
      <c r="AB17" s="16">
        <v>41839.5</v>
      </c>
      <c r="AC17" s="16">
        <v>0</v>
      </c>
      <c r="AD17" s="16">
        <v>558.78300000000002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19.9641144</v>
      </c>
      <c r="J18" s="21">
        <f t="shared" si="1"/>
        <v>0.61887016704042108</v>
      </c>
      <c r="K18" s="21">
        <f t="shared" si="2"/>
        <v>0.16380339280760181</v>
      </c>
      <c r="L18" s="21">
        <f t="shared" si="3"/>
        <v>0.12827558811362436</v>
      </c>
      <c r="M18" s="21">
        <f t="shared" si="4"/>
        <v>0.45506677423281927</v>
      </c>
      <c r="N18" s="18">
        <f t="shared" si="5"/>
        <v>52841288</v>
      </c>
      <c r="O18" s="21">
        <v>16</v>
      </c>
      <c r="P18" s="22">
        <v>330498557</v>
      </c>
      <c r="Q18" s="22">
        <v>1101661.8566666699</v>
      </c>
      <c r="R18" s="22">
        <v>41195.15</v>
      </c>
      <c r="S18" s="23">
        <v>199641144</v>
      </c>
      <c r="T18" s="23">
        <v>41380384</v>
      </c>
      <c r="U18" s="23">
        <v>11460904</v>
      </c>
      <c r="V18" s="23">
        <v>146799856</v>
      </c>
      <c r="W18" s="24">
        <v>70.367131999999998</v>
      </c>
      <c r="X18" s="24">
        <v>72.960673333333304</v>
      </c>
      <c r="Y18" s="24">
        <v>37.151369000000003</v>
      </c>
      <c r="Z18" s="24">
        <v>46.292872333333399</v>
      </c>
      <c r="AA18" s="24">
        <v>46.804498000000002</v>
      </c>
      <c r="AB18" s="25">
        <v>43577.2</v>
      </c>
      <c r="AC18" s="25">
        <v>0</v>
      </c>
      <c r="AD18" s="25">
        <v>575.80399999999997</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35.296759999999999</v>
      </c>
      <c r="J19" s="30">
        <f t="shared" si="1"/>
        <v>1.0941688331131609</v>
      </c>
      <c r="K19" s="30">
        <f t="shared" si="2"/>
        <v>0.26343588448811744</v>
      </c>
      <c r="L19" s="30">
        <f t="shared" si="3"/>
        <v>0.19726645708444557</v>
      </c>
      <c r="M19" s="30">
        <f t="shared" si="4"/>
        <v>0.83073294862504354</v>
      </c>
      <c r="N19" s="27">
        <f t="shared" si="5"/>
        <v>84981704</v>
      </c>
      <c r="O19" s="30">
        <v>16</v>
      </c>
      <c r="P19" s="31">
        <v>314302643</v>
      </c>
      <c r="Q19" s="31">
        <v>1047675.4766666699</v>
      </c>
      <c r="R19" s="31">
        <v>18188.73</v>
      </c>
      <c r="S19" s="32">
        <v>352967600</v>
      </c>
      <c r="T19" s="32">
        <v>63636128</v>
      </c>
      <c r="U19" s="32">
        <v>21345576</v>
      </c>
      <c r="V19" s="32">
        <v>267985896</v>
      </c>
      <c r="W19" s="33">
        <v>71.149853333333397</v>
      </c>
      <c r="X19" s="33">
        <v>75.005090666666604</v>
      </c>
      <c r="Y19" s="33">
        <v>39.630724333333397</v>
      </c>
      <c r="Z19" s="33">
        <v>48.067233999999999</v>
      </c>
      <c r="AA19" s="33">
        <v>48.648555333333299</v>
      </c>
      <c r="AB19" s="34">
        <v>47237.1</v>
      </c>
      <c r="AC19" s="34">
        <v>0</v>
      </c>
      <c r="AD19" s="34">
        <v>566.84500000000003</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4.8521039999999998</v>
      </c>
      <c r="J20" s="21">
        <f t="shared" si="1"/>
        <v>9.6808619817558283E-2</v>
      </c>
      <c r="K20" s="21">
        <f t="shared" si="2"/>
        <v>5.8361082514407227E-2</v>
      </c>
      <c r="L20" s="21">
        <f t="shared" si="3"/>
        <v>2.9222743483833153E-2</v>
      </c>
      <c r="M20" s="21">
        <f t="shared" si="4"/>
        <v>3.8447537303151064E-2</v>
      </c>
      <c r="N20" s="18">
        <f t="shared" si="5"/>
        <v>14625456</v>
      </c>
      <c r="O20" s="21">
        <v>16</v>
      </c>
      <c r="P20" s="22">
        <v>234675165</v>
      </c>
      <c r="Q20" s="22">
        <v>938700.66</v>
      </c>
      <c r="R20" s="22">
        <v>27933.984</v>
      </c>
      <c r="S20" s="23">
        <v>24260520</v>
      </c>
      <c r="T20" s="23">
        <v>7323304</v>
      </c>
      <c r="U20" s="23">
        <v>7302152</v>
      </c>
      <c r="V20" s="23">
        <v>9635064</v>
      </c>
      <c r="W20" s="24">
        <v>67.292702000000006</v>
      </c>
      <c r="X20" s="24">
        <v>69.088280800000007</v>
      </c>
      <c r="Y20" s="24">
        <v>31.1167804</v>
      </c>
      <c r="Z20" s="24">
        <v>40.3108492</v>
      </c>
      <c r="AA20" s="24">
        <v>39.112166000000002</v>
      </c>
      <c r="AB20" s="25">
        <v>33323.1</v>
      </c>
      <c r="AC20" s="25">
        <v>0</v>
      </c>
      <c r="AD20" s="25">
        <v>420.53399999999999</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7.1289823999999999</v>
      </c>
      <c r="J21" s="12">
        <f t="shared" si="1"/>
        <v>0.14223663525094768</v>
      </c>
      <c r="K21" s="12">
        <f t="shared" si="2"/>
        <v>6.9324595301655953E-2</v>
      </c>
      <c r="L21" s="12">
        <f t="shared" si="3"/>
        <v>4.0186256271081883E-2</v>
      </c>
      <c r="M21" s="12">
        <f t="shared" si="4"/>
        <v>7.2912039949291726E-2</v>
      </c>
      <c r="N21" s="54">
        <f t="shared" si="5"/>
        <v>17372944</v>
      </c>
      <c r="O21" s="12">
        <v>16</v>
      </c>
      <c r="P21" s="13">
        <v>244372466</v>
      </c>
      <c r="Q21" s="13">
        <v>977489.86399999994</v>
      </c>
      <c r="R21" s="13">
        <v>33347.252</v>
      </c>
      <c r="S21" s="14">
        <v>35644912</v>
      </c>
      <c r="T21" s="14">
        <v>10070792</v>
      </c>
      <c r="U21" s="14">
        <v>7302152</v>
      </c>
      <c r="V21" s="14">
        <v>18271968</v>
      </c>
      <c r="W21" s="15">
        <v>68.879831999999894</v>
      </c>
      <c r="X21" s="15">
        <v>71.013356799999997</v>
      </c>
      <c r="Y21" s="15">
        <v>32.872518800000002</v>
      </c>
      <c r="Z21" s="15">
        <v>41.506481600000001</v>
      </c>
      <c r="AA21" s="15">
        <v>40.447173200000002</v>
      </c>
      <c r="AB21" s="16">
        <v>35098.9</v>
      </c>
      <c r="AC21" s="16">
        <v>0</v>
      </c>
      <c r="AD21" s="16">
        <v>437.63499999999999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11.5165056</v>
      </c>
      <c r="J22" s="21">
        <f t="shared" si="1"/>
        <v>0.22977599248845057</v>
      </c>
      <c r="K22" s="21">
        <f t="shared" si="2"/>
        <v>8.6259531618891022E-2</v>
      </c>
      <c r="L22" s="21">
        <f t="shared" si="3"/>
        <v>5.7121192588316945E-2</v>
      </c>
      <c r="M22" s="21">
        <f t="shared" si="4"/>
        <v>0.14351646086955955</v>
      </c>
      <c r="N22" s="18">
        <f t="shared" si="5"/>
        <v>21616888</v>
      </c>
      <c r="O22" s="21">
        <v>16</v>
      </c>
      <c r="P22" s="22">
        <v>255382334</v>
      </c>
      <c r="Q22" s="22">
        <v>1021529.336</v>
      </c>
      <c r="R22" s="22">
        <v>35812</v>
      </c>
      <c r="S22" s="23">
        <v>57582528</v>
      </c>
      <c r="T22" s="23">
        <v>14314736</v>
      </c>
      <c r="U22" s="23">
        <v>7302152</v>
      </c>
      <c r="V22" s="23">
        <v>35965640</v>
      </c>
      <c r="W22" s="24">
        <v>70.043271599999997</v>
      </c>
      <c r="X22" s="24">
        <v>72.458006400000002</v>
      </c>
      <c r="Y22" s="24">
        <v>34.7814172</v>
      </c>
      <c r="Z22" s="24">
        <v>42.603807199999999</v>
      </c>
      <c r="AA22" s="24">
        <v>41.611138799999999</v>
      </c>
      <c r="AB22" s="25">
        <v>34851.199999999997</v>
      </c>
      <c r="AC22" s="25">
        <v>0</v>
      </c>
      <c r="AD22" s="25">
        <v>464.83499999999998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20.255400000000002</v>
      </c>
      <c r="J23" s="12">
        <f t="shared" si="1"/>
        <v>0.40413340642586604</v>
      </c>
      <c r="K23" s="12">
        <f t="shared" si="2"/>
        <v>0.11571304658253125</v>
      </c>
      <c r="L23" s="12">
        <f t="shared" si="3"/>
        <v>8.6574707551957175E-2</v>
      </c>
      <c r="M23" s="12">
        <f t="shared" si="4"/>
        <v>0.28842035984333475</v>
      </c>
      <c r="N23" s="54">
        <f t="shared" si="5"/>
        <v>28998024</v>
      </c>
      <c r="O23" s="12">
        <v>16</v>
      </c>
      <c r="P23" s="13">
        <v>255641962</v>
      </c>
      <c r="Q23" s="13">
        <v>1022567.848</v>
      </c>
      <c r="R23" s="13">
        <v>37896.531999999999</v>
      </c>
      <c r="S23" s="14">
        <v>101277000</v>
      </c>
      <c r="T23" s="14">
        <v>21695872</v>
      </c>
      <c r="U23" s="14">
        <v>7302152</v>
      </c>
      <c r="V23" s="14">
        <v>72278976</v>
      </c>
      <c r="W23" s="15">
        <v>71.078891200000001</v>
      </c>
      <c r="X23" s="15">
        <v>73.827556000000101</v>
      </c>
      <c r="Y23" s="15">
        <v>36.324855200000002</v>
      </c>
      <c r="Z23" s="15">
        <v>43.933628400000003</v>
      </c>
      <c r="AA23" s="15">
        <v>42.865189600000001</v>
      </c>
      <c r="AB23" s="16">
        <v>36634.5</v>
      </c>
      <c r="AC23" s="16">
        <v>0</v>
      </c>
      <c r="AD23" s="16">
        <v>454.38900000000001</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35.414443200000001</v>
      </c>
      <c r="J24" s="40">
        <f t="shared" si="1"/>
        <v>0.70658488931797681</v>
      </c>
      <c r="K24" s="40">
        <f t="shared" si="2"/>
        <v>0.19181652617088124</v>
      </c>
      <c r="L24" s="40">
        <f t="shared" si="3"/>
        <v>0.13633199466960658</v>
      </c>
      <c r="M24" s="40">
        <f t="shared" si="4"/>
        <v>0.51476836314709551</v>
      </c>
      <c r="N24" s="37">
        <f t="shared" si="5"/>
        <v>48069776</v>
      </c>
      <c r="O24" s="40">
        <v>16</v>
      </c>
      <c r="P24" s="41">
        <v>245253778</v>
      </c>
      <c r="Q24" s="41">
        <v>981015.11199999996</v>
      </c>
      <c r="R24" s="41">
        <v>18980.276000000002</v>
      </c>
      <c r="S24" s="42">
        <v>177072216</v>
      </c>
      <c r="T24" s="42">
        <v>34165192</v>
      </c>
      <c r="U24" s="42">
        <v>13904584</v>
      </c>
      <c r="V24" s="42">
        <v>129002440</v>
      </c>
      <c r="W24" s="43">
        <v>71.913038799999995</v>
      </c>
      <c r="X24" s="43">
        <v>75.788485600000001</v>
      </c>
      <c r="Y24" s="43">
        <v>37.198903199999997</v>
      </c>
      <c r="Z24" s="43">
        <v>44.905577999999998</v>
      </c>
      <c r="AA24" s="43">
        <v>43.527957200000003</v>
      </c>
      <c r="AB24" s="44">
        <v>38215.5</v>
      </c>
      <c r="AC24" s="44">
        <v>0</v>
      </c>
      <c r="AD24" s="44">
        <v>451.87200000000001</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4.6482495999999998</v>
      </c>
      <c r="J25" s="12">
        <f t="shared" si="1"/>
        <v>0.18571115534574376</v>
      </c>
      <c r="K25" s="12">
        <f t="shared" si="2"/>
        <v>6.4284795425575775E-2</v>
      </c>
      <c r="L25" s="12">
        <f t="shared" si="3"/>
        <v>3.6534134806002316E-2</v>
      </c>
      <c r="M25" s="12">
        <f t="shared" si="4"/>
        <v>0.12142635992016799</v>
      </c>
      <c r="N25" s="54">
        <f t="shared" si="5"/>
        <v>16090136</v>
      </c>
      <c r="O25" s="12">
        <v>16</v>
      </c>
      <c r="P25" s="13">
        <v>229813520</v>
      </c>
      <c r="Q25" s="13">
        <v>766045.066666667</v>
      </c>
      <c r="R25" s="13">
        <v>15663.35</v>
      </c>
      <c r="S25" s="14">
        <v>46482496</v>
      </c>
      <c r="T25" s="14">
        <v>9144296</v>
      </c>
      <c r="U25" s="14">
        <v>6945840</v>
      </c>
      <c r="V25" s="14">
        <v>30392360</v>
      </c>
      <c r="W25" s="15">
        <v>66.287796</v>
      </c>
      <c r="X25" s="15">
        <v>68.082541000000006</v>
      </c>
      <c r="Y25" s="15">
        <v>27.281383666666699</v>
      </c>
      <c r="Z25" s="15">
        <v>33.1033063333334</v>
      </c>
      <c r="AA25" s="15">
        <v>32.536090666666702</v>
      </c>
      <c r="AB25" s="16">
        <v>25033</v>
      </c>
      <c r="AC25" s="16">
        <v>0</v>
      </c>
      <c r="AD25" s="16">
        <v>425</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7.9839432000000006</v>
      </c>
      <c r="J26" s="21">
        <f t="shared" si="1"/>
        <v>0.31898186273964174</v>
      </c>
      <c r="K26" s="21">
        <f t="shared" si="2"/>
        <v>7.9335572673322988E-2</v>
      </c>
      <c r="L26" s="21">
        <f t="shared" si="3"/>
        <v>5.1584912053749529E-2</v>
      </c>
      <c r="M26" s="21">
        <f t="shared" si="4"/>
        <v>0.23964629006631874</v>
      </c>
      <c r="N26" s="18">
        <f t="shared" si="5"/>
        <v>19857264</v>
      </c>
      <c r="O26" s="21">
        <v>16</v>
      </c>
      <c r="P26" s="22">
        <v>243596625</v>
      </c>
      <c r="Q26" s="22">
        <v>811988.75</v>
      </c>
      <c r="R26" s="22">
        <v>19477.93</v>
      </c>
      <c r="S26" s="23">
        <v>79839432</v>
      </c>
      <c r="T26" s="23">
        <v>12911424</v>
      </c>
      <c r="U26" s="23">
        <v>6945840</v>
      </c>
      <c r="V26" s="23">
        <v>59982168</v>
      </c>
      <c r="W26" s="24">
        <v>68.006917999999999</v>
      </c>
      <c r="X26" s="24">
        <v>70.038729000000004</v>
      </c>
      <c r="Y26" s="24">
        <v>29.675473666666701</v>
      </c>
      <c r="Z26" s="24">
        <v>34.267797999999999</v>
      </c>
      <c r="AA26" s="24">
        <v>33.851446000000003</v>
      </c>
      <c r="AB26" s="25">
        <v>25816.6</v>
      </c>
      <c r="AC26" s="25">
        <v>0</v>
      </c>
      <c r="AD26" s="25">
        <v>446.01799999999997</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14.057192800000001</v>
      </c>
      <c r="J27" s="12">
        <f t="shared" si="1"/>
        <v>0.56162593243828185</v>
      </c>
      <c r="K27" s="12">
        <f t="shared" si="2"/>
        <v>0.10202969555289855</v>
      </c>
      <c r="L27" s="12">
        <f t="shared" si="3"/>
        <v>7.4279034933325092E-2</v>
      </c>
      <c r="M27" s="12">
        <f t="shared" si="4"/>
        <v>0.45959623688538331</v>
      </c>
      <c r="N27" s="54">
        <f t="shared" si="5"/>
        <v>25537480</v>
      </c>
      <c r="O27" s="12">
        <v>16</v>
      </c>
      <c r="P27" s="13">
        <v>246292624</v>
      </c>
      <c r="Q27" s="13">
        <v>820975.41333333298</v>
      </c>
      <c r="R27" s="13">
        <v>20455.1733333333</v>
      </c>
      <c r="S27" s="14">
        <v>140571928</v>
      </c>
      <c r="T27" s="14">
        <v>18591640</v>
      </c>
      <c r="U27" s="14">
        <v>6945840</v>
      </c>
      <c r="V27" s="14">
        <v>115034448</v>
      </c>
      <c r="W27" s="15">
        <v>69.315214666666606</v>
      </c>
      <c r="X27" s="15">
        <v>71.735003333333296</v>
      </c>
      <c r="Y27" s="15">
        <v>32.1849943333333</v>
      </c>
      <c r="Z27" s="15">
        <v>35.538696333333299</v>
      </c>
      <c r="AA27" s="15">
        <v>35.188729666666703</v>
      </c>
      <c r="AB27" s="16">
        <v>26827.3</v>
      </c>
      <c r="AC27" s="16">
        <v>0</v>
      </c>
      <c r="AD27" s="16">
        <v>469.08100000000002</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25.984989600000002</v>
      </c>
      <c r="J28" s="21">
        <f t="shared" si="1"/>
        <v>1.0381762718299672</v>
      </c>
      <c r="K28" s="21">
        <f t="shared" si="2"/>
        <v>0.13978728472836061</v>
      </c>
      <c r="L28" s="21">
        <f t="shared" si="3"/>
        <v>0.11203662410878715</v>
      </c>
      <c r="M28" s="21">
        <f t="shared" si="4"/>
        <v>0.89838898710160653</v>
      </c>
      <c r="N28" s="18">
        <f t="shared" si="5"/>
        <v>34988000</v>
      </c>
      <c r="O28" s="21">
        <v>16</v>
      </c>
      <c r="P28" s="22">
        <v>253012628</v>
      </c>
      <c r="Q28" s="22">
        <v>843375.42666666699</v>
      </c>
      <c r="R28" s="22">
        <v>22919.02</v>
      </c>
      <c r="S28" s="23">
        <v>259849896</v>
      </c>
      <c r="T28" s="23">
        <v>28042160</v>
      </c>
      <c r="U28" s="23">
        <v>6945840</v>
      </c>
      <c r="V28" s="23">
        <v>224861896</v>
      </c>
      <c r="W28" s="24">
        <v>70.454707999999997</v>
      </c>
      <c r="X28" s="24">
        <v>73.019469666666694</v>
      </c>
      <c r="Y28" s="24">
        <v>34.865099333333298</v>
      </c>
      <c r="Z28" s="24">
        <v>37.362366333333398</v>
      </c>
      <c r="AA28" s="24">
        <v>36.933245999999997</v>
      </c>
      <c r="AB28" s="25">
        <v>29156.799999999999</v>
      </c>
      <c r="AC28" s="25">
        <v>0</v>
      </c>
      <c r="AD28" s="25">
        <v>508.476</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46.787000799999994</v>
      </c>
      <c r="J29" s="30">
        <f t="shared" si="1"/>
        <v>1.8692774100879259</v>
      </c>
      <c r="K29" s="30">
        <f t="shared" si="2"/>
        <v>0.22609640028084987</v>
      </c>
      <c r="L29" s="30">
        <f t="shared" si="3"/>
        <v>0.17326914411595215</v>
      </c>
      <c r="M29" s="30">
        <f t="shared" si="4"/>
        <v>1.643181009807076</v>
      </c>
      <c r="N29" s="27">
        <f t="shared" si="5"/>
        <v>56590704</v>
      </c>
      <c r="O29" s="30">
        <v>16</v>
      </c>
      <c r="P29" s="31">
        <v>243449471</v>
      </c>
      <c r="Q29" s="31">
        <v>811498.23666666704</v>
      </c>
      <c r="R29" s="31">
        <v>10618.3666666667</v>
      </c>
      <c r="S29" s="32">
        <v>467870008</v>
      </c>
      <c r="T29" s="32">
        <v>43368328</v>
      </c>
      <c r="U29" s="32">
        <v>13222376</v>
      </c>
      <c r="V29" s="32">
        <v>411279304</v>
      </c>
      <c r="W29" s="33">
        <v>71.195141333333297</v>
      </c>
      <c r="X29" s="33">
        <v>74.9500593333333</v>
      </c>
      <c r="Y29" s="33">
        <v>37.258393333333402</v>
      </c>
      <c r="Z29" s="33">
        <v>39.404288000000001</v>
      </c>
      <c r="AA29" s="33">
        <v>38.757496000000003</v>
      </c>
      <c r="AB29" s="34">
        <v>32342.3</v>
      </c>
      <c r="AC29" s="34">
        <v>0</v>
      </c>
      <c r="AD29" s="34">
        <v>485.22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2.9319825000000002</v>
      </c>
      <c r="J30" s="21">
        <f t="shared" si="1"/>
        <v>3.3321899194763048E-2</v>
      </c>
      <c r="K30" s="21">
        <f t="shared" si="2"/>
        <v>2.0339684506795155E-2</v>
      </c>
      <c r="L30" s="21">
        <f t="shared" si="3"/>
        <v>1.2606659186224299E-2</v>
      </c>
      <c r="M30" s="21">
        <f t="shared" si="4"/>
        <v>1.2982214687967895E-2</v>
      </c>
      <c r="N30" s="18">
        <f t="shared" si="5"/>
        <v>7635976</v>
      </c>
      <c r="O30" s="21">
        <v>16</v>
      </c>
      <c r="P30" s="22">
        <v>169249572</v>
      </c>
      <c r="Q30" s="22">
        <v>2644524.5625</v>
      </c>
      <c r="R30" s="22">
        <v>31572.421875</v>
      </c>
      <c r="S30" s="23">
        <v>12509792</v>
      </c>
      <c r="T30" s="23">
        <v>4732824</v>
      </c>
      <c r="U30" s="23">
        <v>2903152</v>
      </c>
      <c r="V30" s="23">
        <v>4873816</v>
      </c>
      <c r="W30" s="24">
        <v>73.420406249999999</v>
      </c>
      <c r="X30" s="24">
        <v>75.652500000000003</v>
      </c>
      <c r="Y30" s="24">
        <v>34.762167187499998</v>
      </c>
      <c r="Z30" s="24">
        <v>42.258467187500003</v>
      </c>
      <c r="AA30" s="24">
        <v>43.863898437499998</v>
      </c>
      <c r="AB30" s="25">
        <v>15383.6</v>
      </c>
      <c r="AC30" s="25">
        <v>0</v>
      </c>
      <c r="AD30" s="25">
        <v>290.22000000000003</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4.1708662500000004</v>
      </c>
      <c r="J31" s="12">
        <f t="shared" si="1"/>
        <v>4.7401778399884513E-2</v>
      </c>
      <c r="K31" s="12">
        <f t="shared" si="2"/>
        <v>2.497559156937032E-2</v>
      </c>
      <c r="L31" s="12">
        <f t="shared" si="3"/>
        <v>1.7242566248799461E-2</v>
      </c>
      <c r="M31" s="12">
        <f t="shared" si="4"/>
        <v>2.2426186830514189E-2</v>
      </c>
      <c r="N31" s="54">
        <f t="shared" si="5"/>
        <v>9376400</v>
      </c>
      <c r="O31" s="12">
        <v>16</v>
      </c>
      <c r="P31" s="13">
        <v>180376418</v>
      </c>
      <c r="Q31" s="13">
        <v>2818381.53125</v>
      </c>
      <c r="R31" s="13">
        <v>39636.09375</v>
      </c>
      <c r="S31" s="14">
        <v>17795696</v>
      </c>
      <c r="T31" s="14">
        <v>6473248</v>
      </c>
      <c r="U31" s="14">
        <v>2903152</v>
      </c>
      <c r="V31" s="14">
        <v>8419296</v>
      </c>
      <c r="W31" s="15">
        <v>75.126996875000003</v>
      </c>
      <c r="X31" s="15">
        <v>77.554306249999996</v>
      </c>
      <c r="Y31" s="15">
        <v>36.699356250000001</v>
      </c>
      <c r="Z31" s="15">
        <v>42.787203124999998</v>
      </c>
      <c r="AA31" s="15">
        <v>45.099618749999998</v>
      </c>
      <c r="AB31" s="16">
        <v>16283.5</v>
      </c>
      <c r="AC31" s="16">
        <v>0</v>
      </c>
      <c r="AD31" s="16">
        <v>312.40199999999999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6.4148775000000002</v>
      </c>
      <c r="J32" s="21">
        <f t="shared" si="1"/>
        <v>7.2904903559879233E-2</v>
      </c>
      <c r="K32" s="21">
        <f t="shared" si="2"/>
        <v>3.1681869798445957E-2</v>
      </c>
      <c r="L32" s="21">
        <f t="shared" si="3"/>
        <v>2.3948844477875101E-2</v>
      </c>
      <c r="M32" s="21">
        <f t="shared" si="4"/>
        <v>4.1223033761433277E-2</v>
      </c>
      <c r="N32" s="18">
        <f t="shared" si="5"/>
        <v>11894088</v>
      </c>
      <c r="O32" s="21">
        <v>16</v>
      </c>
      <c r="P32" s="22">
        <v>184125577</v>
      </c>
      <c r="Q32" s="22">
        <v>2876962.140625</v>
      </c>
      <c r="R32" s="22">
        <v>42824.203125</v>
      </c>
      <c r="S32" s="23">
        <v>27370144</v>
      </c>
      <c r="T32" s="23">
        <v>8990936</v>
      </c>
      <c r="U32" s="23">
        <v>2903152</v>
      </c>
      <c r="V32" s="23">
        <v>15476056</v>
      </c>
      <c r="W32" s="24">
        <v>76.418717187499993</v>
      </c>
      <c r="X32" s="24">
        <v>79.128390624999994</v>
      </c>
      <c r="Y32" s="24">
        <v>38.443270312499997</v>
      </c>
      <c r="Z32" s="24">
        <v>43.305746874999997</v>
      </c>
      <c r="AA32" s="24">
        <v>46.268612500000003</v>
      </c>
      <c r="AB32" s="25">
        <v>15769.4</v>
      </c>
      <c r="AC32" s="25">
        <v>0</v>
      </c>
      <c r="AD32" s="25">
        <v>306.95999999999998</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10.681524375</v>
      </c>
      <c r="J33" s="12">
        <f t="shared" si="1"/>
        <v>0.12139522608683864</v>
      </c>
      <c r="K33" s="12">
        <f t="shared" si="2"/>
        <v>4.282087069897527E-2</v>
      </c>
      <c r="L33" s="12">
        <f t="shared" si="3"/>
        <v>3.5087845378404411E-2</v>
      </c>
      <c r="M33" s="12">
        <f t="shared" si="4"/>
        <v>7.8574355387863379E-2</v>
      </c>
      <c r="N33" s="54">
        <f t="shared" si="5"/>
        <v>16075920</v>
      </c>
      <c r="O33" s="12">
        <v>16</v>
      </c>
      <c r="P33" s="13">
        <v>188671882</v>
      </c>
      <c r="Q33" s="13">
        <v>2947998.15625</v>
      </c>
      <c r="R33" s="13">
        <v>47562.4375</v>
      </c>
      <c r="S33" s="14">
        <v>45574504</v>
      </c>
      <c r="T33" s="14">
        <v>13172768</v>
      </c>
      <c r="U33" s="14">
        <v>2903152</v>
      </c>
      <c r="V33" s="14">
        <v>29498584</v>
      </c>
      <c r="W33" s="15">
        <v>77.572209375</v>
      </c>
      <c r="X33" s="15">
        <v>80.316196875000003</v>
      </c>
      <c r="Y33" s="15">
        <v>40.047745312499998</v>
      </c>
      <c r="Z33" s="15">
        <v>44.019767187500001</v>
      </c>
      <c r="AA33" s="15">
        <v>47.8787515625</v>
      </c>
      <c r="AB33" s="16">
        <v>16556</v>
      </c>
      <c r="AC33" s="16">
        <v>0</v>
      </c>
      <c r="AD33" s="16">
        <v>307.21300000000002</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19.995373125</v>
      </c>
      <c r="J34" s="40">
        <f t="shared" si="1"/>
        <v>0.22724685690754437</v>
      </c>
      <c r="K34" s="40">
        <f t="shared" si="2"/>
        <v>6.8689280267213798E-2</v>
      </c>
      <c r="L34" s="40">
        <f t="shared" si="3"/>
        <v>5.3339514599574964E-2</v>
      </c>
      <c r="M34" s="40">
        <f t="shared" si="4"/>
        <v>0.1585575766403306</v>
      </c>
      <c r="N34" s="37">
        <f t="shared" si="5"/>
        <v>25787504</v>
      </c>
      <c r="O34" s="40">
        <v>16</v>
      </c>
      <c r="P34" s="41">
        <v>184986519</v>
      </c>
      <c r="Q34" s="41">
        <v>2890414.359375</v>
      </c>
      <c r="R34" s="41">
        <v>18988.453125</v>
      </c>
      <c r="S34" s="42">
        <v>85313592</v>
      </c>
      <c r="T34" s="42">
        <v>20024856</v>
      </c>
      <c r="U34" s="42">
        <v>5762648</v>
      </c>
      <c r="V34" s="42">
        <v>59526088</v>
      </c>
      <c r="W34" s="43">
        <v>78.495448437500002</v>
      </c>
      <c r="X34" s="43">
        <v>81.985429687500002</v>
      </c>
      <c r="Y34" s="43">
        <v>41.536167187499998</v>
      </c>
      <c r="Z34" s="43">
        <v>44.803171874999997</v>
      </c>
      <c r="AA34" s="43">
        <v>49.259009374999998</v>
      </c>
      <c r="AB34" s="44">
        <v>18701.3</v>
      </c>
      <c r="AC34" s="44">
        <v>0</v>
      </c>
      <c r="AD34" s="44">
        <v>329.06700000000001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3.0157293749999998</v>
      </c>
      <c r="J35" s="12">
        <f t="shared" si="1"/>
        <v>3.8617861857478258E-2</v>
      </c>
      <c r="K35" s="12">
        <f t="shared" si="2"/>
        <v>2.2954182852330546E-2</v>
      </c>
      <c r="L35" s="12">
        <f t="shared" si="3"/>
        <v>1.4026754511138216E-2</v>
      </c>
      <c r="M35" s="12">
        <f t="shared" si="4"/>
        <v>1.5663679005147708E-2</v>
      </c>
      <c r="N35" s="54">
        <f t="shared" si="5"/>
        <v>7648120</v>
      </c>
      <c r="O35" s="12">
        <v>16</v>
      </c>
      <c r="P35" s="13">
        <v>149475345</v>
      </c>
      <c r="Q35" s="13">
        <v>2335552.265625</v>
      </c>
      <c r="R35" s="13">
        <v>30858.4375</v>
      </c>
      <c r="S35" s="14">
        <v>12867112</v>
      </c>
      <c r="T35" s="14">
        <v>4673584</v>
      </c>
      <c r="U35" s="14">
        <v>2974536</v>
      </c>
      <c r="V35" s="14">
        <v>5218992</v>
      </c>
      <c r="W35" s="15">
        <v>73.203678124999996</v>
      </c>
      <c r="X35" s="15">
        <v>75.427323437499993</v>
      </c>
      <c r="Y35" s="15">
        <v>34.096020312500002</v>
      </c>
      <c r="Z35" s="15">
        <v>42.519103125000001</v>
      </c>
      <c r="AA35" s="15">
        <v>44.023568750000003</v>
      </c>
      <c r="AB35" s="16">
        <v>13963.8</v>
      </c>
      <c r="AC35" s="16">
        <v>0</v>
      </c>
      <c r="AD35" s="16">
        <v>262.798</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4.3091887499999997</v>
      </c>
      <c r="J36" s="21">
        <f t="shared" si="1"/>
        <v>5.5181229869241635E-2</v>
      </c>
      <c r="K36" s="21">
        <f t="shared" si="2"/>
        <v>2.8175097053807528E-2</v>
      </c>
      <c r="L36" s="21">
        <f t="shared" si="3"/>
        <v>1.9247668712615195E-2</v>
      </c>
      <c r="M36" s="21">
        <f t="shared" si="4"/>
        <v>2.7006132815434108E-2</v>
      </c>
      <c r="N36" s="18">
        <f t="shared" si="5"/>
        <v>9387680</v>
      </c>
      <c r="O36" s="21">
        <v>16</v>
      </c>
      <c r="P36" s="22">
        <v>159667518</v>
      </c>
      <c r="Q36" s="22">
        <v>2494804.96875</v>
      </c>
      <c r="R36" s="22">
        <v>39145.453125</v>
      </c>
      <c r="S36" s="23">
        <v>18385872</v>
      </c>
      <c r="T36" s="23">
        <v>6413144</v>
      </c>
      <c r="U36" s="23">
        <v>2974536</v>
      </c>
      <c r="V36" s="23">
        <v>8998192</v>
      </c>
      <c r="W36" s="24">
        <v>74.931957812500002</v>
      </c>
      <c r="X36" s="24">
        <v>77.373424999999997</v>
      </c>
      <c r="Y36" s="24">
        <v>36.170073437500001</v>
      </c>
      <c r="Z36" s="24">
        <v>43.175532812500002</v>
      </c>
      <c r="AA36" s="24">
        <v>45.352903124999997</v>
      </c>
      <c r="AB36" s="25">
        <v>14408.2</v>
      </c>
      <c r="AC36" s="25">
        <v>0</v>
      </c>
      <c r="AD36" s="25">
        <v>270.63600000000002</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6.5858456250000001</v>
      </c>
      <c r="J37" s="12">
        <f t="shared" si="1"/>
        <v>8.4334913692621222E-2</v>
      </c>
      <c r="K37" s="12">
        <f t="shared" si="2"/>
        <v>3.5660804435024292E-2</v>
      </c>
      <c r="L37" s="12">
        <f t="shared" si="3"/>
        <v>2.6733376093831963E-2</v>
      </c>
      <c r="M37" s="12">
        <f t="shared" si="4"/>
        <v>4.867410925759693E-2</v>
      </c>
      <c r="N37" s="54">
        <f t="shared" si="5"/>
        <v>11881848</v>
      </c>
      <c r="O37" s="12">
        <v>16</v>
      </c>
      <c r="P37" s="13">
        <v>163021167</v>
      </c>
      <c r="Q37" s="13">
        <v>2547205.734375</v>
      </c>
      <c r="R37" s="13">
        <v>42107.53125</v>
      </c>
      <c r="S37" s="14">
        <v>28099608</v>
      </c>
      <c r="T37" s="14">
        <v>8907312</v>
      </c>
      <c r="U37" s="14">
        <v>2974536</v>
      </c>
      <c r="V37" s="14">
        <v>16217760</v>
      </c>
      <c r="W37" s="15">
        <v>76.231182812499995</v>
      </c>
      <c r="X37" s="15">
        <v>78.983845312499994</v>
      </c>
      <c r="Y37" s="15">
        <v>38.016212500000002</v>
      </c>
      <c r="Z37" s="15">
        <v>43.728549999999998</v>
      </c>
      <c r="AA37" s="15">
        <v>46.500157812499999</v>
      </c>
      <c r="AB37" s="16">
        <v>15006.1</v>
      </c>
      <c r="AC37" s="16">
        <v>0</v>
      </c>
      <c r="AD37" s="16">
        <v>283.27800000000002</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11.059038749999999</v>
      </c>
      <c r="J38" s="21">
        <f t="shared" si="1"/>
        <v>0.14161629828737501</v>
      </c>
      <c r="K38" s="21">
        <f t="shared" si="2"/>
        <v>4.8297628148906646E-2</v>
      </c>
      <c r="L38" s="21">
        <f t="shared" si="3"/>
        <v>3.9370199807714314E-2</v>
      </c>
      <c r="M38" s="21">
        <f t="shared" si="4"/>
        <v>9.3318670138468368E-2</v>
      </c>
      <c r="N38" s="18">
        <f t="shared" si="5"/>
        <v>16092320</v>
      </c>
      <c r="O38" s="21">
        <v>16</v>
      </c>
      <c r="P38" s="22">
        <v>167227668</v>
      </c>
      <c r="Q38" s="22">
        <v>2612932.3125</v>
      </c>
      <c r="R38" s="22">
        <v>46854.9375</v>
      </c>
      <c r="S38" s="23">
        <v>47185232</v>
      </c>
      <c r="T38" s="23">
        <v>13117784</v>
      </c>
      <c r="U38" s="23">
        <v>2974536</v>
      </c>
      <c r="V38" s="23">
        <v>31092912</v>
      </c>
      <c r="W38" s="24">
        <v>77.427364062500004</v>
      </c>
      <c r="X38" s="24">
        <v>80.206965624999995</v>
      </c>
      <c r="Y38" s="24">
        <v>39.7853953125</v>
      </c>
      <c r="Z38" s="24">
        <v>44.5117046875</v>
      </c>
      <c r="AA38" s="24">
        <v>47.856745312500003</v>
      </c>
      <c r="AB38" s="25">
        <v>15689.5</v>
      </c>
      <c r="AC38" s="25">
        <v>0</v>
      </c>
      <c r="AD38" s="25">
        <v>292.75</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20.279503125000002</v>
      </c>
      <c r="J39" s="30">
        <f t="shared" si="1"/>
        <v>0.25968876939415314</v>
      </c>
      <c r="K39" s="30">
        <f t="shared" si="2"/>
        <v>7.7549946181119128E-2</v>
      </c>
      <c r="L39" s="30">
        <f t="shared" si="3"/>
        <v>5.9757852357032702E-2</v>
      </c>
      <c r="M39" s="30">
        <f t="shared" si="4"/>
        <v>0.18213882321303401</v>
      </c>
      <c r="N39" s="27">
        <f t="shared" si="5"/>
        <v>25838920</v>
      </c>
      <c r="O39" s="30">
        <v>16</v>
      </c>
      <c r="P39" s="31">
        <v>163674339</v>
      </c>
      <c r="Q39" s="31">
        <v>2557411.546875</v>
      </c>
      <c r="R39" s="31">
        <v>18643.625</v>
      </c>
      <c r="S39" s="32">
        <v>86525880</v>
      </c>
      <c r="T39" s="32">
        <v>19910760</v>
      </c>
      <c r="U39" s="32">
        <v>5928160</v>
      </c>
      <c r="V39" s="32">
        <v>60686960</v>
      </c>
      <c r="W39" s="33">
        <v>78.2997765625</v>
      </c>
      <c r="X39" s="33">
        <v>81.903846874999999</v>
      </c>
      <c r="Y39" s="33">
        <v>41.362742187499997</v>
      </c>
      <c r="Z39" s="33">
        <v>45.498707812500001</v>
      </c>
      <c r="AA39" s="33">
        <v>49.189432812500002</v>
      </c>
      <c r="AB39" s="34">
        <v>16656.400000000001</v>
      </c>
      <c r="AC39" s="34">
        <v>0</v>
      </c>
      <c r="AD39" s="34">
        <v>293.52999999999997</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0.3970568483008749</v>
      </c>
      <c r="K40" s="48">
        <f>AVERAGE(K5:K24)</f>
        <v>0.12891143108403225</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0.79475452648831202</v>
      </c>
      <c r="K41" s="48">
        <f>AVERAGE(K25:K29)</f>
        <v>0.12230674973220154</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0.10817097372497793</v>
      </c>
      <c r="K42" s="48">
        <f>AVERAGE(K30:K39)</f>
        <v>4.0114495551198871E-2</v>
      </c>
      <c r="L42" s="48">
        <f>AVERAGE(L30:L39)</f>
        <v>3.0136128137321062E-2</v>
      </c>
      <c r="M42" s="48">
        <f>AVERAGE(M30:M39)</f>
        <v>6.805647817377905E-2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0.37133198102025244</v>
      </c>
      <c r="K43" s="48">
        <f>AVERAGE(K5:K39)</f>
        <v>0.10259735216724691</v>
      </c>
      <c r="L43" s="48">
        <f>AVERAGE(L5:L39)</f>
        <v>7.3149575386857513E-2</v>
      </c>
      <c r="M43" s="48">
        <f>AVERAGE(M5:M39)</f>
        <v>0.26873462885300559</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1031067.0000000001</v>
      </c>
      <c r="AC44" s="49">
        <f>SUM(AC5:AC24,AC25:AC29,AC30:AC39)</f>
        <v>0</v>
      </c>
      <c r="AD44" s="49">
        <f>SUM(AD5:AD24,AD25:AD29,AD30:AD39)</f>
        <v>14664.868999999999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27611.932412587601</v>
      </c>
      <c r="AC46" s="49" t="e">
        <f>GEOMEAN(AC5:AC24,AC25:AC29,AC30:AC39)</f>
        <v>#NUM!</v>
      </c>
      <c r="AD46" s="49">
        <f>GEOMEAN(AD5:AD24,AD25:AD29,AD30:AD39)</f>
        <v>408.82942164493755</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O40" sqref="AO40:AO4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R10.0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0.16883004942519983</v>
      </c>
      <c r="I5" s="11">
        <f t="shared" ref="I5:I11" si="1">IF(OR(ISBLANK(Q5),ISBLANK(F5)),"·",Q5*F5/E5/1000000)</f>
        <v>217.1138416</v>
      </c>
      <c r="J5" s="12">
        <f t="shared" ref="J5:J11" si="2">IF(ISBLANK(Q5),"·",Q5/C5)</f>
        <v>9.1168226689607899</v>
      </c>
      <c r="K5" s="12">
        <f t="shared" ref="K5:K11" si="3">IF(N5="","·",N5/C5)</f>
        <v>1.4350788461035298</v>
      </c>
      <c r="L5" s="12">
        <f t="shared" ref="L5:L11" si="4">IF(R5="","·",R5/C5)</f>
        <v>1.3377402977314068</v>
      </c>
      <c r="M5" s="12">
        <f t="shared" ref="M5:M11" si="5">IF(ISBLANK(T5),"·",T5/C5)</f>
        <v>7.6817438228572605</v>
      </c>
      <c r="N5" s="54">
        <f t="shared" ref="N5:N11" si="6">IF(OR(ISBLANK(R5),ISBLANK(S5)),"",R5+S5)</f>
        <v>341758848</v>
      </c>
      <c r="O5" s="12">
        <v>16</v>
      </c>
      <c r="P5" s="13">
        <v>238146391</v>
      </c>
      <c r="Q5" s="14">
        <v>2171138416</v>
      </c>
      <c r="R5" s="14">
        <v>318578024</v>
      </c>
      <c r="S5" s="14">
        <v>23180824</v>
      </c>
      <c r="T5" s="14">
        <v>1829379568</v>
      </c>
      <c r="U5" s="15" t="s">
        <v>571</v>
      </c>
      <c r="V5" s="15" t="s">
        <v>571</v>
      </c>
      <c r="W5" s="15" t="s">
        <v>571</v>
      </c>
      <c r="X5" s="15" t="s">
        <v>571</v>
      </c>
      <c r="Y5" s="15" t="s">
        <v>571</v>
      </c>
      <c r="Z5" s="16">
        <v>71192.5</v>
      </c>
      <c r="AA5" s="16">
        <v>0</v>
      </c>
      <c r="AB5" s="16">
        <v>323.91399999999999</v>
      </c>
      <c r="AC5" s="16">
        <v>0</v>
      </c>
      <c r="AE5" s="17">
        <f t="shared" ref="AE5:AE11" si="7">IF(ISBLANK(Q5),"·",Q5/(C5*(D5*3+IF(AND(ISNUMBER(T5),T5&gt;0),24,0))))</f>
        <v>0.16883004942519983</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0.24068135056333079</v>
      </c>
      <c r="I6" s="20">
        <f t="shared" si="1"/>
        <v>283.48766160000002</v>
      </c>
      <c r="J6" s="21">
        <f t="shared" si="2"/>
        <v>12.996792930419863</v>
      </c>
      <c r="K6" s="21">
        <f t="shared" si="3"/>
        <v>1.7645717238305474</v>
      </c>
      <c r="L6" s="21">
        <f t="shared" si="4"/>
        <v>1.6028042972540932</v>
      </c>
      <c r="M6" s="21">
        <f t="shared" si="5"/>
        <v>11.232221206589315</v>
      </c>
      <c r="N6" s="18">
        <f t="shared" si="6"/>
        <v>384890576</v>
      </c>
      <c r="O6" s="21">
        <v>16</v>
      </c>
      <c r="P6" s="22">
        <v>218121242</v>
      </c>
      <c r="Q6" s="23">
        <v>2834876616</v>
      </c>
      <c r="R6" s="23">
        <v>349605664</v>
      </c>
      <c r="S6" s="23">
        <v>35284912</v>
      </c>
      <c r="T6" s="23">
        <v>2449986040</v>
      </c>
      <c r="U6" s="24" t="s">
        <v>571</v>
      </c>
      <c r="V6" s="24" t="s">
        <v>571</v>
      </c>
      <c r="W6" s="24" t="s">
        <v>571</v>
      </c>
      <c r="X6" s="24" t="s">
        <v>571</v>
      </c>
      <c r="Y6" s="24" t="s">
        <v>571</v>
      </c>
      <c r="Z6" s="25">
        <v>71215.100000000006</v>
      </c>
      <c r="AA6" s="25">
        <v>0</v>
      </c>
      <c r="AB6" s="25">
        <v>333.68400000000003</v>
      </c>
      <c r="AC6" s="25">
        <v>0</v>
      </c>
      <c r="AE6" s="26">
        <f t="shared" si="7"/>
        <v>0.24068135056333079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0.18814709322251374</v>
      </c>
      <c r="I7" s="11">
        <f t="shared" si="1"/>
        <v>327.74930160000002</v>
      </c>
      <c r="J7" s="12">
        <f t="shared" si="2"/>
        <v>10.159943034015742</v>
      </c>
      <c r="K7" s="12">
        <f t="shared" si="3"/>
        <v>1.6486681918403694</v>
      </c>
      <c r="L7" s="12">
        <f t="shared" si="4"/>
        <v>1.5287132412632736</v>
      </c>
      <c r="M7" s="12">
        <f t="shared" si="5"/>
        <v>8.5112748421753714</v>
      </c>
      <c r="N7" s="54">
        <f t="shared" si="6"/>
        <v>531843384</v>
      </c>
      <c r="O7" s="12">
        <v>16</v>
      </c>
      <c r="P7" s="13">
        <v>322589704</v>
      </c>
      <c r="Q7" s="14">
        <v>3277493016</v>
      </c>
      <c r="R7" s="14">
        <v>493147152</v>
      </c>
      <c r="S7" s="14">
        <v>38696232</v>
      </c>
      <c r="T7" s="14">
        <v>2745649632</v>
      </c>
      <c r="U7" s="15" t="s">
        <v>571</v>
      </c>
      <c r="V7" s="15" t="s">
        <v>571</v>
      </c>
      <c r="W7" s="15" t="s">
        <v>571</v>
      </c>
      <c r="X7" s="15" t="s">
        <v>571</v>
      </c>
      <c r="Y7" s="15" t="s">
        <v>571</v>
      </c>
      <c r="Z7" s="16">
        <v>96059</v>
      </c>
      <c r="AA7" s="16">
        <v>0</v>
      </c>
      <c r="AB7" s="16">
        <v>401.91800000000001</v>
      </c>
      <c r="AC7" s="16">
        <v>0</v>
      </c>
      <c r="AE7" s="17">
        <f t="shared" si="7"/>
        <v>0.18814709322251374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0.16084885351024822</v>
      </c>
      <c r="I8" s="39">
        <f t="shared" si="1"/>
        <v>435.33922719999998</v>
      </c>
      <c r="J8" s="40">
        <f t="shared" si="2"/>
        <v>8.6858380895534051</v>
      </c>
      <c r="K8" s="40">
        <f t="shared" si="3"/>
        <v>1.2332003624012462</v>
      </c>
      <c r="L8" s="40">
        <f t="shared" si="4"/>
        <v>1.0904327197087282</v>
      </c>
      <c r="M8" s="40">
        <f t="shared" si="5"/>
        <v>7.4526377271521582</v>
      </c>
      <c r="N8" s="37">
        <f t="shared" si="6"/>
        <v>309043576</v>
      </c>
      <c r="O8" s="40">
        <v>16</v>
      </c>
      <c r="P8" s="41">
        <v>250602891</v>
      </c>
      <c r="Q8" s="42">
        <v>2176696136</v>
      </c>
      <c r="R8" s="42">
        <v>273265592</v>
      </c>
      <c r="S8" s="42">
        <v>35777984</v>
      </c>
      <c r="T8" s="42">
        <v>1867652560</v>
      </c>
      <c r="U8" s="43" t="s">
        <v>571</v>
      </c>
      <c r="V8" s="43" t="s">
        <v>571</v>
      </c>
      <c r="W8" s="43" t="s">
        <v>571</v>
      </c>
      <c r="X8" s="43" t="s">
        <v>571</v>
      </c>
      <c r="Y8" s="43" t="s">
        <v>571</v>
      </c>
      <c r="Z8" s="44">
        <v>68210.7</v>
      </c>
      <c r="AA8" s="44">
        <v>0</v>
      </c>
      <c r="AB8" s="44">
        <v>305.82100000000003</v>
      </c>
      <c r="AC8" s="44">
        <v>0</v>
      </c>
      <c r="AE8" s="46">
        <f t="shared" si="7"/>
        <v>0.16084885351024822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0.27566085812939911</v>
      </c>
      <c r="I9" s="29">
        <f t="shared" si="1"/>
        <v>372.58066400000001</v>
      </c>
      <c r="J9" s="30">
        <f t="shared" si="2"/>
        <v>14.885686338987554</v>
      </c>
      <c r="K9" s="30">
        <f t="shared" si="3"/>
        <v>1.5221730368897877</v>
      </c>
      <c r="L9" s="30">
        <f t="shared" si="4"/>
        <v>1.4223212870025288</v>
      </c>
      <c r="M9" s="30">
        <f t="shared" si="5"/>
        <v>13.363513302097767</v>
      </c>
      <c r="N9" s="27">
        <f t="shared" si="6"/>
        <v>380991664</v>
      </c>
      <c r="O9" s="30">
        <v>16</v>
      </c>
      <c r="P9" s="31">
        <v>250294582</v>
      </c>
      <c r="Q9" s="32">
        <v>3725806640</v>
      </c>
      <c r="R9" s="32">
        <v>355999312</v>
      </c>
      <c r="S9" s="32">
        <v>24992352</v>
      </c>
      <c r="T9" s="32">
        <v>3344814976</v>
      </c>
      <c r="U9" s="33" t="s">
        <v>571</v>
      </c>
      <c r="V9" s="33" t="s">
        <v>571</v>
      </c>
      <c r="W9" s="33" t="s">
        <v>571</v>
      </c>
      <c r="X9" s="33" t="s">
        <v>571</v>
      </c>
      <c r="Y9" s="33" t="s">
        <v>571</v>
      </c>
      <c r="Z9" s="34">
        <v>69823.100000000006</v>
      </c>
      <c r="AA9" s="34">
        <v>0</v>
      </c>
      <c r="AB9" s="34">
        <v>364.75</v>
      </c>
      <c r="AC9" s="34">
        <v>0</v>
      </c>
      <c r="AE9" s="36">
        <f t="shared" si="7"/>
        <v>0.27566085812939911</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8.5984944487945608E-2</v>
      </c>
      <c r="I10" s="20">
        <f t="shared" si="1"/>
        <v>431.24979187500003</v>
      </c>
      <c r="J10" s="21">
        <f t="shared" si="2"/>
        <v>4.9011418358128997</v>
      </c>
      <c r="K10" s="21">
        <f t="shared" si="3"/>
        <v>0.56255917016213031</v>
      </c>
      <c r="L10" s="21">
        <f t="shared" si="4"/>
        <v>0.53741674790601746</v>
      </c>
      <c r="M10" s="21">
        <f t="shared" si="5"/>
        <v>4.3385826656507698</v>
      </c>
      <c r="N10" s="18">
        <f t="shared" si="6"/>
        <v>211197392</v>
      </c>
      <c r="O10" s="21">
        <v>16</v>
      </c>
      <c r="P10" s="22">
        <v>186907991</v>
      </c>
      <c r="Q10" s="23">
        <v>1839999112</v>
      </c>
      <c r="R10" s="23">
        <v>201758360</v>
      </c>
      <c r="S10" s="23">
        <v>9439032</v>
      </c>
      <c r="T10" s="23">
        <v>1628801720</v>
      </c>
      <c r="U10" s="24" t="s">
        <v>571</v>
      </c>
      <c r="V10" s="24" t="s">
        <v>571</v>
      </c>
      <c r="W10" s="24" t="s">
        <v>571</v>
      </c>
      <c r="X10" s="24" t="s">
        <v>571</v>
      </c>
      <c r="Y10" s="24" t="s">
        <v>571</v>
      </c>
      <c r="Z10" s="25">
        <v>41836.9</v>
      </c>
      <c r="AA10" s="25">
        <v>0</v>
      </c>
      <c r="AB10" s="25">
        <v>217.077</v>
      </c>
      <c r="AC10" s="25">
        <v>0</v>
      </c>
      <c r="AE10" s="26">
        <f t="shared" si="7"/>
        <v>8.5984944487945608E-2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8.7339950383829704E-2</v>
      </c>
      <c r="I11" s="29">
        <f t="shared" si="1"/>
        <v>388.76927812500003</v>
      </c>
      <c r="J11" s="30">
        <f t="shared" si="2"/>
        <v>4.978377171878293</v>
      </c>
      <c r="K11" s="30">
        <f t="shared" si="3"/>
        <v>0.59526013945725831</v>
      </c>
      <c r="L11" s="30">
        <f t="shared" si="4"/>
        <v>0.56629647294855834</v>
      </c>
      <c r="M11" s="30">
        <f t="shared" si="5"/>
        <v>4.3831170324210351</v>
      </c>
      <c r="N11" s="27">
        <f t="shared" si="6"/>
        <v>198335136</v>
      </c>
      <c r="O11" s="30">
        <v>16</v>
      </c>
      <c r="P11" s="31">
        <v>166028718</v>
      </c>
      <c r="Q11" s="32">
        <v>1658748920</v>
      </c>
      <c r="R11" s="32">
        <v>188684712</v>
      </c>
      <c r="S11" s="32">
        <v>9650424</v>
      </c>
      <c r="T11" s="32">
        <v>1460413784</v>
      </c>
      <c r="U11" s="33" t="s">
        <v>571</v>
      </c>
      <c r="V11" s="33" t="s">
        <v>571</v>
      </c>
      <c r="W11" s="33" t="s">
        <v>571</v>
      </c>
      <c r="X11" s="33" t="s">
        <v>571</v>
      </c>
      <c r="Y11" s="33" t="s">
        <v>571</v>
      </c>
      <c r="Z11" s="34">
        <v>38105.300000000003</v>
      </c>
      <c r="AA11" s="34">
        <v>0</v>
      </c>
      <c r="AB11" s="34">
        <v>201.45</v>
      </c>
      <c r="AC11" s="34">
        <v>0</v>
      </c>
      <c r="AE11" s="36">
        <f t="shared" si="7"/>
        <v>8.7339950383829704E-2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10.239849180737449</v>
      </c>
      <c r="K12" s="48">
        <f>AVERAGE(K5:K8)</f>
        <v>1.520379781043923</v>
      </c>
      <c r="L12" s="48">
        <f>AVERAGE(L5:L8)</f>
        <v>1.3899226389893755</v>
      </c>
      <c r="M12" s="48">
        <f>AVERAGE(M5:M8)</f>
        <v>8.7194693996935264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14.885686338987554</v>
      </c>
      <c r="K13" s="48">
        <f>AVERAGE(K9:K9)</f>
        <v>1.5221730368897877</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4.9397595038455968</v>
      </c>
      <c r="K14" s="48">
        <f>AVERAGE(K10:K11)</f>
        <v>0.57890965480969436</v>
      </c>
      <c r="L14" s="48">
        <f>AVERAGE(L10:L11)</f>
        <v>0.55185661042728795</v>
      </c>
      <c r="M14" s="48">
        <f>AVERAGE(M10:M11)</f>
        <v>4.3608498490359029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9.389228867089793</v>
      </c>
      <c r="K15" s="48">
        <f>AVERAGE(K5:K11)</f>
        <v>1.251644495812124</v>
      </c>
      <c r="L15" s="48">
        <f>AVERAGE(L5:L11)</f>
        <v>1.1551035805449439</v>
      </c>
      <c r="M15" s="48">
        <f>AVERAGE(M5:M11)</f>
        <v>8.1375843712776668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456442.60000000003</v>
      </c>
      <c r="AA16" s="49">
        <f>SUM(AA5:AA8,AA9:AA9,AA10:AA11)</f>
        <v>0</v>
      </c>
      <c r="AB16" s="49">
        <f>SUM(AB5:AB8,AB9:AB9,AB10:AB11)</f>
        <v>2148.614</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62433.851896428576</v>
      </c>
      <c r="AA18" s="49" t="e">
        <f>GEOMEAN(AA5:AA8,AA9:AA9,AA10:AA11)</f>
        <v>#NUM!</v>
      </c>
      <c r="AB18" s="49">
        <f>GEOMEAN(AB5:AB8,AB9:AB9,AB10:AB11)</f>
        <v>298.65084608076921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R10.0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0.16737351986032703</v>
      </c>
      <c r="I5" s="11">
        <f t="shared" ref="I5:I11" si="1">IF(OR(ISBLANK(Q5),ISBLANK(F5)),"·",Q5*F5/E5/1000000)</f>
        <v>215.2407584</v>
      </c>
      <c r="J5" s="12">
        <f t="shared" ref="J5:J11" si="2">IF(ISBLANK(Q5),"·",Q5/C5)</f>
        <v>9.0381700724576586</v>
      </c>
      <c r="K5" s="12">
        <f t="shared" ref="K5:K11" si="3">IF(N5="","·",N5/C5)</f>
        <v>1.4169214430799415</v>
      </c>
      <c r="L5" s="12">
        <f t="shared" ref="L5:L11" si="4">IF(R5="","·",R5/C5)</f>
        <v>1.3191667137210574</v>
      </c>
      <c r="M5" s="12">
        <f t="shared" ref="M5:M11" si="5">IF(ISBLANK(T5),"·",T5/C5)</f>
        <v>7.6212486293777175</v>
      </c>
      <c r="N5" s="54">
        <f t="shared" ref="N5:N11" si="6">IF(OR(ISBLANK(R5),ISBLANK(S5)),"",R5+S5)</f>
        <v>337434728</v>
      </c>
      <c r="O5" s="12">
        <v>16</v>
      </c>
      <c r="P5" s="13">
        <v>238146391</v>
      </c>
      <c r="Q5" s="14">
        <v>2152407584</v>
      </c>
      <c r="R5" s="14">
        <v>314154792</v>
      </c>
      <c r="S5" s="14">
        <v>23279936</v>
      </c>
      <c r="T5" s="14">
        <v>1814972856</v>
      </c>
      <c r="U5" s="15" t="s">
        <v>571</v>
      </c>
      <c r="V5" s="15" t="s">
        <v>571</v>
      </c>
      <c r="W5" s="15" t="s">
        <v>571</v>
      </c>
      <c r="X5" s="15" t="s">
        <v>571</v>
      </c>
      <c r="Y5" s="15" t="s">
        <v>571</v>
      </c>
      <c r="Z5" s="16">
        <v>98494.3</v>
      </c>
      <c r="AA5" s="16">
        <v>0</v>
      </c>
      <c r="AB5" s="16">
        <v>326.202</v>
      </c>
      <c r="AC5" s="16">
        <v>0</v>
      </c>
      <c r="AE5" s="17">
        <f t="shared" ref="AE5:AE11" si="7">IF(ISBLANK(Q5),"·",Q5/(C5*(D5*3+IF(AND(ISNUMBER(T5),T5&gt;0),24,0))))</f>
        <v>0.16737351986032703</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0.23917925697760603</v>
      </c>
      <c r="I6" s="20">
        <f t="shared" si="1"/>
        <v>281.71841360000002</v>
      </c>
      <c r="J6" s="21">
        <f t="shared" si="2"/>
        <v>12.915679876790726</v>
      </c>
      <c r="K6" s="21">
        <f t="shared" si="3"/>
        <v>1.7622966955231256</v>
      </c>
      <c r="L6" s="21">
        <f t="shared" si="4"/>
        <v>1.5956644882849145</v>
      </c>
      <c r="M6" s="21">
        <f t="shared" si="5"/>
        <v>11.1533831812676</v>
      </c>
      <c r="N6" s="18">
        <f t="shared" si="6"/>
        <v>384394344</v>
      </c>
      <c r="O6" s="21">
        <v>16</v>
      </c>
      <c r="P6" s="22">
        <v>218121242</v>
      </c>
      <c r="Q6" s="23">
        <v>2817184136</v>
      </c>
      <c r="R6" s="23">
        <v>348048320</v>
      </c>
      <c r="S6" s="23">
        <v>36346024</v>
      </c>
      <c r="T6" s="23">
        <v>2432789792</v>
      </c>
      <c r="U6" s="24" t="s">
        <v>571</v>
      </c>
      <c r="V6" s="24" t="s">
        <v>571</v>
      </c>
      <c r="W6" s="24" t="s">
        <v>571</v>
      </c>
      <c r="X6" s="24" t="s">
        <v>571</v>
      </c>
      <c r="Y6" s="24" t="s">
        <v>571</v>
      </c>
      <c r="Z6" s="25">
        <v>113889</v>
      </c>
      <c r="AA6" s="25">
        <v>0</v>
      </c>
      <c r="AB6" s="25">
        <v>345.71</v>
      </c>
      <c r="AC6" s="25">
        <v>0</v>
      </c>
      <c r="AE6" s="26">
        <f t="shared" si="7"/>
        <v>0.23917925697760603</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0.18407305903857871</v>
      </c>
      <c r="I7" s="11">
        <f t="shared" si="1"/>
        <v>320.65239760000003</v>
      </c>
      <c r="J7" s="12">
        <f t="shared" si="2"/>
        <v>9.9399451880832501</v>
      </c>
      <c r="K7" s="12">
        <f t="shared" si="3"/>
        <v>1.5524557473167215</v>
      </c>
      <c r="L7" s="12">
        <f t="shared" si="4"/>
        <v>1.4374410164064009</v>
      </c>
      <c r="M7" s="12">
        <f t="shared" si="5"/>
        <v>8.3874894407665295</v>
      </c>
      <c r="N7" s="54">
        <f t="shared" si="6"/>
        <v>500806240</v>
      </c>
      <c r="O7" s="12">
        <v>16</v>
      </c>
      <c r="P7" s="13">
        <v>322589704</v>
      </c>
      <c r="Q7" s="14">
        <v>3206523976</v>
      </c>
      <c r="R7" s="14">
        <v>463703672</v>
      </c>
      <c r="S7" s="14">
        <v>37102568</v>
      </c>
      <c r="T7" s="14">
        <v>2705717736</v>
      </c>
      <c r="U7" s="15" t="s">
        <v>571</v>
      </c>
      <c r="V7" s="15" t="s">
        <v>571</v>
      </c>
      <c r="W7" s="15" t="s">
        <v>571</v>
      </c>
      <c r="X7" s="15" t="s">
        <v>571</v>
      </c>
      <c r="Y7" s="15" t="s">
        <v>571</v>
      </c>
      <c r="Z7" s="16">
        <v>124526</v>
      </c>
      <c r="AA7" s="16">
        <v>0</v>
      </c>
      <c r="AB7" s="16">
        <v>400.93900000000002</v>
      </c>
      <c r="AC7" s="16">
        <v>0</v>
      </c>
      <c r="AE7" s="17">
        <f t="shared" si="7"/>
        <v>0.18407305903857871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0.1528497285047356</v>
      </c>
      <c r="I8" s="39">
        <f t="shared" si="1"/>
        <v>413.68950560000002</v>
      </c>
      <c r="J8" s="40">
        <f t="shared" si="2"/>
        <v>8.2538853392557225</v>
      </c>
      <c r="K8" s="40">
        <f t="shared" si="3"/>
        <v>1.0119383020206258</v>
      </c>
      <c r="L8" s="40">
        <f t="shared" si="4"/>
        <v>0.89740331048295852</v>
      </c>
      <c r="M8" s="40">
        <f t="shared" si="5"/>
        <v>7.2419470372350974</v>
      </c>
      <c r="N8" s="37">
        <f t="shared" si="6"/>
        <v>253594664</v>
      </c>
      <c r="O8" s="40">
        <v>16</v>
      </c>
      <c r="P8" s="41">
        <v>250602891</v>
      </c>
      <c r="Q8" s="42">
        <v>2068447528</v>
      </c>
      <c r="R8" s="42">
        <v>224891864</v>
      </c>
      <c r="S8" s="42">
        <v>28702800</v>
      </c>
      <c r="T8" s="42">
        <v>1814852864</v>
      </c>
      <c r="U8" s="43" t="s">
        <v>571</v>
      </c>
      <c r="V8" s="43" t="s">
        <v>571</v>
      </c>
      <c r="W8" s="43" t="s">
        <v>571</v>
      </c>
      <c r="X8" s="43" t="s">
        <v>571</v>
      </c>
      <c r="Y8" s="43" t="s">
        <v>571</v>
      </c>
      <c r="Z8" s="44">
        <v>85680.3</v>
      </c>
      <c r="AA8" s="44">
        <v>0</v>
      </c>
      <c r="AB8" s="44">
        <v>299.21800000000002</v>
      </c>
      <c r="AC8" s="44">
        <v>0</v>
      </c>
      <c r="AE8" s="46">
        <f t="shared" si="7"/>
        <v>0.1528497285047356</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0.2738422449041355</v>
      </c>
      <c r="I9" s="29">
        <f t="shared" si="1"/>
        <v>370.12264319999997</v>
      </c>
      <c r="J9" s="30">
        <f t="shared" si="2"/>
        <v>14.787481224823317</v>
      </c>
      <c r="K9" s="30">
        <f t="shared" si="3"/>
        <v>1.5161835504693426</v>
      </c>
      <c r="L9" s="30">
        <f t="shared" si="4"/>
        <v>1.4145296041605886</v>
      </c>
      <c r="M9" s="30">
        <f t="shared" si="5"/>
        <v>13.271297674353974</v>
      </c>
      <c r="N9" s="27">
        <f t="shared" si="6"/>
        <v>379492528</v>
      </c>
      <c r="O9" s="30">
        <v>16</v>
      </c>
      <c r="P9" s="31">
        <v>250294582</v>
      </c>
      <c r="Q9" s="32">
        <v>3701226432</v>
      </c>
      <c r="R9" s="32">
        <v>354049096</v>
      </c>
      <c r="S9" s="32">
        <v>25443432</v>
      </c>
      <c r="T9" s="32">
        <v>3321733904</v>
      </c>
      <c r="U9" s="33" t="s">
        <v>571</v>
      </c>
      <c r="V9" s="33" t="s">
        <v>571</v>
      </c>
      <c r="W9" s="33" t="s">
        <v>571</v>
      </c>
      <c r="X9" s="33" t="s">
        <v>571</v>
      </c>
      <c r="Y9" s="33" t="s">
        <v>571</v>
      </c>
      <c r="Z9" s="34">
        <v>109767</v>
      </c>
      <c r="AA9" s="34">
        <v>0</v>
      </c>
      <c r="AB9" s="34">
        <v>368.779</v>
      </c>
      <c r="AC9" s="34">
        <v>0</v>
      </c>
      <c r="AE9" s="36">
        <f t="shared" si="7"/>
        <v>0.2738422449041355</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8.5957269285586918E-2</v>
      </c>
      <c r="I10" s="20">
        <f t="shared" si="1"/>
        <v>431.11098937499997</v>
      </c>
      <c r="J10" s="21">
        <f t="shared" si="2"/>
        <v>4.899564349278454</v>
      </c>
      <c r="K10" s="21">
        <f t="shared" si="3"/>
        <v>0.56169522629540369</v>
      </c>
      <c r="L10" s="21">
        <f t="shared" si="4"/>
        <v>0.53597289213368193</v>
      </c>
      <c r="M10" s="21">
        <f t="shared" si="5"/>
        <v>4.3378691229830499</v>
      </c>
      <c r="N10" s="18">
        <f t="shared" si="6"/>
        <v>210873048</v>
      </c>
      <c r="O10" s="21">
        <v>16</v>
      </c>
      <c r="P10" s="22">
        <v>186907991</v>
      </c>
      <c r="Q10" s="23">
        <v>1839406888</v>
      </c>
      <c r="R10" s="23">
        <v>201216304</v>
      </c>
      <c r="S10" s="23">
        <v>9656744</v>
      </c>
      <c r="T10" s="23">
        <v>1628533840</v>
      </c>
      <c r="U10" s="24" t="s">
        <v>571</v>
      </c>
      <c r="V10" s="24" t="s">
        <v>571</v>
      </c>
      <c r="W10" s="24" t="s">
        <v>571</v>
      </c>
      <c r="X10" s="24" t="s">
        <v>571</v>
      </c>
      <c r="Y10" s="24" t="s">
        <v>571</v>
      </c>
      <c r="Z10" s="25">
        <v>74501.600000000006</v>
      </c>
      <c r="AA10" s="25">
        <v>0</v>
      </c>
      <c r="AB10" s="25">
        <v>233.46700000000001</v>
      </c>
      <c r="AC10" s="25">
        <v>0</v>
      </c>
      <c r="AE10" s="26">
        <f t="shared" si="7"/>
        <v>8.5957269285586918E-2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8.7315238756277211E-2</v>
      </c>
      <c r="I11" s="29">
        <f t="shared" si="1"/>
        <v>388.65928124999999</v>
      </c>
      <c r="J11" s="30">
        <f t="shared" si="2"/>
        <v>4.9769686091078009</v>
      </c>
      <c r="K11" s="30">
        <f t="shared" si="3"/>
        <v>0.59502973686038385</v>
      </c>
      <c r="L11" s="30">
        <f t="shared" si="4"/>
        <v>0.5653113553842436</v>
      </c>
      <c r="M11" s="30">
        <f t="shared" si="5"/>
        <v>4.3819388722474173</v>
      </c>
      <c r="N11" s="27">
        <f t="shared" si="6"/>
        <v>198258368</v>
      </c>
      <c r="O11" s="30">
        <v>16</v>
      </c>
      <c r="P11" s="31">
        <v>166028718</v>
      </c>
      <c r="Q11" s="32">
        <v>1658279600</v>
      </c>
      <c r="R11" s="32">
        <v>188356480</v>
      </c>
      <c r="S11" s="32">
        <v>9901888</v>
      </c>
      <c r="T11" s="32">
        <v>1460021232</v>
      </c>
      <c r="U11" s="33" t="s">
        <v>571</v>
      </c>
      <c r="V11" s="33" t="s">
        <v>571</v>
      </c>
      <c r="W11" s="33" t="s">
        <v>571</v>
      </c>
      <c r="X11" s="33" t="s">
        <v>571</v>
      </c>
      <c r="Y11" s="33" t="s">
        <v>571</v>
      </c>
      <c r="Z11" s="34">
        <v>72192.600000000006</v>
      </c>
      <c r="AA11" s="34">
        <v>0</v>
      </c>
      <c r="AB11" s="34">
        <v>212.797</v>
      </c>
      <c r="AC11" s="34">
        <v>0</v>
      </c>
      <c r="AE11" s="36">
        <f t="shared" si="7"/>
        <v>8.7315238756277211E-2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10.03692011914684</v>
      </c>
      <c r="K12" s="48">
        <f>AVERAGE(K5:K8)</f>
        <v>1.4359030469851037</v>
      </c>
      <c r="L12" s="48">
        <f>AVERAGE(L5:L8)</f>
        <v>1.3124188822238327</v>
      </c>
      <c r="M12" s="48">
        <f>AVERAGE(M5:M8)</f>
        <v>8.6010170721617367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14.787481224823317</v>
      </c>
      <c r="K13" s="48">
        <f>AVERAGE(K9:K9)</f>
        <v>1.5161835504693426</v>
      </c>
      <c r="L13" s="48">
        <f>AVERAGE(L9:L9)</f>
        <v>1.4145296041605886</v>
      </c>
      <c r="M13" s="48">
        <f>AVERAGE(M9:M9)</f>
        <v>13.271297674353974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4.9382664791931274</v>
      </c>
      <c r="K14" s="48">
        <f>AVERAGE(K10:K11)</f>
        <v>0.57836248157789383</v>
      </c>
      <c r="L14" s="48">
        <f>AVERAGE(L10:L11)</f>
        <v>0.55064212375896271</v>
      </c>
      <c r="M14" s="48">
        <f>AVERAGE(M10:M11)</f>
        <v>4.3599039976152341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9.2588135228281345</v>
      </c>
      <c r="K15" s="48">
        <f>AVERAGE(K5:K11)</f>
        <v>1.2023601002236493</v>
      </c>
      <c r="L15" s="48">
        <f>AVERAGE(L5:L11)</f>
        <v>1.1093556257962633</v>
      </c>
      <c r="M15" s="48">
        <f>AVERAGE(M5:M11)</f>
        <v>8.0564534226044842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679050.79999999993</v>
      </c>
      <c r="AA16" s="49">
        <f>SUM(AA5:AA8,AA9:AA9,AA10:AA11)</f>
        <v>0</v>
      </c>
      <c r="AB16" s="49">
        <f>SUM(AB5:AB8,AB9:AB9,AB10:AB11)</f>
        <v>2187.1120000000001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95159.465935750675</v>
      </c>
      <c r="AA18" s="49" t="e">
        <f>GEOMEAN(AA5:AA8,AA9:AA9,AA10:AA11)</f>
        <v>#NUM!</v>
      </c>
      <c r="AB18" s="49">
        <f>GEOMEAN(AB5:AB8,AB9:AB9,AB10:AB11)</f>
        <v>305.41391755710788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Z52" sqref="AZ52"/>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R10.0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1.2501023999999998</v>
      </c>
      <c r="J5" s="12">
        <f t="shared" ref="J5:J39" si="1">IF(ISBLANK(S5),"·",S5/D5)</f>
        <v>5.2493023083436105E-2</v>
      </c>
      <c r="K5" s="12">
        <f t="shared" ref="K5:K39" si="2">IF(N5="","·",N5/D5)</f>
        <v>4.4591798999800925E-2</v>
      </c>
      <c r="L5" s="12">
        <f t="shared" ref="L5:L39" si="3">IF(T5="","·",T5/D5)</f>
        <v>2.7862156433015185E-2</v>
      </c>
      <c r="M5" s="12">
        <f t="shared" ref="M5:M39" si="4">IF(ISBLANK(V5),"·",V5/D5)</f>
        <v>7.9012240836351787E-3</v>
      </c>
      <c r="N5" s="54">
        <f t="shared" ref="N5:N39" si="5">IF(OR(ISBLANK(T5),ISBLANK(U5)),"",T5+U5)</f>
        <v>10619376</v>
      </c>
      <c r="O5" s="12">
        <v>16</v>
      </c>
      <c r="P5" s="13">
        <v>222175774</v>
      </c>
      <c r="Q5" s="13">
        <v>740585.91333333298</v>
      </c>
      <c r="R5" s="13">
        <v>16831.916666666701</v>
      </c>
      <c r="S5" s="14">
        <v>12501024</v>
      </c>
      <c r="T5" s="14">
        <v>6635272</v>
      </c>
      <c r="U5" s="14">
        <v>3984104</v>
      </c>
      <c r="V5" s="14">
        <v>1881648</v>
      </c>
      <c r="W5" s="15">
        <v>66.605775666666702</v>
      </c>
      <c r="X5" s="15">
        <v>68.398893333333305</v>
      </c>
      <c r="Y5" s="15">
        <v>31.596465666666699</v>
      </c>
      <c r="Z5" s="15">
        <v>44.3402556666667</v>
      </c>
      <c r="AA5" s="15">
        <v>43.842016666666701</v>
      </c>
      <c r="AB5" s="16">
        <v>65851.5</v>
      </c>
      <c r="AC5" s="16">
        <v>0</v>
      </c>
      <c r="AD5" s="16">
        <v>406.08699999999999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1.6526168000000001</v>
      </c>
      <c r="J6" s="21">
        <f t="shared" si="1"/>
        <v>6.9394996626255825E-2</v>
      </c>
      <c r="K6" s="21">
        <f t="shared" si="2"/>
        <v>5.4729664158546916E-2</v>
      </c>
      <c r="L6" s="21">
        <f t="shared" si="3"/>
        <v>3.8000021591761177E-2</v>
      </c>
      <c r="M6" s="21">
        <f t="shared" si="4"/>
        <v>1.4665332467708906E-2</v>
      </c>
      <c r="N6" s="18">
        <f t="shared" si="5"/>
        <v>13033672</v>
      </c>
      <c r="O6" s="21">
        <v>16</v>
      </c>
      <c r="P6" s="22">
        <v>234561263</v>
      </c>
      <c r="Q6" s="22">
        <v>781870.87666666706</v>
      </c>
      <c r="R6" s="22">
        <v>20264.1466666667</v>
      </c>
      <c r="S6" s="23">
        <v>16526168</v>
      </c>
      <c r="T6" s="23">
        <v>9049568</v>
      </c>
      <c r="U6" s="23">
        <v>3984104</v>
      </c>
      <c r="V6" s="23">
        <v>3492496</v>
      </c>
      <c r="W6" s="24">
        <v>68.316653000000002</v>
      </c>
      <c r="X6" s="24">
        <v>70.389345333333296</v>
      </c>
      <c r="Y6" s="24">
        <v>33.641505333333299</v>
      </c>
      <c r="Z6" s="24">
        <v>45.400005333333297</v>
      </c>
      <c r="AA6" s="24">
        <v>45.0032723333333</v>
      </c>
      <c r="AB6" s="25">
        <v>68996.5</v>
      </c>
      <c r="AC6" s="25">
        <v>0</v>
      </c>
      <c r="AD6" s="25">
        <v>416.98500000000001</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2.3466567999999999</v>
      </c>
      <c r="J7" s="12">
        <f t="shared" si="1"/>
        <v>9.8538415390053091E-2</v>
      </c>
      <c r="K7" s="12">
        <f t="shared" si="2"/>
        <v>6.9020168355186207E-2</v>
      </c>
      <c r="L7" s="12">
        <f t="shared" si="3"/>
        <v>5.229052578840046E-2</v>
      </c>
      <c r="M7" s="12">
        <f t="shared" si="4"/>
        <v>2.9518247034866885E-2</v>
      </c>
      <c r="N7" s="54">
        <f t="shared" si="5"/>
        <v>16436904</v>
      </c>
      <c r="O7" s="12">
        <v>16</v>
      </c>
      <c r="P7" s="13">
        <v>237155375</v>
      </c>
      <c r="Q7" s="13">
        <v>790517.91666666698</v>
      </c>
      <c r="R7" s="13">
        <v>21719.383333333299</v>
      </c>
      <c r="S7" s="14">
        <v>23466568</v>
      </c>
      <c r="T7" s="14">
        <v>12452800</v>
      </c>
      <c r="U7" s="14">
        <v>3984104</v>
      </c>
      <c r="V7" s="14">
        <v>7029664</v>
      </c>
      <c r="W7" s="15">
        <v>69.641815666666702</v>
      </c>
      <c r="X7" s="15">
        <v>72.052471333333401</v>
      </c>
      <c r="Y7" s="15">
        <v>36.020868333333297</v>
      </c>
      <c r="Z7" s="15">
        <v>46.671756333333299</v>
      </c>
      <c r="AA7" s="15">
        <v>46.494686333333298</v>
      </c>
      <c r="AB7" s="16">
        <v>72097.5</v>
      </c>
      <c r="AC7" s="16">
        <v>0</v>
      </c>
      <c r="AD7" s="16">
        <v>423.67</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3.8743712000000001</v>
      </c>
      <c r="J8" s="21">
        <f t="shared" si="1"/>
        <v>0.16268863801509384</v>
      </c>
      <c r="K8" s="21">
        <f t="shared" si="2"/>
        <v>9.8916569346625113E-2</v>
      </c>
      <c r="L8" s="21">
        <f t="shared" si="3"/>
        <v>8.2186926779839381E-2</v>
      </c>
      <c r="M8" s="21">
        <f t="shared" si="4"/>
        <v>6.3772068668468712E-2</v>
      </c>
      <c r="N8" s="18">
        <f t="shared" si="5"/>
        <v>23556624</v>
      </c>
      <c r="O8" s="21">
        <v>16</v>
      </c>
      <c r="P8" s="22">
        <v>246286726</v>
      </c>
      <c r="Q8" s="22">
        <v>820955.75333333295</v>
      </c>
      <c r="R8" s="22">
        <v>25005.6033333333</v>
      </c>
      <c r="S8" s="23">
        <v>38743712</v>
      </c>
      <c r="T8" s="23">
        <v>19572520</v>
      </c>
      <c r="U8" s="23">
        <v>3984104</v>
      </c>
      <c r="V8" s="23">
        <v>15187088</v>
      </c>
      <c r="W8" s="24">
        <v>70.708436666666699</v>
      </c>
      <c r="X8" s="24">
        <v>73.267008666666698</v>
      </c>
      <c r="Y8" s="24">
        <v>38.498014666666698</v>
      </c>
      <c r="Z8" s="24">
        <v>47.936231333333303</v>
      </c>
      <c r="AA8" s="24">
        <v>47.9143263333333</v>
      </c>
      <c r="AB8" s="25">
        <v>76388.5</v>
      </c>
      <c r="AC8" s="25">
        <v>0</v>
      </c>
      <c r="AD8" s="25">
        <v>415.71699999999998</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7.7059888000000001</v>
      </c>
      <c r="J9" s="30">
        <f t="shared" si="1"/>
        <v>0.3235820105289775</v>
      </c>
      <c r="K9" s="30">
        <f t="shared" si="2"/>
        <v>0.17057199073825141</v>
      </c>
      <c r="L9" s="30">
        <f t="shared" si="3"/>
        <v>0.13409859316322792</v>
      </c>
      <c r="M9" s="30">
        <f t="shared" si="4"/>
        <v>0.15301001979072612</v>
      </c>
      <c r="N9" s="27">
        <f t="shared" si="5"/>
        <v>40621104</v>
      </c>
      <c r="O9" s="30">
        <v>16</v>
      </c>
      <c r="P9" s="31">
        <v>236690659</v>
      </c>
      <c r="Q9" s="31">
        <v>788968.86333333305</v>
      </c>
      <c r="R9" s="31">
        <v>10948.0433333333</v>
      </c>
      <c r="S9" s="32">
        <v>77059888</v>
      </c>
      <c r="T9" s="32">
        <v>31935096</v>
      </c>
      <c r="U9" s="32">
        <v>8686008</v>
      </c>
      <c r="V9" s="32">
        <v>36438784</v>
      </c>
      <c r="W9" s="33">
        <v>71.773281999999995</v>
      </c>
      <c r="X9" s="33">
        <v>75.150792000000095</v>
      </c>
      <c r="Y9" s="33">
        <v>41.026584</v>
      </c>
      <c r="Z9" s="33">
        <v>49.4072696666667</v>
      </c>
      <c r="AA9" s="33">
        <v>49.476902666666703</v>
      </c>
      <c r="AB9" s="34">
        <v>82706</v>
      </c>
      <c r="AC9" s="34">
        <v>0</v>
      </c>
      <c r="AD9" s="34">
        <v>399.714</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2.1299312000000001</v>
      </c>
      <c r="J10" s="21">
        <f t="shared" si="1"/>
        <v>9.7648958004741229E-2</v>
      </c>
      <c r="K10" s="21">
        <f t="shared" si="2"/>
        <v>7.2970976389360551E-2</v>
      </c>
      <c r="L10" s="21">
        <f t="shared" si="3"/>
        <v>4.1374677299884435E-2</v>
      </c>
      <c r="M10" s="21">
        <f t="shared" si="4"/>
        <v>2.4677981615380679E-2</v>
      </c>
      <c r="N10" s="18">
        <f t="shared" si="5"/>
        <v>15916520</v>
      </c>
      <c r="O10" s="21">
        <v>16</v>
      </c>
      <c r="P10" s="22">
        <v>202678143</v>
      </c>
      <c r="Q10" s="22">
        <v>675593.81</v>
      </c>
      <c r="R10" s="22">
        <v>20402.4866666667</v>
      </c>
      <c r="S10" s="23">
        <v>21299312</v>
      </c>
      <c r="T10" s="23">
        <v>9024696</v>
      </c>
      <c r="U10" s="23">
        <v>6891824</v>
      </c>
      <c r="V10" s="23">
        <v>5382792</v>
      </c>
      <c r="W10" s="24">
        <v>65.897205666666693</v>
      </c>
      <c r="X10" s="24">
        <v>67.692311000000103</v>
      </c>
      <c r="Y10" s="24">
        <v>30.871722666666699</v>
      </c>
      <c r="Z10" s="24">
        <v>38.647551333333297</v>
      </c>
      <c r="AA10" s="24">
        <v>29.906655666666701</v>
      </c>
      <c r="AB10" s="25">
        <v>75930.7</v>
      </c>
      <c r="AC10" s="25">
        <v>0</v>
      </c>
      <c r="AD10" s="25">
        <v>392.52600000000001</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2.9042599999999998</v>
      </c>
      <c r="J11" s="12">
        <f t="shared" si="1"/>
        <v>0.13314888423384275</v>
      </c>
      <c r="K11" s="12">
        <f t="shared" si="2"/>
        <v>8.9695656510153196E-2</v>
      </c>
      <c r="L11" s="12">
        <f t="shared" si="3"/>
        <v>5.8099357420677074E-2</v>
      </c>
      <c r="M11" s="12">
        <f t="shared" si="4"/>
        <v>4.3453227723689564E-2</v>
      </c>
      <c r="N11" s="54">
        <f t="shared" si="5"/>
        <v>19564528</v>
      </c>
      <c r="O11" s="12">
        <v>16</v>
      </c>
      <c r="P11" s="13">
        <v>214390714</v>
      </c>
      <c r="Q11" s="13">
        <v>714635.71333333303</v>
      </c>
      <c r="R11" s="13">
        <v>24998.4866666667</v>
      </c>
      <c r="S11" s="14">
        <v>29042600</v>
      </c>
      <c r="T11" s="14">
        <v>12672704</v>
      </c>
      <c r="U11" s="14">
        <v>6891824</v>
      </c>
      <c r="V11" s="14">
        <v>9478072</v>
      </c>
      <c r="W11" s="15">
        <v>67.573559333333293</v>
      </c>
      <c r="X11" s="15">
        <v>69.614537999999996</v>
      </c>
      <c r="Y11" s="15">
        <v>32.683078333333299</v>
      </c>
      <c r="Z11" s="15">
        <v>39.6302423333333</v>
      </c>
      <c r="AA11" s="15">
        <v>32.110628666666699</v>
      </c>
      <c r="AB11" s="16">
        <v>79321</v>
      </c>
      <c r="AC11" s="16">
        <v>0</v>
      </c>
      <c r="AD11" s="16">
        <v>394.29700000000003</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4.1399736000000003</v>
      </c>
      <c r="J12" s="21">
        <f t="shared" si="1"/>
        <v>0.18980148664291946</v>
      </c>
      <c r="K12" s="21">
        <f t="shared" si="2"/>
        <v>0.11499993201028995</v>
      </c>
      <c r="L12" s="21">
        <f t="shared" si="3"/>
        <v>8.3403632920813833E-2</v>
      </c>
      <c r="M12" s="21">
        <f t="shared" si="4"/>
        <v>7.4801554632629497E-2</v>
      </c>
      <c r="N12" s="18">
        <f t="shared" si="5"/>
        <v>25083928</v>
      </c>
      <c r="O12" s="21">
        <v>16</v>
      </c>
      <c r="P12" s="22">
        <v>217286162</v>
      </c>
      <c r="Q12" s="22">
        <v>724287.20666666701</v>
      </c>
      <c r="R12" s="22">
        <v>26541.406666666699</v>
      </c>
      <c r="S12" s="23">
        <v>41399736</v>
      </c>
      <c r="T12" s="23">
        <v>18192104</v>
      </c>
      <c r="U12" s="23">
        <v>6891824</v>
      </c>
      <c r="V12" s="23">
        <v>16315808</v>
      </c>
      <c r="W12" s="24">
        <v>68.893530999999996</v>
      </c>
      <c r="X12" s="24">
        <v>71.249480333333395</v>
      </c>
      <c r="Y12" s="24">
        <v>34.690359666666602</v>
      </c>
      <c r="Z12" s="24">
        <v>40.578880333333402</v>
      </c>
      <c r="AA12" s="24">
        <v>33.988951999999998</v>
      </c>
      <c r="AB12" s="25">
        <v>82792.399999999994</v>
      </c>
      <c r="AC12" s="25">
        <v>0</v>
      </c>
      <c r="AD12" s="25">
        <v>408.45699999999999</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6.7104407999999998</v>
      </c>
      <c r="J13" s="12">
        <f t="shared" si="1"/>
        <v>0.30764728544870473</v>
      </c>
      <c r="K13" s="12">
        <f t="shared" si="2"/>
        <v>0.16196570162570412</v>
      </c>
      <c r="L13" s="12">
        <f t="shared" si="3"/>
        <v>0.130369402536228</v>
      </c>
      <c r="M13" s="12">
        <f t="shared" si="4"/>
        <v>0.14568158382300062</v>
      </c>
      <c r="N13" s="54">
        <f t="shared" si="5"/>
        <v>35328160</v>
      </c>
      <c r="O13" s="12">
        <v>16</v>
      </c>
      <c r="P13" s="13">
        <v>225171185</v>
      </c>
      <c r="Q13" s="13">
        <v>750570.61666666705</v>
      </c>
      <c r="R13" s="13">
        <v>30159.856666666699</v>
      </c>
      <c r="S13" s="14">
        <v>67104408</v>
      </c>
      <c r="T13" s="14">
        <v>28436336</v>
      </c>
      <c r="U13" s="14">
        <v>6891824</v>
      </c>
      <c r="V13" s="14">
        <v>31776248</v>
      </c>
      <c r="W13" s="15">
        <v>69.941466000000005</v>
      </c>
      <c r="X13" s="15">
        <v>72.463044333333301</v>
      </c>
      <c r="Y13" s="15">
        <v>36.879898333333301</v>
      </c>
      <c r="Z13" s="15">
        <v>41.625819</v>
      </c>
      <c r="AA13" s="15">
        <v>35.922255333333297</v>
      </c>
      <c r="AB13" s="16">
        <v>87170.9</v>
      </c>
      <c r="AC13" s="16">
        <v>0</v>
      </c>
      <c r="AD13" s="16">
        <v>398.05099999999999</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13.203337599999999</v>
      </c>
      <c r="J14" s="40">
        <f t="shared" si="1"/>
        <v>0.60532103516997215</v>
      </c>
      <c r="K14" s="40">
        <f t="shared" si="2"/>
        <v>0.27293840551302195</v>
      </c>
      <c r="L14" s="40">
        <f t="shared" si="3"/>
        <v>0.21079546209442546</v>
      </c>
      <c r="M14" s="40">
        <f t="shared" si="4"/>
        <v>0.33238262965695015</v>
      </c>
      <c r="N14" s="37">
        <f t="shared" si="5"/>
        <v>59533664</v>
      </c>
      <c r="O14" s="40">
        <v>16</v>
      </c>
      <c r="P14" s="41">
        <v>212984057</v>
      </c>
      <c r="Q14" s="41">
        <v>709946.85666666704</v>
      </c>
      <c r="R14" s="41">
        <v>14248.9633333333</v>
      </c>
      <c r="S14" s="42">
        <v>132033376</v>
      </c>
      <c r="T14" s="42">
        <v>45978968</v>
      </c>
      <c r="U14" s="42">
        <v>13554696</v>
      </c>
      <c r="V14" s="42">
        <v>72499712</v>
      </c>
      <c r="W14" s="43">
        <v>70.810416333333293</v>
      </c>
      <c r="X14" s="43">
        <v>74.574849666666694</v>
      </c>
      <c r="Y14" s="43">
        <v>39.265649000000003</v>
      </c>
      <c r="Z14" s="43">
        <v>42.9108806666666</v>
      </c>
      <c r="AA14" s="43">
        <v>38.028820000000003</v>
      </c>
      <c r="AB14" s="44">
        <v>92913</v>
      </c>
      <c r="AC14" s="44">
        <v>0</v>
      </c>
      <c r="AD14" s="44">
        <v>404.24200000000002</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1.8754376000000001</v>
      </c>
      <c r="J15" s="12">
        <f t="shared" si="1"/>
        <v>5.8136932975393414E-2</v>
      </c>
      <c r="K15" s="12">
        <f t="shared" si="2"/>
        <v>4.8257163223039502E-2</v>
      </c>
      <c r="L15" s="12">
        <f t="shared" si="3"/>
        <v>2.6889711272372163E-2</v>
      </c>
      <c r="M15" s="12">
        <f t="shared" si="4"/>
        <v>9.8797697523539067E-3</v>
      </c>
      <c r="N15" s="54">
        <f t="shared" si="5"/>
        <v>15567264</v>
      </c>
      <c r="O15" s="12">
        <v>16</v>
      </c>
      <c r="P15" s="13">
        <v>308605834</v>
      </c>
      <c r="Q15" s="13">
        <v>1028686.11333333</v>
      </c>
      <c r="R15" s="13">
        <v>31656.65</v>
      </c>
      <c r="S15" s="14">
        <v>18754376</v>
      </c>
      <c r="T15" s="14">
        <v>8674344</v>
      </c>
      <c r="U15" s="14">
        <v>6892920</v>
      </c>
      <c r="V15" s="14">
        <v>3187112</v>
      </c>
      <c r="W15" s="15">
        <v>66.2888186666666</v>
      </c>
      <c r="X15" s="15">
        <v>67.884724666666699</v>
      </c>
      <c r="Y15" s="15">
        <v>29.029461999999999</v>
      </c>
      <c r="Z15" s="15">
        <v>43.382292333333297</v>
      </c>
      <c r="AA15" s="15">
        <v>43.5889046666666</v>
      </c>
      <c r="AB15" s="16">
        <v>74229</v>
      </c>
      <c r="AC15" s="16">
        <v>0</v>
      </c>
      <c r="AD15" s="16">
        <v>500.17399999999998</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2.5006072000000001</v>
      </c>
      <c r="J16" s="21">
        <f t="shared" si="1"/>
        <v>7.7516646346530632E-2</v>
      </c>
      <c r="K16" s="21">
        <f t="shared" si="2"/>
        <v>5.8559934696489881E-2</v>
      </c>
      <c r="L16" s="21">
        <f t="shared" si="3"/>
        <v>3.7192482745822542E-2</v>
      </c>
      <c r="M16" s="21">
        <f t="shared" si="4"/>
        <v>1.8956711650040758E-2</v>
      </c>
      <c r="N16" s="18">
        <f t="shared" si="5"/>
        <v>18890832</v>
      </c>
      <c r="O16" s="21">
        <v>16</v>
      </c>
      <c r="P16" s="22">
        <v>321091422</v>
      </c>
      <c r="Q16" s="22">
        <v>1070304.74</v>
      </c>
      <c r="R16" s="22">
        <v>36518.2366666667</v>
      </c>
      <c r="S16" s="23">
        <v>25006072</v>
      </c>
      <c r="T16" s="23">
        <v>11997912</v>
      </c>
      <c r="U16" s="23">
        <v>6892920</v>
      </c>
      <c r="V16" s="23">
        <v>6115240</v>
      </c>
      <c r="W16" s="24">
        <v>67.999486333333394</v>
      </c>
      <c r="X16" s="24">
        <v>70.006182999999993</v>
      </c>
      <c r="Y16" s="24">
        <v>31.341215666666699</v>
      </c>
      <c r="Z16" s="24">
        <v>44.051130666666701</v>
      </c>
      <c r="AA16" s="24">
        <v>44.318318333333302</v>
      </c>
      <c r="AB16" s="25">
        <v>77368.7</v>
      </c>
      <c r="AC16" s="25">
        <v>0</v>
      </c>
      <c r="AD16" s="25">
        <v>510.72699999999998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3.5933887999999996</v>
      </c>
      <c r="J17" s="12">
        <f t="shared" si="1"/>
        <v>0.11139192464741528</v>
      </c>
      <c r="K17" s="12">
        <f t="shared" si="2"/>
        <v>7.2566531757628575E-2</v>
      </c>
      <c r="L17" s="12">
        <f t="shared" si="3"/>
        <v>5.1199079806961229E-2</v>
      </c>
      <c r="M17" s="12">
        <f t="shared" si="4"/>
        <v>3.882539288978671E-2</v>
      </c>
      <c r="N17" s="54">
        <f t="shared" si="5"/>
        <v>23409216</v>
      </c>
      <c r="O17" s="12">
        <v>16</v>
      </c>
      <c r="P17" s="13">
        <v>321732378</v>
      </c>
      <c r="Q17" s="13">
        <v>1072441.26</v>
      </c>
      <c r="R17" s="13">
        <v>37380.403333333299</v>
      </c>
      <c r="S17" s="14">
        <v>35933888</v>
      </c>
      <c r="T17" s="14">
        <v>16516296</v>
      </c>
      <c r="U17" s="14">
        <v>6892920</v>
      </c>
      <c r="V17" s="14">
        <v>12524672</v>
      </c>
      <c r="W17" s="15">
        <v>69.3191286666667</v>
      </c>
      <c r="X17" s="15">
        <v>71.776923333333301</v>
      </c>
      <c r="Y17" s="15">
        <v>33.742196333333297</v>
      </c>
      <c r="Z17" s="15">
        <v>45.172553999999998</v>
      </c>
      <c r="AA17" s="15">
        <v>45.598112999999998</v>
      </c>
      <c r="AB17" s="16">
        <v>79348.7</v>
      </c>
      <c r="AC17" s="16">
        <v>0</v>
      </c>
      <c r="AD17" s="16">
        <v>503.01</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6.2370136</v>
      </c>
      <c r="J18" s="21">
        <f t="shared" si="1"/>
        <v>0.19334199209284125</v>
      </c>
      <c r="K18" s="21">
        <f t="shared" si="2"/>
        <v>0.10647169321932234</v>
      </c>
      <c r="L18" s="21">
        <f t="shared" si="3"/>
        <v>8.5104241268654998E-2</v>
      </c>
      <c r="M18" s="21">
        <f t="shared" si="4"/>
        <v>8.6870298873518909E-2</v>
      </c>
      <c r="N18" s="18">
        <f t="shared" si="5"/>
        <v>34346672</v>
      </c>
      <c r="O18" s="21">
        <v>16</v>
      </c>
      <c r="P18" s="22">
        <v>331738139</v>
      </c>
      <c r="Q18" s="22">
        <v>1105793.7966666699</v>
      </c>
      <c r="R18" s="22">
        <v>41758.8766666667</v>
      </c>
      <c r="S18" s="23">
        <v>62370136</v>
      </c>
      <c r="T18" s="23">
        <v>27453752</v>
      </c>
      <c r="U18" s="23">
        <v>6892920</v>
      </c>
      <c r="V18" s="23">
        <v>28023464</v>
      </c>
      <c r="W18" s="24">
        <v>70.481152666666603</v>
      </c>
      <c r="X18" s="24">
        <v>73.086757333333296</v>
      </c>
      <c r="Y18" s="24">
        <v>36.162147333333301</v>
      </c>
      <c r="Z18" s="24">
        <v>46.488766666666699</v>
      </c>
      <c r="AA18" s="24">
        <v>46.978773333333301</v>
      </c>
      <c r="AB18" s="25">
        <v>84497.7</v>
      </c>
      <c r="AC18" s="25">
        <v>0</v>
      </c>
      <c r="AD18" s="25">
        <v>516.10599999999999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13.084494400000001</v>
      </c>
      <c r="J19" s="30">
        <f t="shared" si="1"/>
        <v>0.40560793595569933</v>
      </c>
      <c r="K19" s="30">
        <f t="shared" si="2"/>
        <v>0.18401090693210717</v>
      </c>
      <c r="L19" s="30">
        <f t="shared" si="3"/>
        <v>0.13882263272729869</v>
      </c>
      <c r="M19" s="30">
        <f t="shared" si="4"/>
        <v>0.22159702902359216</v>
      </c>
      <c r="N19" s="27">
        <f t="shared" si="5"/>
        <v>59360024</v>
      </c>
      <c r="O19" s="30">
        <v>16</v>
      </c>
      <c r="P19" s="31">
        <v>314150218</v>
      </c>
      <c r="Q19" s="31">
        <v>1047167.3933333301</v>
      </c>
      <c r="R19" s="31">
        <v>18178.596666666701</v>
      </c>
      <c r="S19" s="32">
        <v>130844944</v>
      </c>
      <c r="T19" s="32">
        <v>44782752</v>
      </c>
      <c r="U19" s="32">
        <v>14577272</v>
      </c>
      <c r="V19" s="32">
        <v>71484920</v>
      </c>
      <c r="W19" s="33">
        <v>71.167197333333405</v>
      </c>
      <c r="X19" s="33">
        <v>75.031733000000003</v>
      </c>
      <c r="Y19" s="33">
        <v>38.638331666666602</v>
      </c>
      <c r="Z19" s="33">
        <v>48.282963000000002</v>
      </c>
      <c r="AA19" s="33">
        <v>48.820591333333297</v>
      </c>
      <c r="AB19" s="34">
        <v>91240.3</v>
      </c>
      <c r="AC19" s="34">
        <v>0</v>
      </c>
      <c r="AD19" s="34">
        <v>492.62799999999999</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2.2155136</v>
      </c>
      <c r="J20" s="21">
        <f t="shared" si="1"/>
        <v>4.420367201589865E-2</v>
      </c>
      <c r="K20" s="21">
        <f t="shared" si="2"/>
        <v>3.517402359097286E-2</v>
      </c>
      <c r="L20" s="21">
        <f t="shared" si="3"/>
        <v>1.9917056742972689E-2</v>
      </c>
      <c r="M20" s="21">
        <f t="shared" si="4"/>
        <v>9.029648424925792E-3</v>
      </c>
      <c r="N20" s="18">
        <f t="shared" si="5"/>
        <v>8814712</v>
      </c>
      <c r="O20" s="21">
        <v>16</v>
      </c>
      <c r="P20" s="22">
        <v>237407070</v>
      </c>
      <c r="Q20" s="22">
        <v>949628.28</v>
      </c>
      <c r="R20" s="22">
        <v>29313.223999999998</v>
      </c>
      <c r="S20" s="23">
        <v>11077568</v>
      </c>
      <c r="T20" s="23">
        <v>4991272</v>
      </c>
      <c r="U20" s="23">
        <v>3823440</v>
      </c>
      <c r="V20" s="23">
        <v>2262856</v>
      </c>
      <c r="W20" s="24">
        <v>67.492355200000006</v>
      </c>
      <c r="X20" s="24">
        <v>69.259778799999907</v>
      </c>
      <c r="Y20" s="24">
        <v>30.3263192</v>
      </c>
      <c r="Z20" s="24">
        <v>40.210041599999997</v>
      </c>
      <c r="AA20" s="24">
        <v>38.806454799999997</v>
      </c>
      <c r="AB20" s="25">
        <v>59913.2</v>
      </c>
      <c r="AC20" s="25">
        <v>0</v>
      </c>
      <c r="AD20" s="25">
        <v>383.209</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2.9336623999999998</v>
      </c>
      <c r="J21" s="12">
        <f t="shared" si="1"/>
        <v>5.853209410900212E-2</v>
      </c>
      <c r="K21" s="12">
        <f t="shared" si="2"/>
        <v>4.1863363818895452E-2</v>
      </c>
      <c r="L21" s="12">
        <f t="shared" si="3"/>
        <v>2.6606396970895278E-2</v>
      </c>
      <c r="M21" s="12">
        <f t="shared" si="4"/>
        <v>1.6668730290106668E-2</v>
      </c>
      <c r="N21" s="54">
        <f t="shared" si="5"/>
        <v>10491080</v>
      </c>
      <c r="O21" s="12">
        <v>16</v>
      </c>
      <c r="P21" s="13">
        <v>246103056</v>
      </c>
      <c r="Q21" s="13">
        <v>984412.22400000005</v>
      </c>
      <c r="R21" s="13">
        <v>33748.468000000001</v>
      </c>
      <c r="S21" s="14">
        <v>14668312</v>
      </c>
      <c r="T21" s="14">
        <v>6667640</v>
      </c>
      <c r="U21" s="14">
        <v>3823440</v>
      </c>
      <c r="V21" s="14">
        <v>4177232</v>
      </c>
      <c r="W21" s="15">
        <v>69.059734399999996</v>
      </c>
      <c r="X21" s="15">
        <v>71.219593599999996</v>
      </c>
      <c r="Y21" s="15">
        <v>31.8517084</v>
      </c>
      <c r="Z21" s="15">
        <v>41.369615600000003</v>
      </c>
      <c r="AA21" s="15">
        <v>40.106305999999996</v>
      </c>
      <c r="AB21" s="16">
        <v>62811.5</v>
      </c>
      <c r="AC21" s="16">
        <v>0</v>
      </c>
      <c r="AD21" s="16">
        <v>384.05200000000002</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4.354768</v>
      </c>
      <c r="J22" s="21">
        <f t="shared" si="1"/>
        <v>8.6885829262041511E-2</v>
      </c>
      <c r="K22" s="21">
        <f t="shared" si="2"/>
        <v>4.9992815126781595E-2</v>
      </c>
      <c r="L22" s="21">
        <f t="shared" si="3"/>
        <v>3.4735848278781428E-2</v>
      </c>
      <c r="M22" s="21">
        <f t="shared" si="4"/>
        <v>3.6893014135259916E-2</v>
      </c>
      <c r="N22" s="18">
        <f t="shared" si="5"/>
        <v>12528344</v>
      </c>
      <c r="O22" s="21">
        <v>16</v>
      </c>
      <c r="P22" s="22">
        <v>253070598</v>
      </c>
      <c r="Q22" s="22">
        <v>1012282.392</v>
      </c>
      <c r="R22" s="22">
        <v>35699.588000000003</v>
      </c>
      <c r="S22" s="23">
        <v>21773840</v>
      </c>
      <c r="T22" s="23">
        <v>8704904</v>
      </c>
      <c r="U22" s="23">
        <v>3823440</v>
      </c>
      <c r="V22" s="23">
        <v>9245496</v>
      </c>
      <c r="W22" s="24">
        <v>70.247885200000098</v>
      </c>
      <c r="X22" s="24">
        <v>72.726473999999996</v>
      </c>
      <c r="Y22" s="24">
        <v>33.742991600000003</v>
      </c>
      <c r="Z22" s="24">
        <v>42.612606</v>
      </c>
      <c r="AA22" s="24">
        <v>41.407418399999997</v>
      </c>
      <c r="AB22" s="25">
        <v>64352.800000000003</v>
      </c>
      <c r="AC22" s="25">
        <v>0</v>
      </c>
      <c r="AD22" s="25">
        <v>380.05700000000002</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7.9474335999999992</v>
      </c>
      <c r="J23" s="12">
        <f t="shared" si="1"/>
        <v>0.1585662792693002</v>
      </c>
      <c r="K23" s="12">
        <f t="shared" si="2"/>
        <v>7.2479483087846741E-2</v>
      </c>
      <c r="L23" s="12">
        <f t="shared" si="3"/>
        <v>5.7222516239846567E-2</v>
      </c>
      <c r="M23" s="12">
        <f t="shared" si="4"/>
        <v>8.608679618145347E-2</v>
      </c>
      <c r="N23" s="54">
        <f t="shared" si="5"/>
        <v>18163568</v>
      </c>
      <c r="O23" s="12">
        <v>16</v>
      </c>
      <c r="P23" s="13">
        <v>255954824</v>
      </c>
      <c r="Q23" s="13">
        <v>1023819.296</v>
      </c>
      <c r="R23" s="13">
        <v>38049.572</v>
      </c>
      <c r="S23" s="14">
        <v>39737168</v>
      </c>
      <c r="T23" s="14">
        <v>14340128</v>
      </c>
      <c r="U23" s="14">
        <v>3823440</v>
      </c>
      <c r="V23" s="14">
        <v>21573600</v>
      </c>
      <c r="W23" s="15">
        <v>71.200280400000096</v>
      </c>
      <c r="X23" s="15">
        <v>73.980531600000006</v>
      </c>
      <c r="Y23" s="15">
        <v>35.635744000000003</v>
      </c>
      <c r="Z23" s="15">
        <v>43.8066952</v>
      </c>
      <c r="AA23" s="15">
        <v>42.590507600000002</v>
      </c>
      <c r="AB23" s="16">
        <v>67675</v>
      </c>
      <c r="AC23" s="16">
        <v>0</v>
      </c>
      <c r="AD23" s="16">
        <v>410.37599999999998</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15.895918400000001</v>
      </c>
      <c r="J24" s="40">
        <f t="shared" si="1"/>
        <v>0.3171535319598528</v>
      </c>
      <c r="K24" s="40">
        <f t="shared" si="2"/>
        <v>0.12502546907968431</v>
      </c>
      <c r="L24" s="40">
        <f t="shared" si="3"/>
        <v>9.2003280201583951E-2</v>
      </c>
      <c r="M24" s="40">
        <f t="shared" si="4"/>
        <v>0.19212806288016845</v>
      </c>
      <c r="N24" s="37">
        <f t="shared" si="5"/>
        <v>31331744</v>
      </c>
      <c r="O24" s="40">
        <v>16</v>
      </c>
      <c r="P24" s="41">
        <v>244674086</v>
      </c>
      <c r="Q24" s="41">
        <v>978696.34400000004</v>
      </c>
      <c r="R24" s="41">
        <v>18813.608</v>
      </c>
      <c r="S24" s="42">
        <v>79479592</v>
      </c>
      <c r="T24" s="42">
        <v>23056288</v>
      </c>
      <c r="U24" s="42">
        <v>8275456</v>
      </c>
      <c r="V24" s="42">
        <v>48147848</v>
      </c>
      <c r="W24" s="43">
        <v>71.975096399999998</v>
      </c>
      <c r="X24" s="43">
        <v>75.955701599999998</v>
      </c>
      <c r="Y24" s="43">
        <v>36.862554799999998</v>
      </c>
      <c r="Z24" s="43">
        <v>44.767542800000001</v>
      </c>
      <c r="AA24" s="43">
        <v>43.348285599999997</v>
      </c>
      <c r="AB24" s="44">
        <v>72485.5</v>
      </c>
      <c r="AC24" s="44">
        <v>0</v>
      </c>
      <c r="AD24" s="44">
        <v>397.03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2.1797336</v>
      </c>
      <c r="J25" s="12">
        <f t="shared" si="1"/>
        <v>8.7086727270828418E-2</v>
      </c>
      <c r="K25" s="12">
        <f t="shared" si="2"/>
        <v>5.6075812300243881E-2</v>
      </c>
      <c r="L25" s="12">
        <f t="shared" si="3"/>
        <v>3.4340719368827571E-2</v>
      </c>
      <c r="M25" s="12">
        <f t="shared" si="4"/>
        <v>3.101091497058454E-2</v>
      </c>
      <c r="N25" s="54">
        <f t="shared" si="5"/>
        <v>14035472</v>
      </c>
      <c r="O25" s="12">
        <v>16</v>
      </c>
      <c r="P25" s="13">
        <v>232245529</v>
      </c>
      <c r="Q25" s="13">
        <v>774151.76333333296</v>
      </c>
      <c r="R25" s="13">
        <v>16183.733333333301</v>
      </c>
      <c r="S25" s="14">
        <v>21797336</v>
      </c>
      <c r="T25" s="14">
        <v>8595296</v>
      </c>
      <c r="U25" s="14">
        <v>5440176</v>
      </c>
      <c r="V25" s="14">
        <v>7761864</v>
      </c>
      <c r="W25" s="15">
        <v>66.369531999999893</v>
      </c>
      <c r="X25" s="15">
        <v>68.128068999999996</v>
      </c>
      <c r="Y25" s="15">
        <v>25.826992000000001</v>
      </c>
      <c r="Z25" s="15">
        <v>32.380549000000002</v>
      </c>
      <c r="AA25" s="15">
        <v>31.540010333333299</v>
      </c>
      <c r="AB25" s="16">
        <v>66016.3</v>
      </c>
      <c r="AC25" s="16">
        <v>0</v>
      </c>
      <c r="AD25" s="16">
        <v>414.56200000000001</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3.3559023999999997</v>
      </c>
      <c r="J26" s="21">
        <f t="shared" si="1"/>
        <v>0.13407810801114345</v>
      </c>
      <c r="K26" s="21">
        <f t="shared" si="2"/>
        <v>7.0100790275995667E-2</v>
      </c>
      <c r="L26" s="21">
        <f t="shared" si="3"/>
        <v>4.8365697344579357E-2</v>
      </c>
      <c r="M26" s="21">
        <f t="shared" si="4"/>
        <v>6.3977317735147782E-2</v>
      </c>
      <c r="N26" s="18">
        <f t="shared" si="5"/>
        <v>17545848</v>
      </c>
      <c r="O26" s="21">
        <v>16</v>
      </c>
      <c r="P26" s="22">
        <v>244084101</v>
      </c>
      <c r="Q26" s="22">
        <v>813613.67</v>
      </c>
      <c r="R26" s="22">
        <v>19480.406666666699</v>
      </c>
      <c r="S26" s="23">
        <v>33559024</v>
      </c>
      <c r="T26" s="23">
        <v>12105672</v>
      </c>
      <c r="U26" s="23">
        <v>5440176</v>
      </c>
      <c r="V26" s="23">
        <v>16013176</v>
      </c>
      <c r="W26" s="24">
        <v>68.072850000000003</v>
      </c>
      <c r="X26" s="24">
        <v>70.116752333333295</v>
      </c>
      <c r="Y26" s="24">
        <v>27.869063666666701</v>
      </c>
      <c r="Z26" s="24">
        <v>33.584782333333301</v>
      </c>
      <c r="AA26" s="24">
        <v>32.953457999999998</v>
      </c>
      <c r="AB26" s="25">
        <v>70709.8</v>
      </c>
      <c r="AC26" s="25">
        <v>0</v>
      </c>
      <c r="AD26" s="25">
        <v>435.69499999999999</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5.6600840000000003</v>
      </c>
      <c r="J27" s="12">
        <f t="shared" si="1"/>
        <v>0.22613689656294678</v>
      </c>
      <c r="K27" s="12">
        <f t="shared" si="2"/>
        <v>9.0839840871984989E-2</v>
      </c>
      <c r="L27" s="12">
        <f t="shared" si="3"/>
        <v>6.9104747940568687E-2</v>
      </c>
      <c r="M27" s="12">
        <f t="shared" si="4"/>
        <v>0.13529705569096179</v>
      </c>
      <c r="N27" s="54">
        <f t="shared" si="5"/>
        <v>22736720</v>
      </c>
      <c r="O27" s="12">
        <v>16</v>
      </c>
      <c r="P27" s="13">
        <v>246150191</v>
      </c>
      <c r="Q27" s="13">
        <v>820500.63666666695</v>
      </c>
      <c r="R27" s="13">
        <v>20394.356666666699</v>
      </c>
      <c r="S27" s="14">
        <v>56600840</v>
      </c>
      <c r="T27" s="14">
        <v>17296544</v>
      </c>
      <c r="U27" s="14">
        <v>5440176</v>
      </c>
      <c r="V27" s="14">
        <v>33864120</v>
      </c>
      <c r="W27" s="15">
        <v>69.361491999999998</v>
      </c>
      <c r="X27" s="15">
        <v>71.797428333333301</v>
      </c>
      <c r="Y27" s="15">
        <v>30.1747293333333</v>
      </c>
      <c r="Z27" s="15">
        <v>34.836359333333398</v>
      </c>
      <c r="AA27" s="15">
        <v>34.291919666666701</v>
      </c>
      <c r="AB27" s="16">
        <v>74615.100000000006</v>
      </c>
      <c r="AC27" s="16">
        <v>0</v>
      </c>
      <c r="AD27" s="16">
        <v>419.577</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10.906060800000001</v>
      </c>
      <c r="J28" s="21">
        <f t="shared" si="1"/>
        <v>0.43572900031851269</v>
      </c>
      <c r="K28" s="21">
        <f t="shared" si="2"/>
        <v>0.12771814613230423</v>
      </c>
      <c r="L28" s="21">
        <f t="shared" si="3"/>
        <v>0.1059830532008879</v>
      </c>
      <c r="M28" s="21">
        <f t="shared" si="4"/>
        <v>0.30801085418620849</v>
      </c>
      <c r="N28" s="18">
        <f t="shared" si="5"/>
        <v>31967160</v>
      </c>
      <c r="O28" s="21">
        <v>16</v>
      </c>
      <c r="P28" s="22">
        <v>253033881</v>
      </c>
      <c r="Q28" s="22">
        <v>843446.27</v>
      </c>
      <c r="R28" s="22">
        <v>22935.33</v>
      </c>
      <c r="S28" s="23">
        <v>109060608</v>
      </c>
      <c r="T28" s="23">
        <v>26526984</v>
      </c>
      <c r="U28" s="23">
        <v>5440176</v>
      </c>
      <c r="V28" s="23">
        <v>77093448</v>
      </c>
      <c r="W28" s="24">
        <v>70.475684000000001</v>
      </c>
      <c r="X28" s="24">
        <v>73.025847666666706</v>
      </c>
      <c r="Y28" s="24">
        <v>32.691046666666701</v>
      </c>
      <c r="Z28" s="24">
        <v>36.392126666666698</v>
      </c>
      <c r="AA28" s="24">
        <v>35.842055333333299</v>
      </c>
      <c r="AB28" s="25">
        <v>79581.399999999994</v>
      </c>
      <c r="AC28" s="25">
        <v>0</v>
      </c>
      <c r="AD28" s="25">
        <v>447.29399999999998</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25.145625600000002</v>
      </c>
      <c r="J29" s="30">
        <f t="shared" si="1"/>
        <v>1.0046412271121394</v>
      </c>
      <c r="K29" s="30">
        <f t="shared" si="2"/>
        <v>0.21141900706424399</v>
      </c>
      <c r="L29" s="30">
        <f t="shared" si="3"/>
        <v>0.16752388191926584</v>
      </c>
      <c r="M29" s="30">
        <f t="shared" si="4"/>
        <v>0.79322222004789544</v>
      </c>
      <c r="N29" s="27">
        <f t="shared" si="5"/>
        <v>52917032</v>
      </c>
      <c r="O29" s="30">
        <v>16</v>
      </c>
      <c r="P29" s="31">
        <v>243615027</v>
      </c>
      <c r="Q29" s="31">
        <v>812050.09</v>
      </c>
      <c r="R29" s="31">
        <v>10648.276666666699</v>
      </c>
      <c r="S29" s="32">
        <v>251456256</v>
      </c>
      <c r="T29" s="32">
        <v>41930320</v>
      </c>
      <c r="U29" s="32">
        <v>10986712</v>
      </c>
      <c r="V29" s="32">
        <v>198539224</v>
      </c>
      <c r="W29" s="33">
        <v>71.191898333333299</v>
      </c>
      <c r="X29" s="33">
        <v>74.928939999999997</v>
      </c>
      <c r="Y29" s="33">
        <v>35.699723666666699</v>
      </c>
      <c r="Z29" s="33">
        <v>38.374378999999998</v>
      </c>
      <c r="AA29" s="33">
        <v>37.762467999999998</v>
      </c>
      <c r="AB29" s="34">
        <v>87533.5</v>
      </c>
      <c r="AC29" s="34">
        <v>0</v>
      </c>
      <c r="AD29" s="34">
        <v>420.32799999999997</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1.9837275000000001</v>
      </c>
      <c r="J30" s="21">
        <f t="shared" si="1"/>
        <v>2.2545007613408101E-2</v>
      </c>
      <c r="K30" s="21">
        <f t="shared" si="2"/>
        <v>1.7610706106273497E-2</v>
      </c>
      <c r="L30" s="21">
        <f t="shared" si="3"/>
        <v>1.1207297279506173E-2</v>
      </c>
      <c r="M30" s="21">
        <f t="shared" si="4"/>
        <v>4.9343015071346046E-3</v>
      </c>
      <c r="N30" s="18">
        <f t="shared" si="5"/>
        <v>6611456</v>
      </c>
      <c r="O30" s="21">
        <v>16</v>
      </c>
      <c r="P30" s="22">
        <v>172282793</v>
      </c>
      <c r="Q30" s="22">
        <v>2691918.640625</v>
      </c>
      <c r="R30" s="22">
        <v>32558.609375</v>
      </c>
      <c r="S30" s="23">
        <v>8463904</v>
      </c>
      <c r="T30" s="23">
        <v>4207472</v>
      </c>
      <c r="U30" s="23">
        <v>2403984</v>
      </c>
      <c r="V30" s="23">
        <v>1852448</v>
      </c>
      <c r="W30" s="24">
        <v>73.532010937500004</v>
      </c>
      <c r="X30" s="24">
        <v>75.624971875</v>
      </c>
      <c r="Y30" s="24">
        <v>32.9684546875</v>
      </c>
      <c r="Z30" s="24">
        <v>41.845357812499998</v>
      </c>
      <c r="AA30" s="24">
        <v>43.151626562499999</v>
      </c>
      <c r="AB30" s="25">
        <v>49860.5</v>
      </c>
      <c r="AC30" s="25">
        <v>0</v>
      </c>
      <c r="AD30" s="25">
        <v>317.166</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2.6561137499999998</v>
      </c>
      <c r="J31" s="12">
        <f t="shared" si="1"/>
        <v>3.0186658558611475E-2</v>
      </c>
      <c r="K31" s="12">
        <f t="shared" si="2"/>
        <v>2.1765406045586411E-2</v>
      </c>
      <c r="L31" s="12">
        <f t="shared" si="3"/>
        <v>1.5361997218819087E-2</v>
      </c>
      <c r="M31" s="12">
        <f t="shared" si="4"/>
        <v>8.421252513025064E-3</v>
      </c>
      <c r="N31" s="54">
        <f t="shared" si="5"/>
        <v>8171224</v>
      </c>
      <c r="O31" s="12">
        <v>16</v>
      </c>
      <c r="P31" s="13">
        <v>181467697</v>
      </c>
      <c r="Q31" s="13">
        <v>2835432.765625</v>
      </c>
      <c r="R31" s="13">
        <v>39838.984375</v>
      </c>
      <c r="S31" s="14">
        <v>11332752</v>
      </c>
      <c r="T31" s="14">
        <v>5767240</v>
      </c>
      <c r="U31" s="14">
        <v>2403984</v>
      </c>
      <c r="V31" s="14">
        <v>3161528</v>
      </c>
      <c r="W31" s="15">
        <v>75.180025000000001</v>
      </c>
      <c r="X31" s="15">
        <v>77.545546874999999</v>
      </c>
      <c r="Y31" s="15">
        <v>35.004407812499998</v>
      </c>
      <c r="Z31" s="15">
        <v>42.516818749999999</v>
      </c>
      <c r="AA31" s="15">
        <v>44.415865625000002</v>
      </c>
      <c r="AB31" s="16">
        <v>53087.8</v>
      </c>
      <c r="AC31" s="16">
        <v>0</v>
      </c>
      <c r="AD31" s="16">
        <v>338.24700000000001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3.833315625</v>
      </c>
      <c r="J32" s="21">
        <f t="shared" si="1"/>
        <v>4.3565524977710518E-2</v>
      </c>
      <c r="K32" s="21">
        <f t="shared" si="2"/>
        <v>2.7915915831574514E-2</v>
      </c>
      <c r="L32" s="21">
        <f t="shared" si="3"/>
        <v>2.151250700480719E-2</v>
      </c>
      <c r="M32" s="21">
        <f t="shared" si="4"/>
        <v>1.5649609146136001E-2</v>
      </c>
      <c r="N32" s="18">
        <f t="shared" si="5"/>
        <v>10480264</v>
      </c>
      <c r="O32" s="21">
        <v>16</v>
      </c>
      <c r="P32" s="22">
        <v>184191613</v>
      </c>
      <c r="Q32" s="22">
        <v>2877993.953125</v>
      </c>
      <c r="R32" s="22">
        <v>42690.109375</v>
      </c>
      <c r="S32" s="23">
        <v>16355480</v>
      </c>
      <c r="T32" s="23">
        <v>8076280</v>
      </c>
      <c r="U32" s="23">
        <v>2403984</v>
      </c>
      <c r="V32" s="23">
        <v>5875216</v>
      </c>
      <c r="W32" s="24">
        <v>76.422521875000001</v>
      </c>
      <c r="X32" s="24">
        <v>79.111943749999995</v>
      </c>
      <c r="Y32" s="24">
        <v>36.880779687500002</v>
      </c>
      <c r="Z32" s="24">
        <v>43.149412499999997</v>
      </c>
      <c r="AA32" s="24">
        <v>45.881970312500002</v>
      </c>
      <c r="AB32" s="25">
        <v>56114.6</v>
      </c>
      <c r="AC32" s="25">
        <v>0</v>
      </c>
      <c r="AD32" s="25">
        <v>349.392</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6.3251718749999997</v>
      </c>
      <c r="J33" s="12">
        <f t="shared" si="1"/>
        <v>7.1885401638072666E-2</v>
      </c>
      <c r="K33" s="12">
        <f t="shared" si="2"/>
        <v>3.8676164831968174E-2</v>
      </c>
      <c r="L33" s="12">
        <f t="shared" si="3"/>
        <v>3.2272756005200846E-2</v>
      </c>
      <c r="M33" s="12">
        <f t="shared" si="4"/>
        <v>3.3209236806104492E-2</v>
      </c>
      <c r="N33" s="54">
        <f t="shared" si="5"/>
        <v>14519904</v>
      </c>
      <c r="O33" s="12">
        <v>16</v>
      </c>
      <c r="P33" s="13">
        <v>188806131</v>
      </c>
      <c r="Q33" s="13">
        <v>2950095.796875</v>
      </c>
      <c r="R33" s="13">
        <v>47691.4375</v>
      </c>
      <c r="S33" s="14">
        <v>26987400</v>
      </c>
      <c r="T33" s="14">
        <v>12115920</v>
      </c>
      <c r="U33" s="14">
        <v>2403984</v>
      </c>
      <c r="V33" s="14">
        <v>12467496</v>
      </c>
      <c r="W33" s="15">
        <v>77.551282812500006</v>
      </c>
      <c r="X33" s="15">
        <v>80.268201562499996</v>
      </c>
      <c r="Y33" s="15">
        <v>38.6912203125</v>
      </c>
      <c r="Z33" s="15">
        <v>43.742812499999999</v>
      </c>
      <c r="AA33" s="15">
        <v>47.247900000000001</v>
      </c>
      <c r="AB33" s="16">
        <v>58838.3</v>
      </c>
      <c r="AC33" s="16">
        <v>0</v>
      </c>
      <c r="AD33" s="16">
        <v>360.04599999999999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12.789885</v>
      </c>
      <c r="J34" s="40">
        <f t="shared" si="1"/>
        <v>0.14535668568370105</v>
      </c>
      <c r="K34" s="40">
        <f t="shared" si="2"/>
        <v>6.4278250486180855E-2</v>
      </c>
      <c r="L34" s="40">
        <f t="shared" si="3"/>
        <v>5.1089740245989869E-2</v>
      </c>
      <c r="M34" s="40">
        <f t="shared" si="4"/>
        <v>8.1078435197520199E-2</v>
      </c>
      <c r="N34" s="37">
        <f t="shared" si="5"/>
        <v>24131504</v>
      </c>
      <c r="O34" s="40">
        <v>16</v>
      </c>
      <c r="P34" s="41">
        <v>185070843</v>
      </c>
      <c r="Q34" s="41">
        <v>2891731.921875</v>
      </c>
      <c r="R34" s="41">
        <v>18923.953125</v>
      </c>
      <c r="S34" s="42">
        <v>54570176</v>
      </c>
      <c r="T34" s="42">
        <v>19180240</v>
      </c>
      <c r="U34" s="42">
        <v>4951264</v>
      </c>
      <c r="V34" s="42">
        <v>30438672</v>
      </c>
      <c r="W34" s="43">
        <v>78.460593750000001</v>
      </c>
      <c r="X34" s="43">
        <v>81.916093750000002</v>
      </c>
      <c r="Y34" s="43">
        <v>40.5214140625</v>
      </c>
      <c r="Z34" s="43">
        <v>44.454210937500001</v>
      </c>
      <c r="AA34" s="43">
        <v>48.733959374999998</v>
      </c>
      <c r="AB34" s="44">
        <v>62596.6</v>
      </c>
      <c r="AC34" s="44">
        <v>0</v>
      </c>
      <c r="AD34" s="44">
        <v>365.96199999999999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2.17848</v>
      </c>
      <c r="J35" s="12">
        <f t="shared" si="1"/>
        <v>2.7896481825156885E-2</v>
      </c>
      <c r="K35" s="12">
        <f t="shared" si="2"/>
        <v>2.1469267408009713E-2</v>
      </c>
      <c r="L35" s="12">
        <f t="shared" si="3"/>
        <v>1.3745402111161636E-2</v>
      </c>
      <c r="M35" s="12">
        <f t="shared" si="4"/>
        <v>6.4272144171471732E-3</v>
      </c>
      <c r="N35" s="54">
        <f t="shared" si="5"/>
        <v>7153360</v>
      </c>
      <c r="O35" s="12">
        <v>16</v>
      </c>
      <c r="P35" s="13">
        <v>149903109</v>
      </c>
      <c r="Q35" s="13">
        <v>2342236.078125</v>
      </c>
      <c r="R35" s="13">
        <v>30822.421875</v>
      </c>
      <c r="S35" s="14">
        <v>9294848</v>
      </c>
      <c r="T35" s="14">
        <v>4579840</v>
      </c>
      <c r="U35" s="14">
        <v>2573520</v>
      </c>
      <c r="V35" s="14">
        <v>2141488</v>
      </c>
      <c r="W35" s="15">
        <v>73.214260937500001</v>
      </c>
      <c r="X35" s="15">
        <v>75.410712500000002</v>
      </c>
      <c r="Y35" s="15">
        <v>31.889514062500002</v>
      </c>
      <c r="Z35" s="15">
        <v>42.1611609375</v>
      </c>
      <c r="AA35" s="15">
        <v>43.433592187499997</v>
      </c>
      <c r="AB35" s="16">
        <v>45133.2</v>
      </c>
      <c r="AC35" s="16">
        <v>0</v>
      </c>
      <c r="AD35" s="16">
        <v>285.30799999999999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2.9319731249999998</v>
      </c>
      <c r="J36" s="21">
        <f t="shared" si="1"/>
        <v>3.7545322882657141E-2</v>
      </c>
      <c r="K36" s="21">
        <f t="shared" si="2"/>
        <v>2.6587177530642221E-2</v>
      </c>
      <c r="L36" s="21">
        <f t="shared" si="3"/>
        <v>1.8863312233794144E-2</v>
      </c>
      <c r="M36" s="21">
        <f t="shared" si="4"/>
        <v>1.0958145352014923E-2</v>
      </c>
      <c r="N36" s="18">
        <f t="shared" si="5"/>
        <v>8858600</v>
      </c>
      <c r="O36" s="21">
        <v>16</v>
      </c>
      <c r="P36" s="22">
        <v>159705315</v>
      </c>
      <c r="Q36" s="22">
        <v>2495395.546875</v>
      </c>
      <c r="R36" s="22">
        <v>38648.546875</v>
      </c>
      <c r="S36" s="23">
        <v>12509752</v>
      </c>
      <c r="T36" s="23">
        <v>6285080</v>
      </c>
      <c r="U36" s="23">
        <v>2573520</v>
      </c>
      <c r="V36" s="23">
        <v>3651152</v>
      </c>
      <c r="W36" s="24">
        <v>74.935885937500004</v>
      </c>
      <c r="X36" s="24">
        <v>77.368315624999994</v>
      </c>
      <c r="Y36" s="24">
        <v>34.107812500000001</v>
      </c>
      <c r="Z36" s="24">
        <v>42.935343750000001</v>
      </c>
      <c r="AA36" s="24">
        <v>44.761360937500001</v>
      </c>
      <c r="AB36" s="25">
        <v>45528.5</v>
      </c>
      <c r="AC36" s="25">
        <v>0</v>
      </c>
      <c r="AD36" s="25">
        <v>295.077</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4.2169781249999998</v>
      </c>
      <c r="J37" s="12">
        <f t="shared" si="1"/>
        <v>5.4000428565397274E-2</v>
      </c>
      <c r="K37" s="12">
        <f t="shared" si="2"/>
        <v>3.39935309536816E-2</v>
      </c>
      <c r="L37" s="12">
        <f t="shared" si="3"/>
        <v>2.6269665656833526E-2</v>
      </c>
      <c r="M37" s="12">
        <f t="shared" si="4"/>
        <v>2.0006897611715674E-2</v>
      </c>
      <c r="N37" s="54">
        <f t="shared" si="5"/>
        <v>11326328</v>
      </c>
      <c r="O37" s="12">
        <v>16</v>
      </c>
      <c r="P37" s="13">
        <v>163111668</v>
      </c>
      <c r="Q37" s="13">
        <v>2548619.8125</v>
      </c>
      <c r="R37" s="13">
        <v>41930.140625</v>
      </c>
      <c r="S37" s="14">
        <v>17992440</v>
      </c>
      <c r="T37" s="14">
        <v>8752808</v>
      </c>
      <c r="U37" s="14">
        <v>2573520</v>
      </c>
      <c r="V37" s="14">
        <v>6666112</v>
      </c>
      <c r="W37" s="15">
        <v>76.245125000000002</v>
      </c>
      <c r="X37" s="15">
        <v>78.983759375000005</v>
      </c>
      <c r="Y37" s="15">
        <v>36.187578125000002</v>
      </c>
      <c r="Z37" s="15">
        <v>43.520915625000001</v>
      </c>
      <c r="AA37" s="15">
        <v>46.116348437500001</v>
      </c>
      <c r="AB37" s="16">
        <v>46946.7</v>
      </c>
      <c r="AC37" s="16">
        <v>0</v>
      </c>
      <c r="AD37" s="16">
        <v>300.94400000000002</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6.8988281249999996</v>
      </c>
      <c r="J38" s="21">
        <f t="shared" si="1"/>
        <v>8.834280480148711E-2</v>
      </c>
      <c r="K38" s="21">
        <f t="shared" si="2"/>
        <v>4.6721185537090447E-2</v>
      </c>
      <c r="L38" s="21">
        <f t="shared" si="3"/>
        <v>3.899732024024237E-2</v>
      </c>
      <c r="M38" s="21">
        <f t="shared" si="4"/>
        <v>4.162161926439667E-2</v>
      </c>
      <c r="N38" s="18">
        <f t="shared" si="5"/>
        <v>15567064</v>
      </c>
      <c r="O38" s="21">
        <v>16</v>
      </c>
      <c r="P38" s="22">
        <v>167401357</v>
      </c>
      <c r="Q38" s="22">
        <v>2615646.203125</v>
      </c>
      <c r="R38" s="22">
        <v>46927.546875</v>
      </c>
      <c r="S38" s="23">
        <v>29435000</v>
      </c>
      <c r="T38" s="23">
        <v>12993544</v>
      </c>
      <c r="U38" s="23">
        <v>2573520</v>
      </c>
      <c r="V38" s="23">
        <v>13867936</v>
      </c>
      <c r="W38" s="24">
        <v>77.430582812500006</v>
      </c>
      <c r="X38" s="24">
        <v>80.1885328125</v>
      </c>
      <c r="Y38" s="24">
        <v>38.161134375000003</v>
      </c>
      <c r="Z38" s="24">
        <v>44.139771875000001</v>
      </c>
      <c r="AA38" s="24">
        <v>47.276406250000001</v>
      </c>
      <c r="AB38" s="25">
        <v>49747.8</v>
      </c>
      <c r="AC38" s="25">
        <v>0</v>
      </c>
      <c r="AD38" s="25">
        <v>305.39299999999997</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13.723125</v>
      </c>
      <c r="J39" s="30">
        <f t="shared" si="1"/>
        <v>0.17573120118011462</v>
      </c>
      <c r="K39" s="30">
        <f t="shared" si="2"/>
        <v>7.5770376644588647E-2</v>
      </c>
      <c r="L39" s="30">
        <f t="shared" si="3"/>
        <v>6.0105257022953607E-2</v>
      </c>
      <c r="M39" s="30">
        <f t="shared" si="4"/>
        <v>9.9960824535525961E-2</v>
      </c>
      <c r="N39" s="27">
        <f t="shared" si="5"/>
        <v>25245984</v>
      </c>
      <c r="O39" s="30">
        <v>16</v>
      </c>
      <c r="P39" s="31">
        <v>163642490</v>
      </c>
      <c r="Q39" s="31">
        <v>2556913.90625</v>
      </c>
      <c r="R39" s="31">
        <v>18550.453125</v>
      </c>
      <c r="S39" s="32">
        <v>58552000</v>
      </c>
      <c r="T39" s="32">
        <v>20026512</v>
      </c>
      <c r="U39" s="32">
        <v>5219472</v>
      </c>
      <c r="V39" s="32">
        <v>33306016</v>
      </c>
      <c r="W39" s="33">
        <v>78.2872921875</v>
      </c>
      <c r="X39" s="33">
        <v>81.8868875</v>
      </c>
      <c r="Y39" s="33">
        <v>40.240200000000002</v>
      </c>
      <c r="Z39" s="33">
        <v>45.062987499999998</v>
      </c>
      <c r="AA39" s="33">
        <v>48.670310937499998</v>
      </c>
      <c r="AB39" s="34">
        <v>56535.3</v>
      </c>
      <c r="AC39" s="34">
        <v>0</v>
      </c>
      <c r="AD39" s="34">
        <v>312.30200000000002</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0.1775800785888986</v>
      </c>
      <c r="K40" s="48">
        <f>AVERAGE(K5:K24)</f>
        <v>9.7240112408985432E-2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0.37753439185511412</v>
      </c>
      <c r="K41" s="48">
        <f>AVERAGE(K25:K29)</f>
        <v>0.11123071932895456</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6.9705551772631685E-2</v>
      </c>
      <c r="K42" s="48">
        <f>AVERAGE(K30:K39)</f>
        <v>3.7478798137559603E-2</v>
      </c>
      <c r="L42" s="48">
        <f>AVERAGE(L30:L39)</f>
        <v>2.8942525501930844E-2</v>
      </c>
      <c r="M42" s="48">
        <f>AVERAGE(M30:M39)</f>
        <v>3.2226753635072075E-2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0.17532368710799598</v>
      </c>
      <c r="K43" s="48">
        <f>AVERAGE(K5:K39)</f>
        <v>8.2164109320002232E-2</v>
      </c>
      <c r="L43" s="48">
        <f>AVERAGE(L5:L39)</f>
        <v>6.1226210202197137E-2</v>
      </c>
      <c r="M43" s="48">
        <f>AVERAGE(M5:M39)</f>
        <v>9.3159577787993761E-2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2420935.8000000003</v>
      </c>
      <c r="AC44" s="49">
        <f>SUM(AC5:AC24,AC25:AC29,AC30:AC39)</f>
        <v>0</v>
      </c>
      <c r="AD44" s="49">
        <f>SUM(AD5:AD24,AD25:AD29,AD30:AD39)</f>
        <v>13904.407999999994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67827.040827740449</v>
      </c>
      <c r="AC46" s="49" t="e">
        <f>GEOMEAN(AC5:AC24,AC25:AC29,AC30:AC39)</f>
        <v>#NUM!</v>
      </c>
      <c r="AD46" s="49">
        <f>GEOMEAN(AD5:AD24,AD25:AD29,AD30:AD39)</f>
        <v>392.59633829442413</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2020-06-03T18:56:54Z</dcterms:modified>
</cp:coreProperties>
</file>