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131" codeName="{4D1C537B-E38A-612A-F078-A93A15B4B7F4}"/>
  <workbookPr codeName="ThisWorkbook1" defaultThemeVersion="124226"/>
  <mc:AlternateContent xmlns:mc="http://schemas.openxmlformats.org/markup-compatibility/2006">
    <mc:Choice Requires="x15">
      <x15ac:absPath xmlns:x15ac="http://schemas.microsoft.com/office/spreadsheetml/2010/11/ac" url="\\renwekasmb01\wp21\PCC\ricardj\gitint15\tm2_r141\test\"/>
    </mc:Choice>
  </mc:AlternateContent>
  <xr:revisionPtr revIDLastSave="0" documentId="13_ncr:1_{2F8D2278-9EBA-4EAE-A4B6-2914A8547E1E}" xr6:coauthVersionLast="47" xr6:coauthVersionMax="47" xr10:uidLastSave="{00000000-0000-0000-0000-000000000000}"/>
  <bookViews>
    <workbookView xWindow="2625" yWindow="3060" windowWidth="21600" windowHeight="14295" firstSheet="2" activeTab="6" xr2:uid="{00000000-000D-0000-FFFF-FFFF00000000}"/>
  </bookViews>
  <sheets>
    <sheet name="Summary" sheetId="1" r:id="rId1"/>
    <sheet name="Graphs" sheetId="2" r:id="rId2"/>
    <sheet name="C2 lossyG,lossyA,intra" sheetId="3" r:id="rId3"/>
    <sheet name="names" sheetId="4" state="hidden" r:id="rId4"/>
    <sheet name="CW losslG,losslA,intra" sheetId="5" r:id="rId5"/>
    <sheet name="CW losslG,losslA,interLD" sheetId="6" r:id="rId6"/>
    <sheet name="C2 lossyG,lossyA,interRA" sheetId="7" r:id="rId7"/>
  </sheets>
  <functionGroups builtInGroupCount="19"/>
  <definedNames>
    <definedName name="all_cols" localSheetId="1">Graphs!$I$2:$I$39</definedName>
    <definedName name="filter_cols" localSheetId="1">IF(ISREF(Graphs!filter_cols_),Graphs!filter_cols_,Graphs!all_cols)</definedName>
    <definedName name="filter_cols_" localSheetId="1">INDIRECT(HLOOKUP(Graphs!$B$1,Graphs!$M$1:$ZZ$2,2,0))</definedName>
    <definedName name="graph_a_A_title" localSheetId="1">INDIRECT(VLOOKUP("name.A."&amp;Graphs!$B$1,names!$A:$B,2,0))</definedName>
    <definedName name="graph_a_B_title" localSheetId="1">INDIRECT(VLOOKUP("name.B."&amp;Graphs!$B$1,names!$A:$B,2,0))</definedName>
    <definedName name="graph_a_title" localSheetId="1">CONCATENATE(Graphs!graph_a_y_title, " (Graph a)")</definedName>
    <definedName name="graph_a_x_range_A" localSheetId="1">IF(ISREF(Graphs!graph_a_x_range_A_),Graphs!graph_a_x_range_A_,{0})</definedName>
    <definedName name="graph_a_x_range_A_" localSheetId="1">INDEX(INDIRECT(VLOOKUP("range." &amp; Graphs!$B$1 &amp;"."&amp; Graphs!$B$2, names!$A:$B,2,0)), 0, VLOOKUP("col."&amp; Graphs!$B$1 &amp;".A."&amp; Graphs!$B$4, names!$A:$B,2,0))</definedName>
    <definedName name="graph_a_x_range_B" localSheetId="1">IF(ISREF(Graphs!graph_a_x_range_B_),Graphs!graph_a_x_range_B_,{0})</definedName>
    <definedName name="graph_a_x_range_B_" localSheetId="1">INDEX(INDIRECT(VLOOKUP("range." &amp; Graphs!$B$1 &amp;"."&amp; Graphs!$B$2, names!$A:$B,2,0)), 0, VLOOKUP("col."&amp; Graphs!$B$1 &amp;".B."&amp; Graphs!$B$4, names!$A:$B,2,0))</definedName>
    <definedName name="graph_a_x_title" localSheetId="1">OFFSET(Graphs!all_cols, MATCH(Graphs!$B$4, Graphs!all_cols, 0)-1,1,1,1)</definedName>
    <definedName name="graph_a_y_range_A" localSheetId="1">IF(ISREF(Graphs!graph_a_y_range_A_),Graphs!graph_a_y_range_A_,{0})</definedName>
    <definedName name="graph_a_y_range_A_" localSheetId="1">INDEX(INDIRECT(VLOOKUP("range." &amp; Graphs!$B$1 &amp;"."&amp; Graphs!$B$2, names!$A:$B,2,0)), 0, VLOOKUP("col."&amp; Graphs!$B$1 &amp;".A."&amp; Graphs!$D$4, names!$A:$B,2,0))</definedName>
    <definedName name="graph_a_y_range_B" localSheetId="1">IF(ISREF(Graphs!graph_a_y_range_B_),Graphs!graph_a_y_range_B_,{0})</definedName>
    <definedName name="graph_a_y_range_B_" localSheetId="1">INDEX(INDIRECT(VLOOKUP("range." &amp; Graphs!$B$1 &amp;"."&amp; Graphs!$B$2, names!$A:$B,2,0)), 0, VLOOKUP("col."&amp; Graphs!$B$1 &amp;".B."&amp; Graphs!$D$4, names!$A:$B,2,0))</definedName>
    <definedName name="graph_a_y_title" localSheetId="1">OFFSET(Graphs!all_cols, MATCH(Graphs!$D$4, Graphs!all_cols, 0)-1,1,1,1)</definedName>
    <definedName name="graph_b_A_title" localSheetId="1">INDIRECT(VLOOKUP("name.A."&amp;Graphs!$B$1,names!$A:$B,2,0))</definedName>
    <definedName name="graph_b_B_title" localSheetId="1">INDIRECT(VLOOKUP("name.B."&amp;Graphs!$B$1,names!$A:$B,2,0))</definedName>
    <definedName name="graph_b_title" localSheetId="1">CONCATENATE(Graphs!graph_b_y_title, " (Graph b)")</definedName>
    <definedName name="graph_b_x_range_A" localSheetId="1">IF(ISREF(Graphs!graph_b_x_range_A_),Graphs!graph_b_x_range_A_,{0})</definedName>
    <definedName name="graph_b_x_range_A_" localSheetId="1">INDEX(INDIRECT(VLOOKUP("range." &amp; Graphs!$B$1 &amp;"."&amp; Graphs!$B$2, names!$A:$B,2,0)), 0, VLOOKUP("col."&amp; Graphs!$B$1 &amp;".A."&amp; Graphs!$B$5, names!$A:$B,2,0))</definedName>
    <definedName name="graph_b_x_range_B" localSheetId="1">IF(ISREF(Graphs!graph_b_x_range_B_),Graphs!graph_b_x_range_B_,{0})</definedName>
    <definedName name="graph_b_x_range_B_" localSheetId="1">INDEX(INDIRECT(VLOOKUP("range." &amp; Graphs!$B$1 &amp;"."&amp; Graphs!$B$2, names!$A:$B,2,0)), 0, VLOOKUP("col."&amp; Graphs!$B$1 &amp;".B."&amp; Graphs!$B$5, names!$A:$B,2,0))</definedName>
    <definedName name="graph_b_x_title" localSheetId="1">OFFSET(Graphs!all_cols, MATCH(Graphs!$B$5, Graphs!all_cols, 0)-1,1,1,1)</definedName>
    <definedName name="graph_b_y_range_A" localSheetId="1">IF(ISREF(Graphs!graph_b_y_range_A_),Graphs!graph_b_y_range_A_,{0})</definedName>
    <definedName name="graph_b_y_range_A_" localSheetId="1">INDEX(INDIRECT(VLOOKUP("range." &amp; Graphs!$B$1 &amp;"."&amp; Graphs!$B$2, names!$A:$B,2,0)), 0, VLOOKUP("col."&amp; Graphs!$B$1 &amp;".A."&amp; Graphs!$D$5, names!$A:$B,2,0))</definedName>
    <definedName name="graph_b_y_range_B" localSheetId="1">IF(ISREF(Graphs!graph_b_y_range_B_),Graphs!graph_b_y_range_B_,{0})</definedName>
    <definedName name="graph_b_y_range_B_" localSheetId="1">INDEX(INDIRECT(VLOOKUP("range." &amp; Graphs!$B$1 &amp;"."&amp; Graphs!$B$2, names!$A:$B,2,0)), 0, VLOOKUP("col."&amp; Graphs!$B$1 &amp;".B."&amp; Graphs!$D$5, names!$A:$B,2,0))</definedName>
    <definedName name="graph_b_y_title" localSheetId="1">OFFSET(Graphs!all_cols, MATCH(Graphs!$D$5, Graphs!all_cols, 0)-1,1,1,1)</definedName>
    <definedName name="graph_c_A_title" localSheetId="1">INDIRECT(VLOOKUP("name.A."&amp;Graphs!$B$1,names!$A:$B,2,0))</definedName>
    <definedName name="graph_c_B_title" localSheetId="1">INDIRECT(VLOOKUP("name.B."&amp;Graphs!$B$1,names!$A:$B,2,0))</definedName>
    <definedName name="graph_c_title" localSheetId="1">CONCATENATE(Graphs!graph_c_y_title, " (Graph c)")</definedName>
    <definedName name="graph_c_x_range_A" localSheetId="1">IF(ISREF(Graphs!graph_c_x_range_A_),Graphs!graph_c_x_range_A_,{0})</definedName>
    <definedName name="graph_c_x_range_A_" localSheetId="1">INDEX(INDIRECT(VLOOKUP("range." &amp; Graphs!$B$1 &amp;"."&amp; Graphs!$B$2, names!$A:$B,2,0)), 0, VLOOKUP("col."&amp; Graphs!$B$1 &amp;".A."&amp; Graphs!$B$6, names!$A:$B,2,0))</definedName>
    <definedName name="graph_c_x_range_B" localSheetId="1">IF(ISREF(Graphs!graph_c_x_range_B_),Graphs!graph_c_x_range_B_,{0})</definedName>
    <definedName name="graph_c_x_range_B_" localSheetId="1">INDEX(INDIRECT(VLOOKUP("range." &amp; Graphs!$B$1 &amp;"."&amp; Graphs!$B$2, names!$A:$B,2,0)), 0, VLOOKUP("col."&amp; Graphs!$B$1 &amp;".B."&amp; Graphs!$B$6, names!$A:$B,2,0))</definedName>
    <definedName name="graph_c_x_title" localSheetId="1">OFFSET(Graphs!all_cols, MATCH(Graphs!$B$6, Graphs!all_cols, 0)-1,1,1,1)</definedName>
    <definedName name="graph_c_y_range_A" localSheetId="1">IF(ISREF(Graphs!graph_c_y_range_A_),Graphs!graph_c_y_range_A_,{0})</definedName>
    <definedName name="graph_c_y_range_A_" localSheetId="1">INDEX(INDIRECT(VLOOKUP("range." &amp; Graphs!$B$1 &amp;"."&amp; Graphs!$B$2, names!$A:$B,2,0)), 0, VLOOKUP("col."&amp; Graphs!$B$1 &amp;".A."&amp; Graphs!$D$6, names!$A:$B,2,0))</definedName>
    <definedName name="graph_c_y_range_B" localSheetId="1">IF(ISREF(Graphs!graph_c_y_range_B_),Graphs!graph_c_y_range_B_,{0})</definedName>
    <definedName name="graph_c_y_range_B_" localSheetId="1">INDEX(INDIRECT(VLOOKUP("range." &amp; Graphs!$B$1 &amp;"."&amp; Graphs!$B$2, names!$A:$B,2,0)), 0, VLOOKUP("col."&amp; Graphs!$B$1 &amp;".B."&amp; Graphs!$D$6, names!$A:$B,2,0))</definedName>
    <definedName name="graph_c_y_title" localSheetId="1">OFFSET(Graphs!all_cols, MATCH(Graphs!$D$6, Graphs!all_cols, 0)-1,1,1,1)</definedName>
    <definedName name="graph_d_A_title" localSheetId="1">INDIRECT(VLOOKUP("name.A."&amp;Graphs!$B$1,names!$A:$B,2,0))</definedName>
    <definedName name="graph_d_B_title" localSheetId="1">INDIRECT(VLOOKUP("name.B."&amp;Graphs!$B$1,names!$A:$B,2,0))</definedName>
    <definedName name="graph_d_title" localSheetId="1">CONCATENATE(Graphs!graph_d_y_title, " (Graph d)")</definedName>
    <definedName name="graph_d_x_range_A" localSheetId="1">IF(ISREF(Graphs!graph_d_x_range_A_),Graphs!graph_d_x_range_A_,{0})</definedName>
    <definedName name="graph_d_x_range_A_" localSheetId="1">INDEX(INDIRECT(VLOOKUP("range." &amp; Graphs!$B$1 &amp;"."&amp; Graphs!$B$2, names!$A:$B,2,0)), 0, VLOOKUP("col."&amp; Graphs!$B$1 &amp;".A."&amp; Graphs!$B$7, names!$A:$B,2,0))</definedName>
    <definedName name="graph_d_x_range_B" localSheetId="1">IF(ISREF(Graphs!graph_d_x_range_B_),Graphs!graph_d_x_range_B_,{0})</definedName>
    <definedName name="graph_d_x_range_B_" localSheetId="1">INDEX(INDIRECT(VLOOKUP("range." &amp; Graphs!$B$1 &amp;"."&amp; Graphs!$B$2, names!$A:$B,2,0)), 0, VLOOKUP("col."&amp; Graphs!$B$1 &amp;".B."&amp; Graphs!$B$7, names!$A:$B,2,0))</definedName>
    <definedName name="graph_d_x_title" localSheetId="1">OFFSET(Graphs!all_cols, MATCH(Graphs!$B$7, Graphs!all_cols, 0)-1,1,1,1)</definedName>
    <definedName name="graph_d_y_range_A" localSheetId="1">IF(ISREF(Graphs!graph_d_y_range_A_),Graphs!graph_d_y_range_A_,{0})</definedName>
    <definedName name="graph_d_y_range_A_" localSheetId="1">INDEX(INDIRECT(VLOOKUP("range." &amp; Graphs!$B$1 &amp;"."&amp; Graphs!$B$2, names!$A:$B,2,0)), 0, VLOOKUP("col."&amp; Graphs!$B$1 &amp;".A."&amp; Graphs!$D$7, names!$A:$B,2,0))</definedName>
    <definedName name="graph_d_y_range_B" localSheetId="1">IF(ISREF(Graphs!graph_d_y_range_B_),Graphs!graph_d_y_range_B_,{0})</definedName>
    <definedName name="graph_d_y_range_B_" localSheetId="1">INDEX(INDIRECT(VLOOKUP("range." &amp; Graphs!$B$1 &amp;"."&amp; Graphs!$B$2, names!$A:$B,2,0)), 0, VLOOKUP("col."&amp; Graphs!$B$1 &amp;".B."&amp; Graphs!$D$7, names!$A:$B,2,0))</definedName>
    <definedName name="graph_d_y_title" localSheetId="1">OFFSET(Graphs!all_cols, MATCH(Graphs!$D$7, Graphs!all_cols, 0)-1,1,1,1)</definedName>
    <definedName name="graph_e_A_title" localSheetId="1">INDIRECT(VLOOKUP("name.A."&amp;Graphs!$B$1,names!$A:$B,2,0))</definedName>
    <definedName name="graph_e_B_title" localSheetId="1">INDIRECT(VLOOKUP("name.B."&amp;Graphs!$B$1,names!$A:$B,2,0))</definedName>
    <definedName name="graph_e_title" localSheetId="1">CONCATENATE(Graphs!graph_e_y_title, " (Graph e)")</definedName>
    <definedName name="graph_e_x_range_A" localSheetId="1">IF(ISREF(Graphs!graph_e_x_range_A_),Graphs!graph_e_x_range_A_,{0})</definedName>
    <definedName name="graph_e_x_range_A_" localSheetId="1">INDEX(INDIRECT(VLOOKUP("range." &amp; Graphs!$B$1 &amp;"."&amp; Graphs!$B$2, names!$A:$B,2,0)), 0, VLOOKUP("col."&amp; Graphs!$B$1 &amp;".A."&amp; Graphs!$B$8, names!$A:$B,2,0))</definedName>
    <definedName name="graph_e_x_range_B" localSheetId="1">IF(ISREF(Graphs!graph_e_x_range_B_),Graphs!graph_e_x_range_B_,{0})</definedName>
    <definedName name="graph_e_x_range_B_" localSheetId="1">INDEX(INDIRECT(VLOOKUP("range." &amp; Graphs!$B$1 &amp;"."&amp; Graphs!$B$2, names!$A:$B,2,0)), 0, VLOOKUP("col."&amp; Graphs!$B$1 &amp;".B."&amp; Graphs!$B$8, names!$A:$B,2,0))</definedName>
    <definedName name="graph_e_x_title" localSheetId="1">OFFSET(Graphs!all_cols, MATCH(Graphs!$B$8, Graphs!all_cols, 0)-1,1,1,1)</definedName>
    <definedName name="graph_e_y_range_A" localSheetId="1">IF(ISREF(Graphs!graph_e_y_range_A_),Graphs!graph_e_y_range_A_,{0})</definedName>
    <definedName name="graph_e_y_range_A_" localSheetId="1">INDEX(INDIRECT(VLOOKUP("range." &amp; Graphs!$B$1 &amp;"."&amp; Graphs!$B$2, names!$A:$B,2,0)), 0, VLOOKUP("col."&amp; Graphs!$B$1 &amp;".A."&amp; Graphs!$D$8, names!$A:$B,2,0))</definedName>
    <definedName name="graph_e_y_range_B" localSheetId="1">IF(ISREF(Graphs!graph_e_y_range_B_),Graphs!graph_e_y_range_B_,{0})</definedName>
    <definedName name="graph_e_y_range_B_" localSheetId="1">INDEX(INDIRECT(VLOOKUP("range." &amp; Graphs!$B$1 &amp;"."&amp; Graphs!$B$2, names!$A:$B,2,0)), 0, VLOOKUP("col."&amp; Graphs!$B$1 &amp;".B."&amp; Graphs!$D$8, names!$A:$B,2,0))</definedName>
    <definedName name="graph_e_y_title" localSheetId="1">OFFSET(Graphs!all_cols, MATCH(Graphs!$D$8, Graphs!all_cols, 0)-1,1,1,1)</definedName>
    <definedName name="graph_f_A_title" localSheetId="1">INDIRECT(VLOOKUP("name.A."&amp;Graphs!$B$1,names!$A:$B,2,0))</definedName>
    <definedName name="graph_f_B_title" localSheetId="1">INDIRECT(VLOOKUP("name.B."&amp;Graphs!$B$1,names!$A:$B,2,0))</definedName>
    <definedName name="graph_f_title" localSheetId="1">CONCATENATE(Graphs!graph_f_y_title, " (Graph f)")</definedName>
    <definedName name="graph_f_x_range_A" localSheetId="1">IF(ISREF(Graphs!graph_f_x_range_A_),Graphs!graph_f_x_range_A_,{0})</definedName>
    <definedName name="graph_f_x_range_A_" localSheetId="1">INDEX(INDIRECT(VLOOKUP("range." &amp; Graphs!$B$1 &amp;"."&amp; Graphs!$B$2, names!$A:$B,2,0)), 0, VLOOKUP("col."&amp; Graphs!$B$1 &amp;".A."&amp; Graphs!$B$9, names!$A:$B,2,0))</definedName>
    <definedName name="graph_f_x_range_B" localSheetId="1">IF(ISREF(Graphs!graph_f_x_range_B_),Graphs!graph_f_x_range_B_,{0})</definedName>
    <definedName name="graph_f_x_range_B_" localSheetId="1">INDEX(INDIRECT(VLOOKUP("range." &amp; Graphs!$B$1 &amp;"."&amp; Graphs!$B$2, names!$A:$B,2,0)), 0, VLOOKUP("col."&amp; Graphs!$B$1 &amp;".B."&amp; Graphs!$B$9, names!$A:$B,2,0))</definedName>
    <definedName name="graph_f_x_title" localSheetId="1">OFFSET(Graphs!all_cols, MATCH(Graphs!$B$9, Graphs!all_cols, 0)-1,1,1,1)</definedName>
    <definedName name="graph_f_y_range_A" localSheetId="1">IF(ISREF(Graphs!graph_f_y_range_A_),Graphs!graph_f_y_range_A_,{0})</definedName>
    <definedName name="graph_f_y_range_A_" localSheetId="1">INDEX(INDIRECT(VLOOKUP("range." &amp; Graphs!$B$1 &amp;"."&amp; Graphs!$B$2, names!$A:$B,2,0)), 0, VLOOKUP("col."&amp; Graphs!$B$1 &amp;".A."&amp; Graphs!$D$9, names!$A:$B,2,0))</definedName>
    <definedName name="graph_f_y_range_B" localSheetId="1">IF(ISREF(Graphs!graph_f_y_range_B_),Graphs!graph_f_y_range_B_,{0})</definedName>
    <definedName name="graph_f_y_range_B_" localSheetId="1">INDEX(INDIRECT(VLOOKUP("range." &amp; Graphs!$B$1 &amp;"."&amp; Graphs!$B$2, names!$A:$B,2,0)), 0, VLOOKUP("col."&amp; Graphs!$B$1 &amp;".B."&amp; Graphs!$D$9, names!$A:$B,2,0))</definedName>
    <definedName name="graph_f_y_title" localSheetId="1">OFFSET(Graphs!all_cols, MATCH(Graphs!$D$9, Graphs!all_cols, 0)-1,1,1,1)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C46" i="7" l="1"/>
  <c r="BB46" i="7"/>
  <c r="BA46" i="7"/>
  <c r="AZ46" i="7"/>
  <c r="AE46" i="7"/>
  <c r="AD46" i="7"/>
  <c r="AC46" i="7"/>
  <c r="AB46" i="7"/>
  <c r="BC44" i="7"/>
  <c r="BC45" i="7" s="1"/>
  <c r="BB44" i="7"/>
  <c r="BA44" i="7"/>
  <c r="BA45" i="7" s="1"/>
  <c r="AZ44" i="7"/>
  <c r="AE44" i="7"/>
  <c r="AD44" i="7"/>
  <c r="AC44" i="7"/>
  <c r="AB44" i="7"/>
  <c r="BF39" i="7"/>
  <c r="AL39" i="7"/>
  <c r="BG39" i="7" s="1"/>
  <c r="AK39" i="7"/>
  <c r="AJ39" i="7"/>
  <c r="AI39" i="7"/>
  <c r="AH39" i="7"/>
  <c r="AG39" i="7"/>
  <c r="N39" i="7"/>
  <c r="K39" i="7" s="1"/>
  <c r="M39" i="7"/>
  <c r="L39" i="7"/>
  <c r="J39" i="7"/>
  <c r="I39" i="7"/>
  <c r="BF38" i="7"/>
  <c r="AL38" i="7"/>
  <c r="AK38" i="7"/>
  <c r="AJ38" i="7"/>
  <c r="AH38" i="7"/>
  <c r="AG38" i="7"/>
  <c r="N38" i="7"/>
  <c r="K38" i="7" s="1"/>
  <c r="M38" i="7"/>
  <c r="L38" i="7"/>
  <c r="J38" i="7"/>
  <c r="I38" i="7"/>
  <c r="BF37" i="7"/>
  <c r="AL37" i="7"/>
  <c r="BG37" i="7" s="1"/>
  <c r="AK37" i="7"/>
  <c r="AJ37" i="7"/>
  <c r="AI37" i="7"/>
  <c r="AH37" i="7"/>
  <c r="AG37" i="7"/>
  <c r="N37" i="7"/>
  <c r="M37" i="7"/>
  <c r="L37" i="7"/>
  <c r="K37" i="7"/>
  <c r="J37" i="7"/>
  <c r="I37" i="7"/>
  <c r="BF36" i="7"/>
  <c r="AL36" i="7"/>
  <c r="AI36" i="7" s="1"/>
  <c r="AK36" i="7"/>
  <c r="AJ36" i="7"/>
  <c r="AH36" i="7"/>
  <c r="AG36" i="7"/>
  <c r="N36" i="7"/>
  <c r="K36" i="7" s="1"/>
  <c r="M36" i="7"/>
  <c r="L36" i="7"/>
  <c r="J36" i="7"/>
  <c r="I36" i="7"/>
  <c r="BF35" i="7"/>
  <c r="AL35" i="7"/>
  <c r="AK35" i="7"/>
  <c r="AJ35" i="7"/>
  <c r="AI35" i="7"/>
  <c r="AH35" i="7"/>
  <c r="AG35" i="7"/>
  <c r="N35" i="7"/>
  <c r="BG35" i="7" s="1"/>
  <c r="M35" i="7"/>
  <c r="L35" i="7"/>
  <c r="J35" i="7"/>
  <c r="I35" i="7"/>
  <c r="BF34" i="7"/>
  <c r="AL34" i="7"/>
  <c r="AK34" i="7"/>
  <c r="AJ34" i="7"/>
  <c r="AH34" i="7"/>
  <c r="AG34" i="7"/>
  <c r="N34" i="7"/>
  <c r="K34" i="7" s="1"/>
  <c r="M34" i="7"/>
  <c r="L34" i="7"/>
  <c r="J34" i="7"/>
  <c r="I34" i="7"/>
  <c r="BF33" i="7"/>
  <c r="AL33" i="7"/>
  <c r="AK33" i="7"/>
  <c r="AJ33" i="7"/>
  <c r="AI33" i="7"/>
  <c r="AH33" i="7"/>
  <c r="AG33" i="7"/>
  <c r="N33" i="7"/>
  <c r="M33" i="7"/>
  <c r="L33" i="7"/>
  <c r="J33" i="7"/>
  <c r="I33" i="7"/>
  <c r="BF32" i="7"/>
  <c r="AL32" i="7"/>
  <c r="BG32" i="7" s="1"/>
  <c r="AK32" i="7"/>
  <c r="AJ32" i="7"/>
  <c r="AI32" i="7"/>
  <c r="AH32" i="7"/>
  <c r="AG32" i="7"/>
  <c r="N32" i="7"/>
  <c r="K32" i="7" s="1"/>
  <c r="M32" i="7"/>
  <c r="L32" i="7"/>
  <c r="J32" i="7"/>
  <c r="I32" i="7"/>
  <c r="BF31" i="7"/>
  <c r="AL31" i="7"/>
  <c r="BG31" i="7" s="1"/>
  <c r="AK31" i="7"/>
  <c r="AJ31" i="7"/>
  <c r="AH31" i="7"/>
  <c r="AG31" i="7"/>
  <c r="N31" i="7"/>
  <c r="K31" i="7" s="1"/>
  <c r="M31" i="7"/>
  <c r="L31" i="7"/>
  <c r="J31" i="7"/>
  <c r="I31" i="7"/>
  <c r="BF30" i="7"/>
  <c r="AL30" i="7"/>
  <c r="AK30" i="7"/>
  <c r="AJ30" i="7"/>
  <c r="AH30" i="7"/>
  <c r="AG30" i="7"/>
  <c r="N30" i="7"/>
  <c r="K30" i="7" s="1"/>
  <c r="M30" i="7"/>
  <c r="L30" i="7"/>
  <c r="J30" i="7"/>
  <c r="I30" i="7"/>
  <c r="BF29" i="7"/>
  <c r="AL29" i="7"/>
  <c r="BG29" i="7" s="1"/>
  <c r="AK29" i="7"/>
  <c r="AJ29" i="7"/>
  <c r="AH29" i="7"/>
  <c r="AG29" i="7"/>
  <c r="N29" i="7"/>
  <c r="M29" i="7"/>
  <c r="L29" i="7"/>
  <c r="K29" i="7"/>
  <c r="J29" i="7"/>
  <c r="I29" i="7"/>
  <c r="BF28" i="7"/>
  <c r="AL28" i="7"/>
  <c r="BG28" i="7" s="1"/>
  <c r="AK28" i="7"/>
  <c r="AJ28" i="7"/>
  <c r="AI28" i="7"/>
  <c r="AH28" i="7"/>
  <c r="AG28" i="7"/>
  <c r="N28" i="7"/>
  <c r="K28" i="7" s="1"/>
  <c r="M28" i="7"/>
  <c r="L28" i="7"/>
  <c r="J28" i="7"/>
  <c r="I28" i="7"/>
  <c r="BF27" i="7"/>
  <c r="AL27" i="7"/>
  <c r="BG27" i="7" s="1"/>
  <c r="AK27" i="7"/>
  <c r="AJ27" i="7"/>
  <c r="AI27" i="7"/>
  <c r="AH27" i="7"/>
  <c r="AG27" i="7"/>
  <c r="N27" i="7"/>
  <c r="K27" i="7" s="1"/>
  <c r="M27" i="7"/>
  <c r="L27" i="7"/>
  <c r="J27" i="7"/>
  <c r="I27" i="7"/>
  <c r="BF26" i="7"/>
  <c r="AL26" i="7"/>
  <c r="AK26" i="7"/>
  <c r="AJ26" i="7"/>
  <c r="AH26" i="7"/>
  <c r="AG26" i="7"/>
  <c r="N26" i="7"/>
  <c r="K26" i="7" s="1"/>
  <c r="M26" i="7"/>
  <c r="L26" i="7"/>
  <c r="J26" i="7"/>
  <c r="I26" i="7"/>
  <c r="BF25" i="7"/>
  <c r="AL25" i="7"/>
  <c r="BG25" i="7" s="1"/>
  <c r="AK25" i="7"/>
  <c r="AK41" i="7" s="1"/>
  <c r="AJ25" i="7"/>
  <c r="AI25" i="7"/>
  <c r="AH25" i="7"/>
  <c r="AG25" i="7"/>
  <c r="N25" i="7"/>
  <c r="M25" i="7"/>
  <c r="L25" i="7"/>
  <c r="K25" i="7"/>
  <c r="J25" i="7"/>
  <c r="J41" i="7" s="1"/>
  <c r="I25" i="7"/>
  <c r="BF24" i="7"/>
  <c r="AL24" i="7"/>
  <c r="BG24" i="7" s="1"/>
  <c r="AK24" i="7"/>
  <c r="AJ24" i="7"/>
  <c r="AI24" i="7"/>
  <c r="BE24" i="7" s="1"/>
  <c r="AH24" i="7"/>
  <c r="AG24" i="7"/>
  <c r="N24" i="7"/>
  <c r="K24" i="7" s="1"/>
  <c r="M24" i="7"/>
  <c r="L24" i="7"/>
  <c r="J24" i="7"/>
  <c r="I24" i="7"/>
  <c r="BF23" i="7"/>
  <c r="AL23" i="7"/>
  <c r="BG23" i="7" s="1"/>
  <c r="AK23" i="7"/>
  <c r="AJ23" i="7"/>
  <c r="AI23" i="7"/>
  <c r="AH23" i="7"/>
  <c r="AG23" i="7"/>
  <c r="N23" i="7"/>
  <c r="M23" i="7"/>
  <c r="L23" i="7"/>
  <c r="K23" i="7"/>
  <c r="J23" i="7"/>
  <c r="I23" i="7"/>
  <c r="BF22" i="7"/>
  <c r="AL22" i="7"/>
  <c r="AK22" i="7"/>
  <c r="AJ22" i="7"/>
  <c r="AH22" i="7"/>
  <c r="AG22" i="7"/>
  <c r="N22" i="7"/>
  <c r="M22" i="7"/>
  <c r="L22" i="7"/>
  <c r="K22" i="7"/>
  <c r="J22" i="7"/>
  <c r="I22" i="7"/>
  <c r="BF21" i="7"/>
  <c r="AL21" i="7"/>
  <c r="AI21" i="7" s="1"/>
  <c r="AK21" i="7"/>
  <c r="AJ21" i="7"/>
  <c r="AH21" i="7"/>
  <c r="AG21" i="7"/>
  <c r="N21" i="7"/>
  <c r="K21" i="7" s="1"/>
  <c r="M21" i="7"/>
  <c r="L21" i="7"/>
  <c r="J21" i="7"/>
  <c r="I21" i="7"/>
  <c r="BF20" i="7"/>
  <c r="AL20" i="7"/>
  <c r="BH20" i="7" s="1" a="1"/>
  <c r="AK20" i="7"/>
  <c r="AJ20" i="7"/>
  <c r="AH20" i="7"/>
  <c r="AG20" i="7"/>
  <c r="N20" i="7"/>
  <c r="M20" i="7"/>
  <c r="L20" i="7"/>
  <c r="J20" i="7"/>
  <c r="I20" i="7"/>
  <c r="BF19" i="7"/>
  <c r="AL19" i="7"/>
  <c r="BG19" i="7" s="1"/>
  <c r="AK19" i="7"/>
  <c r="AJ19" i="7"/>
  <c r="AH19" i="7"/>
  <c r="AG19" i="7"/>
  <c r="N19" i="7"/>
  <c r="K19" i="7" s="1"/>
  <c r="M19" i="7"/>
  <c r="L19" i="7"/>
  <c r="J19" i="7"/>
  <c r="I19" i="7"/>
  <c r="BF18" i="7"/>
  <c r="AL18" i="7"/>
  <c r="AK18" i="7"/>
  <c r="AJ18" i="7"/>
  <c r="AH18" i="7"/>
  <c r="AG18" i="7"/>
  <c r="N18" i="7"/>
  <c r="K18" i="7" s="1"/>
  <c r="M18" i="7"/>
  <c r="L18" i="7"/>
  <c r="J18" i="7"/>
  <c r="I18" i="7"/>
  <c r="BG17" i="7"/>
  <c r="BF17" i="7"/>
  <c r="AL17" i="7"/>
  <c r="AI17" i="7" s="1"/>
  <c r="AK17" i="7"/>
  <c r="AJ17" i="7"/>
  <c r="AH17" i="7"/>
  <c r="AG17" i="7"/>
  <c r="N17" i="7"/>
  <c r="M17" i="7"/>
  <c r="L17" i="7"/>
  <c r="K17" i="7"/>
  <c r="J17" i="7"/>
  <c r="I17" i="7"/>
  <c r="BF16" i="7"/>
  <c r="AL16" i="7"/>
  <c r="AI16" i="7" s="1"/>
  <c r="BE16" i="7" s="1"/>
  <c r="AK16" i="7"/>
  <c r="AJ16" i="7"/>
  <c r="AH16" i="7"/>
  <c r="AG16" i="7"/>
  <c r="N16" i="7"/>
  <c r="K16" i="7" s="1"/>
  <c r="M16" i="7"/>
  <c r="L16" i="7"/>
  <c r="J16" i="7"/>
  <c r="I16" i="7"/>
  <c r="BF15" i="7"/>
  <c r="AL15" i="7"/>
  <c r="AI15" i="7" s="1"/>
  <c r="AK15" i="7"/>
  <c r="AJ15" i="7"/>
  <c r="AH15" i="7"/>
  <c r="AG15" i="7"/>
  <c r="N15" i="7"/>
  <c r="M15" i="7"/>
  <c r="L15" i="7"/>
  <c r="K15" i="7"/>
  <c r="J15" i="7"/>
  <c r="I15" i="7"/>
  <c r="BF14" i="7"/>
  <c r="AL14" i="7"/>
  <c r="AK14" i="7"/>
  <c r="AJ14" i="7"/>
  <c r="AH14" i="7"/>
  <c r="AG14" i="7"/>
  <c r="N14" i="7"/>
  <c r="M14" i="7"/>
  <c r="L14" i="7"/>
  <c r="K14" i="7"/>
  <c r="J14" i="7"/>
  <c r="I14" i="7"/>
  <c r="BG13" i="7"/>
  <c r="BF13" i="7"/>
  <c r="AL13" i="7"/>
  <c r="AK13" i="7"/>
  <c r="AJ13" i="7"/>
  <c r="AI13" i="7"/>
  <c r="AH13" i="7"/>
  <c r="AG13" i="7"/>
  <c r="N13" i="7"/>
  <c r="K13" i="7" s="1"/>
  <c r="M13" i="7"/>
  <c r="L13" i="7"/>
  <c r="J13" i="7"/>
  <c r="I13" i="7"/>
  <c r="BF12" i="7"/>
  <c r="AL12" i="7"/>
  <c r="AK12" i="7"/>
  <c r="AJ12" i="7"/>
  <c r="AI12" i="7"/>
  <c r="AH12" i="7"/>
  <c r="AG12" i="7"/>
  <c r="N12" i="7"/>
  <c r="K12" i="7" s="1"/>
  <c r="M12" i="7"/>
  <c r="L12" i="7"/>
  <c r="J12" i="7"/>
  <c r="I12" i="7"/>
  <c r="BF11" i="7"/>
  <c r="AL11" i="7"/>
  <c r="AK11" i="7"/>
  <c r="AJ11" i="7"/>
  <c r="AI11" i="7"/>
  <c r="AH11" i="7"/>
  <c r="AG11" i="7"/>
  <c r="N11" i="7"/>
  <c r="K11" i="7" s="1"/>
  <c r="M11" i="7"/>
  <c r="L11" i="7"/>
  <c r="J11" i="7"/>
  <c r="I11" i="7"/>
  <c r="BF10" i="7"/>
  <c r="AL10" i="7"/>
  <c r="AK10" i="7"/>
  <c r="AJ10" i="7"/>
  <c r="AH10" i="7"/>
  <c r="AG10" i="7"/>
  <c r="N10" i="7"/>
  <c r="K10" i="7" s="1"/>
  <c r="M10" i="7"/>
  <c r="L10" i="7"/>
  <c r="J10" i="7"/>
  <c r="I10" i="7"/>
  <c r="BF9" i="7"/>
  <c r="AL9" i="7"/>
  <c r="AI9" i="7" s="1"/>
  <c r="AK9" i="7"/>
  <c r="AJ9" i="7"/>
  <c r="AH9" i="7"/>
  <c r="AG9" i="7"/>
  <c r="N9" i="7"/>
  <c r="M9" i="7"/>
  <c r="L9" i="7"/>
  <c r="K9" i="7"/>
  <c r="J9" i="7"/>
  <c r="I9" i="7"/>
  <c r="BF8" i="7"/>
  <c r="AL8" i="7"/>
  <c r="AK8" i="7"/>
  <c r="AJ8" i="7"/>
  <c r="AI8" i="7"/>
  <c r="BE8" i="7" s="1"/>
  <c r="AH8" i="7"/>
  <c r="AG8" i="7"/>
  <c r="N8" i="7"/>
  <c r="K8" i="7" s="1"/>
  <c r="M8" i="7"/>
  <c r="L8" i="7"/>
  <c r="J8" i="7"/>
  <c r="I8" i="7"/>
  <c r="BF7" i="7"/>
  <c r="AL7" i="7"/>
  <c r="AK7" i="7"/>
  <c r="AJ7" i="7"/>
  <c r="AI7" i="7"/>
  <c r="AH7" i="7"/>
  <c r="AG7" i="7"/>
  <c r="N7" i="7"/>
  <c r="K7" i="7" s="1"/>
  <c r="M7" i="7"/>
  <c r="L7" i="7"/>
  <c r="J7" i="7"/>
  <c r="I7" i="7"/>
  <c r="BF6" i="7"/>
  <c r="AL6" i="7"/>
  <c r="AK6" i="7"/>
  <c r="AJ6" i="7"/>
  <c r="AH6" i="7"/>
  <c r="AG6" i="7"/>
  <c r="N6" i="7"/>
  <c r="K6" i="7" s="1"/>
  <c r="M6" i="7"/>
  <c r="M40" i="7" s="1"/>
  <c r="L6" i="7"/>
  <c r="J6" i="7"/>
  <c r="I6" i="7"/>
  <c r="BF5" i="7"/>
  <c r="AL5" i="7"/>
  <c r="AI5" i="7" s="1"/>
  <c r="AK5" i="7"/>
  <c r="AJ5" i="7"/>
  <c r="AH5" i="7"/>
  <c r="AG5" i="7"/>
  <c r="N5" i="7"/>
  <c r="K5" i="7" s="1"/>
  <c r="M5" i="7"/>
  <c r="L5" i="7"/>
  <c r="J5" i="7"/>
  <c r="I5" i="7"/>
  <c r="AG1" i="7"/>
  <c r="I1" i="7"/>
  <c r="AX19" i="6"/>
  <c r="AZ18" i="6"/>
  <c r="AZ19" i="6" s="1"/>
  <c r="AY18" i="6"/>
  <c r="AX18" i="6"/>
  <c r="AW18" i="6"/>
  <c r="AW19" i="6" s="1"/>
  <c r="AC18" i="6"/>
  <c r="AB18" i="6"/>
  <c r="AA18" i="6"/>
  <c r="Z18" i="6"/>
  <c r="AZ16" i="6"/>
  <c r="AY16" i="6"/>
  <c r="AX16" i="6"/>
  <c r="AW16" i="6"/>
  <c r="AW17" i="6" s="1"/>
  <c r="AC16" i="6"/>
  <c r="AB16" i="6"/>
  <c r="AY17" i="6" s="1"/>
  <c r="AA16" i="6"/>
  <c r="Z16" i="6"/>
  <c r="BG11" i="6" a="1"/>
  <c r="AK11" i="6"/>
  <c r="AH11" i="6" s="1"/>
  <c r="AJ11" i="6"/>
  <c r="AI11" i="6"/>
  <c r="AG11" i="6"/>
  <c r="AF11" i="6"/>
  <c r="AE11" i="6"/>
  <c r="N11" i="6"/>
  <c r="K11" i="6" s="1"/>
  <c r="BC11" i="6" s="1"/>
  <c r="M11" i="6"/>
  <c r="L11" i="6"/>
  <c r="J11" i="6"/>
  <c r="I11" i="6"/>
  <c r="H11" i="6"/>
  <c r="BG10" i="6" a="1"/>
  <c r="AK10" i="6"/>
  <c r="AH10" i="6" s="1"/>
  <c r="AJ10" i="6"/>
  <c r="AI10" i="6"/>
  <c r="AG10" i="6"/>
  <c r="AG14" i="6" s="1"/>
  <c r="AF10" i="6"/>
  <c r="AE10" i="6"/>
  <c r="N10" i="6"/>
  <c r="K10" i="6" s="1"/>
  <c r="M10" i="6"/>
  <c r="L10" i="6"/>
  <c r="J10" i="6"/>
  <c r="I10" i="6"/>
  <c r="H10" i="6"/>
  <c r="AK9" i="6"/>
  <c r="BG9" i="6" s="1" a="1"/>
  <c r="AJ9" i="6"/>
  <c r="AJ13" i="6" s="1"/>
  <c r="AI9" i="6"/>
  <c r="AH9" i="6"/>
  <c r="AH13" i="6" s="1"/>
  <c r="AG9" i="6"/>
  <c r="AG13" i="6" s="1"/>
  <c r="AF9" i="6"/>
  <c r="AE9" i="6"/>
  <c r="N9" i="6"/>
  <c r="BF9" i="6" s="1"/>
  <c r="M9" i="6"/>
  <c r="L9" i="6"/>
  <c r="L13" i="6" s="1"/>
  <c r="J9" i="6"/>
  <c r="J13" i="6" s="1"/>
  <c r="I9" i="6"/>
  <c r="H9" i="6"/>
  <c r="BG8" i="6" a="1"/>
  <c r="AK8" i="6"/>
  <c r="AH8" i="6" s="1"/>
  <c r="AJ8" i="6"/>
  <c r="AI8" i="6"/>
  <c r="AG8" i="6"/>
  <c r="AF8" i="6"/>
  <c r="AE8" i="6"/>
  <c r="N8" i="6"/>
  <c r="K8" i="6" s="1"/>
  <c r="M8" i="6"/>
  <c r="L8" i="6"/>
  <c r="J8" i="6"/>
  <c r="BB8" i="6" s="1"/>
  <c r="I8" i="6"/>
  <c r="H8" i="6"/>
  <c r="BG7" i="6" a="1"/>
  <c r="AK7" i="6"/>
  <c r="AH7" i="6" s="1"/>
  <c r="AJ7" i="6"/>
  <c r="AI7" i="6"/>
  <c r="BD7" i="6" s="1"/>
  <c r="AG7" i="6"/>
  <c r="BB7" i="6" s="1"/>
  <c r="AF7" i="6"/>
  <c r="AE7" i="6"/>
  <c r="N7" i="6"/>
  <c r="K7" i="6" s="1"/>
  <c r="M7" i="6"/>
  <c r="BE7" i="6" s="1"/>
  <c r="L7" i="6"/>
  <c r="J7" i="6"/>
  <c r="I7" i="6"/>
  <c r="H7" i="6"/>
  <c r="BG6" i="6" a="1"/>
  <c r="AK6" i="6"/>
  <c r="BF6" i="6" s="1"/>
  <c r="AJ6" i="6"/>
  <c r="AI6" i="6"/>
  <c r="AG6" i="6"/>
  <c r="BB6" i="6" s="1"/>
  <c r="AF6" i="6"/>
  <c r="AE6" i="6"/>
  <c r="N6" i="6"/>
  <c r="K6" i="6" s="1"/>
  <c r="M6" i="6"/>
  <c r="L6" i="6"/>
  <c r="J6" i="6"/>
  <c r="I6" i="6"/>
  <c r="H6" i="6"/>
  <c r="AK5" i="6"/>
  <c r="BG5" i="6" s="1" a="1"/>
  <c r="BG5" i="6" s="1"/>
  <c r="AJ5" i="6"/>
  <c r="AI5" i="6"/>
  <c r="AG5" i="6"/>
  <c r="AF5" i="6"/>
  <c r="AE5" i="6"/>
  <c r="N5" i="6"/>
  <c r="BF5" i="6" s="1"/>
  <c r="M5" i="6"/>
  <c r="L5" i="6"/>
  <c r="J5" i="6"/>
  <c r="I5" i="6"/>
  <c r="H5" i="6"/>
  <c r="AE1" i="6"/>
  <c r="H1" i="6"/>
  <c r="AZ19" i="5"/>
  <c r="AZ18" i="5"/>
  <c r="AY18" i="5"/>
  <c r="AX18" i="5"/>
  <c r="AW18" i="5"/>
  <c r="AW19" i="5" s="1"/>
  <c r="AC18" i="5"/>
  <c r="AB18" i="5"/>
  <c r="AA18" i="5"/>
  <c r="Z18" i="5"/>
  <c r="AZ16" i="5"/>
  <c r="AY16" i="5"/>
  <c r="AX16" i="5"/>
  <c r="AW16" i="5"/>
  <c r="AC16" i="5"/>
  <c r="AB16" i="5"/>
  <c r="AA16" i="5"/>
  <c r="AX17" i="5" s="1"/>
  <c r="Z16" i="5"/>
  <c r="AK11" i="5"/>
  <c r="BG11" i="5" s="1" a="1"/>
  <c r="AJ11" i="5"/>
  <c r="AI11" i="5"/>
  <c r="AH11" i="5"/>
  <c r="AG11" i="5"/>
  <c r="BB11" i="5" s="1"/>
  <c r="AF11" i="5"/>
  <c r="AE11" i="5"/>
  <c r="N11" i="5"/>
  <c r="K11" i="5" s="1"/>
  <c r="M11" i="5"/>
  <c r="L11" i="5"/>
  <c r="J11" i="5"/>
  <c r="I11" i="5"/>
  <c r="H11" i="5"/>
  <c r="AK10" i="5"/>
  <c r="BG10" i="5" s="1" a="1"/>
  <c r="AJ10" i="5"/>
  <c r="AI10" i="5"/>
  <c r="BD10" i="5" s="1"/>
  <c r="AG10" i="5"/>
  <c r="AG14" i="5" s="1"/>
  <c r="AF10" i="5"/>
  <c r="AE10" i="5"/>
  <c r="N10" i="5"/>
  <c r="M10" i="5"/>
  <c r="BE10" i="5" s="1"/>
  <c r="L10" i="5"/>
  <c r="J10" i="5"/>
  <c r="I10" i="5"/>
  <c r="H10" i="5"/>
  <c r="AK9" i="5"/>
  <c r="AH9" i="5" s="1"/>
  <c r="AH13" i="5" s="1"/>
  <c r="AJ9" i="5"/>
  <c r="AJ13" i="5" s="1"/>
  <c r="AI9" i="5"/>
  <c r="AI13" i="5" s="1"/>
  <c r="AG9" i="5"/>
  <c r="AG13" i="5" s="1"/>
  <c r="AF9" i="5"/>
  <c r="AE9" i="5"/>
  <c r="N9" i="5"/>
  <c r="BG9" i="5" s="1" a="1"/>
  <c r="BG9" i="5" s="1"/>
  <c r="BG13" i="5" s="1"/>
  <c r="M9" i="5"/>
  <c r="M13" i="5" s="1"/>
  <c r="L9" i="5"/>
  <c r="L13" i="5" s="1"/>
  <c r="J9" i="5"/>
  <c r="I9" i="5"/>
  <c r="H9" i="5"/>
  <c r="AK8" i="5"/>
  <c r="BG8" i="5" s="1" a="1"/>
  <c r="BG8" i="5" s="1"/>
  <c r="AJ8" i="5"/>
  <c r="AI8" i="5"/>
  <c r="AG8" i="5"/>
  <c r="AF8" i="5"/>
  <c r="AE8" i="5"/>
  <c r="N8" i="5"/>
  <c r="K8" i="5" s="1"/>
  <c r="M8" i="5"/>
  <c r="L8" i="5"/>
  <c r="J8" i="5"/>
  <c r="I8" i="5"/>
  <c r="H8" i="5"/>
  <c r="AK7" i="5"/>
  <c r="BG7" i="5" s="1" a="1"/>
  <c r="BG7" i="5" s="1"/>
  <c r="AJ7" i="5"/>
  <c r="AJ15" i="5" s="1"/>
  <c r="AI7" i="5"/>
  <c r="AH7" i="5"/>
  <c r="AG7" i="5"/>
  <c r="AF7" i="5"/>
  <c r="AE7" i="5"/>
  <c r="N7" i="5"/>
  <c r="K7" i="5" s="1"/>
  <c r="M7" i="5"/>
  <c r="L7" i="5"/>
  <c r="J7" i="5"/>
  <c r="I7" i="5"/>
  <c r="H7" i="5"/>
  <c r="AK6" i="5"/>
  <c r="AH6" i="5" s="1"/>
  <c r="AJ6" i="5"/>
  <c r="AI6" i="5"/>
  <c r="AG6" i="5"/>
  <c r="AF6" i="5"/>
  <c r="AE6" i="5"/>
  <c r="N6" i="5"/>
  <c r="K6" i="5" s="1"/>
  <c r="M6" i="5"/>
  <c r="L6" i="5"/>
  <c r="J6" i="5"/>
  <c r="I6" i="5"/>
  <c r="H6" i="5"/>
  <c r="AK5" i="5"/>
  <c r="AH5" i="5" s="1"/>
  <c r="AJ5" i="5"/>
  <c r="AI5" i="5"/>
  <c r="AG5" i="5"/>
  <c r="AF5" i="5"/>
  <c r="AE5" i="5"/>
  <c r="N5" i="5"/>
  <c r="BG5" i="5" s="1" a="1"/>
  <c r="M5" i="5"/>
  <c r="L5" i="5"/>
  <c r="L12" i="5" s="1"/>
  <c r="J5" i="5"/>
  <c r="I5" i="5"/>
  <c r="H5" i="5"/>
  <c r="AE1" i="5"/>
  <c r="H1" i="5"/>
  <c r="BC46" i="3"/>
  <c r="BB46" i="3"/>
  <c r="BA46" i="3"/>
  <c r="AZ46" i="3"/>
  <c r="AE46" i="3"/>
  <c r="BC47" i="3" s="1"/>
  <c r="AD46" i="3"/>
  <c r="BB47" i="3" s="1"/>
  <c r="C14" i="1" s="1"/>
  <c r="AC46" i="3"/>
  <c r="AB46" i="3"/>
  <c r="BC44" i="3"/>
  <c r="BB44" i="3"/>
  <c r="BB45" i="3" s="1"/>
  <c r="BA44" i="3"/>
  <c r="AZ44" i="3"/>
  <c r="AE44" i="3"/>
  <c r="BC45" i="3" s="1"/>
  <c r="AD44" i="3"/>
  <c r="AC44" i="3"/>
  <c r="BA45" i="3" s="1"/>
  <c r="AB44" i="3"/>
  <c r="BF39" i="3"/>
  <c r="AL39" i="3"/>
  <c r="BG39" i="3" s="1"/>
  <c r="AK39" i="3"/>
  <c r="AJ39" i="3"/>
  <c r="AI39" i="3"/>
  <c r="AH39" i="3"/>
  <c r="AG39" i="3"/>
  <c r="N39" i="3"/>
  <c r="M39" i="3"/>
  <c r="L39" i="3"/>
  <c r="K39" i="3"/>
  <c r="BE39" i="3" s="1"/>
  <c r="J39" i="3"/>
  <c r="I39" i="3"/>
  <c r="BF38" i="3"/>
  <c r="AL38" i="3"/>
  <c r="AK38" i="3"/>
  <c r="AJ38" i="3"/>
  <c r="AH38" i="3"/>
  <c r="AG38" i="3"/>
  <c r="N38" i="3"/>
  <c r="K38" i="3" s="1"/>
  <c r="M38" i="3"/>
  <c r="L38" i="3"/>
  <c r="J38" i="3"/>
  <c r="I38" i="3"/>
  <c r="BF37" i="3"/>
  <c r="AL37" i="3"/>
  <c r="AI37" i="3" s="1"/>
  <c r="AK37" i="3"/>
  <c r="AJ37" i="3"/>
  <c r="AH37" i="3"/>
  <c r="AG37" i="3"/>
  <c r="N37" i="3"/>
  <c r="BG37" i="3" s="1"/>
  <c r="M37" i="3"/>
  <c r="L37" i="3"/>
  <c r="K37" i="3"/>
  <c r="J37" i="3"/>
  <c r="I37" i="3"/>
  <c r="BF36" i="3"/>
  <c r="AL36" i="3"/>
  <c r="AI36" i="3" s="1"/>
  <c r="AK36" i="3"/>
  <c r="AJ36" i="3"/>
  <c r="AH36" i="3"/>
  <c r="AG36" i="3"/>
  <c r="N36" i="3"/>
  <c r="K36" i="3" s="1"/>
  <c r="BE36" i="3" s="1"/>
  <c r="M36" i="3"/>
  <c r="L36" i="3"/>
  <c r="J36" i="3"/>
  <c r="I36" i="3"/>
  <c r="BF35" i="3"/>
  <c r="AL35" i="3"/>
  <c r="BG35" i="3" s="1"/>
  <c r="AK35" i="3"/>
  <c r="AJ35" i="3"/>
  <c r="AH35" i="3"/>
  <c r="AG35" i="3"/>
  <c r="N35" i="3"/>
  <c r="M35" i="3"/>
  <c r="L35" i="3"/>
  <c r="K35" i="3"/>
  <c r="J35" i="3"/>
  <c r="I35" i="3"/>
  <c r="BF34" i="3"/>
  <c r="AL34" i="3"/>
  <c r="AI34" i="3" s="1"/>
  <c r="AK34" i="3"/>
  <c r="AJ34" i="3"/>
  <c r="AH34" i="3"/>
  <c r="AG34" i="3"/>
  <c r="N34" i="3"/>
  <c r="M34" i="3"/>
  <c r="L34" i="3"/>
  <c r="K34" i="3"/>
  <c r="J34" i="3"/>
  <c r="I34" i="3"/>
  <c r="BF33" i="3"/>
  <c r="AL33" i="3"/>
  <c r="AI33" i="3" s="1"/>
  <c r="AK33" i="3"/>
  <c r="AJ33" i="3"/>
  <c r="AH33" i="3"/>
  <c r="AG33" i="3"/>
  <c r="N33" i="3"/>
  <c r="M33" i="3"/>
  <c r="L33" i="3"/>
  <c r="K33" i="3"/>
  <c r="J33" i="3"/>
  <c r="I33" i="3"/>
  <c r="BF32" i="3"/>
  <c r="AL32" i="3"/>
  <c r="AI32" i="3" s="1"/>
  <c r="AK32" i="3"/>
  <c r="AJ32" i="3"/>
  <c r="AH32" i="3"/>
  <c r="AG32" i="3"/>
  <c r="N32" i="3"/>
  <c r="K32" i="3" s="1"/>
  <c r="M32" i="3"/>
  <c r="L32" i="3"/>
  <c r="J32" i="3"/>
  <c r="I32" i="3"/>
  <c r="BF31" i="3"/>
  <c r="AL31" i="3"/>
  <c r="AI31" i="3" s="1"/>
  <c r="AK31" i="3"/>
  <c r="AJ31" i="3"/>
  <c r="AH31" i="3"/>
  <c r="AG31" i="3"/>
  <c r="N31" i="3"/>
  <c r="K31" i="3" s="1"/>
  <c r="M31" i="3"/>
  <c r="L31" i="3"/>
  <c r="J31" i="3"/>
  <c r="I31" i="3"/>
  <c r="BF30" i="3"/>
  <c r="AL30" i="3"/>
  <c r="AI30" i="3" s="1"/>
  <c r="AK30" i="3"/>
  <c r="AK42" i="3" s="1"/>
  <c r="AJ30" i="3"/>
  <c r="AJ42" i="3" s="1"/>
  <c r="AH30" i="3"/>
  <c r="AG30" i="3"/>
  <c r="N30" i="3"/>
  <c r="K30" i="3" s="1"/>
  <c r="M30" i="3"/>
  <c r="L30" i="3"/>
  <c r="J30" i="3"/>
  <c r="I30" i="3"/>
  <c r="BF29" i="3"/>
  <c r="AL29" i="3"/>
  <c r="AI29" i="3" s="1"/>
  <c r="AK29" i="3"/>
  <c r="AJ29" i="3"/>
  <c r="AH29" i="3"/>
  <c r="AG29" i="3"/>
  <c r="N29" i="3"/>
  <c r="K29" i="3" s="1"/>
  <c r="M29" i="3"/>
  <c r="L29" i="3"/>
  <c r="J29" i="3"/>
  <c r="I29" i="3"/>
  <c r="BF28" i="3"/>
  <c r="AL28" i="3"/>
  <c r="AI28" i="3" s="1"/>
  <c r="AK28" i="3"/>
  <c r="AJ28" i="3"/>
  <c r="AH28" i="3"/>
  <c r="AG28" i="3"/>
  <c r="N28" i="3"/>
  <c r="K28" i="3" s="1"/>
  <c r="M28" i="3"/>
  <c r="L28" i="3"/>
  <c r="J28" i="3"/>
  <c r="I28" i="3"/>
  <c r="BF27" i="3"/>
  <c r="AL27" i="3"/>
  <c r="AI27" i="3" s="1"/>
  <c r="AK27" i="3"/>
  <c r="AJ27" i="3"/>
  <c r="AJ41" i="3" s="1"/>
  <c r="AH27" i="3"/>
  <c r="AG27" i="3"/>
  <c r="N27" i="3"/>
  <c r="M27" i="3"/>
  <c r="L27" i="3"/>
  <c r="J27" i="3"/>
  <c r="I27" i="3"/>
  <c r="BF26" i="3"/>
  <c r="AL26" i="3"/>
  <c r="AK26" i="3"/>
  <c r="AJ26" i="3"/>
  <c r="AI26" i="3"/>
  <c r="AH26" i="3"/>
  <c r="AG26" i="3"/>
  <c r="N26" i="3"/>
  <c r="BG26" i="3" s="1"/>
  <c r="M26" i="3"/>
  <c r="L26" i="3"/>
  <c r="J26" i="3"/>
  <c r="I26" i="3"/>
  <c r="BF25" i="3"/>
  <c r="AL25" i="3"/>
  <c r="AI25" i="3" s="1"/>
  <c r="AK25" i="3"/>
  <c r="AJ25" i="3"/>
  <c r="AH25" i="3"/>
  <c r="AG25" i="3"/>
  <c r="N25" i="3"/>
  <c r="M25" i="3"/>
  <c r="L25" i="3"/>
  <c r="L41" i="3" s="1"/>
  <c r="J25" i="3"/>
  <c r="I25" i="3"/>
  <c r="BF24" i="3"/>
  <c r="AL24" i="3"/>
  <c r="AI24" i="3" s="1"/>
  <c r="AK24" i="3"/>
  <c r="AJ24" i="3"/>
  <c r="AH24" i="3"/>
  <c r="AG24" i="3"/>
  <c r="N24" i="3"/>
  <c r="K24" i="3" s="1"/>
  <c r="M24" i="3"/>
  <c r="L24" i="3"/>
  <c r="J24" i="3"/>
  <c r="I24" i="3"/>
  <c r="BF23" i="3"/>
  <c r="AL23" i="3"/>
  <c r="AI23" i="3" s="1"/>
  <c r="AK23" i="3"/>
  <c r="AJ23" i="3"/>
  <c r="AH23" i="3"/>
  <c r="AG23" i="3"/>
  <c r="N23" i="3"/>
  <c r="BG23" i="3" s="1"/>
  <c r="M23" i="3"/>
  <c r="L23" i="3"/>
  <c r="J23" i="3"/>
  <c r="I23" i="3"/>
  <c r="BF22" i="3"/>
  <c r="AL22" i="3"/>
  <c r="AI22" i="3" s="1"/>
  <c r="AK22" i="3"/>
  <c r="AJ22" i="3"/>
  <c r="AH22" i="3"/>
  <c r="AG22" i="3"/>
  <c r="N22" i="3"/>
  <c r="BG22" i="3" s="1"/>
  <c r="M22" i="3"/>
  <c r="L22" i="3"/>
  <c r="J22" i="3"/>
  <c r="I22" i="3"/>
  <c r="BF21" i="3"/>
  <c r="AL21" i="3"/>
  <c r="AI21" i="3" s="1"/>
  <c r="AK21" i="3"/>
  <c r="AJ21" i="3"/>
  <c r="AH21" i="3"/>
  <c r="AG21" i="3"/>
  <c r="N21" i="3"/>
  <c r="K21" i="3" s="1"/>
  <c r="M21" i="3"/>
  <c r="L21" i="3"/>
  <c r="J21" i="3"/>
  <c r="I21" i="3"/>
  <c r="BF20" i="3"/>
  <c r="AL20" i="3"/>
  <c r="AI20" i="3" s="1"/>
  <c r="AK20" i="3"/>
  <c r="AJ20" i="3"/>
  <c r="AH20" i="3"/>
  <c r="AG20" i="3"/>
  <c r="N20" i="3"/>
  <c r="BG20" i="3" s="1"/>
  <c r="M20" i="3"/>
  <c r="L20" i="3"/>
  <c r="K20" i="3"/>
  <c r="J20" i="3"/>
  <c r="I20" i="3"/>
  <c r="BF19" i="3"/>
  <c r="AL19" i="3"/>
  <c r="AI19" i="3" s="1"/>
  <c r="AK19" i="3"/>
  <c r="AJ19" i="3"/>
  <c r="AH19" i="3"/>
  <c r="AG19" i="3"/>
  <c r="N19" i="3"/>
  <c r="BG19" i="3" s="1"/>
  <c r="M19" i="3"/>
  <c r="L19" i="3"/>
  <c r="J19" i="3"/>
  <c r="I19" i="3"/>
  <c r="BF18" i="3"/>
  <c r="AL18" i="3"/>
  <c r="AI18" i="3" s="1"/>
  <c r="AK18" i="3"/>
  <c r="AJ18" i="3"/>
  <c r="AH18" i="3"/>
  <c r="AG18" i="3"/>
  <c r="N18" i="3"/>
  <c r="BG18" i="3" s="1"/>
  <c r="M18" i="3"/>
  <c r="L18" i="3"/>
  <c r="J18" i="3"/>
  <c r="I18" i="3"/>
  <c r="BF17" i="3"/>
  <c r="AL17" i="3"/>
  <c r="AI17" i="3" s="1"/>
  <c r="AK17" i="3"/>
  <c r="AJ17" i="3"/>
  <c r="AH17" i="3"/>
  <c r="AG17" i="3"/>
  <c r="N17" i="3"/>
  <c r="K17" i="3" s="1"/>
  <c r="M17" i="3"/>
  <c r="L17" i="3"/>
  <c r="J17" i="3"/>
  <c r="I17" i="3"/>
  <c r="BF16" i="3"/>
  <c r="AL16" i="3"/>
  <c r="AI16" i="3" s="1"/>
  <c r="AK16" i="3"/>
  <c r="AJ16" i="3"/>
  <c r="AH16" i="3"/>
  <c r="AG16" i="3"/>
  <c r="N16" i="3"/>
  <c r="BG16" i="3" s="1"/>
  <c r="M16" i="3"/>
  <c r="L16" i="3"/>
  <c r="K16" i="3"/>
  <c r="J16" i="3"/>
  <c r="I16" i="3"/>
  <c r="BH15" i="3" a="1"/>
  <c r="BF15" i="3"/>
  <c r="AL15" i="3"/>
  <c r="AI15" i="3" s="1"/>
  <c r="AK15" i="3"/>
  <c r="AJ15" i="3"/>
  <c r="AH15" i="3"/>
  <c r="AG15" i="3"/>
  <c r="N15" i="3"/>
  <c r="M15" i="3"/>
  <c r="L15" i="3"/>
  <c r="J15" i="3"/>
  <c r="I15" i="3"/>
  <c r="BF14" i="3"/>
  <c r="AL14" i="3"/>
  <c r="AI14" i="3" s="1"/>
  <c r="AK14" i="3"/>
  <c r="AJ14" i="3"/>
  <c r="AH14" i="3"/>
  <c r="AG14" i="3"/>
  <c r="N14" i="3"/>
  <c r="M14" i="3"/>
  <c r="L14" i="3"/>
  <c r="J14" i="3"/>
  <c r="I14" i="3"/>
  <c r="BF13" i="3"/>
  <c r="AL13" i="3"/>
  <c r="AI13" i="3" s="1"/>
  <c r="AK13" i="3"/>
  <c r="AJ13" i="3"/>
  <c r="AH13" i="3"/>
  <c r="AG13" i="3"/>
  <c r="N13" i="3"/>
  <c r="K13" i="3" s="1"/>
  <c r="M13" i="3"/>
  <c r="L13" i="3"/>
  <c r="J13" i="3"/>
  <c r="I13" i="3"/>
  <c r="BF12" i="3"/>
  <c r="AL12" i="3"/>
  <c r="AI12" i="3" s="1"/>
  <c r="AK12" i="3"/>
  <c r="AJ12" i="3"/>
  <c r="AH12" i="3"/>
  <c r="AG12" i="3"/>
  <c r="N12" i="3"/>
  <c r="BG12" i="3" s="1"/>
  <c r="M12" i="3"/>
  <c r="L12" i="3"/>
  <c r="K12" i="3"/>
  <c r="J12" i="3"/>
  <c r="I12" i="3"/>
  <c r="BF11" i="3"/>
  <c r="AL11" i="3"/>
  <c r="AI11" i="3" s="1"/>
  <c r="AK11" i="3"/>
  <c r="AJ11" i="3"/>
  <c r="AH11" i="3"/>
  <c r="AG11" i="3"/>
  <c r="N11" i="3"/>
  <c r="BG11" i="3" s="1"/>
  <c r="M11" i="3"/>
  <c r="L11" i="3"/>
  <c r="J11" i="3"/>
  <c r="I11" i="3"/>
  <c r="BF10" i="3"/>
  <c r="AL10" i="3"/>
  <c r="BH10" i="3" s="1" a="1"/>
  <c r="BH10" i="3" s="1"/>
  <c r="AK10" i="3"/>
  <c r="AJ10" i="3"/>
  <c r="AI10" i="3"/>
  <c r="AH10" i="3"/>
  <c r="AG10" i="3"/>
  <c r="N10" i="3"/>
  <c r="M10" i="3"/>
  <c r="L10" i="3"/>
  <c r="J10" i="3"/>
  <c r="I10" i="3"/>
  <c r="BF9" i="3"/>
  <c r="AL9" i="3"/>
  <c r="BG9" i="3" s="1"/>
  <c r="AK9" i="3"/>
  <c r="AJ9" i="3"/>
  <c r="AH9" i="3"/>
  <c r="AG9" i="3"/>
  <c r="N9" i="3"/>
  <c r="K9" i="3" s="1"/>
  <c r="M9" i="3"/>
  <c r="L9" i="3"/>
  <c r="J9" i="3"/>
  <c r="I9" i="3"/>
  <c r="BF8" i="3"/>
  <c r="AL8" i="3"/>
  <c r="AI8" i="3" s="1"/>
  <c r="BE8" i="3" s="1"/>
  <c r="AK8" i="3"/>
  <c r="AJ8" i="3"/>
  <c r="AH8" i="3"/>
  <c r="AG8" i="3"/>
  <c r="N8" i="3"/>
  <c r="M8" i="3"/>
  <c r="L8" i="3"/>
  <c r="K8" i="3"/>
  <c r="J8" i="3"/>
  <c r="I8" i="3"/>
  <c r="BF7" i="3"/>
  <c r="AL7" i="3"/>
  <c r="AI7" i="3" s="1"/>
  <c r="AK7" i="3"/>
  <c r="AJ7" i="3"/>
  <c r="AH7" i="3"/>
  <c r="AG7" i="3"/>
  <c r="N7" i="3"/>
  <c r="M7" i="3"/>
  <c r="L7" i="3"/>
  <c r="J7" i="3"/>
  <c r="I7" i="3"/>
  <c r="BF6" i="3"/>
  <c r="AL6" i="3"/>
  <c r="AI6" i="3" s="1"/>
  <c r="AK6" i="3"/>
  <c r="AJ6" i="3"/>
  <c r="AH6" i="3"/>
  <c r="AG6" i="3"/>
  <c r="N6" i="3"/>
  <c r="M6" i="3"/>
  <c r="L6" i="3"/>
  <c r="J6" i="3"/>
  <c r="I6" i="3"/>
  <c r="BF5" i="3"/>
  <c r="AL5" i="3"/>
  <c r="AI5" i="3" s="1"/>
  <c r="AK5" i="3"/>
  <c r="AJ5" i="3"/>
  <c r="AH5" i="3"/>
  <c r="AG5" i="3"/>
  <c r="N5" i="3"/>
  <c r="M5" i="3"/>
  <c r="L5" i="3"/>
  <c r="J5" i="3"/>
  <c r="I5" i="3"/>
  <c r="AG1" i="3"/>
  <c r="I1" i="3"/>
  <c r="B1" i="2"/>
  <c r="B2" i="2" s="1"/>
  <c r="C35" i="1"/>
  <c r="C23" i="1"/>
  <c r="BM20" i="7"/>
  <c r="BM15" i="7"/>
  <c r="BN10" i="7"/>
  <c r="BM5" i="7"/>
  <c r="BT30" i="3"/>
  <c r="BQ25" i="3"/>
  <c r="BS15" i="3"/>
  <c r="BN10" i="3"/>
  <c r="BQ10" i="7"/>
  <c r="BL20" i="7"/>
  <c r="BL15" i="7"/>
  <c r="BM10" i="7"/>
  <c r="BL5" i="7"/>
  <c r="BT35" i="3"/>
  <c r="BS30" i="3"/>
  <c r="BP25" i="3"/>
  <c r="BR15" i="3"/>
  <c r="BM10" i="3"/>
  <c r="BP15" i="7"/>
  <c r="BT35" i="7"/>
  <c r="BK15" i="7"/>
  <c r="BL10" i="7"/>
  <c r="BS35" i="3"/>
  <c r="BR30" i="3"/>
  <c r="BN25" i="3"/>
  <c r="BQ15" i="3"/>
  <c r="BL10" i="3"/>
  <c r="BT5" i="3"/>
  <c r="BP5" i="7"/>
  <c r="BS35" i="7"/>
  <c r="BR35" i="3"/>
  <c r="BQ30" i="3"/>
  <c r="BM25" i="3"/>
  <c r="BT20" i="3"/>
  <c r="BP15" i="3"/>
  <c r="BS5" i="3"/>
  <c r="BS25" i="3"/>
  <c r="BR35" i="7"/>
  <c r="BT30" i="7"/>
  <c r="BT25" i="7"/>
  <c r="BQ35" i="3"/>
  <c r="BP30" i="3"/>
  <c r="BJ30" i="3"/>
  <c r="BL25" i="3"/>
  <c r="BS20" i="3"/>
  <c r="BN15" i="3"/>
  <c r="BR5" i="3"/>
  <c r="BJ5" i="3"/>
  <c r="BK5" i="7"/>
  <c r="BQ35" i="7"/>
  <c r="BS30" i="7"/>
  <c r="BS25" i="7"/>
  <c r="BP35" i="3"/>
  <c r="BN30" i="3"/>
  <c r="BR20" i="3"/>
  <c r="BM15" i="3"/>
  <c r="BQ5" i="3"/>
  <c r="BQ10" i="3"/>
  <c r="BP35" i="7"/>
  <c r="BR30" i="7"/>
  <c r="BR25" i="7"/>
  <c r="BT20" i="7"/>
  <c r="BT15" i="7"/>
  <c r="BT5" i="7"/>
  <c r="BN35" i="3"/>
  <c r="BM30" i="3"/>
  <c r="BQ20" i="3"/>
  <c r="BJ20" i="3"/>
  <c r="BL15" i="3"/>
  <c r="BP5" i="3"/>
  <c r="BN35" i="7"/>
  <c r="BJ35" i="7"/>
  <c r="BQ30" i="7"/>
  <c r="BQ25" i="7"/>
  <c r="BS20" i="7"/>
  <c r="BS15" i="7"/>
  <c r="BT10" i="7"/>
  <c r="BS5" i="7"/>
  <c r="BM35" i="3"/>
  <c r="BL30" i="3"/>
  <c r="BP20" i="3"/>
  <c r="BJ15" i="3"/>
  <c r="BT10" i="3"/>
  <c r="BN5" i="3"/>
  <c r="BJ20" i="7"/>
  <c r="BM35" i="7"/>
  <c r="BP30" i="7"/>
  <c r="BP25" i="7"/>
  <c r="BR20" i="7"/>
  <c r="BR15" i="7"/>
  <c r="BS10" i="7"/>
  <c r="BR5" i="7"/>
  <c r="BL35" i="3"/>
  <c r="BK30" i="3"/>
  <c r="BN20" i="3"/>
  <c r="BS10" i="3"/>
  <c r="BM5" i="3"/>
  <c r="BJ15" i="7"/>
  <c r="BJ10" i="3"/>
  <c r="BL35" i="7"/>
  <c r="BN30" i="7"/>
  <c r="BN25" i="7"/>
  <c r="BK25" i="7"/>
  <c r="BQ20" i="7"/>
  <c r="BQ15" i="7"/>
  <c r="BR10" i="7"/>
  <c r="BK10" i="7"/>
  <c r="BQ5" i="7"/>
  <c r="BT25" i="3"/>
  <c r="BM20" i="3"/>
  <c r="BR10" i="3"/>
  <c r="BL5" i="3"/>
  <c r="BK35" i="7"/>
  <c r="BM30" i="7"/>
  <c r="BM25" i="7"/>
  <c r="BL20" i="3"/>
  <c r="BL30" i="7"/>
  <c r="BL25" i="7"/>
  <c r="BN20" i="7"/>
  <c r="BN15" i="7"/>
  <c r="BP10" i="7"/>
  <c r="BN5" i="7"/>
  <c r="BR25" i="3"/>
  <c r="BJ25" i="3"/>
  <c r="BT15" i="3"/>
  <c r="BP10" i="3"/>
  <c r="BP20" i="7"/>
  <c r="AI14" i="6" l="1"/>
  <c r="BD11" i="6"/>
  <c r="AJ14" i="5"/>
  <c r="BD11" i="5"/>
  <c r="M43" i="7"/>
  <c r="J43" i="3"/>
  <c r="BG14" i="3"/>
  <c r="BG15" i="3"/>
  <c r="BG6" i="3"/>
  <c r="BG7" i="3"/>
  <c r="BE32" i="3"/>
  <c r="BG34" i="3"/>
  <c r="AH40" i="3"/>
  <c r="BG27" i="3"/>
  <c r="AJ40" i="3"/>
  <c r="AH41" i="3"/>
  <c r="BG8" i="3"/>
  <c r="AK41" i="3"/>
  <c r="AJ43" i="3"/>
  <c r="AZ47" i="3"/>
  <c r="BE28" i="3"/>
  <c r="BE29" i="3"/>
  <c r="BA47" i="3"/>
  <c r="BE24" i="3"/>
  <c r="BG30" i="3"/>
  <c r="BG31" i="3"/>
  <c r="AZ45" i="3"/>
  <c r="BE20" i="3"/>
  <c r="BG28" i="3"/>
  <c r="BE12" i="3"/>
  <c r="BE13" i="3"/>
  <c r="BE16" i="3"/>
  <c r="BG24" i="3"/>
  <c r="J42" i="3"/>
  <c r="BE33" i="3"/>
  <c r="BE34" i="3"/>
  <c r="BE37" i="3"/>
  <c r="BG38" i="3"/>
  <c r="BH15" i="3"/>
  <c r="BG32" i="3"/>
  <c r="L42" i="3"/>
  <c r="M41" i="3"/>
  <c r="L43" i="3"/>
  <c r="AH10" i="5"/>
  <c r="AH14" i="5" s="1"/>
  <c r="AZ17" i="5"/>
  <c r="BB7" i="5"/>
  <c r="BE6" i="5"/>
  <c r="BD7" i="5"/>
  <c r="BB9" i="5"/>
  <c r="BB10" i="5"/>
  <c r="BG5" i="5"/>
  <c r="BD8" i="5"/>
  <c r="AX19" i="5"/>
  <c r="BE8" i="5"/>
  <c r="BF10" i="5"/>
  <c r="AI14" i="5"/>
  <c r="BE11" i="5"/>
  <c r="AG12" i="5"/>
  <c r="L14" i="5"/>
  <c r="BG11" i="5"/>
  <c r="AW17" i="5"/>
  <c r="J13" i="5"/>
  <c r="AY17" i="5"/>
  <c r="BD6" i="5"/>
  <c r="J12" i="5"/>
  <c r="BD5" i="5"/>
  <c r="BB13" i="5"/>
  <c r="E20" i="1" s="1"/>
  <c r="K5" i="5"/>
  <c r="BC5" i="5" s="1"/>
  <c r="BB8" i="5"/>
  <c r="BE13" i="5"/>
  <c r="D20" i="1" s="1"/>
  <c r="M14" i="5"/>
  <c r="BE9" i="5"/>
  <c r="M12" i="5"/>
  <c r="BG10" i="5"/>
  <c r="AY19" i="5"/>
  <c r="C24" i="1" s="1"/>
  <c r="BB10" i="6"/>
  <c r="AH5" i="6"/>
  <c r="AI12" i="6"/>
  <c r="BD12" i="6" s="1"/>
  <c r="AH6" i="6"/>
  <c r="BC6" i="6" s="1"/>
  <c r="BE9" i="6"/>
  <c r="BD10" i="6"/>
  <c r="BG11" i="6"/>
  <c r="AJ15" i="6"/>
  <c r="AJ12" i="6"/>
  <c r="AY19" i="6"/>
  <c r="C36" i="1" s="1"/>
  <c r="BE11" i="6"/>
  <c r="BD6" i="6"/>
  <c r="AX17" i="6"/>
  <c r="J14" i="6"/>
  <c r="BG10" i="6"/>
  <c r="BG14" i="6" s="1"/>
  <c r="M13" i="6"/>
  <c r="L12" i="6"/>
  <c r="BG6" i="6"/>
  <c r="BD8" i="6"/>
  <c r="AZ17" i="6"/>
  <c r="BC7" i="6"/>
  <c r="BE8" i="6"/>
  <c r="BB13" i="6"/>
  <c r="E32" i="1" s="1"/>
  <c r="BE13" i="6"/>
  <c r="D32" i="1" s="1"/>
  <c r="M15" i="6"/>
  <c r="BG7" i="6"/>
  <c r="L14" i="6"/>
  <c r="BF8" i="6"/>
  <c r="BC10" i="6"/>
  <c r="BB14" i="6"/>
  <c r="E33" i="1" s="1"/>
  <c r="BG8" i="6"/>
  <c r="BG15" i="6" s="1"/>
  <c r="BD14" i="6"/>
  <c r="BB5" i="6"/>
  <c r="BG9" i="6"/>
  <c r="BG13" i="6" s="1"/>
  <c r="BF10" i="6"/>
  <c r="BB11" i="6"/>
  <c r="AI29" i="7"/>
  <c r="BE29" i="7" s="1"/>
  <c r="AH42" i="7"/>
  <c r="AI31" i="7"/>
  <c r="BE9" i="7"/>
  <c r="AK42" i="7"/>
  <c r="BE13" i="7"/>
  <c r="BE17" i="7"/>
  <c r="BE5" i="7"/>
  <c r="BG9" i="7"/>
  <c r="BA47" i="7"/>
  <c r="BE25" i="7"/>
  <c r="BE37" i="7"/>
  <c r="AH43" i="7"/>
  <c r="BE21" i="7"/>
  <c r="AK43" i="7"/>
  <c r="AI19" i="7"/>
  <c r="BE19" i="7" s="1"/>
  <c r="AI20" i="7"/>
  <c r="BG33" i="7"/>
  <c r="AH41" i="7"/>
  <c r="BH20" i="7"/>
  <c r="BG11" i="7"/>
  <c r="BG12" i="7"/>
  <c r="BE15" i="7"/>
  <c r="K35" i="7"/>
  <c r="BE35" i="7" s="1"/>
  <c r="BB45" i="7"/>
  <c r="K41" i="7"/>
  <c r="BE31" i="7"/>
  <c r="M41" i="7"/>
  <c r="BE7" i="7"/>
  <c r="BE23" i="7"/>
  <c r="AZ47" i="7"/>
  <c r="C47" i="1" s="1"/>
  <c r="J42" i="7"/>
  <c r="J43" i="7"/>
  <c r="BG5" i="7"/>
  <c r="BG7" i="7"/>
  <c r="BG8" i="7"/>
  <c r="BE11" i="7"/>
  <c r="BE12" i="7"/>
  <c r="BE36" i="7"/>
  <c r="BE39" i="7"/>
  <c r="BB47" i="7"/>
  <c r="C48" i="1" s="1"/>
  <c r="BG21" i="7"/>
  <c r="K33" i="7"/>
  <c r="BE33" i="7" s="1"/>
  <c r="AZ45" i="7"/>
  <c r="BC47" i="7"/>
  <c r="BE27" i="7"/>
  <c r="M42" i="7"/>
  <c r="BJ41" i="3"/>
  <c r="C10" i="1" s="1"/>
  <c r="BR41" i="3"/>
  <c r="BN43" i="7"/>
  <c r="G46" i="1" s="1"/>
  <c r="BL41" i="7"/>
  <c r="E44" i="1" s="1"/>
  <c r="BL42" i="7"/>
  <c r="E45" i="1" s="1"/>
  <c r="BM41" i="7"/>
  <c r="F44" i="1" s="1"/>
  <c r="BM42" i="7"/>
  <c r="F45" i="1" s="1"/>
  <c r="BL43" i="3"/>
  <c r="E12" i="1" s="1"/>
  <c r="BL40" i="3"/>
  <c r="E9" i="1" s="1"/>
  <c r="BK41" i="7"/>
  <c r="D44" i="1" s="1"/>
  <c r="BN41" i="7"/>
  <c r="G44" i="1" s="1"/>
  <c r="BN42" i="7"/>
  <c r="G45" i="1" s="1"/>
  <c r="BM43" i="3"/>
  <c r="F12" i="1" s="1"/>
  <c r="BP41" i="7"/>
  <c r="BP42" i="7"/>
  <c r="BN43" i="3"/>
  <c r="G12" i="1" s="1"/>
  <c r="BL42" i="3"/>
  <c r="E11" i="1" s="1"/>
  <c r="BQ41" i="7"/>
  <c r="BM42" i="3"/>
  <c r="F11" i="1" s="1"/>
  <c r="BR42" i="7"/>
  <c r="BQ43" i="3"/>
  <c r="I12" i="1" s="1"/>
  <c r="BN42" i="3"/>
  <c r="G11" i="1" s="1"/>
  <c r="BS42" i="7"/>
  <c r="BL41" i="3"/>
  <c r="E10" i="1" s="1"/>
  <c r="BT42" i="7"/>
  <c r="BM41" i="3"/>
  <c r="F10" i="1" s="1"/>
  <c r="BN41" i="3"/>
  <c r="G10" i="1" s="1"/>
  <c r="BL43" i="7"/>
  <c r="E46" i="1" s="1"/>
  <c r="BQ41" i="3"/>
  <c r="BT42" i="3"/>
  <c r="BM43" i="7"/>
  <c r="F46" i="1" s="1"/>
  <c r="BM40" i="3"/>
  <c r="F9" i="1" s="1"/>
  <c r="BP40" i="7"/>
  <c r="BP43" i="7"/>
  <c r="K42" i="3"/>
  <c r="BE31" i="3"/>
  <c r="AI41" i="3"/>
  <c r="BE21" i="3"/>
  <c r="BJ40" i="3"/>
  <c r="C9" i="1" s="1"/>
  <c r="BE7" i="3"/>
  <c r="BE18" i="3"/>
  <c r="C13" i="1"/>
  <c r="BE17" i="3"/>
  <c r="AK43" i="3"/>
  <c r="AK40" i="3"/>
  <c r="BH35" i="7" a="1"/>
  <c r="BH35" i="7" s="1"/>
  <c r="BG38" i="7"/>
  <c r="AI38" i="7"/>
  <c r="BE38" i="7" s="1"/>
  <c r="K7" i="3"/>
  <c r="AI9" i="3"/>
  <c r="BE9" i="3" s="1"/>
  <c r="K15" i="3"/>
  <c r="BE15" i="3" s="1"/>
  <c r="AH42" i="3"/>
  <c r="AH43" i="3"/>
  <c r="BB5" i="5"/>
  <c r="BE7" i="5"/>
  <c r="J14" i="5"/>
  <c r="BB14" i="5" s="1"/>
  <c r="BG14" i="5"/>
  <c r="BE14" i="5"/>
  <c r="BC8" i="6"/>
  <c r="BH25" i="7" a="1"/>
  <c r="BH25" i="7" s="1"/>
  <c r="BH41" i="7" s="1"/>
  <c r="AJ42" i="7"/>
  <c r="BH30" i="7" a="1"/>
  <c r="BH30" i="7" s="1"/>
  <c r="BG30" i="7"/>
  <c r="AI30" i="7"/>
  <c r="BP42" i="3"/>
  <c r="BG33" i="3"/>
  <c r="AI35" i="3"/>
  <c r="BE35" i="3" s="1"/>
  <c r="BN40" i="3"/>
  <c r="G9" i="1" s="1"/>
  <c r="BF5" i="5"/>
  <c r="BC6" i="5"/>
  <c r="BD13" i="5"/>
  <c r="J15" i="5"/>
  <c r="AJ43" i="7"/>
  <c r="BG6" i="7"/>
  <c r="BH5" i="7" a="1"/>
  <c r="BH5" i="7" s="1"/>
  <c r="AI6" i="7"/>
  <c r="K20" i="7"/>
  <c r="BH20" i="3" a="1"/>
  <c r="BH20" i="3" s="1"/>
  <c r="J41" i="3"/>
  <c r="BG29" i="3"/>
  <c r="BQ42" i="3"/>
  <c r="BQ40" i="3"/>
  <c r="BP41" i="3"/>
  <c r="M15" i="5"/>
  <c r="BE15" i="5" s="1"/>
  <c r="L15" i="5"/>
  <c r="BB9" i="6"/>
  <c r="BE10" i="6"/>
  <c r="AJ14" i="6"/>
  <c r="BT43" i="7"/>
  <c r="BT40" i="7"/>
  <c r="L41" i="7"/>
  <c r="BP43" i="3"/>
  <c r="BP40" i="3"/>
  <c r="K5" i="3"/>
  <c r="BE5" i="3" s="1"/>
  <c r="BG5" i="3"/>
  <c r="BT43" i="3"/>
  <c r="BT40" i="3"/>
  <c r="BG13" i="3"/>
  <c r="BG17" i="3"/>
  <c r="BG21" i="3"/>
  <c r="K25" i="3"/>
  <c r="BG25" i="3"/>
  <c r="BT41" i="3"/>
  <c r="BE30" i="3"/>
  <c r="J40" i="3"/>
  <c r="BR40" i="3"/>
  <c r="J15" i="6"/>
  <c r="J12" i="6"/>
  <c r="BG16" i="7"/>
  <c r="BS42" i="3"/>
  <c r="BS40" i="3"/>
  <c r="BG6" i="5" a="1"/>
  <c r="BG6" i="5" s="1"/>
  <c r="BE20" i="7"/>
  <c r="BR43" i="7"/>
  <c r="M43" i="3"/>
  <c r="M40" i="3"/>
  <c r="BH5" i="3" a="1"/>
  <c r="BH5" i="3" s="1"/>
  <c r="BH25" i="3" a="1"/>
  <c r="BH25" i="3" s="1"/>
  <c r="BH41" i="3" s="1"/>
  <c r="L40" i="3"/>
  <c r="BS41" i="3"/>
  <c r="BR42" i="3"/>
  <c r="BB6" i="5"/>
  <c r="BC7" i="5"/>
  <c r="BD9" i="5"/>
  <c r="M12" i="6"/>
  <c r="BE12" i="6" s="1"/>
  <c r="BE6" i="6"/>
  <c r="BH10" i="7" a="1"/>
  <c r="BH10" i="7" s="1"/>
  <c r="BG10" i="7"/>
  <c r="AI10" i="7"/>
  <c r="BE10" i="7" s="1"/>
  <c r="BG14" i="7"/>
  <c r="AI14" i="7"/>
  <c r="BE14" i="7" s="1"/>
  <c r="L42" i="7"/>
  <c r="BG34" i="7"/>
  <c r="AI34" i="7"/>
  <c r="BE34" i="7" s="1"/>
  <c r="K6" i="3"/>
  <c r="BE6" i="3" s="1"/>
  <c r="K10" i="3"/>
  <c r="BE10" i="3" s="1"/>
  <c r="BG10" i="3"/>
  <c r="K14" i="3"/>
  <c r="BE14" i="3" s="1"/>
  <c r="K18" i="3"/>
  <c r="K22" i="3"/>
  <c r="BE22" i="3" s="1"/>
  <c r="K26" i="3"/>
  <c r="BE26" i="3" s="1"/>
  <c r="AI38" i="3"/>
  <c r="BE38" i="3" s="1"/>
  <c r="AG15" i="5"/>
  <c r="BF6" i="5"/>
  <c r="K9" i="5"/>
  <c r="BF9" i="5"/>
  <c r="K40" i="7"/>
  <c r="BH15" i="7" a="1"/>
  <c r="BH15" i="7" s="1"/>
  <c r="BG18" i="7"/>
  <c r="AI18" i="7"/>
  <c r="BE18" i="7" s="1"/>
  <c r="BE28" i="7"/>
  <c r="BQ42" i="7"/>
  <c r="BE32" i="7"/>
  <c r="BR40" i="7"/>
  <c r="AH8" i="5"/>
  <c r="BC8" i="5" s="1"/>
  <c r="BF8" i="5"/>
  <c r="BD9" i="6"/>
  <c r="AI13" i="6"/>
  <c r="BD13" i="6" s="1"/>
  <c r="M42" i="3"/>
  <c r="BH30" i="3" a="1"/>
  <c r="BH30" i="3" s="1"/>
  <c r="BR43" i="3"/>
  <c r="AI15" i="5"/>
  <c r="BD15" i="5" s="1"/>
  <c r="AI12" i="5"/>
  <c r="BD12" i="5" s="1"/>
  <c r="M14" i="6"/>
  <c r="AH15" i="6"/>
  <c r="L43" i="7"/>
  <c r="BR41" i="7"/>
  <c r="BG36" i="3"/>
  <c r="BS43" i="3"/>
  <c r="AJ12" i="5"/>
  <c r="BE12" i="5" s="1"/>
  <c r="BC11" i="5"/>
  <c r="K14" i="6"/>
  <c r="BG22" i="7"/>
  <c r="AI22" i="7"/>
  <c r="BE22" i="7" s="1"/>
  <c r="AJ41" i="7"/>
  <c r="BG26" i="7"/>
  <c r="AI26" i="7"/>
  <c r="BE26" i="7" s="1"/>
  <c r="BD5" i="6"/>
  <c r="AI15" i="6"/>
  <c r="K11" i="3"/>
  <c r="BE11" i="3" s="1"/>
  <c r="K19" i="3"/>
  <c r="BE19" i="3" s="1"/>
  <c r="K23" i="3"/>
  <c r="BE23" i="3" s="1"/>
  <c r="K27" i="3"/>
  <c r="BE27" i="3" s="1"/>
  <c r="BH35" i="3" a="1"/>
  <c r="BH35" i="3" s="1"/>
  <c r="AG12" i="6"/>
  <c r="BB12" i="6" s="1"/>
  <c r="AG15" i="6"/>
  <c r="BT41" i="7"/>
  <c r="BE5" i="5"/>
  <c r="AH12" i="6"/>
  <c r="L15" i="6"/>
  <c r="BG20" i="7"/>
  <c r="BG36" i="7"/>
  <c r="L40" i="7"/>
  <c r="BN40" i="7"/>
  <c r="G43" i="1" s="1"/>
  <c r="BS41" i="7"/>
  <c r="AH14" i="6"/>
  <c r="AH40" i="7"/>
  <c r="BQ40" i="7"/>
  <c r="BQ43" i="7"/>
  <c r="BF7" i="6"/>
  <c r="BF11" i="6"/>
  <c r="AJ40" i="7"/>
  <c r="BS40" i="7"/>
  <c r="BS43" i="7"/>
  <c r="AK40" i="7"/>
  <c r="BF7" i="5"/>
  <c r="K10" i="5"/>
  <c r="K14" i="5" s="1"/>
  <c r="BF11" i="5"/>
  <c r="K5" i="6"/>
  <c r="K9" i="6"/>
  <c r="K13" i="6" s="1"/>
  <c r="BC13" i="6" s="1"/>
  <c r="BE5" i="6"/>
  <c r="BG15" i="7"/>
  <c r="J40" i="7"/>
  <c r="BL40" i="7"/>
  <c r="E43" i="1" s="1"/>
  <c r="BM40" i="7"/>
  <c r="F43" i="1" s="1"/>
  <c r="BK20" i="7"/>
  <c r="BK25" i="3"/>
  <c r="BK30" i="7"/>
  <c r="BJ35" i="3"/>
  <c r="BK20" i="3"/>
  <c r="BK15" i="3"/>
  <c r="BJ10" i="7"/>
  <c r="BJ5" i="7"/>
  <c r="BJ30" i="7"/>
  <c r="BK10" i="3"/>
  <c r="BJ25" i="7"/>
  <c r="BK5" i="3"/>
  <c r="BK35" i="3"/>
  <c r="BC14" i="6" l="1"/>
  <c r="BB15" i="5"/>
  <c r="K43" i="7"/>
  <c r="AI40" i="3"/>
  <c r="BE40" i="3" s="1"/>
  <c r="BB12" i="5"/>
  <c r="E19" i="1" s="1"/>
  <c r="BG12" i="5"/>
  <c r="BD14" i="5"/>
  <c r="BC14" i="5"/>
  <c r="C21" i="1" s="1"/>
  <c r="K12" i="5"/>
  <c r="BE15" i="6"/>
  <c r="D34" i="1" s="1"/>
  <c r="BG12" i="6"/>
  <c r="BB15" i="6"/>
  <c r="E34" i="1" s="1"/>
  <c r="K42" i="7"/>
  <c r="BH42" i="7"/>
  <c r="BK42" i="3"/>
  <c r="D11" i="1" s="1"/>
  <c r="BJ41" i="7"/>
  <c r="C44" i="1" s="1"/>
  <c r="BJ42" i="7"/>
  <c r="C45" i="1" s="1"/>
  <c r="BJ43" i="3"/>
  <c r="C12" i="1" s="1"/>
  <c r="BJ42" i="3"/>
  <c r="C11" i="1" s="1"/>
  <c r="BK42" i="7"/>
  <c r="D45" i="1" s="1"/>
  <c r="BK41" i="3"/>
  <c r="D10" i="1" s="1"/>
  <c r="BK43" i="7"/>
  <c r="D46" i="1" s="1"/>
  <c r="BK40" i="7"/>
  <c r="D43" i="1" s="1"/>
  <c r="I10" i="1"/>
  <c r="H45" i="1"/>
  <c r="H44" i="1"/>
  <c r="J10" i="1"/>
  <c r="J45" i="1"/>
  <c r="K45" i="1"/>
  <c r="I44" i="1"/>
  <c r="L11" i="1"/>
  <c r="L45" i="1"/>
  <c r="H46" i="1"/>
  <c r="H43" i="1"/>
  <c r="C32" i="1"/>
  <c r="D31" i="1"/>
  <c r="K15" i="6"/>
  <c r="K12" i="6"/>
  <c r="D22" i="1"/>
  <c r="J43" i="1"/>
  <c r="K13" i="5"/>
  <c r="BC13" i="5" s="1"/>
  <c r="BC9" i="5"/>
  <c r="BE6" i="7"/>
  <c r="AI40" i="7"/>
  <c r="BE40" i="7" s="1"/>
  <c r="AI43" i="7"/>
  <c r="BE43" i="7" s="1"/>
  <c r="K46" i="1"/>
  <c r="K9" i="1"/>
  <c r="K43" i="3"/>
  <c r="K40" i="3"/>
  <c r="BH43" i="7"/>
  <c r="BH40" i="7"/>
  <c r="E21" i="1"/>
  <c r="K43" i="1"/>
  <c r="D19" i="1"/>
  <c r="E22" i="1"/>
  <c r="J11" i="1"/>
  <c r="K11" i="1"/>
  <c r="L10" i="1"/>
  <c r="H9" i="1"/>
  <c r="H11" i="1"/>
  <c r="K12" i="1"/>
  <c r="AH15" i="5"/>
  <c r="BC12" i="6"/>
  <c r="BD15" i="6"/>
  <c r="BH42" i="3"/>
  <c r="I9" i="1"/>
  <c r="BC9" i="6"/>
  <c r="K41" i="3"/>
  <c r="BE41" i="3" s="1"/>
  <c r="I11" i="1"/>
  <c r="BG15" i="5"/>
  <c r="H12" i="1"/>
  <c r="I46" i="1"/>
  <c r="L44" i="1"/>
  <c r="BH40" i="3"/>
  <c r="BH43" i="3"/>
  <c r="L43" i="1"/>
  <c r="K15" i="5"/>
  <c r="BC5" i="6"/>
  <c r="I45" i="1"/>
  <c r="I43" i="1"/>
  <c r="J44" i="1"/>
  <c r="BK43" i="3"/>
  <c r="D12" i="1" s="1"/>
  <c r="BK40" i="3"/>
  <c r="D9" i="1" s="1"/>
  <c r="L46" i="1"/>
  <c r="D21" i="1"/>
  <c r="AI42" i="3"/>
  <c r="BE42" i="3" s="1"/>
  <c r="J12" i="1"/>
  <c r="K10" i="1"/>
  <c r="H10" i="1"/>
  <c r="BJ43" i="7"/>
  <c r="C46" i="1" s="1"/>
  <c r="BJ40" i="7"/>
  <c r="C43" i="1" s="1"/>
  <c r="AI41" i="7"/>
  <c r="BE41" i="7" s="1"/>
  <c r="C33" i="1"/>
  <c r="AH12" i="5"/>
  <c r="BE14" i="6"/>
  <c r="J46" i="1"/>
  <c r="L9" i="1"/>
  <c r="K44" i="1"/>
  <c r="E31" i="1"/>
  <c r="BC15" i="6"/>
  <c r="BC10" i="5"/>
  <c r="L12" i="1"/>
  <c r="AI42" i="7"/>
  <c r="BE30" i="7"/>
  <c r="BE25" i="3"/>
  <c r="AI43" i="3"/>
  <c r="J9" i="1"/>
  <c r="BE42" i="7" l="1"/>
  <c r="BE43" i="3"/>
  <c r="BC12" i="5"/>
  <c r="C19" i="1" s="1"/>
  <c r="C34" i="1"/>
  <c r="C20" i="1"/>
  <c r="C31" i="1"/>
  <c r="D33" i="1"/>
  <c r="BC15" i="5"/>
  <c r="C22" i="1" l="1"/>
</calcChain>
</file>

<file path=xl/sharedStrings.xml><?xml version="1.0" encoding="utf-8"?>
<sst xmlns="http://schemas.openxmlformats.org/spreadsheetml/2006/main" count="1459" uniqueCount="575">
  <si>
    <t>Reference:</t>
  </si>
  <si>
    <t>Tested:</t>
  </si>
  <si>
    <t>All Intra</t>
  </si>
  <si>
    <t>C2_ai</t>
  </si>
  <si>
    <t>lossy geometry, lossy attributes [all intra]</t>
  </si>
  <si>
    <t>Geom. BD‑TotGeomRate [%]</t>
  </si>
  <si>
    <t>End-to-End BD‑AttrRate [%]</t>
  </si>
  <si>
    <t>Geom. BD‑TotalRate [%]</t>
  </si>
  <si>
    <t>End-to-End BD‑TotalRate [%]</t>
  </si>
  <si>
    <t>D1</t>
  </si>
  <si>
    <t>D2</t>
  </si>
  <si>
    <t>Luma</t>
  </si>
  <si>
    <t>Chroma Cb</t>
  </si>
  <si>
    <t>Chroma Cr</t>
  </si>
  <si>
    <t>Cat2-A average</t>
  </si>
  <si>
    <t>Cat2-B average</t>
  </si>
  <si>
    <t>Cat2-C average</t>
  </si>
  <si>
    <t>Overall average</t>
  </si>
  <si>
    <t>Avg. Enc Time [%]</t>
  </si>
  <si>
    <t>Avg. Dec Time [%]</t>
  </si>
  <si>
    <t>CW_ai</t>
  </si>
  <si>
    <t>lossless geometry, lossless attributes [all intra]</t>
  </si>
  <si>
    <t>bpip ratio [%]</t>
  </si>
  <si>
    <t>Tot.Geom</t>
  </si>
  <si>
    <t>Colour</t>
  </si>
  <si>
    <t>Total</t>
  </si>
  <si>
    <t>Inter, Low Delay</t>
  </si>
  <si>
    <t>CW_ld</t>
  </si>
  <si>
    <t>lossless geometry, lossless attributes [inter, low delay]</t>
  </si>
  <si>
    <t>Inter, Random Access</t>
  </si>
  <si>
    <t>C2_ra</t>
  </si>
  <si>
    <t>lossy geometry, lossy attributes [inter, random access]</t>
  </si>
  <si>
    <t>Condition:</t>
  </si>
  <si>
    <t>← Select this …</t>
  </si>
  <si>
    <t>Columns</t>
  </si>
  <si>
    <t>C2 lossyG,lossyA,intra</t>
  </si>
  <si>
    <t>CW losslG,losslA,intra</t>
  </si>
  <si>
    <t>CW losslG,losslA,interLD</t>
  </si>
  <si>
    <t>C2 lossyG,lossyA,interRA</t>
  </si>
  <si>
    <t>Sequence:</t>
  </si>
  <si>
    <t>← … then this</t>
  </si>
  <si>
    <t>dec.cb-hpsnr</t>
  </si>
  <si>
    <t>Chroma Cb EtE Hausdorff PSNR</t>
  </si>
  <si>
    <t>names!$B$77:$X$77</t>
  </si>
  <si>
    <t>names!$B$143:$W$143</t>
  </si>
  <si>
    <t>names!$B$209:$W$209</t>
  </si>
  <si>
    <t>names!$B$286:$X$286</t>
  </si>
  <si>
    <t>dec.cb-psnr</t>
  </si>
  <si>
    <t>Chroma Cb End-to-end PSNR</t>
  </si>
  <si>
    <t>8ivfbv2_loot_vox10</t>
  </si>
  <si>
    <t>X:</t>
  </si>
  <si>
    <t>eqn.bpp.geometry</t>
  </si>
  <si>
    <t>Y:</t>
  </si>
  <si>
    <t>dec.d1-psnr</t>
  </si>
  <si>
    <t>← settings for graph a</t>
  </si>
  <si>
    <t>dec.cr-hpsnr</t>
  </si>
  <si>
    <t>Chroma Cr EtE Hausdorff PSNR</t>
  </si>
  <si>
    <t>8ivfbv2_redandblack_vox10</t>
  </si>
  <si>
    <t>dec.d2-psnr</t>
  </si>
  <si>
    <t>← settings for graph b</t>
  </si>
  <si>
    <t>dec.cr-psnr</t>
  </si>
  <si>
    <t>Chroma Cr End-to-end PSNR</t>
  </si>
  <si>
    <t>8ivfbv2_soldier_vox10</t>
  </si>
  <si>
    <t>eqn.bpp.colour</t>
  </si>
  <si>
    <t>dec.y-psnr</t>
  </si>
  <si>
    <t>← settings for graph c</t>
  </si>
  <si>
    <t>dec.d1-mse</t>
  </si>
  <si>
    <t>D1 Geometry MSE</t>
  </si>
  <si>
    <t>queen</t>
  </si>
  <si>
    <t>← settings for graph d</t>
  </si>
  <si>
    <t>D1 Geometry PSNR</t>
  </si>
  <si>
    <t>8ivfbv2_longdress_vox10</t>
  </si>
  <si>
    <t>← settings for graph e</t>
  </si>
  <si>
    <t>dec.d2-mse</t>
  </si>
  <si>
    <t>D2 Geometry MSE</t>
  </si>
  <si>
    <t>basketball_player_vox11</t>
  </si>
  <si>
    <t>eqn.bpp.reflectance</t>
  </si>
  <si>
    <t>dec.reflectance-psnr</t>
  </si>
  <si>
    <t>← settings for graph f</t>
  </si>
  <si>
    <t>D2 Geometry PSNR</t>
  </si>
  <si>
    <t>dancer_player_vox11</t>
  </si>
  <si>
    <t>dec.numduppoints.mean</t>
  </si>
  <si>
    <t>Mean duplicate points</t>
  </si>
  <si>
    <t>dec.numpoints</t>
  </si>
  <si>
    <t>№ output points</t>
  </si>
  <si>
    <t>dec.numpoints.mean</t>
  </si>
  <si>
    <t>Mean output points</t>
  </si>
  <si>
    <t>dec.post-recolour.cb-psnr</t>
  </si>
  <si>
    <t>Chroma Cb Post recolour PSNR</t>
  </si>
  <si>
    <t>dec.post-recolour.cr-psnr</t>
  </si>
  <si>
    <t>Chroma Cr Post recolour PSNR</t>
  </si>
  <si>
    <t>dec.post-recolour.y-psnr</t>
  </si>
  <si>
    <t>Luma Post recolour PSNR</t>
  </si>
  <si>
    <t>dec.reflectance-hpsnr</t>
  </si>
  <si>
    <t>Reflectance EtE Hausdorff PSNR</t>
  </si>
  <si>
    <t>Reflectance End-to-end PSNR</t>
  </si>
  <si>
    <t>dec.utime</t>
  </si>
  <si>
    <t>User Decoder runtime</t>
  </si>
  <si>
    <t>dec.utime.children</t>
  </si>
  <si>
    <t>Child Decoder runtime</t>
  </si>
  <si>
    <t>dec.utime.self</t>
  </si>
  <si>
    <t>Self Decoder runtime</t>
  </si>
  <si>
    <t>dec.y-hpsnr</t>
  </si>
  <si>
    <t>Luma EtE Hausdorff PSNR</t>
  </si>
  <si>
    <t>Luma End-to-end PSNR</t>
  </si>
  <si>
    <t>enc.bits.colour</t>
  </si>
  <si>
    <t>Colour Bitstream</t>
  </si>
  <si>
    <t>enc.bits.geometry</t>
  </si>
  <si>
    <t>Geometry Bitstream</t>
  </si>
  <si>
    <t>enc.bits.occ+patch</t>
  </si>
  <si>
    <t>Occ+Patch Bitstream</t>
  </si>
  <si>
    <t>enc.bits.reflectance</t>
  </si>
  <si>
    <t>Reflectance Bitstream</t>
  </si>
  <si>
    <t>enc.ext.bits</t>
  </si>
  <si>
    <t>Total Bitstream</t>
  </si>
  <si>
    <t>enc.utime</t>
  </si>
  <si>
    <t>User Encoder runtime</t>
  </si>
  <si>
    <t>enc.utime.children</t>
  </si>
  <si>
    <t>Child Encoder runtime</t>
  </si>
  <si>
    <t>enc.utime.self</t>
  </si>
  <si>
    <t>Self Encoder runtime</t>
  </si>
  <si>
    <t>eqn.bitrate</t>
  </si>
  <si>
    <t>Rate</t>
  </si>
  <si>
    <t>eqn.bits.totalgeometry</t>
  </si>
  <si>
    <t>eqn.bits.totalgeometry Bitstream</t>
  </si>
  <si>
    <t>eqn.bpop</t>
  </si>
  <si>
    <t>Total Bits per output point</t>
  </si>
  <si>
    <t>eqn.bpp</t>
  </si>
  <si>
    <t>Total Bits per input point</t>
  </si>
  <si>
    <t>Colour  Bits per input point</t>
  </si>
  <si>
    <t>Geometry Bits per input point</t>
  </si>
  <si>
    <t>eqn.bpp.geometry+occ+patch</t>
  </si>
  <si>
    <t>Tot.Geom Bits per input point</t>
  </si>
  <si>
    <t>Reflectance Bits per input point</t>
  </si>
  <si>
    <t>eqn.compratio</t>
  </si>
  <si>
    <t>Comp. ratio</t>
  </si>
  <si>
    <t>C2_ai — lossy geometry, lossy attributes [all intra]</t>
  </si>
  <si>
    <t>Class</t>
  </si>
  <si>
    <t>Sequence</t>
  </si>
  <si>
    <t>Variant</t>
  </si>
  <si>
    <t>№ input points</t>
  </si>
  <si>
    <t>Geometry precision [bits]</t>
  </si>
  <si>
    <t>№ frames</t>
  </si>
  <si>
    <t>Frame rate [fps]</t>
  </si>
  <si>
    <t>Rate [Mbps]</t>
  </si>
  <si>
    <t>Bits per input point [bpip]</t>
  </si>
  <si>
    <t>A.eqn.bits.totalgeometry Bitstream [bits]</t>
  </si>
  <si>
    <t>Total Bits per output point [bpop]</t>
  </si>
  <si>
    <t>Bitstream [bits]</t>
  </si>
  <si>
    <t>Geometry PSNR [dB]</t>
  </si>
  <si>
    <t>End-to-end PSNR [dB]</t>
  </si>
  <si>
    <t>Encoder runtime [s]</t>
  </si>
  <si>
    <t>Decoder runtime [s]</t>
  </si>
  <si>
    <t>B.eqn.bits.totalgeometry Bitstream [bits]</t>
  </si>
  <si>
    <t>Tot.Geom bpip ratio [%]</t>
  </si>
  <si>
    <t>Shift in duppoint ratio [pp]</t>
  </si>
  <si>
    <t>Shift in G:T bits ratio [pp]</t>
  </si>
  <si>
    <t>Geometry</t>
  </si>
  <si>
    <t xml:space="preserve">Colour </t>
  </si>
  <si>
    <t>Occ+Patch</t>
  </si>
  <si>
    <t>Self</t>
  </si>
  <si>
    <t>Child</t>
  </si>
  <si>
    <t>class</t>
  </si>
  <si>
    <t>sequence</t>
  </si>
  <si>
    <t>variant</t>
  </si>
  <si>
    <t>src.numpoints</t>
  </si>
  <si>
    <t>src.geometry-precision</t>
  </si>
  <si>
    <t>src.framecount</t>
  </si>
  <si>
    <t>src.framerate</t>
  </si>
  <si>
    <t>A.eqn.bitrate</t>
  </si>
  <si>
    <t>A.eqn.bpp</t>
  </si>
  <si>
    <t>A.eqn.bpp.geometry+occ+patch</t>
  </si>
  <si>
    <t>A.eqn.bpp.geometry</t>
  </si>
  <si>
    <t>A.eqn.bpp.colour</t>
  </si>
  <si>
    <t>A.eqn.bits.totalgeometry</t>
  </si>
  <si>
    <t>A.eqn.bpop</t>
  </si>
  <si>
    <t>A.dec.numpoints</t>
  </si>
  <si>
    <t>A.dec.numpoints.mean</t>
  </si>
  <si>
    <t>A.dec.numduppoints.mean</t>
  </si>
  <si>
    <t>A.enc.ext.bits</t>
  </si>
  <si>
    <t>A.enc.bits.geometry</t>
  </si>
  <si>
    <t>A.enc.bits.occ+patch</t>
  </si>
  <si>
    <t>A.enc.bits.colour</t>
  </si>
  <si>
    <t>A.dec.d1-psnr</t>
  </si>
  <si>
    <t>A.dec.d2-psnr</t>
  </si>
  <si>
    <t>A.dec.y-psnr</t>
  </si>
  <si>
    <t>A.dec.cb-psnr</t>
  </si>
  <si>
    <t>A.dec.cr-psnr</t>
  </si>
  <si>
    <t>A.enc.utime.self</t>
  </si>
  <si>
    <t>A.enc.utime.children</t>
  </si>
  <si>
    <t>A.dec.utime.self</t>
  </si>
  <si>
    <t>A.dec.utime.children</t>
  </si>
  <si>
    <t>B.eqn.bitrate</t>
  </si>
  <si>
    <t>B.eqn.bpp</t>
  </si>
  <si>
    <t>B.eqn.bpp.geometry+occ+patch</t>
  </si>
  <si>
    <t>B.eqn.bpp.geometry</t>
  </si>
  <si>
    <t>B.eqn.bpp.colour</t>
  </si>
  <si>
    <t>B.eqn.bits.totalgeometry</t>
  </si>
  <si>
    <t>B.eqn.bpop</t>
  </si>
  <si>
    <t>B.dec.numpoints</t>
  </si>
  <si>
    <t>B.dec.numpoints.mean</t>
  </si>
  <si>
    <t>B.dec.numduppoints.mean</t>
  </si>
  <si>
    <t>B.enc.ext.bits</t>
  </si>
  <si>
    <t>B.enc.bits.geometry</t>
  </si>
  <si>
    <t>B.enc.bits.occ+patch</t>
  </si>
  <si>
    <t>B.enc.bits.colour</t>
  </si>
  <si>
    <t>B.dec.d1-psnr</t>
  </si>
  <si>
    <t>B.dec.d2-psnr</t>
  </si>
  <si>
    <t>B.dec.y-psnr</t>
  </si>
  <si>
    <t>B.dec.cb-psnr</t>
  </si>
  <si>
    <t>B.dec.cr-psnr</t>
  </si>
  <si>
    <t>B.enc.utime.self</t>
  </si>
  <si>
    <t>B.enc.utime.children</t>
  </si>
  <si>
    <t>B.dec.utime.self</t>
  </si>
  <si>
    <t>B.dec.utime.children</t>
  </si>
  <si>
    <t>eqn.ab.ratio-bpp-geometry-total</t>
  </si>
  <si>
    <t>eqn.ab.delta-duppoints_ratio</t>
  </si>
  <si>
    <t>eqn.ab.delta-geom_texture_bits_ratio</t>
  </si>
  <si>
    <t>eqn.ab.summary-delta-geom_texture_bits_ratio</t>
  </si>
  <si>
    <t>eqn.ab.bdrate-d1-geomrate</t>
  </si>
  <si>
    <t>eqn.ab.bdrate-d2-geomrate</t>
  </si>
  <si>
    <t>eqn.ab.bdrate-y-attrrate</t>
  </si>
  <si>
    <t>eqn.ab.bdrate-cb-attrrate</t>
  </si>
  <si>
    <t>eqn.ab.bdrate-cr-attrrate</t>
  </si>
  <si>
    <t>eqn.ab.bdrate-d1</t>
  </si>
  <si>
    <t>eqn.ab.bdrate-d2</t>
  </si>
  <si>
    <t>eqn.ab.bdrate-y</t>
  </si>
  <si>
    <t>eqn.ab.bdrate-cb</t>
  </si>
  <si>
    <t>eqn.ab.bdrate-cr</t>
  </si>
  <si>
    <t>cat2-A</t>
  </si>
  <si>
    <t>r01</t>
  </si>
  <si>
    <t>r02</t>
  </si>
  <si>
    <t>r03</t>
  </si>
  <si>
    <t>r04</t>
  </si>
  <si>
    <t>r05</t>
  </si>
  <si>
    <t>cat2-B</t>
  </si>
  <si>
    <t>cat2-C</t>
  </si>
  <si>
    <t>Overall</t>
  </si>
  <si>
    <t>Total time [s]</t>
  </si>
  <si>
    <t>Total time [%]</t>
  </si>
  <si>
    <t>Avg (geometric) time [s]</t>
  </si>
  <si>
    <t>Avg (geometric) time [%]</t>
  </si>
  <si>
    <t>col.C2 lossyG,lossyA,intra.class</t>
  </si>
  <si>
    <t>col.C2 lossyG,lossyA,intra.sequence</t>
  </si>
  <si>
    <t>col.C2 lossyG,lossyA,intra.variant</t>
  </si>
  <si>
    <t>col.C2 lossyG,lossyA,intra.src.numpoints</t>
  </si>
  <si>
    <t>col.C2 lossyG,lossyA,intra.src.geometry-precision</t>
  </si>
  <si>
    <t>col.C2 lossyG,lossyA,intra.src.framecount</t>
  </si>
  <si>
    <t>col.C2 lossyG,lossyA,intra.src.framerate</t>
  </si>
  <si>
    <t>col.C2 lossyG,lossyA,intra.A.eqn.bitrate</t>
  </si>
  <si>
    <t>col.C2 lossyG,lossyA,intra.A.eqn.bpp</t>
  </si>
  <si>
    <t>col.C2 lossyG,lossyA,intra.A.eqn.bpp.geometry+occ+patch</t>
  </si>
  <si>
    <t>col.C2 lossyG,lossyA,intra.A.eqn.bpp.geometry</t>
  </si>
  <si>
    <t>col.C2 lossyG,lossyA,intra.A.eqn.bpp.colour</t>
  </si>
  <si>
    <t>col.C2 lossyG,lossyA,intra.A.eqn.bits.totalgeometry</t>
  </si>
  <si>
    <t>col.C2 lossyG,lossyA,intra.A.eqn.bpop</t>
  </si>
  <si>
    <t>col.C2 lossyG,lossyA,intra.A.dec.numpoints</t>
  </si>
  <si>
    <t>col.C2 lossyG,lossyA,intra.A.dec.numpoints.mean</t>
  </si>
  <si>
    <t>col.C2 lossyG,lossyA,intra.A.dec.numduppoints.mean</t>
  </si>
  <si>
    <t>col.C2 lossyG,lossyA,intra.A.enc.ext.bits</t>
  </si>
  <si>
    <t>col.C2 lossyG,lossyA,intra.A.enc.bits.geometry</t>
  </si>
  <si>
    <t>col.C2 lossyG,lossyA,intra.A.enc.bits.occ+patch</t>
  </si>
  <si>
    <t>col.C2 lossyG,lossyA,intra.A.enc.bits.colour</t>
  </si>
  <si>
    <t>col.C2 lossyG,lossyA,intra.A.dec.d1-psnr</t>
  </si>
  <si>
    <t>col.C2 lossyG,lossyA,intra.A.dec.d2-psnr</t>
  </si>
  <si>
    <t>col.C2 lossyG,lossyA,intra.A.dec.y-psnr</t>
  </si>
  <si>
    <t>col.C2 lossyG,lossyA,intra.A.dec.cb-psnr</t>
  </si>
  <si>
    <t>col.C2 lossyG,lossyA,intra.A.dec.cr-psnr</t>
  </si>
  <si>
    <t>col.C2 lossyG,lossyA,intra.A.enc.utime.self</t>
  </si>
  <si>
    <t>col.C2 lossyG,lossyA,intra.A.enc.utime.children</t>
  </si>
  <si>
    <t>col.C2 lossyG,lossyA,intra.A.dec.utime.self</t>
  </si>
  <si>
    <t>col.C2 lossyG,lossyA,intra.A.dec.utime.children</t>
  </si>
  <si>
    <t>col.C2 lossyG,lossyA,intra.B.eqn.bitrate</t>
  </si>
  <si>
    <t>col.C2 lossyG,lossyA,intra.B.eqn.bpp</t>
  </si>
  <si>
    <t>col.C2 lossyG,lossyA,intra.B.eqn.bpp.geometry+occ+patch</t>
  </si>
  <si>
    <t>col.C2 lossyG,lossyA,intra.B.eqn.bpp.geometry</t>
  </si>
  <si>
    <t>col.C2 lossyG,lossyA,intra.B.eqn.bpp.colour</t>
  </si>
  <si>
    <t>col.C2 lossyG,lossyA,intra.B.eqn.bits.totalgeometry</t>
  </si>
  <si>
    <t>col.C2 lossyG,lossyA,intra.B.eqn.bpop</t>
  </si>
  <si>
    <t>col.C2 lossyG,lossyA,intra.B.dec.numpoints</t>
  </si>
  <si>
    <t>col.C2 lossyG,lossyA,intra.B.dec.numpoints.mean</t>
  </si>
  <si>
    <t>col.C2 lossyG,lossyA,intra.B.dec.numduppoints.mean</t>
  </si>
  <si>
    <t>col.C2 lossyG,lossyA,intra.B.enc.ext.bits</t>
  </si>
  <si>
    <t>col.C2 lossyG,lossyA,intra.B.enc.bits.geometry</t>
  </si>
  <si>
    <t>col.C2 lossyG,lossyA,intra.B.enc.bits.occ+patch</t>
  </si>
  <si>
    <t>col.C2 lossyG,lossyA,intra.B.enc.bits.colour</t>
  </si>
  <si>
    <t>col.C2 lossyG,lossyA,intra.B.dec.d1-psnr</t>
  </si>
  <si>
    <t>col.C2 lossyG,lossyA,intra.B.dec.d2-psnr</t>
  </si>
  <si>
    <t>col.C2 lossyG,lossyA,intra.B.dec.y-psnr</t>
  </si>
  <si>
    <t>col.C2 lossyG,lossyA,intra.B.dec.cb-psnr</t>
  </si>
  <si>
    <t>col.C2 lossyG,lossyA,intra.B.dec.cr-psnr</t>
  </si>
  <si>
    <t>col.C2 lossyG,lossyA,intra.B.enc.utime.self</t>
  </si>
  <si>
    <t>col.C2 lossyG,lossyA,intra.B.enc.utime.children</t>
  </si>
  <si>
    <t>col.C2 lossyG,lossyA,intra.B.dec.utime.self</t>
  </si>
  <si>
    <t>col.C2 lossyG,lossyA,intra.B.dec.utime.children</t>
  </si>
  <si>
    <t>col.C2 lossyG,lossyA,intra.eqn.ab.ratio-bpp-geometry-total</t>
  </si>
  <si>
    <t>col.C2 lossyG,lossyA,intra.eqn.ab.delta-duppoints_ratio</t>
  </si>
  <si>
    <t>col.C2 lossyG,lossyA,intra.eqn.ab.delta-geom_texture_bits_ratio</t>
  </si>
  <si>
    <t>col.C2 lossyG,lossyA,intra.eqn.ab.summary-delta-geom_texture_bits_ratio</t>
  </si>
  <si>
    <t>col.C2 lossyG,lossyA,intra.eqn.ab.bdrate-d1-geomrate</t>
  </si>
  <si>
    <t>col.C2 lossyG,lossyA,intra.eqn.ab.bdrate-d2-geomrate</t>
  </si>
  <si>
    <t>col.C2 lossyG,lossyA,intra.eqn.ab.bdrate-y-attrrate</t>
  </si>
  <si>
    <t>col.C2 lossyG,lossyA,intra.eqn.ab.bdrate-cb-attrrate</t>
  </si>
  <si>
    <t>col.C2 lossyG,lossyA,intra.eqn.ab.bdrate-cr-attrrate</t>
  </si>
  <si>
    <t>col.C2 lossyG,lossyA,intra.eqn.ab.bdrate-d1</t>
  </si>
  <si>
    <t>col.C2 lossyG,lossyA,intra.eqn.ab.bdrate-d2</t>
  </si>
  <si>
    <t>col.C2 lossyG,lossyA,intra.eqn.ab.bdrate-y</t>
  </si>
  <si>
    <t>col.C2 lossyG,lossyA,intra.eqn.ab.bdrate-cb</t>
  </si>
  <si>
    <t>col.C2 lossyG,lossyA,intra.eqn.ab.bdrate-cr</t>
  </si>
  <si>
    <t>name.A.C2 lossyG,lossyA,intra</t>
  </si>
  <si>
    <t>'C2 lossyG,lossyA,intra'!$I$1</t>
  </si>
  <si>
    <t>name.B.C2 lossyG,lossyA,intra</t>
  </si>
  <si>
    <t>'C2 lossyG,lossyA,intra'!$AG$1</t>
  </si>
  <si>
    <t>range.C2 lossyG,lossyA,intra.8ivfbv2_loot_vox10</t>
  </si>
  <si>
    <t>'C2 lossyG,lossyA,intra'!$A$5:$BT$9</t>
  </si>
  <si>
    <t>range.C2 lossyG,lossyA,intra.8ivfbv2_redandblack_vox10</t>
  </si>
  <si>
    <t>'C2 lossyG,lossyA,intra'!$A$10:$BT$14</t>
  </si>
  <si>
    <t>range.C2 lossyG,lossyA,intra.8ivfbv2_soldier_vox10</t>
  </si>
  <si>
    <t>'C2 lossyG,lossyA,intra'!$A$15:$BT$19</t>
  </si>
  <si>
    <t>range.C2 lossyG,lossyA,intra.queen</t>
  </si>
  <si>
    <t>'C2 lossyG,lossyA,intra'!$A$20:$BT$24</t>
  </si>
  <si>
    <t>range.C2 lossyG,lossyA,intra.8ivfbv2_longdress_vox10</t>
  </si>
  <si>
    <t>'C2 lossyG,lossyA,intra'!$A$25:$BT$29</t>
  </si>
  <si>
    <t>range.C2 lossyG,lossyA,intra.basketball_player_vox11</t>
  </si>
  <si>
    <t>'C2 lossyG,lossyA,intra'!$A$30:$BT$34</t>
  </si>
  <si>
    <t>range.C2 lossyG,lossyA,intra.dancer_player_vox11</t>
  </si>
  <si>
    <t>'C2 lossyG,lossyA,intra'!$A$35:$BT$39</t>
  </si>
  <si>
    <t>cols.C2 lossyG,lossyA,intra</t>
  </si>
  <si>
    <t>col.CW losslG,losslA,intra.class</t>
  </si>
  <si>
    <t>col.CW losslG,losslA,intra.sequence</t>
  </si>
  <si>
    <t>col.CW losslG,losslA,intra.src.numpoints</t>
  </si>
  <si>
    <t>col.CW losslG,losslA,intra.src.geometry-precision</t>
  </si>
  <si>
    <t>col.CW losslG,losslA,intra.src.framecount</t>
  </si>
  <si>
    <t>col.CW losslG,losslA,intra.src.framerate</t>
  </si>
  <si>
    <t>col.CW losslG,losslA,intra.A.eqn.compratio</t>
  </si>
  <si>
    <t>col.CW losslG,losslA,intra.A.eqn.bitrate</t>
  </si>
  <si>
    <t>col.CW losslG,losslA,intra.A.eqn.bpp</t>
  </si>
  <si>
    <t>col.CW losslG,losslA,intra.A.eqn.bpp.geometry+occ+patch</t>
  </si>
  <si>
    <t>col.CW losslG,losslA,intra.A.eqn.bpp.geometry</t>
  </si>
  <si>
    <t>col.CW losslG,losslA,intra.A.eqn.bpp.colour</t>
  </si>
  <si>
    <t>col.CW losslG,losslA,intra.A.eqn.bits.totalgeometry</t>
  </si>
  <si>
    <t>col.CW losslG,losslA,intra.A.eqn.bpop</t>
  </si>
  <si>
    <t>col.CW losslG,losslA,intra.A.dec.numpoints</t>
  </si>
  <si>
    <t>col.CW losslG,losslA,intra.A.enc.ext.bits</t>
  </si>
  <si>
    <t>col.CW losslG,losslA,intra.A.enc.bits.geometry</t>
  </si>
  <si>
    <t>col.CW losslG,losslA,intra.A.enc.bits.occ+patch</t>
  </si>
  <si>
    <t>col.CW losslG,losslA,intra.A.enc.bits.colour</t>
  </si>
  <si>
    <t>col.CW losslG,losslA,intra.A.dec.d1-psnr</t>
  </si>
  <si>
    <t>col.CW losslG,losslA,intra.A.dec.d2-psnr</t>
  </si>
  <si>
    <t>col.CW losslG,losslA,intra.A.dec.y-psnr</t>
  </si>
  <si>
    <t>col.CW losslG,losslA,intra.A.dec.cb-psnr</t>
  </si>
  <si>
    <t>col.CW losslG,losslA,intra.A.dec.cr-psnr</t>
  </si>
  <si>
    <t>col.CW losslG,losslA,intra.A.enc.utime.self</t>
  </si>
  <si>
    <t>col.CW losslG,losslA,intra.A.enc.utime.children</t>
  </si>
  <si>
    <t>col.CW losslG,losslA,intra.A.dec.utime.self</t>
  </si>
  <si>
    <t>col.CW losslG,losslA,intra.A.dec.utime.children</t>
  </si>
  <si>
    <t>col.CW losslG,losslA,intra.B.eqn.compratio</t>
  </si>
  <si>
    <t>col.CW losslG,losslA,intra.B.eqn.bitrate</t>
  </si>
  <si>
    <t>col.CW losslG,losslA,intra.B.eqn.bpp</t>
  </si>
  <si>
    <t>col.CW losslG,losslA,intra.B.eqn.bpp.geometry+occ+patch</t>
  </si>
  <si>
    <t>col.CW losslG,losslA,intra.B.eqn.bpp.geometry</t>
  </si>
  <si>
    <t>col.CW losslG,losslA,intra.B.eqn.bpp.colour</t>
  </si>
  <si>
    <t>col.CW losslG,losslA,intra.B.eqn.bits.totalgeometry</t>
  </si>
  <si>
    <t>col.CW losslG,losslA,intra.B.eqn.bpop</t>
  </si>
  <si>
    <t>col.CW losslG,losslA,intra.B.dec.numpoints</t>
  </si>
  <si>
    <t>col.CW losslG,losslA,intra.B.enc.ext.bits</t>
  </si>
  <si>
    <t>col.CW losslG,losslA,intra.B.enc.bits.geometry</t>
  </si>
  <si>
    <t>col.CW losslG,losslA,intra.B.enc.bits.occ+patch</t>
  </si>
  <si>
    <t>col.CW losslG,losslA,intra.B.enc.bits.colour</t>
  </si>
  <si>
    <t>col.CW losslG,losslA,intra.B.dec.d1-psnr</t>
  </si>
  <si>
    <t>col.CW losslG,losslA,intra.B.dec.d2-psnr</t>
  </si>
  <si>
    <t>col.CW losslG,losslA,intra.B.dec.y-psnr</t>
  </si>
  <si>
    <t>col.CW losslG,losslA,intra.B.dec.cb-psnr</t>
  </si>
  <si>
    <t>col.CW losslG,losslA,intra.B.dec.cr-psnr</t>
  </si>
  <si>
    <t>col.CW losslG,losslA,intra.B.enc.utime.self</t>
  </si>
  <si>
    <t>col.CW losslG,losslA,intra.B.enc.utime.children</t>
  </si>
  <si>
    <t>col.CW losslG,losslA,intra.B.dec.utime.self</t>
  </si>
  <si>
    <t>col.CW losslG,losslA,intra.B.dec.utime.children</t>
  </si>
  <si>
    <t>col.CW losslG,losslA,intra.eqn.ab.ratio-bpp</t>
  </si>
  <si>
    <t>col.CW losslG,losslA,intra.eqn.ab.ratio-bpp-geometry-total</t>
  </si>
  <si>
    <t>col.CW losslG,losslA,intra.eqn.ab.ratio-bpp-geometry</t>
  </si>
  <si>
    <t>col.CW losslG,losslA,intra.eqn.ab.ratio-bpp-colour</t>
  </si>
  <si>
    <t>col.CW losslG,losslA,intra.eqn.ab.delta-geom_texture_bits_ratio</t>
  </si>
  <si>
    <t>col.CW losslG,losslA,intra.eqn.ab.summary-delta-geom_texture_bits_ratio</t>
  </si>
  <si>
    <t>name.A.CW losslG,losslA,intra</t>
  </si>
  <si>
    <t>'CW losslG,losslA,intra'!$H$1</t>
  </si>
  <si>
    <t>name.B.CW losslG,losslA,intra</t>
  </si>
  <si>
    <t>'CW losslG,losslA,intra'!$AE$1</t>
  </si>
  <si>
    <t>range.CW losslG,losslA,intra.8ivfbv2_loot_vox10</t>
  </si>
  <si>
    <t>'CW losslG,losslA,intra'!$A$5:$BG$5</t>
  </si>
  <si>
    <t>range.CW losslG,losslA,intra.8ivfbv2_redandblack_vox10</t>
  </si>
  <si>
    <t>'CW losslG,losslA,intra'!$A$6:$BG$6</t>
  </si>
  <si>
    <t>range.CW losslG,losslA,intra.8ivfbv2_soldier_vox10</t>
  </si>
  <si>
    <t>'CW losslG,losslA,intra'!$A$7:$BG$7</t>
  </si>
  <si>
    <t>range.CW losslG,losslA,intra.queen</t>
  </si>
  <si>
    <t>'CW losslG,losslA,intra'!$A$8:$BG$8</t>
  </si>
  <si>
    <t>range.CW losslG,losslA,intra.8ivfbv2_longdress_vox10</t>
  </si>
  <si>
    <t>'CW losslG,losslA,intra'!$A$9:$BG$9</t>
  </si>
  <si>
    <t>range.CW losslG,losslA,intra.basketball_player_vox11</t>
  </si>
  <si>
    <t>'CW losslG,losslA,intra'!$A$10:$BG$10</t>
  </si>
  <si>
    <t>range.CW losslG,losslA,intra.dancer_player_vox11</t>
  </si>
  <si>
    <t>'CW losslG,losslA,intra'!$A$11:$BG$11</t>
  </si>
  <si>
    <t>cols.CW losslG,losslA,intra</t>
  </si>
  <si>
    <t>col.CW losslG,losslA,interLD.class</t>
  </si>
  <si>
    <t>col.CW losslG,losslA,interLD.sequence</t>
  </si>
  <si>
    <t>col.CW losslG,losslA,interLD.src.numpoints</t>
  </si>
  <si>
    <t>col.CW losslG,losslA,interLD.src.geometry-precision</t>
  </si>
  <si>
    <t>col.CW losslG,losslA,interLD.src.framecount</t>
  </si>
  <si>
    <t>col.CW losslG,losslA,interLD.src.framerate</t>
  </si>
  <si>
    <t>col.CW losslG,losslA,interLD.A.eqn.compratio</t>
  </si>
  <si>
    <t>col.CW losslG,losslA,interLD.A.eqn.bitrate</t>
  </si>
  <si>
    <t>col.CW losslG,losslA,interLD.A.eqn.bpp</t>
  </si>
  <si>
    <t>col.CW losslG,losslA,interLD.A.eqn.bpp.geometry+occ+patch</t>
  </si>
  <si>
    <t>col.CW losslG,losslA,interLD.A.eqn.bpp.geometry</t>
  </si>
  <si>
    <t>col.CW losslG,losslA,interLD.A.eqn.bpp.colour</t>
  </si>
  <si>
    <t>col.CW losslG,losslA,interLD.A.eqn.bits.totalgeometry</t>
  </si>
  <si>
    <t>col.CW losslG,losslA,interLD.A.eqn.bpop</t>
  </si>
  <si>
    <t>col.CW losslG,losslA,interLD.A.dec.numpoints</t>
  </si>
  <si>
    <t>col.CW losslG,losslA,interLD.A.enc.ext.bits</t>
  </si>
  <si>
    <t>col.CW losslG,losslA,interLD.A.enc.bits.geometry</t>
  </si>
  <si>
    <t>col.CW losslG,losslA,interLD.A.enc.bits.occ+patch</t>
  </si>
  <si>
    <t>col.CW losslG,losslA,interLD.A.enc.bits.colour</t>
  </si>
  <si>
    <t>col.CW losslG,losslA,interLD.A.dec.d1-psnr</t>
  </si>
  <si>
    <t>col.CW losslG,losslA,interLD.A.dec.d2-psnr</t>
  </si>
  <si>
    <t>col.CW losslG,losslA,interLD.A.dec.y-psnr</t>
  </si>
  <si>
    <t>col.CW losslG,losslA,interLD.A.dec.cb-psnr</t>
  </si>
  <si>
    <t>col.CW losslG,losslA,interLD.A.dec.cr-psnr</t>
  </si>
  <si>
    <t>col.CW losslG,losslA,interLD.A.enc.utime.self</t>
  </si>
  <si>
    <t>col.CW losslG,losslA,interLD.A.enc.utime.children</t>
  </si>
  <si>
    <t>col.CW losslG,losslA,interLD.A.dec.utime.self</t>
  </si>
  <si>
    <t>col.CW losslG,losslA,interLD.A.dec.utime.children</t>
  </si>
  <si>
    <t>col.CW losslG,losslA,interLD.B.eqn.compratio</t>
  </si>
  <si>
    <t>col.CW losslG,losslA,interLD.B.eqn.bitrate</t>
  </si>
  <si>
    <t>col.CW losslG,losslA,interLD.B.eqn.bpp</t>
  </si>
  <si>
    <t>col.CW losslG,losslA,interLD.B.eqn.bpp.geometry+occ+patch</t>
  </si>
  <si>
    <t>col.CW losslG,losslA,interLD.B.eqn.bpp.geometry</t>
  </si>
  <si>
    <t>col.CW losslG,losslA,interLD.B.eqn.bpp.colour</t>
  </si>
  <si>
    <t>col.CW losslG,losslA,interLD.B.eqn.bits.totalgeometry</t>
  </si>
  <si>
    <t>col.CW losslG,losslA,interLD.B.eqn.bpop</t>
  </si>
  <si>
    <t>col.CW losslG,losslA,interLD.B.dec.numpoints</t>
  </si>
  <si>
    <t>col.CW losslG,losslA,interLD.B.enc.ext.bits</t>
  </si>
  <si>
    <t>col.CW losslG,losslA,interLD.B.enc.bits.geometry</t>
  </si>
  <si>
    <t>col.CW losslG,losslA,interLD.B.enc.bits.occ+patch</t>
  </si>
  <si>
    <t>col.CW losslG,losslA,interLD.B.enc.bits.colour</t>
  </si>
  <si>
    <t>col.CW losslG,losslA,interLD.B.dec.d1-psnr</t>
  </si>
  <si>
    <t>col.CW losslG,losslA,interLD.B.dec.d2-psnr</t>
  </si>
  <si>
    <t>col.CW losslG,losslA,interLD.B.dec.y-psnr</t>
  </si>
  <si>
    <t>col.CW losslG,losslA,interLD.B.dec.cb-psnr</t>
  </si>
  <si>
    <t>col.CW losslG,losslA,interLD.B.dec.cr-psnr</t>
  </si>
  <si>
    <t>col.CW losslG,losslA,interLD.B.enc.utime.self</t>
  </si>
  <si>
    <t>col.CW losslG,losslA,interLD.B.enc.utime.children</t>
  </si>
  <si>
    <t>col.CW losslG,losslA,interLD.B.dec.utime.self</t>
  </si>
  <si>
    <t>col.CW losslG,losslA,interLD.B.dec.utime.children</t>
  </si>
  <si>
    <t>col.CW losslG,losslA,interLD.eqn.ab.ratio-bpp</t>
  </si>
  <si>
    <t>col.CW losslG,losslA,interLD.eqn.ab.ratio-bpp-geometry-total</t>
  </si>
  <si>
    <t>col.CW losslG,losslA,interLD.eqn.ab.ratio-bpp-geometry</t>
  </si>
  <si>
    <t>col.CW losslG,losslA,interLD.eqn.ab.ratio-bpp-colour</t>
  </si>
  <si>
    <t>col.CW losslG,losslA,interLD.eqn.ab.delta-geom_texture_bits_ratio</t>
  </si>
  <si>
    <t>col.CW losslG,losslA,interLD.eqn.ab.summary-delta-geom_texture_bits_ratio</t>
  </si>
  <si>
    <t>name.A.CW losslG,losslA,interLD</t>
  </si>
  <si>
    <t>'CW losslG,losslA,interLD'!$H$1</t>
  </si>
  <si>
    <t>name.B.CW losslG,losslA,interLD</t>
  </si>
  <si>
    <t>'CW losslG,losslA,interLD'!$AE$1</t>
  </si>
  <si>
    <t>range.CW losslG,losslA,interLD.8ivfbv2_loot_vox10</t>
  </si>
  <si>
    <t>'CW losslG,losslA,interLD'!$A$5:$BG$5</t>
  </si>
  <si>
    <t>range.CW losslG,losslA,interLD.8ivfbv2_redandblack_vox10</t>
  </si>
  <si>
    <t>'CW losslG,losslA,interLD'!$A$6:$BG$6</t>
  </si>
  <si>
    <t>range.CW losslG,losslA,interLD.8ivfbv2_soldier_vox10</t>
  </si>
  <si>
    <t>'CW losslG,losslA,interLD'!$A$7:$BG$7</t>
  </si>
  <si>
    <t>range.CW losslG,losslA,interLD.queen</t>
  </si>
  <si>
    <t>'CW losslG,losslA,interLD'!$A$8:$BG$8</t>
  </si>
  <si>
    <t>range.CW losslG,losslA,interLD.8ivfbv2_longdress_vox10</t>
  </si>
  <si>
    <t>'CW losslG,losslA,interLD'!$A$9:$BG$9</t>
  </si>
  <si>
    <t>range.CW losslG,losslA,interLD.basketball_player_vox11</t>
  </si>
  <si>
    <t>'CW losslG,losslA,interLD'!$A$10:$BG$10</t>
  </si>
  <si>
    <t>range.CW losslG,losslA,interLD.dancer_player_vox11</t>
  </si>
  <si>
    <t>'CW losslG,losslA,interLD'!$A$11:$BG$11</t>
  </si>
  <si>
    <t>cols.CW losslG,losslA,interLD</t>
  </si>
  <si>
    <t>col.C2 lossyG,lossyA,interRA.class</t>
  </si>
  <si>
    <t>col.C2 lossyG,lossyA,interRA.sequence</t>
  </si>
  <si>
    <t>col.C2 lossyG,lossyA,interRA.variant</t>
  </si>
  <si>
    <t>col.C2 lossyG,lossyA,interRA.src.numpoints</t>
  </si>
  <si>
    <t>col.C2 lossyG,lossyA,interRA.src.geometry-precision</t>
  </si>
  <si>
    <t>col.C2 lossyG,lossyA,interRA.src.framecount</t>
  </si>
  <si>
    <t>col.C2 lossyG,lossyA,interRA.src.framerate</t>
  </si>
  <si>
    <t>col.C2 lossyG,lossyA,interRA.A.eqn.bitrate</t>
  </si>
  <si>
    <t>col.C2 lossyG,lossyA,interRA.A.eqn.bpp</t>
  </si>
  <si>
    <t>col.C2 lossyG,lossyA,interRA.A.eqn.bpp.geometry+occ+patch</t>
  </si>
  <si>
    <t>col.C2 lossyG,lossyA,interRA.A.eqn.bpp.geometry</t>
  </si>
  <si>
    <t>col.C2 lossyG,lossyA,interRA.A.eqn.bpp.colour</t>
  </si>
  <si>
    <t>col.C2 lossyG,lossyA,interRA.A.eqn.bits.totalgeometry</t>
  </si>
  <si>
    <t>col.C2 lossyG,lossyA,interRA.A.eqn.bpop</t>
  </si>
  <si>
    <t>col.C2 lossyG,lossyA,interRA.A.dec.numpoints</t>
  </si>
  <si>
    <t>col.C2 lossyG,lossyA,interRA.A.dec.numpoints.mean</t>
  </si>
  <si>
    <t>col.C2 lossyG,lossyA,interRA.A.dec.numduppoints.mean</t>
  </si>
  <si>
    <t>col.C2 lossyG,lossyA,interRA.A.enc.ext.bits</t>
  </si>
  <si>
    <t>col.C2 lossyG,lossyA,interRA.A.enc.bits.geometry</t>
  </si>
  <si>
    <t>col.C2 lossyG,lossyA,interRA.A.enc.bits.occ+patch</t>
  </si>
  <si>
    <t>col.C2 lossyG,lossyA,interRA.A.enc.bits.colour</t>
  </si>
  <si>
    <t>col.C2 lossyG,lossyA,interRA.A.dec.d1-psnr</t>
  </si>
  <si>
    <t>col.C2 lossyG,lossyA,interRA.A.dec.d2-psnr</t>
  </si>
  <si>
    <t>col.C2 lossyG,lossyA,interRA.A.dec.y-psnr</t>
  </si>
  <si>
    <t>col.C2 lossyG,lossyA,interRA.A.dec.cb-psnr</t>
  </si>
  <si>
    <t>col.C2 lossyG,lossyA,interRA.A.dec.cr-psnr</t>
  </si>
  <si>
    <t>col.C2 lossyG,lossyA,interRA.A.enc.utime.self</t>
  </si>
  <si>
    <t>col.C2 lossyG,lossyA,interRA.A.enc.utime.children</t>
  </si>
  <si>
    <t>col.C2 lossyG,lossyA,interRA.A.dec.utime.self</t>
  </si>
  <si>
    <t>col.C2 lossyG,lossyA,interRA.A.dec.utime.children</t>
  </si>
  <si>
    <t>col.C2 lossyG,lossyA,interRA.B.eqn.bitrate</t>
  </si>
  <si>
    <t>col.C2 lossyG,lossyA,interRA.B.eqn.bpp</t>
  </si>
  <si>
    <t>col.C2 lossyG,lossyA,interRA.B.eqn.bpp.geometry+occ+patch</t>
  </si>
  <si>
    <t>col.C2 lossyG,lossyA,interRA.B.eqn.bpp.geometry</t>
  </si>
  <si>
    <t>col.C2 lossyG,lossyA,interRA.B.eqn.bpp.colour</t>
  </si>
  <si>
    <t>col.C2 lossyG,lossyA,interRA.B.eqn.bits.totalgeometry</t>
  </si>
  <si>
    <t>col.C2 lossyG,lossyA,interRA.B.eqn.bpop</t>
  </si>
  <si>
    <t>col.C2 lossyG,lossyA,interRA.B.dec.numpoints</t>
  </si>
  <si>
    <t>col.C2 lossyG,lossyA,interRA.B.dec.numpoints.mean</t>
  </si>
  <si>
    <t>col.C2 lossyG,lossyA,interRA.B.dec.numduppoints.mean</t>
  </si>
  <si>
    <t>col.C2 lossyG,lossyA,interRA.B.enc.ext.bits</t>
  </si>
  <si>
    <t>col.C2 lossyG,lossyA,interRA.B.enc.bits.geometry</t>
  </si>
  <si>
    <t>col.C2 lossyG,lossyA,interRA.B.enc.bits.occ+patch</t>
  </si>
  <si>
    <t>col.C2 lossyG,lossyA,interRA.B.enc.bits.colour</t>
  </si>
  <si>
    <t>col.C2 lossyG,lossyA,interRA.B.dec.d1-psnr</t>
  </si>
  <si>
    <t>col.C2 lossyG,lossyA,interRA.B.dec.d2-psnr</t>
  </si>
  <si>
    <t>col.C2 lossyG,lossyA,interRA.B.dec.y-psnr</t>
  </si>
  <si>
    <t>col.C2 lossyG,lossyA,interRA.B.dec.cb-psnr</t>
  </si>
  <si>
    <t>col.C2 lossyG,lossyA,interRA.B.dec.cr-psnr</t>
  </si>
  <si>
    <t>col.C2 lossyG,lossyA,interRA.B.enc.utime.self</t>
  </si>
  <si>
    <t>col.C2 lossyG,lossyA,interRA.B.enc.utime.children</t>
  </si>
  <si>
    <t>col.C2 lossyG,lossyA,interRA.B.dec.utime.self</t>
  </si>
  <si>
    <t>col.C2 lossyG,lossyA,interRA.B.dec.utime.children</t>
  </si>
  <si>
    <t>col.C2 lossyG,lossyA,interRA.eqn.ab.ratio-bpp-geometry-total</t>
  </si>
  <si>
    <t>col.C2 lossyG,lossyA,interRA.eqn.ab.delta-duppoints_ratio</t>
  </si>
  <si>
    <t>col.C2 lossyG,lossyA,interRA.eqn.ab.delta-geom_texture_bits_ratio</t>
  </si>
  <si>
    <t>col.C2 lossyG,lossyA,interRA.eqn.ab.summary-delta-geom_texture_bits_ratio</t>
  </si>
  <si>
    <t>col.C2 lossyG,lossyA,interRA.eqn.ab.bdrate-d1-geomrate</t>
  </si>
  <si>
    <t>col.C2 lossyG,lossyA,interRA.eqn.ab.bdrate-d2-geomrate</t>
  </si>
  <si>
    <t>col.C2 lossyG,lossyA,interRA.eqn.ab.bdrate-y-attrrate</t>
  </si>
  <si>
    <t>col.C2 lossyG,lossyA,interRA.eqn.ab.bdrate-cb-attrrate</t>
  </si>
  <si>
    <t>col.C2 lossyG,lossyA,interRA.eqn.ab.bdrate-cr-attrrate</t>
  </si>
  <si>
    <t>col.C2 lossyG,lossyA,interRA.eqn.ab.bdrate-d1</t>
  </si>
  <si>
    <t>col.C2 lossyG,lossyA,interRA.eqn.ab.bdrate-d2</t>
  </si>
  <si>
    <t>col.C2 lossyG,lossyA,interRA.eqn.ab.bdrate-y</t>
  </si>
  <si>
    <t>col.C2 lossyG,lossyA,interRA.eqn.ab.bdrate-cb</t>
  </si>
  <si>
    <t>col.C2 lossyG,lossyA,interRA.eqn.ab.bdrate-cr</t>
  </si>
  <si>
    <t>name.A.C2 lossyG,lossyA,interRA</t>
  </si>
  <si>
    <t>'C2 lossyG,lossyA,interRA'!$I$1</t>
  </si>
  <si>
    <t>name.B.C2 lossyG,lossyA,interRA</t>
  </si>
  <si>
    <t>'C2 lossyG,lossyA,interRA'!$AG$1</t>
  </si>
  <si>
    <t>range.C2 lossyG,lossyA,interRA.8ivfbv2_loot_vox10</t>
  </si>
  <si>
    <t>'C2 lossyG,lossyA,interRA'!$A$5:$BT$9</t>
  </si>
  <si>
    <t>range.C2 lossyG,lossyA,interRA.8ivfbv2_redandblack_vox10</t>
  </si>
  <si>
    <t>'C2 lossyG,lossyA,interRA'!$A$10:$BT$14</t>
  </si>
  <si>
    <t>range.C2 lossyG,lossyA,interRA.8ivfbv2_soldier_vox10</t>
  </si>
  <si>
    <t>'C2 lossyG,lossyA,interRA'!$A$15:$BT$19</t>
  </si>
  <si>
    <t>range.C2 lossyG,lossyA,interRA.queen</t>
  </si>
  <si>
    <t>'C2 lossyG,lossyA,interRA'!$A$20:$BT$24</t>
  </si>
  <si>
    <t>range.C2 lossyG,lossyA,interRA.8ivfbv2_longdress_vox10</t>
  </si>
  <si>
    <t>'C2 lossyG,lossyA,interRA'!$A$25:$BT$29</t>
  </si>
  <si>
    <t>range.C2 lossyG,lossyA,interRA.basketball_player_vox11</t>
  </si>
  <si>
    <t>'C2 lossyG,lossyA,interRA'!$A$30:$BT$34</t>
  </si>
  <si>
    <t>range.C2 lossyG,lossyA,interRA.dancer_player_vox11</t>
  </si>
  <si>
    <t>'C2 lossyG,lossyA,interRA'!$A$35:$BT$39</t>
  </si>
  <si>
    <t>cols.C2 lossyG,lossyA,interRA</t>
  </si>
  <si>
    <t>CW_ai — lossless geometry, lossless attributes [all intra]</t>
  </si>
  <si>
    <t>Comp. ratio [%]</t>
  </si>
  <si>
    <t>A.eqn.compratio</t>
  </si>
  <si>
    <t>B.eqn.compratio</t>
  </si>
  <si>
    <t>eqn.ab.ratio-bpp</t>
  </si>
  <si>
    <t>eqn.ab.ratio-bpp-geometry</t>
  </si>
  <si>
    <t>eqn.ab.ratio-bpp-colour</t>
  </si>
  <si>
    <t>inf</t>
  </si>
  <si>
    <t>CW_ld — lossless geometry, lossless attributes [inter, low delay]</t>
  </si>
  <si>
    <t>C2_ra — lossy geometry, lossy attributes [inter, random access]</t>
  </si>
  <si>
    <t>R10.0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</si>
</sst>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
    <numFmt numFmtId="166" formatCode="[&gt;1000]0;[&gt;100]0.0;0.00"/>
  </numFmts>
  <fonts count="2" x14ac:knownFonts="1">
    <font>
      <sz val="11"/>
      <color theme="1"/>
      <name val="Calibri"/>
      <family val="2"/>
      <scheme val="minor"/>
    </font>
    <font>
      <b/>
      <sz val="11"/>
      <color theme="1"/>
      <name val="Calibri"/>
      <family val="2"/>
      <scheme val="minor"/>
    </font>
  </fonts>
  <fills count="12">
    <fill>
      <patternFill patternType="none"/>
    </fill>
    <fill>
      <patternFill patternType="gray125"/>
    </fill>
    <fill>
      <patternFill patternType="solid">
        <fgColor rgb="FFDA9694"/>
        <bgColor auto="1"/>
      </patternFill>
    </fill>
    <fill>
      <patternFill patternType="solid">
        <fgColor rgb="FFC4D796"/>
        <bgColor auto="1"/>
      </patternFill>
    </fill>
    <fill>
      <patternFill patternType="solid">
        <fgColor rgb="FFBFBFBF"/>
        <bgColor auto="1"/>
      </patternFill>
    </fill>
    <fill>
      <patternFill patternType="solid">
        <fgColor rgb="FFA6A6A6"/>
        <bgColor auto="1"/>
      </patternFill>
    </fill>
    <fill>
      <patternFill patternType="solid">
        <fgColor rgb="FFFFFF00"/>
        <bgColor auto="1"/>
      </patternFill>
    </fill>
    <fill>
      <patternFill patternType="solid">
        <fgColor rgb="FFC4BF97"/>
        <bgColor auto="1"/>
      </patternFill>
    </fill>
    <fill>
      <patternFill patternType="solid">
        <fgColor rgb="FFF2F2F2"/>
        <bgColor auto="1"/>
      </patternFill>
    </fill>
    <fill>
      <patternFill patternType="solid">
        <fgColor rgb="FFDCE6F1"/>
        <bgColor auto="1"/>
      </patternFill>
    </fill>
    <fill>
      <patternFill patternType="solid">
        <fgColor rgb="FFD9D9D9"/>
        <bgColor auto="1"/>
      </patternFill>
    </fill>
    <fill>
      <patternFill patternType="solid">
        <fgColor rgb="FFB8CCE4"/>
        <bgColor auto="1"/>
      </patternFill>
    </fill>
  </fills>
  <borders count="5">
    <border>
      <left/>
      <right/>
      <top/>
      <bottom/>
      <diagonal/>
    </border>
    <border>
      <left/>
      <right/>
      <top style="medium">
        <color auto="1"/>
      </top>
      <bottom style="medium">
        <color auto="1"/>
      </bottom>
      <diagonal/>
    </border>
    <border>
      <left/>
      <right/>
      <top style="medium">
        <color auto="1"/>
      </top>
      <bottom/>
      <diagonal/>
    </border>
    <border>
      <left/>
      <right/>
      <top/>
      <bottom style="medium">
        <color auto="1"/>
      </bottom>
      <diagonal/>
    </border>
    <border>
      <left/>
      <right/>
      <top style="thin">
        <color auto="1"/>
      </top>
      <bottom style="thin">
        <color auto="1"/>
      </bottom>
      <diagonal/>
    </border>
  </borders>
  <cellStyleXfs count="1">
    <xf numFmtId="0" fontId="0" fillId="0" borderId="0"/>
  </cellStyleXfs>
  <cellXfs count="74">
    <xf numFmtId="0" fontId="0" fillId="0" borderId="0" xfId="0"/>
    <xf numFmtId="0" fontId="1" fillId="4" borderId="0" xfId="0" applyFont="1" applyFill="1"/>
    <xf numFmtId="0" fontId="1" fillId="4" borderId="3" xfId="0" applyFont="1" applyFill="1" applyBorder="1" applyAlignment="1">
      <alignment horizontal="center" vertical="center" wrapText="1"/>
    </xf>
    <xf numFmtId="0" fontId="1" fillId="5" borderId="3" xfId="0" applyFont="1" applyFill="1" applyBorder="1" applyAlignment="1">
      <alignment horizontal="center" vertical="center" wrapText="1"/>
    </xf>
    <xf numFmtId="0" fontId="1" fillId="0" borderId="4" xfId="0" applyFont="1" applyBorder="1"/>
    <xf numFmtId="164" fontId="0" fillId="0" borderId="4" xfId="0" applyNumberFormat="1" applyBorder="1" applyAlignment="1">
      <alignment horizontal="center"/>
    </xf>
    <xf numFmtId="0" fontId="0" fillId="0" borderId="3" xfId="0" applyBorder="1"/>
    <xf numFmtId="0" fontId="0" fillId="6" borderId="0" xfId="0" applyFill="1"/>
    <xf numFmtId="0" fontId="1" fillId="5" borderId="3" xfId="0" applyFont="1" applyFill="1" applyBorder="1" applyAlignment="1">
      <alignment horizontal="center" textRotation="90" wrapText="1"/>
    </xf>
    <xf numFmtId="0" fontId="1" fillId="4" borderId="3" xfId="0" applyFont="1" applyFill="1" applyBorder="1" applyAlignment="1">
      <alignment horizontal="center" textRotation="90" wrapText="1"/>
    </xf>
    <xf numFmtId="0" fontId="0" fillId="8" borderId="0" xfId="0" applyFill="1" applyAlignment="1">
      <alignment horizontal="center"/>
    </xf>
    <xf numFmtId="165" fontId="0" fillId="8" borderId="0" xfId="0" applyNumberFormat="1" applyFill="1" applyAlignment="1">
      <alignment horizontal="center"/>
    </xf>
    <xf numFmtId="2" fontId="0" fillId="8" borderId="0" xfId="0" applyNumberFormat="1" applyFill="1" applyAlignment="1">
      <alignment horizontal="center"/>
    </xf>
    <xf numFmtId="0" fontId="0" fillId="9" borderId="0" xfId="0" applyFill="1"/>
    <xf numFmtId="0" fontId="0" fillId="9" borderId="0" xfId="0" applyFill="1" applyAlignment="1">
      <alignment horizontal="center"/>
    </xf>
    <xf numFmtId="2" fontId="0" fillId="9" borderId="0" xfId="0" applyNumberFormat="1" applyFill="1" applyAlignment="1">
      <alignment horizontal="center"/>
    </xf>
    <xf numFmtId="166" fontId="0" fillId="9" borderId="0" xfId="0" applyNumberFormat="1" applyFill="1" applyAlignment="1">
      <alignment horizontal="center"/>
    </xf>
    <xf numFmtId="9" fontId="0" fillId="8" borderId="0" xfId="0" applyNumberFormat="1" applyFill="1" applyAlignment="1">
      <alignment horizontal="center"/>
    </xf>
    <xf numFmtId="0" fontId="0" fillId="10" borderId="0" xfId="0" applyFill="1"/>
    <xf numFmtId="0" fontId="0" fillId="10" borderId="0" xfId="0" applyFill="1" applyAlignment="1">
      <alignment horizontal="center"/>
    </xf>
    <xf numFmtId="165" fontId="0" fillId="10" borderId="0" xfId="0" applyNumberFormat="1" applyFill="1" applyAlignment="1">
      <alignment horizontal="center"/>
    </xf>
    <xf numFmtId="2" fontId="0" fillId="10" borderId="0" xfId="0" applyNumberFormat="1" applyFill="1" applyAlignment="1">
      <alignment horizontal="center"/>
    </xf>
    <xf numFmtId="0" fontId="0" fillId="11" borderId="0" xfId="0" applyFill="1"/>
    <xf numFmtId="0" fontId="0" fillId="11" borderId="0" xfId="0" applyFill="1" applyAlignment="1">
      <alignment horizontal="center"/>
    </xf>
    <xf numFmtId="2" fontId="0" fillId="11" borderId="0" xfId="0" applyNumberFormat="1" applyFill="1" applyAlignment="1">
      <alignment horizontal="center"/>
    </xf>
    <xf numFmtId="166" fontId="0" fillId="11" borderId="0" xfId="0" applyNumberFormat="1" applyFill="1" applyAlignment="1">
      <alignment horizontal="center"/>
    </xf>
    <xf numFmtId="9" fontId="0" fillId="10" borderId="0" xfId="0" applyNumberFormat="1" applyFill="1" applyAlignment="1">
      <alignment horizontal="center"/>
    </xf>
    <xf numFmtId="0" fontId="0" fillId="8" borderId="3" xfId="0" applyFill="1" applyBorder="1"/>
    <xf numFmtId="0" fontId="0" fillId="8" borderId="3" xfId="0" applyFill="1" applyBorder="1" applyAlignment="1">
      <alignment horizontal="center"/>
    </xf>
    <xf numFmtId="165" fontId="0" fillId="8" borderId="3" xfId="0" applyNumberFormat="1" applyFill="1" applyBorder="1" applyAlignment="1">
      <alignment horizontal="center"/>
    </xf>
    <xf numFmtId="2" fontId="0" fillId="8" borderId="3" xfId="0" applyNumberFormat="1" applyFill="1" applyBorder="1" applyAlignment="1">
      <alignment horizontal="center"/>
    </xf>
    <xf numFmtId="0" fontId="0" fillId="9" borderId="3" xfId="0" applyFill="1" applyBorder="1"/>
    <xf numFmtId="0" fontId="0" fillId="9" borderId="3" xfId="0" applyFill="1" applyBorder="1" applyAlignment="1">
      <alignment horizontal="center"/>
    </xf>
    <xf numFmtId="2" fontId="0" fillId="9" borderId="3" xfId="0" applyNumberFormat="1" applyFill="1" applyBorder="1" applyAlignment="1">
      <alignment horizontal="center"/>
    </xf>
    <xf numFmtId="166" fontId="0" fillId="9" borderId="3" xfId="0" applyNumberFormat="1" applyFill="1" applyBorder="1" applyAlignment="1">
      <alignment horizontal="center"/>
    </xf>
    <xf numFmtId="164" fontId="0" fillId="8" borderId="3" xfId="0" applyNumberFormat="1" applyFill="1" applyBorder="1" applyAlignment="1">
      <alignment horizontal="center"/>
    </xf>
    <xf numFmtId="9" fontId="0" fillId="8" borderId="3" xfId="0" applyNumberFormat="1" applyFill="1" applyBorder="1" applyAlignment="1">
      <alignment horizontal="center"/>
    </xf>
    <xf numFmtId="0" fontId="0" fillId="10" borderId="3" xfId="0" applyFill="1" applyBorder="1"/>
    <xf numFmtId="0" fontId="0" fillId="10" borderId="3" xfId="0" applyFill="1" applyBorder="1" applyAlignment="1">
      <alignment horizontal="center"/>
    </xf>
    <xf numFmtId="165" fontId="0" fillId="10" borderId="3" xfId="0" applyNumberFormat="1" applyFill="1" applyBorder="1" applyAlignment="1">
      <alignment horizontal="center"/>
    </xf>
    <xf numFmtId="2" fontId="0" fillId="10" borderId="3" xfId="0" applyNumberFormat="1" applyFill="1" applyBorder="1" applyAlignment="1">
      <alignment horizontal="center"/>
    </xf>
    <xf numFmtId="0" fontId="0" fillId="11" borderId="3" xfId="0" applyFill="1" applyBorder="1"/>
    <xf numFmtId="0" fontId="0" fillId="11" borderId="3" xfId="0" applyFill="1" applyBorder="1" applyAlignment="1">
      <alignment horizontal="center"/>
    </xf>
    <xf numFmtId="2" fontId="0" fillId="11" borderId="3" xfId="0" applyNumberFormat="1" applyFill="1" applyBorder="1" applyAlignment="1">
      <alignment horizontal="center"/>
    </xf>
    <xf numFmtId="166" fontId="0" fillId="11" borderId="3" xfId="0" applyNumberFormat="1" applyFill="1" applyBorder="1" applyAlignment="1">
      <alignment horizontal="center"/>
    </xf>
    <xf numFmtId="164" fontId="0" fillId="10" borderId="3" xfId="0" applyNumberFormat="1" applyFill="1" applyBorder="1" applyAlignment="1">
      <alignment horizontal="center"/>
    </xf>
    <xf numFmtId="9" fontId="0" fillId="10" borderId="3" xfId="0" applyNumberFormat="1" applyFill="1" applyBorder="1" applyAlignment="1">
      <alignment horizontal="center"/>
    </xf>
    <xf numFmtId="0" fontId="1" fillId="0" borderId="0" xfId="0" applyFont="1" applyAlignment="1">
      <alignment wrapText="1"/>
    </xf>
    <xf numFmtId="2" fontId="0" fillId="0" borderId="0" xfId="0" applyNumberFormat="1" applyAlignment="1">
      <alignment horizontal="center"/>
    </xf>
    <xf numFmtId="166" fontId="0" fillId="0" borderId="0" xfId="0" applyNumberFormat="1" applyAlignment="1">
      <alignment horizontal="center"/>
    </xf>
    <xf numFmtId="164" fontId="0" fillId="10" borderId="0" xfId="0" applyNumberFormat="1" applyFill="1" applyAlignment="1">
      <alignment horizontal="center"/>
    </xf>
    <xf numFmtId="164" fontId="0" fillId="8" borderId="0" xfId="0" applyNumberFormat="1" applyFill="1" applyAlignment="1">
      <alignment horizontal="center"/>
    </xf>
    <xf numFmtId="164" fontId="0" fillId="0" borderId="0" xfId="0" applyNumberFormat="1" applyAlignment="1">
      <alignment horizontal="center"/>
    </xf>
    <xf numFmtId="0" fontId="0" fillId="0" borderId="0" xfId="0"/>
    <xf numFmtId="0" fontId="0" fillId="8" borderId="0" xfId="0" applyFill="1"/>
    <xf numFmtId="9" fontId="0" fillId="0" borderId="0" xfId="0" applyNumberFormat="1" applyAlignment="1">
      <alignment horizontal="center"/>
    </xf>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0" fontId="1" fillId="2" borderId="0" xfId="0" applyFont="1" applyFill="1" applyAlignment="1">
      <alignment horizontal="center" wrapText="1"/>
    </xf>
    <xf numFmtId="0" fontId="0" fillId="0" borderId="0" xfId="0"/>
    <xf numFmtId="0" fontId="1" fillId="3" borderId="0" xfId="0" applyFont="1" applyFill="1" applyAlignment="1">
      <alignment horizontal="center" wrapText="1"/>
    </xf>
    <xf numFmtId="0" fontId="1" fillId="4" borderId="1" xfId="0" applyFont="1" applyFill="1" applyBorder="1" applyAlignment="1">
      <alignment horizontal="center" vertical="center" wrapText="1"/>
    </xf>
    <xf numFmtId="0" fontId="0" fillId="0" borderId="3" xfId="0" applyBorder="1"/>
    <xf numFmtId="0" fontId="1" fillId="4" borderId="2" xfId="0" applyFont="1" applyFill="1" applyBorder="1" applyAlignment="1">
      <alignment horizontal="center" vertical="center" wrapText="1"/>
    </xf>
    <xf numFmtId="0" fontId="0" fillId="0" borderId="2" xfId="0" applyBorder="1"/>
    <xf numFmtId="0" fontId="1" fillId="4" borderId="0" xfId="0" applyFont="1" applyFill="1" applyAlignment="1">
      <alignment horizontal="center" vertical="center" wrapText="1"/>
    </xf>
    <xf numFmtId="0" fontId="1" fillId="5" borderId="0" xfId="0" applyFont="1" applyFill="1" applyAlignment="1">
      <alignment horizontal="center" vertical="center" wrapText="1"/>
    </xf>
    <xf numFmtId="9" fontId="0" fillId="0" borderId="0" xfId="0" applyNumberFormat="1" applyAlignment="1">
      <alignment horizontal="center"/>
    </xf>
    <xf numFmtId="9" fontId="0" fillId="0" borderId="3" xfId="0" applyNumberFormat="1" applyBorder="1" applyAlignment="1">
      <alignment horizontal="center"/>
    </xf>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0" fontId="1" fillId="5" borderId="0" xfId="0" applyFont="1" applyFill="1" applyAlignment="1">
      <alignment horizontal="center" wrapText="1"/>
    </xf>
    <xf numFmtId="0" fontId="1" fillId="4" borderId="0" xfId="0" applyFont="1" applyFill="1" applyAlignment="1">
      <alignment horizontal="center" wrapText="1"/>
    </xf>
    <xf numFmtId="0" fontId="1" fillId="7" borderId="0" xfId="0" applyFont="1" applyFill="1" applyAlignment="1">
      <alignment horizontal="left" vertical="top"/>
    </xf>
  </cellXfs>
  <cellStyles count="1">
    <cellStyle name="Normal" xfId="0" builtinId="0"/>
  </cellStyles>
  <dxfs count="114">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Graphs!graph_a_title</c:f>
          <c:strCache>
            <c:ptCount val="1"/>
            <c:pt idx="0">
              <c:v>D1 Geometry PSNR (Graph a)</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Graphs!graph_a_A_title</c:f>
              <c:strCache>
                <c:ptCount val="1"/>
                <c:pt idx="0">
                  <c:v>R10.0</c:v>
                </c:pt>
              </c:strCache>
            </c:strRef>
          </c:tx>
          <c:spPr>
            <a:ln>
              <a:prstDash val="solid"/>
            </a:ln>
          </c:spPr>
          <c:marker>
            <c:symbol val="none"/>
          </c:marker>
          <c:xVal>
            <c:numRef>
              <c:f>Graphs!graph_a_x_range_A</c:f>
              <c:numCache>
                <c:formatCode>0.00</c:formatCode>
                <c:ptCount val="5"/>
                <c:pt idx="0">
                  <c:v>3.4664359032843796E-2</c:v>
                </c:pt>
                <c:pt idx="1">
                  <c:v>4.8075471359966988E-2</c:v>
                </c:pt>
                <c:pt idx="2">
                  <c:v>6.741638171623604E-2</c:v>
                </c:pt>
                <c:pt idx="3">
                  <c:v>0.10028366123759566</c:v>
                </c:pt>
                <c:pt idx="4">
                  <c:v>0.15538694432702951</c:v>
                </c:pt>
              </c:numCache>
            </c:numRef>
          </c:xVal>
          <c:yVal>
            <c:numRef>
              <c:f>Graphs!graph_a_y_range_A</c:f>
              <c:numCache>
                <c:formatCode>0.00</c:formatCode>
                <c:ptCount val="5"/>
                <c:pt idx="0">
                  <c:v>66.3066216666667</c:v>
                </c:pt>
                <c:pt idx="1">
                  <c:v>68.1577056666667</c:v>
                </c:pt>
                <c:pt idx="2">
                  <c:v>69.555043333333202</c:v>
                </c:pt>
                <c:pt idx="3">
                  <c:v>70.687751000000006</c:v>
                </c:pt>
                <c:pt idx="4">
                  <c:v>71.790062333333395</c:v>
                </c:pt>
              </c:numCache>
            </c:numRef>
          </c:yVal>
          <c:smooth val="1"/>
          <c:extLst>
            <c:ext xmlns:c16="http://schemas.microsoft.com/office/drawing/2014/chart" uri="{C3380CC4-5D6E-409C-BE32-E72D297353CC}">
              <c16:uniqueId val="{00000000-F4AB-4F53-B543-C10B7AA0A6B8}"/>
            </c:ext>
          </c:extLst>
        </c:ser>
        <c:ser>
          <c:idx val="1"/>
          <c:order val="1"/>
          <c:tx>
            <c:strRef>
              <c:f>Graphs!graph_a_B_title</c:f>
              <c:strCache>
                <c:ptCount val="1"/>
                <c:pt idx="0">
                  <c:v>0</c:v>
                </c:pt>
              </c:strCache>
            </c:strRef>
          </c:tx>
          <c:spPr>
            <a:ln>
              <a:prstDash val="solid"/>
            </a:ln>
          </c:spPr>
          <c:marker>
            <c:symbol val="none"/>
          </c:marker>
          <c:xVal>
            <c:strRef>
              <c:f>Graphs!graph_a_x_range_B</c:f>
              <c:strCache>
                <c:ptCount val="5"/>
                <c:pt idx="0">
                  <c:v>·</c:v>
                </c:pt>
                <c:pt idx="1">
                  <c:v>·</c:v>
                </c:pt>
                <c:pt idx="2">
                  <c:v>·</c:v>
                </c:pt>
                <c:pt idx="3">
                  <c:v>·</c:v>
                </c:pt>
                <c:pt idx="4">
                  <c:v>·</c:v>
                </c:pt>
              </c:strCache>
            </c:strRef>
          </c:xVal>
          <c:yVal>
            <c:numRef>
              <c:f>Graphs!graph_a_y_range_B</c:f>
              <c:numCache>
                <c:formatCode>0.00</c:formatCode>
                <c:ptCount val="5"/>
              </c:numCache>
            </c:numRef>
          </c:yVal>
          <c:smooth val="1"/>
          <c:extLst>
            <c:ext xmlns:c16="http://schemas.microsoft.com/office/drawing/2014/chart" uri="{C3380CC4-5D6E-409C-BE32-E72D297353CC}">
              <c16:uniqueId val="{00000001-F4AB-4F53-B543-C10B7AA0A6B8}"/>
            </c:ext>
          </c:extLst>
        </c:ser>
        <c:dLbls>
          <c:showLegendKey val="0"/>
          <c:showVal val="0"/>
          <c:showCatName val="0"/>
          <c:showSerName val="0"/>
          <c:showPercent val="0"/>
          <c:showBubbleSize val="0"/>
        </c:dLbls>
        <c:axId val="50010001"/>
        <c:axId val="50010002"/>
      </c:scatterChart>
      <c:valAx>
        <c:axId val="50010001"/>
        <c:scaling>
          <c:orientation val="minMax"/>
        </c:scaling>
        <c:delete val="0"/>
        <c:axPos val="b"/>
        <c:title>
          <c:tx>
            <c:strRef>
              <c:f>Graphs!graph_a_x_title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10002"/>
        <c:crosses val="autoZero"/>
        <c:crossBetween val="midCat"/>
      </c:valAx>
      <c:valAx>
        <c:axId val="50010002"/>
        <c:scaling>
          <c:orientation val="minMax"/>
        </c:scaling>
        <c:delete val="0"/>
        <c:axPos val="l"/>
        <c:majorGridlines/>
        <c:title>
          <c:tx>
            <c:strRef>
              <c:f>Graphs!graph_a_y_title</c:f>
              <c:strCache>
                <c:ptCount val="1"/>
                <c:pt idx="0">
                  <c:v>D1 Geometry PSNR</c:v>
                </c:pt>
              </c:strCache>
            </c:strRef>
          </c:tx>
          <c:overlay val="0"/>
          <c:txPr>
            <a:bodyPr rot="-5400000" vert="horz"/>
            <a:lstStyle/>
            <a:p>
              <a:pPr>
                <a:defRPr/>
              </a:pPr>
              <a:endParaRPr lang="en-US"/>
            </a:p>
          </c:txPr>
        </c:title>
        <c:numFmt formatCode="0.00" sourceLinked="1"/>
        <c:majorTickMark val="out"/>
        <c:minorTickMark val="none"/>
        <c:tickLblPos val="nextTo"/>
        <c:crossAx val="5001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Graphs!graph_b_title</c:f>
          <c:strCache>
            <c:ptCount val="1"/>
            <c:pt idx="0">
              <c:v>D2 Geometry PSNR (Graph b)</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Graphs!graph_b_A_title</c:f>
              <c:strCache>
                <c:ptCount val="1"/>
                <c:pt idx="0">
                  <c:v>R10.0</c:v>
                </c:pt>
              </c:strCache>
            </c:strRef>
          </c:tx>
          <c:spPr>
            <a:ln>
              <a:prstDash val="solid"/>
            </a:ln>
          </c:spPr>
          <c:marker>
            <c:symbol val="none"/>
          </c:marker>
          <c:xVal>
            <c:numRef>
              <c:f>Graphs!graph_b_x_range_A</c:f>
              <c:numCache>
                <c:formatCode>0.00</c:formatCode>
                <c:ptCount val="5"/>
                <c:pt idx="0">
                  <c:v>3.4664359032843796E-2</c:v>
                </c:pt>
                <c:pt idx="1">
                  <c:v>4.8075471359966988E-2</c:v>
                </c:pt>
                <c:pt idx="2">
                  <c:v>6.741638171623604E-2</c:v>
                </c:pt>
                <c:pt idx="3">
                  <c:v>0.10028366123759566</c:v>
                </c:pt>
                <c:pt idx="4">
                  <c:v>0.15538694432702951</c:v>
                </c:pt>
              </c:numCache>
            </c:numRef>
          </c:xVal>
          <c:yVal>
            <c:numRef>
              <c:f>Graphs!graph_b_y_range_A</c:f>
              <c:numCache>
                <c:formatCode>0.00</c:formatCode>
                <c:ptCount val="5"/>
                <c:pt idx="0">
                  <c:v>68.366856666666706</c:v>
                </c:pt>
                <c:pt idx="1">
                  <c:v>70.306219000000098</c:v>
                </c:pt>
                <c:pt idx="2">
                  <c:v>71.985652666666695</c:v>
                </c:pt>
                <c:pt idx="3">
                  <c:v>73.255336999999898</c:v>
                </c:pt>
                <c:pt idx="4">
                  <c:v>75.225993000000003</c:v>
                </c:pt>
              </c:numCache>
            </c:numRef>
          </c:yVal>
          <c:smooth val="1"/>
          <c:extLst>
            <c:ext xmlns:c16="http://schemas.microsoft.com/office/drawing/2014/chart" uri="{C3380CC4-5D6E-409C-BE32-E72D297353CC}">
              <c16:uniqueId val="{00000000-4902-494A-88FD-31A1473C8B70}"/>
            </c:ext>
          </c:extLst>
        </c:ser>
        <c:ser>
          <c:idx val="1"/>
          <c:order val="1"/>
          <c:tx>
            <c:strRef>
              <c:f>Graphs!graph_b_B_title</c:f>
              <c:strCache>
                <c:ptCount val="1"/>
                <c:pt idx="0">
                  <c:v>0</c:v>
                </c:pt>
              </c:strCache>
            </c:strRef>
          </c:tx>
          <c:spPr>
            <a:ln>
              <a:prstDash val="solid"/>
            </a:ln>
          </c:spPr>
          <c:marker>
            <c:symbol val="none"/>
          </c:marker>
          <c:xVal>
            <c:strRef>
              <c:f>Graphs!graph_b_x_range_B</c:f>
              <c:strCache>
                <c:ptCount val="5"/>
                <c:pt idx="0">
                  <c:v>·</c:v>
                </c:pt>
                <c:pt idx="1">
                  <c:v>·</c:v>
                </c:pt>
                <c:pt idx="2">
                  <c:v>·</c:v>
                </c:pt>
                <c:pt idx="3">
                  <c:v>·</c:v>
                </c:pt>
                <c:pt idx="4">
                  <c:v>·</c:v>
                </c:pt>
              </c:strCache>
            </c:strRef>
          </c:xVal>
          <c:yVal>
            <c:numRef>
              <c:f>Graphs!graph_b_y_range_B</c:f>
              <c:numCache>
                <c:formatCode>0.00</c:formatCode>
                <c:ptCount val="5"/>
              </c:numCache>
            </c:numRef>
          </c:yVal>
          <c:smooth val="1"/>
          <c:extLst>
            <c:ext xmlns:c16="http://schemas.microsoft.com/office/drawing/2014/chart" uri="{C3380CC4-5D6E-409C-BE32-E72D297353CC}">
              <c16:uniqueId val="{00000001-4902-494A-88FD-31A1473C8B70}"/>
            </c:ext>
          </c:extLst>
        </c:ser>
        <c:dLbls>
          <c:showLegendKey val="0"/>
          <c:showVal val="0"/>
          <c:showCatName val="0"/>
          <c:showSerName val="0"/>
          <c:showPercent val="0"/>
          <c:showBubbleSize val="0"/>
        </c:dLbls>
        <c:axId val="50020001"/>
        <c:axId val="50020002"/>
      </c:scatterChart>
      <c:valAx>
        <c:axId val="50020001"/>
        <c:scaling>
          <c:orientation val="minMax"/>
        </c:scaling>
        <c:delete val="0"/>
        <c:axPos val="b"/>
        <c:title>
          <c:tx>
            <c:strRef>
              <c:f>Graphs!graph_b_x_title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20002"/>
        <c:crosses val="autoZero"/>
        <c:crossBetween val="midCat"/>
      </c:valAx>
      <c:valAx>
        <c:axId val="50020002"/>
        <c:scaling>
          <c:orientation val="minMax"/>
        </c:scaling>
        <c:delete val="0"/>
        <c:axPos val="l"/>
        <c:majorGridlines/>
        <c:title>
          <c:tx>
            <c:strRef>
              <c:f>Graphs!graph_b_y_title</c:f>
              <c:strCache>
                <c:ptCount val="1"/>
                <c:pt idx="0">
                  <c:v>D2 Geometry PSNR</c:v>
                </c:pt>
              </c:strCache>
            </c:strRef>
          </c:tx>
          <c:overlay val="0"/>
          <c:txPr>
            <a:bodyPr rot="-5400000" vert="horz"/>
            <a:lstStyle/>
            <a:p>
              <a:pPr>
                <a:defRPr/>
              </a:pPr>
              <a:endParaRPr lang="en-US"/>
            </a:p>
          </c:txPr>
        </c:title>
        <c:numFmt formatCode="0.00" sourceLinked="1"/>
        <c:majorTickMark val="out"/>
        <c:minorTickMark val="none"/>
        <c:tickLblPos val="nextTo"/>
        <c:crossAx val="5002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Graphs!graph_c_title</c:f>
          <c:strCache>
            <c:ptCount val="1"/>
            <c:pt idx="0">
              <c:v>Luma End-to-end PSNR (Graph c)</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Graphs!graph_c_A_title</c:f>
              <c:strCache>
                <c:ptCount val="1"/>
                <c:pt idx="0">
                  <c:v>R10.0</c:v>
                </c:pt>
              </c:strCache>
            </c:strRef>
          </c:tx>
          <c:spPr>
            <a:ln>
              <a:prstDash val="solid"/>
            </a:ln>
          </c:spPr>
          <c:marker>
            <c:symbol val="none"/>
          </c:marker>
          <c:xVal>
            <c:numRef>
              <c:f>Graphs!graph_c_x_range_A</c:f>
              <c:numCache>
                <c:formatCode>0.00</c:formatCode>
                <c:ptCount val="5"/>
                <c:pt idx="0">
                  <c:v>3.4473518433458014E-2</c:v>
                </c:pt>
                <c:pt idx="1">
                  <c:v>7.1818447166810101E-2</c:v>
                </c:pt>
                <c:pt idx="2">
                  <c:v>0.14239315514128451</c:v>
                </c:pt>
                <c:pt idx="3">
                  <c:v>0.26859724277744779</c:v>
                </c:pt>
                <c:pt idx="4">
                  <c:v>0.4937616711562931</c:v>
                </c:pt>
              </c:numCache>
            </c:numRef>
          </c:xVal>
          <c:yVal>
            <c:numRef>
              <c:f>Graphs!graph_c_y_range_A</c:f>
              <c:numCache>
                <c:formatCode>0.00</c:formatCode>
                <c:ptCount val="5"/>
                <c:pt idx="0">
                  <c:v>32.326923000000001</c:v>
                </c:pt>
                <c:pt idx="1">
                  <c:v>34.599110000000003</c:v>
                </c:pt>
                <c:pt idx="2">
                  <c:v>37.138071333333301</c:v>
                </c:pt>
                <c:pt idx="3">
                  <c:v>39.743133</c:v>
                </c:pt>
                <c:pt idx="4">
                  <c:v>42.256189333333303</c:v>
                </c:pt>
              </c:numCache>
            </c:numRef>
          </c:yVal>
          <c:smooth val="1"/>
          <c:extLst>
            <c:ext xmlns:c16="http://schemas.microsoft.com/office/drawing/2014/chart" uri="{C3380CC4-5D6E-409C-BE32-E72D297353CC}">
              <c16:uniqueId val="{00000000-46AD-4706-8C24-D996B71B9F32}"/>
            </c:ext>
          </c:extLst>
        </c:ser>
        <c:ser>
          <c:idx val="1"/>
          <c:order val="1"/>
          <c:tx>
            <c:strRef>
              <c:f>Graphs!graph_c_B_title</c:f>
              <c:strCache>
                <c:ptCount val="1"/>
                <c:pt idx="0">
                  <c:v>0</c:v>
                </c:pt>
              </c:strCache>
            </c:strRef>
          </c:tx>
          <c:spPr>
            <a:ln>
              <a:prstDash val="solid"/>
            </a:ln>
          </c:spPr>
          <c:marker>
            <c:symbol val="none"/>
          </c:marker>
          <c:xVal>
            <c:strRef>
              <c:f>Graphs!graph_c_x_range_B</c:f>
              <c:strCache>
                <c:ptCount val="5"/>
                <c:pt idx="0">
                  <c:v>·</c:v>
                </c:pt>
                <c:pt idx="1">
                  <c:v>·</c:v>
                </c:pt>
                <c:pt idx="2">
                  <c:v>·</c:v>
                </c:pt>
                <c:pt idx="3">
                  <c:v>·</c:v>
                </c:pt>
                <c:pt idx="4">
                  <c:v>·</c:v>
                </c:pt>
              </c:strCache>
            </c:strRef>
          </c:xVal>
          <c:yVal>
            <c:numRef>
              <c:f>Graphs!graph_c_y_range_B</c:f>
              <c:numCache>
                <c:formatCode>0.00</c:formatCode>
                <c:ptCount val="5"/>
              </c:numCache>
            </c:numRef>
          </c:yVal>
          <c:smooth val="1"/>
          <c:extLst>
            <c:ext xmlns:c16="http://schemas.microsoft.com/office/drawing/2014/chart" uri="{C3380CC4-5D6E-409C-BE32-E72D297353CC}">
              <c16:uniqueId val="{00000001-46AD-4706-8C24-D996B71B9F32}"/>
            </c:ext>
          </c:extLst>
        </c:ser>
        <c:dLbls>
          <c:showLegendKey val="0"/>
          <c:showVal val="0"/>
          <c:showCatName val="0"/>
          <c:showSerName val="0"/>
          <c:showPercent val="0"/>
          <c:showBubbleSize val="0"/>
        </c:dLbls>
        <c:axId val="50030001"/>
        <c:axId val="50030002"/>
      </c:scatterChart>
      <c:valAx>
        <c:axId val="50030001"/>
        <c:scaling>
          <c:orientation val="minMax"/>
        </c:scaling>
        <c:delete val="0"/>
        <c:axPos val="b"/>
        <c:title>
          <c:tx>
            <c:strRef>
              <c:f>Graphs!graph_c_x_title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30002"/>
        <c:crosses val="autoZero"/>
        <c:crossBetween val="midCat"/>
      </c:valAx>
      <c:valAx>
        <c:axId val="50030002"/>
        <c:scaling>
          <c:orientation val="minMax"/>
        </c:scaling>
        <c:delete val="0"/>
        <c:axPos val="l"/>
        <c:majorGridlines/>
        <c:title>
          <c:tx>
            <c:strRef>
              <c:f>Graphs!graph_c_y_title</c:f>
              <c:strCache>
                <c:ptCount val="1"/>
                <c:pt idx="0">
                  <c:v>Luma End-to-end PSNR</c:v>
                </c:pt>
              </c:strCache>
            </c:strRef>
          </c:tx>
          <c:overlay val="0"/>
          <c:txPr>
            <a:bodyPr rot="-5400000" vert="horz"/>
            <a:lstStyle/>
            <a:p>
              <a:pPr>
                <a:defRPr/>
              </a:pPr>
              <a:endParaRPr lang="en-US"/>
            </a:p>
          </c:txPr>
        </c:title>
        <c:numFmt formatCode="0.00" sourceLinked="1"/>
        <c:majorTickMark val="out"/>
        <c:minorTickMark val="none"/>
        <c:tickLblPos val="nextTo"/>
        <c:crossAx val="5003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Graphs!graph_d_title</c:f>
          <c:strCache>
            <c:ptCount val="1"/>
            <c:pt idx="0">
              <c:v>Chroma Cb End-to-end PSNR (Graph d)</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Graphs!graph_d_A_title</c:f>
              <c:strCache>
                <c:ptCount val="1"/>
                <c:pt idx="0">
                  <c:v>R10.0</c:v>
                </c:pt>
              </c:strCache>
            </c:strRef>
          </c:tx>
          <c:spPr>
            <a:ln>
              <a:prstDash val="solid"/>
            </a:ln>
          </c:spPr>
          <c:marker>
            <c:symbol val="none"/>
          </c:marker>
          <c:xVal>
            <c:numRef>
              <c:f>Graphs!graph_d_x_range_A</c:f>
              <c:numCache>
                <c:formatCode>0.00</c:formatCode>
                <c:ptCount val="5"/>
                <c:pt idx="0">
                  <c:v>3.4473518433458014E-2</c:v>
                </c:pt>
                <c:pt idx="1">
                  <c:v>7.1818447166810101E-2</c:v>
                </c:pt>
                <c:pt idx="2">
                  <c:v>0.14239315514128451</c:v>
                </c:pt>
                <c:pt idx="3">
                  <c:v>0.26859724277744779</c:v>
                </c:pt>
                <c:pt idx="4">
                  <c:v>0.4937616711562931</c:v>
                </c:pt>
              </c:numCache>
            </c:numRef>
          </c:xVal>
          <c:yVal>
            <c:numRef>
              <c:f>Graphs!graph_d_y_range_A</c:f>
              <c:numCache>
                <c:formatCode>0.00</c:formatCode>
                <c:ptCount val="5"/>
                <c:pt idx="0">
                  <c:v>44.152233666666604</c:v>
                </c:pt>
                <c:pt idx="1">
                  <c:v>45.442110999999997</c:v>
                </c:pt>
                <c:pt idx="2">
                  <c:v>46.571712333333302</c:v>
                </c:pt>
                <c:pt idx="3">
                  <c:v>47.911042999999999</c:v>
                </c:pt>
                <c:pt idx="4">
                  <c:v>49.427818666666703</c:v>
                </c:pt>
              </c:numCache>
            </c:numRef>
          </c:yVal>
          <c:smooth val="1"/>
          <c:extLst>
            <c:ext xmlns:c16="http://schemas.microsoft.com/office/drawing/2014/chart" uri="{C3380CC4-5D6E-409C-BE32-E72D297353CC}">
              <c16:uniqueId val="{00000000-3B57-4FAF-98DB-8143007E161B}"/>
            </c:ext>
          </c:extLst>
        </c:ser>
        <c:ser>
          <c:idx val="1"/>
          <c:order val="1"/>
          <c:tx>
            <c:strRef>
              <c:f>Graphs!graph_d_B_title</c:f>
              <c:strCache>
                <c:ptCount val="1"/>
                <c:pt idx="0">
                  <c:v>0</c:v>
                </c:pt>
              </c:strCache>
            </c:strRef>
          </c:tx>
          <c:spPr>
            <a:ln>
              <a:prstDash val="solid"/>
            </a:ln>
          </c:spPr>
          <c:marker>
            <c:symbol val="none"/>
          </c:marker>
          <c:xVal>
            <c:strRef>
              <c:f>Graphs!graph_d_x_range_B</c:f>
              <c:strCache>
                <c:ptCount val="5"/>
                <c:pt idx="0">
                  <c:v>·</c:v>
                </c:pt>
                <c:pt idx="1">
                  <c:v>·</c:v>
                </c:pt>
                <c:pt idx="2">
                  <c:v>·</c:v>
                </c:pt>
                <c:pt idx="3">
                  <c:v>·</c:v>
                </c:pt>
                <c:pt idx="4">
                  <c:v>·</c:v>
                </c:pt>
              </c:strCache>
            </c:strRef>
          </c:xVal>
          <c:yVal>
            <c:numRef>
              <c:f>Graphs!graph_d_y_range_B</c:f>
              <c:numCache>
                <c:formatCode>0.00</c:formatCode>
                <c:ptCount val="5"/>
              </c:numCache>
            </c:numRef>
          </c:yVal>
          <c:smooth val="1"/>
          <c:extLst>
            <c:ext xmlns:c16="http://schemas.microsoft.com/office/drawing/2014/chart" uri="{C3380CC4-5D6E-409C-BE32-E72D297353CC}">
              <c16:uniqueId val="{00000001-3B57-4FAF-98DB-8143007E161B}"/>
            </c:ext>
          </c:extLst>
        </c:ser>
        <c:dLbls>
          <c:showLegendKey val="0"/>
          <c:showVal val="0"/>
          <c:showCatName val="0"/>
          <c:showSerName val="0"/>
          <c:showPercent val="0"/>
          <c:showBubbleSize val="0"/>
        </c:dLbls>
        <c:axId val="50040001"/>
        <c:axId val="50040002"/>
      </c:scatterChart>
      <c:valAx>
        <c:axId val="50040001"/>
        <c:scaling>
          <c:orientation val="minMax"/>
        </c:scaling>
        <c:delete val="0"/>
        <c:axPos val="b"/>
        <c:title>
          <c:tx>
            <c:strRef>
              <c:f>Graphs!graph_d_x_title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40002"/>
        <c:crosses val="autoZero"/>
        <c:crossBetween val="midCat"/>
      </c:valAx>
      <c:valAx>
        <c:axId val="50040002"/>
        <c:scaling>
          <c:orientation val="minMax"/>
        </c:scaling>
        <c:delete val="0"/>
        <c:axPos val="l"/>
        <c:majorGridlines/>
        <c:title>
          <c:tx>
            <c:strRef>
              <c:f>Graphs!graph_d_y_title</c:f>
              <c:strCache>
                <c:ptCount val="1"/>
                <c:pt idx="0">
                  <c:v>Chroma Cb End-to-end PSNR</c:v>
                </c:pt>
              </c:strCache>
            </c:strRef>
          </c:tx>
          <c:overlay val="0"/>
          <c:txPr>
            <a:bodyPr rot="-5400000" vert="horz"/>
            <a:lstStyle/>
            <a:p>
              <a:pPr>
                <a:defRPr/>
              </a:pPr>
              <a:endParaRPr lang="en-US"/>
            </a:p>
          </c:txPr>
        </c:title>
        <c:numFmt formatCode="0.00" sourceLinked="1"/>
        <c:majorTickMark val="out"/>
        <c:minorTickMark val="none"/>
        <c:tickLblPos val="nextTo"/>
        <c:crossAx val="5004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Graphs!graph_e_title</c:f>
          <c:strCache>
            <c:ptCount val="1"/>
            <c:pt idx="0">
              <c:v>Chroma Cr End-to-end PSNR (Graph e)</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Graphs!graph_e_A_title</c:f>
              <c:strCache>
                <c:ptCount val="1"/>
                <c:pt idx="0">
                  <c:v>R10.0</c:v>
                </c:pt>
              </c:strCache>
            </c:strRef>
          </c:tx>
          <c:spPr>
            <a:ln>
              <a:prstDash val="solid"/>
            </a:ln>
          </c:spPr>
          <c:marker>
            <c:symbol val="none"/>
          </c:marker>
          <c:xVal>
            <c:numRef>
              <c:f>Graphs!graph_e_x_range_A</c:f>
              <c:numCache>
                <c:formatCode>0.00</c:formatCode>
                <c:ptCount val="5"/>
                <c:pt idx="0">
                  <c:v>3.4473518433458014E-2</c:v>
                </c:pt>
                <c:pt idx="1">
                  <c:v>7.1818447166810101E-2</c:v>
                </c:pt>
                <c:pt idx="2">
                  <c:v>0.14239315514128451</c:v>
                </c:pt>
                <c:pt idx="3">
                  <c:v>0.26859724277744779</c:v>
                </c:pt>
                <c:pt idx="4">
                  <c:v>0.4937616711562931</c:v>
                </c:pt>
              </c:numCache>
            </c:numRef>
          </c:xVal>
          <c:yVal>
            <c:numRef>
              <c:f>Graphs!graph_e_y_range_A</c:f>
              <c:numCache>
                <c:formatCode>0.00</c:formatCode>
                <c:ptCount val="5"/>
                <c:pt idx="0">
                  <c:v>43.80706</c:v>
                </c:pt>
                <c:pt idx="1">
                  <c:v>45.245072333333297</c:v>
                </c:pt>
                <c:pt idx="2">
                  <c:v>46.483829</c:v>
                </c:pt>
                <c:pt idx="3">
                  <c:v>48.003837333333301</c:v>
                </c:pt>
                <c:pt idx="4">
                  <c:v>49.576478999999999</c:v>
                </c:pt>
              </c:numCache>
            </c:numRef>
          </c:yVal>
          <c:smooth val="1"/>
          <c:extLst>
            <c:ext xmlns:c16="http://schemas.microsoft.com/office/drawing/2014/chart" uri="{C3380CC4-5D6E-409C-BE32-E72D297353CC}">
              <c16:uniqueId val="{00000000-A6B2-4FAD-A549-7B63425BD320}"/>
            </c:ext>
          </c:extLst>
        </c:ser>
        <c:ser>
          <c:idx val="1"/>
          <c:order val="1"/>
          <c:tx>
            <c:strRef>
              <c:f>Graphs!graph_e_B_title</c:f>
              <c:strCache>
                <c:ptCount val="1"/>
                <c:pt idx="0">
                  <c:v>0</c:v>
                </c:pt>
              </c:strCache>
            </c:strRef>
          </c:tx>
          <c:spPr>
            <a:ln>
              <a:prstDash val="solid"/>
            </a:ln>
          </c:spPr>
          <c:marker>
            <c:symbol val="none"/>
          </c:marker>
          <c:xVal>
            <c:strRef>
              <c:f>Graphs!graph_e_x_range_B</c:f>
              <c:strCache>
                <c:ptCount val="5"/>
                <c:pt idx="0">
                  <c:v>·</c:v>
                </c:pt>
                <c:pt idx="1">
                  <c:v>·</c:v>
                </c:pt>
                <c:pt idx="2">
                  <c:v>·</c:v>
                </c:pt>
                <c:pt idx="3">
                  <c:v>·</c:v>
                </c:pt>
                <c:pt idx="4">
                  <c:v>·</c:v>
                </c:pt>
              </c:strCache>
            </c:strRef>
          </c:xVal>
          <c:yVal>
            <c:numRef>
              <c:f>Graphs!graph_e_y_range_B</c:f>
              <c:numCache>
                <c:formatCode>0.00</c:formatCode>
                <c:ptCount val="5"/>
              </c:numCache>
            </c:numRef>
          </c:yVal>
          <c:smooth val="1"/>
          <c:extLst>
            <c:ext xmlns:c16="http://schemas.microsoft.com/office/drawing/2014/chart" uri="{C3380CC4-5D6E-409C-BE32-E72D297353CC}">
              <c16:uniqueId val="{00000001-A6B2-4FAD-A549-7B63425BD320}"/>
            </c:ext>
          </c:extLst>
        </c:ser>
        <c:dLbls>
          <c:showLegendKey val="0"/>
          <c:showVal val="0"/>
          <c:showCatName val="0"/>
          <c:showSerName val="0"/>
          <c:showPercent val="0"/>
          <c:showBubbleSize val="0"/>
        </c:dLbls>
        <c:axId val="50050001"/>
        <c:axId val="50050002"/>
      </c:scatterChart>
      <c:valAx>
        <c:axId val="50050001"/>
        <c:scaling>
          <c:orientation val="minMax"/>
        </c:scaling>
        <c:delete val="0"/>
        <c:axPos val="b"/>
        <c:title>
          <c:tx>
            <c:strRef>
              <c:f>Graphs!graph_e_x_title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50002"/>
        <c:crosses val="autoZero"/>
        <c:crossBetween val="midCat"/>
      </c:valAx>
      <c:valAx>
        <c:axId val="50050002"/>
        <c:scaling>
          <c:orientation val="minMax"/>
        </c:scaling>
        <c:delete val="0"/>
        <c:axPos val="l"/>
        <c:majorGridlines/>
        <c:title>
          <c:tx>
            <c:strRef>
              <c:f>Graphs!graph_e_y_title</c:f>
              <c:strCache>
                <c:ptCount val="1"/>
                <c:pt idx="0">
                  <c:v>Chroma Cr End-to-end PSNR</c:v>
                </c:pt>
              </c:strCache>
            </c:strRef>
          </c:tx>
          <c:overlay val="0"/>
          <c:txPr>
            <a:bodyPr rot="-5400000" vert="horz"/>
            <a:lstStyle/>
            <a:p>
              <a:pPr>
                <a:defRPr/>
              </a:pPr>
              <a:endParaRPr lang="en-US"/>
            </a:p>
          </c:txPr>
        </c:title>
        <c:numFmt formatCode="0.00" sourceLinked="1"/>
        <c:majorTickMark val="out"/>
        <c:minorTickMark val="none"/>
        <c:tickLblPos val="nextTo"/>
        <c:crossAx val="5005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Graphs!graph_f_title</c:f>
          <c:strCache>
            <c:ptCount val="1"/>
            <c:pt idx="0">
              <c:v>Reflectance End-to-end PSNR (Graph f)</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Graphs!graph_f_A_title</c:f>
              <c:strCache>
                <c:ptCount val="1"/>
                <c:pt idx="0">
                  <c:v>R10.0</c:v>
                </c:pt>
              </c:strCache>
            </c:strRef>
          </c:tx>
          <c:spPr>
            <a:ln>
              <a:prstDash val="solid"/>
            </a:ln>
          </c:spPr>
          <c:marker>
            <c:symbol val="none"/>
          </c:marker>
          <c:xVal>
            <c:numRef>
              <c:f>Graphs!graph_f_x_range_A</c:f>
              <c:numCache>
                <c:formatCode>General</c:formatCode>
                <c:ptCount val="1"/>
                <c:pt idx="0">
                  <c:v>0</c:v>
                </c:pt>
              </c:numCache>
            </c:numRef>
          </c:xVal>
          <c:yVal>
            <c:numRef>
              <c:f>Graphs!graph_f_y_range_A</c:f>
              <c:numCache>
                <c:formatCode>General</c:formatCode>
                <c:ptCount val="1"/>
                <c:pt idx="0">
                  <c:v>0</c:v>
                </c:pt>
              </c:numCache>
            </c:numRef>
          </c:yVal>
          <c:smooth val="1"/>
          <c:extLst>
            <c:ext xmlns:c16="http://schemas.microsoft.com/office/drawing/2014/chart" uri="{C3380CC4-5D6E-409C-BE32-E72D297353CC}">
              <c16:uniqueId val="{00000000-ABBF-4795-A4B6-66E551C1C70E}"/>
            </c:ext>
          </c:extLst>
        </c:ser>
        <c:ser>
          <c:idx val="1"/>
          <c:order val="1"/>
          <c:tx>
            <c:strRef>
              <c:f>Graphs!graph_f_B_title</c:f>
              <c:strCache>
                <c:ptCount val="1"/>
                <c:pt idx="0">
                  <c:v>0</c:v>
                </c:pt>
              </c:strCache>
            </c:strRef>
          </c:tx>
          <c:spPr>
            <a:ln>
              <a:prstDash val="solid"/>
            </a:ln>
          </c:spPr>
          <c:marker>
            <c:symbol val="none"/>
          </c:marker>
          <c:xVal>
            <c:numRef>
              <c:f>Graphs!graph_f_x_range_B</c:f>
              <c:numCache>
                <c:formatCode>General</c:formatCode>
                <c:ptCount val="1"/>
                <c:pt idx="0">
                  <c:v>0</c:v>
                </c:pt>
              </c:numCache>
            </c:numRef>
          </c:xVal>
          <c:yVal>
            <c:numRef>
              <c:f>Graphs!graph_f_y_range_B</c:f>
              <c:numCache>
                <c:formatCode>General</c:formatCode>
                <c:ptCount val="1"/>
                <c:pt idx="0">
                  <c:v>0</c:v>
                </c:pt>
              </c:numCache>
            </c:numRef>
          </c:yVal>
          <c:smooth val="1"/>
          <c:extLst>
            <c:ext xmlns:c16="http://schemas.microsoft.com/office/drawing/2014/chart" uri="{C3380CC4-5D6E-409C-BE32-E72D297353CC}">
              <c16:uniqueId val="{00000001-ABBF-4795-A4B6-66E551C1C70E}"/>
            </c:ext>
          </c:extLst>
        </c:ser>
        <c:dLbls>
          <c:showLegendKey val="0"/>
          <c:showVal val="0"/>
          <c:showCatName val="0"/>
          <c:showSerName val="0"/>
          <c:showPercent val="0"/>
          <c:showBubbleSize val="0"/>
        </c:dLbls>
        <c:axId val="50060001"/>
        <c:axId val="50060002"/>
      </c:scatterChart>
      <c:valAx>
        <c:axId val="50060001"/>
        <c:scaling>
          <c:orientation val="minMax"/>
        </c:scaling>
        <c:delete val="0"/>
        <c:axPos val="b"/>
        <c:title>
          <c:tx>
            <c:strRef>
              <c:f>Graphs!graph_f_x_title</c:f>
              <c:strCache>
                <c:ptCount val="1"/>
                <c:pt idx="0">
                  <c:v>Reflectance Bits per input point</c:v>
                </c:pt>
              </c:strCache>
            </c:strRef>
          </c:tx>
          <c:overlay val="0"/>
          <c:txPr>
            <a:bodyPr/>
            <a:lstStyle/>
            <a:p>
              <a:pPr>
                <a:defRPr/>
              </a:pPr>
              <a:endParaRPr lang="en-US"/>
            </a:p>
          </c:txPr>
        </c:title>
        <c:numFmt formatCode="General" sourceLinked="1"/>
        <c:majorTickMark val="out"/>
        <c:minorTickMark val="none"/>
        <c:tickLblPos val="nextTo"/>
        <c:crossAx val="50060002"/>
        <c:crosses val="autoZero"/>
        <c:crossBetween val="midCat"/>
      </c:valAx>
      <c:valAx>
        <c:axId val="50060002"/>
        <c:scaling>
          <c:orientation val="minMax"/>
        </c:scaling>
        <c:delete val="0"/>
        <c:axPos val="l"/>
        <c:majorGridlines/>
        <c:title>
          <c:tx>
            <c:strRef>
              <c:f>Graphs!graph_f_y_title</c:f>
              <c:strCache>
                <c:ptCount val="1"/>
                <c:pt idx="0">
                  <c:v>Reflectance End-to-end PSNR</c:v>
                </c:pt>
              </c:strCache>
            </c:strRef>
          </c:tx>
          <c:overlay val="0"/>
          <c:txPr>
            <a:bodyPr rot="-5400000" vert="horz"/>
            <a:lstStyle/>
            <a:p>
              <a:pPr>
                <a:defRPr/>
              </a:pPr>
              <a:endParaRPr lang="en-US"/>
            </a:p>
          </c:txPr>
        </c:title>
        <c:numFmt formatCode="General" sourceLinked="1"/>
        <c:majorTickMark val="out"/>
        <c:minorTickMark val="none"/>
        <c:tickLblPos val="nextTo"/>
        <c:crossAx val="5006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0</xdr:rowOff>
    </xdr:from>
    <xdr:to>
      <xdr:col>7</xdr:col>
      <xdr:colOff>276225</xdr:colOff>
      <xdr:row>30</xdr:row>
      <xdr:rowOff>114300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9</xdr:row>
      <xdr:rowOff>0</xdr:rowOff>
    </xdr:from>
    <xdr:to>
      <xdr:col>18</xdr:col>
      <xdr:colOff>257175</xdr:colOff>
      <xdr:row>30</xdr:row>
      <xdr:rowOff>114300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31</xdr:row>
      <xdr:rowOff>0</xdr:rowOff>
    </xdr:from>
    <xdr:to>
      <xdr:col>7</xdr:col>
      <xdr:colOff>276225</xdr:colOff>
      <xdr:row>52</xdr:row>
      <xdr:rowOff>114300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31</xdr:row>
      <xdr:rowOff>0</xdr:rowOff>
    </xdr:from>
    <xdr:to>
      <xdr:col>18</xdr:col>
      <xdr:colOff>257175</xdr:colOff>
      <xdr:row>52</xdr:row>
      <xdr:rowOff>114300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0</xdr:colOff>
      <xdr:row>31</xdr:row>
      <xdr:rowOff>0</xdr:rowOff>
    </xdr:from>
    <xdr:to>
      <xdr:col>30</xdr:col>
      <xdr:colOff>152400</xdr:colOff>
      <xdr:row>52</xdr:row>
      <xdr:rowOff>114300</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0</xdr:colOff>
      <xdr:row>9</xdr:row>
      <xdr:rowOff>0</xdr:rowOff>
    </xdr:from>
    <xdr:to>
      <xdr:col>30</xdr:col>
      <xdr:colOff>152400</xdr:colOff>
      <xdr:row>30</xdr:row>
      <xdr:rowOff>114300</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1:L48"/>
  <sheetViews>
    <sheetView workbookViewId="0">
      <selection activeCell="I26" sqref="I26"/>
    </sheetView>
  </sheetViews>
  <sheetFormatPr defaultRowHeight="15" x14ac:dyDescent="0.25"/>
  <cols>
    <col min="2" max="2" width="16.7109375" style="53" customWidth="1"/>
    <col min="3" max="12" width="24.7109375" style="53" customWidth="1"/>
  </cols>
  <sheetData>
    <row r="1" spans="2:12" x14ac:dyDescent="0.25">
      <c r="B1" t="s">
        <v>0</v>
      </c>
      <c r="C1" s="58" t="s">
        <v>574</v>
      </c>
      <c r="D1" s="59"/>
      <c r="E1" s="59"/>
    </row>
    <row r="2" spans="2:12" x14ac:dyDescent="0.25">
      <c r="B2" t="s">
        <v>1</v>
      </c>
      <c r="C2" s="60"/>
      <c r="D2" s="59"/>
      <c r="E2" s="59"/>
    </row>
    <row r="4" spans="2:12" s="1" customFormat="1" x14ac:dyDescent="0.25">
      <c r="B4" s="1" t="s">
        <v>2</v>
      </c>
    </row>
    <row r="6" spans="2:12" x14ac:dyDescent="0.25">
      <c r="B6" s="61" t="s">
        <v>3</v>
      </c>
      <c r="C6" s="63" t="s">
        <v>4</v>
      </c>
      <c r="D6" s="64"/>
      <c r="E6" s="64"/>
      <c r="F6" s="64"/>
      <c r="G6" s="64"/>
      <c r="H6" s="64"/>
      <c r="I6" s="64"/>
      <c r="J6" s="64"/>
      <c r="K6" s="64"/>
      <c r="L6" s="64"/>
    </row>
    <row r="7" spans="2:12" x14ac:dyDescent="0.25">
      <c r="B7" s="59"/>
      <c r="C7" s="65" t="s">
        <v>5</v>
      </c>
      <c r="D7" s="59"/>
      <c r="E7" s="66" t="s">
        <v>6</v>
      </c>
      <c r="F7" s="59"/>
      <c r="G7" s="59"/>
      <c r="H7" s="65" t="s">
        <v>7</v>
      </c>
      <c r="I7" s="59"/>
      <c r="J7" s="66" t="s">
        <v>8</v>
      </c>
      <c r="K7" s="59"/>
      <c r="L7" s="59"/>
    </row>
    <row r="8" spans="2:12" x14ac:dyDescent="0.25">
      <c r="B8" s="62"/>
      <c r="C8" s="2" t="s">
        <v>9</v>
      </c>
      <c r="D8" s="2" t="s">
        <v>10</v>
      </c>
      <c r="E8" s="3" t="s">
        <v>11</v>
      </c>
      <c r="F8" s="3" t="s">
        <v>12</v>
      </c>
      <c r="G8" s="3" t="s">
        <v>13</v>
      </c>
      <c r="H8" s="2" t="s">
        <v>9</v>
      </c>
      <c r="I8" s="2" t="s">
        <v>10</v>
      </c>
      <c r="J8" s="3" t="s">
        <v>11</v>
      </c>
      <c r="K8" s="3" t="s">
        <v>12</v>
      </c>
      <c r="L8" s="3" t="s">
        <v>13</v>
      </c>
    </row>
    <row r="9" spans="2:12" x14ac:dyDescent="0.25">
      <c r="B9" t="s">
        <v>14</v>
      </c>
      <c r="C9" s="52" t="e">
        <f>'C2 lossyG,lossyA,intra'!$BJ$40:$BJ$40</f>
        <v>#DIV/0!</v>
      </c>
      <c r="D9" s="52" t="e">
        <f>'C2 lossyG,lossyA,intra'!$BK$40:$BK$40</f>
        <v>#DIV/0!</v>
      </c>
      <c r="E9" s="52" t="e">
        <f>'C2 lossyG,lossyA,intra'!$BL$40:$BL$40</f>
        <v>#DIV/0!</v>
      </c>
      <c r="F9" s="52" t="e">
        <f>'C2 lossyG,lossyA,intra'!$BM$40:$BM$40</f>
        <v>#DIV/0!</v>
      </c>
      <c r="G9" s="52" t="e">
        <f>'C2 lossyG,lossyA,intra'!$BN$40:$BN$40</f>
        <v>#DIV/0!</v>
      </c>
      <c r="H9" s="52" t="e">
        <f>'C2 lossyG,lossyA,intra'!$BP$40:$BP$40</f>
        <v>#DIV/0!</v>
      </c>
      <c r="I9" s="52" t="e">
        <f>'C2 lossyG,lossyA,intra'!$BQ$40:$BQ$40</f>
        <v>#DIV/0!</v>
      </c>
      <c r="J9" s="52" t="e">
        <f>'C2 lossyG,lossyA,intra'!$BR$40:$BR$40</f>
        <v>#DIV/0!</v>
      </c>
      <c r="K9" s="52" t="e">
        <f>'C2 lossyG,lossyA,intra'!$BS$40:$BS$40</f>
        <v>#DIV/0!</v>
      </c>
      <c r="L9" s="52" t="e">
        <f>'C2 lossyG,lossyA,intra'!$BT$40:$BT$40</f>
        <v>#DIV/0!</v>
      </c>
    </row>
    <row r="10" spans="2:12" x14ac:dyDescent="0.25">
      <c r="B10" t="s">
        <v>15</v>
      </c>
      <c r="C10" s="52" t="e">
        <f>'C2 lossyG,lossyA,intra'!$BJ$41:$BJ$41</f>
        <v>#DIV/0!</v>
      </c>
      <c r="D10" s="52" t="e">
        <f>'C2 lossyG,lossyA,intra'!$BK$41:$BK$41</f>
        <v>#DIV/0!</v>
      </c>
      <c r="E10" s="52" t="e">
        <f>'C2 lossyG,lossyA,intra'!$BL$41:$BL$41</f>
        <v>#DIV/0!</v>
      </c>
      <c r="F10" s="52" t="e">
        <f>'C2 lossyG,lossyA,intra'!$BM$41:$BM$41</f>
        <v>#DIV/0!</v>
      </c>
      <c r="G10" s="52" t="e">
        <f>'C2 lossyG,lossyA,intra'!$BN$41:$BN$41</f>
        <v>#DIV/0!</v>
      </c>
      <c r="H10" s="52" t="e">
        <f>'C2 lossyG,lossyA,intra'!$BP$41:$BP$41</f>
        <v>#DIV/0!</v>
      </c>
      <c r="I10" s="52" t="e">
        <f>'C2 lossyG,lossyA,intra'!$BQ$41:$BQ$41</f>
        <v>#DIV/0!</v>
      </c>
      <c r="J10" s="52" t="e">
        <f>'C2 lossyG,lossyA,intra'!$BR$41:$BR$41</f>
        <v>#DIV/0!</v>
      </c>
      <c r="K10" s="52" t="e">
        <f>'C2 lossyG,lossyA,intra'!$BS$41:$BS$41</f>
        <v>#DIV/0!</v>
      </c>
      <c r="L10" s="52" t="e">
        <f>'C2 lossyG,lossyA,intra'!$BT$41:$BT$41</f>
        <v>#DIV/0!</v>
      </c>
    </row>
    <row r="11" spans="2:12" x14ac:dyDescent="0.25">
      <c r="B11" t="s">
        <v>16</v>
      </c>
      <c r="C11" s="52" t="e">
        <f>'C2 lossyG,lossyA,intra'!$BJ$42:$BJ$42</f>
        <v>#DIV/0!</v>
      </c>
      <c r="D11" s="52" t="e">
        <f>'C2 lossyG,lossyA,intra'!$BK$42:$BK$42</f>
        <v>#DIV/0!</v>
      </c>
      <c r="E11" s="52" t="e">
        <f>'C2 lossyG,lossyA,intra'!$BL$42:$BL$42</f>
        <v>#DIV/0!</v>
      </c>
      <c r="F11" s="52" t="e">
        <f>'C2 lossyG,lossyA,intra'!$BM$42:$BM$42</f>
        <v>#DIV/0!</v>
      </c>
      <c r="G11" s="52" t="e">
        <f>'C2 lossyG,lossyA,intra'!$BN$42:$BN$42</f>
        <v>#DIV/0!</v>
      </c>
      <c r="H11" s="52" t="e">
        <f>'C2 lossyG,lossyA,intra'!$BP$42:$BP$42</f>
        <v>#DIV/0!</v>
      </c>
      <c r="I11" s="52" t="e">
        <f>'C2 lossyG,lossyA,intra'!$BQ$42:$BQ$42</f>
        <v>#DIV/0!</v>
      </c>
      <c r="J11" s="52" t="e">
        <f>'C2 lossyG,lossyA,intra'!$BR$42:$BR$42</f>
        <v>#DIV/0!</v>
      </c>
      <c r="K11" s="52" t="e">
        <f>'C2 lossyG,lossyA,intra'!$BS$42:$BS$42</f>
        <v>#DIV/0!</v>
      </c>
      <c r="L11" s="52" t="e">
        <f>'C2 lossyG,lossyA,intra'!$BT$42:$BT$42</f>
        <v>#DIV/0!</v>
      </c>
    </row>
    <row r="12" spans="2:12" x14ac:dyDescent="0.25">
      <c r="B12" s="4" t="s">
        <v>17</v>
      </c>
      <c r="C12" s="5" t="e">
        <f>'C2 lossyG,lossyA,intra'!$BJ$43:$BJ$43</f>
        <v>#DIV/0!</v>
      </c>
      <c r="D12" s="5" t="e">
        <f>'C2 lossyG,lossyA,intra'!$BK$43:$BK$43</f>
        <v>#DIV/0!</v>
      </c>
      <c r="E12" s="5" t="e">
        <f>'C2 lossyG,lossyA,intra'!$BL$43:$BL$43</f>
        <v>#DIV/0!</v>
      </c>
      <c r="F12" s="5" t="e">
        <f>'C2 lossyG,lossyA,intra'!$BM$43:$BM$43</f>
        <v>#DIV/0!</v>
      </c>
      <c r="G12" s="5" t="e">
        <f>'C2 lossyG,lossyA,intra'!$BN$43:$BN$43</f>
        <v>#DIV/0!</v>
      </c>
      <c r="H12" s="5" t="e">
        <f>'C2 lossyG,lossyA,intra'!$BP$43:$BP$43</f>
        <v>#DIV/0!</v>
      </c>
      <c r="I12" s="5" t="e">
        <f>'C2 lossyG,lossyA,intra'!$BQ$43:$BQ$43</f>
        <v>#DIV/0!</v>
      </c>
      <c r="J12" s="5" t="e">
        <f>'C2 lossyG,lossyA,intra'!$BR$43:$BR$43</f>
        <v>#DIV/0!</v>
      </c>
      <c r="K12" s="5" t="e">
        <f>'C2 lossyG,lossyA,intra'!$BS$43:$BS$43</f>
        <v>#DIV/0!</v>
      </c>
      <c r="L12" s="5" t="e">
        <f>'C2 lossyG,lossyA,intra'!$BT$43:$BT$43</f>
        <v>#DIV/0!</v>
      </c>
    </row>
    <row r="13" spans="2:12" x14ac:dyDescent="0.25">
      <c r="B13" t="s">
        <v>18</v>
      </c>
      <c r="C13" s="67" t="e">
        <f>'C2 lossyG,lossyA,intra'!AZ47</f>
        <v>#NUM!</v>
      </c>
      <c r="D13" s="59"/>
      <c r="E13" s="59"/>
      <c r="F13" s="59"/>
      <c r="G13" s="59"/>
      <c r="H13" s="59"/>
      <c r="I13" s="59"/>
      <c r="J13" s="59"/>
      <c r="K13" s="59"/>
      <c r="L13" s="59"/>
    </row>
    <row r="14" spans="2:12" x14ac:dyDescent="0.25">
      <c r="B14" s="6" t="s">
        <v>19</v>
      </c>
      <c r="C14" s="68" t="e">
        <f>'C2 lossyG,lossyA,intra'!BB47</f>
        <v>#NUM!</v>
      </c>
      <c r="D14" s="62"/>
      <c r="E14" s="62"/>
      <c r="F14" s="62"/>
      <c r="G14" s="62"/>
      <c r="H14" s="62"/>
      <c r="I14" s="62"/>
      <c r="J14" s="62"/>
      <c r="K14" s="62"/>
      <c r="L14" s="62"/>
    </row>
    <row r="16" spans="2:12" x14ac:dyDescent="0.25">
      <c r="B16" s="61" t="s">
        <v>20</v>
      </c>
      <c r="C16" s="63" t="s">
        <v>21</v>
      </c>
      <c r="D16" s="64"/>
      <c r="E16" s="64"/>
    </row>
    <row r="17" spans="2:5" x14ac:dyDescent="0.25">
      <c r="B17" s="59"/>
      <c r="C17" s="65" t="s">
        <v>22</v>
      </c>
      <c r="D17" s="59"/>
      <c r="E17" s="59"/>
    </row>
    <row r="18" spans="2:5" x14ac:dyDescent="0.25">
      <c r="B18" s="62"/>
      <c r="C18" s="2" t="s">
        <v>23</v>
      </c>
      <c r="D18" s="2" t="s">
        <v>24</v>
      </c>
      <c r="E18" s="2" t="s">
        <v>25</v>
      </c>
    </row>
    <row r="19" spans="2:5" x14ac:dyDescent="0.25">
      <c r="B19" t="s">
        <v>14</v>
      </c>
      <c r="C19" s="52" t="e">
        <f>'CW losslG,losslA,intra'!BC12</f>
        <v>#DIV/0!</v>
      </c>
      <c r="D19" s="52" t="e">
        <f>'CW losslG,losslA,intra'!BE12</f>
        <v>#DIV/0!</v>
      </c>
      <c r="E19" s="52" t="e">
        <f>'CW losslG,losslA,intra'!BB12</f>
        <v>#DIV/0!</v>
      </c>
    </row>
    <row r="20" spans="2:5" x14ac:dyDescent="0.25">
      <c r="B20" t="s">
        <v>15</v>
      </c>
      <c r="C20" s="52" t="e">
        <f>'CW losslG,losslA,intra'!BC13</f>
        <v>#DIV/0!</v>
      </c>
      <c r="D20" s="52" t="e">
        <f>'CW losslG,losslA,intra'!BE13</f>
        <v>#DIV/0!</v>
      </c>
      <c r="E20" s="52" t="e">
        <f>'CW losslG,losslA,intra'!BB13</f>
        <v>#DIV/0!</v>
      </c>
    </row>
    <row r="21" spans="2:5" x14ac:dyDescent="0.25">
      <c r="B21" t="s">
        <v>16</v>
      </c>
      <c r="C21" s="52" t="e">
        <f>'CW losslG,losslA,intra'!BC14</f>
        <v>#DIV/0!</v>
      </c>
      <c r="D21" s="52" t="e">
        <f>'CW losslG,losslA,intra'!BE14</f>
        <v>#DIV/0!</v>
      </c>
      <c r="E21" s="52" t="e">
        <f>'CW losslG,losslA,intra'!BB14</f>
        <v>#DIV/0!</v>
      </c>
    </row>
    <row r="22" spans="2:5" x14ac:dyDescent="0.25">
      <c r="B22" s="4" t="s">
        <v>17</v>
      </c>
      <c r="C22" s="5" t="e">
        <f>'CW losslG,losslA,intra'!BC15</f>
        <v>#DIV/0!</v>
      </c>
      <c r="D22" s="5" t="e">
        <f>'CW losslG,losslA,intra'!BE15</f>
        <v>#DIV/0!</v>
      </c>
      <c r="E22" s="5" t="e">
        <f>'CW losslG,losslA,intra'!BB15</f>
        <v>#DIV/0!</v>
      </c>
    </row>
    <row r="23" spans="2:5" x14ac:dyDescent="0.25">
      <c r="B23" t="s">
        <v>18</v>
      </c>
      <c r="C23" s="67" t="e">
        <f>'CW losslG,losslA,intra'!AW19</f>
        <v>#NUM!</v>
      </c>
      <c r="D23" s="59"/>
      <c r="E23" s="59"/>
    </row>
    <row r="24" spans="2:5" x14ac:dyDescent="0.25">
      <c r="B24" s="6" t="s">
        <v>19</v>
      </c>
      <c r="C24" s="68" t="e">
        <f>'CW losslG,losslA,intra'!AY19</f>
        <v>#NUM!</v>
      </c>
      <c r="D24" s="62"/>
      <c r="E24" s="62"/>
    </row>
    <row r="26" spans="2:5" s="1" customFormat="1" x14ac:dyDescent="0.25">
      <c r="B26" s="1" t="s">
        <v>26</v>
      </c>
    </row>
    <row r="28" spans="2:5" x14ac:dyDescent="0.25">
      <c r="B28" s="61" t="s">
        <v>27</v>
      </c>
      <c r="C28" s="63" t="s">
        <v>28</v>
      </c>
      <c r="D28" s="64"/>
      <c r="E28" s="64"/>
    </row>
    <row r="29" spans="2:5" x14ac:dyDescent="0.25">
      <c r="B29" s="59"/>
      <c r="C29" s="65" t="s">
        <v>22</v>
      </c>
      <c r="D29" s="59"/>
      <c r="E29" s="59"/>
    </row>
    <row r="30" spans="2:5" x14ac:dyDescent="0.25">
      <c r="B30" s="62"/>
      <c r="C30" s="2" t="s">
        <v>23</v>
      </c>
      <c r="D30" s="2" t="s">
        <v>24</v>
      </c>
      <c r="E30" s="2" t="s">
        <v>25</v>
      </c>
    </row>
    <row r="31" spans="2:5" x14ac:dyDescent="0.25">
      <c r="B31" t="s">
        <v>14</v>
      </c>
      <c r="C31" s="52" t="e">
        <f>'CW losslG,losslA,interLD'!BC12</f>
        <v>#DIV/0!</v>
      </c>
      <c r="D31" s="52" t="e">
        <f>'CW losslG,losslA,interLD'!BE12</f>
        <v>#DIV/0!</v>
      </c>
      <c r="E31" s="52" t="e">
        <f>'CW losslG,losslA,interLD'!BB12</f>
        <v>#DIV/0!</v>
      </c>
    </row>
    <row r="32" spans="2:5" x14ac:dyDescent="0.25">
      <c r="B32" t="s">
        <v>15</v>
      </c>
      <c r="C32" s="52" t="e">
        <f>'CW losslG,losslA,interLD'!BC13</f>
        <v>#DIV/0!</v>
      </c>
      <c r="D32" s="52" t="e">
        <f>'CW losslG,losslA,interLD'!BE13</f>
        <v>#DIV/0!</v>
      </c>
      <c r="E32" s="52" t="e">
        <f>'CW losslG,losslA,interLD'!BB13</f>
        <v>#DIV/0!</v>
      </c>
    </row>
    <row r="33" spans="2:12" x14ac:dyDescent="0.25">
      <c r="B33" t="s">
        <v>16</v>
      </c>
      <c r="C33" s="52" t="e">
        <f>'CW losslG,losslA,interLD'!BC14</f>
        <v>#DIV/0!</v>
      </c>
      <c r="D33" s="52" t="e">
        <f>'CW losslG,losslA,interLD'!BE14</f>
        <v>#DIV/0!</v>
      </c>
      <c r="E33" s="52" t="e">
        <f>'CW losslG,losslA,interLD'!BB14</f>
        <v>#DIV/0!</v>
      </c>
    </row>
    <row r="34" spans="2:12" x14ac:dyDescent="0.25">
      <c r="B34" s="4" t="s">
        <v>17</v>
      </c>
      <c r="C34" s="5" t="e">
        <f>'CW losslG,losslA,interLD'!BC15</f>
        <v>#DIV/0!</v>
      </c>
      <c r="D34" s="5" t="e">
        <f>'CW losslG,losslA,interLD'!BE15</f>
        <v>#DIV/0!</v>
      </c>
      <c r="E34" s="5" t="e">
        <f>'CW losslG,losslA,interLD'!BB15</f>
        <v>#DIV/0!</v>
      </c>
    </row>
    <row r="35" spans="2:12" x14ac:dyDescent="0.25">
      <c r="B35" t="s">
        <v>18</v>
      </c>
      <c r="C35" s="67" t="e">
        <f>'CW losslG,losslA,interLD'!AW19</f>
        <v>#NUM!</v>
      </c>
      <c r="D35" s="59"/>
      <c r="E35" s="59"/>
    </row>
    <row r="36" spans="2:12" x14ac:dyDescent="0.25">
      <c r="B36" s="6" t="s">
        <v>19</v>
      </c>
      <c r="C36" s="68" t="e">
        <f>'CW losslG,losslA,interLD'!AY19</f>
        <v>#NUM!</v>
      </c>
      <c r="D36" s="62"/>
      <c r="E36" s="62"/>
    </row>
    <row r="38" spans="2:12" s="1" customFormat="1" x14ac:dyDescent="0.25">
      <c r="B38" s="1" t="s">
        <v>29</v>
      </c>
    </row>
    <row r="40" spans="2:12" x14ac:dyDescent="0.25">
      <c r="B40" s="61" t="s">
        <v>30</v>
      </c>
      <c r="C40" s="63" t="s">
        <v>31</v>
      </c>
      <c r="D40" s="64"/>
      <c r="E40" s="64"/>
      <c r="F40" s="64"/>
      <c r="G40" s="64"/>
      <c r="H40" s="64"/>
      <c r="I40" s="64"/>
      <c r="J40" s="64"/>
      <c r="K40" s="64"/>
      <c r="L40" s="64"/>
    </row>
    <row r="41" spans="2:12" x14ac:dyDescent="0.25">
      <c r="B41" s="59"/>
      <c r="C41" s="65" t="s">
        <v>5</v>
      </c>
      <c r="D41" s="59"/>
      <c r="E41" s="66" t="s">
        <v>6</v>
      </c>
      <c r="F41" s="59"/>
      <c r="G41" s="59"/>
      <c r="H41" s="65" t="s">
        <v>7</v>
      </c>
      <c r="I41" s="59"/>
      <c r="J41" s="66" t="s">
        <v>8</v>
      </c>
      <c r="K41" s="59"/>
      <c r="L41" s="59"/>
    </row>
    <row r="42" spans="2:12" x14ac:dyDescent="0.25">
      <c r="B42" s="62"/>
      <c r="C42" s="2" t="s">
        <v>9</v>
      </c>
      <c r="D42" s="2" t="s">
        <v>10</v>
      </c>
      <c r="E42" s="3" t="s">
        <v>11</v>
      </c>
      <c r="F42" s="3" t="s">
        <v>12</v>
      </c>
      <c r="G42" s="3" t="s">
        <v>13</v>
      </c>
      <c r="H42" s="2" t="s">
        <v>9</v>
      </c>
      <c r="I42" s="2" t="s">
        <v>10</v>
      </c>
      <c r="J42" s="3" t="s">
        <v>11</v>
      </c>
      <c r="K42" s="3" t="s">
        <v>12</v>
      </c>
      <c r="L42" s="3" t="s">
        <v>13</v>
      </c>
    </row>
    <row r="43" spans="2:12" x14ac:dyDescent="0.25">
      <c r="B43" t="s">
        <v>14</v>
      </c>
      <c r="C43" s="52" t="e">
        <f>'C2 lossyG,lossyA,interRA'!$BJ$40:$BJ$40</f>
        <v>#DIV/0!</v>
      </c>
      <c r="D43" s="52" t="e">
        <f>'C2 lossyG,lossyA,interRA'!$BK$40:$BK$40</f>
        <v>#DIV/0!</v>
      </c>
      <c r="E43" s="52" t="e">
        <f>'C2 lossyG,lossyA,interRA'!$BL$40:$BL$40</f>
        <v>#DIV/0!</v>
      </c>
      <c r="F43" s="52" t="e">
        <f>'C2 lossyG,lossyA,interRA'!$BM$40:$BM$40</f>
        <v>#DIV/0!</v>
      </c>
      <c r="G43" s="52" t="e">
        <f>'C2 lossyG,lossyA,interRA'!$BN$40:$BN$40</f>
        <v>#DIV/0!</v>
      </c>
      <c r="H43" s="52" t="e">
        <f>'C2 lossyG,lossyA,interRA'!$BP$40:$BP$40</f>
        <v>#DIV/0!</v>
      </c>
      <c r="I43" s="52" t="e">
        <f>'C2 lossyG,lossyA,interRA'!$BQ$40:$BQ$40</f>
        <v>#DIV/0!</v>
      </c>
      <c r="J43" s="52" t="e">
        <f>'C2 lossyG,lossyA,interRA'!$BR$40:$BR$40</f>
        <v>#DIV/0!</v>
      </c>
      <c r="K43" s="52" t="e">
        <f>'C2 lossyG,lossyA,interRA'!$BS$40:$BS$40</f>
        <v>#DIV/0!</v>
      </c>
      <c r="L43" s="52" t="e">
        <f>'C2 lossyG,lossyA,interRA'!$BT$40:$BT$40</f>
        <v>#DIV/0!</v>
      </c>
    </row>
    <row r="44" spans="2:12" x14ac:dyDescent="0.25">
      <c r="B44" t="s">
        <v>15</v>
      </c>
      <c r="C44" s="52" t="e">
        <f>'C2 lossyG,lossyA,interRA'!$BJ$41:$BJ$41</f>
        <v>#DIV/0!</v>
      </c>
      <c r="D44" s="52" t="e">
        <f>'C2 lossyG,lossyA,interRA'!$BK$41:$BK$41</f>
        <v>#DIV/0!</v>
      </c>
      <c r="E44" s="52" t="e">
        <f>'C2 lossyG,lossyA,interRA'!$BL$41:$BL$41</f>
        <v>#DIV/0!</v>
      </c>
      <c r="F44" s="52" t="e">
        <f>'C2 lossyG,lossyA,interRA'!$BM$41:$BM$41</f>
        <v>#DIV/0!</v>
      </c>
      <c r="G44" s="52" t="e">
        <f>'C2 lossyG,lossyA,interRA'!$BN$41:$BN$41</f>
        <v>#DIV/0!</v>
      </c>
      <c r="H44" s="52" t="e">
        <f>'C2 lossyG,lossyA,interRA'!$BP$41:$BP$41</f>
        <v>#DIV/0!</v>
      </c>
      <c r="I44" s="52" t="e">
        <f>'C2 lossyG,lossyA,interRA'!$BQ$41:$BQ$41</f>
        <v>#DIV/0!</v>
      </c>
      <c r="J44" s="52" t="e">
        <f>'C2 lossyG,lossyA,interRA'!$BR$41:$BR$41</f>
        <v>#DIV/0!</v>
      </c>
      <c r="K44" s="52" t="e">
        <f>'C2 lossyG,lossyA,interRA'!$BS$41:$BS$41</f>
        <v>#DIV/0!</v>
      </c>
      <c r="L44" s="52" t="e">
        <f>'C2 lossyG,lossyA,interRA'!$BT$41:$BT$41</f>
        <v>#DIV/0!</v>
      </c>
    </row>
    <row r="45" spans="2:12" x14ac:dyDescent="0.25">
      <c r="B45" t="s">
        <v>16</v>
      </c>
      <c r="C45" s="52" t="e">
        <f>'C2 lossyG,lossyA,interRA'!$BJ$42:$BJ$42</f>
        <v>#DIV/0!</v>
      </c>
      <c r="D45" s="52" t="e">
        <f>'C2 lossyG,lossyA,interRA'!$BK$42:$BK$42</f>
        <v>#DIV/0!</v>
      </c>
      <c r="E45" s="52" t="e">
        <f>'C2 lossyG,lossyA,interRA'!$BL$42:$BL$42</f>
        <v>#DIV/0!</v>
      </c>
      <c r="F45" s="52" t="e">
        <f>'C2 lossyG,lossyA,interRA'!$BM$42:$BM$42</f>
        <v>#DIV/0!</v>
      </c>
      <c r="G45" s="52" t="e">
        <f>'C2 lossyG,lossyA,interRA'!$BN$42:$BN$42</f>
        <v>#DIV/0!</v>
      </c>
      <c r="H45" s="52" t="e">
        <f>'C2 lossyG,lossyA,interRA'!$BP$42:$BP$42</f>
        <v>#DIV/0!</v>
      </c>
      <c r="I45" s="52" t="e">
        <f>'C2 lossyG,lossyA,interRA'!$BQ$42:$BQ$42</f>
        <v>#DIV/0!</v>
      </c>
      <c r="J45" s="52" t="e">
        <f>'C2 lossyG,lossyA,interRA'!$BR$42:$BR$42</f>
        <v>#DIV/0!</v>
      </c>
      <c r="K45" s="52" t="e">
        <f>'C2 lossyG,lossyA,interRA'!$BS$42:$BS$42</f>
        <v>#DIV/0!</v>
      </c>
      <c r="L45" s="52" t="e">
        <f>'C2 lossyG,lossyA,interRA'!$BT$42:$BT$42</f>
        <v>#DIV/0!</v>
      </c>
    </row>
    <row r="46" spans="2:12" x14ac:dyDescent="0.25">
      <c r="B46" s="4" t="s">
        <v>17</v>
      </c>
      <c r="C46" s="5" t="e">
        <f>'C2 lossyG,lossyA,interRA'!$BJ$43:$BJ$43</f>
        <v>#DIV/0!</v>
      </c>
      <c r="D46" s="5" t="e">
        <f>'C2 lossyG,lossyA,interRA'!$BK$43:$BK$43</f>
        <v>#DIV/0!</v>
      </c>
      <c r="E46" s="5" t="e">
        <f>'C2 lossyG,lossyA,interRA'!$BL$43:$BL$43</f>
        <v>#DIV/0!</v>
      </c>
      <c r="F46" s="5" t="e">
        <f>'C2 lossyG,lossyA,interRA'!$BM$43:$BM$43</f>
        <v>#DIV/0!</v>
      </c>
      <c r="G46" s="5" t="e">
        <f>'C2 lossyG,lossyA,interRA'!$BN$43:$BN$43</f>
        <v>#DIV/0!</v>
      </c>
      <c r="H46" s="5" t="e">
        <f>'C2 lossyG,lossyA,interRA'!$BP$43:$BP$43</f>
        <v>#DIV/0!</v>
      </c>
      <c r="I46" s="5" t="e">
        <f>'C2 lossyG,lossyA,interRA'!$BQ$43:$BQ$43</f>
        <v>#DIV/0!</v>
      </c>
      <c r="J46" s="5" t="e">
        <f>'C2 lossyG,lossyA,interRA'!$BR$43:$BR$43</f>
        <v>#DIV/0!</v>
      </c>
      <c r="K46" s="5" t="e">
        <f>'C2 lossyG,lossyA,interRA'!$BS$43:$BS$43</f>
        <v>#DIV/0!</v>
      </c>
      <c r="L46" s="5" t="e">
        <f>'C2 lossyG,lossyA,interRA'!$BT$43:$BT$43</f>
        <v>#DIV/0!</v>
      </c>
    </row>
    <row r="47" spans="2:12" x14ac:dyDescent="0.25">
      <c r="B47" t="s">
        <v>18</v>
      </c>
      <c r="C47" s="67" t="e">
        <f>'C2 lossyG,lossyA,interRA'!AZ47</f>
        <v>#NUM!</v>
      </c>
      <c r="D47" s="59"/>
      <c r="E47" s="59"/>
      <c r="F47" s="59"/>
      <c r="G47" s="59"/>
      <c r="H47" s="59"/>
      <c r="I47" s="59"/>
      <c r="J47" s="59"/>
      <c r="K47" s="59"/>
      <c r="L47" s="59"/>
    </row>
    <row r="48" spans="2:12" x14ac:dyDescent="0.25">
      <c r="B48" s="6" t="s">
        <v>19</v>
      </c>
      <c r="C48" s="68" t="e">
        <f>'C2 lossyG,lossyA,interRA'!BB47</f>
        <v>#NUM!</v>
      </c>
      <c r="D48" s="62"/>
      <c r="E48" s="62"/>
      <c r="F48" s="62"/>
      <c r="G48" s="62"/>
      <c r="H48" s="62"/>
      <c r="I48" s="62"/>
      <c r="J48" s="62"/>
      <c r="K48" s="62"/>
      <c r="L48" s="62"/>
    </row>
  </sheetData>
  <mergeCells count="28">
    <mergeCell ref="C47:L47"/>
    <mergeCell ref="C48:L48"/>
    <mergeCell ref="C35:E35"/>
    <mergeCell ref="C36:E36"/>
    <mergeCell ref="B40:B42"/>
    <mergeCell ref="C40:L40"/>
    <mergeCell ref="C41:D41"/>
    <mergeCell ref="E41:G41"/>
    <mergeCell ref="H41:I41"/>
    <mergeCell ref="J41:L41"/>
    <mergeCell ref="C23:E23"/>
    <mergeCell ref="C24:E24"/>
    <mergeCell ref="B28:B30"/>
    <mergeCell ref="C28:E28"/>
    <mergeCell ref="C29:E29"/>
    <mergeCell ref="C13:L13"/>
    <mergeCell ref="C14:L14"/>
    <mergeCell ref="B16:B18"/>
    <mergeCell ref="C16:E16"/>
    <mergeCell ref="C17:E17"/>
    <mergeCell ref="C1:E1"/>
    <mergeCell ref="C2:E2"/>
    <mergeCell ref="B6:B8"/>
    <mergeCell ref="C6:L6"/>
    <mergeCell ref="C7:D7"/>
    <mergeCell ref="E7:G7"/>
    <mergeCell ref="H7:I7"/>
    <mergeCell ref="J7:L7"/>
  </mergeCells>
  <conditionalFormatting sqref="C19 C20 C21 C22">
    <cfRule type="cellIs" dxfId="113" priority="23" operator="greaterThanOrEqual">
      <formula>1.03</formula>
    </cfRule>
    <cfRule type="cellIs" dxfId="112" priority="24" operator="lessThanOrEqual">
      <formula>0.97</formula>
    </cfRule>
  </conditionalFormatting>
  <conditionalFormatting sqref="C31 C32 C33 C34">
    <cfRule type="cellIs" dxfId="111" priority="27" operator="greaterThanOrEqual">
      <formula>1.03</formula>
    </cfRule>
    <cfRule type="cellIs" dxfId="110" priority="28" operator="lessThanOrEqual">
      <formula>0.97</formula>
    </cfRule>
  </conditionalFormatting>
  <conditionalFormatting sqref="C43 C44 C45 C46">
    <cfRule type="cellIs" dxfId="109" priority="51" operator="greaterThanOrEqual">
      <formula>0.03</formula>
    </cfRule>
    <cfRule type="cellIs" dxfId="108" priority="52" operator="lessThanOrEqual">
      <formula>-0.03</formula>
    </cfRule>
  </conditionalFormatting>
  <conditionalFormatting sqref="C9 C10 C11 C12">
    <cfRule type="cellIs" dxfId="107" priority="15" operator="greaterThanOrEqual">
      <formula>0.03</formula>
    </cfRule>
    <cfRule type="cellIs" dxfId="106" priority="16" operator="lessThanOrEqual">
      <formula>-0.03</formula>
    </cfRule>
  </conditionalFormatting>
  <conditionalFormatting sqref="D19 D20 D21 D22">
    <cfRule type="cellIs" dxfId="105" priority="25" operator="greaterThanOrEqual">
      <formula>1.03</formula>
    </cfRule>
    <cfRule type="cellIs" dxfId="104" priority="26" operator="lessThanOrEqual">
      <formula>0.97</formula>
    </cfRule>
  </conditionalFormatting>
  <conditionalFormatting sqref="D31 D32 D33 D34">
    <cfRule type="cellIs" dxfId="103" priority="29" operator="greaterThanOrEqual">
      <formula>1.03</formula>
    </cfRule>
    <cfRule type="cellIs" dxfId="102" priority="30" operator="lessThanOrEqual">
      <formula>0.97</formula>
    </cfRule>
  </conditionalFormatting>
  <conditionalFormatting sqref="D43 D44 D45 D46">
    <cfRule type="cellIs" dxfId="101" priority="35" operator="greaterThanOrEqual">
      <formula>0.03</formula>
    </cfRule>
    <cfRule type="cellIs" dxfId="100" priority="36" operator="lessThanOrEqual">
      <formula>-0.03</formula>
    </cfRule>
  </conditionalFormatting>
  <conditionalFormatting sqref="D9 D10 D11 D12">
    <cfRule type="cellIs" dxfId="99" priority="7" operator="greaterThanOrEqual">
      <formula>0.03</formula>
    </cfRule>
    <cfRule type="cellIs" dxfId="98" priority="8" operator="lessThanOrEqual">
      <formula>-0.03</formula>
    </cfRule>
  </conditionalFormatting>
  <conditionalFormatting sqref="E19 E20 E21 E22">
    <cfRule type="cellIs" dxfId="97" priority="21" operator="greaterThanOrEqual">
      <formula>1.03</formula>
    </cfRule>
    <cfRule type="cellIs" dxfId="96" priority="22" operator="lessThanOrEqual">
      <formula>0.97</formula>
    </cfRule>
  </conditionalFormatting>
  <conditionalFormatting sqref="E31 E32 E33 E34">
    <cfRule type="cellIs" dxfId="95" priority="31" operator="greaterThanOrEqual">
      <formula>1.03</formula>
    </cfRule>
    <cfRule type="cellIs" dxfId="94" priority="32" operator="lessThanOrEqual">
      <formula>0.97</formula>
    </cfRule>
  </conditionalFormatting>
  <conditionalFormatting sqref="E43 E44 E45 E46">
    <cfRule type="cellIs" dxfId="93" priority="37" operator="greaterThanOrEqual">
      <formula>0.03</formula>
    </cfRule>
    <cfRule type="cellIs" dxfId="92" priority="38" operator="lessThanOrEqual">
      <formula>-0.03</formula>
    </cfRule>
  </conditionalFormatting>
  <conditionalFormatting sqref="E9 E10 E11 E12">
    <cfRule type="cellIs" dxfId="91" priority="9" operator="greaterThanOrEqual">
      <formula>0.03</formula>
    </cfRule>
    <cfRule type="cellIs" dxfId="90" priority="10" operator="lessThanOrEqual">
      <formula>-0.03</formula>
    </cfRule>
  </conditionalFormatting>
  <conditionalFormatting sqref="F43 F44 F45 F46">
    <cfRule type="cellIs" dxfId="89" priority="47" operator="greaterThanOrEqual">
      <formula>0.03</formula>
    </cfRule>
    <cfRule type="cellIs" dxfId="88" priority="48" operator="lessThanOrEqual">
      <formula>-0.03</formula>
    </cfRule>
  </conditionalFormatting>
  <conditionalFormatting sqref="F9 F10 F11 F12">
    <cfRule type="cellIs" dxfId="87" priority="11" operator="greaterThanOrEqual">
      <formula>0.03</formula>
    </cfRule>
    <cfRule type="cellIs" dxfId="86" priority="12" operator="lessThanOrEqual">
      <formula>-0.03</formula>
    </cfRule>
  </conditionalFormatting>
  <conditionalFormatting sqref="G43 G44 G45 G46">
    <cfRule type="cellIs" dxfId="85" priority="49" operator="greaterThanOrEqual">
      <formula>0.03</formula>
    </cfRule>
    <cfRule type="cellIs" dxfId="84" priority="50" operator="lessThanOrEqual">
      <formula>-0.03</formula>
    </cfRule>
  </conditionalFormatting>
  <conditionalFormatting sqref="G9 G10 G11 G12">
    <cfRule type="cellIs" dxfId="83" priority="13" operator="greaterThanOrEqual">
      <formula>0.03</formula>
    </cfRule>
    <cfRule type="cellIs" dxfId="82" priority="14" operator="lessThanOrEqual">
      <formula>-0.03</formula>
    </cfRule>
  </conditionalFormatting>
  <conditionalFormatting sqref="H43 H44 H45 H46">
    <cfRule type="cellIs" dxfId="81" priority="39" operator="greaterThanOrEqual">
      <formula>0.03</formula>
    </cfRule>
    <cfRule type="cellIs" dxfId="80" priority="40" operator="lessThanOrEqual">
      <formula>-0.03</formula>
    </cfRule>
  </conditionalFormatting>
  <conditionalFormatting sqref="H9 H10 H11 H12">
    <cfRule type="cellIs" dxfId="79" priority="5" operator="greaterThanOrEqual">
      <formula>0.03</formula>
    </cfRule>
    <cfRule type="cellIs" dxfId="78" priority="6" operator="lessThanOrEqual">
      <formula>-0.03</formula>
    </cfRule>
  </conditionalFormatting>
  <conditionalFormatting sqref="I43 I44 I45 I46">
    <cfRule type="cellIs" dxfId="77" priority="45" operator="greaterThanOrEqual">
      <formula>0.03</formula>
    </cfRule>
    <cfRule type="cellIs" dxfId="76" priority="46" operator="lessThanOrEqual">
      <formula>-0.03</formula>
    </cfRule>
  </conditionalFormatting>
  <conditionalFormatting sqref="I9 I10 I11 I12">
    <cfRule type="cellIs" dxfId="75" priority="19" operator="greaterThanOrEqual">
      <formula>0.03</formula>
    </cfRule>
    <cfRule type="cellIs" dxfId="74" priority="20" operator="lessThanOrEqual">
      <formula>-0.03</formula>
    </cfRule>
  </conditionalFormatting>
  <conditionalFormatting sqref="J43 J44 J45 J46">
    <cfRule type="cellIs" dxfId="73" priority="41" operator="greaterThanOrEqual">
      <formula>0.03</formula>
    </cfRule>
    <cfRule type="cellIs" dxfId="72" priority="42" operator="lessThanOrEqual">
      <formula>-0.03</formula>
    </cfRule>
  </conditionalFormatting>
  <conditionalFormatting sqref="J9 J10 J11 J12">
    <cfRule type="cellIs" dxfId="71" priority="1" operator="greaterThanOrEqual">
      <formula>0.03</formula>
    </cfRule>
    <cfRule type="cellIs" dxfId="70" priority="2" operator="lessThanOrEqual">
      <formula>-0.03</formula>
    </cfRule>
  </conditionalFormatting>
  <conditionalFormatting sqref="K43 K44 K45 K46">
    <cfRule type="cellIs" dxfId="69" priority="43" operator="greaterThanOrEqual">
      <formula>0.03</formula>
    </cfRule>
    <cfRule type="cellIs" dxfId="68" priority="44" operator="lessThanOrEqual">
      <formula>-0.03</formula>
    </cfRule>
  </conditionalFormatting>
  <conditionalFormatting sqref="K9 K10 K11 K12">
    <cfRule type="cellIs" dxfId="67" priority="17" operator="greaterThanOrEqual">
      <formula>0.03</formula>
    </cfRule>
    <cfRule type="cellIs" dxfId="66" priority="18" operator="lessThanOrEqual">
      <formula>-0.03</formula>
    </cfRule>
  </conditionalFormatting>
  <conditionalFormatting sqref="L43 L44 L45 L46">
    <cfRule type="cellIs" dxfId="65" priority="33" operator="greaterThanOrEqual">
      <formula>0.03</formula>
    </cfRule>
    <cfRule type="cellIs" dxfId="64" priority="34" operator="lessThanOrEqual">
      <formula>-0.03</formula>
    </cfRule>
  </conditionalFormatting>
  <conditionalFormatting sqref="L9 L10 L11 L12">
    <cfRule type="cellIs" dxfId="63" priority="3" operator="greaterThanOrEqual">
      <formula>0.03</formula>
    </cfRule>
    <cfRule type="cellIs" dxfId="62" priority="4" operator="lessThanOrEqual">
      <formula>-0.03</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P39"/>
  <sheetViews>
    <sheetView workbookViewId="0"/>
  </sheetViews>
  <sheetFormatPr defaultRowHeight="15" x14ac:dyDescent="0.25"/>
  <cols>
    <col min="1" max="1" width="12.7109375" style="53" customWidth="1"/>
    <col min="2" max="2" width="24.7109375" style="53" customWidth="1"/>
    <col min="4" max="4" width="24.7109375" style="53" customWidth="1"/>
    <col min="9" max="9" width="16.7109375" style="53" customWidth="1"/>
  </cols>
  <sheetData>
    <row r="1" spans="1:16" x14ac:dyDescent="0.25">
      <c r="A1" t="s">
        <v>32</v>
      </c>
      <c r="B1" s="7" t="str">
        <f>M1</f>
        <v>C2 lossyG,lossyA,intra</v>
      </c>
      <c r="C1" t="s">
        <v>33</v>
      </c>
      <c r="I1" t="s">
        <v>34</v>
      </c>
      <c r="M1" t="s">
        <v>35</v>
      </c>
      <c r="N1" t="s">
        <v>36</v>
      </c>
      <c r="O1" t="s">
        <v>37</v>
      </c>
      <c r="P1" t="s">
        <v>38</v>
      </c>
    </row>
    <row r="2" spans="1:16" x14ac:dyDescent="0.25">
      <c r="A2" t="s">
        <v>39</v>
      </c>
      <c r="B2" s="7" t="str">
        <f>HLOOKUP(B1,M1:ZZ3,3,0)</f>
        <v>8ivfbv2_loot_vox10</v>
      </c>
      <c r="C2" t="s">
        <v>40</v>
      </c>
      <c r="I2" t="s">
        <v>41</v>
      </c>
      <c r="J2" t="s">
        <v>42</v>
      </c>
      <c r="M2" t="s">
        <v>43</v>
      </c>
      <c r="N2" t="s">
        <v>44</v>
      </c>
      <c r="O2" t="s">
        <v>45</v>
      </c>
      <c r="P2" t="s">
        <v>46</v>
      </c>
    </row>
    <row r="3" spans="1:16" x14ac:dyDescent="0.25">
      <c r="I3" t="s">
        <v>47</v>
      </c>
      <c r="J3" t="s">
        <v>48</v>
      </c>
      <c r="M3" t="s">
        <v>49</v>
      </c>
      <c r="N3" t="s">
        <v>49</v>
      </c>
      <c r="O3" t="s">
        <v>49</v>
      </c>
      <c r="P3" t="s">
        <v>49</v>
      </c>
    </row>
    <row r="4" spans="1:16" x14ac:dyDescent="0.25">
      <c r="A4" t="s">
        <v>50</v>
      </c>
      <c r="B4" s="7" t="s">
        <v>51</v>
      </c>
      <c r="C4" t="s">
        <v>52</v>
      </c>
      <c r="D4" s="7" t="s">
        <v>53</v>
      </c>
      <c r="E4" t="s">
        <v>54</v>
      </c>
      <c r="I4" t="s">
        <v>55</v>
      </c>
      <c r="J4" t="s">
        <v>56</v>
      </c>
      <c r="M4" t="s">
        <v>57</v>
      </c>
      <c r="N4" t="s">
        <v>57</v>
      </c>
      <c r="O4" t="s">
        <v>57</v>
      </c>
      <c r="P4" t="s">
        <v>57</v>
      </c>
    </row>
    <row r="5" spans="1:16" x14ac:dyDescent="0.25">
      <c r="A5" t="s">
        <v>50</v>
      </c>
      <c r="B5" s="7" t="s">
        <v>51</v>
      </c>
      <c r="C5" t="s">
        <v>52</v>
      </c>
      <c r="D5" s="7" t="s">
        <v>58</v>
      </c>
      <c r="E5" t="s">
        <v>59</v>
      </c>
      <c r="I5" t="s">
        <v>60</v>
      </c>
      <c r="J5" t="s">
        <v>61</v>
      </c>
      <c r="M5" t="s">
        <v>62</v>
      </c>
      <c r="N5" t="s">
        <v>62</v>
      </c>
      <c r="O5" t="s">
        <v>62</v>
      </c>
      <c r="P5" t="s">
        <v>62</v>
      </c>
    </row>
    <row r="6" spans="1:16" x14ac:dyDescent="0.25">
      <c r="A6" t="s">
        <v>50</v>
      </c>
      <c r="B6" s="7" t="s">
        <v>63</v>
      </c>
      <c r="C6" t="s">
        <v>52</v>
      </c>
      <c r="D6" s="7" t="s">
        <v>64</v>
      </c>
      <c r="E6" t="s">
        <v>65</v>
      </c>
      <c r="I6" t="s">
        <v>66</v>
      </c>
      <c r="J6" t="s">
        <v>67</v>
      </c>
      <c r="M6" t="s">
        <v>68</v>
      </c>
      <c r="N6" t="s">
        <v>68</v>
      </c>
      <c r="O6" t="s">
        <v>68</v>
      </c>
      <c r="P6" t="s">
        <v>68</v>
      </c>
    </row>
    <row r="7" spans="1:16" x14ac:dyDescent="0.25">
      <c r="A7" t="s">
        <v>50</v>
      </c>
      <c r="B7" s="7" t="s">
        <v>63</v>
      </c>
      <c r="C7" t="s">
        <v>52</v>
      </c>
      <c r="D7" s="7" t="s">
        <v>47</v>
      </c>
      <c r="E7" t="s">
        <v>69</v>
      </c>
      <c r="I7" t="s">
        <v>53</v>
      </c>
      <c r="J7" t="s">
        <v>70</v>
      </c>
      <c r="M7" t="s">
        <v>71</v>
      </c>
      <c r="N7" t="s">
        <v>71</v>
      </c>
      <c r="O7" t="s">
        <v>71</v>
      </c>
      <c r="P7" t="s">
        <v>71</v>
      </c>
    </row>
    <row r="8" spans="1:16" x14ac:dyDescent="0.25">
      <c r="A8" t="s">
        <v>50</v>
      </c>
      <c r="B8" s="7" t="s">
        <v>63</v>
      </c>
      <c r="C8" t="s">
        <v>52</v>
      </c>
      <c r="D8" s="7" t="s">
        <v>60</v>
      </c>
      <c r="E8" t="s">
        <v>72</v>
      </c>
      <c r="I8" t="s">
        <v>73</v>
      </c>
      <c r="J8" t="s">
        <v>74</v>
      </c>
      <c r="M8" t="s">
        <v>75</v>
      </c>
      <c r="N8" t="s">
        <v>75</v>
      </c>
      <c r="O8" t="s">
        <v>75</v>
      </c>
      <c r="P8" t="s">
        <v>75</v>
      </c>
    </row>
    <row r="9" spans="1:16" x14ac:dyDescent="0.25">
      <c r="A9" t="s">
        <v>50</v>
      </c>
      <c r="B9" s="7" t="s">
        <v>76</v>
      </c>
      <c r="C9" t="s">
        <v>52</v>
      </c>
      <c r="D9" s="7" t="s">
        <v>77</v>
      </c>
      <c r="E9" t="s">
        <v>78</v>
      </c>
      <c r="I9" t="s">
        <v>58</v>
      </c>
      <c r="J9" t="s">
        <v>79</v>
      </c>
      <c r="M9" t="s">
        <v>80</v>
      </c>
      <c r="N9" t="s">
        <v>80</v>
      </c>
      <c r="O9" t="s">
        <v>80</v>
      </c>
      <c r="P9" t="s">
        <v>80</v>
      </c>
    </row>
    <row r="10" spans="1:16" x14ac:dyDescent="0.25">
      <c r="I10" t="s">
        <v>81</v>
      </c>
      <c r="J10" t="s">
        <v>82</v>
      </c>
    </row>
    <row r="11" spans="1:16" x14ac:dyDescent="0.25">
      <c r="I11" t="s">
        <v>83</v>
      </c>
      <c r="J11" t="s">
        <v>84</v>
      </c>
    </row>
    <row r="12" spans="1:16" x14ac:dyDescent="0.25">
      <c r="I12" t="s">
        <v>85</v>
      </c>
      <c r="J12" t="s">
        <v>86</v>
      </c>
    </row>
    <row r="13" spans="1:16" x14ac:dyDescent="0.25">
      <c r="I13" t="s">
        <v>87</v>
      </c>
      <c r="J13" t="s">
        <v>88</v>
      </c>
    </row>
    <row r="14" spans="1:16" x14ac:dyDescent="0.25">
      <c r="I14" t="s">
        <v>89</v>
      </c>
      <c r="J14" t="s">
        <v>90</v>
      </c>
    </row>
    <row r="15" spans="1:16" x14ac:dyDescent="0.25">
      <c r="I15" t="s">
        <v>91</v>
      </c>
      <c r="J15" t="s">
        <v>92</v>
      </c>
    </row>
    <row r="16" spans="1:16" x14ac:dyDescent="0.25">
      <c r="I16" t="s">
        <v>93</v>
      </c>
      <c r="J16" t="s">
        <v>94</v>
      </c>
    </row>
    <row r="17" spans="9:10" x14ac:dyDescent="0.25">
      <c r="I17" t="s">
        <v>77</v>
      </c>
      <c r="J17" t="s">
        <v>95</v>
      </c>
    </row>
    <row r="18" spans="9:10" x14ac:dyDescent="0.25">
      <c r="I18" t="s">
        <v>96</v>
      </c>
      <c r="J18" t="s">
        <v>97</v>
      </c>
    </row>
    <row r="19" spans="9:10" x14ac:dyDescent="0.25">
      <c r="I19" t="s">
        <v>98</v>
      </c>
      <c r="J19" t="s">
        <v>99</v>
      </c>
    </row>
    <row r="20" spans="9:10" x14ac:dyDescent="0.25">
      <c r="I20" t="s">
        <v>100</v>
      </c>
      <c r="J20" t="s">
        <v>101</v>
      </c>
    </row>
    <row r="21" spans="9:10" x14ac:dyDescent="0.25">
      <c r="I21" t="s">
        <v>102</v>
      </c>
      <c r="J21" t="s">
        <v>103</v>
      </c>
    </row>
    <row r="22" spans="9:10" x14ac:dyDescent="0.25">
      <c r="I22" t="s">
        <v>64</v>
      </c>
      <c r="J22" t="s">
        <v>104</v>
      </c>
    </row>
    <row r="23" spans="9:10" x14ac:dyDescent="0.25">
      <c r="I23" t="s">
        <v>105</v>
      </c>
      <c r="J23" t="s">
        <v>106</v>
      </c>
    </row>
    <row r="24" spans="9:10" x14ac:dyDescent="0.25">
      <c r="I24" t="s">
        <v>107</v>
      </c>
      <c r="J24" t="s">
        <v>108</v>
      </c>
    </row>
    <row r="25" spans="9:10" x14ac:dyDescent="0.25">
      <c r="I25" t="s">
        <v>109</v>
      </c>
      <c r="J25" t="s">
        <v>110</v>
      </c>
    </row>
    <row r="26" spans="9:10" x14ac:dyDescent="0.25">
      <c r="I26" t="s">
        <v>111</v>
      </c>
      <c r="J26" t="s">
        <v>112</v>
      </c>
    </row>
    <row r="27" spans="9:10" x14ac:dyDescent="0.25">
      <c r="I27" t="s">
        <v>113</v>
      </c>
      <c r="J27" t="s">
        <v>114</v>
      </c>
    </row>
    <row r="28" spans="9:10" x14ac:dyDescent="0.25">
      <c r="I28" t="s">
        <v>115</v>
      </c>
      <c r="J28" t="s">
        <v>116</v>
      </c>
    </row>
    <row r="29" spans="9:10" x14ac:dyDescent="0.25">
      <c r="I29" t="s">
        <v>117</v>
      </c>
      <c r="J29" t="s">
        <v>118</v>
      </c>
    </row>
    <row r="30" spans="9:10" x14ac:dyDescent="0.25">
      <c r="I30" t="s">
        <v>119</v>
      </c>
      <c r="J30" t="s">
        <v>120</v>
      </c>
    </row>
    <row r="31" spans="9:10" x14ac:dyDescent="0.25">
      <c r="I31" t="s">
        <v>121</v>
      </c>
      <c r="J31" t="s">
        <v>122</v>
      </c>
    </row>
    <row r="32" spans="9:10" x14ac:dyDescent="0.25">
      <c r="I32" t="s">
        <v>123</v>
      </c>
      <c r="J32" t="s">
        <v>124</v>
      </c>
    </row>
    <row r="33" spans="9:10" x14ac:dyDescent="0.25">
      <c r="I33" t="s">
        <v>125</v>
      </c>
      <c r="J33" t="s">
        <v>126</v>
      </c>
    </row>
    <row r="34" spans="9:10" x14ac:dyDescent="0.25">
      <c r="I34" t="s">
        <v>127</v>
      </c>
      <c r="J34" t="s">
        <v>128</v>
      </c>
    </row>
    <row r="35" spans="9:10" x14ac:dyDescent="0.25">
      <c r="I35" t="s">
        <v>63</v>
      </c>
      <c r="J35" t="s">
        <v>129</v>
      </c>
    </row>
    <row r="36" spans="9:10" x14ac:dyDescent="0.25">
      <c r="I36" t="s">
        <v>51</v>
      </c>
      <c r="J36" t="s">
        <v>130</v>
      </c>
    </row>
    <row r="37" spans="9:10" x14ac:dyDescent="0.25">
      <c r="I37" t="s">
        <v>131</v>
      </c>
      <c r="J37" t="s">
        <v>132</v>
      </c>
    </row>
    <row r="38" spans="9:10" x14ac:dyDescent="0.25">
      <c r="I38" t="s">
        <v>76</v>
      </c>
      <c r="J38" t="s">
        <v>133</v>
      </c>
    </row>
    <row r="39" spans="9:10" x14ac:dyDescent="0.25">
      <c r="I39" t="s">
        <v>134</v>
      </c>
      <c r="J39" t="s">
        <v>135</v>
      </c>
    </row>
  </sheetData>
  <conditionalFormatting sqref="B2">
    <cfRule type="expression" dxfId="61" priority="1">
      <formula>ISNA(MATCH(B2,OFFSET(M:M,2,MATCH(B1,M1:ZZ1,0)-1,COUNTA(INDEX(M:ZZ,,MATCH(B1,M1:ZZ1,0)))-2),0))</formula>
    </cfRule>
  </conditionalFormatting>
  <conditionalFormatting sqref="B4 D4 B5 D5 B6 D6 B7 D7 B8 D8 B9 D9">
    <cfRule type="expression" dxfId="60" priority="2">
      <formula>ISNA(MATCH(B4,filter_cols,0))</formula>
    </cfRule>
  </conditionalFormatting>
  <dataValidations count="3">
    <dataValidation type="list" showInputMessage="1" showErrorMessage="1" sqref="B1" xr:uid="{00000000-0002-0000-0100-000000000000}">
      <formula1>OFFSET(1:1,0,COLUMN(M1)-1,1,COUNTA(M1:ZZ1))</formula1>
    </dataValidation>
    <dataValidation type="list" showInputMessage="1" showErrorMessage="1" sqref="B2" xr:uid="{00000000-0002-0000-0100-000001000000}">
      <formula1>OFFSET(M:M,2,MATCH(B1,M1:ZZ1,0)-1,COUNTA(INDEX(M:ZZ,,MATCH(B1,M1:ZZ1,0)))-2)</formula1>
    </dataValidation>
    <dataValidation type="list" showInputMessage="1" showErrorMessage="1" sqref="B4:B9 D4:D9" xr:uid="{00000000-0002-0000-0100-000002000000}">
      <formula1>Graphs!filter_cols</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outlinePr summaryBelow="0"/>
  </sheetPr>
  <dimension ref="A1:BU47"/>
  <sheetViews>
    <sheetView zoomScale="55" zoomScaleNormal="55" workbookViewId="0">
      <pane xSplit="2" ySplit="4" topLeftCell="C5" activePane="bottomRight" state="frozen"/>
      <selection pane="topRight" activeCell="C1" sqref="C1"/>
      <selection pane="bottomLeft" activeCell="A5" sqref="A5"/>
      <selection pane="bottomRight" activeCell="D30" sqref="D30:F39"/>
    </sheetView>
  </sheetViews>
  <sheetFormatPr defaultRowHeight="15" outlineLevelRow="2" x14ac:dyDescent="0.25"/>
  <cols>
    <col min="2" max="2" width="24.7109375" style="53" customWidth="1"/>
    <col min="4" max="5" width="10.7109375" style="53" customWidth="1"/>
    <col min="8" max="8" width="1.7109375" style="53" customWidth="1"/>
    <col min="10" max="13" width="10.7109375" style="53" customWidth="1"/>
    <col min="14" max="14" width="24.7109375" style="53" hidden="1" customWidth="1"/>
    <col min="15" max="15" width="12.7109375" style="53" customWidth="1"/>
    <col min="16" max="16" width="10.7109375" style="53" customWidth="1"/>
    <col min="19" max="22" width="12.7109375" style="53" customWidth="1"/>
    <col min="23" max="27" width="11.7109375" style="53" customWidth="1"/>
    <col min="32" max="32" width="1.7109375" style="53" customWidth="1"/>
    <col min="34" max="37" width="10.7109375" style="53" customWidth="1"/>
    <col min="38" max="38" width="24.7109375" style="53" hidden="1" customWidth="1"/>
    <col min="39" max="39" width="12.7109375" style="53" customWidth="1"/>
    <col min="40" max="40" width="10.7109375" style="53" customWidth="1"/>
    <col min="43" max="46" width="12.7109375" style="53" customWidth="1"/>
    <col min="47" max="51" width="11.7109375" style="53" customWidth="1"/>
    <col min="56" max="56" width="1.7109375" style="53" customWidth="1"/>
    <col min="61" max="61" width="1.7109375" style="53" customWidth="1"/>
    <col min="64" max="66" width="11.7109375" style="53" customWidth="1"/>
    <col min="67" max="67" width="1.7109375" style="53" customWidth="1"/>
    <col min="70" max="72" width="11.7109375" style="53" customWidth="1"/>
    <col min="73" max="73" width="1.7109375" style="53" customWidth="1"/>
  </cols>
  <sheetData>
    <row r="1" spans="1:72" x14ac:dyDescent="0.25">
      <c r="A1" s="73" t="s">
        <v>136</v>
      </c>
      <c r="B1" s="59"/>
      <c r="C1" s="59"/>
      <c r="D1" s="59"/>
      <c r="E1" s="59"/>
      <c r="F1" s="59"/>
      <c r="G1" s="59"/>
      <c r="I1" s="58" t="str">
        <f>Summary!$C$1</f>
        <v>R10.0</v>
      </c>
      <c r="J1" s="59"/>
      <c r="K1" s="59"/>
      <c r="L1" s="59"/>
      <c r="M1" s="59"/>
      <c r="N1" s="59"/>
      <c r="O1" s="59"/>
      <c r="P1" s="59"/>
      <c r="Q1" s="59"/>
      <c r="R1" s="59"/>
      <c r="S1" s="59"/>
      <c r="T1" s="59"/>
      <c r="U1" s="59"/>
      <c r="V1" s="59"/>
      <c r="W1" s="59"/>
      <c r="X1" s="59"/>
      <c r="Y1" s="59"/>
      <c r="Z1" s="59"/>
      <c r="AA1" s="59"/>
      <c r="AB1" s="59"/>
      <c r="AC1" s="59"/>
      <c r="AD1" s="59"/>
      <c r="AE1" s="59"/>
      <c r="AG1" s="60">
        <f>Summary!$C$2</f>
        <v>0</v>
      </c>
      <c r="AH1" s="59"/>
      <c r="AI1" s="59"/>
      <c r="AJ1" s="59"/>
      <c r="AK1" s="59"/>
      <c r="AL1" s="59"/>
      <c r="AM1" s="59"/>
      <c r="AN1" s="59"/>
      <c r="AO1" s="59"/>
      <c r="AP1" s="59"/>
      <c r="AQ1" s="59"/>
      <c r="AR1" s="59"/>
      <c r="AS1" s="59"/>
      <c r="AT1" s="59"/>
      <c r="AU1" s="59"/>
      <c r="AV1" s="59"/>
      <c r="AW1" s="59"/>
      <c r="AX1" s="59"/>
      <c r="AY1" s="59"/>
      <c r="AZ1" s="59"/>
      <c r="BA1" s="59"/>
      <c r="BB1" s="59"/>
      <c r="BC1" s="59"/>
    </row>
    <row r="2" spans="1:72" ht="30" customHeight="1" x14ac:dyDescent="0.25">
      <c r="A2" s="69" t="s">
        <v>137</v>
      </c>
      <c r="B2" s="70" t="s">
        <v>138</v>
      </c>
      <c r="C2" s="69" t="s">
        <v>139</v>
      </c>
      <c r="D2" s="70" t="s">
        <v>140</v>
      </c>
      <c r="E2" s="69" t="s">
        <v>141</v>
      </c>
      <c r="F2" s="70" t="s">
        <v>142</v>
      </c>
      <c r="G2" s="69" t="s">
        <v>143</v>
      </c>
      <c r="I2" s="70" t="s">
        <v>144</v>
      </c>
      <c r="J2" s="71" t="s">
        <v>145</v>
      </c>
      <c r="K2" s="59"/>
      <c r="L2" s="59"/>
      <c r="M2" s="59"/>
      <c r="N2" s="69" t="s">
        <v>146</v>
      </c>
      <c r="O2" s="70" t="s">
        <v>147</v>
      </c>
      <c r="P2" s="69" t="s">
        <v>84</v>
      </c>
      <c r="Q2" s="70" t="s">
        <v>86</v>
      </c>
      <c r="R2" s="69" t="s">
        <v>82</v>
      </c>
      <c r="S2" s="72" t="s">
        <v>148</v>
      </c>
      <c r="T2" s="59"/>
      <c r="U2" s="59"/>
      <c r="V2" s="59"/>
      <c r="W2" s="71" t="s">
        <v>149</v>
      </c>
      <c r="X2" s="59"/>
      <c r="Y2" s="72" t="s">
        <v>150</v>
      </c>
      <c r="Z2" s="59"/>
      <c r="AA2" s="59"/>
      <c r="AB2" s="71" t="s">
        <v>151</v>
      </c>
      <c r="AC2" s="59"/>
      <c r="AD2" s="72" t="s">
        <v>152</v>
      </c>
      <c r="AE2" s="59"/>
      <c r="AG2" s="69" t="s">
        <v>144</v>
      </c>
      <c r="AH2" s="72" t="s">
        <v>145</v>
      </c>
      <c r="AI2" s="59"/>
      <c r="AJ2" s="59"/>
      <c r="AK2" s="59"/>
      <c r="AL2" s="70" t="s">
        <v>153</v>
      </c>
      <c r="AM2" s="69" t="s">
        <v>147</v>
      </c>
      <c r="AN2" s="70" t="s">
        <v>84</v>
      </c>
      <c r="AO2" s="69" t="s">
        <v>86</v>
      </c>
      <c r="AP2" s="70" t="s">
        <v>82</v>
      </c>
      <c r="AQ2" s="71" t="s">
        <v>148</v>
      </c>
      <c r="AR2" s="59"/>
      <c r="AS2" s="59"/>
      <c r="AT2" s="59"/>
      <c r="AU2" s="72" t="s">
        <v>149</v>
      </c>
      <c r="AV2" s="59"/>
      <c r="AW2" s="71" t="s">
        <v>150</v>
      </c>
      <c r="AX2" s="59"/>
      <c r="AY2" s="59"/>
      <c r="AZ2" s="72" t="s">
        <v>151</v>
      </c>
      <c r="BA2" s="59"/>
      <c r="BB2" s="71" t="s">
        <v>152</v>
      </c>
      <c r="BC2" s="59"/>
      <c r="BE2" s="70" t="s">
        <v>154</v>
      </c>
      <c r="BF2" s="69" t="s">
        <v>155</v>
      </c>
      <c r="BG2" s="70" t="s">
        <v>156</v>
      </c>
      <c r="BH2" s="69" t="s">
        <v>156</v>
      </c>
      <c r="BJ2" s="72" t="s">
        <v>5</v>
      </c>
      <c r="BK2" s="59"/>
      <c r="BL2" s="71" t="s">
        <v>6</v>
      </c>
      <c r="BM2" s="59"/>
      <c r="BN2" s="59"/>
      <c r="BP2" s="72" t="s">
        <v>7</v>
      </c>
      <c r="BQ2" s="59"/>
      <c r="BR2" s="71" t="s">
        <v>8</v>
      </c>
      <c r="BS2" s="59"/>
      <c r="BT2" s="59"/>
    </row>
    <row r="3" spans="1:72" x14ac:dyDescent="0.25">
      <c r="A3" s="62"/>
      <c r="B3" s="62"/>
      <c r="C3" s="62"/>
      <c r="D3" s="62"/>
      <c r="E3" s="62"/>
      <c r="F3" s="62"/>
      <c r="G3" s="62"/>
      <c r="I3" s="62"/>
      <c r="J3" s="56" t="s">
        <v>25</v>
      </c>
      <c r="K3" s="56" t="s">
        <v>23</v>
      </c>
      <c r="L3" s="56" t="s">
        <v>157</v>
      </c>
      <c r="M3" s="56" t="s">
        <v>158</v>
      </c>
      <c r="N3" s="62"/>
      <c r="O3" s="62"/>
      <c r="P3" s="62"/>
      <c r="Q3" s="62"/>
      <c r="R3" s="62"/>
      <c r="S3" s="57" t="s">
        <v>25</v>
      </c>
      <c r="T3" s="57" t="s">
        <v>157</v>
      </c>
      <c r="U3" s="57" t="s">
        <v>159</v>
      </c>
      <c r="V3" s="57" t="s">
        <v>24</v>
      </c>
      <c r="W3" s="56" t="s">
        <v>9</v>
      </c>
      <c r="X3" s="56" t="s">
        <v>10</v>
      </c>
      <c r="Y3" s="57" t="s">
        <v>11</v>
      </c>
      <c r="Z3" s="57" t="s">
        <v>12</v>
      </c>
      <c r="AA3" s="57" t="s">
        <v>13</v>
      </c>
      <c r="AB3" s="56" t="s">
        <v>160</v>
      </c>
      <c r="AC3" s="56" t="s">
        <v>161</v>
      </c>
      <c r="AD3" s="57" t="s">
        <v>160</v>
      </c>
      <c r="AE3" s="57" t="s">
        <v>161</v>
      </c>
      <c r="AG3" s="62"/>
      <c r="AH3" s="57" t="s">
        <v>25</v>
      </c>
      <c r="AI3" s="57" t="s">
        <v>23</v>
      </c>
      <c r="AJ3" s="57" t="s">
        <v>157</v>
      </c>
      <c r="AK3" s="57" t="s">
        <v>158</v>
      </c>
      <c r="AL3" s="62"/>
      <c r="AM3" s="62"/>
      <c r="AN3" s="62"/>
      <c r="AO3" s="62"/>
      <c r="AP3" s="62"/>
      <c r="AQ3" s="56" t="s">
        <v>25</v>
      </c>
      <c r="AR3" s="56" t="s">
        <v>157</v>
      </c>
      <c r="AS3" s="56" t="s">
        <v>159</v>
      </c>
      <c r="AT3" s="56" t="s">
        <v>24</v>
      </c>
      <c r="AU3" s="57" t="s">
        <v>9</v>
      </c>
      <c r="AV3" s="57" t="s">
        <v>10</v>
      </c>
      <c r="AW3" s="56" t="s">
        <v>11</v>
      </c>
      <c r="AX3" s="56" t="s">
        <v>12</v>
      </c>
      <c r="AY3" s="56" t="s">
        <v>13</v>
      </c>
      <c r="AZ3" s="57" t="s">
        <v>160</v>
      </c>
      <c r="BA3" s="57" t="s">
        <v>161</v>
      </c>
      <c r="BB3" s="56" t="s">
        <v>160</v>
      </c>
      <c r="BC3" s="56" t="s">
        <v>161</v>
      </c>
      <c r="BE3" s="62"/>
      <c r="BF3" s="62"/>
      <c r="BG3" s="62"/>
      <c r="BH3" s="62"/>
      <c r="BJ3" s="57" t="s">
        <v>9</v>
      </c>
      <c r="BK3" s="57" t="s">
        <v>10</v>
      </c>
      <c r="BL3" s="56" t="s">
        <v>11</v>
      </c>
      <c r="BM3" s="56" t="s">
        <v>12</v>
      </c>
      <c r="BN3" s="56" t="s">
        <v>13</v>
      </c>
      <c r="BP3" s="57" t="s">
        <v>9</v>
      </c>
      <c r="BQ3" s="57" t="s">
        <v>10</v>
      </c>
      <c r="BR3" s="56" t="s">
        <v>11</v>
      </c>
      <c r="BS3" s="56" t="s">
        <v>12</v>
      </c>
      <c r="BT3" s="56" t="s">
        <v>13</v>
      </c>
    </row>
    <row r="4" spans="1:72" ht="123" hidden="1" customHeight="1" x14ac:dyDescent="0.25">
      <c r="A4" s="8" t="s">
        <v>162</v>
      </c>
      <c r="B4" s="9" t="s">
        <v>163</v>
      </c>
      <c r="C4" s="8" t="s">
        <v>164</v>
      </c>
      <c r="D4" s="9" t="s">
        <v>165</v>
      </c>
      <c r="E4" s="8" t="s">
        <v>166</v>
      </c>
      <c r="F4" s="9" t="s">
        <v>167</v>
      </c>
      <c r="G4" s="8" t="s">
        <v>168</v>
      </c>
      <c r="I4" s="9" t="s">
        <v>169</v>
      </c>
      <c r="J4" s="8" t="s">
        <v>170</v>
      </c>
      <c r="K4" s="8" t="s">
        <v>171</v>
      </c>
      <c r="L4" s="8" t="s">
        <v>172</v>
      </c>
      <c r="M4" s="8" t="s">
        <v>173</v>
      </c>
      <c r="N4" s="8" t="s">
        <v>174</v>
      </c>
      <c r="O4" s="9" t="s">
        <v>175</v>
      </c>
      <c r="P4" s="8" t="s">
        <v>176</v>
      </c>
      <c r="Q4" s="9" t="s">
        <v>177</v>
      </c>
      <c r="R4" s="8" t="s">
        <v>178</v>
      </c>
      <c r="S4" s="9" t="s">
        <v>179</v>
      </c>
      <c r="T4" s="9" t="s">
        <v>180</v>
      </c>
      <c r="U4" s="9" t="s">
        <v>181</v>
      </c>
      <c r="V4" s="9" t="s">
        <v>182</v>
      </c>
      <c r="W4" s="8" t="s">
        <v>183</v>
      </c>
      <c r="X4" s="8" t="s">
        <v>184</v>
      </c>
      <c r="Y4" s="9" t="s">
        <v>185</v>
      </c>
      <c r="Z4" s="9" t="s">
        <v>186</v>
      </c>
      <c r="AA4" s="9" t="s">
        <v>187</v>
      </c>
      <c r="AB4" s="8" t="s">
        <v>188</v>
      </c>
      <c r="AC4" s="8" t="s">
        <v>189</v>
      </c>
      <c r="AD4" s="9" t="s">
        <v>190</v>
      </c>
      <c r="AE4" s="9" t="s">
        <v>191</v>
      </c>
      <c r="AG4" s="8" t="s">
        <v>192</v>
      </c>
      <c r="AH4" s="9" t="s">
        <v>193</v>
      </c>
      <c r="AI4" s="9" t="s">
        <v>194</v>
      </c>
      <c r="AJ4" s="9" t="s">
        <v>195</v>
      </c>
      <c r="AK4" s="9" t="s">
        <v>196</v>
      </c>
      <c r="AL4" s="9" t="s">
        <v>197</v>
      </c>
      <c r="AM4" s="8" t="s">
        <v>198</v>
      </c>
      <c r="AN4" s="9" t="s">
        <v>199</v>
      </c>
      <c r="AO4" s="8" t="s">
        <v>200</v>
      </c>
      <c r="AP4" s="9" t="s">
        <v>201</v>
      </c>
      <c r="AQ4" s="8" t="s">
        <v>202</v>
      </c>
      <c r="AR4" s="8" t="s">
        <v>203</v>
      </c>
      <c r="AS4" s="8" t="s">
        <v>204</v>
      </c>
      <c r="AT4" s="8" t="s">
        <v>205</v>
      </c>
      <c r="AU4" s="9" t="s">
        <v>206</v>
      </c>
      <c r="AV4" s="9" t="s">
        <v>207</v>
      </c>
      <c r="AW4" s="8" t="s">
        <v>208</v>
      </c>
      <c r="AX4" s="8" t="s">
        <v>209</v>
      </c>
      <c r="AY4" s="8" t="s">
        <v>210</v>
      </c>
      <c r="AZ4" s="9" t="s">
        <v>211</v>
      </c>
      <c r="BA4" s="9" t="s">
        <v>212</v>
      </c>
      <c r="BB4" s="8" t="s">
        <v>213</v>
      </c>
      <c r="BC4" s="8" t="s">
        <v>214</v>
      </c>
      <c r="BE4" s="9" t="s">
        <v>215</v>
      </c>
      <c r="BF4" s="8" t="s">
        <v>216</v>
      </c>
      <c r="BG4" s="9" t="s">
        <v>217</v>
      </c>
      <c r="BH4" s="8" t="s">
        <v>218</v>
      </c>
      <c r="BJ4" s="9" t="s">
        <v>219</v>
      </c>
      <c r="BK4" s="9" t="s">
        <v>220</v>
      </c>
      <c r="BL4" s="8" t="s">
        <v>221</v>
      </c>
      <c r="BM4" s="8" t="s">
        <v>222</v>
      </c>
      <c r="BN4" s="8" t="s">
        <v>223</v>
      </c>
      <c r="BP4" s="9" t="s">
        <v>224</v>
      </c>
      <c r="BQ4" s="9" t="s">
        <v>225</v>
      </c>
      <c r="BR4" s="8" t="s">
        <v>226</v>
      </c>
      <c r="BS4" s="8" t="s">
        <v>227</v>
      </c>
      <c r="BT4" s="8" t="s">
        <v>228</v>
      </c>
    </row>
    <row r="5" spans="1:72" x14ac:dyDescent="0.25">
      <c r="A5" s="54" t="s">
        <v>229</v>
      </c>
      <c r="B5" s="54" t="s">
        <v>49</v>
      </c>
      <c r="C5" s="10" t="s">
        <v>230</v>
      </c>
      <c r="D5" s="54">
        <v>238146391</v>
      </c>
      <c r="E5" s="10">
        <v>10</v>
      </c>
      <c r="F5" s="10">
        <v>300</v>
      </c>
      <c r="G5" s="10">
        <v>30</v>
      </c>
      <c r="I5" s="11">
        <f t="shared" ref="I5:I39" si="0">IF(OR(ISBLANK(S5),ISBLANK(G5)),"·",S5*G5/F5/1000000)</f>
        <v>2.2812136000000001</v>
      </c>
      <c r="J5" s="12">
        <f t="shared" ref="J5:J39" si="1">IF(ISBLANK(S5),"·",S5/D5)</f>
        <v>9.5790391381576717E-2</v>
      </c>
      <c r="K5" s="12">
        <f t="shared" ref="K5:K39" si="2">IF(N5="","·",N5/D5)</f>
        <v>6.1316872948118703E-2</v>
      </c>
      <c r="L5" s="12">
        <f t="shared" ref="L5:L39" si="3">IF(T5="","·",T5/D5)</f>
        <v>3.4664359032843796E-2</v>
      </c>
      <c r="M5" s="12">
        <f t="shared" ref="M5:M39" si="4">IF(ISBLANK(V5),"·",V5/D5)</f>
        <v>3.4473518433458014E-2</v>
      </c>
      <c r="N5" s="54">
        <f t="shared" ref="N5:N39" si="5">IF(OR(ISBLANK(T5),ISBLANK(U5)),"",T5+U5)</f>
        <v>14602392</v>
      </c>
      <c r="O5" s="12">
        <v>16</v>
      </c>
      <c r="P5" s="13">
        <v>210114715</v>
      </c>
      <c r="Q5" s="13">
        <v>700382.38333333295</v>
      </c>
      <c r="R5" s="13">
        <v>14452.65</v>
      </c>
      <c r="S5" s="14">
        <v>22812136</v>
      </c>
      <c r="T5" s="14">
        <v>8255192</v>
      </c>
      <c r="U5" s="14">
        <v>6347200</v>
      </c>
      <c r="V5" s="14">
        <v>8209744</v>
      </c>
      <c r="W5" s="15">
        <v>66.3066216666667</v>
      </c>
      <c r="X5" s="15">
        <v>68.366856666666706</v>
      </c>
      <c r="Y5" s="15">
        <v>32.326923000000001</v>
      </c>
      <c r="Z5" s="15">
        <v>44.152233666666604</v>
      </c>
      <c r="AA5" s="15">
        <v>43.80706</v>
      </c>
      <c r="AB5" s="16">
        <v>32395.1</v>
      </c>
      <c r="AC5" s="16">
        <v>0</v>
      </c>
      <c r="AD5" s="16">
        <v>404.91</v>
      </c>
      <c r="AE5" s="16">
        <v>0</v>
      </c>
      <c r="AG5" s="11" t="str">
        <f t="shared" ref="AG5:AG39" si="6">IF(OR(ISBLANK(AQ5),ISBLANK(G5)),"·",AQ5*G5/F5/1000000)</f>
        <v>·</v>
      </c>
      <c r="AH5" s="12" t="str">
        <f t="shared" ref="AH5:AH39" si="7">IF(ISBLANK(AQ5),"·",AQ5/D5)</f>
        <v>·</v>
      </c>
      <c r="AI5" s="12" t="str">
        <f t="shared" ref="AI5:AI39" si="8">IF(AL5="","·",AL5/D5)</f>
        <v>·</v>
      </c>
      <c r="AJ5" s="12" t="str">
        <f t="shared" ref="AJ5:AJ39" si="9">IF(AR5="","·",AR5/D5)</f>
        <v>·</v>
      </c>
      <c r="AK5" s="12" t="str">
        <f t="shared" ref="AK5:AK39" si="10">IF(ISBLANK(AT5),"·",AT5/D5)</f>
        <v>·</v>
      </c>
      <c r="AL5" s="54" t="str">
        <f t="shared" ref="AL5:AL39" si="11">IF(OR(ISBLANK(AR5),ISBLANK(AS5)),"",AR5+AS5)</f>
        <v/>
      </c>
      <c r="AM5" s="12">
        <v>16</v>
      </c>
      <c r="AN5" s="13"/>
      <c r="AO5" s="13"/>
      <c r="AP5" s="13"/>
      <c r="AQ5" s="14"/>
      <c r="AR5" s="14"/>
      <c r="AS5" s="14"/>
      <c r="AT5" s="14"/>
      <c r="AU5" s="15"/>
      <c r="AV5" s="15"/>
      <c r="AW5" s="15"/>
      <c r="AX5" s="15"/>
      <c r="AY5" s="15"/>
      <c r="AZ5" s="16"/>
      <c r="BA5" s="16"/>
      <c r="BB5" s="16"/>
      <c r="BC5" s="16"/>
      <c r="BE5" s="51" t="e">
        <f t="shared" ref="BE5:BE43" si="12">AI5/K5</f>
        <v>#VALUE!</v>
      </c>
      <c r="BF5" s="17" t="e">
        <f t="shared" ref="BF5:BF39" si="13">(AP5/AO5) - (R5/Q5)</f>
        <v>#DIV/0!</v>
      </c>
      <c r="BG5" s="17" t="e">
        <f t="shared" ref="BG5:BG39" si="14">(AL5/AQ5) - (N5/S5)</f>
        <v>#VALUE!</v>
      </c>
      <c r="BH5" s="17" t="e">
        <f t="array" ref="BH5">AVERAGE(AL5:AL9/AQ5:AQ9) - AVERAGE(N5:N9/S5:S9)</f>
        <v>#VALUE!</v>
      </c>
      <c r="BJ5" s="51" t="str">
        <f>IF( OR(ISBLANK(N5:N9),ISBLANK(AL5:AL9), ISBLANK(W5:W9),ISBLANK(AU5:AU9)), "·", bdRateExtend( N5:N9,W5:W9, AL5:AL9,AU5:AU9))</f>
        <v>·</v>
      </c>
      <c r="BK5" s="51" t="str">
        <f>IF( OR(ISBLANK(N5:N9),ISBLANK(AL5:AL9), ISBLANK(X5:X9),ISBLANK(AV5:AV9)), "·", bdRateExtend( N5:N9,X5:X9, AL5:AL9,AV5:AV9))</f>
        <v>·</v>
      </c>
      <c r="BL5" s="51" t="str">
        <f>IF( OR(ISBLANK(V5:V9),ISBLANK(AT5:AT9), ISBLANK(Y5:Y9),ISBLANK(AW5:AW9)), "·", bdRateExtend( V5:V9,Y5:Y9, AT5:AT9,AW5:AW9))</f>
        <v>·</v>
      </c>
      <c r="BM5" s="51" t="str">
        <f>IF( OR(ISBLANK(V5:V9),ISBLANK(AT5:AT9), ISBLANK(Z5:Z9),ISBLANK(AX5:AX9)), "·", bdRateExtend( V5:V9,Z5:Z9, AT5:AT9,AX5:AX9))</f>
        <v>·</v>
      </c>
      <c r="BN5" s="51" t="str">
        <f>IF( OR(ISBLANK(V5:V9),ISBLANK(AT5:AT9), ISBLANK(AA5:AA9),ISBLANK(AY5:AY9)), "·", bdRateExtend( V5:V9,AA5:AA9, AT5:AT9,AY5:AY9))</f>
        <v>·</v>
      </c>
      <c r="BP5" s="51" t="str">
        <f>IF( OR(ISBLANK(S5:S9),ISBLANK(AQ5:AQ9), ISBLANK(W5:W9),ISBLANK(AU5:AU9)), "·", bdRateExtend( S5:S9,W5:W9, AQ5:AQ9,AU5:AU9))</f>
        <v>·</v>
      </c>
      <c r="BQ5" s="51" t="str">
        <f>IF( OR(ISBLANK(S5:S9),ISBLANK(AQ5:AQ9), ISBLANK(X5:X9),ISBLANK(AV5:AV9)), "·", bdRateExtend( S5:S9,X5:X9, AQ5:AQ9,AV5:AV9))</f>
        <v>·</v>
      </c>
      <c r="BR5" s="51" t="str">
        <f>IF( OR(ISBLANK(S5:S9),ISBLANK(AQ5:AQ9), ISBLANK(Y5:Y9),ISBLANK(AW5:AW9)), "·", bdRateExtend( S5:S9,Y5:Y9, AQ5:AQ9,AW5:AW9))</f>
        <v>·</v>
      </c>
      <c r="BS5" s="51" t="str">
        <f>IF( OR(ISBLANK(S5:S9),ISBLANK(AQ5:AQ9), ISBLANK(Z5:Z9),ISBLANK(AX5:AX9)), "·", bdRateExtend( S5:S9,Z5:Z9, AQ5:AQ9,AX5:AX9))</f>
        <v>·</v>
      </c>
      <c r="BT5" s="51" t="str">
        <f>IF( OR(ISBLANK(S5:S9),ISBLANK(AQ5:AQ9), ISBLANK(AA5:AA9),ISBLANK(AY5:AY9)), "·", bdRateExtend( S5:S9,AA5:AA9, AQ5:AQ9,AY5:AY9))</f>
        <v>·</v>
      </c>
    </row>
    <row r="6" spans="1:72" outlineLevel="1" x14ac:dyDescent="0.25">
      <c r="A6" s="18"/>
      <c r="B6" s="18" t="s">
        <v>49</v>
      </c>
      <c r="C6" s="19" t="s">
        <v>231</v>
      </c>
      <c r="D6" s="18">
        <v>238146391</v>
      </c>
      <c r="E6" s="19">
        <v>10</v>
      </c>
      <c r="F6" s="19">
        <v>300</v>
      </c>
      <c r="G6" s="19">
        <v>30</v>
      </c>
      <c r="I6" s="20">
        <f t="shared" si="0"/>
        <v>3.4899504000000001</v>
      </c>
      <c r="J6" s="21">
        <f t="shared" si="1"/>
        <v>0.14654643244205201</v>
      </c>
      <c r="K6" s="21">
        <f t="shared" si="2"/>
        <v>7.4727985275241895E-2</v>
      </c>
      <c r="L6" s="21">
        <f t="shared" si="3"/>
        <v>4.8075471359966988E-2</v>
      </c>
      <c r="M6" s="21">
        <f t="shared" si="4"/>
        <v>7.1818447166810101E-2</v>
      </c>
      <c r="N6" s="18">
        <f t="shared" si="5"/>
        <v>17796200</v>
      </c>
      <c r="O6" s="21">
        <v>16</v>
      </c>
      <c r="P6" s="22">
        <v>230812362</v>
      </c>
      <c r="Q6" s="22">
        <v>769374.54</v>
      </c>
      <c r="R6" s="22">
        <v>19712.886666666702</v>
      </c>
      <c r="S6" s="23">
        <v>34899504</v>
      </c>
      <c r="T6" s="23">
        <v>11449000</v>
      </c>
      <c r="U6" s="23">
        <v>6347200</v>
      </c>
      <c r="V6" s="23">
        <v>17103304</v>
      </c>
      <c r="W6" s="24">
        <v>68.1577056666667</v>
      </c>
      <c r="X6" s="24">
        <v>70.306219000000098</v>
      </c>
      <c r="Y6" s="24">
        <v>34.599110000000003</v>
      </c>
      <c r="Z6" s="24">
        <v>45.442110999999997</v>
      </c>
      <c r="AA6" s="24">
        <v>45.245072333333297</v>
      </c>
      <c r="AB6" s="25">
        <v>33976.800000000003</v>
      </c>
      <c r="AC6" s="25">
        <v>0</v>
      </c>
      <c r="AD6" s="25">
        <v>431.16500000000002</v>
      </c>
      <c r="AE6" s="25">
        <v>0</v>
      </c>
      <c r="AG6" s="20" t="str">
        <f t="shared" si="6"/>
        <v>·</v>
      </c>
      <c r="AH6" s="21" t="str">
        <f t="shared" si="7"/>
        <v>·</v>
      </c>
      <c r="AI6" s="21" t="str">
        <f t="shared" si="8"/>
        <v>·</v>
      </c>
      <c r="AJ6" s="21" t="str">
        <f t="shared" si="9"/>
        <v>·</v>
      </c>
      <c r="AK6" s="21" t="str">
        <f t="shared" si="10"/>
        <v>·</v>
      </c>
      <c r="AL6" s="18" t="str">
        <f t="shared" si="11"/>
        <v/>
      </c>
      <c r="AM6" s="21">
        <v>16</v>
      </c>
      <c r="AN6" s="22"/>
      <c r="AO6" s="22"/>
      <c r="AP6" s="22"/>
      <c r="AQ6" s="23"/>
      <c r="AR6" s="23"/>
      <c r="AS6" s="23"/>
      <c r="AT6" s="23"/>
      <c r="AU6" s="24"/>
      <c r="AV6" s="24"/>
      <c r="AW6" s="24"/>
      <c r="AX6" s="24"/>
      <c r="AY6" s="24"/>
      <c r="AZ6" s="25"/>
      <c r="BA6" s="25"/>
      <c r="BB6" s="25"/>
      <c r="BC6" s="25"/>
      <c r="BE6" s="50" t="e">
        <f t="shared" si="12"/>
        <v>#VALUE!</v>
      </c>
      <c r="BF6" s="26" t="e">
        <f t="shared" si="13"/>
        <v>#DIV/0!</v>
      </c>
      <c r="BG6" s="26" t="e">
        <f t="shared" si="14"/>
        <v>#VALUE!</v>
      </c>
      <c r="BH6" s="26"/>
      <c r="BJ6" s="50"/>
      <c r="BK6" s="50"/>
      <c r="BL6" s="50"/>
      <c r="BM6" s="50"/>
      <c r="BN6" s="50"/>
      <c r="BP6" s="50"/>
      <c r="BQ6" s="50"/>
      <c r="BR6" s="50"/>
      <c r="BS6" s="50"/>
      <c r="BT6" s="50"/>
    </row>
    <row r="7" spans="1:72" outlineLevel="1" x14ac:dyDescent="0.25">
      <c r="A7" s="54"/>
      <c r="B7" s="54" t="s">
        <v>49</v>
      </c>
      <c r="C7" s="10" t="s">
        <v>232</v>
      </c>
      <c r="D7" s="54">
        <v>238146391</v>
      </c>
      <c r="E7" s="10">
        <v>10</v>
      </c>
      <c r="F7" s="10">
        <v>300</v>
      </c>
      <c r="G7" s="10">
        <v>30</v>
      </c>
      <c r="I7" s="11">
        <f t="shared" si="0"/>
        <v>5.6312584000000001</v>
      </c>
      <c r="J7" s="12">
        <f t="shared" si="1"/>
        <v>0.23646205077279547</v>
      </c>
      <c r="K7" s="12">
        <f t="shared" si="2"/>
        <v>9.4068895631510954E-2</v>
      </c>
      <c r="L7" s="12">
        <f t="shared" si="3"/>
        <v>6.741638171623604E-2</v>
      </c>
      <c r="M7" s="12">
        <f t="shared" si="4"/>
        <v>0.14239315514128451</v>
      </c>
      <c r="N7" s="54">
        <f t="shared" si="5"/>
        <v>22402168</v>
      </c>
      <c r="O7" s="12">
        <v>16</v>
      </c>
      <c r="P7" s="13">
        <v>236176995</v>
      </c>
      <c r="Q7" s="13">
        <v>787256.65</v>
      </c>
      <c r="R7" s="13">
        <v>21574.926666666699</v>
      </c>
      <c r="S7" s="14">
        <v>56312584</v>
      </c>
      <c r="T7" s="14">
        <v>16054968</v>
      </c>
      <c r="U7" s="14">
        <v>6347200</v>
      </c>
      <c r="V7" s="14">
        <v>33910416</v>
      </c>
      <c r="W7" s="15">
        <v>69.555043333333202</v>
      </c>
      <c r="X7" s="15">
        <v>71.985652666666695</v>
      </c>
      <c r="Y7" s="15">
        <v>37.138071333333301</v>
      </c>
      <c r="Z7" s="15">
        <v>46.571712333333302</v>
      </c>
      <c r="AA7" s="15">
        <v>46.483829</v>
      </c>
      <c r="AB7" s="16">
        <v>34663.800000000003</v>
      </c>
      <c r="AC7" s="16">
        <v>0</v>
      </c>
      <c r="AD7" s="16">
        <v>442.43099999999998</v>
      </c>
      <c r="AE7" s="16">
        <v>0</v>
      </c>
      <c r="AG7" s="11" t="str">
        <f t="shared" si="6"/>
        <v>·</v>
      </c>
      <c r="AH7" s="12" t="str">
        <f t="shared" si="7"/>
        <v>·</v>
      </c>
      <c r="AI7" s="12" t="str">
        <f t="shared" si="8"/>
        <v>·</v>
      </c>
      <c r="AJ7" s="12" t="str">
        <f t="shared" si="9"/>
        <v>·</v>
      </c>
      <c r="AK7" s="12" t="str">
        <f t="shared" si="10"/>
        <v>·</v>
      </c>
      <c r="AL7" s="54" t="str">
        <f t="shared" si="11"/>
        <v/>
      </c>
      <c r="AM7" s="12">
        <v>16</v>
      </c>
      <c r="AN7" s="13"/>
      <c r="AO7" s="13"/>
      <c r="AP7" s="13"/>
      <c r="AQ7" s="14"/>
      <c r="AR7" s="14"/>
      <c r="AS7" s="14"/>
      <c r="AT7" s="14"/>
      <c r="AU7" s="15"/>
      <c r="AV7" s="15"/>
      <c r="AW7" s="15"/>
      <c r="AX7" s="15"/>
      <c r="AY7" s="15"/>
      <c r="AZ7" s="16"/>
      <c r="BA7" s="16"/>
      <c r="BB7" s="16"/>
      <c r="BC7" s="16"/>
      <c r="BE7" s="51" t="e">
        <f t="shared" si="12"/>
        <v>#VALUE!</v>
      </c>
      <c r="BF7" s="17" t="e">
        <f t="shared" si="13"/>
        <v>#DIV/0!</v>
      </c>
      <c r="BG7" s="17" t="e">
        <f t="shared" si="14"/>
        <v>#VALUE!</v>
      </c>
      <c r="BH7" s="17"/>
      <c r="BJ7" s="51"/>
      <c r="BK7" s="51"/>
      <c r="BL7" s="51"/>
      <c r="BM7" s="51"/>
      <c r="BN7" s="51"/>
      <c r="BP7" s="51"/>
      <c r="BQ7" s="51"/>
      <c r="BR7" s="51"/>
      <c r="BS7" s="51"/>
      <c r="BT7" s="51"/>
    </row>
    <row r="8" spans="1:72" outlineLevel="1" x14ac:dyDescent="0.25">
      <c r="A8" s="18"/>
      <c r="B8" s="18" t="s">
        <v>49</v>
      </c>
      <c r="C8" s="19" t="s">
        <v>233</v>
      </c>
      <c r="D8" s="18">
        <v>238146391</v>
      </c>
      <c r="E8" s="19">
        <v>10</v>
      </c>
      <c r="F8" s="19">
        <v>300</v>
      </c>
      <c r="G8" s="19">
        <v>30</v>
      </c>
      <c r="I8" s="20">
        <f t="shared" si="0"/>
        <v>9.4194855999999998</v>
      </c>
      <c r="J8" s="21">
        <f t="shared" si="1"/>
        <v>0.39553341793031832</v>
      </c>
      <c r="K8" s="21">
        <f t="shared" si="2"/>
        <v>0.12693617515287056</v>
      </c>
      <c r="L8" s="21">
        <f t="shared" si="3"/>
        <v>0.10028366123759566</v>
      </c>
      <c r="M8" s="21">
        <f t="shared" si="4"/>
        <v>0.26859724277744779</v>
      </c>
      <c r="N8" s="18">
        <f t="shared" si="5"/>
        <v>30229392</v>
      </c>
      <c r="O8" s="21">
        <v>16</v>
      </c>
      <c r="P8" s="22">
        <v>245523120</v>
      </c>
      <c r="Q8" s="22">
        <v>818410.4</v>
      </c>
      <c r="R8" s="22">
        <v>24831.553333333301</v>
      </c>
      <c r="S8" s="23">
        <v>94194856</v>
      </c>
      <c r="T8" s="23">
        <v>23882192</v>
      </c>
      <c r="U8" s="23">
        <v>6347200</v>
      </c>
      <c r="V8" s="23">
        <v>63965464</v>
      </c>
      <c r="W8" s="24">
        <v>70.687751000000006</v>
      </c>
      <c r="X8" s="24">
        <v>73.255336999999898</v>
      </c>
      <c r="Y8" s="24">
        <v>39.743133</v>
      </c>
      <c r="Z8" s="24">
        <v>47.911042999999999</v>
      </c>
      <c r="AA8" s="24">
        <v>48.003837333333301</v>
      </c>
      <c r="AB8" s="25">
        <v>35354.1</v>
      </c>
      <c r="AC8" s="25">
        <v>0</v>
      </c>
      <c r="AD8" s="25">
        <v>460.03399999999999</v>
      </c>
      <c r="AE8" s="25">
        <v>0</v>
      </c>
      <c r="AG8" s="20" t="str">
        <f t="shared" si="6"/>
        <v>·</v>
      </c>
      <c r="AH8" s="21" t="str">
        <f t="shared" si="7"/>
        <v>·</v>
      </c>
      <c r="AI8" s="21" t="str">
        <f t="shared" si="8"/>
        <v>·</v>
      </c>
      <c r="AJ8" s="21" t="str">
        <f t="shared" si="9"/>
        <v>·</v>
      </c>
      <c r="AK8" s="21" t="str">
        <f t="shared" si="10"/>
        <v>·</v>
      </c>
      <c r="AL8" s="18" t="str">
        <f t="shared" si="11"/>
        <v/>
      </c>
      <c r="AM8" s="21">
        <v>16</v>
      </c>
      <c r="AN8" s="22"/>
      <c r="AO8" s="22"/>
      <c r="AP8" s="22"/>
      <c r="AQ8" s="23"/>
      <c r="AR8" s="23"/>
      <c r="AS8" s="23"/>
      <c r="AT8" s="23"/>
      <c r="AU8" s="24"/>
      <c r="AV8" s="24"/>
      <c r="AW8" s="24"/>
      <c r="AX8" s="24"/>
      <c r="AY8" s="24"/>
      <c r="AZ8" s="25"/>
      <c r="BA8" s="25"/>
      <c r="BB8" s="25"/>
      <c r="BC8" s="25"/>
      <c r="BE8" s="50" t="e">
        <f t="shared" si="12"/>
        <v>#VALUE!</v>
      </c>
      <c r="BF8" s="26" t="e">
        <f t="shared" si="13"/>
        <v>#DIV/0!</v>
      </c>
      <c r="BG8" s="26" t="e">
        <f t="shared" si="14"/>
        <v>#VALUE!</v>
      </c>
      <c r="BH8" s="26"/>
      <c r="BJ8" s="50"/>
      <c r="BK8" s="50"/>
      <c r="BL8" s="50"/>
      <c r="BM8" s="50"/>
      <c r="BN8" s="50"/>
      <c r="BP8" s="50"/>
      <c r="BQ8" s="50"/>
      <c r="BR8" s="50"/>
      <c r="BS8" s="50"/>
      <c r="BT8" s="50"/>
    </row>
    <row r="9" spans="1:72" outlineLevel="1" x14ac:dyDescent="0.25">
      <c r="A9" s="54"/>
      <c r="B9" s="27" t="s">
        <v>49</v>
      </c>
      <c r="C9" s="28" t="s">
        <v>234</v>
      </c>
      <c r="D9" s="27">
        <v>238146391</v>
      </c>
      <c r="E9" s="28">
        <v>10</v>
      </c>
      <c r="F9" s="28">
        <v>300</v>
      </c>
      <c r="G9" s="28">
        <v>30</v>
      </c>
      <c r="I9" s="29">
        <f t="shared" si="0"/>
        <v>16.679961599999999</v>
      </c>
      <c r="J9" s="30">
        <f t="shared" si="1"/>
        <v>0.70040791002371305</v>
      </c>
      <c r="K9" s="30">
        <f t="shared" si="2"/>
        <v>0.20664623886742001</v>
      </c>
      <c r="L9" s="30">
        <f t="shared" si="3"/>
        <v>0.15538694432702951</v>
      </c>
      <c r="M9" s="30">
        <f t="shared" si="4"/>
        <v>0.4937616711562931</v>
      </c>
      <c r="N9" s="27">
        <f t="shared" si="5"/>
        <v>49212056</v>
      </c>
      <c r="O9" s="30">
        <v>16</v>
      </c>
      <c r="P9" s="31">
        <v>236240674</v>
      </c>
      <c r="Q9" s="31">
        <v>787468.91333333298</v>
      </c>
      <c r="R9" s="31">
        <v>10954.1033333333</v>
      </c>
      <c r="S9" s="32">
        <v>166799616</v>
      </c>
      <c r="T9" s="32">
        <v>37004840</v>
      </c>
      <c r="U9" s="32">
        <v>12207216</v>
      </c>
      <c r="V9" s="32">
        <v>117587560</v>
      </c>
      <c r="W9" s="33">
        <v>71.790062333333395</v>
      </c>
      <c r="X9" s="33">
        <v>75.225993000000003</v>
      </c>
      <c r="Y9" s="33">
        <v>42.256189333333303</v>
      </c>
      <c r="Z9" s="33">
        <v>49.427818666666703</v>
      </c>
      <c r="AA9" s="33">
        <v>49.576478999999999</v>
      </c>
      <c r="AB9" s="34">
        <v>37253.199999999997</v>
      </c>
      <c r="AC9" s="34">
        <v>0</v>
      </c>
      <c r="AD9" s="34">
        <v>451.70499999999998</v>
      </c>
      <c r="AE9" s="34">
        <v>0</v>
      </c>
      <c r="AG9" s="29" t="str">
        <f t="shared" si="6"/>
        <v>·</v>
      </c>
      <c r="AH9" s="30" t="str">
        <f t="shared" si="7"/>
        <v>·</v>
      </c>
      <c r="AI9" s="30" t="str">
        <f t="shared" si="8"/>
        <v>·</v>
      </c>
      <c r="AJ9" s="30" t="str">
        <f t="shared" si="9"/>
        <v>·</v>
      </c>
      <c r="AK9" s="30" t="str">
        <f t="shared" si="10"/>
        <v>·</v>
      </c>
      <c r="AL9" s="27" t="str">
        <f t="shared" si="11"/>
        <v/>
      </c>
      <c r="AM9" s="30">
        <v>16</v>
      </c>
      <c r="AN9" s="31"/>
      <c r="AO9" s="31"/>
      <c r="AP9" s="31"/>
      <c r="AQ9" s="32"/>
      <c r="AR9" s="32"/>
      <c r="AS9" s="32"/>
      <c r="AT9" s="32"/>
      <c r="AU9" s="33"/>
      <c r="AV9" s="33"/>
      <c r="AW9" s="33"/>
      <c r="AX9" s="33"/>
      <c r="AY9" s="33"/>
      <c r="AZ9" s="34"/>
      <c r="BA9" s="34"/>
      <c r="BB9" s="34"/>
      <c r="BC9" s="34"/>
      <c r="BE9" s="35" t="e">
        <f t="shared" si="12"/>
        <v>#VALUE!</v>
      </c>
      <c r="BF9" s="36" t="e">
        <f t="shared" si="13"/>
        <v>#DIV/0!</v>
      </c>
      <c r="BG9" s="36" t="e">
        <f t="shared" si="14"/>
        <v>#VALUE!</v>
      </c>
      <c r="BH9" s="36"/>
      <c r="BJ9" s="35"/>
      <c r="BK9" s="35"/>
      <c r="BL9" s="35"/>
      <c r="BM9" s="35"/>
      <c r="BN9" s="35"/>
      <c r="BP9" s="35"/>
      <c r="BQ9" s="35"/>
      <c r="BR9" s="35"/>
      <c r="BS9" s="35"/>
      <c r="BT9" s="35"/>
    </row>
    <row r="10" spans="1:72" x14ac:dyDescent="0.25">
      <c r="A10" s="18"/>
      <c r="B10" s="18" t="s">
        <v>57</v>
      </c>
      <c r="C10" s="19" t="s">
        <v>230</v>
      </c>
      <c r="D10" s="18">
        <v>218121242</v>
      </c>
      <c r="E10" s="19">
        <v>10</v>
      </c>
      <c r="F10" s="19">
        <v>300</v>
      </c>
      <c r="G10" s="19">
        <v>30</v>
      </c>
      <c r="I10" s="20">
        <f t="shared" si="0"/>
        <v>3.3940535999999999</v>
      </c>
      <c r="J10" s="21">
        <f t="shared" si="1"/>
        <v>0.155603992022015</v>
      </c>
      <c r="K10" s="21">
        <f t="shared" si="2"/>
        <v>8.202241943955188E-2</v>
      </c>
      <c r="L10" s="21">
        <f t="shared" si="3"/>
        <v>4.3101350028072923E-2</v>
      </c>
      <c r="M10" s="21">
        <f t="shared" si="4"/>
        <v>7.3581572582463103E-2</v>
      </c>
      <c r="N10" s="18">
        <f t="shared" si="5"/>
        <v>17890832</v>
      </c>
      <c r="O10" s="21">
        <v>16</v>
      </c>
      <c r="P10" s="22">
        <v>199616063</v>
      </c>
      <c r="Q10" s="22">
        <v>665386.87666666706</v>
      </c>
      <c r="R10" s="22">
        <v>19573.676666666699</v>
      </c>
      <c r="S10" s="23">
        <v>33940536</v>
      </c>
      <c r="T10" s="23">
        <v>9401320</v>
      </c>
      <c r="U10" s="23">
        <v>8489512</v>
      </c>
      <c r="V10" s="23">
        <v>16049704</v>
      </c>
      <c r="W10" s="24">
        <v>65.811341000000098</v>
      </c>
      <c r="X10" s="24">
        <v>67.673830666666603</v>
      </c>
      <c r="Y10" s="24">
        <v>32.286147999999997</v>
      </c>
      <c r="Z10" s="24">
        <v>39.167335666666702</v>
      </c>
      <c r="AA10" s="24">
        <v>31.9905896666667</v>
      </c>
      <c r="AB10" s="25">
        <v>32148.799999999999</v>
      </c>
      <c r="AC10" s="25">
        <v>0</v>
      </c>
      <c r="AD10" s="25">
        <v>413.08300000000003</v>
      </c>
      <c r="AE10" s="25">
        <v>0</v>
      </c>
      <c r="AG10" s="20" t="str">
        <f t="shared" si="6"/>
        <v>·</v>
      </c>
      <c r="AH10" s="21" t="str">
        <f t="shared" si="7"/>
        <v>·</v>
      </c>
      <c r="AI10" s="21" t="str">
        <f t="shared" si="8"/>
        <v>·</v>
      </c>
      <c r="AJ10" s="21" t="str">
        <f t="shared" si="9"/>
        <v>·</v>
      </c>
      <c r="AK10" s="21" t="str">
        <f t="shared" si="10"/>
        <v>·</v>
      </c>
      <c r="AL10" s="18" t="str">
        <f t="shared" si="11"/>
        <v/>
      </c>
      <c r="AM10" s="21">
        <v>16</v>
      </c>
      <c r="AN10" s="22"/>
      <c r="AO10" s="22"/>
      <c r="AP10" s="22"/>
      <c r="AQ10" s="23"/>
      <c r="AR10" s="23"/>
      <c r="AS10" s="23"/>
      <c r="AT10" s="23"/>
      <c r="AU10" s="24"/>
      <c r="AV10" s="24"/>
      <c r="AW10" s="24"/>
      <c r="AX10" s="24"/>
      <c r="AY10" s="24"/>
      <c r="AZ10" s="25"/>
      <c r="BA10" s="25"/>
      <c r="BB10" s="25"/>
      <c r="BC10" s="25"/>
      <c r="BE10" s="50" t="e">
        <f t="shared" si="12"/>
        <v>#VALUE!</v>
      </c>
      <c r="BF10" s="26" t="e">
        <f t="shared" si="13"/>
        <v>#DIV/0!</v>
      </c>
      <c r="BG10" s="26" t="e">
        <f t="shared" si="14"/>
        <v>#VALUE!</v>
      </c>
      <c r="BH10" s="26" t="e">
        <f t="array" ref="BH10">AVERAGE(AL10:AL14/AQ10:AQ14) - AVERAGE(N10:N14/S10:S14)</f>
        <v>#VALUE!</v>
      </c>
      <c r="BJ10" s="50" t="str">
        <f>IF( OR(ISBLANK(N10:N14),ISBLANK(AL10:AL14), ISBLANK(W10:W14),ISBLANK(AU10:AU14)), "·", bdRateExtend( N10:N14,W10:W14, AL10:AL14,AU10:AU14))</f>
        <v>·</v>
      </c>
      <c r="BK10" s="50" t="str">
        <f>IF( OR(ISBLANK(N10:N14),ISBLANK(AL10:AL14), ISBLANK(X10:X14),ISBLANK(AV10:AV14)), "·", bdRateExtend( N10:N14,X10:X14, AL10:AL14,AV10:AV14))</f>
        <v>·</v>
      </c>
      <c r="BL10" s="50" t="str">
        <f>IF( OR(ISBLANK(V10:V14),ISBLANK(AT10:AT14), ISBLANK(Y10:Y14),ISBLANK(AW10:AW14)), "·", bdRateExtend( V10:V14,Y10:Y14, AT10:AT14,AW10:AW14))</f>
        <v>·</v>
      </c>
      <c r="BM10" s="50" t="str">
        <f>IF( OR(ISBLANK(V10:V14),ISBLANK(AT10:AT14), ISBLANK(Z10:Z14),ISBLANK(AX10:AX14)), "·", bdRateExtend( V10:V14,Z10:Z14, AT10:AT14,AX10:AX14))</f>
        <v>·</v>
      </c>
      <c r="BN10" s="50" t="str">
        <f>IF( OR(ISBLANK(V10:V14),ISBLANK(AT10:AT14), ISBLANK(AA10:AA14),ISBLANK(AY10:AY14)), "·", bdRateExtend( V10:V14,AA10:AA14, AT10:AT14,AY10:AY14))</f>
        <v>·</v>
      </c>
      <c r="BP10" s="50" t="str">
        <f>IF( OR(ISBLANK(S10:S14),ISBLANK(AQ10:AQ14), ISBLANK(W10:W14),ISBLANK(AU10:AU14)), "·", bdRateExtend( S10:S14,W10:W14, AQ10:AQ14,AU10:AU14))</f>
        <v>·</v>
      </c>
      <c r="BQ10" s="50" t="str">
        <f>IF( OR(ISBLANK(S10:S14),ISBLANK(AQ10:AQ14), ISBLANK(X10:X14),ISBLANK(AV10:AV14)), "·", bdRateExtend( S10:S14,X10:X14, AQ10:AQ14,AV10:AV14))</f>
        <v>·</v>
      </c>
      <c r="BR10" s="50" t="str">
        <f>IF( OR(ISBLANK(S10:S14),ISBLANK(AQ10:AQ14), ISBLANK(Y10:Y14),ISBLANK(AW10:AW14)), "·", bdRateExtend( S10:S14,Y10:Y14, AQ10:AQ14,AW10:AW14))</f>
        <v>·</v>
      </c>
      <c r="BS10" s="50" t="str">
        <f>IF( OR(ISBLANK(S10:S14),ISBLANK(AQ10:AQ14), ISBLANK(Z10:Z14),ISBLANK(AX10:AX14)), "·", bdRateExtend( S10:S14,Z10:Z14, AQ10:AQ14,AX10:AX14))</f>
        <v>·</v>
      </c>
      <c r="BT10" s="50" t="str">
        <f>IF( OR(ISBLANK(S10:S14),ISBLANK(AQ10:AQ14), ISBLANK(AA10:AA14),ISBLANK(AY10:AY14)), "·", bdRateExtend( S10:S14,AA10:AA14, AQ10:AQ14,AY10:AY14))</f>
        <v>·</v>
      </c>
    </row>
    <row r="11" spans="1:72" outlineLevel="1" x14ac:dyDescent="0.25">
      <c r="A11" s="54"/>
      <c r="B11" s="54" t="s">
        <v>57</v>
      </c>
      <c r="C11" s="10" t="s">
        <v>231</v>
      </c>
      <c r="D11" s="54">
        <v>218121242</v>
      </c>
      <c r="E11" s="10">
        <v>10</v>
      </c>
      <c r="F11" s="10">
        <v>300</v>
      </c>
      <c r="G11" s="10">
        <v>30</v>
      </c>
      <c r="I11" s="11">
        <f t="shared" si="0"/>
        <v>4.8918967999999996</v>
      </c>
      <c r="J11" s="12">
        <f t="shared" si="1"/>
        <v>0.2242742043436558</v>
      </c>
      <c r="K11" s="12">
        <f t="shared" si="2"/>
        <v>9.9934916013361047E-2</v>
      </c>
      <c r="L11" s="12">
        <f t="shared" si="3"/>
        <v>6.1013846601882082E-2</v>
      </c>
      <c r="M11" s="12">
        <f t="shared" si="4"/>
        <v>0.12433928833029477</v>
      </c>
      <c r="N11" s="54">
        <f t="shared" si="5"/>
        <v>21797928</v>
      </c>
      <c r="O11" s="12">
        <v>16</v>
      </c>
      <c r="P11" s="13">
        <v>213502846</v>
      </c>
      <c r="Q11" s="13">
        <v>711676.15333333297</v>
      </c>
      <c r="R11" s="13">
        <v>24833.8966666667</v>
      </c>
      <c r="S11" s="14">
        <v>48918968</v>
      </c>
      <c r="T11" s="14">
        <v>13308416</v>
      </c>
      <c r="U11" s="14">
        <v>8489512</v>
      </c>
      <c r="V11" s="14">
        <v>27121040</v>
      </c>
      <c r="W11" s="15">
        <v>67.515376000000003</v>
      </c>
      <c r="X11" s="15">
        <v>69.558186000000006</v>
      </c>
      <c r="Y11" s="15">
        <v>34.111228666666698</v>
      </c>
      <c r="Z11" s="15">
        <v>40.019959333333297</v>
      </c>
      <c r="AA11" s="15">
        <v>33.746103666666698</v>
      </c>
      <c r="AB11" s="16">
        <v>32570</v>
      </c>
      <c r="AC11" s="16">
        <v>0</v>
      </c>
      <c r="AD11" s="16">
        <v>427.31099999999998</v>
      </c>
      <c r="AE11" s="16">
        <v>0</v>
      </c>
      <c r="AG11" s="11" t="str">
        <f t="shared" si="6"/>
        <v>·</v>
      </c>
      <c r="AH11" s="12" t="str">
        <f t="shared" si="7"/>
        <v>·</v>
      </c>
      <c r="AI11" s="12" t="str">
        <f t="shared" si="8"/>
        <v>·</v>
      </c>
      <c r="AJ11" s="12" t="str">
        <f t="shared" si="9"/>
        <v>·</v>
      </c>
      <c r="AK11" s="12" t="str">
        <f t="shared" si="10"/>
        <v>·</v>
      </c>
      <c r="AL11" s="54" t="str">
        <f t="shared" si="11"/>
        <v/>
      </c>
      <c r="AM11" s="12">
        <v>16</v>
      </c>
      <c r="AN11" s="13"/>
      <c r="AO11" s="13"/>
      <c r="AP11" s="13"/>
      <c r="AQ11" s="14"/>
      <c r="AR11" s="14"/>
      <c r="AS11" s="14"/>
      <c r="AT11" s="14"/>
      <c r="AU11" s="15"/>
      <c r="AV11" s="15"/>
      <c r="AW11" s="15"/>
      <c r="AX11" s="15"/>
      <c r="AY11" s="15"/>
      <c r="AZ11" s="16"/>
      <c r="BA11" s="16"/>
      <c r="BB11" s="16"/>
      <c r="BC11" s="16"/>
      <c r="BE11" s="51" t="e">
        <f t="shared" si="12"/>
        <v>#VALUE!</v>
      </c>
      <c r="BF11" s="17" t="e">
        <f t="shared" si="13"/>
        <v>#DIV/0!</v>
      </c>
      <c r="BG11" s="17" t="e">
        <f t="shared" si="14"/>
        <v>#VALUE!</v>
      </c>
      <c r="BH11" s="17"/>
      <c r="BJ11" s="51"/>
      <c r="BK11" s="51"/>
      <c r="BL11" s="51"/>
      <c r="BM11" s="51"/>
      <c r="BN11" s="51"/>
      <c r="BP11" s="51"/>
      <c r="BQ11" s="51"/>
      <c r="BR11" s="51"/>
      <c r="BS11" s="51"/>
      <c r="BT11" s="51"/>
    </row>
    <row r="12" spans="1:72" outlineLevel="1" x14ac:dyDescent="0.25">
      <c r="A12" s="18"/>
      <c r="B12" s="18" t="s">
        <v>57</v>
      </c>
      <c r="C12" s="19" t="s">
        <v>232</v>
      </c>
      <c r="D12" s="18">
        <v>218121242</v>
      </c>
      <c r="E12" s="19">
        <v>10</v>
      </c>
      <c r="F12" s="19">
        <v>300</v>
      </c>
      <c r="G12" s="19">
        <v>30</v>
      </c>
      <c r="I12" s="20">
        <f t="shared" si="0"/>
        <v>7.5602704000000003</v>
      </c>
      <c r="J12" s="21">
        <f t="shared" si="1"/>
        <v>0.34660862604110793</v>
      </c>
      <c r="K12" s="21">
        <f t="shared" si="2"/>
        <v>0.1274262320585906</v>
      </c>
      <c r="L12" s="21">
        <f t="shared" si="3"/>
        <v>8.850516264711164E-2</v>
      </c>
      <c r="M12" s="21">
        <f t="shared" si="4"/>
        <v>0.21918239398251729</v>
      </c>
      <c r="N12" s="18">
        <f t="shared" si="5"/>
        <v>27794368</v>
      </c>
      <c r="O12" s="21">
        <v>16</v>
      </c>
      <c r="P12" s="22">
        <v>217298403</v>
      </c>
      <c r="Q12" s="22">
        <v>724328.01</v>
      </c>
      <c r="R12" s="22">
        <v>26559.073333333301</v>
      </c>
      <c r="S12" s="23">
        <v>75602704</v>
      </c>
      <c r="T12" s="23">
        <v>19304856</v>
      </c>
      <c r="U12" s="23">
        <v>8489512</v>
      </c>
      <c r="V12" s="23">
        <v>47808336</v>
      </c>
      <c r="W12" s="24">
        <v>68.866378333333401</v>
      </c>
      <c r="X12" s="24">
        <v>71.214300666666702</v>
      </c>
      <c r="Y12" s="24">
        <v>36.198197999999998</v>
      </c>
      <c r="Z12" s="24">
        <v>40.906022</v>
      </c>
      <c r="AA12" s="24">
        <v>35.497234333333303</v>
      </c>
      <c r="AB12" s="25">
        <v>33366.1</v>
      </c>
      <c r="AC12" s="25">
        <v>0</v>
      </c>
      <c r="AD12" s="25">
        <v>441.03500000000003</v>
      </c>
      <c r="AE12" s="25">
        <v>0</v>
      </c>
      <c r="AG12" s="20" t="str">
        <f t="shared" si="6"/>
        <v>·</v>
      </c>
      <c r="AH12" s="21" t="str">
        <f t="shared" si="7"/>
        <v>·</v>
      </c>
      <c r="AI12" s="21" t="str">
        <f t="shared" si="8"/>
        <v>·</v>
      </c>
      <c r="AJ12" s="21" t="str">
        <f t="shared" si="9"/>
        <v>·</v>
      </c>
      <c r="AK12" s="21" t="str">
        <f t="shared" si="10"/>
        <v>·</v>
      </c>
      <c r="AL12" s="18" t="str">
        <f t="shared" si="11"/>
        <v/>
      </c>
      <c r="AM12" s="21">
        <v>16</v>
      </c>
      <c r="AN12" s="22"/>
      <c r="AO12" s="22"/>
      <c r="AP12" s="22"/>
      <c r="AQ12" s="23"/>
      <c r="AR12" s="23"/>
      <c r="AS12" s="23"/>
      <c r="AT12" s="23"/>
      <c r="AU12" s="24"/>
      <c r="AV12" s="24"/>
      <c r="AW12" s="24"/>
      <c r="AX12" s="24"/>
      <c r="AY12" s="24"/>
      <c r="AZ12" s="25"/>
      <c r="BA12" s="25"/>
      <c r="BB12" s="25"/>
      <c r="BC12" s="25"/>
      <c r="BE12" s="50" t="e">
        <f t="shared" si="12"/>
        <v>#VALUE!</v>
      </c>
      <c r="BF12" s="26" t="e">
        <f t="shared" si="13"/>
        <v>#DIV/0!</v>
      </c>
      <c r="BG12" s="26" t="e">
        <f t="shared" si="14"/>
        <v>#VALUE!</v>
      </c>
      <c r="BH12" s="26"/>
      <c r="BJ12" s="50"/>
      <c r="BK12" s="50"/>
      <c r="BL12" s="50"/>
      <c r="BM12" s="50"/>
      <c r="BN12" s="50"/>
      <c r="BP12" s="50"/>
      <c r="BQ12" s="50"/>
      <c r="BR12" s="50"/>
      <c r="BS12" s="50"/>
      <c r="BT12" s="50"/>
    </row>
    <row r="13" spans="1:72" outlineLevel="1" x14ac:dyDescent="0.25">
      <c r="A13" s="54"/>
      <c r="B13" s="54" t="s">
        <v>57</v>
      </c>
      <c r="C13" s="10" t="s">
        <v>233</v>
      </c>
      <c r="D13" s="54">
        <v>218121242</v>
      </c>
      <c r="E13" s="10">
        <v>10</v>
      </c>
      <c r="F13" s="10">
        <v>300</v>
      </c>
      <c r="G13" s="10">
        <v>30</v>
      </c>
      <c r="I13" s="11">
        <f t="shared" si="0"/>
        <v>12.7686264</v>
      </c>
      <c r="J13" s="12">
        <f t="shared" si="1"/>
        <v>0.58539123851128627</v>
      </c>
      <c r="K13" s="12">
        <f t="shared" si="2"/>
        <v>0.17514552755022364</v>
      </c>
      <c r="L13" s="12">
        <f t="shared" si="3"/>
        <v>0.1362244581387447</v>
      </c>
      <c r="M13" s="12">
        <f t="shared" si="4"/>
        <v>0.41024571096106266</v>
      </c>
      <c r="N13" s="54">
        <f t="shared" si="5"/>
        <v>38202960</v>
      </c>
      <c r="O13" s="12">
        <v>16</v>
      </c>
      <c r="P13" s="13">
        <v>224949831</v>
      </c>
      <c r="Q13" s="13">
        <v>749832.77</v>
      </c>
      <c r="R13" s="13">
        <v>30098.09</v>
      </c>
      <c r="S13" s="14">
        <v>127686264</v>
      </c>
      <c r="T13" s="14">
        <v>29713448</v>
      </c>
      <c r="U13" s="14">
        <v>8489512</v>
      </c>
      <c r="V13" s="14">
        <v>89483304</v>
      </c>
      <c r="W13" s="15">
        <v>69.942534333333299</v>
      </c>
      <c r="X13" s="15">
        <v>72.471533000000093</v>
      </c>
      <c r="Y13" s="15">
        <v>38.517009000000002</v>
      </c>
      <c r="Z13" s="15">
        <v>42.075518000000002</v>
      </c>
      <c r="AA13" s="15">
        <v>37.5135406666667</v>
      </c>
      <c r="AB13" s="16">
        <v>34626.9</v>
      </c>
      <c r="AC13" s="16">
        <v>0</v>
      </c>
      <c r="AD13" s="16">
        <v>454.27800000000002</v>
      </c>
      <c r="AE13" s="16">
        <v>0</v>
      </c>
      <c r="AG13" s="11" t="str">
        <f t="shared" si="6"/>
        <v>·</v>
      </c>
      <c r="AH13" s="12" t="str">
        <f t="shared" si="7"/>
        <v>·</v>
      </c>
      <c r="AI13" s="12" t="str">
        <f t="shared" si="8"/>
        <v>·</v>
      </c>
      <c r="AJ13" s="12" t="str">
        <f t="shared" si="9"/>
        <v>·</v>
      </c>
      <c r="AK13" s="12" t="str">
        <f t="shared" si="10"/>
        <v>·</v>
      </c>
      <c r="AL13" s="54" t="str">
        <f t="shared" si="11"/>
        <v/>
      </c>
      <c r="AM13" s="12">
        <v>16</v>
      </c>
      <c r="AN13" s="13"/>
      <c r="AO13" s="13"/>
      <c r="AP13" s="13"/>
      <c r="AQ13" s="14"/>
      <c r="AR13" s="14"/>
      <c r="AS13" s="14"/>
      <c r="AT13" s="14"/>
      <c r="AU13" s="15"/>
      <c r="AV13" s="15"/>
      <c r="AW13" s="15"/>
      <c r="AX13" s="15"/>
      <c r="AY13" s="15"/>
      <c r="AZ13" s="16"/>
      <c r="BA13" s="16"/>
      <c r="BB13" s="16"/>
      <c r="BC13" s="16"/>
      <c r="BE13" s="51" t="e">
        <f t="shared" si="12"/>
        <v>#VALUE!</v>
      </c>
      <c r="BF13" s="17" t="e">
        <f t="shared" si="13"/>
        <v>#DIV/0!</v>
      </c>
      <c r="BG13" s="17" t="e">
        <f t="shared" si="14"/>
        <v>#VALUE!</v>
      </c>
      <c r="BH13" s="17"/>
      <c r="BJ13" s="51"/>
      <c r="BK13" s="51"/>
      <c r="BL13" s="51"/>
      <c r="BM13" s="51"/>
      <c r="BN13" s="51"/>
      <c r="BP13" s="51"/>
      <c r="BQ13" s="51"/>
      <c r="BR13" s="51"/>
      <c r="BS13" s="51"/>
      <c r="BT13" s="51"/>
    </row>
    <row r="14" spans="1:72" outlineLevel="1" x14ac:dyDescent="0.25">
      <c r="A14" s="18"/>
      <c r="B14" s="37" t="s">
        <v>57</v>
      </c>
      <c r="C14" s="38" t="s">
        <v>234</v>
      </c>
      <c r="D14" s="37">
        <v>218121242</v>
      </c>
      <c r="E14" s="38">
        <v>10</v>
      </c>
      <c r="F14" s="38">
        <v>300</v>
      </c>
      <c r="G14" s="38">
        <v>30</v>
      </c>
      <c r="I14" s="39">
        <f t="shared" si="0"/>
        <v>22.911520800000002</v>
      </c>
      <c r="J14" s="40">
        <f t="shared" si="1"/>
        <v>1.050403004765579</v>
      </c>
      <c r="K14" s="40">
        <f t="shared" si="2"/>
        <v>0.28874719134416077</v>
      </c>
      <c r="L14" s="40">
        <f t="shared" si="3"/>
        <v>0.21556073846306084</v>
      </c>
      <c r="M14" s="40">
        <f t="shared" si="4"/>
        <v>0.76165581342141819</v>
      </c>
      <c r="N14" s="37">
        <f t="shared" si="5"/>
        <v>62981896</v>
      </c>
      <c r="O14" s="40">
        <v>16</v>
      </c>
      <c r="P14" s="41">
        <v>212746167</v>
      </c>
      <c r="Q14" s="41">
        <v>709153.89</v>
      </c>
      <c r="R14" s="41">
        <v>14215.776666666699</v>
      </c>
      <c r="S14" s="42">
        <v>229115208</v>
      </c>
      <c r="T14" s="42">
        <v>47018376</v>
      </c>
      <c r="U14" s="42">
        <v>15963520</v>
      </c>
      <c r="V14" s="42">
        <v>166133312</v>
      </c>
      <c r="W14" s="43">
        <v>70.817831333333302</v>
      </c>
      <c r="X14" s="43">
        <v>74.590870999999893</v>
      </c>
      <c r="Y14" s="43">
        <v>40.731774999999999</v>
      </c>
      <c r="Z14" s="43">
        <v>43.387790333333299</v>
      </c>
      <c r="AA14" s="43">
        <v>39.237424666666698</v>
      </c>
      <c r="AB14" s="44">
        <v>37235.599999999999</v>
      </c>
      <c r="AC14" s="44">
        <v>0</v>
      </c>
      <c r="AD14" s="44">
        <v>460.21100000000001</v>
      </c>
      <c r="AE14" s="44">
        <v>0</v>
      </c>
      <c r="AG14" s="39" t="str">
        <f t="shared" si="6"/>
        <v>·</v>
      </c>
      <c r="AH14" s="40" t="str">
        <f t="shared" si="7"/>
        <v>·</v>
      </c>
      <c r="AI14" s="40" t="str">
        <f t="shared" si="8"/>
        <v>·</v>
      </c>
      <c r="AJ14" s="40" t="str">
        <f t="shared" si="9"/>
        <v>·</v>
      </c>
      <c r="AK14" s="40" t="str">
        <f t="shared" si="10"/>
        <v>·</v>
      </c>
      <c r="AL14" s="37" t="str">
        <f t="shared" si="11"/>
        <v/>
      </c>
      <c r="AM14" s="40">
        <v>16</v>
      </c>
      <c r="AN14" s="41"/>
      <c r="AO14" s="41"/>
      <c r="AP14" s="41"/>
      <c r="AQ14" s="42"/>
      <c r="AR14" s="42"/>
      <c r="AS14" s="42"/>
      <c r="AT14" s="42"/>
      <c r="AU14" s="43"/>
      <c r="AV14" s="43"/>
      <c r="AW14" s="43"/>
      <c r="AX14" s="43"/>
      <c r="AY14" s="43"/>
      <c r="AZ14" s="44"/>
      <c r="BA14" s="44"/>
      <c r="BB14" s="44"/>
      <c r="BC14" s="44"/>
      <c r="BE14" s="45" t="e">
        <f t="shared" si="12"/>
        <v>#VALUE!</v>
      </c>
      <c r="BF14" s="46" t="e">
        <f t="shared" si="13"/>
        <v>#DIV/0!</v>
      </c>
      <c r="BG14" s="46" t="e">
        <f t="shared" si="14"/>
        <v>#VALUE!</v>
      </c>
      <c r="BH14" s="46"/>
      <c r="BJ14" s="45"/>
      <c r="BK14" s="45"/>
      <c r="BL14" s="45"/>
      <c r="BM14" s="45"/>
      <c r="BN14" s="45"/>
      <c r="BP14" s="45"/>
      <c r="BQ14" s="45"/>
      <c r="BR14" s="45"/>
      <c r="BS14" s="45"/>
      <c r="BT14" s="45"/>
    </row>
    <row r="15" spans="1:72" x14ac:dyDescent="0.25">
      <c r="A15" s="54"/>
      <c r="B15" s="54" t="s">
        <v>62</v>
      </c>
      <c r="C15" s="10" t="s">
        <v>230</v>
      </c>
      <c r="D15" s="54">
        <v>322589704</v>
      </c>
      <c r="E15" s="10">
        <v>10</v>
      </c>
      <c r="F15" s="10">
        <v>300</v>
      </c>
      <c r="G15" s="10">
        <v>30</v>
      </c>
      <c r="I15" s="11">
        <f t="shared" si="0"/>
        <v>4.3858671999999999</v>
      </c>
      <c r="J15" s="12">
        <f t="shared" si="1"/>
        <v>0.13595806517123063</v>
      </c>
      <c r="K15" s="12">
        <f t="shared" si="2"/>
        <v>7.7331296351603337E-2</v>
      </c>
      <c r="L15" s="12">
        <f t="shared" si="3"/>
        <v>4.1803491657625876E-2</v>
      </c>
      <c r="M15" s="12">
        <f t="shared" si="4"/>
        <v>5.8626768819627299E-2</v>
      </c>
      <c r="N15" s="54">
        <f t="shared" si="5"/>
        <v>24946280</v>
      </c>
      <c r="O15" s="12">
        <v>16</v>
      </c>
      <c r="P15" s="13">
        <v>295680337</v>
      </c>
      <c r="Q15" s="13">
        <v>985601.12333333294</v>
      </c>
      <c r="R15" s="13">
        <v>28254.0333333333</v>
      </c>
      <c r="S15" s="14">
        <v>43858672</v>
      </c>
      <c r="T15" s="14">
        <v>13485376</v>
      </c>
      <c r="U15" s="14">
        <v>11460904</v>
      </c>
      <c r="V15" s="14">
        <v>18912392</v>
      </c>
      <c r="W15" s="15">
        <v>65.9528453333333</v>
      </c>
      <c r="X15" s="15">
        <v>67.740673999999999</v>
      </c>
      <c r="Y15" s="15">
        <v>29.5076826666667</v>
      </c>
      <c r="Z15" s="15">
        <v>43.202889333333303</v>
      </c>
      <c r="AA15" s="15">
        <v>43.417364333333303</v>
      </c>
      <c r="AB15" s="16">
        <v>38505.599999999999</v>
      </c>
      <c r="AC15" s="16">
        <v>0</v>
      </c>
      <c r="AD15" s="16">
        <v>515.81100000000004</v>
      </c>
      <c r="AE15" s="16">
        <v>0</v>
      </c>
      <c r="AG15" s="11" t="str">
        <f t="shared" si="6"/>
        <v>·</v>
      </c>
      <c r="AH15" s="12" t="str">
        <f t="shared" si="7"/>
        <v>·</v>
      </c>
      <c r="AI15" s="12" t="str">
        <f t="shared" si="8"/>
        <v>·</v>
      </c>
      <c r="AJ15" s="12" t="str">
        <f t="shared" si="9"/>
        <v>·</v>
      </c>
      <c r="AK15" s="12" t="str">
        <f t="shared" si="10"/>
        <v>·</v>
      </c>
      <c r="AL15" s="54" t="str">
        <f t="shared" si="11"/>
        <v/>
      </c>
      <c r="AM15" s="12">
        <v>16</v>
      </c>
      <c r="AN15" s="13"/>
      <c r="AO15" s="13"/>
      <c r="AP15" s="13"/>
      <c r="AQ15" s="14"/>
      <c r="AR15" s="14"/>
      <c r="AS15" s="14"/>
      <c r="AT15" s="14"/>
      <c r="AU15" s="15"/>
      <c r="AV15" s="15"/>
      <c r="AW15" s="15"/>
      <c r="AX15" s="15"/>
      <c r="AY15" s="15"/>
      <c r="AZ15" s="16"/>
      <c r="BA15" s="16"/>
      <c r="BB15" s="16"/>
      <c r="BC15" s="16"/>
      <c r="BE15" s="51" t="e">
        <f t="shared" si="12"/>
        <v>#VALUE!</v>
      </c>
      <c r="BF15" s="17" t="e">
        <f t="shared" si="13"/>
        <v>#DIV/0!</v>
      </c>
      <c r="BG15" s="17" t="e">
        <f t="shared" si="14"/>
        <v>#VALUE!</v>
      </c>
      <c r="BH15" s="17" t="e">
        <f t="array" ref="BH15">AVERAGE(AL15:AL19/AQ15:AQ19) - AVERAGE(N15:N19/S15:S19)</f>
        <v>#VALUE!</v>
      </c>
      <c r="BJ15" s="51" t="str">
        <f>IF( OR(ISBLANK(N15:N19),ISBLANK(AL15:AL19), ISBLANK(W15:W19),ISBLANK(AU15:AU19)), "·", bdRateExtend( N15:N19,W15:W19, AL15:AL19,AU15:AU19))</f>
        <v>·</v>
      </c>
      <c r="BK15" s="51" t="str">
        <f>IF( OR(ISBLANK(N15:N19),ISBLANK(AL15:AL19), ISBLANK(X15:X19),ISBLANK(AV15:AV19)), "·", bdRateExtend( N15:N19,X15:X19, AL15:AL19,AV15:AV19))</f>
        <v>·</v>
      </c>
      <c r="BL15" s="51" t="str">
        <f>IF( OR(ISBLANK(V15:V19),ISBLANK(AT15:AT19), ISBLANK(Y15:Y19),ISBLANK(AW15:AW19)), "·", bdRateExtend( V15:V19,Y15:Y19, AT15:AT19,AW15:AW19))</f>
        <v>·</v>
      </c>
      <c r="BM15" s="51" t="str">
        <f>IF( OR(ISBLANK(V15:V19),ISBLANK(AT15:AT19), ISBLANK(Z15:Z19),ISBLANK(AX15:AX19)), "·", bdRateExtend( V15:V19,Z15:Z19, AT15:AT19,AX15:AX19))</f>
        <v>·</v>
      </c>
      <c r="BN15" s="51" t="str">
        <f>IF( OR(ISBLANK(V15:V19),ISBLANK(AT15:AT19), ISBLANK(AA15:AA19),ISBLANK(AY15:AY19)), "·", bdRateExtend( V15:V19,AA15:AA19, AT15:AT19,AY15:AY19))</f>
        <v>·</v>
      </c>
      <c r="BP15" s="51" t="str">
        <f>IF( OR(ISBLANK(S15:S19),ISBLANK(AQ15:AQ19), ISBLANK(W15:W19),ISBLANK(AU15:AU19)), "·", bdRateExtend( S15:S19,W15:W19, AQ15:AQ19,AU15:AU19))</f>
        <v>·</v>
      </c>
      <c r="BQ15" s="51" t="str">
        <f>IF( OR(ISBLANK(S15:S19),ISBLANK(AQ15:AQ19), ISBLANK(X15:X19),ISBLANK(AV15:AV19)), "·", bdRateExtend( S15:S19,X15:X19, AQ15:AQ19,AV15:AV19))</f>
        <v>·</v>
      </c>
      <c r="BR15" s="51" t="str">
        <f>IF( OR(ISBLANK(S15:S19),ISBLANK(AQ15:AQ19), ISBLANK(Y15:Y19),ISBLANK(AW15:AW19)), "·", bdRateExtend( S15:S19,Y15:Y19, AQ15:AQ19,AW15:AW19))</f>
        <v>·</v>
      </c>
      <c r="BS15" s="51" t="str">
        <f>IF( OR(ISBLANK(S15:S19),ISBLANK(AQ15:AQ19), ISBLANK(Z15:Z19),ISBLANK(AX15:AX19)), "·", bdRateExtend( S15:S19,Z15:Z19, AQ15:AQ19,AX15:AX19))</f>
        <v>·</v>
      </c>
      <c r="BT15" s="51" t="str">
        <f>IF( OR(ISBLANK(S15:S19),ISBLANK(AQ15:AQ19), ISBLANK(AA15:AA19),ISBLANK(AY15:AY19)), "·", bdRateExtend( S15:S19,AA15:AA19, AQ15:AQ19,AY15:AY19))</f>
        <v>·</v>
      </c>
    </row>
    <row r="16" spans="1:72" outlineLevel="1" x14ac:dyDescent="0.25">
      <c r="A16" s="18"/>
      <c r="B16" s="18" t="s">
        <v>62</v>
      </c>
      <c r="C16" s="19" t="s">
        <v>231</v>
      </c>
      <c r="D16" s="18">
        <v>322589704</v>
      </c>
      <c r="E16" s="19">
        <v>10</v>
      </c>
      <c r="F16" s="19">
        <v>300</v>
      </c>
      <c r="G16" s="19">
        <v>30</v>
      </c>
      <c r="I16" s="20">
        <f t="shared" si="0"/>
        <v>6.9787872000000002</v>
      </c>
      <c r="J16" s="21">
        <f t="shared" si="1"/>
        <v>0.21633632795670379</v>
      </c>
      <c r="K16" s="21">
        <f t="shared" si="2"/>
        <v>9.462957937430018E-2</v>
      </c>
      <c r="L16" s="21">
        <f t="shared" si="3"/>
        <v>5.9101774680322718E-2</v>
      </c>
      <c r="M16" s="21">
        <f t="shared" si="4"/>
        <v>0.12170674858240361</v>
      </c>
      <c r="N16" s="18">
        <f t="shared" si="5"/>
        <v>30526528</v>
      </c>
      <c r="O16" s="21">
        <v>16</v>
      </c>
      <c r="P16" s="22">
        <v>315641750</v>
      </c>
      <c r="Q16" s="22">
        <v>1052139.16666667</v>
      </c>
      <c r="R16" s="22">
        <v>35006.066666666702</v>
      </c>
      <c r="S16" s="23">
        <v>69787872</v>
      </c>
      <c r="T16" s="23">
        <v>19065624</v>
      </c>
      <c r="U16" s="23">
        <v>11460904</v>
      </c>
      <c r="V16" s="23">
        <v>39261344</v>
      </c>
      <c r="W16" s="24">
        <v>67.752557999999993</v>
      </c>
      <c r="X16" s="24">
        <v>69.809453666666698</v>
      </c>
      <c r="Y16" s="24">
        <v>31.918449333333299</v>
      </c>
      <c r="Z16" s="24">
        <v>44.0711266666667</v>
      </c>
      <c r="AA16" s="24">
        <v>44.380765666666697</v>
      </c>
      <c r="AB16" s="25">
        <v>40600.199999999997</v>
      </c>
      <c r="AC16" s="25">
        <v>0</v>
      </c>
      <c r="AD16" s="25">
        <v>549.54899999999998</v>
      </c>
      <c r="AE16" s="25">
        <v>0</v>
      </c>
      <c r="AG16" s="20" t="str">
        <f t="shared" si="6"/>
        <v>·</v>
      </c>
      <c r="AH16" s="21" t="str">
        <f t="shared" si="7"/>
        <v>·</v>
      </c>
      <c r="AI16" s="21" t="str">
        <f t="shared" si="8"/>
        <v>·</v>
      </c>
      <c r="AJ16" s="21" t="str">
        <f t="shared" si="9"/>
        <v>·</v>
      </c>
      <c r="AK16" s="21" t="str">
        <f t="shared" si="10"/>
        <v>·</v>
      </c>
      <c r="AL16" s="18" t="str">
        <f t="shared" si="11"/>
        <v/>
      </c>
      <c r="AM16" s="21">
        <v>16</v>
      </c>
      <c r="AN16" s="22"/>
      <c r="AO16" s="22"/>
      <c r="AP16" s="22"/>
      <c r="AQ16" s="23"/>
      <c r="AR16" s="23"/>
      <c r="AS16" s="23"/>
      <c r="AT16" s="23"/>
      <c r="AU16" s="24"/>
      <c r="AV16" s="24"/>
      <c r="AW16" s="24"/>
      <c r="AX16" s="24"/>
      <c r="AY16" s="24"/>
      <c r="AZ16" s="25"/>
      <c r="BA16" s="25"/>
      <c r="BB16" s="25"/>
      <c r="BC16" s="25"/>
      <c r="BE16" s="50" t="e">
        <f t="shared" si="12"/>
        <v>#VALUE!</v>
      </c>
      <c r="BF16" s="26" t="e">
        <f t="shared" si="13"/>
        <v>#DIV/0!</v>
      </c>
      <c r="BG16" s="26" t="e">
        <f t="shared" si="14"/>
        <v>#VALUE!</v>
      </c>
      <c r="BH16" s="26"/>
      <c r="BJ16" s="50"/>
      <c r="BK16" s="50"/>
      <c r="BL16" s="50"/>
      <c r="BM16" s="50"/>
      <c r="BN16" s="50"/>
      <c r="BP16" s="50"/>
      <c r="BQ16" s="50"/>
      <c r="BR16" s="50"/>
      <c r="BS16" s="50"/>
      <c r="BT16" s="50"/>
    </row>
    <row r="17" spans="1:72" outlineLevel="1" x14ac:dyDescent="0.25">
      <c r="A17" s="54"/>
      <c r="B17" s="54" t="s">
        <v>62</v>
      </c>
      <c r="C17" s="10" t="s">
        <v>232</v>
      </c>
      <c r="D17" s="54">
        <v>322589704</v>
      </c>
      <c r="E17" s="10">
        <v>10</v>
      </c>
      <c r="F17" s="10">
        <v>300</v>
      </c>
      <c r="G17" s="10">
        <v>30</v>
      </c>
      <c r="I17" s="11">
        <f t="shared" si="0"/>
        <v>11.5888016</v>
      </c>
      <c r="J17" s="12">
        <f t="shared" si="1"/>
        <v>0.35924276120108284</v>
      </c>
      <c r="K17" s="12">
        <f t="shared" si="2"/>
        <v>0.12058123218960516</v>
      </c>
      <c r="L17" s="12">
        <f t="shared" si="3"/>
        <v>8.5053427495627693E-2</v>
      </c>
      <c r="M17" s="12">
        <f t="shared" si="4"/>
        <v>0.23866152901147769</v>
      </c>
      <c r="N17" s="54">
        <f t="shared" si="5"/>
        <v>38898264</v>
      </c>
      <c r="O17" s="12">
        <v>16</v>
      </c>
      <c r="P17" s="13">
        <v>319970355</v>
      </c>
      <c r="Q17" s="13">
        <v>1066567.8500000001</v>
      </c>
      <c r="R17" s="13">
        <v>36800.446666666699</v>
      </c>
      <c r="S17" s="14">
        <v>115888016</v>
      </c>
      <c r="T17" s="14">
        <v>27437360</v>
      </c>
      <c r="U17" s="14">
        <v>11460904</v>
      </c>
      <c r="V17" s="14">
        <v>76989752</v>
      </c>
      <c r="W17" s="15">
        <v>69.144206333333301</v>
      </c>
      <c r="X17" s="15">
        <v>71.605048999999994</v>
      </c>
      <c r="Y17" s="15">
        <v>34.468869333333302</v>
      </c>
      <c r="Z17" s="15">
        <v>44.928091000000002</v>
      </c>
      <c r="AA17" s="15">
        <v>45.339612666666703</v>
      </c>
      <c r="AB17" s="16">
        <v>41839.5</v>
      </c>
      <c r="AC17" s="16">
        <v>0</v>
      </c>
      <c r="AD17" s="16">
        <v>558.78300000000002</v>
      </c>
      <c r="AE17" s="16">
        <v>0</v>
      </c>
      <c r="AG17" s="11" t="str">
        <f t="shared" si="6"/>
        <v>·</v>
      </c>
      <c r="AH17" s="12" t="str">
        <f t="shared" si="7"/>
        <v>·</v>
      </c>
      <c r="AI17" s="12" t="str">
        <f t="shared" si="8"/>
        <v>·</v>
      </c>
      <c r="AJ17" s="12" t="str">
        <f t="shared" si="9"/>
        <v>·</v>
      </c>
      <c r="AK17" s="12" t="str">
        <f t="shared" si="10"/>
        <v>·</v>
      </c>
      <c r="AL17" s="54" t="str">
        <f t="shared" si="11"/>
        <v/>
      </c>
      <c r="AM17" s="12">
        <v>16</v>
      </c>
      <c r="AN17" s="13"/>
      <c r="AO17" s="13"/>
      <c r="AP17" s="13"/>
      <c r="AQ17" s="14"/>
      <c r="AR17" s="14"/>
      <c r="AS17" s="14"/>
      <c r="AT17" s="14"/>
      <c r="AU17" s="15"/>
      <c r="AV17" s="15"/>
      <c r="AW17" s="15"/>
      <c r="AX17" s="15"/>
      <c r="AY17" s="15"/>
      <c r="AZ17" s="16"/>
      <c r="BA17" s="16"/>
      <c r="BB17" s="16"/>
      <c r="BC17" s="16"/>
      <c r="BE17" s="51" t="e">
        <f t="shared" si="12"/>
        <v>#VALUE!</v>
      </c>
      <c r="BF17" s="17" t="e">
        <f t="shared" si="13"/>
        <v>#DIV/0!</v>
      </c>
      <c r="BG17" s="17" t="e">
        <f t="shared" si="14"/>
        <v>#VALUE!</v>
      </c>
      <c r="BH17" s="17"/>
      <c r="BJ17" s="51"/>
      <c r="BK17" s="51"/>
      <c r="BL17" s="51"/>
      <c r="BM17" s="51"/>
      <c r="BN17" s="51"/>
      <c r="BP17" s="51"/>
      <c r="BQ17" s="51"/>
      <c r="BR17" s="51"/>
      <c r="BS17" s="51"/>
      <c r="BT17" s="51"/>
    </row>
    <row r="18" spans="1:72" outlineLevel="1" x14ac:dyDescent="0.25">
      <c r="A18" s="18"/>
      <c r="B18" s="18" t="s">
        <v>62</v>
      </c>
      <c r="C18" s="19" t="s">
        <v>233</v>
      </c>
      <c r="D18" s="18">
        <v>322589704</v>
      </c>
      <c r="E18" s="19">
        <v>10</v>
      </c>
      <c r="F18" s="19">
        <v>300</v>
      </c>
      <c r="G18" s="19">
        <v>30</v>
      </c>
      <c r="I18" s="20">
        <f t="shared" si="0"/>
        <v>19.9641144</v>
      </c>
      <c r="J18" s="21">
        <f t="shared" si="1"/>
        <v>0.61887016704042108</v>
      </c>
      <c r="K18" s="21">
        <f t="shared" si="2"/>
        <v>0.16380339280760181</v>
      </c>
      <c r="L18" s="21">
        <f t="shared" si="3"/>
        <v>0.12827558811362436</v>
      </c>
      <c r="M18" s="21">
        <f t="shared" si="4"/>
        <v>0.45506677423281927</v>
      </c>
      <c r="N18" s="18">
        <f t="shared" si="5"/>
        <v>52841288</v>
      </c>
      <c r="O18" s="21">
        <v>16</v>
      </c>
      <c r="P18" s="22">
        <v>330498557</v>
      </c>
      <c r="Q18" s="22">
        <v>1101661.8566666699</v>
      </c>
      <c r="R18" s="22">
        <v>41195.15</v>
      </c>
      <c r="S18" s="23">
        <v>199641144</v>
      </c>
      <c r="T18" s="23">
        <v>41380384</v>
      </c>
      <c r="U18" s="23">
        <v>11460904</v>
      </c>
      <c r="V18" s="23">
        <v>146799856</v>
      </c>
      <c r="W18" s="24">
        <v>70.367131999999998</v>
      </c>
      <c r="X18" s="24">
        <v>72.960673333333304</v>
      </c>
      <c r="Y18" s="24">
        <v>37.151369000000003</v>
      </c>
      <c r="Z18" s="24">
        <v>46.292872333333399</v>
      </c>
      <c r="AA18" s="24">
        <v>46.804498000000002</v>
      </c>
      <c r="AB18" s="25">
        <v>43577.2</v>
      </c>
      <c r="AC18" s="25">
        <v>0</v>
      </c>
      <c r="AD18" s="25">
        <v>575.80399999999997</v>
      </c>
      <c r="AE18" s="25">
        <v>0</v>
      </c>
      <c r="AG18" s="20" t="str">
        <f t="shared" si="6"/>
        <v>·</v>
      </c>
      <c r="AH18" s="21" t="str">
        <f t="shared" si="7"/>
        <v>·</v>
      </c>
      <c r="AI18" s="21" t="str">
        <f t="shared" si="8"/>
        <v>·</v>
      </c>
      <c r="AJ18" s="21" t="str">
        <f t="shared" si="9"/>
        <v>·</v>
      </c>
      <c r="AK18" s="21" t="str">
        <f t="shared" si="10"/>
        <v>·</v>
      </c>
      <c r="AL18" s="18" t="str">
        <f t="shared" si="11"/>
        <v/>
      </c>
      <c r="AM18" s="21">
        <v>16</v>
      </c>
      <c r="AN18" s="22"/>
      <c r="AO18" s="22"/>
      <c r="AP18" s="22"/>
      <c r="AQ18" s="23"/>
      <c r="AR18" s="23"/>
      <c r="AS18" s="23"/>
      <c r="AT18" s="23"/>
      <c r="AU18" s="24"/>
      <c r="AV18" s="24"/>
      <c r="AW18" s="24"/>
      <c r="AX18" s="24"/>
      <c r="AY18" s="24"/>
      <c r="AZ18" s="25"/>
      <c r="BA18" s="25"/>
      <c r="BB18" s="25"/>
      <c r="BC18" s="25"/>
      <c r="BE18" s="50" t="e">
        <f t="shared" si="12"/>
        <v>#VALUE!</v>
      </c>
      <c r="BF18" s="26" t="e">
        <f t="shared" si="13"/>
        <v>#DIV/0!</v>
      </c>
      <c r="BG18" s="26" t="e">
        <f t="shared" si="14"/>
        <v>#VALUE!</v>
      </c>
      <c r="BH18" s="26"/>
      <c r="BJ18" s="50"/>
      <c r="BK18" s="50"/>
      <c r="BL18" s="50"/>
      <c r="BM18" s="50"/>
      <c r="BN18" s="50"/>
      <c r="BP18" s="50"/>
      <c r="BQ18" s="50"/>
      <c r="BR18" s="50"/>
      <c r="BS18" s="50"/>
      <c r="BT18" s="50"/>
    </row>
    <row r="19" spans="1:72" outlineLevel="1" x14ac:dyDescent="0.25">
      <c r="A19" s="54"/>
      <c r="B19" s="27" t="s">
        <v>62</v>
      </c>
      <c r="C19" s="28" t="s">
        <v>234</v>
      </c>
      <c r="D19" s="27">
        <v>322589704</v>
      </c>
      <c r="E19" s="28">
        <v>10</v>
      </c>
      <c r="F19" s="28">
        <v>300</v>
      </c>
      <c r="G19" s="28">
        <v>30</v>
      </c>
      <c r="I19" s="29">
        <f t="shared" si="0"/>
        <v>35.296759999999999</v>
      </c>
      <c r="J19" s="30">
        <f t="shared" si="1"/>
        <v>1.0941688331131609</v>
      </c>
      <c r="K19" s="30">
        <f t="shared" si="2"/>
        <v>0.26343588448811744</v>
      </c>
      <c r="L19" s="30">
        <f t="shared" si="3"/>
        <v>0.19726645708444557</v>
      </c>
      <c r="M19" s="30">
        <f t="shared" si="4"/>
        <v>0.83073294862504354</v>
      </c>
      <c r="N19" s="27">
        <f t="shared" si="5"/>
        <v>84981704</v>
      </c>
      <c r="O19" s="30">
        <v>16</v>
      </c>
      <c r="P19" s="31">
        <v>314302643</v>
      </c>
      <c r="Q19" s="31">
        <v>1047675.4766666699</v>
      </c>
      <c r="R19" s="31">
        <v>18188.73</v>
      </c>
      <c r="S19" s="32">
        <v>352967600</v>
      </c>
      <c r="T19" s="32">
        <v>63636128</v>
      </c>
      <c r="U19" s="32">
        <v>21345576</v>
      </c>
      <c r="V19" s="32">
        <v>267985896</v>
      </c>
      <c r="W19" s="33">
        <v>71.149853333333397</v>
      </c>
      <c r="X19" s="33">
        <v>75.005090666666604</v>
      </c>
      <c r="Y19" s="33">
        <v>39.630724333333397</v>
      </c>
      <c r="Z19" s="33">
        <v>48.067233999999999</v>
      </c>
      <c r="AA19" s="33">
        <v>48.648555333333299</v>
      </c>
      <c r="AB19" s="34">
        <v>47237.1</v>
      </c>
      <c r="AC19" s="34">
        <v>0</v>
      </c>
      <c r="AD19" s="34">
        <v>566.84500000000003</v>
      </c>
      <c r="AE19" s="34">
        <v>0</v>
      </c>
      <c r="AG19" s="29" t="str">
        <f t="shared" si="6"/>
        <v>·</v>
      </c>
      <c r="AH19" s="30" t="str">
        <f t="shared" si="7"/>
        <v>·</v>
      </c>
      <c r="AI19" s="30" t="str">
        <f t="shared" si="8"/>
        <v>·</v>
      </c>
      <c r="AJ19" s="30" t="str">
        <f t="shared" si="9"/>
        <v>·</v>
      </c>
      <c r="AK19" s="30" t="str">
        <f t="shared" si="10"/>
        <v>·</v>
      </c>
      <c r="AL19" s="27" t="str">
        <f t="shared" si="11"/>
        <v/>
      </c>
      <c r="AM19" s="30">
        <v>16</v>
      </c>
      <c r="AN19" s="31"/>
      <c r="AO19" s="31"/>
      <c r="AP19" s="31"/>
      <c r="AQ19" s="32"/>
      <c r="AR19" s="32"/>
      <c r="AS19" s="32"/>
      <c r="AT19" s="32"/>
      <c r="AU19" s="33"/>
      <c r="AV19" s="33"/>
      <c r="AW19" s="33"/>
      <c r="AX19" s="33"/>
      <c r="AY19" s="33"/>
      <c r="AZ19" s="34"/>
      <c r="BA19" s="34"/>
      <c r="BB19" s="34"/>
      <c r="BC19" s="34"/>
      <c r="BE19" s="35" t="e">
        <f t="shared" si="12"/>
        <v>#VALUE!</v>
      </c>
      <c r="BF19" s="36" t="e">
        <f t="shared" si="13"/>
        <v>#DIV/0!</v>
      </c>
      <c r="BG19" s="36" t="e">
        <f t="shared" si="14"/>
        <v>#VALUE!</v>
      </c>
      <c r="BH19" s="36"/>
      <c r="BJ19" s="35"/>
      <c r="BK19" s="35"/>
      <c r="BL19" s="35"/>
      <c r="BM19" s="35"/>
      <c r="BN19" s="35"/>
      <c r="BP19" s="35"/>
      <c r="BQ19" s="35"/>
      <c r="BR19" s="35"/>
      <c r="BS19" s="35"/>
      <c r="BT19" s="35"/>
    </row>
    <row r="20" spans="1:72" x14ac:dyDescent="0.25">
      <c r="A20" s="18"/>
      <c r="B20" s="18" t="s">
        <v>68</v>
      </c>
      <c r="C20" s="19" t="s">
        <v>230</v>
      </c>
      <c r="D20" s="18">
        <v>250602891</v>
      </c>
      <c r="E20" s="19">
        <v>10</v>
      </c>
      <c r="F20" s="19">
        <v>250</v>
      </c>
      <c r="G20" s="19">
        <v>50</v>
      </c>
      <c r="I20" s="20">
        <f t="shared" si="0"/>
        <v>4.8521039999999998</v>
      </c>
      <c r="J20" s="21">
        <f t="shared" si="1"/>
        <v>9.6808619817558283E-2</v>
      </c>
      <c r="K20" s="21">
        <f t="shared" si="2"/>
        <v>5.8361082514407227E-2</v>
      </c>
      <c r="L20" s="21">
        <f t="shared" si="3"/>
        <v>2.9222743483833153E-2</v>
      </c>
      <c r="M20" s="21">
        <f t="shared" si="4"/>
        <v>3.8447537303151064E-2</v>
      </c>
      <c r="N20" s="18">
        <f t="shared" si="5"/>
        <v>14625456</v>
      </c>
      <c r="O20" s="21">
        <v>16</v>
      </c>
      <c r="P20" s="22">
        <v>234675165</v>
      </c>
      <c r="Q20" s="22">
        <v>938700.66</v>
      </c>
      <c r="R20" s="22">
        <v>27933.984</v>
      </c>
      <c r="S20" s="23">
        <v>24260520</v>
      </c>
      <c r="T20" s="23">
        <v>7323304</v>
      </c>
      <c r="U20" s="23">
        <v>7302152</v>
      </c>
      <c r="V20" s="23">
        <v>9635064</v>
      </c>
      <c r="W20" s="24">
        <v>67.292702000000006</v>
      </c>
      <c r="X20" s="24">
        <v>69.088280800000007</v>
      </c>
      <c r="Y20" s="24">
        <v>31.1167804</v>
      </c>
      <c r="Z20" s="24">
        <v>40.3108492</v>
      </c>
      <c r="AA20" s="24">
        <v>39.112166000000002</v>
      </c>
      <c r="AB20" s="25">
        <v>33323.1</v>
      </c>
      <c r="AC20" s="25">
        <v>0</v>
      </c>
      <c r="AD20" s="25">
        <v>420.53399999999999</v>
      </c>
      <c r="AE20" s="25">
        <v>0</v>
      </c>
      <c r="AG20" s="20" t="str">
        <f t="shared" si="6"/>
        <v>·</v>
      </c>
      <c r="AH20" s="21" t="str">
        <f t="shared" si="7"/>
        <v>·</v>
      </c>
      <c r="AI20" s="21" t="str">
        <f t="shared" si="8"/>
        <v>·</v>
      </c>
      <c r="AJ20" s="21" t="str">
        <f t="shared" si="9"/>
        <v>·</v>
      </c>
      <c r="AK20" s="21" t="str">
        <f t="shared" si="10"/>
        <v>·</v>
      </c>
      <c r="AL20" s="18" t="str">
        <f t="shared" si="11"/>
        <v/>
      </c>
      <c r="AM20" s="21">
        <v>16</v>
      </c>
      <c r="AN20" s="22"/>
      <c r="AO20" s="22"/>
      <c r="AP20" s="22"/>
      <c r="AQ20" s="23"/>
      <c r="AR20" s="23"/>
      <c r="AS20" s="23"/>
      <c r="AT20" s="23"/>
      <c r="AU20" s="24"/>
      <c r="AV20" s="24"/>
      <c r="AW20" s="24"/>
      <c r="AX20" s="24"/>
      <c r="AY20" s="24"/>
      <c r="AZ20" s="25"/>
      <c r="BA20" s="25"/>
      <c r="BB20" s="25"/>
      <c r="BC20" s="25"/>
      <c r="BE20" s="50" t="e">
        <f t="shared" si="12"/>
        <v>#VALUE!</v>
      </c>
      <c r="BF20" s="26" t="e">
        <f t="shared" si="13"/>
        <v>#DIV/0!</v>
      </c>
      <c r="BG20" s="26" t="e">
        <f t="shared" si="14"/>
        <v>#VALUE!</v>
      </c>
      <c r="BH20" s="26" t="e">
        <f t="array" ref="BH20">AVERAGE(AL20:AL24/AQ20:AQ24) - AVERAGE(N20:N24/S20:S24)</f>
        <v>#VALUE!</v>
      </c>
      <c r="BJ20" s="50" t="str">
        <f>IF( OR(ISBLANK(N20:N24),ISBLANK(AL20:AL24), ISBLANK(W20:W24),ISBLANK(AU20:AU24)), "·", bdRateExtend( N20:N24,W20:W24, AL20:AL24,AU20:AU24))</f>
        <v>·</v>
      </c>
      <c r="BK20" s="50" t="str">
        <f>IF( OR(ISBLANK(N20:N24),ISBLANK(AL20:AL24), ISBLANK(X20:X24),ISBLANK(AV20:AV24)), "·", bdRateExtend( N20:N24,X20:X24, AL20:AL24,AV20:AV24))</f>
        <v>·</v>
      </c>
      <c r="BL20" s="50" t="str">
        <f>IF( OR(ISBLANK(V20:V24),ISBLANK(AT20:AT24), ISBLANK(Y20:Y24),ISBLANK(AW20:AW24)), "·", bdRateExtend( V20:V24,Y20:Y24, AT20:AT24,AW20:AW24))</f>
        <v>·</v>
      </c>
      <c r="BM20" s="50" t="str">
        <f>IF( OR(ISBLANK(V20:V24),ISBLANK(AT20:AT24), ISBLANK(Z20:Z24),ISBLANK(AX20:AX24)), "·", bdRateExtend( V20:V24,Z20:Z24, AT20:AT24,AX20:AX24))</f>
        <v>·</v>
      </c>
      <c r="BN20" s="50" t="str">
        <f>IF( OR(ISBLANK(V20:V24),ISBLANK(AT20:AT24), ISBLANK(AA20:AA24),ISBLANK(AY20:AY24)), "·", bdRateExtend( V20:V24,AA20:AA24, AT20:AT24,AY20:AY24))</f>
        <v>·</v>
      </c>
      <c r="BP20" s="50" t="str">
        <f>IF( OR(ISBLANK(S20:S24),ISBLANK(AQ20:AQ24), ISBLANK(W20:W24),ISBLANK(AU20:AU24)), "·", bdRateExtend( S20:S24,W20:W24, AQ20:AQ24,AU20:AU24))</f>
        <v>·</v>
      </c>
      <c r="BQ20" s="50" t="str">
        <f>IF( OR(ISBLANK(S20:S24),ISBLANK(AQ20:AQ24), ISBLANK(X20:X24),ISBLANK(AV20:AV24)), "·", bdRateExtend( S20:S24,X20:X24, AQ20:AQ24,AV20:AV24))</f>
        <v>·</v>
      </c>
      <c r="BR20" s="50" t="str">
        <f>IF( OR(ISBLANK(S20:S24),ISBLANK(AQ20:AQ24), ISBLANK(Y20:Y24),ISBLANK(AW20:AW24)), "·", bdRateExtend( S20:S24,Y20:Y24, AQ20:AQ24,AW20:AW24))</f>
        <v>·</v>
      </c>
      <c r="BS20" s="50" t="str">
        <f>IF( OR(ISBLANK(S20:S24),ISBLANK(AQ20:AQ24), ISBLANK(Z20:Z24),ISBLANK(AX20:AX24)), "·", bdRateExtend( S20:S24,Z20:Z24, AQ20:AQ24,AX20:AX24))</f>
        <v>·</v>
      </c>
      <c r="BT20" s="50" t="str">
        <f>IF( OR(ISBLANK(S20:S24),ISBLANK(AQ20:AQ24), ISBLANK(AA20:AA24),ISBLANK(AY20:AY24)), "·", bdRateExtend( S20:S24,AA20:AA24, AQ20:AQ24,AY20:AY24))</f>
        <v>·</v>
      </c>
    </row>
    <row r="21" spans="1:72" outlineLevel="1" x14ac:dyDescent="0.25">
      <c r="A21" s="54"/>
      <c r="B21" s="54" t="s">
        <v>68</v>
      </c>
      <c r="C21" s="10" t="s">
        <v>231</v>
      </c>
      <c r="D21" s="54">
        <v>250602891</v>
      </c>
      <c r="E21" s="10">
        <v>10</v>
      </c>
      <c r="F21" s="10">
        <v>250</v>
      </c>
      <c r="G21" s="10">
        <v>50</v>
      </c>
      <c r="I21" s="11">
        <f t="shared" si="0"/>
        <v>7.1289823999999999</v>
      </c>
      <c r="J21" s="12">
        <f t="shared" si="1"/>
        <v>0.14223663525094768</v>
      </c>
      <c r="K21" s="12">
        <f t="shared" si="2"/>
        <v>6.9324595301655953E-2</v>
      </c>
      <c r="L21" s="12">
        <f t="shared" si="3"/>
        <v>4.0186256271081883E-2</v>
      </c>
      <c r="M21" s="12">
        <f t="shared" si="4"/>
        <v>7.2912039949291726E-2</v>
      </c>
      <c r="N21" s="54">
        <f t="shared" si="5"/>
        <v>17372944</v>
      </c>
      <c r="O21" s="12">
        <v>16</v>
      </c>
      <c r="P21" s="13">
        <v>244372466</v>
      </c>
      <c r="Q21" s="13">
        <v>977489.86399999994</v>
      </c>
      <c r="R21" s="13">
        <v>33347.252</v>
      </c>
      <c r="S21" s="14">
        <v>35644912</v>
      </c>
      <c r="T21" s="14">
        <v>10070792</v>
      </c>
      <c r="U21" s="14">
        <v>7302152</v>
      </c>
      <c r="V21" s="14">
        <v>18271968</v>
      </c>
      <c r="W21" s="15">
        <v>68.879831999999894</v>
      </c>
      <c r="X21" s="15">
        <v>71.013356799999997</v>
      </c>
      <c r="Y21" s="15">
        <v>32.872518800000002</v>
      </c>
      <c r="Z21" s="15">
        <v>41.506481600000001</v>
      </c>
      <c r="AA21" s="15">
        <v>40.447173200000002</v>
      </c>
      <c r="AB21" s="16">
        <v>35098.9</v>
      </c>
      <c r="AC21" s="16">
        <v>0</v>
      </c>
      <c r="AD21" s="16">
        <v>437.63499999999999</v>
      </c>
      <c r="AE21" s="16">
        <v>0</v>
      </c>
      <c r="AG21" s="11" t="str">
        <f t="shared" si="6"/>
        <v>·</v>
      </c>
      <c r="AH21" s="12" t="str">
        <f t="shared" si="7"/>
        <v>·</v>
      </c>
      <c r="AI21" s="12" t="str">
        <f t="shared" si="8"/>
        <v>·</v>
      </c>
      <c r="AJ21" s="12" t="str">
        <f t="shared" si="9"/>
        <v>·</v>
      </c>
      <c r="AK21" s="12" t="str">
        <f t="shared" si="10"/>
        <v>·</v>
      </c>
      <c r="AL21" s="54" t="str">
        <f t="shared" si="11"/>
        <v/>
      </c>
      <c r="AM21" s="12">
        <v>16</v>
      </c>
      <c r="AN21" s="13"/>
      <c r="AO21" s="13"/>
      <c r="AP21" s="13"/>
      <c r="AQ21" s="14"/>
      <c r="AR21" s="14"/>
      <c r="AS21" s="14"/>
      <c r="AT21" s="14"/>
      <c r="AU21" s="15"/>
      <c r="AV21" s="15"/>
      <c r="AW21" s="15"/>
      <c r="AX21" s="15"/>
      <c r="AY21" s="15"/>
      <c r="AZ21" s="16"/>
      <c r="BA21" s="16"/>
      <c r="BB21" s="16"/>
      <c r="BC21" s="16"/>
      <c r="BE21" s="51" t="e">
        <f t="shared" si="12"/>
        <v>#VALUE!</v>
      </c>
      <c r="BF21" s="17" t="e">
        <f t="shared" si="13"/>
        <v>#DIV/0!</v>
      </c>
      <c r="BG21" s="17" t="e">
        <f t="shared" si="14"/>
        <v>#VALUE!</v>
      </c>
      <c r="BH21" s="17"/>
      <c r="BJ21" s="51"/>
      <c r="BK21" s="51"/>
      <c r="BL21" s="51"/>
      <c r="BM21" s="51"/>
      <c r="BN21" s="51"/>
      <c r="BP21" s="51"/>
      <c r="BQ21" s="51"/>
      <c r="BR21" s="51"/>
      <c r="BS21" s="51"/>
      <c r="BT21" s="51"/>
    </row>
    <row r="22" spans="1:72" outlineLevel="1" x14ac:dyDescent="0.25">
      <c r="A22" s="18"/>
      <c r="B22" s="18" t="s">
        <v>68</v>
      </c>
      <c r="C22" s="19" t="s">
        <v>232</v>
      </c>
      <c r="D22" s="18">
        <v>250602891</v>
      </c>
      <c r="E22" s="19">
        <v>10</v>
      </c>
      <c r="F22" s="19">
        <v>250</v>
      </c>
      <c r="G22" s="19">
        <v>50</v>
      </c>
      <c r="I22" s="20">
        <f t="shared" si="0"/>
        <v>11.5165056</v>
      </c>
      <c r="J22" s="21">
        <f t="shared" si="1"/>
        <v>0.22977599248845057</v>
      </c>
      <c r="K22" s="21">
        <f t="shared" si="2"/>
        <v>8.6259531618891022E-2</v>
      </c>
      <c r="L22" s="21">
        <f t="shared" si="3"/>
        <v>5.7121192588316945E-2</v>
      </c>
      <c r="M22" s="21">
        <f t="shared" si="4"/>
        <v>0.14351646086955955</v>
      </c>
      <c r="N22" s="18">
        <f t="shared" si="5"/>
        <v>21616888</v>
      </c>
      <c r="O22" s="21">
        <v>16</v>
      </c>
      <c r="P22" s="22">
        <v>255382334</v>
      </c>
      <c r="Q22" s="22">
        <v>1021529.336</v>
      </c>
      <c r="R22" s="22">
        <v>35812</v>
      </c>
      <c r="S22" s="23">
        <v>57582528</v>
      </c>
      <c r="T22" s="23">
        <v>14314736</v>
      </c>
      <c r="U22" s="23">
        <v>7302152</v>
      </c>
      <c r="V22" s="23">
        <v>35965640</v>
      </c>
      <c r="W22" s="24">
        <v>70.043271599999997</v>
      </c>
      <c r="X22" s="24">
        <v>72.458006400000002</v>
      </c>
      <c r="Y22" s="24">
        <v>34.7814172</v>
      </c>
      <c r="Z22" s="24">
        <v>42.603807199999999</v>
      </c>
      <c r="AA22" s="24">
        <v>41.611138799999999</v>
      </c>
      <c r="AB22" s="25">
        <v>34851.199999999997</v>
      </c>
      <c r="AC22" s="25">
        <v>0</v>
      </c>
      <c r="AD22" s="25">
        <v>464.83499999999998</v>
      </c>
      <c r="AE22" s="25">
        <v>0</v>
      </c>
      <c r="AG22" s="20" t="str">
        <f t="shared" si="6"/>
        <v>·</v>
      </c>
      <c r="AH22" s="21" t="str">
        <f t="shared" si="7"/>
        <v>·</v>
      </c>
      <c r="AI22" s="21" t="str">
        <f t="shared" si="8"/>
        <v>·</v>
      </c>
      <c r="AJ22" s="21" t="str">
        <f t="shared" si="9"/>
        <v>·</v>
      </c>
      <c r="AK22" s="21" t="str">
        <f t="shared" si="10"/>
        <v>·</v>
      </c>
      <c r="AL22" s="18" t="str">
        <f t="shared" si="11"/>
        <v/>
      </c>
      <c r="AM22" s="21">
        <v>16</v>
      </c>
      <c r="AN22" s="22"/>
      <c r="AO22" s="22"/>
      <c r="AP22" s="22"/>
      <c r="AQ22" s="23"/>
      <c r="AR22" s="23"/>
      <c r="AS22" s="23"/>
      <c r="AT22" s="23"/>
      <c r="AU22" s="24"/>
      <c r="AV22" s="24"/>
      <c r="AW22" s="24"/>
      <c r="AX22" s="24"/>
      <c r="AY22" s="24"/>
      <c r="AZ22" s="25"/>
      <c r="BA22" s="25"/>
      <c r="BB22" s="25"/>
      <c r="BC22" s="25"/>
      <c r="BE22" s="50" t="e">
        <f t="shared" si="12"/>
        <v>#VALUE!</v>
      </c>
      <c r="BF22" s="26" t="e">
        <f t="shared" si="13"/>
        <v>#DIV/0!</v>
      </c>
      <c r="BG22" s="26" t="e">
        <f t="shared" si="14"/>
        <v>#VALUE!</v>
      </c>
      <c r="BH22" s="26"/>
      <c r="BJ22" s="50"/>
      <c r="BK22" s="50"/>
      <c r="BL22" s="50"/>
      <c r="BM22" s="50"/>
      <c r="BN22" s="50"/>
      <c r="BP22" s="50"/>
      <c r="BQ22" s="50"/>
      <c r="BR22" s="50"/>
      <c r="BS22" s="50"/>
      <c r="BT22" s="50"/>
    </row>
    <row r="23" spans="1:72" outlineLevel="1" x14ac:dyDescent="0.25">
      <c r="A23" s="54"/>
      <c r="B23" s="54" t="s">
        <v>68</v>
      </c>
      <c r="C23" s="10" t="s">
        <v>233</v>
      </c>
      <c r="D23" s="54">
        <v>250602891</v>
      </c>
      <c r="E23" s="10">
        <v>10</v>
      </c>
      <c r="F23" s="10">
        <v>250</v>
      </c>
      <c r="G23" s="10">
        <v>50</v>
      </c>
      <c r="I23" s="11">
        <f t="shared" si="0"/>
        <v>20.255400000000002</v>
      </c>
      <c r="J23" s="12">
        <f t="shared" si="1"/>
        <v>0.40413340642586604</v>
      </c>
      <c r="K23" s="12">
        <f t="shared" si="2"/>
        <v>0.11571304658253125</v>
      </c>
      <c r="L23" s="12">
        <f t="shared" si="3"/>
        <v>8.6574707551957175E-2</v>
      </c>
      <c r="M23" s="12">
        <f t="shared" si="4"/>
        <v>0.28842035984333475</v>
      </c>
      <c r="N23" s="54">
        <f t="shared" si="5"/>
        <v>28998024</v>
      </c>
      <c r="O23" s="12">
        <v>16</v>
      </c>
      <c r="P23" s="13">
        <v>255641962</v>
      </c>
      <c r="Q23" s="13">
        <v>1022567.848</v>
      </c>
      <c r="R23" s="13">
        <v>37896.531999999999</v>
      </c>
      <c r="S23" s="14">
        <v>101277000</v>
      </c>
      <c r="T23" s="14">
        <v>21695872</v>
      </c>
      <c r="U23" s="14">
        <v>7302152</v>
      </c>
      <c r="V23" s="14">
        <v>72278976</v>
      </c>
      <c r="W23" s="15">
        <v>71.078891200000001</v>
      </c>
      <c r="X23" s="15">
        <v>73.827556000000101</v>
      </c>
      <c r="Y23" s="15">
        <v>36.324855200000002</v>
      </c>
      <c r="Z23" s="15">
        <v>43.933628400000003</v>
      </c>
      <c r="AA23" s="15">
        <v>42.865189600000001</v>
      </c>
      <c r="AB23" s="16">
        <v>36634.5</v>
      </c>
      <c r="AC23" s="16">
        <v>0</v>
      </c>
      <c r="AD23" s="16">
        <v>454.38900000000001</v>
      </c>
      <c r="AE23" s="16">
        <v>0</v>
      </c>
      <c r="AG23" s="11" t="str">
        <f t="shared" si="6"/>
        <v>·</v>
      </c>
      <c r="AH23" s="12" t="str">
        <f t="shared" si="7"/>
        <v>·</v>
      </c>
      <c r="AI23" s="12" t="str">
        <f t="shared" si="8"/>
        <v>·</v>
      </c>
      <c r="AJ23" s="12" t="str">
        <f t="shared" si="9"/>
        <v>·</v>
      </c>
      <c r="AK23" s="12" t="str">
        <f t="shared" si="10"/>
        <v>·</v>
      </c>
      <c r="AL23" s="54" t="str">
        <f t="shared" si="11"/>
        <v/>
      </c>
      <c r="AM23" s="12">
        <v>16</v>
      </c>
      <c r="AN23" s="13"/>
      <c r="AO23" s="13"/>
      <c r="AP23" s="13"/>
      <c r="AQ23" s="14"/>
      <c r="AR23" s="14"/>
      <c r="AS23" s="14"/>
      <c r="AT23" s="14"/>
      <c r="AU23" s="15"/>
      <c r="AV23" s="15"/>
      <c r="AW23" s="15"/>
      <c r="AX23" s="15"/>
      <c r="AY23" s="15"/>
      <c r="AZ23" s="16"/>
      <c r="BA23" s="16"/>
      <c r="BB23" s="16"/>
      <c r="BC23" s="16"/>
      <c r="BE23" s="51" t="e">
        <f t="shared" si="12"/>
        <v>#VALUE!</v>
      </c>
      <c r="BF23" s="17" t="e">
        <f t="shared" si="13"/>
        <v>#DIV/0!</v>
      </c>
      <c r="BG23" s="17" t="e">
        <f t="shared" si="14"/>
        <v>#VALUE!</v>
      </c>
      <c r="BH23" s="17"/>
      <c r="BJ23" s="51"/>
      <c r="BK23" s="51"/>
      <c r="BL23" s="51"/>
      <c r="BM23" s="51"/>
      <c r="BN23" s="51"/>
      <c r="BP23" s="51"/>
      <c r="BQ23" s="51"/>
      <c r="BR23" s="51"/>
      <c r="BS23" s="51"/>
      <c r="BT23" s="51"/>
    </row>
    <row r="24" spans="1:72" outlineLevel="1" x14ac:dyDescent="0.25">
      <c r="A24" s="37"/>
      <c r="B24" s="37" t="s">
        <v>68</v>
      </c>
      <c r="C24" s="38" t="s">
        <v>234</v>
      </c>
      <c r="D24" s="37">
        <v>250602891</v>
      </c>
      <c r="E24" s="38">
        <v>10</v>
      </c>
      <c r="F24" s="38">
        <v>250</v>
      </c>
      <c r="G24" s="38">
        <v>50</v>
      </c>
      <c r="I24" s="39">
        <f t="shared" si="0"/>
        <v>35.414443200000001</v>
      </c>
      <c r="J24" s="40">
        <f t="shared" si="1"/>
        <v>0.70658488931797681</v>
      </c>
      <c r="K24" s="40">
        <f t="shared" si="2"/>
        <v>0.19181652617088124</v>
      </c>
      <c r="L24" s="40">
        <f t="shared" si="3"/>
        <v>0.13633199466960658</v>
      </c>
      <c r="M24" s="40">
        <f t="shared" si="4"/>
        <v>0.51476836314709551</v>
      </c>
      <c r="N24" s="37">
        <f t="shared" si="5"/>
        <v>48069776</v>
      </c>
      <c r="O24" s="40">
        <v>16</v>
      </c>
      <c r="P24" s="41">
        <v>245253778</v>
      </c>
      <c r="Q24" s="41">
        <v>981015.11199999996</v>
      </c>
      <c r="R24" s="41">
        <v>18980.276000000002</v>
      </c>
      <c r="S24" s="42">
        <v>177072216</v>
      </c>
      <c r="T24" s="42">
        <v>34165192</v>
      </c>
      <c r="U24" s="42">
        <v>13904584</v>
      </c>
      <c r="V24" s="42">
        <v>129002440</v>
      </c>
      <c r="W24" s="43">
        <v>71.913038799999995</v>
      </c>
      <c r="X24" s="43">
        <v>75.788485600000001</v>
      </c>
      <c r="Y24" s="43">
        <v>37.198903199999997</v>
      </c>
      <c r="Z24" s="43">
        <v>44.905577999999998</v>
      </c>
      <c r="AA24" s="43">
        <v>43.527957200000003</v>
      </c>
      <c r="AB24" s="44">
        <v>38215.5</v>
      </c>
      <c r="AC24" s="44">
        <v>0</v>
      </c>
      <c r="AD24" s="44">
        <v>451.87200000000001</v>
      </c>
      <c r="AE24" s="44">
        <v>0</v>
      </c>
      <c r="AG24" s="39" t="str">
        <f t="shared" si="6"/>
        <v>·</v>
      </c>
      <c r="AH24" s="40" t="str">
        <f t="shared" si="7"/>
        <v>·</v>
      </c>
      <c r="AI24" s="40" t="str">
        <f t="shared" si="8"/>
        <v>·</v>
      </c>
      <c r="AJ24" s="40" t="str">
        <f t="shared" si="9"/>
        <v>·</v>
      </c>
      <c r="AK24" s="40" t="str">
        <f t="shared" si="10"/>
        <v>·</v>
      </c>
      <c r="AL24" s="37" t="str">
        <f t="shared" si="11"/>
        <v/>
      </c>
      <c r="AM24" s="40">
        <v>16</v>
      </c>
      <c r="AN24" s="41"/>
      <c r="AO24" s="41"/>
      <c r="AP24" s="41"/>
      <c r="AQ24" s="42"/>
      <c r="AR24" s="42"/>
      <c r="AS24" s="42"/>
      <c r="AT24" s="42"/>
      <c r="AU24" s="43"/>
      <c r="AV24" s="43"/>
      <c r="AW24" s="43"/>
      <c r="AX24" s="43"/>
      <c r="AY24" s="43"/>
      <c r="AZ24" s="44"/>
      <c r="BA24" s="44"/>
      <c r="BB24" s="44"/>
      <c r="BC24" s="44"/>
      <c r="BE24" s="45" t="e">
        <f t="shared" si="12"/>
        <v>#VALUE!</v>
      </c>
      <c r="BF24" s="46" t="e">
        <f t="shared" si="13"/>
        <v>#DIV/0!</v>
      </c>
      <c r="BG24" s="46" t="e">
        <f t="shared" si="14"/>
        <v>#VALUE!</v>
      </c>
      <c r="BH24" s="46"/>
      <c r="BJ24" s="45"/>
      <c r="BK24" s="45"/>
      <c r="BL24" s="45"/>
      <c r="BM24" s="45"/>
      <c r="BN24" s="45"/>
      <c r="BP24" s="45"/>
      <c r="BQ24" s="45"/>
      <c r="BR24" s="45"/>
      <c r="BS24" s="45"/>
      <c r="BT24" s="45"/>
    </row>
    <row r="25" spans="1:72" x14ac:dyDescent="0.25">
      <c r="A25" s="54" t="s">
        <v>235</v>
      </c>
      <c r="B25" s="54" t="s">
        <v>71</v>
      </c>
      <c r="C25" s="10" t="s">
        <v>230</v>
      </c>
      <c r="D25" s="54">
        <v>250294582</v>
      </c>
      <c r="E25" s="10">
        <v>10</v>
      </c>
      <c r="F25" s="10">
        <v>300</v>
      </c>
      <c r="G25" s="10">
        <v>30</v>
      </c>
      <c r="I25" s="11">
        <f t="shared" si="0"/>
        <v>4.6482495999999998</v>
      </c>
      <c r="J25" s="12">
        <f t="shared" si="1"/>
        <v>0.18571115534574376</v>
      </c>
      <c r="K25" s="12">
        <f t="shared" si="2"/>
        <v>6.4284795425575775E-2</v>
      </c>
      <c r="L25" s="12">
        <f t="shared" si="3"/>
        <v>3.6534134806002316E-2</v>
      </c>
      <c r="M25" s="12">
        <f t="shared" si="4"/>
        <v>0.12142635992016799</v>
      </c>
      <c r="N25" s="54">
        <f t="shared" si="5"/>
        <v>16090136</v>
      </c>
      <c r="O25" s="12">
        <v>16</v>
      </c>
      <c r="P25" s="13">
        <v>229813520</v>
      </c>
      <c r="Q25" s="13">
        <v>766045.066666667</v>
      </c>
      <c r="R25" s="13">
        <v>15663.35</v>
      </c>
      <c r="S25" s="14">
        <v>46482496</v>
      </c>
      <c r="T25" s="14">
        <v>9144296</v>
      </c>
      <c r="U25" s="14">
        <v>6945840</v>
      </c>
      <c r="V25" s="14">
        <v>30392360</v>
      </c>
      <c r="W25" s="15">
        <v>66.287796</v>
      </c>
      <c r="X25" s="15">
        <v>68.082541000000006</v>
      </c>
      <c r="Y25" s="15">
        <v>27.281383666666699</v>
      </c>
      <c r="Z25" s="15">
        <v>33.1033063333334</v>
      </c>
      <c r="AA25" s="15">
        <v>32.536090666666702</v>
      </c>
      <c r="AB25" s="16">
        <v>25033</v>
      </c>
      <c r="AC25" s="16">
        <v>0</v>
      </c>
      <c r="AD25" s="16">
        <v>425</v>
      </c>
      <c r="AE25" s="16">
        <v>0</v>
      </c>
      <c r="AG25" s="11" t="str">
        <f t="shared" si="6"/>
        <v>·</v>
      </c>
      <c r="AH25" s="12" t="str">
        <f t="shared" si="7"/>
        <v>·</v>
      </c>
      <c r="AI25" s="12" t="str">
        <f t="shared" si="8"/>
        <v>·</v>
      </c>
      <c r="AJ25" s="12" t="str">
        <f t="shared" si="9"/>
        <v>·</v>
      </c>
      <c r="AK25" s="12" t="str">
        <f t="shared" si="10"/>
        <v>·</v>
      </c>
      <c r="AL25" s="54" t="str">
        <f t="shared" si="11"/>
        <v/>
      </c>
      <c r="AM25" s="12">
        <v>16</v>
      </c>
      <c r="AN25" s="13"/>
      <c r="AO25" s="13"/>
      <c r="AP25" s="13"/>
      <c r="AQ25" s="14"/>
      <c r="AR25" s="14"/>
      <c r="AS25" s="14"/>
      <c r="AT25" s="14"/>
      <c r="AU25" s="15"/>
      <c r="AV25" s="15"/>
      <c r="AW25" s="15"/>
      <c r="AX25" s="15"/>
      <c r="AY25" s="15"/>
      <c r="AZ25" s="16"/>
      <c r="BA25" s="16"/>
      <c r="BB25" s="16"/>
      <c r="BC25" s="16"/>
      <c r="BE25" s="51" t="e">
        <f t="shared" si="12"/>
        <v>#VALUE!</v>
      </c>
      <c r="BF25" s="17" t="e">
        <f t="shared" si="13"/>
        <v>#DIV/0!</v>
      </c>
      <c r="BG25" s="17" t="e">
        <f t="shared" si="14"/>
        <v>#VALUE!</v>
      </c>
      <c r="BH25" s="17" t="e">
        <f t="array" ref="BH25">AVERAGE(AL25:AL29/AQ25:AQ29) - AVERAGE(N25:N29/S25:S29)</f>
        <v>#VALUE!</v>
      </c>
      <c r="BJ25" s="51" t="str">
        <f>IF( OR(ISBLANK(N25:N29),ISBLANK(AL25:AL29), ISBLANK(W25:W29),ISBLANK(AU25:AU29)), "·", bdRateExtend( N25:N29,W25:W29, AL25:AL29,AU25:AU29))</f>
        <v>·</v>
      </c>
      <c r="BK25" s="51" t="str">
        <f>IF( OR(ISBLANK(N25:N29),ISBLANK(AL25:AL29), ISBLANK(X25:X29),ISBLANK(AV25:AV29)), "·", bdRateExtend( N25:N29,X25:X29, AL25:AL29,AV25:AV29))</f>
        <v>·</v>
      </c>
      <c r="BL25" s="51" t="str">
        <f>IF( OR(ISBLANK(V25:V29),ISBLANK(AT25:AT29), ISBLANK(Y25:Y29),ISBLANK(AW25:AW29)), "·", bdRateExtend( V25:V29,Y25:Y29, AT25:AT29,AW25:AW29))</f>
        <v>·</v>
      </c>
      <c r="BM25" s="51" t="str">
        <f>IF( OR(ISBLANK(V25:V29),ISBLANK(AT25:AT29), ISBLANK(Z25:Z29),ISBLANK(AX25:AX29)), "·", bdRateExtend( V25:V29,Z25:Z29, AT25:AT29,AX25:AX29))</f>
        <v>·</v>
      </c>
      <c r="BN25" s="51" t="str">
        <f>IF( OR(ISBLANK(V25:V29),ISBLANK(AT25:AT29), ISBLANK(AA25:AA29),ISBLANK(AY25:AY29)), "·", bdRateExtend( V25:V29,AA25:AA29, AT25:AT29,AY25:AY29))</f>
        <v>·</v>
      </c>
      <c r="BP25" s="51" t="str">
        <f>IF( OR(ISBLANK(S25:S29),ISBLANK(AQ25:AQ29), ISBLANK(W25:W29),ISBLANK(AU25:AU29)), "·", bdRateExtend( S25:S29,W25:W29, AQ25:AQ29,AU25:AU29))</f>
        <v>·</v>
      </c>
      <c r="BQ25" s="51" t="str">
        <f>IF( OR(ISBLANK(S25:S29),ISBLANK(AQ25:AQ29), ISBLANK(X25:X29),ISBLANK(AV25:AV29)), "·", bdRateExtend( S25:S29,X25:X29, AQ25:AQ29,AV25:AV29))</f>
        <v>·</v>
      </c>
      <c r="BR25" s="51" t="str">
        <f>IF( OR(ISBLANK(S25:S29),ISBLANK(AQ25:AQ29), ISBLANK(Y25:Y29),ISBLANK(AW25:AW29)), "·", bdRateExtend( S25:S29,Y25:Y29, AQ25:AQ29,AW25:AW29))</f>
        <v>·</v>
      </c>
      <c r="BS25" s="51" t="str">
        <f>IF( OR(ISBLANK(S25:S29),ISBLANK(AQ25:AQ29), ISBLANK(Z25:Z29),ISBLANK(AX25:AX29)), "·", bdRateExtend( S25:S29,Z25:Z29, AQ25:AQ29,AX25:AX29))</f>
        <v>·</v>
      </c>
      <c r="BT25" s="51" t="str">
        <f>IF( OR(ISBLANK(S25:S29),ISBLANK(AQ25:AQ29), ISBLANK(AA25:AA29),ISBLANK(AY25:AY29)), "·", bdRateExtend( S25:S29,AA25:AA29, AQ25:AQ29,AY25:AY29))</f>
        <v>·</v>
      </c>
    </row>
    <row r="26" spans="1:72" outlineLevel="1" x14ac:dyDescent="0.25">
      <c r="A26" s="18"/>
      <c r="B26" s="18" t="s">
        <v>71</v>
      </c>
      <c r="C26" s="19" t="s">
        <v>231</v>
      </c>
      <c r="D26" s="18">
        <v>250294582</v>
      </c>
      <c r="E26" s="19">
        <v>10</v>
      </c>
      <c r="F26" s="19">
        <v>300</v>
      </c>
      <c r="G26" s="19">
        <v>30</v>
      </c>
      <c r="I26" s="20">
        <f t="shared" si="0"/>
        <v>7.9839432000000006</v>
      </c>
      <c r="J26" s="21">
        <f t="shared" si="1"/>
        <v>0.31898186273964174</v>
      </c>
      <c r="K26" s="21">
        <f t="shared" si="2"/>
        <v>7.9335572673322988E-2</v>
      </c>
      <c r="L26" s="21">
        <f t="shared" si="3"/>
        <v>5.1584912053749529E-2</v>
      </c>
      <c r="M26" s="21">
        <f t="shared" si="4"/>
        <v>0.23964629006631874</v>
      </c>
      <c r="N26" s="18">
        <f t="shared" si="5"/>
        <v>19857264</v>
      </c>
      <c r="O26" s="21">
        <v>16</v>
      </c>
      <c r="P26" s="22">
        <v>243596625</v>
      </c>
      <c r="Q26" s="22">
        <v>811988.75</v>
      </c>
      <c r="R26" s="22">
        <v>19477.93</v>
      </c>
      <c r="S26" s="23">
        <v>79839432</v>
      </c>
      <c r="T26" s="23">
        <v>12911424</v>
      </c>
      <c r="U26" s="23">
        <v>6945840</v>
      </c>
      <c r="V26" s="23">
        <v>59982168</v>
      </c>
      <c r="W26" s="24">
        <v>68.006917999999999</v>
      </c>
      <c r="X26" s="24">
        <v>70.038729000000004</v>
      </c>
      <c r="Y26" s="24">
        <v>29.675473666666701</v>
      </c>
      <c r="Z26" s="24">
        <v>34.267797999999999</v>
      </c>
      <c r="AA26" s="24">
        <v>33.851446000000003</v>
      </c>
      <c r="AB26" s="25">
        <v>25816.6</v>
      </c>
      <c r="AC26" s="25">
        <v>0</v>
      </c>
      <c r="AD26" s="25">
        <v>446.01799999999997</v>
      </c>
      <c r="AE26" s="25">
        <v>0</v>
      </c>
      <c r="AG26" s="20" t="str">
        <f t="shared" si="6"/>
        <v>·</v>
      </c>
      <c r="AH26" s="21" t="str">
        <f t="shared" si="7"/>
        <v>·</v>
      </c>
      <c r="AI26" s="21" t="str">
        <f t="shared" si="8"/>
        <v>·</v>
      </c>
      <c r="AJ26" s="21" t="str">
        <f t="shared" si="9"/>
        <v>·</v>
      </c>
      <c r="AK26" s="21" t="str">
        <f t="shared" si="10"/>
        <v>·</v>
      </c>
      <c r="AL26" s="18" t="str">
        <f t="shared" si="11"/>
        <v/>
      </c>
      <c r="AM26" s="21">
        <v>16</v>
      </c>
      <c r="AN26" s="22"/>
      <c r="AO26" s="22"/>
      <c r="AP26" s="22"/>
      <c r="AQ26" s="23"/>
      <c r="AR26" s="23"/>
      <c r="AS26" s="23"/>
      <c r="AT26" s="23"/>
      <c r="AU26" s="24"/>
      <c r="AV26" s="24"/>
      <c r="AW26" s="24"/>
      <c r="AX26" s="24"/>
      <c r="AY26" s="24"/>
      <c r="AZ26" s="25"/>
      <c r="BA26" s="25"/>
      <c r="BB26" s="25"/>
      <c r="BC26" s="25"/>
      <c r="BE26" s="50" t="e">
        <f t="shared" si="12"/>
        <v>#VALUE!</v>
      </c>
      <c r="BF26" s="26" t="e">
        <f t="shared" si="13"/>
        <v>#DIV/0!</v>
      </c>
      <c r="BG26" s="26" t="e">
        <f t="shared" si="14"/>
        <v>#VALUE!</v>
      </c>
      <c r="BH26" s="26"/>
      <c r="BJ26" s="50"/>
      <c r="BK26" s="50"/>
      <c r="BL26" s="50"/>
      <c r="BM26" s="50"/>
      <c r="BN26" s="50"/>
      <c r="BP26" s="50"/>
      <c r="BQ26" s="50"/>
      <c r="BR26" s="50"/>
      <c r="BS26" s="50"/>
      <c r="BT26" s="50"/>
    </row>
    <row r="27" spans="1:72" outlineLevel="1" x14ac:dyDescent="0.25">
      <c r="A27" s="54"/>
      <c r="B27" s="54" t="s">
        <v>71</v>
      </c>
      <c r="C27" s="10" t="s">
        <v>232</v>
      </c>
      <c r="D27" s="54">
        <v>250294582</v>
      </c>
      <c r="E27" s="10">
        <v>10</v>
      </c>
      <c r="F27" s="10">
        <v>300</v>
      </c>
      <c r="G27" s="10">
        <v>30</v>
      </c>
      <c r="I27" s="11">
        <f t="shared" si="0"/>
        <v>14.057192800000001</v>
      </c>
      <c r="J27" s="12">
        <f t="shared" si="1"/>
        <v>0.56162593243828185</v>
      </c>
      <c r="K27" s="12">
        <f t="shared" si="2"/>
        <v>0.10202969555289855</v>
      </c>
      <c r="L27" s="12">
        <f t="shared" si="3"/>
        <v>7.4279034933325092E-2</v>
      </c>
      <c r="M27" s="12">
        <f t="shared" si="4"/>
        <v>0.45959623688538331</v>
      </c>
      <c r="N27" s="54">
        <f t="shared" si="5"/>
        <v>25537480</v>
      </c>
      <c r="O27" s="12">
        <v>16</v>
      </c>
      <c r="P27" s="13">
        <v>246292624</v>
      </c>
      <c r="Q27" s="13">
        <v>820975.41333333298</v>
      </c>
      <c r="R27" s="13">
        <v>20455.1733333333</v>
      </c>
      <c r="S27" s="14">
        <v>140571928</v>
      </c>
      <c r="T27" s="14">
        <v>18591640</v>
      </c>
      <c r="U27" s="14">
        <v>6945840</v>
      </c>
      <c r="V27" s="14">
        <v>115034448</v>
      </c>
      <c r="W27" s="15">
        <v>69.315214666666606</v>
      </c>
      <c r="X27" s="15">
        <v>71.735003333333296</v>
      </c>
      <c r="Y27" s="15">
        <v>32.1849943333333</v>
      </c>
      <c r="Z27" s="15">
        <v>35.538696333333299</v>
      </c>
      <c r="AA27" s="15">
        <v>35.188729666666703</v>
      </c>
      <c r="AB27" s="16">
        <v>26827.3</v>
      </c>
      <c r="AC27" s="16">
        <v>0</v>
      </c>
      <c r="AD27" s="16">
        <v>469.08100000000002</v>
      </c>
      <c r="AE27" s="16">
        <v>0</v>
      </c>
      <c r="AG27" s="11" t="str">
        <f t="shared" si="6"/>
        <v>·</v>
      </c>
      <c r="AH27" s="12" t="str">
        <f t="shared" si="7"/>
        <v>·</v>
      </c>
      <c r="AI27" s="12" t="str">
        <f t="shared" si="8"/>
        <v>·</v>
      </c>
      <c r="AJ27" s="12" t="str">
        <f t="shared" si="9"/>
        <v>·</v>
      </c>
      <c r="AK27" s="12" t="str">
        <f t="shared" si="10"/>
        <v>·</v>
      </c>
      <c r="AL27" s="54" t="str">
        <f t="shared" si="11"/>
        <v/>
      </c>
      <c r="AM27" s="12">
        <v>16</v>
      </c>
      <c r="AN27" s="13"/>
      <c r="AO27" s="13"/>
      <c r="AP27" s="13"/>
      <c r="AQ27" s="14"/>
      <c r="AR27" s="14"/>
      <c r="AS27" s="14"/>
      <c r="AT27" s="14"/>
      <c r="AU27" s="15"/>
      <c r="AV27" s="15"/>
      <c r="AW27" s="15"/>
      <c r="AX27" s="15"/>
      <c r="AY27" s="15"/>
      <c r="AZ27" s="16"/>
      <c r="BA27" s="16"/>
      <c r="BB27" s="16"/>
      <c r="BC27" s="16"/>
      <c r="BE27" s="51" t="e">
        <f t="shared" si="12"/>
        <v>#VALUE!</v>
      </c>
      <c r="BF27" s="17" t="e">
        <f t="shared" si="13"/>
        <v>#DIV/0!</v>
      </c>
      <c r="BG27" s="17" t="e">
        <f t="shared" si="14"/>
        <v>#VALUE!</v>
      </c>
      <c r="BH27" s="17"/>
      <c r="BJ27" s="51"/>
      <c r="BK27" s="51"/>
      <c r="BL27" s="51"/>
      <c r="BM27" s="51"/>
      <c r="BN27" s="51"/>
      <c r="BP27" s="51"/>
      <c r="BQ27" s="51"/>
      <c r="BR27" s="51"/>
      <c r="BS27" s="51"/>
      <c r="BT27" s="51"/>
    </row>
    <row r="28" spans="1:72" outlineLevel="1" x14ac:dyDescent="0.25">
      <c r="A28" s="18"/>
      <c r="B28" s="18" t="s">
        <v>71</v>
      </c>
      <c r="C28" s="19" t="s">
        <v>233</v>
      </c>
      <c r="D28" s="18">
        <v>250294582</v>
      </c>
      <c r="E28" s="19">
        <v>10</v>
      </c>
      <c r="F28" s="19">
        <v>300</v>
      </c>
      <c r="G28" s="19">
        <v>30</v>
      </c>
      <c r="I28" s="20">
        <f t="shared" si="0"/>
        <v>25.984989600000002</v>
      </c>
      <c r="J28" s="21">
        <f t="shared" si="1"/>
        <v>1.0381762718299672</v>
      </c>
      <c r="K28" s="21">
        <f t="shared" si="2"/>
        <v>0.13978728472836061</v>
      </c>
      <c r="L28" s="21">
        <f t="shared" si="3"/>
        <v>0.11203662410878715</v>
      </c>
      <c r="M28" s="21">
        <f t="shared" si="4"/>
        <v>0.89838898710160653</v>
      </c>
      <c r="N28" s="18">
        <f t="shared" si="5"/>
        <v>34988000</v>
      </c>
      <c r="O28" s="21">
        <v>16</v>
      </c>
      <c r="P28" s="22">
        <v>253012628</v>
      </c>
      <c r="Q28" s="22">
        <v>843375.42666666699</v>
      </c>
      <c r="R28" s="22">
        <v>22919.02</v>
      </c>
      <c r="S28" s="23">
        <v>259849896</v>
      </c>
      <c r="T28" s="23">
        <v>28042160</v>
      </c>
      <c r="U28" s="23">
        <v>6945840</v>
      </c>
      <c r="V28" s="23">
        <v>224861896</v>
      </c>
      <c r="W28" s="24">
        <v>70.454707999999997</v>
      </c>
      <c r="X28" s="24">
        <v>73.019469666666694</v>
      </c>
      <c r="Y28" s="24">
        <v>34.865099333333298</v>
      </c>
      <c r="Z28" s="24">
        <v>37.362366333333398</v>
      </c>
      <c r="AA28" s="24">
        <v>36.933245999999997</v>
      </c>
      <c r="AB28" s="25">
        <v>29156.799999999999</v>
      </c>
      <c r="AC28" s="25">
        <v>0</v>
      </c>
      <c r="AD28" s="25">
        <v>508.476</v>
      </c>
      <c r="AE28" s="25">
        <v>0</v>
      </c>
      <c r="AG28" s="20" t="str">
        <f t="shared" si="6"/>
        <v>·</v>
      </c>
      <c r="AH28" s="21" t="str">
        <f t="shared" si="7"/>
        <v>·</v>
      </c>
      <c r="AI28" s="21" t="str">
        <f t="shared" si="8"/>
        <v>·</v>
      </c>
      <c r="AJ28" s="21" t="str">
        <f t="shared" si="9"/>
        <v>·</v>
      </c>
      <c r="AK28" s="21" t="str">
        <f t="shared" si="10"/>
        <v>·</v>
      </c>
      <c r="AL28" s="18" t="str">
        <f t="shared" si="11"/>
        <v/>
      </c>
      <c r="AM28" s="21">
        <v>16</v>
      </c>
      <c r="AN28" s="22"/>
      <c r="AO28" s="22"/>
      <c r="AP28" s="22"/>
      <c r="AQ28" s="23"/>
      <c r="AR28" s="23"/>
      <c r="AS28" s="23"/>
      <c r="AT28" s="23"/>
      <c r="AU28" s="24"/>
      <c r="AV28" s="24"/>
      <c r="AW28" s="24"/>
      <c r="AX28" s="24"/>
      <c r="AY28" s="24"/>
      <c r="AZ28" s="25"/>
      <c r="BA28" s="25"/>
      <c r="BB28" s="25"/>
      <c r="BC28" s="25"/>
      <c r="BE28" s="50" t="e">
        <f t="shared" si="12"/>
        <v>#VALUE!</v>
      </c>
      <c r="BF28" s="26" t="e">
        <f t="shared" si="13"/>
        <v>#DIV/0!</v>
      </c>
      <c r="BG28" s="26" t="e">
        <f t="shared" si="14"/>
        <v>#VALUE!</v>
      </c>
      <c r="BH28" s="26"/>
      <c r="BJ28" s="50"/>
      <c r="BK28" s="50"/>
      <c r="BL28" s="50"/>
      <c r="BM28" s="50"/>
      <c r="BN28" s="50"/>
      <c r="BP28" s="50"/>
      <c r="BQ28" s="50"/>
      <c r="BR28" s="50"/>
      <c r="BS28" s="50"/>
      <c r="BT28" s="50"/>
    </row>
    <row r="29" spans="1:72" outlineLevel="1" x14ac:dyDescent="0.25">
      <c r="A29" s="27"/>
      <c r="B29" s="27" t="s">
        <v>71</v>
      </c>
      <c r="C29" s="28" t="s">
        <v>234</v>
      </c>
      <c r="D29" s="27">
        <v>250294582</v>
      </c>
      <c r="E29" s="28">
        <v>10</v>
      </c>
      <c r="F29" s="28">
        <v>300</v>
      </c>
      <c r="G29" s="28">
        <v>30</v>
      </c>
      <c r="I29" s="29">
        <f t="shared" si="0"/>
        <v>46.787000799999994</v>
      </c>
      <c r="J29" s="30">
        <f t="shared" si="1"/>
        <v>1.8692774100879259</v>
      </c>
      <c r="K29" s="30">
        <f t="shared" si="2"/>
        <v>0.22609640028084987</v>
      </c>
      <c r="L29" s="30">
        <f t="shared" si="3"/>
        <v>0.17326914411595215</v>
      </c>
      <c r="M29" s="30">
        <f t="shared" si="4"/>
        <v>1.643181009807076</v>
      </c>
      <c r="N29" s="27">
        <f t="shared" si="5"/>
        <v>56590704</v>
      </c>
      <c r="O29" s="30">
        <v>16</v>
      </c>
      <c r="P29" s="31">
        <v>243449471</v>
      </c>
      <c r="Q29" s="31">
        <v>811498.23666666704</v>
      </c>
      <c r="R29" s="31">
        <v>10618.3666666667</v>
      </c>
      <c r="S29" s="32">
        <v>467870008</v>
      </c>
      <c r="T29" s="32">
        <v>43368328</v>
      </c>
      <c r="U29" s="32">
        <v>13222376</v>
      </c>
      <c r="V29" s="32">
        <v>411279304</v>
      </c>
      <c r="W29" s="33">
        <v>71.195141333333297</v>
      </c>
      <c r="X29" s="33">
        <v>74.9500593333333</v>
      </c>
      <c r="Y29" s="33">
        <v>37.258393333333402</v>
      </c>
      <c r="Z29" s="33">
        <v>39.404288000000001</v>
      </c>
      <c r="AA29" s="33">
        <v>38.757496000000003</v>
      </c>
      <c r="AB29" s="34">
        <v>32342.3</v>
      </c>
      <c r="AC29" s="34">
        <v>0</v>
      </c>
      <c r="AD29" s="34">
        <v>485.22</v>
      </c>
      <c r="AE29" s="34">
        <v>0</v>
      </c>
      <c r="AG29" s="29" t="str">
        <f t="shared" si="6"/>
        <v>·</v>
      </c>
      <c r="AH29" s="30" t="str">
        <f t="shared" si="7"/>
        <v>·</v>
      </c>
      <c r="AI29" s="30" t="str">
        <f t="shared" si="8"/>
        <v>·</v>
      </c>
      <c r="AJ29" s="30" t="str">
        <f t="shared" si="9"/>
        <v>·</v>
      </c>
      <c r="AK29" s="30" t="str">
        <f t="shared" si="10"/>
        <v>·</v>
      </c>
      <c r="AL29" s="27" t="str">
        <f t="shared" si="11"/>
        <v/>
      </c>
      <c r="AM29" s="30">
        <v>16</v>
      </c>
      <c r="AN29" s="31"/>
      <c r="AO29" s="31"/>
      <c r="AP29" s="31"/>
      <c r="AQ29" s="32"/>
      <c r="AR29" s="32"/>
      <c r="AS29" s="32"/>
      <c r="AT29" s="32"/>
      <c r="AU29" s="33"/>
      <c r="AV29" s="33"/>
      <c r="AW29" s="33"/>
      <c r="AX29" s="33"/>
      <c r="AY29" s="33"/>
      <c r="AZ29" s="34"/>
      <c r="BA29" s="34"/>
      <c r="BB29" s="34"/>
      <c r="BC29" s="34"/>
      <c r="BE29" s="35" t="e">
        <f t="shared" si="12"/>
        <v>#VALUE!</v>
      </c>
      <c r="BF29" s="36" t="e">
        <f t="shared" si="13"/>
        <v>#DIV/0!</v>
      </c>
      <c r="BG29" s="36" t="e">
        <f t="shared" si="14"/>
        <v>#VALUE!</v>
      </c>
      <c r="BH29" s="36"/>
      <c r="BJ29" s="35"/>
      <c r="BK29" s="35"/>
      <c r="BL29" s="35"/>
      <c r="BM29" s="35"/>
      <c r="BN29" s="35"/>
      <c r="BP29" s="35"/>
      <c r="BQ29" s="35"/>
      <c r="BR29" s="35"/>
      <c r="BS29" s="35"/>
      <c r="BT29" s="35"/>
    </row>
    <row r="30" spans="1:72" x14ac:dyDescent="0.25">
      <c r="A30" s="18" t="s">
        <v>236</v>
      </c>
      <c r="B30" s="18" t="s">
        <v>75</v>
      </c>
      <c r="C30" s="19" t="s">
        <v>230</v>
      </c>
      <c r="D30" s="18">
        <v>186907991</v>
      </c>
      <c r="E30" s="19">
        <v>11</v>
      </c>
      <c r="F30" s="19">
        <v>64</v>
      </c>
      <c r="G30" s="19">
        <v>30</v>
      </c>
      <c r="I30" s="20">
        <f t="shared" si="0"/>
        <v>5.8639650000000003</v>
      </c>
      <c r="J30" s="21">
        <f t="shared" si="1"/>
        <v>6.6930214877757688E-2</v>
      </c>
      <c r="K30" s="21">
        <f t="shared" si="2"/>
        <v>4.0854197614268936E-2</v>
      </c>
      <c r="L30" s="21">
        <f t="shared" si="3"/>
        <v>2.5321678194058596E-2</v>
      </c>
      <c r="M30" s="21">
        <f t="shared" si="4"/>
        <v>2.6076017263488752E-2</v>
      </c>
      <c r="N30" s="18">
        <f t="shared" si="5"/>
        <v>7635976</v>
      </c>
      <c r="O30" s="21">
        <v>16</v>
      </c>
      <c r="P30" s="22">
        <v>169249572</v>
      </c>
      <c r="Q30" s="22">
        <v>2644524.5625</v>
      </c>
      <c r="R30" s="22">
        <v>31572.421875</v>
      </c>
      <c r="S30" s="23">
        <v>12509792</v>
      </c>
      <c r="T30" s="23">
        <v>4732824</v>
      </c>
      <c r="U30" s="23">
        <v>2903152</v>
      </c>
      <c r="V30" s="23">
        <v>4873816</v>
      </c>
      <c r="W30" s="24">
        <v>73.420406249999999</v>
      </c>
      <c r="X30" s="24">
        <v>75.652500000000003</v>
      </c>
      <c r="Y30" s="24">
        <v>34.762167187499998</v>
      </c>
      <c r="Z30" s="24">
        <v>42.258467187500003</v>
      </c>
      <c r="AA30" s="24">
        <v>43.863898437499998</v>
      </c>
      <c r="AB30" s="25">
        <v>15383.6</v>
      </c>
      <c r="AC30" s="25">
        <v>0</v>
      </c>
      <c r="AD30" s="25">
        <v>290.22000000000003</v>
      </c>
      <c r="AE30" s="25">
        <v>0</v>
      </c>
      <c r="AG30" s="20" t="str">
        <f t="shared" si="6"/>
        <v>·</v>
      </c>
      <c r="AH30" s="21" t="str">
        <f t="shared" si="7"/>
        <v>·</v>
      </c>
      <c r="AI30" s="21" t="str">
        <f t="shared" si="8"/>
        <v>·</v>
      </c>
      <c r="AJ30" s="21" t="str">
        <f t="shared" si="9"/>
        <v>·</v>
      </c>
      <c r="AK30" s="21" t="str">
        <f t="shared" si="10"/>
        <v>·</v>
      </c>
      <c r="AL30" s="18" t="str">
        <f t="shared" si="11"/>
        <v/>
      </c>
      <c r="AM30" s="21">
        <v>16</v>
      </c>
      <c r="AN30" s="22"/>
      <c r="AO30" s="22"/>
      <c r="AP30" s="22"/>
      <c r="AQ30" s="23"/>
      <c r="AR30" s="23"/>
      <c r="AS30" s="23"/>
      <c r="AT30" s="23"/>
      <c r="AU30" s="24"/>
      <c r="AV30" s="24"/>
      <c r="AW30" s="24"/>
      <c r="AX30" s="24"/>
      <c r="AY30" s="24"/>
      <c r="AZ30" s="25"/>
      <c r="BA30" s="25"/>
      <c r="BB30" s="25"/>
      <c r="BC30" s="25"/>
      <c r="BE30" s="50" t="e">
        <f t="shared" si="12"/>
        <v>#VALUE!</v>
      </c>
      <c r="BF30" s="26" t="e">
        <f t="shared" si="13"/>
        <v>#DIV/0!</v>
      </c>
      <c r="BG30" s="26" t="e">
        <f t="shared" si="14"/>
        <v>#VALUE!</v>
      </c>
      <c r="BH30" s="26" t="e">
        <f t="array" ref="BH30">AVERAGE(AL30:AL34/AQ30:AQ34) - AVERAGE(N30:N34/S30:S34)</f>
        <v>#VALUE!</v>
      </c>
      <c r="BJ30" s="50" t="str">
        <f>IF( OR(ISBLANK(N30:N34),ISBLANK(AL30:AL34), ISBLANK(W30:W34),ISBLANK(AU30:AU34)), "·", bdRateExtend( N30:N34,W30:W34, AL30:AL34,AU30:AU34))</f>
        <v>·</v>
      </c>
      <c r="BK30" s="50" t="str">
        <f>IF( OR(ISBLANK(N30:N34),ISBLANK(AL30:AL34), ISBLANK(X30:X34),ISBLANK(AV30:AV34)), "·", bdRateExtend( N30:N34,X30:X34, AL30:AL34,AV30:AV34))</f>
        <v>·</v>
      </c>
      <c r="BL30" s="50" t="str">
        <f>IF( OR(ISBLANK(V30:V34),ISBLANK(AT30:AT34), ISBLANK(Y30:Y34),ISBLANK(AW30:AW34)), "·", bdRateExtend( V30:V34,Y30:Y34, AT30:AT34,AW30:AW34))</f>
        <v>·</v>
      </c>
      <c r="BM30" s="50" t="str">
        <f>IF( OR(ISBLANK(V30:V34),ISBLANK(AT30:AT34), ISBLANK(Z30:Z34),ISBLANK(AX30:AX34)), "·", bdRateExtend( V30:V34,Z30:Z34, AT30:AT34,AX30:AX34))</f>
        <v>·</v>
      </c>
      <c r="BN30" s="50" t="str">
        <f>IF( OR(ISBLANK(V30:V34),ISBLANK(AT30:AT34), ISBLANK(AA30:AA34),ISBLANK(AY30:AY34)), "·", bdRateExtend( V30:V34,AA30:AA34, AT30:AT34,AY30:AY34))</f>
        <v>·</v>
      </c>
      <c r="BP30" s="50" t="str">
        <f>IF( OR(ISBLANK(S30:S34),ISBLANK(AQ30:AQ34), ISBLANK(W30:W34),ISBLANK(AU30:AU34)), "·", bdRateExtend( S30:S34,W30:W34, AQ30:AQ34,AU30:AU34))</f>
        <v>·</v>
      </c>
      <c r="BQ30" s="50" t="str">
        <f>IF( OR(ISBLANK(S30:S34),ISBLANK(AQ30:AQ34), ISBLANK(X30:X34),ISBLANK(AV30:AV34)), "·", bdRateExtend( S30:S34,X30:X34, AQ30:AQ34,AV30:AV34))</f>
        <v>·</v>
      </c>
      <c r="BR30" s="50" t="str">
        <f>IF( OR(ISBLANK(S30:S34),ISBLANK(AQ30:AQ34), ISBLANK(Y30:Y34),ISBLANK(AW30:AW34)), "·", bdRateExtend( S30:S34,Y30:Y34, AQ30:AQ34,AW30:AW34))</f>
        <v>·</v>
      </c>
      <c r="BS30" s="50" t="str">
        <f>IF( OR(ISBLANK(S30:S34),ISBLANK(AQ30:AQ34), ISBLANK(Z30:Z34),ISBLANK(AX30:AX34)), "·", bdRateExtend( S30:S34,Z30:Z34, AQ30:AQ34,AX30:AX34))</f>
        <v>·</v>
      </c>
      <c r="BT30" s="50" t="str">
        <f>IF( OR(ISBLANK(S30:S34),ISBLANK(AQ30:AQ34), ISBLANK(AA30:AA34),ISBLANK(AY30:AY34)), "·", bdRateExtend( S30:S34,AA30:AA34, AQ30:AQ34,AY30:AY34))</f>
        <v>·</v>
      </c>
    </row>
    <row r="31" spans="1:72" outlineLevel="1" x14ac:dyDescent="0.25">
      <c r="A31" s="54"/>
      <c r="B31" s="54" t="s">
        <v>75</v>
      </c>
      <c r="C31" s="10" t="s">
        <v>231</v>
      </c>
      <c r="D31" s="54">
        <v>186907991</v>
      </c>
      <c r="E31" s="10">
        <v>11</v>
      </c>
      <c r="F31" s="10">
        <v>64</v>
      </c>
      <c r="G31" s="10">
        <v>30</v>
      </c>
      <c r="I31" s="11">
        <f t="shared" si="0"/>
        <v>8.3417325000000009</v>
      </c>
      <c r="J31" s="12">
        <f t="shared" si="1"/>
        <v>9.5210996088444397E-2</v>
      </c>
      <c r="K31" s="12">
        <f t="shared" si="2"/>
        <v>5.0165859414753433E-2</v>
      </c>
      <c r="L31" s="12">
        <f t="shared" si="3"/>
        <v>3.4633339994543093E-2</v>
      </c>
      <c r="M31" s="12">
        <f t="shared" si="4"/>
        <v>4.5045136673690964E-2</v>
      </c>
      <c r="N31" s="54">
        <f t="shared" si="5"/>
        <v>9376400</v>
      </c>
      <c r="O31" s="12">
        <v>16</v>
      </c>
      <c r="P31" s="13">
        <v>180376418</v>
      </c>
      <c r="Q31" s="13">
        <v>2818381.53125</v>
      </c>
      <c r="R31" s="13">
        <v>39636.09375</v>
      </c>
      <c r="S31" s="14">
        <v>17795696</v>
      </c>
      <c r="T31" s="14">
        <v>6473248</v>
      </c>
      <c r="U31" s="14">
        <v>2903152</v>
      </c>
      <c r="V31" s="14">
        <v>8419296</v>
      </c>
      <c r="W31" s="15">
        <v>75.126996875000003</v>
      </c>
      <c r="X31" s="15">
        <v>77.554306249999996</v>
      </c>
      <c r="Y31" s="15">
        <v>36.699356250000001</v>
      </c>
      <c r="Z31" s="15">
        <v>42.787203124999998</v>
      </c>
      <c r="AA31" s="15">
        <v>45.099618749999998</v>
      </c>
      <c r="AB31" s="16">
        <v>16283.5</v>
      </c>
      <c r="AC31" s="16">
        <v>0</v>
      </c>
      <c r="AD31" s="16">
        <v>312.40199999999999</v>
      </c>
      <c r="AE31" s="16">
        <v>0</v>
      </c>
      <c r="AG31" s="11" t="str">
        <f t="shared" si="6"/>
        <v>·</v>
      </c>
      <c r="AH31" s="12" t="str">
        <f t="shared" si="7"/>
        <v>·</v>
      </c>
      <c r="AI31" s="12" t="str">
        <f t="shared" si="8"/>
        <v>·</v>
      </c>
      <c r="AJ31" s="12" t="str">
        <f t="shared" si="9"/>
        <v>·</v>
      </c>
      <c r="AK31" s="12" t="str">
        <f t="shared" si="10"/>
        <v>·</v>
      </c>
      <c r="AL31" s="54" t="str">
        <f t="shared" si="11"/>
        <v/>
      </c>
      <c r="AM31" s="12">
        <v>16</v>
      </c>
      <c r="AN31" s="13"/>
      <c r="AO31" s="13"/>
      <c r="AP31" s="13"/>
      <c r="AQ31" s="14"/>
      <c r="AR31" s="14"/>
      <c r="AS31" s="14"/>
      <c r="AT31" s="14"/>
      <c r="AU31" s="15"/>
      <c r="AV31" s="15"/>
      <c r="AW31" s="15"/>
      <c r="AX31" s="15"/>
      <c r="AY31" s="15"/>
      <c r="AZ31" s="16"/>
      <c r="BA31" s="16"/>
      <c r="BB31" s="16"/>
      <c r="BC31" s="16"/>
      <c r="BE31" s="51" t="e">
        <f t="shared" si="12"/>
        <v>#VALUE!</v>
      </c>
      <c r="BF31" s="17" t="e">
        <f t="shared" si="13"/>
        <v>#DIV/0!</v>
      </c>
      <c r="BG31" s="17" t="e">
        <f t="shared" si="14"/>
        <v>#VALUE!</v>
      </c>
      <c r="BH31" s="17"/>
      <c r="BJ31" s="51"/>
      <c r="BK31" s="51"/>
      <c r="BL31" s="51"/>
      <c r="BM31" s="51"/>
      <c r="BN31" s="51"/>
      <c r="BP31" s="51"/>
      <c r="BQ31" s="51"/>
      <c r="BR31" s="51"/>
      <c r="BS31" s="51"/>
      <c r="BT31" s="51"/>
    </row>
    <row r="32" spans="1:72" outlineLevel="1" x14ac:dyDescent="0.25">
      <c r="A32" s="18"/>
      <c r="B32" s="18" t="s">
        <v>75</v>
      </c>
      <c r="C32" s="19" t="s">
        <v>232</v>
      </c>
      <c r="D32" s="18">
        <v>186907991</v>
      </c>
      <c r="E32" s="19">
        <v>11</v>
      </c>
      <c r="F32" s="19">
        <v>64</v>
      </c>
      <c r="G32" s="19">
        <v>30</v>
      </c>
      <c r="I32" s="20">
        <f t="shared" si="0"/>
        <v>12.829755</v>
      </c>
      <c r="J32" s="21">
        <f t="shared" si="1"/>
        <v>0.14643645706940372</v>
      </c>
      <c r="K32" s="21">
        <f t="shared" si="2"/>
        <v>6.3636059305778953E-2</v>
      </c>
      <c r="L32" s="21">
        <f t="shared" si="3"/>
        <v>4.8103539885568619E-2</v>
      </c>
      <c r="M32" s="21">
        <f t="shared" si="4"/>
        <v>8.2800397763624772E-2</v>
      </c>
      <c r="N32" s="18">
        <f t="shared" si="5"/>
        <v>11894088</v>
      </c>
      <c r="O32" s="21">
        <v>16</v>
      </c>
      <c r="P32" s="22">
        <v>184125577</v>
      </c>
      <c r="Q32" s="22">
        <v>2876962.140625</v>
      </c>
      <c r="R32" s="22">
        <v>42824.203125</v>
      </c>
      <c r="S32" s="23">
        <v>27370144</v>
      </c>
      <c r="T32" s="23">
        <v>8990936</v>
      </c>
      <c r="U32" s="23">
        <v>2903152</v>
      </c>
      <c r="V32" s="23">
        <v>15476056</v>
      </c>
      <c r="W32" s="24">
        <v>76.418717187499993</v>
      </c>
      <c r="X32" s="24">
        <v>79.128390624999994</v>
      </c>
      <c r="Y32" s="24">
        <v>38.443270312499997</v>
      </c>
      <c r="Z32" s="24">
        <v>43.305746874999997</v>
      </c>
      <c r="AA32" s="24">
        <v>46.268612500000003</v>
      </c>
      <c r="AB32" s="25">
        <v>15769.4</v>
      </c>
      <c r="AC32" s="25">
        <v>0</v>
      </c>
      <c r="AD32" s="25">
        <v>306.95999999999998</v>
      </c>
      <c r="AE32" s="25">
        <v>0</v>
      </c>
      <c r="AG32" s="20" t="str">
        <f t="shared" si="6"/>
        <v>·</v>
      </c>
      <c r="AH32" s="21" t="str">
        <f t="shared" si="7"/>
        <v>·</v>
      </c>
      <c r="AI32" s="21" t="str">
        <f t="shared" si="8"/>
        <v>·</v>
      </c>
      <c r="AJ32" s="21" t="str">
        <f t="shared" si="9"/>
        <v>·</v>
      </c>
      <c r="AK32" s="21" t="str">
        <f t="shared" si="10"/>
        <v>·</v>
      </c>
      <c r="AL32" s="18" t="str">
        <f t="shared" si="11"/>
        <v/>
      </c>
      <c r="AM32" s="21">
        <v>16</v>
      </c>
      <c r="AN32" s="22"/>
      <c r="AO32" s="22"/>
      <c r="AP32" s="22"/>
      <c r="AQ32" s="23"/>
      <c r="AR32" s="23"/>
      <c r="AS32" s="23"/>
      <c r="AT32" s="23"/>
      <c r="AU32" s="24"/>
      <c r="AV32" s="24"/>
      <c r="AW32" s="24"/>
      <c r="AX32" s="24"/>
      <c r="AY32" s="24"/>
      <c r="AZ32" s="25"/>
      <c r="BA32" s="25"/>
      <c r="BB32" s="25"/>
      <c r="BC32" s="25"/>
      <c r="BE32" s="50" t="e">
        <f t="shared" si="12"/>
        <v>#VALUE!</v>
      </c>
      <c r="BF32" s="26" t="e">
        <f t="shared" si="13"/>
        <v>#DIV/0!</v>
      </c>
      <c r="BG32" s="26" t="e">
        <f t="shared" si="14"/>
        <v>#VALUE!</v>
      </c>
      <c r="BH32" s="26"/>
      <c r="BJ32" s="50"/>
      <c r="BK32" s="50"/>
      <c r="BL32" s="50"/>
      <c r="BM32" s="50"/>
      <c r="BN32" s="50"/>
      <c r="BP32" s="50"/>
      <c r="BQ32" s="50"/>
      <c r="BR32" s="50"/>
      <c r="BS32" s="50"/>
      <c r="BT32" s="50"/>
    </row>
    <row r="33" spans="1:72" outlineLevel="1" x14ac:dyDescent="0.25">
      <c r="A33" s="54"/>
      <c r="B33" s="54" t="s">
        <v>75</v>
      </c>
      <c r="C33" s="10" t="s">
        <v>233</v>
      </c>
      <c r="D33" s="54">
        <v>186907991</v>
      </c>
      <c r="E33" s="10">
        <v>11</v>
      </c>
      <c r="F33" s="10">
        <v>64</v>
      </c>
      <c r="G33" s="10">
        <v>30</v>
      </c>
      <c r="I33" s="11">
        <f t="shared" si="0"/>
        <v>21.363048750000001</v>
      </c>
      <c r="J33" s="12">
        <f t="shared" si="1"/>
        <v>0.24383389793109489</v>
      </c>
      <c r="K33" s="12">
        <f t="shared" si="2"/>
        <v>8.6009805755175014E-2</v>
      </c>
      <c r="L33" s="12">
        <f t="shared" si="3"/>
        <v>7.0477286334964667E-2</v>
      </c>
      <c r="M33" s="12">
        <f t="shared" si="4"/>
        <v>0.15782409217591986</v>
      </c>
      <c r="N33" s="54">
        <f t="shared" si="5"/>
        <v>16075920</v>
      </c>
      <c r="O33" s="12">
        <v>16</v>
      </c>
      <c r="P33" s="13">
        <v>188671882</v>
      </c>
      <c r="Q33" s="13">
        <v>2947998.15625</v>
      </c>
      <c r="R33" s="13">
        <v>47562.4375</v>
      </c>
      <c r="S33" s="14">
        <v>45574504</v>
      </c>
      <c r="T33" s="14">
        <v>13172768</v>
      </c>
      <c r="U33" s="14">
        <v>2903152</v>
      </c>
      <c r="V33" s="14">
        <v>29498584</v>
      </c>
      <c r="W33" s="15">
        <v>77.572209375</v>
      </c>
      <c r="X33" s="15">
        <v>80.316196875000003</v>
      </c>
      <c r="Y33" s="15">
        <v>40.047745312499998</v>
      </c>
      <c r="Z33" s="15">
        <v>44.019767187500001</v>
      </c>
      <c r="AA33" s="15">
        <v>47.8787515625</v>
      </c>
      <c r="AB33" s="16">
        <v>16556</v>
      </c>
      <c r="AC33" s="16">
        <v>0</v>
      </c>
      <c r="AD33" s="16">
        <v>307.21300000000002</v>
      </c>
      <c r="AE33" s="16">
        <v>0</v>
      </c>
      <c r="AG33" s="11" t="str">
        <f t="shared" si="6"/>
        <v>·</v>
      </c>
      <c r="AH33" s="12" t="str">
        <f t="shared" si="7"/>
        <v>·</v>
      </c>
      <c r="AI33" s="12" t="str">
        <f t="shared" si="8"/>
        <v>·</v>
      </c>
      <c r="AJ33" s="12" t="str">
        <f t="shared" si="9"/>
        <v>·</v>
      </c>
      <c r="AK33" s="12" t="str">
        <f t="shared" si="10"/>
        <v>·</v>
      </c>
      <c r="AL33" s="54" t="str">
        <f t="shared" si="11"/>
        <v/>
      </c>
      <c r="AM33" s="12">
        <v>16</v>
      </c>
      <c r="AN33" s="13"/>
      <c r="AO33" s="13"/>
      <c r="AP33" s="13"/>
      <c r="AQ33" s="14"/>
      <c r="AR33" s="14"/>
      <c r="AS33" s="14"/>
      <c r="AT33" s="14"/>
      <c r="AU33" s="15"/>
      <c r="AV33" s="15"/>
      <c r="AW33" s="15"/>
      <c r="AX33" s="15"/>
      <c r="AY33" s="15"/>
      <c r="AZ33" s="16"/>
      <c r="BA33" s="16"/>
      <c r="BB33" s="16"/>
      <c r="BC33" s="16"/>
      <c r="BE33" s="51" t="e">
        <f t="shared" si="12"/>
        <v>#VALUE!</v>
      </c>
      <c r="BF33" s="17" t="e">
        <f t="shared" si="13"/>
        <v>#DIV/0!</v>
      </c>
      <c r="BG33" s="17" t="e">
        <f t="shared" si="14"/>
        <v>#VALUE!</v>
      </c>
      <c r="BH33" s="17"/>
      <c r="BJ33" s="51"/>
      <c r="BK33" s="51"/>
      <c r="BL33" s="51"/>
      <c r="BM33" s="51"/>
      <c r="BN33" s="51"/>
      <c r="BP33" s="51"/>
      <c r="BQ33" s="51"/>
      <c r="BR33" s="51"/>
      <c r="BS33" s="51"/>
      <c r="BT33" s="51"/>
    </row>
    <row r="34" spans="1:72" outlineLevel="1" x14ac:dyDescent="0.25">
      <c r="A34" s="18"/>
      <c r="B34" s="37" t="s">
        <v>75</v>
      </c>
      <c r="C34" s="38" t="s">
        <v>234</v>
      </c>
      <c r="D34" s="37">
        <v>186907991</v>
      </c>
      <c r="E34" s="38">
        <v>11</v>
      </c>
      <c r="F34" s="38">
        <v>64</v>
      </c>
      <c r="G34" s="38">
        <v>30</v>
      </c>
      <c r="I34" s="39">
        <f t="shared" si="0"/>
        <v>39.990746250000001</v>
      </c>
      <c r="J34" s="40">
        <f t="shared" si="1"/>
        <v>0.45644700124137549</v>
      </c>
      <c r="K34" s="40">
        <f t="shared" si="2"/>
        <v>0.13796897533396527</v>
      </c>
      <c r="L34" s="40">
        <f t="shared" si="3"/>
        <v>0.10713750596142248</v>
      </c>
      <c r="M34" s="40">
        <f t="shared" si="4"/>
        <v>0.31847802590741026</v>
      </c>
      <c r="N34" s="37">
        <f t="shared" si="5"/>
        <v>25787504</v>
      </c>
      <c r="O34" s="40">
        <v>16</v>
      </c>
      <c r="P34" s="41">
        <v>184986519</v>
      </c>
      <c r="Q34" s="41">
        <v>2890414.359375</v>
      </c>
      <c r="R34" s="41">
        <v>18988.453125</v>
      </c>
      <c r="S34" s="42">
        <v>85313592</v>
      </c>
      <c r="T34" s="42">
        <v>20024856</v>
      </c>
      <c r="U34" s="42">
        <v>5762648</v>
      </c>
      <c r="V34" s="42">
        <v>59526088</v>
      </c>
      <c r="W34" s="43">
        <v>78.495448437500002</v>
      </c>
      <c r="X34" s="43">
        <v>81.985429687500002</v>
      </c>
      <c r="Y34" s="43">
        <v>41.536167187499998</v>
      </c>
      <c r="Z34" s="43">
        <v>44.803171874999997</v>
      </c>
      <c r="AA34" s="43">
        <v>49.259009374999998</v>
      </c>
      <c r="AB34" s="44">
        <v>18701.3</v>
      </c>
      <c r="AC34" s="44">
        <v>0</v>
      </c>
      <c r="AD34" s="44">
        <v>329.06700000000001</v>
      </c>
      <c r="AE34" s="44">
        <v>0</v>
      </c>
      <c r="AG34" s="39" t="str">
        <f t="shared" si="6"/>
        <v>·</v>
      </c>
      <c r="AH34" s="40" t="str">
        <f t="shared" si="7"/>
        <v>·</v>
      </c>
      <c r="AI34" s="40" t="str">
        <f t="shared" si="8"/>
        <v>·</v>
      </c>
      <c r="AJ34" s="40" t="str">
        <f t="shared" si="9"/>
        <v>·</v>
      </c>
      <c r="AK34" s="40" t="str">
        <f t="shared" si="10"/>
        <v>·</v>
      </c>
      <c r="AL34" s="37" t="str">
        <f t="shared" si="11"/>
        <v/>
      </c>
      <c r="AM34" s="40">
        <v>16</v>
      </c>
      <c r="AN34" s="41"/>
      <c r="AO34" s="41"/>
      <c r="AP34" s="41"/>
      <c r="AQ34" s="42"/>
      <c r="AR34" s="42"/>
      <c r="AS34" s="42"/>
      <c r="AT34" s="42"/>
      <c r="AU34" s="43"/>
      <c r="AV34" s="43"/>
      <c r="AW34" s="43"/>
      <c r="AX34" s="43"/>
      <c r="AY34" s="43"/>
      <c r="AZ34" s="44"/>
      <c r="BA34" s="44"/>
      <c r="BB34" s="44"/>
      <c r="BC34" s="44"/>
      <c r="BE34" s="45" t="e">
        <f t="shared" si="12"/>
        <v>#VALUE!</v>
      </c>
      <c r="BF34" s="46" t="e">
        <f t="shared" si="13"/>
        <v>#DIV/0!</v>
      </c>
      <c r="BG34" s="46" t="e">
        <f t="shared" si="14"/>
        <v>#VALUE!</v>
      </c>
      <c r="BH34" s="46"/>
      <c r="BJ34" s="45"/>
      <c r="BK34" s="45"/>
      <c r="BL34" s="45"/>
      <c r="BM34" s="45"/>
      <c r="BN34" s="45"/>
      <c r="BP34" s="45"/>
      <c r="BQ34" s="45"/>
      <c r="BR34" s="45"/>
      <c r="BS34" s="45"/>
      <c r="BT34" s="45"/>
    </row>
    <row r="35" spans="1:72" x14ac:dyDescent="0.25">
      <c r="A35" s="54"/>
      <c r="B35" s="54" t="s">
        <v>80</v>
      </c>
      <c r="C35" s="10" t="s">
        <v>230</v>
      </c>
      <c r="D35" s="54">
        <v>166028718</v>
      </c>
      <c r="E35" s="10">
        <v>11</v>
      </c>
      <c r="F35" s="10">
        <v>64</v>
      </c>
      <c r="G35" s="10">
        <v>30</v>
      </c>
      <c r="I35" s="11">
        <f t="shared" si="0"/>
        <v>6.0314587499999996</v>
      </c>
      <c r="J35" s="12">
        <f t="shared" si="1"/>
        <v>7.7499315509983041E-2</v>
      </c>
      <c r="K35" s="12">
        <f t="shared" si="2"/>
        <v>4.6065042795789102E-2</v>
      </c>
      <c r="L35" s="12">
        <f t="shared" si="3"/>
        <v>2.814925066156326E-2</v>
      </c>
      <c r="M35" s="12">
        <f t="shared" si="4"/>
        <v>3.1434272714193939E-2</v>
      </c>
      <c r="N35" s="54">
        <f t="shared" si="5"/>
        <v>7648120</v>
      </c>
      <c r="O35" s="12">
        <v>16</v>
      </c>
      <c r="P35" s="13">
        <v>149475345</v>
      </c>
      <c r="Q35" s="13">
        <v>2335552.265625</v>
      </c>
      <c r="R35" s="13">
        <v>30858.4375</v>
      </c>
      <c r="S35" s="14">
        <v>12867112</v>
      </c>
      <c r="T35" s="14">
        <v>4673584</v>
      </c>
      <c r="U35" s="14">
        <v>2974536</v>
      </c>
      <c r="V35" s="14">
        <v>5218992</v>
      </c>
      <c r="W35" s="15">
        <v>73.203678124999996</v>
      </c>
      <c r="X35" s="15">
        <v>75.427323437499993</v>
      </c>
      <c r="Y35" s="15">
        <v>34.096020312500002</v>
      </c>
      <c r="Z35" s="15">
        <v>42.519103125000001</v>
      </c>
      <c r="AA35" s="15">
        <v>44.023568750000003</v>
      </c>
      <c r="AB35" s="16">
        <v>13963.8</v>
      </c>
      <c r="AC35" s="16">
        <v>0</v>
      </c>
      <c r="AD35" s="16">
        <v>262.798</v>
      </c>
      <c r="AE35" s="16">
        <v>0</v>
      </c>
      <c r="AG35" s="11" t="str">
        <f t="shared" si="6"/>
        <v>·</v>
      </c>
      <c r="AH35" s="12" t="str">
        <f t="shared" si="7"/>
        <v>·</v>
      </c>
      <c r="AI35" s="12" t="str">
        <f t="shared" si="8"/>
        <v>·</v>
      </c>
      <c r="AJ35" s="12" t="str">
        <f t="shared" si="9"/>
        <v>·</v>
      </c>
      <c r="AK35" s="12" t="str">
        <f t="shared" si="10"/>
        <v>·</v>
      </c>
      <c r="AL35" s="54" t="str">
        <f t="shared" si="11"/>
        <v/>
      </c>
      <c r="AM35" s="12">
        <v>16</v>
      </c>
      <c r="AN35" s="13"/>
      <c r="AO35" s="13"/>
      <c r="AP35" s="13"/>
      <c r="AQ35" s="14"/>
      <c r="AR35" s="14"/>
      <c r="AS35" s="14"/>
      <c r="AT35" s="14"/>
      <c r="AU35" s="15"/>
      <c r="AV35" s="15"/>
      <c r="AW35" s="15"/>
      <c r="AX35" s="15"/>
      <c r="AY35" s="15"/>
      <c r="AZ35" s="16"/>
      <c r="BA35" s="16"/>
      <c r="BB35" s="16"/>
      <c r="BC35" s="16"/>
      <c r="BE35" s="51" t="e">
        <f t="shared" si="12"/>
        <v>#VALUE!</v>
      </c>
      <c r="BF35" s="17" t="e">
        <f t="shared" si="13"/>
        <v>#DIV/0!</v>
      </c>
      <c r="BG35" s="17" t="e">
        <f t="shared" si="14"/>
        <v>#VALUE!</v>
      </c>
      <c r="BH35" s="17" t="e">
        <f t="array" ref="BH35">AVERAGE(AL35:AL39/AQ35:AQ39) - AVERAGE(N35:N39/S35:S39)</f>
        <v>#VALUE!</v>
      </c>
      <c r="BJ35" s="51" t="str">
        <f>IF( OR(ISBLANK(N35:N39),ISBLANK(AL35:AL39), ISBLANK(W35:W39),ISBLANK(AU35:AU39)), "·", bdRateExtend( N35:N39,W35:W39, AL35:AL39,AU35:AU39))</f>
        <v>·</v>
      </c>
      <c r="BK35" s="51" t="str">
        <f>IF( OR(ISBLANK(N35:N39),ISBLANK(AL35:AL39), ISBLANK(X35:X39),ISBLANK(AV35:AV39)), "·", bdRateExtend( N35:N39,X35:X39, AL35:AL39,AV35:AV39))</f>
        <v>·</v>
      </c>
      <c r="BL35" s="51" t="str">
        <f>IF( OR(ISBLANK(V35:V39),ISBLANK(AT35:AT39), ISBLANK(Y35:Y39),ISBLANK(AW35:AW39)), "·", bdRateExtend( V35:V39,Y35:Y39, AT35:AT39,AW35:AW39))</f>
        <v>·</v>
      </c>
      <c r="BM35" s="51" t="str">
        <f>IF( OR(ISBLANK(V35:V39),ISBLANK(AT35:AT39), ISBLANK(Z35:Z39),ISBLANK(AX35:AX39)), "·", bdRateExtend( V35:V39,Z35:Z39, AT35:AT39,AX35:AX39))</f>
        <v>·</v>
      </c>
      <c r="BN35" s="51" t="str">
        <f>IF( OR(ISBLANK(V35:V39),ISBLANK(AT35:AT39), ISBLANK(AA35:AA39),ISBLANK(AY35:AY39)), "·", bdRateExtend( V35:V39,AA35:AA39, AT35:AT39,AY35:AY39))</f>
        <v>·</v>
      </c>
      <c r="BP35" s="51" t="str">
        <f>IF( OR(ISBLANK(S35:S39),ISBLANK(AQ35:AQ39), ISBLANK(W35:W39),ISBLANK(AU35:AU39)), "·", bdRateExtend( S35:S39,W35:W39, AQ35:AQ39,AU35:AU39))</f>
        <v>·</v>
      </c>
      <c r="BQ35" s="51" t="str">
        <f>IF( OR(ISBLANK(S35:S39),ISBLANK(AQ35:AQ39), ISBLANK(X35:X39),ISBLANK(AV35:AV39)), "·", bdRateExtend( S35:S39,X35:X39, AQ35:AQ39,AV35:AV39))</f>
        <v>·</v>
      </c>
      <c r="BR35" s="51" t="str">
        <f>IF( OR(ISBLANK(S35:S39),ISBLANK(AQ35:AQ39), ISBLANK(Y35:Y39),ISBLANK(AW35:AW39)), "·", bdRateExtend( S35:S39,Y35:Y39, AQ35:AQ39,AW35:AW39))</f>
        <v>·</v>
      </c>
      <c r="BS35" s="51" t="str">
        <f>IF( OR(ISBLANK(S35:S39),ISBLANK(AQ35:AQ39), ISBLANK(Z35:Z39),ISBLANK(AX35:AX39)), "·", bdRateExtend( S35:S39,Z35:Z39, AQ35:AQ39,AX35:AX39))</f>
        <v>·</v>
      </c>
      <c r="BT35" s="51" t="str">
        <f>IF( OR(ISBLANK(S35:S39),ISBLANK(AQ35:AQ39), ISBLANK(AA35:AA39),ISBLANK(AY35:AY39)), "·", bdRateExtend( S35:S39,AA35:AA39, AQ35:AQ39,AY35:AY39))</f>
        <v>·</v>
      </c>
    </row>
    <row r="36" spans="1:72" outlineLevel="1" x14ac:dyDescent="0.25">
      <c r="A36" s="18"/>
      <c r="B36" s="18" t="s">
        <v>80</v>
      </c>
      <c r="C36" s="19" t="s">
        <v>231</v>
      </c>
      <c r="D36" s="18">
        <v>166028718</v>
      </c>
      <c r="E36" s="19">
        <v>11</v>
      </c>
      <c r="F36" s="19">
        <v>64</v>
      </c>
      <c r="G36" s="19">
        <v>30</v>
      </c>
      <c r="I36" s="20">
        <f t="shared" si="0"/>
        <v>8.6183774999999994</v>
      </c>
      <c r="J36" s="21">
        <f t="shared" si="1"/>
        <v>0.11073910719469628</v>
      </c>
      <c r="K36" s="21">
        <f t="shared" si="2"/>
        <v>5.6542507302863108E-2</v>
      </c>
      <c r="L36" s="21">
        <f t="shared" si="3"/>
        <v>3.862671516863727E-2</v>
      </c>
      <c r="M36" s="21">
        <f t="shared" si="4"/>
        <v>5.4196599891833168E-2</v>
      </c>
      <c r="N36" s="18">
        <f t="shared" si="5"/>
        <v>9387680</v>
      </c>
      <c r="O36" s="21">
        <v>16</v>
      </c>
      <c r="P36" s="22">
        <v>159667518</v>
      </c>
      <c r="Q36" s="22">
        <v>2494804.96875</v>
      </c>
      <c r="R36" s="22">
        <v>39145.453125</v>
      </c>
      <c r="S36" s="23">
        <v>18385872</v>
      </c>
      <c r="T36" s="23">
        <v>6413144</v>
      </c>
      <c r="U36" s="23">
        <v>2974536</v>
      </c>
      <c r="V36" s="23">
        <v>8998192</v>
      </c>
      <c r="W36" s="24">
        <v>74.931957812500002</v>
      </c>
      <c r="X36" s="24">
        <v>77.373424999999997</v>
      </c>
      <c r="Y36" s="24">
        <v>36.170073437500001</v>
      </c>
      <c r="Z36" s="24">
        <v>43.175532812500002</v>
      </c>
      <c r="AA36" s="24">
        <v>45.352903124999997</v>
      </c>
      <c r="AB36" s="25">
        <v>14408.2</v>
      </c>
      <c r="AC36" s="25">
        <v>0</v>
      </c>
      <c r="AD36" s="25">
        <v>270.63600000000002</v>
      </c>
      <c r="AE36" s="25">
        <v>0</v>
      </c>
      <c r="AG36" s="20" t="str">
        <f t="shared" si="6"/>
        <v>·</v>
      </c>
      <c r="AH36" s="21" t="str">
        <f t="shared" si="7"/>
        <v>·</v>
      </c>
      <c r="AI36" s="21" t="str">
        <f t="shared" si="8"/>
        <v>·</v>
      </c>
      <c r="AJ36" s="21" t="str">
        <f t="shared" si="9"/>
        <v>·</v>
      </c>
      <c r="AK36" s="21" t="str">
        <f t="shared" si="10"/>
        <v>·</v>
      </c>
      <c r="AL36" s="18" t="str">
        <f t="shared" si="11"/>
        <v/>
      </c>
      <c r="AM36" s="21">
        <v>16</v>
      </c>
      <c r="AN36" s="22"/>
      <c r="AO36" s="22"/>
      <c r="AP36" s="22"/>
      <c r="AQ36" s="23"/>
      <c r="AR36" s="23"/>
      <c r="AS36" s="23"/>
      <c r="AT36" s="23"/>
      <c r="AU36" s="24"/>
      <c r="AV36" s="24"/>
      <c r="AW36" s="24"/>
      <c r="AX36" s="24"/>
      <c r="AY36" s="24"/>
      <c r="AZ36" s="25"/>
      <c r="BA36" s="25"/>
      <c r="BB36" s="25"/>
      <c r="BC36" s="25"/>
      <c r="BE36" s="50" t="e">
        <f t="shared" si="12"/>
        <v>#VALUE!</v>
      </c>
      <c r="BF36" s="26" t="e">
        <f t="shared" si="13"/>
        <v>#DIV/0!</v>
      </c>
      <c r="BG36" s="26" t="e">
        <f t="shared" si="14"/>
        <v>#VALUE!</v>
      </c>
      <c r="BH36" s="26"/>
      <c r="BJ36" s="50"/>
      <c r="BK36" s="50"/>
      <c r="BL36" s="50"/>
      <c r="BM36" s="50"/>
      <c r="BN36" s="50"/>
      <c r="BP36" s="50"/>
      <c r="BQ36" s="50"/>
      <c r="BR36" s="50"/>
      <c r="BS36" s="50"/>
      <c r="BT36" s="50"/>
    </row>
    <row r="37" spans="1:72" outlineLevel="1" x14ac:dyDescent="0.25">
      <c r="A37" s="54"/>
      <c r="B37" s="54" t="s">
        <v>80</v>
      </c>
      <c r="C37" s="10" t="s">
        <v>232</v>
      </c>
      <c r="D37" s="54">
        <v>166028718</v>
      </c>
      <c r="E37" s="10">
        <v>11</v>
      </c>
      <c r="F37" s="10">
        <v>64</v>
      </c>
      <c r="G37" s="10">
        <v>30</v>
      </c>
      <c r="I37" s="11">
        <f t="shared" si="0"/>
        <v>13.17169125</v>
      </c>
      <c r="J37" s="12">
        <f t="shared" si="1"/>
        <v>0.16924546752207048</v>
      </c>
      <c r="K37" s="12">
        <f t="shared" si="2"/>
        <v>7.1565016842447704E-2</v>
      </c>
      <c r="L37" s="12">
        <f t="shared" si="3"/>
        <v>5.3649224708221865E-2</v>
      </c>
      <c r="M37" s="12">
        <f t="shared" si="4"/>
        <v>9.7680450679622791E-2</v>
      </c>
      <c r="N37" s="54">
        <f t="shared" si="5"/>
        <v>11881848</v>
      </c>
      <c r="O37" s="12">
        <v>16</v>
      </c>
      <c r="P37" s="13">
        <v>163021167</v>
      </c>
      <c r="Q37" s="13">
        <v>2547205.734375</v>
      </c>
      <c r="R37" s="13">
        <v>42107.53125</v>
      </c>
      <c r="S37" s="14">
        <v>28099608</v>
      </c>
      <c r="T37" s="14">
        <v>8907312</v>
      </c>
      <c r="U37" s="14">
        <v>2974536</v>
      </c>
      <c r="V37" s="14">
        <v>16217760</v>
      </c>
      <c r="W37" s="15">
        <v>76.231182812499995</v>
      </c>
      <c r="X37" s="15">
        <v>78.983845312499994</v>
      </c>
      <c r="Y37" s="15">
        <v>38.016212500000002</v>
      </c>
      <c r="Z37" s="15">
        <v>43.728549999999998</v>
      </c>
      <c r="AA37" s="15">
        <v>46.500157812499999</v>
      </c>
      <c r="AB37" s="16">
        <v>15006.1</v>
      </c>
      <c r="AC37" s="16">
        <v>0</v>
      </c>
      <c r="AD37" s="16">
        <v>283.27800000000002</v>
      </c>
      <c r="AE37" s="16">
        <v>0</v>
      </c>
      <c r="AG37" s="11" t="str">
        <f t="shared" si="6"/>
        <v>·</v>
      </c>
      <c r="AH37" s="12" t="str">
        <f t="shared" si="7"/>
        <v>·</v>
      </c>
      <c r="AI37" s="12" t="str">
        <f t="shared" si="8"/>
        <v>·</v>
      </c>
      <c r="AJ37" s="12" t="str">
        <f t="shared" si="9"/>
        <v>·</v>
      </c>
      <c r="AK37" s="12" t="str">
        <f t="shared" si="10"/>
        <v>·</v>
      </c>
      <c r="AL37" s="54" t="str">
        <f t="shared" si="11"/>
        <v/>
      </c>
      <c r="AM37" s="12">
        <v>16</v>
      </c>
      <c r="AN37" s="13"/>
      <c r="AO37" s="13"/>
      <c r="AP37" s="13"/>
      <c r="AQ37" s="14"/>
      <c r="AR37" s="14"/>
      <c r="AS37" s="14"/>
      <c r="AT37" s="14"/>
      <c r="AU37" s="15"/>
      <c r="AV37" s="15"/>
      <c r="AW37" s="15"/>
      <c r="AX37" s="15"/>
      <c r="AY37" s="15"/>
      <c r="AZ37" s="16"/>
      <c r="BA37" s="16"/>
      <c r="BB37" s="16"/>
      <c r="BC37" s="16"/>
      <c r="BE37" s="51" t="e">
        <f t="shared" si="12"/>
        <v>#VALUE!</v>
      </c>
      <c r="BF37" s="17" t="e">
        <f t="shared" si="13"/>
        <v>#DIV/0!</v>
      </c>
      <c r="BG37" s="17" t="e">
        <f t="shared" si="14"/>
        <v>#VALUE!</v>
      </c>
      <c r="BH37" s="17"/>
      <c r="BJ37" s="51"/>
      <c r="BK37" s="51"/>
      <c r="BL37" s="51"/>
      <c r="BM37" s="51"/>
      <c r="BN37" s="51"/>
      <c r="BP37" s="51"/>
      <c r="BQ37" s="51"/>
      <c r="BR37" s="51"/>
      <c r="BS37" s="51"/>
      <c r="BT37" s="51"/>
    </row>
    <row r="38" spans="1:72" outlineLevel="1" x14ac:dyDescent="0.25">
      <c r="A38" s="18"/>
      <c r="B38" s="18" t="s">
        <v>80</v>
      </c>
      <c r="C38" s="19" t="s">
        <v>233</v>
      </c>
      <c r="D38" s="18">
        <v>166028718</v>
      </c>
      <c r="E38" s="19">
        <v>11</v>
      </c>
      <c r="F38" s="19">
        <v>64</v>
      </c>
      <c r="G38" s="19">
        <v>30</v>
      </c>
      <c r="I38" s="20">
        <f t="shared" si="0"/>
        <v>22.118077499999998</v>
      </c>
      <c r="J38" s="21">
        <f t="shared" si="1"/>
        <v>0.28419921907726831</v>
      </c>
      <c r="K38" s="21">
        <f t="shared" si="2"/>
        <v>9.6924918736046611E-2</v>
      </c>
      <c r="L38" s="21">
        <f t="shared" si="3"/>
        <v>7.9009126601820773E-2</v>
      </c>
      <c r="M38" s="21">
        <f t="shared" si="4"/>
        <v>0.18727430034122169</v>
      </c>
      <c r="N38" s="18">
        <f t="shared" si="5"/>
        <v>16092320</v>
      </c>
      <c r="O38" s="21">
        <v>16</v>
      </c>
      <c r="P38" s="22">
        <v>167227668</v>
      </c>
      <c r="Q38" s="22">
        <v>2612932.3125</v>
      </c>
      <c r="R38" s="22">
        <v>46854.9375</v>
      </c>
      <c r="S38" s="23">
        <v>47185232</v>
      </c>
      <c r="T38" s="23">
        <v>13117784</v>
      </c>
      <c r="U38" s="23">
        <v>2974536</v>
      </c>
      <c r="V38" s="23">
        <v>31092912</v>
      </c>
      <c r="W38" s="24">
        <v>77.427364062500004</v>
      </c>
      <c r="X38" s="24">
        <v>80.206965624999995</v>
      </c>
      <c r="Y38" s="24">
        <v>39.7853953125</v>
      </c>
      <c r="Z38" s="24">
        <v>44.5117046875</v>
      </c>
      <c r="AA38" s="24">
        <v>47.856745312500003</v>
      </c>
      <c r="AB38" s="25">
        <v>15689.5</v>
      </c>
      <c r="AC38" s="25">
        <v>0</v>
      </c>
      <c r="AD38" s="25">
        <v>292.75</v>
      </c>
      <c r="AE38" s="25">
        <v>0</v>
      </c>
      <c r="AG38" s="20" t="str">
        <f t="shared" si="6"/>
        <v>·</v>
      </c>
      <c r="AH38" s="21" t="str">
        <f t="shared" si="7"/>
        <v>·</v>
      </c>
      <c r="AI38" s="21" t="str">
        <f t="shared" si="8"/>
        <v>·</v>
      </c>
      <c r="AJ38" s="21" t="str">
        <f t="shared" si="9"/>
        <v>·</v>
      </c>
      <c r="AK38" s="21" t="str">
        <f t="shared" si="10"/>
        <v>·</v>
      </c>
      <c r="AL38" s="18" t="str">
        <f t="shared" si="11"/>
        <v/>
      </c>
      <c r="AM38" s="21">
        <v>16</v>
      </c>
      <c r="AN38" s="22"/>
      <c r="AO38" s="22"/>
      <c r="AP38" s="22"/>
      <c r="AQ38" s="23"/>
      <c r="AR38" s="23"/>
      <c r="AS38" s="23"/>
      <c r="AT38" s="23"/>
      <c r="AU38" s="24"/>
      <c r="AV38" s="24"/>
      <c r="AW38" s="24"/>
      <c r="AX38" s="24"/>
      <c r="AY38" s="24"/>
      <c r="AZ38" s="25"/>
      <c r="BA38" s="25"/>
      <c r="BB38" s="25"/>
      <c r="BC38" s="25"/>
      <c r="BE38" s="50" t="e">
        <f t="shared" si="12"/>
        <v>#VALUE!</v>
      </c>
      <c r="BF38" s="26" t="e">
        <f t="shared" si="13"/>
        <v>#DIV/0!</v>
      </c>
      <c r="BG38" s="26" t="e">
        <f t="shared" si="14"/>
        <v>#VALUE!</v>
      </c>
      <c r="BH38" s="26"/>
      <c r="BJ38" s="50"/>
      <c r="BK38" s="50"/>
      <c r="BL38" s="50"/>
      <c r="BM38" s="50"/>
      <c r="BN38" s="50"/>
      <c r="BP38" s="50"/>
      <c r="BQ38" s="50"/>
      <c r="BR38" s="50"/>
      <c r="BS38" s="50"/>
      <c r="BT38" s="50"/>
    </row>
    <row r="39" spans="1:72" outlineLevel="1" x14ac:dyDescent="0.25">
      <c r="A39" s="27"/>
      <c r="B39" s="27" t="s">
        <v>80</v>
      </c>
      <c r="C39" s="28" t="s">
        <v>234</v>
      </c>
      <c r="D39" s="27">
        <v>166028718</v>
      </c>
      <c r="E39" s="28">
        <v>11</v>
      </c>
      <c r="F39" s="28">
        <v>64</v>
      </c>
      <c r="G39" s="28">
        <v>30</v>
      </c>
      <c r="I39" s="29">
        <f t="shared" si="0"/>
        <v>40.559006250000003</v>
      </c>
      <c r="J39" s="30">
        <f t="shared" si="1"/>
        <v>0.5211500819996695</v>
      </c>
      <c r="K39" s="30">
        <f t="shared" si="2"/>
        <v>0.15562922072312815</v>
      </c>
      <c r="L39" s="30">
        <f t="shared" si="3"/>
        <v>0.11992359056822929</v>
      </c>
      <c r="M39" s="30">
        <f t="shared" si="4"/>
        <v>0.36552086127654132</v>
      </c>
      <c r="N39" s="27">
        <f t="shared" si="5"/>
        <v>25838920</v>
      </c>
      <c r="O39" s="30">
        <v>16</v>
      </c>
      <c r="P39" s="31">
        <v>163674339</v>
      </c>
      <c r="Q39" s="31">
        <v>2557411.546875</v>
      </c>
      <c r="R39" s="31">
        <v>18643.625</v>
      </c>
      <c r="S39" s="32">
        <v>86525880</v>
      </c>
      <c r="T39" s="32">
        <v>19910760</v>
      </c>
      <c r="U39" s="32">
        <v>5928160</v>
      </c>
      <c r="V39" s="32">
        <v>60686960</v>
      </c>
      <c r="W39" s="33">
        <v>78.2997765625</v>
      </c>
      <c r="X39" s="33">
        <v>81.903846874999999</v>
      </c>
      <c r="Y39" s="33">
        <v>41.362742187499997</v>
      </c>
      <c r="Z39" s="33">
        <v>45.498707812500001</v>
      </c>
      <c r="AA39" s="33">
        <v>49.189432812500002</v>
      </c>
      <c r="AB39" s="34">
        <v>16656.400000000001</v>
      </c>
      <c r="AC39" s="34">
        <v>0</v>
      </c>
      <c r="AD39" s="34">
        <v>293.52999999999997</v>
      </c>
      <c r="AE39" s="34">
        <v>0</v>
      </c>
      <c r="AG39" s="29" t="str">
        <f t="shared" si="6"/>
        <v>·</v>
      </c>
      <c r="AH39" s="30" t="str">
        <f t="shared" si="7"/>
        <v>·</v>
      </c>
      <c r="AI39" s="30" t="str">
        <f t="shared" si="8"/>
        <v>·</v>
      </c>
      <c r="AJ39" s="30" t="str">
        <f t="shared" si="9"/>
        <v>·</v>
      </c>
      <c r="AK39" s="30" t="str">
        <f t="shared" si="10"/>
        <v>·</v>
      </c>
      <c r="AL39" s="27" t="str">
        <f t="shared" si="11"/>
        <v/>
      </c>
      <c r="AM39" s="30">
        <v>16</v>
      </c>
      <c r="AN39" s="31"/>
      <c r="AO39" s="31"/>
      <c r="AP39" s="31"/>
      <c r="AQ39" s="32"/>
      <c r="AR39" s="32"/>
      <c r="AS39" s="32"/>
      <c r="AT39" s="32"/>
      <c r="AU39" s="33"/>
      <c r="AV39" s="33"/>
      <c r="AW39" s="33"/>
      <c r="AX39" s="33"/>
      <c r="AY39" s="33"/>
      <c r="AZ39" s="34"/>
      <c r="BA39" s="34"/>
      <c r="BB39" s="34"/>
      <c r="BC39" s="34"/>
      <c r="BE39" s="35" t="e">
        <f t="shared" si="12"/>
        <v>#VALUE!</v>
      </c>
      <c r="BF39" s="36" t="e">
        <f t="shared" si="13"/>
        <v>#DIV/0!</v>
      </c>
      <c r="BG39" s="36" t="e">
        <f t="shared" si="14"/>
        <v>#VALUE!</v>
      </c>
      <c r="BH39" s="36"/>
      <c r="BJ39" s="35"/>
      <c r="BK39" s="35"/>
      <c r="BL39" s="35"/>
      <c r="BM39" s="35"/>
      <c r="BN39" s="35"/>
      <c r="BP39" s="35"/>
      <c r="BQ39" s="35"/>
      <c r="BR39" s="35"/>
      <c r="BS39" s="35"/>
      <c r="BT39" s="35"/>
    </row>
    <row r="40" spans="1:72" x14ac:dyDescent="0.25">
      <c r="B40" s="47" t="s">
        <v>14</v>
      </c>
      <c r="J40" s="48">
        <f>AVERAGE(J5:J24)</f>
        <v>0.3970568483008749</v>
      </c>
      <c r="K40" s="48">
        <f>AVERAGE(K5:K24)</f>
        <v>0.12891143108403225</v>
      </c>
      <c r="L40" s="48">
        <f>AVERAGE(L5:L24)</f>
        <v>9.055850035744932E-2</v>
      </c>
      <c r="M40" s="48">
        <f>AVERAGE(M5:M24)</f>
        <v>0.26814541721684265</v>
      </c>
      <c r="AH40" s="48" t="e">
        <f>AVERAGE(AH5:AH24)</f>
        <v>#DIV/0!</v>
      </c>
      <c r="AI40" s="48" t="e">
        <f>AVERAGE(AI5:AI24)</f>
        <v>#DIV/0!</v>
      </c>
      <c r="AJ40" s="48" t="e">
        <f>AVERAGE(AJ5:AJ24)</f>
        <v>#DIV/0!</v>
      </c>
      <c r="AK40" s="48" t="e">
        <f>AVERAGE(AK5:AK24)</f>
        <v>#DIV/0!</v>
      </c>
      <c r="BE40" s="52" t="e">
        <f t="shared" si="12"/>
        <v>#DIV/0!</v>
      </c>
      <c r="BH40" s="55" t="e">
        <f>AVERAGE(BH5:BH24)</f>
        <v>#VALUE!</v>
      </c>
      <c r="BJ40" s="52" t="e">
        <f>AVERAGE(BJ5:BJ24)</f>
        <v>#DIV/0!</v>
      </c>
      <c r="BK40" s="52" t="e">
        <f>AVERAGE(BK5:BK24)</f>
        <v>#DIV/0!</v>
      </c>
      <c r="BL40" s="52" t="e">
        <f>AVERAGE(BL5:BL24)</f>
        <v>#DIV/0!</v>
      </c>
      <c r="BM40" s="52" t="e">
        <f>AVERAGE(BM5:BM24)</f>
        <v>#DIV/0!</v>
      </c>
      <c r="BN40" s="52" t="e">
        <f>AVERAGE(BN5:BN24)</f>
        <v>#DIV/0!</v>
      </c>
      <c r="BP40" s="52" t="e">
        <f>AVERAGE(BP5:BP24)</f>
        <v>#DIV/0!</v>
      </c>
      <c r="BQ40" s="52" t="e">
        <f>AVERAGE(BQ5:BQ24)</f>
        <v>#DIV/0!</v>
      </c>
      <c r="BR40" s="52" t="e">
        <f>AVERAGE(BR5:BR24)</f>
        <v>#DIV/0!</v>
      </c>
      <c r="BS40" s="52" t="e">
        <f>AVERAGE(BS5:BS24)</f>
        <v>#DIV/0!</v>
      </c>
      <c r="BT40" s="52" t="e">
        <f>AVERAGE(BT5:BT24)</f>
        <v>#DIV/0!</v>
      </c>
    </row>
    <row r="41" spans="1:72" x14ac:dyDescent="0.25">
      <c r="B41" s="47" t="s">
        <v>15</v>
      </c>
      <c r="J41" s="48">
        <f>AVERAGE(J25:J29)</f>
        <v>0.79475452648831202</v>
      </c>
      <c r="K41" s="48">
        <f>AVERAGE(K25:K29)</f>
        <v>0.12230674973220154</v>
      </c>
      <c r="L41" s="48">
        <f>AVERAGE(L25:L29)</f>
        <v>8.9540770003563239E-2</v>
      </c>
      <c r="M41" s="48">
        <f>AVERAGE(M25:M29)</f>
        <v>0.67244777675611045</v>
      </c>
      <c r="AH41" s="48" t="e">
        <f>AVERAGE(AH25:AH29)</f>
        <v>#DIV/0!</v>
      </c>
      <c r="AI41" s="48" t="e">
        <f>AVERAGE(AI25:AI29)</f>
        <v>#DIV/0!</v>
      </c>
      <c r="AJ41" s="48" t="e">
        <f>AVERAGE(AJ25:AJ29)</f>
        <v>#DIV/0!</v>
      </c>
      <c r="AK41" s="48" t="e">
        <f>AVERAGE(AK25:AK29)</f>
        <v>#DIV/0!</v>
      </c>
      <c r="BE41" s="52" t="e">
        <f t="shared" si="12"/>
        <v>#DIV/0!</v>
      </c>
      <c r="BH41" s="55" t="e">
        <f>AVERAGE(BH25:BH29)</f>
        <v>#VALUE!</v>
      </c>
      <c r="BJ41" s="52" t="e">
        <f>AVERAGE(BJ25:BJ29)</f>
        <v>#DIV/0!</v>
      </c>
      <c r="BK41" s="52" t="e">
        <f>AVERAGE(BK25:BK29)</f>
        <v>#DIV/0!</v>
      </c>
      <c r="BL41" s="52" t="e">
        <f>AVERAGE(BL25:BL29)</f>
        <v>#DIV/0!</v>
      </c>
      <c r="BM41" s="52" t="e">
        <f>AVERAGE(BM25:BM29)</f>
        <v>#DIV/0!</v>
      </c>
      <c r="BN41" s="52" t="e">
        <f>AVERAGE(BN25:BN29)</f>
        <v>#DIV/0!</v>
      </c>
      <c r="BP41" s="52" t="e">
        <f>AVERAGE(BP25:BP29)</f>
        <v>#DIV/0!</v>
      </c>
      <c r="BQ41" s="52" t="e">
        <f>AVERAGE(BQ25:BQ29)</f>
        <v>#DIV/0!</v>
      </c>
      <c r="BR41" s="52" t="e">
        <f>AVERAGE(BR25:BR29)</f>
        <v>#DIV/0!</v>
      </c>
      <c r="BS41" s="52" t="e">
        <f>AVERAGE(BS25:BS29)</f>
        <v>#DIV/0!</v>
      </c>
      <c r="BT41" s="52" t="e">
        <f>AVERAGE(BT25:BT29)</f>
        <v>#DIV/0!</v>
      </c>
    </row>
    <row r="42" spans="1:72" x14ac:dyDescent="0.25">
      <c r="B42" s="47" t="s">
        <v>16</v>
      </c>
      <c r="J42" s="48">
        <f>AVERAGE(J30:J39)</f>
        <v>0.21716917585117637</v>
      </c>
      <c r="K42" s="48">
        <f>AVERAGE(K30:K39)</f>
        <v>8.0536160382421632E-2</v>
      </c>
      <c r="L42" s="48">
        <f>AVERAGE(L30:L39)</f>
        <v>6.0503125807902992E-2</v>
      </c>
      <c r="M42" s="48">
        <f>AVERAGE(M30:M39)</f>
        <v>0.13663301546875475</v>
      </c>
      <c r="AH42" s="48" t="e">
        <f>AVERAGE(AH30:AH39)</f>
        <v>#DIV/0!</v>
      </c>
      <c r="AI42" s="48" t="e">
        <f>AVERAGE(AI30:AI39)</f>
        <v>#DIV/0!</v>
      </c>
      <c r="AJ42" s="48" t="e">
        <f>AVERAGE(AJ30:AJ39)</f>
        <v>#DIV/0!</v>
      </c>
      <c r="AK42" s="48" t="e">
        <f>AVERAGE(AK30:AK39)</f>
        <v>#DIV/0!</v>
      </c>
      <c r="BE42" s="52" t="e">
        <f t="shared" si="12"/>
        <v>#DIV/0!</v>
      </c>
      <c r="BH42" s="55" t="e">
        <f>AVERAGE(BH30:BH39)</f>
        <v>#VALUE!</v>
      </c>
      <c r="BJ42" s="52" t="e">
        <f>AVERAGE(BJ30:BJ39)</f>
        <v>#DIV/0!</v>
      </c>
      <c r="BK42" s="52" t="e">
        <f>AVERAGE(BK30:BK39)</f>
        <v>#DIV/0!</v>
      </c>
      <c r="BL42" s="52" t="e">
        <f>AVERAGE(BL30:BL39)</f>
        <v>#DIV/0!</v>
      </c>
      <c r="BM42" s="52" t="e">
        <f>AVERAGE(BM30:BM39)</f>
        <v>#DIV/0!</v>
      </c>
      <c r="BN42" s="52" t="e">
        <f>AVERAGE(BN30:BN39)</f>
        <v>#DIV/0!</v>
      </c>
      <c r="BP42" s="52" t="e">
        <f>AVERAGE(BP30:BP39)</f>
        <v>#DIV/0!</v>
      </c>
      <c r="BQ42" s="52" t="e">
        <f>AVERAGE(BQ30:BQ39)</f>
        <v>#DIV/0!</v>
      </c>
      <c r="BR42" s="52" t="e">
        <f>AVERAGE(BR30:BR39)</f>
        <v>#DIV/0!</v>
      </c>
      <c r="BS42" s="52" t="e">
        <f>AVERAGE(BS30:BS39)</f>
        <v>#DIV/0!</v>
      </c>
      <c r="BT42" s="52" t="e">
        <f>AVERAGE(BT30:BT39)</f>
        <v>#DIV/0!</v>
      </c>
    </row>
    <row r="43" spans="1:72" x14ac:dyDescent="0.25">
      <c r="B43" s="47" t="s">
        <v>17</v>
      </c>
      <c r="J43" s="48">
        <f>AVERAGE(J5:J39)</f>
        <v>0.40247432448488069</v>
      </c>
      <c r="K43" s="48">
        <f>AVERAGE(K5:K39)</f>
        <v>0.11414639926188197</v>
      </c>
      <c r="L43" s="48">
        <f>AVERAGE(L5:L39)</f>
        <v>8.1825860435595213E-2</v>
      </c>
      <c r="M43" s="48">
        <f>AVERAGE(M5:M39)</f>
        <v>0.28832792522299866</v>
      </c>
      <c r="AH43" s="48" t="e">
        <f>AVERAGE(AH5:AH39)</f>
        <v>#DIV/0!</v>
      </c>
      <c r="AI43" s="48" t="e">
        <f>AVERAGE(AI5:AI39)</f>
        <v>#DIV/0!</v>
      </c>
      <c r="AJ43" s="48" t="e">
        <f>AVERAGE(AJ5:AJ39)</f>
        <v>#DIV/0!</v>
      </c>
      <c r="AK43" s="48" t="e">
        <f>AVERAGE(AK5:AK39)</f>
        <v>#DIV/0!</v>
      </c>
      <c r="BE43" s="52" t="e">
        <f t="shared" si="12"/>
        <v>#DIV/0!</v>
      </c>
      <c r="BH43" s="55" t="e">
        <f>AVERAGE(BH5:BH39)</f>
        <v>#VALUE!</v>
      </c>
      <c r="BJ43" s="52" t="e">
        <f>AVERAGE(BJ5:BJ39)</f>
        <v>#DIV/0!</v>
      </c>
      <c r="BK43" s="52" t="e">
        <f>AVERAGE(BK5:BK39)</f>
        <v>#DIV/0!</v>
      </c>
      <c r="BL43" s="52" t="e">
        <f>AVERAGE(BL5:BL39)</f>
        <v>#DIV/0!</v>
      </c>
      <c r="BM43" s="52" t="e">
        <f>AVERAGE(BM5:BM39)</f>
        <v>#DIV/0!</v>
      </c>
      <c r="BN43" s="52" t="e">
        <f>AVERAGE(BN5:BN39)</f>
        <v>#DIV/0!</v>
      </c>
      <c r="BP43" s="52" t="e">
        <f>AVERAGE(BP5:BP39)</f>
        <v>#DIV/0!</v>
      </c>
      <c r="BQ43" s="52" t="e">
        <f>AVERAGE(BQ5:BQ39)</f>
        <v>#DIV/0!</v>
      </c>
      <c r="BR43" s="52" t="e">
        <f>AVERAGE(BR5:BR39)</f>
        <v>#DIV/0!</v>
      </c>
      <c r="BS43" s="52" t="e">
        <f>AVERAGE(BS5:BS39)</f>
        <v>#DIV/0!</v>
      </c>
      <c r="BT43" s="52" t="e">
        <f>AVERAGE(BT5:BT39)</f>
        <v>#DIV/0!</v>
      </c>
    </row>
    <row r="44" spans="1:72" hidden="1" outlineLevel="2" x14ac:dyDescent="0.25">
      <c r="A44" s="47" t="s">
        <v>237</v>
      </c>
      <c r="B44" s="47" t="s">
        <v>238</v>
      </c>
      <c r="AB44" s="49">
        <f>SUM(AB5:AB24,AB25:AB29,AB30:AB39)</f>
        <v>1031067.0000000001</v>
      </c>
      <c r="AC44" s="49">
        <f>SUM(AC5:AC24,AC25:AC29,AC30:AC39)</f>
        <v>0</v>
      </c>
      <c r="AD44" s="49">
        <f>SUM(AD5:AD24,AD25:AD29,AD30:AD39)</f>
        <v>14664.868999999999</v>
      </c>
      <c r="AE44" s="49">
        <f>SUM(AE5:AE24,AE25:AE29,AE30:AE39)</f>
        <v>0</v>
      </c>
      <c r="AZ44" s="49">
        <f>SUM(AZ5:AZ24,AZ25:AZ29,AZ30:AZ39)</f>
        <v>0</v>
      </c>
      <c r="BA44" s="49">
        <f>SUM(BA5:BA24,BA25:BA29,BA30:BA39)</f>
        <v>0</v>
      </c>
      <c r="BB44" s="49">
        <f>SUM(BB5:BB24,BB25:BB29,BB30:BB39)</f>
        <v>0</v>
      </c>
      <c r="BC44" s="49">
        <f>SUM(BC5:BC24,BC25:BC29,BC30:BC39)</f>
        <v>0</v>
      </c>
    </row>
    <row r="45" spans="1:72" hidden="1" outlineLevel="2" x14ac:dyDescent="0.25">
      <c r="B45" s="47" t="s">
        <v>239</v>
      </c>
      <c r="AZ45" s="55">
        <f>AZ44/AB44</f>
        <v>0</v>
      </c>
      <c r="BA45" s="55" t="e">
        <f>BA44/AC44</f>
        <v>#DIV/0!</v>
      </c>
      <c r="BB45" s="55">
        <f>BB44/AD44</f>
        <v>0</v>
      </c>
      <c r="BC45" s="55" t="e">
        <f>BC44/AE44</f>
        <v>#DIV/0!</v>
      </c>
    </row>
    <row r="46" spans="1:72" hidden="1" outlineLevel="2" x14ac:dyDescent="0.25">
      <c r="B46" s="47" t="s">
        <v>240</v>
      </c>
      <c r="AB46" s="49">
        <f>GEOMEAN(AB5:AB24,AB25:AB29,AB30:AB39)</f>
        <v>27611.932412587601</v>
      </c>
      <c r="AC46" s="49" t="e">
        <f>GEOMEAN(AC5:AC24,AC25:AC29,AC30:AC39)</f>
        <v>#NUM!</v>
      </c>
      <c r="AD46" s="49">
        <f>GEOMEAN(AD5:AD24,AD25:AD29,AD30:AD39)</f>
        <v>408.82942164493755</v>
      </c>
      <c r="AE46" s="49" t="e">
        <f>GEOMEAN(AE5:AE24,AE25:AE29,AE30:AE39)</f>
        <v>#NUM!</v>
      </c>
      <c r="AZ46" s="49" t="e">
        <f>GEOMEAN(AZ5:AZ24,AZ25:AZ29,AZ30:AZ39)</f>
        <v>#NUM!</v>
      </c>
      <c r="BA46" s="49" t="e">
        <f>GEOMEAN(BA5:BA24,BA25:BA29,BA30:BA39)</f>
        <v>#NUM!</v>
      </c>
      <c r="BB46" s="49" t="e">
        <f>GEOMEAN(BB5:BB24,BB25:BB29,BB30:BB39)</f>
        <v>#NUM!</v>
      </c>
      <c r="BC46" s="49" t="e">
        <f>GEOMEAN(BC5:BC24,BC25:BC29,BC30:BC39)</f>
        <v>#NUM!</v>
      </c>
    </row>
    <row r="47" spans="1:72" outlineLevel="2" collapsed="1" x14ac:dyDescent="0.25">
      <c r="B47" s="47" t="s">
        <v>241</v>
      </c>
      <c r="AZ47" s="55" t="e">
        <f>AZ46/AB46</f>
        <v>#NUM!</v>
      </c>
      <c r="BA47" s="55" t="e">
        <f>BA46/AC46</f>
        <v>#NUM!</v>
      </c>
      <c r="BB47" s="55" t="e">
        <f>BB46/AD46</f>
        <v>#NUM!</v>
      </c>
      <c r="BC47" s="55" t="e">
        <f>BC46/AE46</f>
        <v>#NUM!</v>
      </c>
    </row>
  </sheetData>
  <mergeCells count="42">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 ref="AZ2:BA2"/>
    <mergeCell ref="AH2:AK2"/>
    <mergeCell ref="AL2:AL3"/>
    <mergeCell ref="AM2:AM3"/>
    <mergeCell ref="AN2:AN3"/>
    <mergeCell ref="AO2:AO3"/>
    <mergeCell ref="W2:X2"/>
    <mergeCell ref="Y2:AA2"/>
    <mergeCell ref="AB2:AC2"/>
    <mergeCell ref="AD2:AE2"/>
    <mergeCell ref="AG2:AG3"/>
    <mergeCell ref="O2:O3"/>
    <mergeCell ref="P2:P3"/>
    <mergeCell ref="Q2:Q3"/>
    <mergeCell ref="R2:R3"/>
    <mergeCell ref="S2:V2"/>
    <mergeCell ref="F2:F3"/>
    <mergeCell ref="G2:G3"/>
    <mergeCell ref="I2:I3"/>
    <mergeCell ref="J2:M2"/>
    <mergeCell ref="N2:N3"/>
    <mergeCell ref="A2:A3"/>
    <mergeCell ref="B2:B3"/>
    <mergeCell ref="C2:C3"/>
    <mergeCell ref="D2:D3"/>
    <mergeCell ref="E2:E3"/>
  </mergeCells>
  <conditionalFormatting sqref="BE5 BE6 BE7 BE8 BE9 BE10 BE11 BE12 BE13 BE14 BE15 BE16 BE17 BE18 BE19 BE20 BE21 BE22 BE23 BE24 BE25 BE26 BE27 BE28 BE29 BE30 BE31 BE32 BE33 BE34 BE35 BE36 BE37 BE38 BE39 BE40 BE41 BE42 BE43">
    <cfRule type="cellIs" dxfId="59" priority="1" operator="greaterThanOrEqual">
      <formula>1.03</formula>
    </cfRule>
    <cfRule type="cellIs" dxfId="58" priority="2"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57" priority="21" operator="greaterThanOrEqual">
      <formula>0.03</formula>
    </cfRule>
    <cfRule type="cellIs" dxfId="56" priority="2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55" priority="19" operator="greaterThanOrEqual">
      <formula>0.03</formula>
    </cfRule>
    <cfRule type="cellIs" dxfId="54" priority="20"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53" priority="5" operator="greaterThanOrEqual">
      <formula>0.03</formula>
    </cfRule>
    <cfRule type="cellIs" dxfId="52" priority="6"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51" priority="9" operator="greaterThanOrEqual">
      <formula>0.03</formula>
    </cfRule>
    <cfRule type="cellIs" dxfId="50"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49" priority="11" operator="greaterThanOrEqual">
      <formula>0.03</formula>
    </cfRule>
    <cfRule type="cellIs" dxfId="48" priority="12"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47" priority="7" operator="greaterThanOrEqual">
      <formula>0.03</formula>
    </cfRule>
    <cfRule type="cellIs" dxfId="46" priority="8"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45" priority="13" operator="greaterThanOrEqual">
      <formula>0.03</formula>
    </cfRule>
    <cfRule type="cellIs" dxfId="44" priority="14"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43" priority="3" operator="greaterThanOrEqual">
      <formula>0.03</formula>
    </cfRule>
    <cfRule type="cellIs" dxfId="42" priority="4"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41" priority="15" operator="greaterThanOrEqual">
      <formula>0.03</formula>
    </cfRule>
    <cfRule type="cellIs" dxfId="40" priority="16"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39" priority="17" operator="greaterThanOrEqual">
      <formula>0.03</formula>
    </cfRule>
    <cfRule type="cellIs" dxfId="38" priority="18" operator="lessThanOrEqual">
      <formula>-0.03</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X286"/>
  <sheetViews>
    <sheetView workbookViewId="0"/>
  </sheetViews>
  <sheetFormatPr defaultRowHeight="15" x14ac:dyDescent="0.25"/>
  <sheetData>
    <row r="1" spans="1:2" x14ac:dyDescent="0.25">
      <c r="A1" t="s">
        <v>242</v>
      </c>
      <c r="B1">
        <v>1</v>
      </c>
    </row>
    <row r="2" spans="1:2" x14ac:dyDescent="0.25">
      <c r="A2" t="s">
        <v>243</v>
      </c>
      <c r="B2">
        <v>2</v>
      </c>
    </row>
    <row r="3" spans="1:2" x14ac:dyDescent="0.25">
      <c r="A3" t="s">
        <v>244</v>
      </c>
      <c r="B3">
        <v>3</v>
      </c>
    </row>
    <row r="4" spans="1:2" x14ac:dyDescent="0.25">
      <c r="A4" t="s">
        <v>245</v>
      </c>
      <c r="B4">
        <v>4</v>
      </c>
    </row>
    <row r="5" spans="1:2" x14ac:dyDescent="0.25">
      <c r="A5" t="s">
        <v>246</v>
      </c>
      <c r="B5">
        <v>5</v>
      </c>
    </row>
    <row r="6" spans="1:2" x14ac:dyDescent="0.25">
      <c r="A6" t="s">
        <v>247</v>
      </c>
      <c r="B6">
        <v>6</v>
      </c>
    </row>
    <row r="7" spans="1:2" x14ac:dyDescent="0.25">
      <c r="A7" t="s">
        <v>248</v>
      </c>
      <c r="B7">
        <v>7</v>
      </c>
    </row>
    <row r="8" spans="1:2" x14ac:dyDescent="0.25">
      <c r="A8" t="s">
        <v>249</v>
      </c>
      <c r="B8">
        <v>9</v>
      </c>
    </row>
    <row r="9" spans="1:2" x14ac:dyDescent="0.25">
      <c r="A9" t="s">
        <v>250</v>
      </c>
      <c r="B9">
        <v>10</v>
      </c>
    </row>
    <row r="10" spans="1:2" x14ac:dyDescent="0.25">
      <c r="A10" t="s">
        <v>251</v>
      </c>
      <c r="B10">
        <v>11</v>
      </c>
    </row>
    <row r="11" spans="1:2" x14ac:dyDescent="0.25">
      <c r="A11" t="s">
        <v>252</v>
      </c>
      <c r="B11">
        <v>12</v>
      </c>
    </row>
    <row r="12" spans="1:2" x14ac:dyDescent="0.25">
      <c r="A12" t="s">
        <v>253</v>
      </c>
      <c r="B12">
        <v>13</v>
      </c>
    </row>
    <row r="13" spans="1:2" x14ac:dyDescent="0.25">
      <c r="A13" t="s">
        <v>254</v>
      </c>
      <c r="B13">
        <v>14</v>
      </c>
    </row>
    <row r="14" spans="1:2" x14ac:dyDescent="0.25">
      <c r="A14" t="s">
        <v>255</v>
      </c>
      <c r="B14">
        <v>15</v>
      </c>
    </row>
    <row r="15" spans="1:2" x14ac:dyDescent="0.25">
      <c r="A15" t="s">
        <v>256</v>
      </c>
      <c r="B15">
        <v>16</v>
      </c>
    </row>
    <row r="16" spans="1:2" x14ac:dyDescent="0.25">
      <c r="A16" t="s">
        <v>257</v>
      </c>
      <c r="B16">
        <v>17</v>
      </c>
    </row>
    <row r="17" spans="1:2" x14ac:dyDescent="0.25">
      <c r="A17" t="s">
        <v>258</v>
      </c>
      <c r="B17">
        <v>18</v>
      </c>
    </row>
    <row r="18" spans="1:2" x14ac:dyDescent="0.25">
      <c r="A18" t="s">
        <v>259</v>
      </c>
      <c r="B18">
        <v>19</v>
      </c>
    </row>
    <row r="19" spans="1:2" x14ac:dyDescent="0.25">
      <c r="A19" t="s">
        <v>260</v>
      </c>
      <c r="B19">
        <v>20</v>
      </c>
    </row>
    <row r="20" spans="1:2" x14ac:dyDescent="0.25">
      <c r="A20" t="s">
        <v>261</v>
      </c>
      <c r="B20">
        <v>21</v>
      </c>
    </row>
    <row r="21" spans="1:2" x14ac:dyDescent="0.25">
      <c r="A21" t="s">
        <v>262</v>
      </c>
      <c r="B21">
        <v>22</v>
      </c>
    </row>
    <row r="22" spans="1:2" x14ac:dyDescent="0.25">
      <c r="A22" t="s">
        <v>263</v>
      </c>
      <c r="B22">
        <v>23</v>
      </c>
    </row>
    <row r="23" spans="1:2" x14ac:dyDescent="0.25">
      <c r="A23" t="s">
        <v>264</v>
      </c>
      <c r="B23">
        <v>24</v>
      </c>
    </row>
    <row r="24" spans="1:2" x14ac:dyDescent="0.25">
      <c r="A24" t="s">
        <v>265</v>
      </c>
      <c r="B24">
        <v>25</v>
      </c>
    </row>
    <row r="25" spans="1:2" x14ac:dyDescent="0.25">
      <c r="A25" t="s">
        <v>266</v>
      </c>
      <c r="B25">
        <v>26</v>
      </c>
    </row>
    <row r="26" spans="1:2" x14ac:dyDescent="0.25">
      <c r="A26" t="s">
        <v>267</v>
      </c>
      <c r="B26">
        <v>27</v>
      </c>
    </row>
    <row r="27" spans="1:2" x14ac:dyDescent="0.25">
      <c r="A27" t="s">
        <v>268</v>
      </c>
      <c r="B27">
        <v>28</v>
      </c>
    </row>
    <row r="28" spans="1:2" x14ac:dyDescent="0.25">
      <c r="A28" t="s">
        <v>269</v>
      </c>
      <c r="B28">
        <v>29</v>
      </c>
    </row>
    <row r="29" spans="1:2" x14ac:dyDescent="0.25">
      <c r="A29" t="s">
        <v>270</v>
      </c>
      <c r="B29">
        <v>30</v>
      </c>
    </row>
    <row r="30" spans="1:2" x14ac:dyDescent="0.25">
      <c r="A30" t="s">
        <v>271</v>
      </c>
      <c r="B30">
        <v>31</v>
      </c>
    </row>
    <row r="31" spans="1:2" x14ac:dyDescent="0.25">
      <c r="A31" t="s">
        <v>272</v>
      </c>
      <c r="B31">
        <v>33</v>
      </c>
    </row>
    <row r="32" spans="1:2" x14ac:dyDescent="0.25">
      <c r="A32" t="s">
        <v>273</v>
      </c>
      <c r="B32">
        <v>34</v>
      </c>
    </row>
    <row r="33" spans="1:2" x14ac:dyDescent="0.25">
      <c r="A33" t="s">
        <v>274</v>
      </c>
      <c r="B33">
        <v>35</v>
      </c>
    </row>
    <row r="34" spans="1:2" x14ac:dyDescent="0.25">
      <c r="A34" t="s">
        <v>275</v>
      </c>
      <c r="B34">
        <v>36</v>
      </c>
    </row>
    <row r="35" spans="1:2" x14ac:dyDescent="0.25">
      <c r="A35" t="s">
        <v>276</v>
      </c>
      <c r="B35">
        <v>37</v>
      </c>
    </row>
    <row r="36" spans="1:2" x14ac:dyDescent="0.25">
      <c r="A36" t="s">
        <v>277</v>
      </c>
      <c r="B36">
        <v>38</v>
      </c>
    </row>
    <row r="37" spans="1:2" x14ac:dyDescent="0.25">
      <c r="A37" t="s">
        <v>278</v>
      </c>
      <c r="B37">
        <v>39</v>
      </c>
    </row>
    <row r="38" spans="1:2" x14ac:dyDescent="0.25">
      <c r="A38" t="s">
        <v>279</v>
      </c>
      <c r="B38">
        <v>40</v>
      </c>
    </row>
    <row r="39" spans="1:2" x14ac:dyDescent="0.25">
      <c r="A39" t="s">
        <v>280</v>
      </c>
      <c r="B39">
        <v>41</v>
      </c>
    </row>
    <row r="40" spans="1:2" x14ac:dyDescent="0.25">
      <c r="A40" t="s">
        <v>281</v>
      </c>
      <c r="B40">
        <v>42</v>
      </c>
    </row>
    <row r="41" spans="1:2" x14ac:dyDescent="0.25">
      <c r="A41" t="s">
        <v>282</v>
      </c>
      <c r="B41">
        <v>43</v>
      </c>
    </row>
    <row r="42" spans="1:2" x14ac:dyDescent="0.25">
      <c r="A42" t="s">
        <v>283</v>
      </c>
      <c r="B42">
        <v>44</v>
      </c>
    </row>
    <row r="43" spans="1:2" x14ac:dyDescent="0.25">
      <c r="A43" t="s">
        <v>284</v>
      </c>
      <c r="B43">
        <v>45</v>
      </c>
    </row>
    <row r="44" spans="1:2" x14ac:dyDescent="0.25">
      <c r="A44" t="s">
        <v>285</v>
      </c>
      <c r="B44">
        <v>46</v>
      </c>
    </row>
    <row r="45" spans="1:2" x14ac:dyDescent="0.25">
      <c r="A45" t="s">
        <v>286</v>
      </c>
      <c r="B45">
        <v>47</v>
      </c>
    </row>
    <row r="46" spans="1:2" x14ac:dyDescent="0.25">
      <c r="A46" t="s">
        <v>287</v>
      </c>
      <c r="B46">
        <v>48</v>
      </c>
    </row>
    <row r="47" spans="1:2" x14ac:dyDescent="0.25">
      <c r="A47" t="s">
        <v>288</v>
      </c>
      <c r="B47">
        <v>49</v>
      </c>
    </row>
    <row r="48" spans="1:2" x14ac:dyDescent="0.25">
      <c r="A48" t="s">
        <v>289</v>
      </c>
      <c r="B48">
        <v>50</v>
      </c>
    </row>
    <row r="49" spans="1:2" x14ac:dyDescent="0.25">
      <c r="A49" t="s">
        <v>290</v>
      </c>
      <c r="B49">
        <v>51</v>
      </c>
    </row>
    <row r="50" spans="1:2" x14ac:dyDescent="0.25">
      <c r="A50" t="s">
        <v>291</v>
      </c>
      <c r="B50">
        <v>52</v>
      </c>
    </row>
    <row r="51" spans="1:2" x14ac:dyDescent="0.25">
      <c r="A51" t="s">
        <v>292</v>
      </c>
      <c r="B51">
        <v>53</v>
      </c>
    </row>
    <row r="52" spans="1:2" x14ac:dyDescent="0.25">
      <c r="A52" t="s">
        <v>293</v>
      </c>
      <c r="B52">
        <v>54</v>
      </c>
    </row>
    <row r="53" spans="1:2" x14ac:dyDescent="0.25">
      <c r="A53" t="s">
        <v>294</v>
      </c>
      <c r="B53">
        <v>55</v>
      </c>
    </row>
    <row r="54" spans="1:2" x14ac:dyDescent="0.25">
      <c r="A54" t="s">
        <v>295</v>
      </c>
      <c r="B54">
        <v>57</v>
      </c>
    </row>
    <row r="55" spans="1:2" x14ac:dyDescent="0.25">
      <c r="A55" t="s">
        <v>296</v>
      </c>
      <c r="B55">
        <v>58</v>
      </c>
    </row>
    <row r="56" spans="1:2" x14ac:dyDescent="0.25">
      <c r="A56" t="s">
        <v>297</v>
      </c>
      <c r="B56">
        <v>59</v>
      </c>
    </row>
    <row r="57" spans="1:2" x14ac:dyDescent="0.25">
      <c r="A57" t="s">
        <v>298</v>
      </c>
      <c r="B57">
        <v>60</v>
      </c>
    </row>
    <row r="58" spans="1:2" x14ac:dyDescent="0.25">
      <c r="A58" t="s">
        <v>299</v>
      </c>
      <c r="B58">
        <v>62</v>
      </c>
    </row>
    <row r="59" spans="1:2" x14ac:dyDescent="0.25">
      <c r="A59" t="s">
        <v>300</v>
      </c>
      <c r="B59">
        <v>63</v>
      </c>
    </row>
    <row r="60" spans="1:2" x14ac:dyDescent="0.25">
      <c r="A60" t="s">
        <v>301</v>
      </c>
      <c r="B60">
        <v>64</v>
      </c>
    </row>
    <row r="61" spans="1:2" x14ac:dyDescent="0.25">
      <c r="A61" t="s">
        <v>302</v>
      </c>
      <c r="B61">
        <v>65</v>
      </c>
    </row>
    <row r="62" spans="1:2" x14ac:dyDescent="0.25">
      <c r="A62" t="s">
        <v>303</v>
      </c>
      <c r="B62">
        <v>66</v>
      </c>
    </row>
    <row r="63" spans="1:2" x14ac:dyDescent="0.25">
      <c r="A63" t="s">
        <v>304</v>
      </c>
      <c r="B63">
        <v>68</v>
      </c>
    </row>
    <row r="64" spans="1:2" x14ac:dyDescent="0.25">
      <c r="A64" t="s">
        <v>305</v>
      </c>
      <c r="B64">
        <v>69</v>
      </c>
    </row>
    <row r="65" spans="1:24" x14ac:dyDescent="0.25">
      <c r="A65" t="s">
        <v>306</v>
      </c>
      <c r="B65">
        <v>70</v>
      </c>
    </row>
    <row r="66" spans="1:24" x14ac:dyDescent="0.25">
      <c r="A66" t="s">
        <v>307</v>
      </c>
      <c r="B66">
        <v>71</v>
      </c>
    </row>
    <row r="67" spans="1:24" x14ac:dyDescent="0.25">
      <c r="A67" t="s">
        <v>308</v>
      </c>
      <c r="B67">
        <v>72</v>
      </c>
    </row>
    <row r="68" spans="1:24" x14ac:dyDescent="0.25">
      <c r="A68" t="s">
        <v>309</v>
      </c>
      <c r="B68" t="s">
        <v>310</v>
      </c>
    </row>
    <row r="69" spans="1:24" x14ac:dyDescent="0.25">
      <c r="A69" t="s">
        <v>311</v>
      </c>
      <c r="B69" t="s">
        <v>312</v>
      </c>
    </row>
    <row r="70" spans="1:24" x14ac:dyDescent="0.25">
      <c r="A70" t="s">
        <v>313</v>
      </c>
      <c r="B70" t="s">
        <v>314</v>
      </c>
    </row>
    <row r="71" spans="1:24" x14ac:dyDescent="0.25">
      <c r="A71" t="s">
        <v>315</v>
      </c>
      <c r="B71" t="s">
        <v>316</v>
      </c>
    </row>
    <row r="72" spans="1:24" x14ac:dyDescent="0.25">
      <c r="A72" t="s">
        <v>317</v>
      </c>
      <c r="B72" t="s">
        <v>318</v>
      </c>
    </row>
    <row r="73" spans="1:24" x14ac:dyDescent="0.25">
      <c r="A73" t="s">
        <v>319</v>
      </c>
      <c r="B73" t="s">
        <v>320</v>
      </c>
    </row>
    <row r="74" spans="1:24" x14ac:dyDescent="0.25">
      <c r="A74" t="s">
        <v>321</v>
      </c>
      <c r="B74" t="s">
        <v>322</v>
      </c>
    </row>
    <row r="75" spans="1:24" x14ac:dyDescent="0.25">
      <c r="A75" t="s">
        <v>323</v>
      </c>
      <c r="B75" t="s">
        <v>324</v>
      </c>
    </row>
    <row r="76" spans="1:24" x14ac:dyDescent="0.25">
      <c r="A76" t="s">
        <v>325</v>
      </c>
      <c r="B76" t="s">
        <v>326</v>
      </c>
    </row>
    <row r="77" spans="1:24" x14ac:dyDescent="0.25">
      <c r="A77" t="s">
        <v>327</v>
      </c>
      <c r="B77" t="s">
        <v>119</v>
      </c>
      <c r="C77" t="s">
        <v>109</v>
      </c>
      <c r="D77" t="s">
        <v>64</v>
      </c>
      <c r="E77" t="s">
        <v>98</v>
      </c>
      <c r="F77" t="s">
        <v>127</v>
      </c>
      <c r="G77" t="s">
        <v>123</v>
      </c>
      <c r="H77" t="s">
        <v>85</v>
      </c>
      <c r="I77" t="s">
        <v>83</v>
      </c>
      <c r="J77" t="s">
        <v>100</v>
      </c>
      <c r="K77" t="s">
        <v>117</v>
      </c>
      <c r="L77" t="s">
        <v>105</v>
      </c>
      <c r="M77" t="s">
        <v>47</v>
      </c>
      <c r="N77" t="s">
        <v>60</v>
      </c>
      <c r="O77" t="s">
        <v>51</v>
      </c>
      <c r="P77" t="s">
        <v>63</v>
      </c>
      <c r="Q77" t="s">
        <v>125</v>
      </c>
      <c r="R77" t="s">
        <v>107</v>
      </c>
      <c r="S77" t="s">
        <v>131</v>
      </c>
      <c r="T77" t="s">
        <v>53</v>
      </c>
      <c r="U77" t="s">
        <v>121</v>
      </c>
      <c r="V77" t="s">
        <v>113</v>
      </c>
      <c r="W77" t="s">
        <v>81</v>
      </c>
      <c r="X77" t="s">
        <v>58</v>
      </c>
    </row>
    <row r="78" spans="1:24" x14ac:dyDescent="0.25">
      <c r="A78" t="s">
        <v>328</v>
      </c>
      <c r="B78">
        <v>1</v>
      </c>
    </row>
    <row r="79" spans="1:24" x14ac:dyDescent="0.25">
      <c r="A79" t="s">
        <v>329</v>
      </c>
      <c r="B79">
        <v>2</v>
      </c>
    </row>
    <row r="80" spans="1:24" x14ac:dyDescent="0.25">
      <c r="A80" t="s">
        <v>330</v>
      </c>
      <c r="B80">
        <v>3</v>
      </c>
    </row>
    <row r="81" spans="1:2" x14ac:dyDescent="0.25">
      <c r="A81" t="s">
        <v>331</v>
      </c>
      <c r="B81">
        <v>4</v>
      </c>
    </row>
    <row r="82" spans="1:2" x14ac:dyDescent="0.25">
      <c r="A82" t="s">
        <v>332</v>
      </c>
      <c r="B82">
        <v>5</v>
      </c>
    </row>
    <row r="83" spans="1:2" x14ac:dyDescent="0.25">
      <c r="A83" t="s">
        <v>333</v>
      </c>
      <c r="B83">
        <v>6</v>
      </c>
    </row>
    <row r="84" spans="1:2" x14ac:dyDescent="0.25">
      <c r="A84" t="s">
        <v>334</v>
      </c>
      <c r="B84">
        <v>8</v>
      </c>
    </row>
    <row r="85" spans="1:2" x14ac:dyDescent="0.25">
      <c r="A85" t="s">
        <v>335</v>
      </c>
      <c r="B85">
        <v>9</v>
      </c>
    </row>
    <row r="86" spans="1:2" x14ac:dyDescent="0.25">
      <c r="A86" t="s">
        <v>336</v>
      </c>
      <c r="B86">
        <v>10</v>
      </c>
    </row>
    <row r="87" spans="1:2" x14ac:dyDescent="0.25">
      <c r="A87" t="s">
        <v>337</v>
      </c>
      <c r="B87">
        <v>11</v>
      </c>
    </row>
    <row r="88" spans="1:2" x14ac:dyDescent="0.25">
      <c r="A88" t="s">
        <v>338</v>
      </c>
      <c r="B88">
        <v>12</v>
      </c>
    </row>
    <row r="89" spans="1:2" x14ac:dyDescent="0.25">
      <c r="A89" t="s">
        <v>339</v>
      </c>
      <c r="B89">
        <v>13</v>
      </c>
    </row>
    <row r="90" spans="1:2" x14ac:dyDescent="0.25">
      <c r="A90" t="s">
        <v>340</v>
      </c>
      <c r="B90">
        <v>14</v>
      </c>
    </row>
    <row r="91" spans="1:2" x14ac:dyDescent="0.25">
      <c r="A91" t="s">
        <v>341</v>
      </c>
      <c r="B91">
        <v>15</v>
      </c>
    </row>
    <row r="92" spans="1:2" x14ac:dyDescent="0.25">
      <c r="A92" t="s">
        <v>342</v>
      </c>
      <c r="B92">
        <v>16</v>
      </c>
    </row>
    <row r="93" spans="1:2" x14ac:dyDescent="0.25">
      <c r="A93" t="s">
        <v>343</v>
      </c>
      <c r="B93">
        <v>17</v>
      </c>
    </row>
    <row r="94" spans="1:2" x14ac:dyDescent="0.25">
      <c r="A94" t="s">
        <v>344</v>
      </c>
      <c r="B94">
        <v>18</v>
      </c>
    </row>
    <row r="95" spans="1:2" x14ac:dyDescent="0.25">
      <c r="A95" t="s">
        <v>345</v>
      </c>
      <c r="B95">
        <v>19</v>
      </c>
    </row>
    <row r="96" spans="1:2" x14ac:dyDescent="0.25">
      <c r="A96" t="s">
        <v>346</v>
      </c>
      <c r="B96">
        <v>20</v>
      </c>
    </row>
    <row r="97" spans="1:2" x14ac:dyDescent="0.25">
      <c r="A97" t="s">
        <v>347</v>
      </c>
      <c r="B97">
        <v>21</v>
      </c>
    </row>
    <row r="98" spans="1:2" x14ac:dyDescent="0.25">
      <c r="A98" t="s">
        <v>348</v>
      </c>
      <c r="B98">
        <v>22</v>
      </c>
    </row>
    <row r="99" spans="1:2" x14ac:dyDescent="0.25">
      <c r="A99" t="s">
        <v>349</v>
      </c>
      <c r="B99">
        <v>23</v>
      </c>
    </row>
    <row r="100" spans="1:2" x14ac:dyDescent="0.25">
      <c r="A100" t="s">
        <v>350</v>
      </c>
      <c r="B100">
        <v>24</v>
      </c>
    </row>
    <row r="101" spans="1:2" x14ac:dyDescent="0.25">
      <c r="A101" t="s">
        <v>351</v>
      </c>
      <c r="B101">
        <v>25</v>
      </c>
    </row>
    <row r="102" spans="1:2" x14ac:dyDescent="0.25">
      <c r="A102" t="s">
        <v>352</v>
      </c>
      <c r="B102">
        <v>26</v>
      </c>
    </row>
    <row r="103" spans="1:2" x14ac:dyDescent="0.25">
      <c r="A103" t="s">
        <v>353</v>
      </c>
      <c r="B103">
        <v>27</v>
      </c>
    </row>
    <row r="104" spans="1:2" x14ac:dyDescent="0.25">
      <c r="A104" t="s">
        <v>354</v>
      </c>
      <c r="B104">
        <v>28</v>
      </c>
    </row>
    <row r="105" spans="1:2" x14ac:dyDescent="0.25">
      <c r="A105" t="s">
        <v>355</v>
      </c>
      <c r="B105">
        <v>29</v>
      </c>
    </row>
    <row r="106" spans="1:2" x14ac:dyDescent="0.25">
      <c r="A106" t="s">
        <v>356</v>
      </c>
      <c r="B106">
        <v>31</v>
      </c>
    </row>
    <row r="107" spans="1:2" x14ac:dyDescent="0.25">
      <c r="A107" t="s">
        <v>357</v>
      </c>
      <c r="B107">
        <v>32</v>
      </c>
    </row>
    <row r="108" spans="1:2" x14ac:dyDescent="0.25">
      <c r="A108" t="s">
        <v>358</v>
      </c>
      <c r="B108">
        <v>33</v>
      </c>
    </row>
    <row r="109" spans="1:2" x14ac:dyDescent="0.25">
      <c r="A109" t="s">
        <v>359</v>
      </c>
      <c r="B109">
        <v>34</v>
      </c>
    </row>
    <row r="110" spans="1:2" x14ac:dyDescent="0.25">
      <c r="A110" t="s">
        <v>360</v>
      </c>
      <c r="B110">
        <v>35</v>
      </c>
    </row>
    <row r="111" spans="1:2" x14ac:dyDescent="0.25">
      <c r="A111" t="s">
        <v>361</v>
      </c>
      <c r="B111">
        <v>36</v>
      </c>
    </row>
    <row r="112" spans="1:2" x14ac:dyDescent="0.25">
      <c r="A112" t="s">
        <v>362</v>
      </c>
      <c r="B112">
        <v>37</v>
      </c>
    </row>
    <row r="113" spans="1:2" x14ac:dyDescent="0.25">
      <c r="A113" t="s">
        <v>363</v>
      </c>
      <c r="B113">
        <v>38</v>
      </c>
    </row>
    <row r="114" spans="1:2" x14ac:dyDescent="0.25">
      <c r="A114" t="s">
        <v>364</v>
      </c>
      <c r="B114">
        <v>39</v>
      </c>
    </row>
    <row r="115" spans="1:2" x14ac:dyDescent="0.25">
      <c r="A115" t="s">
        <v>365</v>
      </c>
      <c r="B115">
        <v>40</v>
      </c>
    </row>
    <row r="116" spans="1:2" x14ac:dyDescent="0.25">
      <c r="A116" t="s">
        <v>366</v>
      </c>
      <c r="B116">
        <v>41</v>
      </c>
    </row>
    <row r="117" spans="1:2" x14ac:dyDescent="0.25">
      <c r="A117" t="s">
        <v>367</v>
      </c>
      <c r="B117">
        <v>42</v>
      </c>
    </row>
    <row r="118" spans="1:2" x14ac:dyDescent="0.25">
      <c r="A118" t="s">
        <v>368</v>
      </c>
      <c r="B118">
        <v>43</v>
      </c>
    </row>
    <row r="119" spans="1:2" x14ac:dyDescent="0.25">
      <c r="A119" t="s">
        <v>369</v>
      </c>
      <c r="B119">
        <v>44</v>
      </c>
    </row>
    <row r="120" spans="1:2" x14ac:dyDescent="0.25">
      <c r="A120" t="s">
        <v>370</v>
      </c>
      <c r="B120">
        <v>45</v>
      </c>
    </row>
    <row r="121" spans="1:2" x14ac:dyDescent="0.25">
      <c r="A121" t="s">
        <v>371</v>
      </c>
      <c r="B121">
        <v>46</v>
      </c>
    </row>
    <row r="122" spans="1:2" x14ac:dyDescent="0.25">
      <c r="A122" t="s">
        <v>372</v>
      </c>
      <c r="B122">
        <v>47</v>
      </c>
    </row>
    <row r="123" spans="1:2" x14ac:dyDescent="0.25">
      <c r="A123" t="s">
        <v>373</v>
      </c>
      <c r="B123">
        <v>48</v>
      </c>
    </row>
    <row r="124" spans="1:2" x14ac:dyDescent="0.25">
      <c r="A124" t="s">
        <v>374</v>
      </c>
      <c r="B124">
        <v>49</v>
      </c>
    </row>
    <row r="125" spans="1:2" x14ac:dyDescent="0.25">
      <c r="A125" t="s">
        <v>375</v>
      </c>
      <c r="B125">
        <v>50</v>
      </c>
    </row>
    <row r="126" spans="1:2" x14ac:dyDescent="0.25">
      <c r="A126" t="s">
        <v>376</v>
      </c>
      <c r="B126">
        <v>51</v>
      </c>
    </row>
    <row r="127" spans="1:2" x14ac:dyDescent="0.25">
      <c r="A127" t="s">
        <v>377</v>
      </c>
      <c r="B127">
        <v>52</v>
      </c>
    </row>
    <row r="128" spans="1:2" x14ac:dyDescent="0.25">
      <c r="A128" t="s">
        <v>378</v>
      </c>
      <c r="B128">
        <v>54</v>
      </c>
    </row>
    <row r="129" spans="1:23" x14ac:dyDescent="0.25">
      <c r="A129" t="s">
        <v>379</v>
      </c>
      <c r="B129">
        <v>55</v>
      </c>
    </row>
    <row r="130" spans="1:23" x14ac:dyDescent="0.25">
      <c r="A130" t="s">
        <v>380</v>
      </c>
      <c r="B130">
        <v>56</v>
      </c>
    </row>
    <row r="131" spans="1:23" x14ac:dyDescent="0.25">
      <c r="A131" t="s">
        <v>381</v>
      </c>
      <c r="B131">
        <v>57</v>
      </c>
    </row>
    <row r="132" spans="1:23" x14ac:dyDescent="0.25">
      <c r="A132" t="s">
        <v>382</v>
      </c>
      <c r="B132">
        <v>58</v>
      </c>
    </row>
    <row r="133" spans="1:23" x14ac:dyDescent="0.25">
      <c r="A133" t="s">
        <v>383</v>
      </c>
      <c r="B133">
        <v>59</v>
      </c>
    </row>
    <row r="134" spans="1:23" x14ac:dyDescent="0.25">
      <c r="A134" t="s">
        <v>384</v>
      </c>
      <c r="B134" t="s">
        <v>385</v>
      </c>
    </row>
    <row r="135" spans="1:23" x14ac:dyDescent="0.25">
      <c r="A135" t="s">
        <v>386</v>
      </c>
      <c r="B135" t="s">
        <v>387</v>
      </c>
    </row>
    <row r="136" spans="1:23" x14ac:dyDescent="0.25">
      <c r="A136" t="s">
        <v>388</v>
      </c>
      <c r="B136" t="s">
        <v>389</v>
      </c>
    </row>
    <row r="137" spans="1:23" x14ac:dyDescent="0.25">
      <c r="A137" t="s">
        <v>390</v>
      </c>
      <c r="B137" t="s">
        <v>391</v>
      </c>
    </row>
    <row r="138" spans="1:23" x14ac:dyDescent="0.25">
      <c r="A138" t="s">
        <v>392</v>
      </c>
      <c r="B138" t="s">
        <v>393</v>
      </c>
    </row>
    <row r="139" spans="1:23" x14ac:dyDescent="0.25">
      <c r="A139" t="s">
        <v>394</v>
      </c>
      <c r="B139" t="s">
        <v>395</v>
      </c>
    </row>
    <row r="140" spans="1:23" x14ac:dyDescent="0.25">
      <c r="A140" t="s">
        <v>396</v>
      </c>
      <c r="B140" t="s">
        <v>397</v>
      </c>
    </row>
    <row r="141" spans="1:23" x14ac:dyDescent="0.25">
      <c r="A141" t="s">
        <v>398</v>
      </c>
      <c r="B141" t="s">
        <v>399</v>
      </c>
    </row>
    <row r="142" spans="1:23" x14ac:dyDescent="0.25">
      <c r="A142" t="s">
        <v>400</v>
      </c>
      <c r="B142" t="s">
        <v>401</v>
      </c>
    </row>
    <row r="143" spans="1:23" x14ac:dyDescent="0.25">
      <c r="A143" t="s">
        <v>402</v>
      </c>
      <c r="B143" t="s">
        <v>64</v>
      </c>
      <c r="C143" t="s">
        <v>127</v>
      </c>
      <c r="D143" t="s">
        <v>107</v>
      </c>
      <c r="E143" t="s">
        <v>53</v>
      </c>
      <c r="F143" t="s">
        <v>131</v>
      </c>
      <c r="G143" t="s">
        <v>134</v>
      </c>
      <c r="H143" t="s">
        <v>121</v>
      </c>
      <c r="I143" t="s">
        <v>98</v>
      </c>
      <c r="J143" t="s">
        <v>113</v>
      </c>
      <c r="K143" t="s">
        <v>123</v>
      </c>
      <c r="L143" t="s">
        <v>119</v>
      </c>
      <c r="M143" t="s">
        <v>63</v>
      </c>
      <c r="N143" t="s">
        <v>83</v>
      </c>
      <c r="O143" t="s">
        <v>125</v>
      </c>
      <c r="P143" t="s">
        <v>109</v>
      </c>
      <c r="Q143" t="s">
        <v>105</v>
      </c>
      <c r="R143" t="s">
        <v>47</v>
      </c>
      <c r="S143" t="s">
        <v>51</v>
      </c>
      <c r="T143" t="s">
        <v>60</v>
      </c>
      <c r="U143" t="s">
        <v>100</v>
      </c>
      <c r="V143" t="s">
        <v>58</v>
      </c>
      <c r="W143" t="s">
        <v>117</v>
      </c>
    </row>
    <row r="144" spans="1:23" x14ac:dyDescent="0.25">
      <c r="A144" t="s">
        <v>403</v>
      </c>
      <c r="B144">
        <v>1</v>
      </c>
    </row>
    <row r="145" spans="1:2" x14ac:dyDescent="0.25">
      <c r="A145" t="s">
        <v>404</v>
      </c>
      <c r="B145">
        <v>2</v>
      </c>
    </row>
    <row r="146" spans="1:2" x14ac:dyDescent="0.25">
      <c r="A146" t="s">
        <v>405</v>
      </c>
      <c r="B146">
        <v>3</v>
      </c>
    </row>
    <row r="147" spans="1:2" x14ac:dyDescent="0.25">
      <c r="A147" t="s">
        <v>406</v>
      </c>
      <c r="B147">
        <v>4</v>
      </c>
    </row>
    <row r="148" spans="1:2" x14ac:dyDescent="0.25">
      <c r="A148" t="s">
        <v>407</v>
      </c>
      <c r="B148">
        <v>5</v>
      </c>
    </row>
    <row r="149" spans="1:2" x14ac:dyDescent="0.25">
      <c r="A149" t="s">
        <v>408</v>
      </c>
      <c r="B149">
        <v>6</v>
      </c>
    </row>
    <row r="150" spans="1:2" x14ac:dyDescent="0.25">
      <c r="A150" t="s">
        <v>409</v>
      </c>
      <c r="B150">
        <v>8</v>
      </c>
    </row>
    <row r="151" spans="1:2" x14ac:dyDescent="0.25">
      <c r="A151" t="s">
        <v>410</v>
      </c>
      <c r="B151">
        <v>9</v>
      </c>
    </row>
    <row r="152" spans="1:2" x14ac:dyDescent="0.25">
      <c r="A152" t="s">
        <v>411</v>
      </c>
      <c r="B152">
        <v>10</v>
      </c>
    </row>
    <row r="153" spans="1:2" x14ac:dyDescent="0.25">
      <c r="A153" t="s">
        <v>412</v>
      </c>
      <c r="B153">
        <v>11</v>
      </c>
    </row>
    <row r="154" spans="1:2" x14ac:dyDescent="0.25">
      <c r="A154" t="s">
        <v>413</v>
      </c>
      <c r="B154">
        <v>12</v>
      </c>
    </row>
    <row r="155" spans="1:2" x14ac:dyDescent="0.25">
      <c r="A155" t="s">
        <v>414</v>
      </c>
      <c r="B155">
        <v>13</v>
      </c>
    </row>
    <row r="156" spans="1:2" x14ac:dyDescent="0.25">
      <c r="A156" t="s">
        <v>415</v>
      </c>
      <c r="B156">
        <v>14</v>
      </c>
    </row>
    <row r="157" spans="1:2" x14ac:dyDescent="0.25">
      <c r="A157" t="s">
        <v>416</v>
      </c>
      <c r="B157">
        <v>15</v>
      </c>
    </row>
    <row r="158" spans="1:2" x14ac:dyDescent="0.25">
      <c r="A158" t="s">
        <v>417</v>
      </c>
      <c r="B158">
        <v>16</v>
      </c>
    </row>
    <row r="159" spans="1:2" x14ac:dyDescent="0.25">
      <c r="A159" t="s">
        <v>418</v>
      </c>
      <c r="B159">
        <v>17</v>
      </c>
    </row>
    <row r="160" spans="1:2" x14ac:dyDescent="0.25">
      <c r="A160" t="s">
        <v>419</v>
      </c>
      <c r="B160">
        <v>18</v>
      </c>
    </row>
    <row r="161" spans="1:2" x14ac:dyDescent="0.25">
      <c r="A161" t="s">
        <v>420</v>
      </c>
      <c r="B161">
        <v>19</v>
      </c>
    </row>
    <row r="162" spans="1:2" x14ac:dyDescent="0.25">
      <c r="A162" t="s">
        <v>421</v>
      </c>
      <c r="B162">
        <v>20</v>
      </c>
    </row>
    <row r="163" spans="1:2" x14ac:dyDescent="0.25">
      <c r="A163" t="s">
        <v>422</v>
      </c>
      <c r="B163">
        <v>21</v>
      </c>
    </row>
    <row r="164" spans="1:2" x14ac:dyDescent="0.25">
      <c r="A164" t="s">
        <v>423</v>
      </c>
      <c r="B164">
        <v>22</v>
      </c>
    </row>
    <row r="165" spans="1:2" x14ac:dyDescent="0.25">
      <c r="A165" t="s">
        <v>424</v>
      </c>
      <c r="B165">
        <v>23</v>
      </c>
    </row>
    <row r="166" spans="1:2" x14ac:dyDescent="0.25">
      <c r="A166" t="s">
        <v>425</v>
      </c>
      <c r="B166">
        <v>24</v>
      </c>
    </row>
    <row r="167" spans="1:2" x14ac:dyDescent="0.25">
      <c r="A167" t="s">
        <v>426</v>
      </c>
      <c r="B167">
        <v>25</v>
      </c>
    </row>
    <row r="168" spans="1:2" x14ac:dyDescent="0.25">
      <c r="A168" t="s">
        <v>427</v>
      </c>
      <c r="B168">
        <v>26</v>
      </c>
    </row>
    <row r="169" spans="1:2" x14ac:dyDescent="0.25">
      <c r="A169" t="s">
        <v>428</v>
      </c>
      <c r="B169">
        <v>27</v>
      </c>
    </row>
    <row r="170" spans="1:2" x14ac:dyDescent="0.25">
      <c r="A170" t="s">
        <v>429</v>
      </c>
      <c r="B170">
        <v>28</v>
      </c>
    </row>
    <row r="171" spans="1:2" x14ac:dyDescent="0.25">
      <c r="A171" t="s">
        <v>430</v>
      </c>
      <c r="B171">
        <v>29</v>
      </c>
    </row>
    <row r="172" spans="1:2" x14ac:dyDescent="0.25">
      <c r="A172" t="s">
        <v>431</v>
      </c>
      <c r="B172">
        <v>31</v>
      </c>
    </row>
    <row r="173" spans="1:2" x14ac:dyDescent="0.25">
      <c r="A173" t="s">
        <v>432</v>
      </c>
      <c r="B173">
        <v>32</v>
      </c>
    </row>
    <row r="174" spans="1:2" x14ac:dyDescent="0.25">
      <c r="A174" t="s">
        <v>433</v>
      </c>
      <c r="B174">
        <v>33</v>
      </c>
    </row>
    <row r="175" spans="1:2" x14ac:dyDescent="0.25">
      <c r="A175" t="s">
        <v>434</v>
      </c>
      <c r="B175">
        <v>34</v>
      </c>
    </row>
    <row r="176" spans="1:2" x14ac:dyDescent="0.25">
      <c r="A176" t="s">
        <v>435</v>
      </c>
      <c r="B176">
        <v>35</v>
      </c>
    </row>
    <row r="177" spans="1:2" x14ac:dyDescent="0.25">
      <c r="A177" t="s">
        <v>436</v>
      </c>
      <c r="B177">
        <v>36</v>
      </c>
    </row>
    <row r="178" spans="1:2" x14ac:dyDescent="0.25">
      <c r="A178" t="s">
        <v>437</v>
      </c>
      <c r="B178">
        <v>37</v>
      </c>
    </row>
    <row r="179" spans="1:2" x14ac:dyDescent="0.25">
      <c r="A179" t="s">
        <v>438</v>
      </c>
      <c r="B179">
        <v>38</v>
      </c>
    </row>
    <row r="180" spans="1:2" x14ac:dyDescent="0.25">
      <c r="A180" t="s">
        <v>439</v>
      </c>
      <c r="B180">
        <v>39</v>
      </c>
    </row>
    <row r="181" spans="1:2" x14ac:dyDescent="0.25">
      <c r="A181" t="s">
        <v>440</v>
      </c>
      <c r="B181">
        <v>40</v>
      </c>
    </row>
    <row r="182" spans="1:2" x14ac:dyDescent="0.25">
      <c r="A182" t="s">
        <v>441</v>
      </c>
      <c r="B182">
        <v>41</v>
      </c>
    </row>
    <row r="183" spans="1:2" x14ac:dyDescent="0.25">
      <c r="A183" t="s">
        <v>442</v>
      </c>
      <c r="B183">
        <v>42</v>
      </c>
    </row>
    <row r="184" spans="1:2" x14ac:dyDescent="0.25">
      <c r="A184" t="s">
        <v>443</v>
      </c>
      <c r="B184">
        <v>43</v>
      </c>
    </row>
    <row r="185" spans="1:2" x14ac:dyDescent="0.25">
      <c r="A185" t="s">
        <v>444</v>
      </c>
      <c r="B185">
        <v>44</v>
      </c>
    </row>
    <row r="186" spans="1:2" x14ac:dyDescent="0.25">
      <c r="A186" t="s">
        <v>445</v>
      </c>
      <c r="B186">
        <v>45</v>
      </c>
    </row>
    <row r="187" spans="1:2" x14ac:dyDescent="0.25">
      <c r="A187" t="s">
        <v>446</v>
      </c>
      <c r="B187">
        <v>46</v>
      </c>
    </row>
    <row r="188" spans="1:2" x14ac:dyDescent="0.25">
      <c r="A188" t="s">
        <v>447</v>
      </c>
      <c r="B188">
        <v>47</v>
      </c>
    </row>
    <row r="189" spans="1:2" x14ac:dyDescent="0.25">
      <c r="A189" t="s">
        <v>448</v>
      </c>
      <c r="B189">
        <v>48</v>
      </c>
    </row>
    <row r="190" spans="1:2" x14ac:dyDescent="0.25">
      <c r="A190" t="s">
        <v>449</v>
      </c>
      <c r="B190">
        <v>49</v>
      </c>
    </row>
    <row r="191" spans="1:2" x14ac:dyDescent="0.25">
      <c r="A191" t="s">
        <v>450</v>
      </c>
      <c r="B191">
        <v>50</v>
      </c>
    </row>
    <row r="192" spans="1:2" x14ac:dyDescent="0.25">
      <c r="A192" t="s">
        <v>451</v>
      </c>
      <c r="B192">
        <v>51</v>
      </c>
    </row>
    <row r="193" spans="1:2" x14ac:dyDescent="0.25">
      <c r="A193" t="s">
        <v>452</v>
      </c>
      <c r="B193">
        <v>52</v>
      </c>
    </row>
    <row r="194" spans="1:2" x14ac:dyDescent="0.25">
      <c r="A194" t="s">
        <v>453</v>
      </c>
      <c r="B194">
        <v>54</v>
      </c>
    </row>
    <row r="195" spans="1:2" x14ac:dyDescent="0.25">
      <c r="A195" t="s">
        <v>454</v>
      </c>
      <c r="B195">
        <v>55</v>
      </c>
    </row>
    <row r="196" spans="1:2" x14ac:dyDescent="0.25">
      <c r="A196" t="s">
        <v>455</v>
      </c>
      <c r="B196">
        <v>56</v>
      </c>
    </row>
    <row r="197" spans="1:2" x14ac:dyDescent="0.25">
      <c r="A197" t="s">
        <v>456</v>
      </c>
      <c r="B197">
        <v>57</v>
      </c>
    </row>
    <row r="198" spans="1:2" x14ac:dyDescent="0.25">
      <c r="A198" t="s">
        <v>457</v>
      </c>
      <c r="B198">
        <v>58</v>
      </c>
    </row>
    <row r="199" spans="1:2" x14ac:dyDescent="0.25">
      <c r="A199" t="s">
        <v>458</v>
      </c>
      <c r="B199">
        <v>59</v>
      </c>
    </row>
    <row r="200" spans="1:2" x14ac:dyDescent="0.25">
      <c r="A200" t="s">
        <v>459</v>
      </c>
      <c r="B200" t="s">
        <v>460</v>
      </c>
    </row>
    <row r="201" spans="1:2" x14ac:dyDescent="0.25">
      <c r="A201" t="s">
        <v>461</v>
      </c>
      <c r="B201" t="s">
        <v>462</v>
      </c>
    </row>
    <row r="202" spans="1:2" x14ac:dyDescent="0.25">
      <c r="A202" t="s">
        <v>463</v>
      </c>
      <c r="B202" t="s">
        <v>464</v>
      </c>
    </row>
    <row r="203" spans="1:2" x14ac:dyDescent="0.25">
      <c r="A203" t="s">
        <v>465</v>
      </c>
      <c r="B203" t="s">
        <v>466</v>
      </c>
    </row>
    <row r="204" spans="1:2" x14ac:dyDescent="0.25">
      <c r="A204" t="s">
        <v>467</v>
      </c>
      <c r="B204" t="s">
        <v>468</v>
      </c>
    </row>
    <row r="205" spans="1:2" x14ac:dyDescent="0.25">
      <c r="A205" t="s">
        <v>469</v>
      </c>
      <c r="B205" t="s">
        <v>470</v>
      </c>
    </row>
    <row r="206" spans="1:2" x14ac:dyDescent="0.25">
      <c r="A206" t="s">
        <v>471</v>
      </c>
      <c r="B206" t="s">
        <v>472</v>
      </c>
    </row>
    <row r="207" spans="1:2" x14ac:dyDescent="0.25">
      <c r="A207" t="s">
        <v>473</v>
      </c>
      <c r="B207" t="s">
        <v>474</v>
      </c>
    </row>
    <row r="208" spans="1:2" x14ac:dyDescent="0.25">
      <c r="A208" t="s">
        <v>475</v>
      </c>
      <c r="B208" t="s">
        <v>476</v>
      </c>
    </row>
    <row r="209" spans="1:23" x14ac:dyDescent="0.25">
      <c r="A209" t="s">
        <v>477</v>
      </c>
      <c r="B209" t="s">
        <v>119</v>
      </c>
      <c r="C209" t="s">
        <v>125</v>
      </c>
      <c r="D209" t="s">
        <v>64</v>
      </c>
      <c r="E209" t="s">
        <v>109</v>
      </c>
      <c r="F209" t="s">
        <v>113</v>
      </c>
      <c r="G209" t="s">
        <v>98</v>
      </c>
      <c r="H209" t="s">
        <v>121</v>
      </c>
      <c r="I209" t="s">
        <v>134</v>
      </c>
      <c r="J209" t="s">
        <v>53</v>
      </c>
      <c r="K209" t="s">
        <v>131</v>
      </c>
      <c r="L209" t="s">
        <v>107</v>
      </c>
      <c r="M209" t="s">
        <v>127</v>
      </c>
      <c r="N209" t="s">
        <v>83</v>
      </c>
      <c r="O209" t="s">
        <v>123</v>
      </c>
      <c r="P209" t="s">
        <v>63</v>
      </c>
      <c r="Q209" t="s">
        <v>47</v>
      </c>
      <c r="R209" t="s">
        <v>60</v>
      </c>
      <c r="S209" t="s">
        <v>117</v>
      </c>
      <c r="T209" t="s">
        <v>100</v>
      </c>
      <c r="U209" t="s">
        <v>51</v>
      </c>
      <c r="V209" t="s">
        <v>105</v>
      </c>
      <c r="W209" t="s">
        <v>58</v>
      </c>
    </row>
    <row r="210" spans="1:23" x14ac:dyDescent="0.25">
      <c r="A210" t="s">
        <v>478</v>
      </c>
      <c r="B210">
        <v>1</v>
      </c>
    </row>
    <row r="211" spans="1:23" x14ac:dyDescent="0.25">
      <c r="A211" t="s">
        <v>479</v>
      </c>
      <c r="B211">
        <v>2</v>
      </c>
    </row>
    <row r="212" spans="1:23" x14ac:dyDescent="0.25">
      <c r="A212" t="s">
        <v>480</v>
      </c>
      <c r="B212">
        <v>3</v>
      </c>
    </row>
    <row r="213" spans="1:23" x14ac:dyDescent="0.25">
      <c r="A213" t="s">
        <v>481</v>
      </c>
      <c r="B213">
        <v>4</v>
      </c>
    </row>
    <row r="214" spans="1:23" x14ac:dyDescent="0.25">
      <c r="A214" t="s">
        <v>482</v>
      </c>
      <c r="B214">
        <v>5</v>
      </c>
    </row>
    <row r="215" spans="1:23" x14ac:dyDescent="0.25">
      <c r="A215" t="s">
        <v>483</v>
      </c>
      <c r="B215">
        <v>6</v>
      </c>
    </row>
    <row r="216" spans="1:23" x14ac:dyDescent="0.25">
      <c r="A216" t="s">
        <v>484</v>
      </c>
      <c r="B216">
        <v>7</v>
      </c>
    </row>
    <row r="217" spans="1:23" x14ac:dyDescent="0.25">
      <c r="A217" t="s">
        <v>485</v>
      </c>
      <c r="B217">
        <v>9</v>
      </c>
    </row>
    <row r="218" spans="1:23" x14ac:dyDescent="0.25">
      <c r="A218" t="s">
        <v>486</v>
      </c>
      <c r="B218">
        <v>10</v>
      </c>
    </row>
    <row r="219" spans="1:23" x14ac:dyDescent="0.25">
      <c r="A219" t="s">
        <v>487</v>
      </c>
      <c r="B219">
        <v>11</v>
      </c>
    </row>
    <row r="220" spans="1:23" x14ac:dyDescent="0.25">
      <c r="A220" t="s">
        <v>488</v>
      </c>
      <c r="B220">
        <v>12</v>
      </c>
    </row>
    <row r="221" spans="1:23" x14ac:dyDescent="0.25">
      <c r="A221" t="s">
        <v>489</v>
      </c>
      <c r="B221">
        <v>13</v>
      </c>
    </row>
    <row r="222" spans="1:23" x14ac:dyDescent="0.25">
      <c r="A222" t="s">
        <v>490</v>
      </c>
      <c r="B222">
        <v>14</v>
      </c>
    </row>
    <row r="223" spans="1:23" x14ac:dyDescent="0.25">
      <c r="A223" t="s">
        <v>491</v>
      </c>
      <c r="B223">
        <v>15</v>
      </c>
    </row>
    <row r="224" spans="1:23" x14ac:dyDescent="0.25">
      <c r="A224" t="s">
        <v>492</v>
      </c>
      <c r="B224">
        <v>16</v>
      </c>
    </row>
    <row r="225" spans="1:2" x14ac:dyDescent="0.25">
      <c r="A225" t="s">
        <v>493</v>
      </c>
      <c r="B225">
        <v>17</v>
      </c>
    </row>
    <row r="226" spans="1:2" x14ac:dyDescent="0.25">
      <c r="A226" t="s">
        <v>494</v>
      </c>
      <c r="B226">
        <v>18</v>
      </c>
    </row>
    <row r="227" spans="1:2" x14ac:dyDescent="0.25">
      <c r="A227" t="s">
        <v>495</v>
      </c>
      <c r="B227">
        <v>19</v>
      </c>
    </row>
    <row r="228" spans="1:2" x14ac:dyDescent="0.25">
      <c r="A228" t="s">
        <v>496</v>
      </c>
      <c r="B228">
        <v>20</v>
      </c>
    </row>
    <row r="229" spans="1:2" x14ac:dyDescent="0.25">
      <c r="A229" t="s">
        <v>497</v>
      </c>
      <c r="B229">
        <v>21</v>
      </c>
    </row>
    <row r="230" spans="1:2" x14ac:dyDescent="0.25">
      <c r="A230" t="s">
        <v>498</v>
      </c>
      <c r="B230">
        <v>22</v>
      </c>
    </row>
    <row r="231" spans="1:2" x14ac:dyDescent="0.25">
      <c r="A231" t="s">
        <v>499</v>
      </c>
      <c r="B231">
        <v>23</v>
      </c>
    </row>
    <row r="232" spans="1:2" x14ac:dyDescent="0.25">
      <c r="A232" t="s">
        <v>500</v>
      </c>
      <c r="B232">
        <v>24</v>
      </c>
    </row>
    <row r="233" spans="1:2" x14ac:dyDescent="0.25">
      <c r="A233" t="s">
        <v>501</v>
      </c>
      <c r="B233">
        <v>25</v>
      </c>
    </row>
    <row r="234" spans="1:2" x14ac:dyDescent="0.25">
      <c r="A234" t="s">
        <v>502</v>
      </c>
      <c r="B234">
        <v>26</v>
      </c>
    </row>
    <row r="235" spans="1:2" x14ac:dyDescent="0.25">
      <c r="A235" t="s">
        <v>503</v>
      </c>
      <c r="B235">
        <v>27</v>
      </c>
    </row>
    <row r="236" spans="1:2" x14ac:dyDescent="0.25">
      <c r="A236" t="s">
        <v>504</v>
      </c>
      <c r="B236">
        <v>28</v>
      </c>
    </row>
    <row r="237" spans="1:2" x14ac:dyDescent="0.25">
      <c r="A237" t="s">
        <v>505</v>
      </c>
      <c r="B237">
        <v>29</v>
      </c>
    </row>
    <row r="238" spans="1:2" x14ac:dyDescent="0.25">
      <c r="A238" t="s">
        <v>506</v>
      </c>
      <c r="B238">
        <v>30</v>
      </c>
    </row>
    <row r="239" spans="1:2" x14ac:dyDescent="0.25">
      <c r="A239" t="s">
        <v>507</v>
      </c>
      <c r="B239">
        <v>31</v>
      </c>
    </row>
    <row r="240" spans="1:2" x14ac:dyDescent="0.25">
      <c r="A240" t="s">
        <v>508</v>
      </c>
      <c r="B240">
        <v>33</v>
      </c>
    </row>
    <row r="241" spans="1:2" x14ac:dyDescent="0.25">
      <c r="A241" t="s">
        <v>509</v>
      </c>
      <c r="B241">
        <v>34</v>
      </c>
    </row>
    <row r="242" spans="1:2" x14ac:dyDescent="0.25">
      <c r="A242" t="s">
        <v>510</v>
      </c>
      <c r="B242">
        <v>35</v>
      </c>
    </row>
    <row r="243" spans="1:2" x14ac:dyDescent="0.25">
      <c r="A243" t="s">
        <v>511</v>
      </c>
      <c r="B243">
        <v>36</v>
      </c>
    </row>
    <row r="244" spans="1:2" x14ac:dyDescent="0.25">
      <c r="A244" t="s">
        <v>512</v>
      </c>
      <c r="B244">
        <v>37</v>
      </c>
    </row>
    <row r="245" spans="1:2" x14ac:dyDescent="0.25">
      <c r="A245" t="s">
        <v>513</v>
      </c>
      <c r="B245">
        <v>38</v>
      </c>
    </row>
    <row r="246" spans="1:2" x14ac:dyDescent="0.25">
      <c r="A246" t="s">
        <v>514</v>
      </c>
      <c r="B246">
        <v>39</v>
      </c>
    </row>
    <row r="247" spans="1:2" x14ac:dyDescent="0.25">
      <c r="A247" t="s">
        <v>515</v>
      </c>
      <c r="B247">
        <v>40</v>
      </c>
    </row>
    <row r="248" spans="1:2" x14ac:dyDescent="0.25">
      <c r="A248" t="s">
        <v>516</v>
      </c>
      <c r="B248">
        <v>41</v>
      </c>
    </row>
    <row r="249" spans="1:2" x14ac:dyDescent="0.25">
      <c r="A249" t="s">
        <v>517</v>
      </c>
      <c r="B249">
        <v>42</v>
      </c>
    </row>
    <row r="250" spans="1:2" x14ac:dyDescent="0.25">
      <c r="A250" t="s">
        <v>518</v>
      </c>
      <c r="B250">
        <v>43</v>
      </c>
    </row>
    <row r="251" spans="1:2" x14ac:dyDescent="0.25">
      <c r="A251" t="s">
        <v>519</v>
      </c>
      <c r="B251">
        <v>44</v>
      </c>
    </row>
    <row r="252" spans="1:2" x14ac:dyDescent="0.25">
      <c r="A252" t="s">
        <v>520</v>
      </c>
      <c r="B252">
        <v>45</v>
      </c>
    </row>
    <row r="253" spans="1:2" x14ac:dyDescent="0.25">
      <c r="A253" t="s">
        <v>521</v>
      </c>
      <c r="B253">
        <v>46</v>
      </c>
    </row>
    <row r="254" spans="1:2" x14ac:dyDescent="0.25">
      <c r="A254" t="s">
        <v>522</v>
      </c>
      <c r="B254">
        <v>47</v>
      </c>
    </row>
    <row r="255" spans="1:2" x14ac:dyDescent="0.25">
      <c r="A255" t="s">
        <v>523</v>
      </c>
      <c r="B255">
        <v>48</v>
      </c>
    </row>
    <row r="256" spans="1:2" x14ac:dyDescent="0.25">
      <c r="A256" t="s">
        <v>524</v>
      </c>
      <c r="B256">
        <v>49</v>
      </c>
    </row>
    <row r="257" spans="1:2" x14ac:dyDescent="0.25">
      <c r="A257" t="s">
        <v>525</v>
      </c>
      <c r="B257">
        <v>50</v>
      </c>
    </row>
    <row r="258" spans="1:2" x14ac:dyDescent="0.25">
      <c r="A258" t="s">
        <v>526</v>
      </c>
      <c r="B258">
        <v>51</v>
      </c>
    </row>
    <row r="259" spans="1:2" x14ac:dyDescent="0.25">
      <c r="A259" t="s">
        <v>527</v>
      </c>
      <c r="B259">
        <v>52</v>
      </c>
    </row>
    <row r="260" spans="1:2" x14ac:dyDescent="0.25">
      <c r="A260" t="s">
        <v>528</v>
      </c>
      <c r="B260">
        <v>53</v>
      </c>
    </row>
    <row r="261" spans="1:2" x14ac:dyDescent="0.25">
      <c r="A261" t="s">
        <v>529</v>
      </c>
      <c r="B261">
        <v>54</v>
      </c>
    </row>
    <row r="262" spans="1:2" x14ac:dyDescent="0.25">
      <c r="A262" t="s">
        <v>530</v>
      </c>
      <c r="B262">
        <v>55</v>
      </c>
    </row>
    <row r="263" spans="1:2" x14ac:dyDescent="0.25">
      <c r="A263" t="s">
        <v>531</v>
      </c>
      <c r="B263">
        <v>57</v>
      </c>
    </row>
    <row r="264" spans="1:2" x14ac:dyDescent="0.25">
      <c r="A264" t="s">
        <v>532</v>
      </c>
      <c r="B264">
        <v>58</v>
      </c>
    </row>
    <row r="265" spans="1:2" x14ac:dyDescent="0.25">
      <c r="A265" t="s">
        <v>533</v>
      </c>
      <c r="B265">
        <v>59</v>
      </c>
    </row>
    <row r="266" spans="1:2" x14ac:dyDescent="0.25">
      <c r="A266" t="s">
        <v>534</v>
      </c>
      <c r="B266">
        <v>60</v>
      </c>
    </row>
    <row r="267" spans="1:2" x14ac:dyDescent="0.25">
      <c r="A267" t="s">
        <v>535</v>
      </c>
      <c r="B267">
        <v>62</v>
      </c>
    </row>
    <row r="268" spans="1:2" x14ac:dyDescent="0.25">
      <c r="A268" t="s">
        <v>536</v>
      </c>
      <c r="B268">
        <v>63</v>
      </c>
    </row>
    <row r="269" spans="1:2" x14ac:dyDescent="0.25">
      <c r="A269" t="s">
        <v>537</v>
      </c>
      <c r="B269">
        <v>64</v>
      </c>
    </row>
    <row r="270" spans="1:2" x14ac:dyDescent="0.25">
      <c r="A270" t="s">
        <v>538</v>
      </c>
      <c r="B270">
        <v>65</v>
      </c>
    </row>
    <row r="271" spans="1:2" x14ac:dyDescent="0.25">
      <c r="A271" t="s">
        <v>539</v>
      </c>
      <c r="B271">
        <v>66</v>
      </c>
    </row>
    <row r="272" spans="1:2" x14ac:dyDescent="0.25">
      <c r="A272" t="s">
        <v>540</v>
      </c>
      <c r="B272">
        <v>68</v>
      </c>
    </row>
    <row r="273" spans="1:24" x14ac:dyDescent="0.25">
      <c r="A273" t="s">
        <v>541</v>
      </c>
      <c r="B273">
        <v>69</v>
      </c>
    </row>
    <row r="274" spans="1:24" x14ac:dyDescent="0.25">
      <c r="A274" t="s">
        <v>542</v>
      </c>
      <c r="B274">
        <v>70</v>
      </c>
    </row>
    <row r="275" spans="1:24" x14ac:dyDescent="0.25">
      <c r="A275" t="s">
        <v>543</v>
      </c>
      <c r="B275">
        <v>71</v>
      </c>
    </row>
    <row r="276" spans="1:24" x14ac:dyDescent="0.25">
      <c r="A276" t="s">
        <v>544</v>
      </c>
      <c r="B276">
        <v>72</v>
      </c>
    </row>
    <row r="277" spans="1:24" x14ac:dyDescent="0.25">
      <c r="A277" t="s">
        <v>545</v>
      </c>
      <c r="B277" t="s">
        <v>546</v>
      </c>
    </row>
    <row r="278" spans="1:24" x14ac:dyDescent="0.25">
      <c r="A278" t="s">
        <v>547</v>
      </c>
      <c r="B278" t="s">
        <v>548</v>
      </c>
    </row>
    <row r="279" spans="1:24" x14ac:dyDescent="0.25">
      <c r="A279" t="s">
        <v>549</v>
      </c>
      <c r="B279" t="s">
        <v>550</v>
      </c>
    </row>
    <row r="280" spans="1:24" x14ac:dyDescent="0.25">
      <c r="A280" t="s">
        <v>551</v>
      </c>
      <c r="B280" t="s">
        <v>552</v>
      </c>
    </row>
    <row r="281" spans="1:24" x14ac:dyDescent="0.25">
      <c r="A281" t="s">
        <v>553</v>
      </c>
      <c r="B281" t="s">
        <v>554</v>
      </c>
    </row>
    <row r="282" spans="1:24" x14ac:dyDescent="0.25">
      <c r="A282" t="s">
        <v>555</v>
      </c>
      <c r="B282" t="s">
        <v>556</v>
      </c>
    </row>
    <row r="283" spans="1:24" x14ac:dyDescent="0.25">
      <c r="A283" t="s">
        <v>557</v>
      </c>
      <c r="B283" t="s">
        <v>558</v>
      </c>
    </row>
    <row r="284" spans="1:24" x14ac:dyDescent="0.25">
      <c r="A284" t="s">
        <v>559</v>
      </c>
      <c r="B284" t="s">
        <v>560</v>
      </c>
    </row>
    <row r="285" spans="1:24" x14ac:dyDescent="0.25">
      <c r="A285" t="s">
        <v>561</v>
      </c>
      <c r="B285" t="s">
        <v>562</v>
      </c>
    </row>
    <row r="286" spans="1:24" x14ac:dyDescent="0.25">
      <c r="A286" t="s">
        <v>563</v>
      </c>
      <c r="B286" t="s">
        <v>85</v>
      </c>
      <c r="C286" t="s">
        <v>83</v>
      </c>
      <c r="D286" t="s">
        <v>53</v>
      </c>
      <c r="E286" t="s">
        <v>58</v>
      </c>
      <c r="F286" t="s">
        <v>107</v>
      </c>
      <c r="G286" t="s">
        <v>81</v>
      </c>
      <c r="H286" t="s">
        <v>121</v>
      </c>
      <c r="I286" t="s">
        <v>47</v>
      </c>
      <c r="J286" t="s">
        <v>109</v>
      </c>
      <c r="K286" t="s">
        <v>125</v>
      </c>
      <c r="L286" t="s">
        <v>117</v>
      </c>
      <c r="M286" t="s">
        <v>60</v>
      </c>
      <c r="N286" t="s">
        <v>131</v>
      </c>
      <c r="O286" t="s">
        <v>113</v>
      </c>
      <c r="P286" t="s">
        <v>127</v>
      </c>
      <c r="Q286" t="s">
        <v>123</v>
      </c>
      <c r="R286" t="s">
        <v>63</v>
      </c>
      <c r="S286" t="s">
        <v>100</v>
      </c>
      <c r="T286" t="s">
        <v>51</v>
      </c>
      <c r="U286" t="s">
        <v>105</v>
      </c>
      <c r="V286" t="s">
        <v>98</v>
      </c>
      <c r="W286" t="s">
        <v>64</v>
      </c>
      <c r="X286" t="s">
        <v>119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outlinePr summaryBelow="0"/>
  </sheetPr>
  <dimension ref="A1:BH19"/>
  <sheetViews>
    <sheetView zoomScale="55" zoomScaleNormal="55" workbookViewId="0">
      <pane xSplit="2" ySplit="4" topLeftCell="C5" activePane="bottomRight" state="frozen"/>
      <selection pane="topRight" activeCell="C1" sqref="C1"/>
      <selection pane="bottomLeft" activeCell="A5" sqref="A5"/>
      <selection pane="bottomRight" activeCell="F32" sqref="F32"/>
    </sheetView>
  </sheetViews>
  <sheetFormatPr defaultRowHeight="15" outlineLevelRow="2" x14ac:dyDescent="0.25"/>
  <cols>
    <col min="2" max="2" width="24.7109375" style="53" customWidth="1"/>
    <col min="3" max="4" width="10.7109375" style="53" customWidth="1"/>
    <col min="7" max="7" width="1.7109375" style="53" customWidth="1"/>
    <col min="10" max="13" width="10.7109375" style="53" customWidth="1"/>
    <col min="14" max="14" width="24.7109375" style="53" hidden="1" customWidth="1"/>
    <col min="15" max="15" width="12.7109375" style="53" customWidth="1"/>
    <col min="16" max="16" width="10.7109375" style="53" customWidth="1"/>
    <col min="17" max="20" width="12.7109375" style="53" customWidth="1"/>
    <col min="21" max="25" width="11.7109375" style="53" customWidth="1"/>
    <col min="30" max="30" width="1.7109375" style="53" customWidth="1"/>
    <col min="33" max="36" width="10.7109375" style="53" customWidth="1"/>
    <col min="37" max="37" width="24.7109375" style="53" hidden="1" customWidth="1"/>
    <col min="38" max="38" width="12.7109375" style="53" customWidth="1"/>
    <col min="39" max="39" width="10.7109375" style="53" customWidth="1"/>
    <col min="40" max="43" width="12.7109375" style="53" customWidth="1"/>
    <col min="44" max="48" width="11.7109375" style="53" customWidth="1"/>
    <col min="53" max="53" width="1.7109375" style="53" customWidth="1"/>
    <col min="60" max="60" width="1.7109375" style="53" customWidth="1"/>
  </cols>
  <sheetData>
    <row r="1" spans="1:59" x14ac:dyDescent="0.25">
      <c r="A1" s="73" t="s">
        <v>564</v>
      </c>
      <c r="B1" s="59"/>
      <c r="C1" s="59"/>
      <c r="D1" s="59"/>
      <c r="E1" s="59"/>
      <c r="F1" s="59"/>
      <c r="H1" s="58" t="str">
        <f>Summary!$C$1</f>
        <v>R10.0</v>
      </c>
      <c r="I1" s="59"/>
      <c r="J1" s="59"/>
      <c r="K1" s="59"/>
      <c r="L1" s="59"/>
      <c r="M1" s="59"/>
      <c r="N1" s="59"/>
      <c r="O1" s="59"/>
      <c r="P1" s="59"/>
      <c r="Q1" s="59"/>
      <c r="R1" s="59"/>
      <c r="S1" s="59"/>
      <c r="T1" s="59"/>
      <c r="U1" s="59"/>
      <c r="V1" s="59"/>
      <c r="W1" s="59"/>
      <c r="X1" s="59"/>
      <c r="Y1" s="59"/>
      <c r="Z1" s="59"/>
      <c r="AA1" s="59"/>
      <c r="AB1" s="59"/>
      <c r="AC1" s="59"/>
      <c r="AE1" s="60">
        <f>Summary!$C$2</f>
        <v>0</v>
      </c>
      <c r="AF1" s="59"/>
      <c r="AG1" s="59"/>
      <c r="AH1" s="59"/>
      <c r="AI1" s="59"/>
      <c r="AJ1" s="59"/>
      <c r="AK1" s="59"/>
      <c r="AL1" s="59"/>
      <c r="AM1" s="59"/>
      <c r="AN1" s="59"/>
      <c r="AO1" s="59"/>
      <c r="AP1" s="59"/>
      <c r="AQ1" s="59"/>
      <c r="AR1" s="59"/>
      <c r="AS1" s="59"/>
      <c r="AT1" s="59"/>
      <c r="AU1" s="59"/>
      <c r="AV1" s="59"/>
      <c r="AW1" s="59"/>
      <c r="AX1" s="59"/>
      <c r="AY1" s="59"/>
      <c r="AZ1" s="59"/>
    </row>
    <row r="2" spans="1:59" ht="30" customHeight="1" x14ac:dyDescent="0.25">
      <c r="A2" s="69" t="s">
        <v>137</v>
      </c>
      <c r="B2" s="70" t="s">
        <v>138</v>
      </c>
      <c r="C2" s="69" t="s">
        <v>140</v>
      </c>
      <c r="D2" s="70" t="s">
        <v>141</v>
      </c>
      <c r="E2" s="69" t="s">
        <v>142</v>
      </c>
      <c r="F2" s="70" t="s">
        <v>143</v>
      </c>
      <c r="H2" s="69" t="s">
        <v>565</v>
      </c>
      <c r="I2" s="70" t="s">
        <v>144</v>
      </c>
      <c r="J2" s="71" t="s">
        <v>145</v>
      </c>
      <c r="K2" s="59"/>
      <c r="L2" s="59"/>
      <c r="M2" s="59"/>
      <c r="N2" s="69" t="s">
        <v>146</v>
      </c>
      <c r="O2" s="70" t="s">
        <v>147</v>
      </c>
      <c r="P2" s="69" t="s">
        <v>84</v>
      </c>
      <c r="Q2" s="72" t="s">
        <v>148</v>
      </c>
      <c r="R2" s="59"/>
      <c r="S2" s="59"/>
      <c r="T2" s="59"/>
      <c r="U2" s="71" t="s">
        <v>149</v>
      </c>
      <c r="V2" s="59"/>
      <c r="W2" s="72" t="s">
        <v>150</v>
      </c>
      <c r="X2" s="59"/>
      <c r="Y2" s="59"/>
      <c r="Z2" s="71" t="s">
        <v>151</v>
      </c>
      <c r="AA2" s="59"/>
      <c r="AB2" s="72" t="s">
        <v>152</v>
      </c>
      <c r="AC2" s="59"/>
      <c r="AE2" s="69" t="s">
        <v>565</v>
      </c>
      <c r="AF2" s="70" t="s">
        <v>144</v>
      </c>
      <c r="AG2" s="71" t="s">
        <v>145</v>
      </c>
      <c r="AH2" s="59"/>
      <c r="AI2" s="59"/>
      <c r="AJ2" s="59"/>
      <c r="AK2" s="69" t="s">
        <v>153</v>
      </c>
      <c r="AL2" s="70" t="s">
        <v>147</v>
      </c>
      <c r="AM2" s="69" t="s">
        <v>84</v>
      </c>
      <c r="AN2" s="72" t="s">
        <v>148</v>
      </c>
      <c r="AO2" s="59"/>
      <c r="AP2" s="59"/>
      <c r="AQ2" s="59"/>
      <c r="AR2" s="71" t="s">
        <v>149</v>
      </c>
      <c r="AS2" s="59"/>
      <c r="AT2" s="72" t="s">
        <v>150</v>
      </c>
      <c r="AU2" s="59"/>
      <c r="AV2" s="59"/>
      <c r="AW2" s="71" t="s">
        <v>151</v>
      </c>
      <c r="AX2" s="59"/>
      <c r="AY2" s="72" t="s">
        <v>152</v>
      </c>
      <c r="AZ2" s="59"/>
      <c r="BB2" s="71" t="s">
        <v>22</v>
      </c>
      <c r="BC2" s="59"/>
      <c r="BD2" s="59"/>
      <c r="BE2" s="59"/>
      <c r="BF2" s="70" t="s">
        <v>156</v>
      </c>
      <c r="BG2" s="69" t="s">
        <v>156</v>
      </c>
    </row>
    <row r="3" spans="1:59" ht="28.9" customHeight="1" x14ac:dyDescent="0.25">
      <c r="A3" s="62"/>
      <c r="B3" s="62"/>
      <c r="C3" s="62"/>
      <c r="D3" s="62"/>
      <c r="E3" s="62"/>
      <c r="F3" s="62"/>
      <c r="H3" s="62"/>
      <c r="I3" s="62"/>
      <c r="J3" s="56" t="s">
        <v>25</v>
      </c>
      <c r="K3" s="56" t="s">
        <v>23</v>
      </c>
      <c r="L3" s="56" t="s">
        <v>157</v>
      </c>
      <c r="M3" s="56" t="s">
        <v>158</v>
      </c>
      <c r="N3" s="62"/>
      <c r="O3" s="62"/>
      <c r="P3" s="62"/>
      <c r="Q3" s="57" t="s">
        <v>25</v>
      </c>
      <c r="R3" s="57" t="s">
        <v>157</v>
      </c>
      <c r="S3" s="57" t="s">
        <v>159</v>
      </c>
      <c r="T3" s="57" t="s">
        <v>24</v>
      </c>
      <c r="U3" s="56" t="s">
        <v>9</v>
      </c>
      <c r="V3" s="56" t="s">
        <v>10</v>
      </c>
      <c r="W3" s="57" t="s">
        <v>11</v>
      </c>
      <c r="X3" s="57" t="s">
        <v>12</v>
      </c>
      <c r="Y3" s="57" t="s">
        <v>13</v>
      </c>
      <c r="Z3" s="56" t="s">
        <v>160</v>
      </c>
      <c r="AA3" s="56" t="s">
        <v>161</v>
      </c>
      <c r="AB3" s="57" t="s">
        <v>160</v>
      </c>
      <c r="AC3" s="57" t="s">
        <v>161</v>
      </c>
      <c r="AE3" s="62"/>
      <c r="AF3" s="62"/>
      <c r="AG3" s="56" t="s">
        <v>25</v>
      </c>
      <c r="AH3" s="56" t="s">
        <v>23</v>
      </c>
      <c r="AI3" s="56" t="s">
        <v>157</v>
      </c>
      <c r="AJ3" s="56" t="s">
        <v>158</v>
      </c>
      <c r="AK3" s="62"/>
      <c r="AL3" s="62"/>
      <c r="AM3" s="62"/>
      <c r="AN3" s="57" t="s">
        <v>25</v>
      </c>
      <c r="AO3" s="57" t="s">
        <v>157</v>
      </c>
      <c r="AP3" s="57" t="s">
        <v>159</v>
      </c>
      <c r="AQ3" s="57" t="s">
        <v>24</v>
      </c>
      <c r="AR3" s="56" t="s">
        <v>9</v>
      </c>
      <c r="AS3" s="56" t="s">
        <v>10</v>
      </c>
      <c r="AT3" s="57" t="s">
        <v>11</v>
      </c>
      <c r="AU3" s="57" t="s">
        <v>12</v>
      </c>
      <c r="AV3" s="57" t="s">
        <v>13</v>
      </c>
      <c r="AW3" s="56" t="s">
        <v>160</v>
      </c>
      <c r="AX3" s="56" t="s">
        <v>161</v>
      </c>
      <c r="AY3" s="57" t="s">
        <v>160</v>
      </c>
      <c r="AZ3" s="57" t="s">
        <v>161</v>
      </c>
      <c r="BB3" s="56" t="s">
        <v>25</v>
      </c>
      <c r="BC3" s="56" t="s">
        <v>23</v>
      </c>
      <c r="BD3" s="56" t="s">
        <v>157</v>
      </c>
      <c r="BE3" s="56" t="s">
        <v>24</v>
      </c>
      <c r="BF3" s="62"/>
      <c r="BG3" s="62"/>
    </row>
    <row r="4" spans="1:59" ht="123" hidden="1" customHeight="1" x14ac:dyDescent="0.25">
      <c r="A4" s="8" t="s">
        <v>162</v>
      </c>
      <c r="B4" s="9" t="s">
        <v>163</v>
      </c>
      <c r="C4" s="8" t="s">
        <v>165</v>
      </c>
      <c r="D4" s="9" t="s">
        <v>166</v>
      </c>
      <c r="E4" s="8" t="s">
        <v>167</v>
      </c>
      <c r="F4" s="9" t="s">
        <v>168</v>
      </c>
      <c r="H4" s="8" t="s">
        <v>566</v>
      </c>
      <c r="I4" s="9" t="s">
        <v>169</v>
      </c>
      <c r="J4" s="8" t="s">
        <v>170</v>
      </c>
      <c r="K4" s="8" t="s">
        <v>171</v>
      </c>
      <c r="L4" s="8" t="s">
        <v>172</v>
      </c>
      <c r="M4" s="8" t="s">
        <v>173</v>
      </c>
      <c r="N4" s="8" t="s">
        <v>174</v>
      </c>
      <c r="O4" s="9" t="s">
        <v>175</v>
      </c>
      <c r="P4" s="8" t="s">
        <v>176</v>
      </c>
      <c r="Q4" s="9" t="s">
        <v>179</v>
      </c>
      <c r="R4" s="9" t="s">
        <v>180</v>
      </c>
      <c r="S4" s="9" t="s">
        <v>181</v>
      </c>
      <c r="T4" s="9" t="s">
        <v>182</v>
      </c>
      <c r="U4" s="8" t="s">
        <v>183</v>
      </c>
      <c r="V4" s="8" t="s">
        <v>184</v>
      </c>
      <c r="W4" s="9" t="s">
        <v>185</v>
      </c>
      <c r="X4" s="9" t="s">
        <v>186</v>
      </c>
      <c r="Y4" s="9" t="s">
        <v>187</v>
      </c>
      <c r="Z4" s="8" t="s">
        <v>188</v>
      </c>
      <c r="AA4" s="8" t="s">
        <v>189</v>
      </c>
      <c r="AB4" s="9" t="s">
        <v>190</v>
      </c>
      <c r="AC4" s="9" t="s">
        <v>191</v>
      </c>
      <c r="AE4" s="8" t="s">
        <v>567</v>
      </c>
      <c r="AF4" s="9" t="s">
        <v>192</v>
      </c>
      <c r="AG4" s="8" t="s">
        <v>193</v>
      </c>
      <c r="AH4" s="8" t="s">
        <v>194</v>
      </c>
      <c r="AI4" s="8" t="s">
        <v>195</v>
      </c>
      <c r="AJ4" s="8" t="s">
        <v>196</v>
      </c>
      <c r="AK4" s="8" t="s">
        <v>197</v>
      </c>
      <c r="AL4" s="9" t="s">
        <v>198</v>
      </c>
      <c r="AM4" s="8" t="s">
        <v>199</v>
      </c>
      <c r="AN4" s="9" t="s">
        <v>202</v>
      </c>
      <c r="AO4" s="9" t="s">
        <v>203</v>
      </c>
      <c r="AP4" s="9" t="s">
        <v>204</v>
      </c>
      <c r="AQ4" s="9" t="s">
        <v>205</v>
      </c>
      <c r="AR4" s="8" t="s">
        <v>206</v>
      </c>
      <c r="AS4" s="8" t="s">
        <v>207</v>
      </c>
      <c r="AT4" s="9" t="s">
        <v>208</v>
      </c>
      <c r="AU4" s="9" t="s">
        <v>209</v>
      </c>
      <c r="AV4" s="9" t="s">
        <v>210</v>
      </c>
      <c r="AW4" s="8" t="s">
        <v>211</v>
      </c>
      <c r="AX4" s="8" t="s">
        <v>212</v>
      </c>
      <c r="AY4" s="9" t="s">
        <v>213</v>
      </c>
      <c r="AZ4" s="9" t="s">
        <v>214</v>
      </c>
      <c r="BB4" s="8" t="s">
        <v>568</v>
      </c>
      <c r="BC4" s="8" t="s">
        <v>215</v>
      </c>
      <c r="BD4" s="8" t="s">
        <v>569</v>
      </c>
      <c r="BE4" s="8" t="s">
        <v>570</v>
      </c>
      <c r="BF4" s="9" t="s">
        <v>217</v>
      </c>
      <c r="BG4" s="8" t="s">
        <v>218</v>
      </c>
    </row>
    <row r="5" spans="1:59" collapsed="1" x14ac:dyDescent="0.25">
      <c r="A5" s="54" t="s">
        <v>229</v>
      </c>
      <c r="B5" s="54" t="s">
        <v>49</v>
      </c>
      <c r="C5" s="54">
        <v>238146391</v>
      </c>
      <c r="D5" s="10">
        <v>10</v>
      </c>
      <c r="E5" s="10">
        <v>300</v>
      </c>
      <c r="F5" s="10">
        <v>30</v>
      </c>
      <c r="H5" s="17">
        <f t="shared" ref="H5:H11" si="0">IF(ISBLANK(Q5),"·",Q5/(C5*(D5*3+IF(AND(ISNUMBER(T5),T5&gt;0),24,0))))</f>
        <v>0.16883004942519983</v>
      </c>
      <c r="I5" s="11">
        <f t="shared" ref="I5:I11" si="1">IF(OR(ISBLANK(Q5),ISBLANK(F5)),"·",Q5*F5/E5/1000000)</f>
        <v>217.1138416</v>
      </c>
      <c r="J5" s="12">
        <f t="shared" ref="J5:J11" si="2">IF(ISBLANK(Q5),"·",Q5/C5)</f>
        <v>9.1168226689607899</v>
      </c>
      <c r="K5" s="12">
        <f t="shared" ref="K5:K11" si="3">IF(N5="","·",N5/C5)</f>
        <v>1.4350788461035298</v>
      </c>
      <c r="L5" s="12">
        <f t="shared" ref="L5:L11" si="4">IF(R5="","·",R5/C5)</f>
        <v>1.3377402977314068</v>
      </c>
      <c r="M5" s="12">
        <f t="shared" ref="M5:M11" si="5">IF(ISBLANK(T5),"·",T5/C5)</f>
        <v>7.6817438228572605</v>
      </c>
      <c r="N5" s="54">
        <f t="shared" ref="N5:N11" si="6">IF(OR(ISBLANK(R5),ISBLANK(S5)),"",R5+S5)</f>
        <v>341758848</v>
      </c>
      <c r="O5" s="12">
        <v>16</v>
      </c>
      <c r="P5" s="13">
        <v>238146391</v>
      </c>
      <c r="Q5" s="14">
        <v>2171138416</v>
      </c>
      <c r="R5" s="14">
        <v>318578024</v>
      </c>
      <c r="S5" s="14">
        <v>23180824</v>
      </c>
      <c r="T5" s="14">
        <v>1829379568</v>
      </c>
      <c r="U5" s="15" t="s">
        <v>571</v>
      </c>
      <c r="V5" s="15" t="s">
        <v>571</v>
      </c>
      <c r="W5" s="15" t="s">
        <v>571</v>
      </c>
      <c r="X5" s="15" t="s">
        <v>571</v>
      </c>
      <c r="Y5" s="15" t="s">
        <v>571</v>
      </c>
      <c r="Z5" s="16">
        <v>71192.5</v>
      </c>
      <c r="AA5" s="16">
        <v>0</v>
      </c>
      <c r="AB5" s="16">
        <v>323.91399999999999</v>
      </c>
      <c r="AC5" s="16">
        <v>0</v>
      </c>
      <c r="AE5" s="17">
        <f t="shared" ref="AE5:AE11" si="7">IF(ISBLANK(Q5),"·",Q5/(C5*(D5*3+IF(AND(ISNUMBER(T5),T5&gt;0),24,0))))</f>
        <v>0.16883004942519983</v>
      </c>
      <c r="AF5" s="11" t="str">
        <f t="shared" ref="AF5:AF11" si="8">IF(OR(ISBLANK(AN5),ISBLANK(F5)),"·",AN5*F5/E5/1000000)</f>
        <v>·</v>
      </c>
      <c r="AG5" s="12" t="str">
        <f t="shared" ref="AG5:AG11" si="9">IF(ISBLANK(AN5),"·",AN5/C5)</f>
        <v>·</v>
      </c>
      <c r="AH5" s="12" t="str">
        <f t="shared" ref="AH5:AH11" si="10">IF(AK5="","·",AK5/C5)</f>
        <v>·</v>
      </c>
      <c r="AI5" s="12" t="str">
        <f t="shared" ref="AI5:AI11" si="11">IF(AO5="","·",AO5/C5)</f>
        <v>·</v>
      </c>
      <c r="AJ5" s="12" t="str">
        <f t="shared" ref="AJ5:AJ11" si="12">IF(ISBLANK(AQ5),"·",AQ5/C5)</f>
        <v>·</v>
      </c>
      <c r="AK5" s="54" t="str">
        <f t="shared" ref="AK5:AK11" si="13">IF(OR(ISBLANK(AO5),ISBLANK(AP5)),"",AO5+AP5)</f>
        <v/>
      </c>
      <c r="AL5" s="12">
        <v>16</v>
      </c>
      <c r="AM5" s="13"/>
      <c r="AN5" s="14"/>
      <c r="AO5" s="14"/>
      <c r="AP5" s="14"/>
      <c r="AQ5" s="14"/>
      <c r="AR5" s="15"/>
      <c r="AS5" s="15"/>
      <c r="AT5" s="15"/>
      <c r="AU5" s="15"/>
      <c r="AV5" s="15"/>
      <c r="AW5" s="16"/>
      <c r="AX5" s="16"/>
      <c r="AY5" s="16"/>
      <c r="AZ5" s="16"/>
      <c r="BB5" s="51" t="e">
        <f t="shared" ref="BB5:BB15" si="14">AG5/J5</f>
        <v>#VALUE!</v>
      </c>
      <c r="BC5" s="51" t="e">
        <f t="shared" ref="BC5:BC15" si="15">AH5/K5</f>
        <v>#VALUE!</v>
      </c>
      <c r="BD5" s="51" t="e">
        <f t="shared" ref="BD5:BD15" si="16">AI5/L5</f>
        <v>#VALUE!</v>
      </c>
      <c r="BE5" s="51" t="e">
        <f t="shared" ref="BE5:BE15" si="17">AJ5/M5</f>
        <v>#VALUE!</v>
      </c>
      <c r="BF5" s="17" t="e">
        <f t="shared" ref="BF5:BF11" si="18">(AK5/AN5) - (N5/Q5)</f>
        <v>#VALUE!</v>
      </c>
      <c r="BG5" s="17" t="e">
        <f t="array" ref="BG5">AVERAGE(AK5:AK5/AN5:AN5) - AVERAGE(N5:N5/Q5:Q5)</f>
        <v>#VALUE!</v>
      </c>
    </row>
    <row r="6" spans="1:59" collapsed="1" x14ac:dyDescent="0.25">
      <c r="A6" s="18"/>
      <c r="B6" s="18" t="s">
        <v>57</v>
      </c>
      <c r="C6" s="18">
        <v>218121242</v>
      </c>
      <c r="D6" s="19">
        <v>10</v>
      </c>
      <c r="E6" s="19">
        <v>300</v>
      </c>
      <c r="F6" s="19">
        <v>30</v>
      </c>
      <c r="H6" s="26">
        <f t="shared" si="0"/>
        <v>0.24068135056333079</v>
      </c>
      <c r="I6" s="20">
        <f t="shared" si="1"/>
        <v>283.48766160000002</v>
      </c>
      <c r="J6" s="21">
        <f t="shared" si="2"/>
        <v>12.996792930419863</v>
      </c>
      <c r="K6" s="21">
        <f t="shared" si="3"/>
        <v>1.7645717238305474</v>
      </c>
      <c r="L6" s="21">
        <f t="shared" si="4"/>
        <v>1.6028042972540932</v>
      </c>
      <c r="M6" s="21">
        <f t="shared" si="5"/>
        <v>11.232221206589315</v>
      </c>
      <c r="N6" s="18">
        <f t="shared" si="6"/>
        <v>384890576</v>
      </c>
      <c r="O6" s="21">
        <v>16</v>
      </c>
      <c r="P6" s="22">
        <v>218121242</v>
      </c>
      <c r="Q6" s="23">
        <v>2834876616</v>
      </c>
      <c r="R6" s="23">
        <v>349605664</v>
      </c>
      <c r="S6" s="23">
        <v>35284912</v>
      </c>
      <c r="T6" s="23">
        <v>2449986040</v>
      </c>
      <c r="U6" s="24" t="s">
        <v>571</v>
      </c>
      <c r="V6" s="24" t="s">
        <v>571</v>
      </c>
      <c r="W6" s="24" t="s">
        <v>571</v>
      </c>
      <c r="X6" s="24" t="s">
        <v>571</v>
      </c>
      <c r="Y6" s="24" t="s">
        <v>571</v>
      </c>
      <c r="Z6" s="25">
        <v>71215.100000000006</v>
      </c>
      <c r="AA6" s="25">
        <v>0</v>
      </c>
      <c r="AB6" s="25">
        <v>333.68400000000003</v>
      </c>
      <c r="AC6" s="25">
        <v>0</v>
      </c>
      <c r="AE6" s="26">
        <f t="shared" si="7"/>
        <v>0.24068135056333079</v>
      </c>
      <c r="AF6" s="20" t="str">
        <f t="shared" si="8"/>
        <v>·</v>
      </c>
      <c r="AG6" s="21" t="str">
        <f t="shared" si="9"/>
        <v>·</v>
      </c>
      <c r="AH6" s="21" t="str">
        <f t="shared" si="10"/>
        <v>·</v>
      </c>
      <c r="AI6" s="21" t="str">
        <f t="shared" si="11"/>
        <v>·</v>
      </c>
      <c r="AJ6" s="21" t="str">
        <f t="shared" si="12"/>
        <v>·</v>
      </c>
      <c r="AK6" s="18" t="str">
        <f t="shared" si="13"/>
        <v/>
      </c>
      <c r="AL6" s="21">
        <v>16</v>
      </c>
      <c r="AM6" s="22"/>
      <c r="AN6" s="23"/>
      <c r="AO6" s="23"/>
      <c r="AP6" s="23"/>
      <c r="AQ6" s="23"/>
      <c r="AR6" s="24"/>
      <c r="AS6" s="24"/>
      <c r="AT6" s="24"/>
      <c r="AU6" s="24"/>
      <c r="AV6" s="24"/>
      <c r="AW6" s="25"/>
      <c r="AX6" s="25"/>
      <c r="AY6" s="25"/>
      <c r="AZ6" s="25"/>
      <c r="BB6" s="50" t="e">
        <f t="shared" si="14"/>
        <v>#VALUE!</v>
      </c>
      <c r="BC6" s="50" t="e">
        <f t="shared" si="15"/>
        <v>#VALUE!</v>
      </c>
      <c r="BD6" s="50" t="e">
        <f t="shared" si="16"/>
        <v>#VALUE!</v>
      </c>
      <c r="BE6" s="50" t="e">
        <f t="shared" si="17"/>
        <v>#VALUE!</v>
      </c>
      <c r="BF6" s="26" t="e">
        <f t="shared" si="18"/>
        <v>#VALUE!</v>
      </c>
      <c r="BG6" s="26" t="e">
        <f t="array" ref="BG6">AVERAGE(AK6:AK6/AN6:AN6) - AVERAGE(N6:N6/Q6:Q6)</f>
        <v>#VALUE!</v>
      </c>
    </row>
    <row r="7" spans="1:59" collapsed="1" x14ac:dyDescent="0.25">
      <c r="A7" s="54"/>
      <c r="B7" s="54" t="s">
        <v>62</v>
      </c>
      <c r="C7" s="54">
        <v>322589704</v>
      </c>
      <c r="D7" s="10">
        <v>10</v>
      </c>
      <c r="E7" s="10">
        <v>300</v>
      </c>
      <c r="F7" s="10">
        <v>30</v>
      </c>
      <c r="H7" s="17">
        <f t="shared" si="0"/>
        <v>0.18814709322251374</v>
      </c>
      <c r="I7" s="11">
        <f t="shared" si="1"/>
        <v>327.74930160000002</v>
      </c>
      <c r="J7" s="12">
        <f t="shared" si="2"/>
        <v>10.159943034015742</v>
      </c>
      <c r="K7" s="12">
        <f t="shared" si="3"/>
        <v>1.6486681918403694</v>
      </c>
      <c r="L7" s="12">
        <f t="shared" si="4"/>
        <v>1.5287132412632736</v>
      </c>
      <c r="M7" s="12">
        <f t="shared" si="5"/>
        <v>8.5112748421753714</v>
      </c>
      <c r="N7" s="54">
        <f t="shared" si="6"/>
        <v>531843384</v>
      </c>
      <c r="O7" s="12">
        <v>16</v>
      </c>
      <c r="P7" s="13">
        <v>322589704</v>
      </c>
      <c r="Q7" s="14">
        <v>3277493016</v>
      </c>
      <c r="R7" s="14">
        <v>493147152</v>
      </c>
      <c r="S7" s="14">
        <v>38696232</v>
      </c>
      <c r="T7" s="14">
        <v>2745649632</v>
      </c>
      <c r="U7" s="15" t="s">
        <v>571</v>
      </c>
      <c r="V7" s="15" t="s">
        <v>571</v>
      </c>
      <c r="W7" s="15" t="s">
        <v>571</v>
      </c>
      <c r="X7" s="15" t="s">
        <v>571</v>
      </c>
      <c r="Y7" s="15" t="s">
        <v>571</v>
      </c>
      <c r="Z7" s="16">
        <v>96059</v>
      </c>
      <c r="AA7" s="16">
        <v>0</v>
      </c>
      <c r="AB7" s="16">
        <v>401.91800000000001</v>
      </c>
      <c r="AC7" s="16">
        <v>0</v>
      </c>
      <c r="AE7" s="17">
        <f t="shared" si="7"/>
        <v>0.18814709322251374</v>
      </c>
      <c r="AF7" s="11" t="str">
        <f t="shared" si="8"/>
        <v>·</v>
      </c>
      <c r="AG7" s="12" t="str">
        <f t="shared" si="9"/>
        <v>·</v>
      </c>
      <c r="AH7" s="12" t="str">
        <f t="shared" si="10"/>
        <v>·</v>
      </c>
      <c r="AI7" s="12" t="str">
        <f t="shared" si="11"/>
        <v>·</v>
      </c>
      <c r="AJ7" s="12" t="str">
        <f t="shared" si="12"/>
        <v>·</v>
      </c>
      <c r="AK7" s="54" t="str">
        <f t="shared" si="13"/>
        <v/>
      </c>
      <c r="AL7" s="12">
        <v>16</v>
      </c>
      <c r="AM7" s="13"/>
      <c r="AN7" s="14"/>
      <c r="AO7" s="14"/>
      <c r="AP7" s="14"/>
      <c r="AQ7" s="14"/>
      <c r="AR7" s="15"/>
      <c r="AS7" s="15"/>
      <c r="AT7" s="15"/>
      <c r="AU7" s="15"/>
      <c r="AV7" s="15"/>
      <c r="AW7" s="16"/>
      <c r="AX7" s="16"/>
      <c r="AY7" s="16"/>
      <c r="AZ7" s="16"/>
      <c r="BB7" s="51" t="e">
        <f t="shared" si="14"/>
        <v>#VALUE!</v>
      </c>
      <c r="BC7" s="51" t="e">
        <f t="shared" si="15"/>
        <v>#VALUE!</v>
      </c>
      <c r="BD7" s="51" t="e">
        <f t="shared" si="16"/>
        <v>#VALUE!</v>
      </c>
      <c r="BE7" s="51" t="e">
        <f t="shared" si="17"/>
        <v>#VALUE!</v>
      </c>
      <c r="BF7" s="17" t="e">
        <f t="shared" si="18"/>
        <v>#VALUE!</v>
      </c>
      <c r="BG7" s="17" t="e">
        <f t="array" ref="BG7">AVERAGE(AK7:AK7/AN7:AN7) - AVERAGE(N7:N7/Q7:Q7)</f>
        <v>#VALUE!</v>
      </c>
    </row>
    <row r="8" spans="1:59" collapsed="1" x14ac:dyDescent="0.25">
      <c r="A8" s="37"/>
      <c r="B8" s="37" t="s">
        <v>68</v>
      </c>
      <c r="C8" s="37">
        <v>250602891</v>
      </c>
      <c r="D8" s="38">
        <v>10</v>
      </c>
      <c r="E8" s="38">
        <v>250</v>
      </c>
      <c r="F8" s="38">
        <v>50</v>
      </c>
      <c r="H8" s="46">
        <f t="shared" si="0"/>
        <v>0.16084885351024822</v>
      </c>
      <c r="I8" s="39">
        <f t="shared" si="1"/>
        <v>435.33922719999998</v>
      </c>
      <c r="J8" s="40">
        <f t="shared" si="2"/>
        <v>8.6858380895534051</v>
      </c>
      <c r="K8" s="40">
        <f t="shared" si="3"/>
        <v>1.2332003624012462</v>
      </c>
      <c r="L8" s="40">
        <f t="shared" si="4"/>
        <v>1.0904327197087282</v>
      </c>
      <c r="M8" s="40">
        <f t="shared" si="5"/>
        <v>7.4526377271521582</v>
      </c>
      <c r="N8" s="37">
        <f t="shared" si="6"/>
        <v>309043576</v>
      </c>
      <c r="O8" s="40">
        <v>16</v>
      </c>
      <c r="P8" s="41">
        <v>250602891</v>
      </c>
      <c r="Q8" s="42">
        <v>2176696136</v>
      </c>
      <c r="R8" s="42">
        <v>273265592</v>
      </c>
      <c r="S8" s="42">
        <v>35777984</v>
      </c>
      <c r="T8" s="42">
        <v>1867652560</v>
      </c>
      <c r="U8" s="43" t="s">
        <v>571</v>
      </c>
      <c r="V8" s="43" t="s">
        <v>571</v>
      </c>
      <c r="W8" s="43" t="s">
        <v>571</v>
      </c>
      <c r="X8" s="43" t="s">
        <v>571</v>
      </c>
      <c r="Y8" s="43" t="s">
        <v>571</v>
      </c>
      <c r="Z8" s="44">
        <v>68210.7</v>
      </c>
      <c r="AA8" s="44">
        <v>0</v>
      </c>
      <c r="AB8" s="44">
        <v>305.82100000000003</v>
      </c>
      <c r="AC8" s="44">
        <v>0</v>
      </c>
      <c r="AE8" s="46">
        <f t="shared" si="7"/>
        <v>0.16084885351024822</v>
      </c>
      <c r="AF8" s="39" t="str">
        <f t="shared" si="8"/>
        <v>·</v>
      </c>
      <c r="AG8" s="40" t="str">
        <f t="shared" si="9"/>
        <v>·</v>
      </c>
      <c r="AH8" s="40" t="str">
        <f t="shared" si="10"/>
        <v>·</v>
      </c>
      <c r="AI8" s="40" t="str">
        <f t="shared" si="11"/>
        <v>·</v>
      </c>
      <c r="AJ8" s="40" t="str">
        <f t="shared" si="12"/>
        <v>·</v>
      </c>
      <c r="AK8" s="37" t="str">
        <f t="shared" si="13"/>
        <v/>
      </c>
      <c r="AL8" s="40">
        <v>16</v>
      </c>
      <c r="AM8" s="41"/>
      <c r="AN8" s="42"/>
      <c r="AO8" s="42"/>
      <c r="AP8" s="42"/>
      <c r="AQ8" s="42"/>
      <c r="AR8" s="43"/>
      <c r="AS8" s="43"/>
      <c r="AT8" s="43"/>
      <c r="AU8" s="43"/>
      <c r="AV8" s="43"/>
      <c r="AW8" s="44"/>
      <c r="AX8" s="44"/>
      <c r="AY8" s="44"/>
      <c r="AZ8" s="44"/>
      <c r="BB8" s="45" t="e">
        <f t="shared" si="14"/>
        <v>#VALUE!</v>
      </c>
      <c r="BC8" s="45" t="e">
        <f t="shared" si="15"/>
        <v>#VALUE!</v>
      </c>
      <c r="BD8" s="45" t="e">
        <f t="shared" si="16"/>
        <v>#VALUE!</v>
      </c>
      <c r="BE8" s="45" t="e">
        <f t="shared" si="17"/>
        <v>#VALUE!</v>
      </c>
      <c r="BF8" s="46" t="e">
        <f t="shared" si="18"/>
        <v>#VALUE!</v>
      </c>
      <c r="BG8" s="46" t="e">
        <f t="array" ref="BG8">AVERAGE(AK8:AK8/AN8:AN8) - AVERAGE(N8:N8/Q8:Q8)</f>
        <v>#VALUE!</v>
      </c>
    </row>
    <row r="9" spans="1:59" collapsed="1" x14ac:dyDescent="0.25">
      <c r="A9" s="27" t="s">
        <v>235</v>
      </c>
      <c r="B9" s="27" t="s">
        <v>71</v>
      </c>
      <c r="C9" s="27">
        <v>250294582</v>
      </c>
      <c r="D9" s="28">
        <v>10</v>
      </c>
      <c r="E9" s="28">
        <v>300</v>
      </c>
      <c r="F9" s="28">
        <v>30</v>
      </c>
      <c r="H9" s="36">
        <f t="shared" si="0"/>
        <v>0.27566085812939911</v>
      </c>
      <c r="I9" s="29">
        <f t="shared" si="1"/>
        <v>372.58066400000001</v>
      </c>
      <c r="J9" s="30">
        <f t="shared" si="2"/>
        <v>14.885686338987554</v>
      </c>
      <c r="K9" s="30">
        <f t="shared" si="3"/>
        <v>1.5221730368897877</v>
      </c>
      <c r="L9" s="30">
        <f t="shared" si="4"/>
        <v>1.4223212870025288</v>
      </c>
      <c r="M9" s="30">
        <f t="shared" si="5"/>
        <v>13.363513302097767</v>
      </c>
      <c r="N9" s="27">
        <f t="shared" si="6"/>
        <v>380991664</v>
      </c>
      <c r="O9" s="30">
        <v>16</v>
      </c>
      <c r="P9" s="31">
        <v>250294582</v>
      </c>
      <c r="Q9" s="32">
        <v>3725806640</v>
      </c>
      <c r="R9" s="32">
        <v>355999312</v>
      </c>
      <c r="S9" s="32">
        <v>24992352</v>
      </c>
      <c r="T9" s="32">
        <v>3344814976</v>
      </c>
      <c r="U9" s="33" t="s">
        <v>571</v>
      </c>
      <c r="V9" s="33" t="s">
        <v>571</v>
      </c>
      <c r="W9" s="33" t="s">
        <v>571</v>
      </c>
      <c r="X9" s="33" t="s">
        <v>571</v>
      </c>
      <c r="Y9" s="33" t="s">
        <v>571</v>
      </c>
      <c r="Z9" s="34">
        <v>69823.100000000006</v>
      </c>
      <c r="AA9" s="34">
        <v>0</v>
      </c>
      <c r="AB9" s="34">
        <v>364.75</v>
      </c>
      <c r="AC9" s="34">
        <v>0</v>
      </c>
      <c r="AE9" s="36">
        <f t="shared" si="7"/>
        <v>0.27566085812939911</v>
      </c>
      <c r="AF9" s="29" t="str">
        <f t="shared" si="8"/>
        <v>·</v>
      </c>
      <c r="AG9" s="30" t="str">
        <f t="shared" si="9"/>
        <v>·</v>
      </c>
      <c r="AH9" s="30" t="str">
        <f t="shared" si="10"/>
        <v>·</v>
      </c>
      <c r="AI9" s="30" t="str">
        <f t="shared" si="11"/>
        <v>·</v>
      </c>
      <c r="AJ9" s="30" t="str">
        <f t="shared" si="12"/>
        <v>·</v>
      </c>
      <c r="AK9" s="27" t="str">
        <f t="shared" si="13"/>
        <v/>
      </c>
      <c r="AL9" s="30">
        <v>16</v>
      </c>
      <c r="AM9" s="31"/>
      <c r="AN9" s="32"/>
      <c r="AO9" s="32"/>
      <c r="AP9" s="32"/>
      <c r="AQ9" s="32"/>
      <c r="AR9" s="33"/>
      <c r="AS9" s="33"/>
      <c r="AT9" s="33"/>
      <c r="AU9" s="33"/>
      <c r="AV9" s="33"/>
      <c r="AW9" s="34"/>
      <c r="AX9" s="34"/>
      <c r="AY9" s="34"/>
      <c r="AZ9" s="34"/>
      <c r="BB9" s="35" t="e">
        <f t="shared" si="14"/>
        <v>#VALUE!</v>
      </c>
      <c r="BC9" s="35" t="e">
        <f t="shared" si="15"/>
        <v>#VALUE!</v>
      </c>
      <c r="BD9" s="35" t="e">
        <f t="shared" si="16"/>
        <v>#VALUE!</v>
      </c>
      <c r="BE9" s="35" t="e">
        <f t="shared" si="17"/>
        <v>#VALUE!</v>
      </c>
      <c r="BF9" s="36" t="e">
        <f t="shared" si="18"/>
        <v>#VALUE!</v>
      </c>
      <c r="BG9" s="36" t="e">
        <f t="array" ref="BG9">AVERAGE(AK9:AK9/AN9:AN9) - AVERAGE(N9:N9/Q9:Q9)</f>
        <v>#VALUE!</v>
      </c>
    </row>
    <row r="10" spans="1:59" collapsed="1" x14ac:dyDescent="0.25">
      <c r="A10" s="18" t="s">
        <v>236</v>
      </c>
      <c r="B10" s="18" t="s">
        <v>75</v>
      </c>
      <c r="C10" s="18">
        <v>186907991</v>
      </c>
      <c r="D10" s="19">
        <v>11</v>
      </c>
      <c r="E10" s="19">
        <v>64</v>
      </c>
      <c r="F10" s="19">
        <v>30</v>
      </c>
      <c r="H10" s="26">
        <f t="shared" si="0"/>
        <v>0.17270896767296909</v>
      </c>
      <c r="I10" s="20">
        <f t="shared" si="1"/>
        <v>862.49958375000006</v>
      </c>
      <c r="J10" s="21">
        <f t="shared" si="2"/>
        <v>9.8444111573592377</v>
      </c>
      <c r="K10" s="21">
        <f t="shared" si="3"/>
        <v>1.1299537856570294</v>
      </c>
      <c r="L10" s="21">
        <f t="shared" si="4"/>
        <v>1.0794528308851172</v>
      </c>
      <c r="M10" s="21">
        <f t="shared" si="5"/>
        <v>8.714457371702208</v>
      </c>
      <c r="N10" s="18">
        <f t="shared" si="6"/>
        <v>211197392</v>
      </c>
      <c r="O10" s="21">
        <v>16</v>
      </c>
      <c r="P10" s="22">
        <v>186907991</v>
      </c>
      <c r="Q10" s="23">
        <v>1839999112</v>
      </c>
      <c r="R10" s="23">
        <v>201758360</v>
      </c>
      <c r="S10" s="23">
        <v>9439032</v>
      </c>
      <c r="T10" s="23">
        <v>1628801720</v>
      </c>
      <c r="U10" s="24" t="s">
        <v>571</v>
      </c>
      <c r="V10" s="24" t="s">
        <v>571</v>
      </c>
      <c r="W10" s="24" t="s">
        <v>571</v>
      </c>
      <c r="X10" s="24" t="s">
        <v>571</v>
      </c>
      <c r="Y10" s="24" t="s">
        <v>571</v>
      </c>
      <c r="Z10" s="25">
        <v>41836.9</v>
      </c>
      <c r="AA10" s="25">
        <v>0</v>
      </c>
      <c r="AB10" s="25">
        <v>217.077</v>
      </c>
      <c r="AC10" s="25">
        <v>0</v>
      </c>
      <c r="AE10" s="26">
        <f t="shared" si="7"/>
        <v>0.17270896767296909</v>
      </c>
      <c r="AF10" s="20" t="str">
        <f t="shared" si="8"/>
        <v>·</v>
      </c>
      <c r="AG10" s="21" t="str">
        <f t="shared" si="9"/>
        <v>·</v>
      </c>
      <c r="AH10" s="21" t="str">
        <f t="shared" si="10"/>
        <v>·</v>
      </c>
      <c r="AI10" s="21" t="str">
        <f t="shared" si="11"/>
        <v>·</v>
      </c>
      <c r="AJ10" s="21" t="str">
        <f t="shared" si="12"/>
        <v>·</v>
      </c>
      <c r="AK10" s="18" t="str">
        <f t="shared" si="13"/>
        <v/>
      </c>
      <c r="AL10" s="21">
        <v>16</v>
      </c>
      <c r="AM10" s="22"/>
      <c r="AN10" s="23"/>
      <c r="AO10" s="23"/>
      <c r="AP10" s="23"/>
      <c r="AQ10" s="23"/>
      <c r="AR10" s="24"/>
      <c r="AS10" s="24"/>
      <c r="AT10" s="24"/>
      <c r="AU10" s="24"/>
      <c r="AV10" s="24"/>
      <c r="AW10" s="25"/>
      <c r="AX10" s="25"/>
      <c r="AY10" s="25"/>
      <c r="AZ10" s="25"/>
      <c r="BB10" s="50" t="e">
        <f t="shared" si="14"/>
        <v>#VALUE!</v>
      </c>
      <c r="BC10" s="50" t="e">
        <f t="shared" si="15"/>
        <v>#VALUE!</v>
      </c>
      <c r="BD10" s="50" t="e">
        <f t="shared" si="16"/>
        <v>#VALUE!</v>
      </c>
      <c r="BE10" s="50" t="e">
        <f t="shared" si="17"/>
        <v>#VALUE!</v>
      </c>
      <c r="BF10" s="26" t="e">
        <f t="shared" si="18"/>
        <v>#VALUE!</v>
      </c>
      <c r="BG10" s="26" t="e">
        <f t="array" ref="BG10">AVERAGE(AK10:AK10/AN10:AN10) - AVERAGE(N10:N10/Q10:Q10)</f>
        <v>#VALUE!</v>
      </c>
    </row>
    <row r="11" spans="1:59" collapsed="1" x14ac:dyDescent="0.25">
      <c r="A11" s="27"/>
      <c r="B11" s="27" t="s">
        <v>80</v>
      </c>
      <c r="C11" s="27">
        <v>166028718</v>
      </c>
      <c r="D11" s="28">
        <v>11</v>
      </c>
      <c r="E11" s="28">
        <v>64</v>
      </c>
      <c r="F11" s="28">
        <v>30</v>
      </c>
      <c r="H11" s="36">
        <f t="shared" si="0"/>
        <v>0.17527605221654508</v>
      </c>
      <c r="I11" s="29">
        <f t="shared" si="1"/>
        <v>777.53855625000006</v>
      </c>
      <c r="J11" s="30">
        <f t="shared" si="2"/>
        <v>9.9907349763430684</v>
      </c>
      <c r="K11" s="30">
        <f t="shared" si="3"/>
        <v>1.194583312990467</v>
      </c>
      <c r="L11" s="30">
        <f t="shared" si="4"/>
        <v>1.1364582842830842</v>
      </c>
      <c r="M11" s="30">
        <f t="shared" si="5"/>
        <v>8.7961516633526013</v>
      </c>
      <c r="N11" s="27">
        <f t="shared" si="6"/>
        <v>198335136</v>
      </c>
      <c r="O11" s="30">
        <v>16</v>
      </c>
      <c r="P11" s="31">
        <v>166028718</v>
      </c>
      <c r="Q11" s="32">
        <v>1658748920</v>
      </c>
      <c r="R11" s="32">
        <v>188684712</v>
      </c>
      <c r="S11" s="32">
        <v>9650424</v>
      </c>
      <c r="T11" s="32">
        <v>1460413784</v>
      </c>
      <c r="U11" s="33" t="s">
        <v>571</v>
      </c>
      <c r="V11" s="33" t="s">
        <v>571</v>
      </c>
      <c r="W11" s="33" t="s">
        <v>571</v>
      </c>
      <c r="X11" s="33" t="s">
        <v>571</v>
      </c>
      <c r="Y11" s="33" t="s">
        <v>571</v>
      </c>
      <c r="Z11" s="34">
        <v>38105.300000000003</v>
      </c>
      <c r="AA11" s="34">
        <v>0</v>
      </c>
      <c r="AB11" s="34">
        <v>201.45</v>
      </c>
      <c r="AC11" s="34">
        <v>0</v>
      </c>
      <c r="AE11" s="36">
        <f t="shared" si="7"/>
        <v>0.17527605221654508</v>
      </c>
      <c r="AF11" s="29" t="str">
        <f t="shared" si="8"/>
        <v>·</v>
      </c>
      <c r="AG11" s="30" t="str">
        <f t="shared" si="9"/>
        <v>·</v>
      </c>
      <c r="AH11" s="30" t="str">
        <f t="shared" si="10"/>
        <v>·</v>
      </c>
      <c r="AI11" s="30" t="str">
        <f t="shared" si="11"/>
        <v>·</v>
      </c>
      <c r="AJ11" s="30" t="str">
        <f t="shared" si="12"/>
        <v>·</v>
      </c>
      <c r="AK11" s="27" t="str">
        <f t="shared" si="13"/>
        <v/>
      </c>
      <c r="AL11" s="30">
        <v>16</v>
      </c>
      <c r="AM11" s="31"/>
      <c r="AN11" s="32"/>
      <c r="AO11" s="32"/>
      <c r="AP11" s="32"/>
      <c r="AQ11" s="32"/>
      <c r="AR11" s="33"/>
      <c r="AS11" s="33"/>
      <c r="AT11" s="33"/>
      <c r="AU11" s="33"/>
      <c r="AV11" s="33"/>
      <c r="AW11" s="34"/>
      <c r="AX11" s="34"/>
      <c r="AY11" s="34"/>
      <c r="AZ11" s="34"/>
      <c r="BB11" s="35" t="e">
        <f t="shared" si="14"/>
        <v>#VALUE!</v>
      </c>
      <c r="BC11" s="35" t="e">
        <f t="shared" si="15"/>
        <v>#VALUE!</v>
      </c>
      <c r="BD11" s="35" t="e">
        <f t="shared" si="16"/>
        <v>#VALUE!</v>
      </c>
      <c r="BE11" s="35" t="e">
        <f t="shared" si="17"/>
        <v>#VALUE!</v>
      </c>
      <c r="BF11" s="36" t="e">
        <f t="shared" si="18"/>
        <v>#VALUE!</v>
      </c>
      <c r="BG11" s="36" t="e">
        <f t="array" ref="BG11">AVERAGE(AK11:AK11/AN11:AN11) - AVERAGE(N11:N11/Q11:Q11)</f>
        <v>#VALUE!</v>
      </c>
    </row>
    <row r="12" spans="1:59" x14ac:dyDescent="0.25">
      <c r="B12" s="47" t="s">
        <v>14</v>
      </c>
      <c r="J12" s="48">
        <f>AVERAGE(J5:J8)</f>
        <v>10.239849180737449</v>
      </c>
      <c r="K12" s="48">
        <f>AVERAGE(K5:K8)</f>
        <v>1.520379781043923</v>
      </c>
      <c r="L12" s="48">
        <f>AVERAGE(L5:L8)</f>
        <v>1.3899226389893755</v>
      </c>
      <c r="M12" s="48">
        <f>AVERAGE(M5:M8)</f>
        <v>8.7194693996935264</v>
      </c>
      <c r="AG12" s="48" t="e">
        <f>AVERAGE(AG5:AG8)</f>
        <v>#DIV/0!</v>
      </c>
      <c r="AH12" s="48" t="e">
        <f>AVERAGE(AH5:AH8)</f>
        <v>#DIV/0!</v>
      </c>
      <c r="AI12" s="48" t="e">
        <f>AVERAGE(AI5:AI8)</f>
        <v>#DIV/0!</v>
      </c>
      <c r="AJ12" s="48" t="e">
        <f>AVERAGE(AJ5:AJ8)</f>
        <v>#DIV/0!</v>
      </c>
      <c r="BB12" s="52" t="e">
        <f t="shared" si="14"/>
        <v>#DIV/0!</v>
      </c>
      <c r="BC12" s="52" t="e">
        <f t="shared" si="15"/>
        <v>#DIV/0!</v>
      </c>
      <c r="BD12" s="52" t="e">
        <f t="shared" si="16"/>
        <v>#DIV/0!</v>
      </c>
      <c r="BE12" s="52" t="e">
        <f t="shared" si="17"/>
        <v>#DIV/0!</v>
      </c>
      <c r="BG12" s="55" t="e">
        <f>AVERAGE(BG5:BG8)</f>
        <v>#VALUE!</v>
      </c>
    </row>
    <row r="13" spans="1:59" x14ac:dyDescent="0.25">
      <c r="B13" s="47" t="s">
        <v>15</v>
      </c>
      <c r="J13" s="48">
        <f>AVERAGE(J9:J9)</f>
        <v>14.885686338987554</v>
      </c>
      <c r="K13" s="48">
        <f>AVERAGE(K9:K9)</f>
        <v>1.5221730368897877</v>
      </c>
      <c r="L13" s="48">
        <f>AVERAGE(L9:L9)</f>
        <v>1.4223212870025288</v>
      </c>
      <c r="M13" s="48">
        <f>AVERAGE(M9:M9)</f>
        <v>13.363513302097767</v>
      </c>
      <c r="AG13" s="48" t="e">
        <f>AVERAGE(AG9:AG9)</f>
        <v>#DIV/0!</v>
      </c>
      <c r="AH13" s="48" t="e">
        <f>AVERAGE(AH9:AH9)</f>
        <v>#DIV/0!</v>
      </c>
      <c r="AI13" s="48" t="e">
        <f>AVERAGE(AI9:AI9)</f>
        <v>#DIV/0!</v>
      </c>
      <c r="AJ13" s="48" t="e">
        <f>AVERAGE(AJ9:AJ9)</f>
        <v>#DIV/0!</v>
      </c>
      <c r="BB13" s="52" t="e">
        <f t="shared" si="14"/>
        <v>#DIV/0!</v>
      </c>
      <c r="BC13" s="52" t="e">
        <f t="shared" si="15"/>
        <v>#DIV/0!</v>
      </c>
      <c r="BD13" s="52" t="e">
        <f t="shared" si="16"/>
        <v>#DIV/0!</v>
      </c>
      <c r="BE13" s="52" t="e">
        <f t="shared" si="17"/>
        <v>#DIV/0!</v>
      </c>
      <c r="BG13" s="55" t="e">
        <f>AVERAGE(BG9:BG9)</f>
        <v>#VALUE!</v>
      </c>
    </row>
    <row r="14" spans="1:59" x14ac:dyDescent="0.25">
      <c r="B14" s="47" t="s">
        <v>16</v>
      </c>
      <c r="J14" s="48">
        <f>AVERAGE(J10:J11)</f>
        <v>9.917573066851153</v>
      </c>
      <c r="K14" s="48">
        <f>AVERAGE(K10:K11)</f>
        <v>1.1622685493237483</v>
      </c>
      <c r="L14" s="48">
        <f>AVERAGE(L10:L11)</f>
        <v>1.1079555575841007</v>
      </c>
      <c r="M14" s="48">
        <f>AVERAGE(M10:M11)</f>
        <v>8.7553045175274047</v>
      </c>
      <c r="AG14" s="48" t="e">
        <f>AVERAGE(AG10:AG11)</f>
        <v>#DIV/0!</v>
      </c>
      <c r="AH14" s="48" t="e">
        <f>AVERAGE(AH10:AH11)</f>
        <v>#DIV/0!</v>
      </c>
      <c r="AI14" s="48" t="e">
        <f>AVERAGE(AI10:AI11)</f>
        <v>#DIV/0!</v>
      </c>
      <c r="AJ14" s="48" t="e">
        <f>AVERAGE(AJ10:AJ11)</f>
        <v>#DIV/0!</v>
      </c>
      <c r="BB14" s="52" t="e">
        <f t="shared" si="14"/>
        <v>#DIV/0!</v>
      </c>
      <c r="BC14" s="52" t="e">
        <f t="shared" si="15"/>
        <v>#DIV/0!</v>
      </c>
      <c r="BD14" s="52" t="e">
        <f t="shared" si="16"/>
        <v>#DIV/0!</v>
      </c>
      <c r="BE14" s="52" t="e">
        <f t="shared" si="17"/>
        <v>#DIV/0!</v>
      </c>
      <c r="BG14" s="55" t="e">
        <f>AVERAGE(BG10:BG11)</f>
        <v>#VALUE!</v>
      </c>
    </row>
    <row r="15" spans="1:59" x14ac:dyDescent="0.25">
      <c r="B15" s="47" t="s">
        <v>17</v>
      </c>
      <c r="J15" s="48">
        <f>AVERAGE(J5:J11)</f>
        <v>10.811461313662807</v>
      </c>
      <c r="K15" s="48">
        <f>AVERAGE(K5:K11)</f>
        <v>1.4183184656732823</v>
      </c>
      <c r="L15" s="48">
        <f>AVERAGE(L5:L11)</f>
        <v>1.3139889940183187</v>
      </c>
      <c r="M15" s="48">
        <f>AVERAGE(M5:M11)</f>
        <v>9.3931428479895249</v>
      </c>
      <c r="AG15" s="48" t="e">
        <f>AVERAGE(AG5:AG11)</f>
        <v>#DIV/0!</v>
      </c>
      <c r="AH15" s="48" t="e">
        <f>AVERAGE(AH5:AH11)</f>
        <v>#DIV/0!</v>
      </c>
      <c r="AI15" s="48" t="e">
        <f>AVERAGE(AI5:AI11)</f>
        <v>#DIV/0!</v>
      </c>
      <c r="AJ15" s="48" t="e">
        <f>AVERAGE(AJ5:AJ11)</f>
        <v>#DIV/0!</v>
      </c>
      <c r="BB15" s="52" t="e">
        <f t="shared" si="14"/>
        <v>#DIV/0!</v>
      </c>
      <c r="BC15" s="52" t="e">
        <f t="shared" si="15"/>
        <v>#DIV/0!</v>
      </c>
      <c r="BD15" s="52" t="e">
        <f t="shared" si="16"/>
        <v>#DIV/0!</v>
      </c>
      <c r="BE15" s="52" t="e">
        <f t="shared" si="17"/>
        <v>#DIV/0!</v>
      </c>
      <c r="BG15" s="55" t="e">
        <f>AVERAGE(BG5:BG11)</f>
        <v>#VALUE!</v>
      </c>
    </row>
    <row r="16" spans="1:59" hidden="1" outlineLevel="2" x14ac:dyDescent="0.25">
      <c r="A16" s="47" t="s">
        <v>237</v>
      </c>
      <c r="B16" s="47" t="s">
        <v>238</v>
      </c>
      <c r="Z16" s="49">
        <f>SUM(Z5:Z8,Z9:Z9,Z10:Z11)</f>
        <v>456442.60000000003</v>
      </c>
      <c r="AA16" s="49">
        <f>SUM(AA5:AA8,AA9:AA9,AA10:AA11)</f>
        <v>0</v>
      </c>
      <c r="AB16" s="49">
        <f>SUM(AB5:AB8,AB9:AB9,AB10:AB11)</f>
        <v>2148.614</v>
      </c>
      <c r="AC16" s="49">
        <f>SUM(AC5:AC8,AC9:AC9,AC10:AC11)</f>
        <v>0</v>
      </c>
      <c r="AW16" s="49">
        <f>SUM(AW5:AW8,AW9:AW9,AW10:AW11)</f>
        <v>0</v>
      </c>
      <c r="AX16" s="49">
        <f>SUM(AX5:AX8,AX9:AX9,AX10:AX11)</f>
        <v>0</v>
      </c>
      <c r="AY16" s="49">
        <f>SUM(AY5:AY8,AY9:AY9,AY10:AY11)</f>
        <v>0</v>
      </c>
      <c r="AZ16" s="49">
        <f>SUM(AZ5:AZ8,AZ9:AZ9,AZ10:AZ11)</f>
        <v>0</v>
      </c>
    </row>
    <row r="17" spans="2:52" hidden="1" outlineLevel="2" x14ac:dyDescent="0.25">
      <c r="B17" s="47" t="s">
        <v>239</v>
      </c>
      <c r="AW17" s="55">
        <f>AW16/Z16</f>
        <v>0</v>
      </c>
      <c r="AX17" s="55" t="e">
        <f>AX16/AA16</f>
        <v>#DIV/0!</v>
      </c>
      <c r="AY17" s="55">
        <f>AY16/AB16</f>
        <v>0</v>
      </c>
      <c r="AZ17" s="55" t="e">
        <f>AZ16/AC16</f>
        <v>#DIV/0!</v>
      </c>
    </row>
    <row r="18" spans="2:52" hidden="1" outlineLevel="2" x14ac:dyDescent="0.25">
      <c r="B18" s="47" t="s">
        <v>240</v>
      </c>
      <c r="Z18" s="49">
        <f>GEOMEAN(Z5:Z8,Z9:Z9,Z10:Z11)</f>
        <v>62433.851896428576</v>
      </c>
      <c r="AA18" s="49" t="e">
        <f>GEOMEAN(AA5:AA8,AA9:AA9,AA10:AA11)</f>
        <v>#NUM!</v>
      </c>
      <c r="AB18" s="49">
        <f>GEOMEAN(AB5:AB8,AB9:AB9,AB10:AB11)</f>
        <v>298.65084608076921</v>
      </c>
      <c r="AC18" s="49" t="e">
        <f>GEOMEAN(AC5:AC8,AC9:AC9,AC10:AC11)</f>
        <v>#NUM!</v>
      </c>
      <c r="AW18" s="49" t="e">
        <f>GEOMEAN(AW5:AW8,AW9:AW9,AW10:AW11)</f>
        <v>#NUM!</v>
      </c>
      <c r="AX18" s="49" t="e">
        <f>GEOMEAN(AX5:AX8,AX9:AX9,AX10:AX11)</f>
        <v>#NUM!</v>
      </c>
      <c r="AY18" s="49" t="e">
        <f>GEOMEAN(AY5:AY8,AY9:AY9,AY10:AY11)</f>
        <v>#NUM!</v>
      </c>
      <c r="AZ18" s="49" t="e">
        <f>GEOMEAN(AZ5:AZ8,AZ9:AZ9,AZ10:AZ11)</f>
        <v>#NUM!</v>
      </c>
    </row>
    <row r="19" spans="2:52" outlineLevel="2" collapsed="1" x14ac:dyDescent="0.25">
      <c r="B19" s="47" t="s">
        <v>241</v>
      </c>
      <c r="AW19" s="55" t="e">
        <f>AW18/Z18</f>
        <v>#NUM!</v>
      </c>
      <c r="AX19" s="55" t="e">
        <f>AX18/AA18</f>
        <v>#NUM!</v>
      </c>
      <c r="AY19" s="55" t="e">
        <f>AY18/AB18</f>
        <v>#NUM!</v>
      </c>
      <c r="AZ19" s="55" t="e">
        <f>AZ18/AC18</f>
        <v>#NUM!</v>
      </c>
    </row>
  </sheetData>
  <mergeCells count="34">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 ref="AE2:AE3"/>
    <mergeCell ref="AF2:AF3"/>
    <mergeCell ref="AG2:AJ2"/>
    <mergeCell ref="O2:O3"/>
    <mergeCell ref="P2:P3"/>
    <mergeCell ref="Q2:T2"/>
    <mergeCell ref="U2:V2"/>
    <mergeCell ref="W2:Y2"/>
    <mergeCell ref="F2:F3"/>
    <mergeCell ref="H2:H3"/>
    <mergeCell ref="I2:I3"/>
    <mergeCell ref="J2:M2"/>
    <mergeCell ref="N2:N3"/>
    <mergeCell ref="A2:A3"/>
    <mergeCell ref="B2:B3"/>
    <mergeCell ref="C2:C3"/>
    <mergeCell ref="D2:D3"/>
    <mergeCell ref="E2:E3"/>
  </mergeCells>
  <conditionalFormatting sqref="BB5 BB6 BB7 BB8 BB9 BB10 BB11 BB12 BB13 BB14 BB15">
    <cfRule type="cellIs" dxfId="37" priority="3" operator="greaterThanOrEqual">
      <formula>1.03</formula>
    </cfRule>
    <cfRule type="cellIs" dxfId="36" priority="4" operator="lessThanOrEqual">
      <formula>0.97</formula>
    </cfRule>
  </conditionalFormatting>
  <conditionalFormatting sqref="BC5 BC6 BC7 BC8 BC9 BC10 BC11 BC12 BC13 BC14 BC15">
    <cfRule type="cellIs" dxfId="35" priority="7" operator="greaterThanOrEqual">
      <formula>1.03</formula>
    </cfRule>
    <cfRule type="cellIs" dxfId="34" priority="8" operator="lessThanOrEqual">
      <formula>0.97</formula>
    </cfRule>
  </conditionalFormatting>
  <conditionalFormatting sqref="BD5 BD6 BD7 BD8 BD9 BD10 BD11 BD12 BD13 BD14 BD15">
    <cfRule type="cellIs" dxfId="33" priority="1" operator="greaterThanOrEqual">
      <formula>1.03</formula>
    </cfRule>
    <cfRule type="cellIs" dxfId="32" priority="2" operator="lessThanOrEqual">
      <formula>0.97</formula>
    </cfRule>
  </conditionalFormatting>
  <conditionalFormatting sqref="BE5 BE6 BE7 BE8 BE9 BE10 BE11 BE12 BE13 BE14 BE15">
    <cfRule type="cellIs" dxfId="31" priority="5" operator="greaterThanOrEqual">
      <formula>1.03</formula>
    </cfRule>
    <cfRule type="cellIs" dxfId="30" priority="6" operator="lessThanOrEqual">
      <formula>0.97</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outlinePr summaryBelow="0"/>
  </sheetPr>
  <dimension ref="A1:BH19"/>
  <sheetViews>
    <sheetView zoomScale="55" zoomScaleNormal="55" workbookViewId="0">
      <pane xSplit="2" ySplit="4" topLeftCell="C5" activePane="bottomRight" state="frozen"/>
      <selection pane="topRight" activeCell="C1" sqref="C1"/>
      <selection pane="bottomLeft" activeCell="A5" sqref="A5"/>
      <selection pane="bottomRight" activeCell="H31" sqref="H31"/>
    </sheetView>
  </sheetViews>
  <sheetFormatPr defaultRowHeight="15" outlineLevelRow="2" x14ac:dyDescent="0.25"/>
  <cols>
    <col min="2" max="2" width="24.7109375" style="53" customWidth="1"/>
    <col min="3" max="4" width="10.7109375" style="53" customWidth="1"/>
    <col min="7" max="7" width="1.7109375" style="53" customWidth="1"/>
    <col min="10" max="13" width="10.7109375" style="53" customWidth="1"/>
    <col min="14" max="14" width="24.7109375" style="53" hidden="1" customWidth="1"/>
    <col min="15" max="15" width="12.7109375" style="53" customWidth="1"/>
    <col min="16" max="16" width="10.7109375" style="53" customWidth="1"/>
    <col min="17" max="20" width="12.7109375" style="53" customWidth="1"/>
    <col min="21" max="25" width="11.7109375" style="53" customWidth="1"/>
    <col min="30" max="30" width="1.7109375" style="53" customWidth="1"/>
    <col min="33" max="36" width="10.7109375" style="53" customWidth="1"/>
    <col min="37" max="37" width="24.7109375" style="53" hidden="1" customWidth="1"/>
    <col min="38" max="38" width="12.7109375" style="53" customWidth="1"/>
    <col min="39" max="39" width="10.7109375" style="53" customWidth="1"/>
    <col min="40" max="43" width="12.7109375" style="53" customWidth="1"/>
    <col min="44" max="48" width="11.7109375" style="53" customWidth="1"/>
    <col min="53" max="53" width="1.7109375" style="53" customWidth="1"/>
    <col min="60" max="60" width="1.7109375" style="53" customWidth="1"/>
  </cols>
  <sheetData>
    <row r="1" spans="1:59" x14ac:dyDescent="0.25">
      <c r="A1" s="73" t="s">
        <v>572</v>
      </c>
      <c r="B1" s="59"/>
      <c r="C1" s="59"/>
      <c r="D1" s="59"/>
      <c r="E1" s="59"/>
      <c r="F1" s="59"/>
      <c r="H1" s="58" t="str">
        <f>Summary!$C$1</f>
        <v>R10.0</v>
      </c>
      <c r="I1" s="59"/>
      <c r="J1" s="59"/>
      <c r="K1" s="59"/>
      <c r="L1" s="59"/>
      <c r="M1" s="59"/>
      <c r="N1" s="59"/>
      <c r="O1" s="59"/>
      <c r="P1" s="59"/>
      <c r="Q1" s="59"/>
      <c r="R1" s="59"/>
      <c r="S1" s="59"/>
      <c r="T1" s="59"/>
      <c r="U1" s="59"/>
      <c r="V1" s="59"/>
      <c r="W1" s="59"/>
      <c r="X1" s="59"/>
      <c r="Y1" s="59"/>
      <c r="Z1" s="59"/>
      <c r="AA1" s="59"/>
      <c r="AB1" s="59"/>
      <c r="AC1" s="59"/>
      <c r="AE1" s="60">
        <f>Summary!$C$2</f>
        <v>0</v>
      </c>
      <c r="AF1" s="59"/>
      <c r="AG1" s="59"/>
      <c r="AH1" s="59"/>
      <c r="AI1" s="59"/>
      <c r="AJ1" s="59"/>
      <c r="AK1" s="59"/>
      <c r="AL1" s="59"/>
      <c r="AM1" s="59"/>
      <c r="AN1" s="59"/>
      <c r="AO1" s="59"/>
      <c r="AP1" s="59"/>
      <c r="AQ1" s="59"/>
      <c r="AR1" s="59"/>
      <c r="AS1" s="59"/>
      <c r="AT1" s="59"/>
      <c r="AU1" s="59"/>
      <c r="AV1" s="59"/>
      <c r="AW1" s="59"/>
      <c r="AX1" s="59"/>
      <c r="AY1" s="59"/>
      <c r="AZ1" s="59"/>
    </row>
    <row r="2" spans="1:59" ht="30" customHeight="1" x14ac:dyDescent="0.25">
      <c r="A2" s="69" t="s">
        <v>137</v>
      </c>
      <c r="B2" s="70" t="s">
        <v>138</v>
      </c>
      <c r="C2" s="69" t="s">
        <v>140</v>
      </c>
      <c r="D2" s="70" t="s">
        <v>141</v>
      </c>
      <c r="E2" s="69" t="s">
        <v>142</v>
      </c>
      <c r="F2" s="70" t="s">
        <v>143</v>
      </c>
      <c r="H2" s="69" t="s">
        <v>565</v>
      </c>
      <c r="I2" s="70" t="s">
        <v>144</v>
      </c>
      <c r="J2" s="71" t="s">
        <v>145</v>
      </c>
      <c r="K2" s="59"/>
      <c r="L2" s="59"/>
      <c r="M2" s="59"/>
      <c r="N2" s="69" t="s">
        <v>146</v>
      </c>
      <c r="O2" s="70" t="s">
        <v>147</v>
      </c>
      <c r="P2" s="69" t="s">
        <v>84</v>
      </c>
      <c r="Q2" s="72" t="s">
        <v>148</v>
      </c>
      <c r="R2" s="59"/>
      <c r="S2" s="59"/>
      <c r="T2" s="59"/>
      <c r="U2" s="71" t="s">
        <v>149</v>
      </c>
      <c r="V2" s="59"/>
      <c r="W2" s="72" t="s">
        <v>150</v>
      </c>
      <c r="X2" s="59"/>
      <c r="Y2" s="59"/>
      <c r="Z2" s="71" t="s">
        <v>151</v>
      </c>
      <c r="AA2" s="59"/>
      <c r="AB2" s="72" t="s">
        <v>152</v>
      </c>
      <c r="AC2" s="59"/>
      <c r="AE2" s="69" t="s">
        <v>565</v>
      </c>
      <c r="AF2" s="70" t="s">
        <v>144</v>
      </c>
      <c r="AG2" s="71" t="s">
        <v>145</v>
      </c>
      <c r="AH2" s="59"/>
      <c r="AI2" s="59"/>
      <c r="AJ2" s="59"/>
      <c r="AK2" s="69" t="s">
        <v>153</v>
      </c>
      <c r="AL2" s="70" t="s">
        <v>147</v>
      </c>
      <c r="AM2" s="69" t="s">
        <v>84</v>
      </c>
      <c r="AN2" s="72" t="s">
        <v>148</v>
      </c>
      <c r="AO2" s="59"/>
      <c r="AP2" s="59"/>
      <c r="AQ2" s="59"/>
      <c r="AR2" s="71" t="s">
        <v>149</v>
      </c>
      <c r="AS2" s="59"/>
      <c r="AT2" s="72" t="s">
        <v>150</v>
      </c>
      <c r="AU2" s="59"/>
      <c r="AV2" s="59"/>
      <c r="AW2" s="71" t="s">
        <v>151</v>
      </c>
      <c r="AX2" s="59"/>
      <c r="AY2" s="72" t="s">
        <v>152</v>
      </c>
      <c r="AZ2" s="59"/>
      <c r="BB2" s="71" t="s">
        <v>22</v>
      </c>
      <c r="BC2" s="59"/>
      <c r="BD2" s="59"/>
      <c r="BE2" s="59"/>
      <c r="BF2" s="70" t="s">
        <v>156</v>
      </c>
      <c r="BG2" s="69" t="s">
        <v>156</v>
      </c>
    </row>
    <row r="3" spans="1:59" ht="28.9" customHeight="1" x14ac:dyDescent="0.25">
      <c r="A3" s="62"/>
      <c r="B3" s="62"/>
      <c r="C3" s="62"/>
      <c r="D3" s="62"/>
      <c r="E3" s="62"/>
      <c r="F3" s="62"/>
      <c r="H3" s="62"/>
      <c r="I3" s="62"/>
      <c r="J3" s="56" t="s">
        <v>25</v>
      </c>
      <c r="K3" s="56" t="s">
        <v>23</v>
      </c>
      <c r="L3" s="56" t="s">
        <v>157</v>
      </c>
      <c r="M3" s="56" t="s">
        <v>158</v>
      </c>
      <c r="N3" s="62"/>
      <c r="O3" s="62"/>
      <c r="P3" s="62"/>
      <c r="Q3" s="57" t="s">
        <v>25</v>
      </c>
      <c r="R3" s="57" t="s">
        <v>157</v>
      </c>
      <c r="S3" s="57" t="s">
        <v>159</v>
      </c>
      <c r="T3" s="57" t="s">
        <v>24</v>
      </c>
      <c r="U3" s="56" t="s">
        <v>9</v>
      </c>
      <c r="V3" s="56" t="s">
        <v>10</v>
      </c>
      <c r="W3" s="57" t="s">
        <v>11</v>
      </c>
      <c r="X3" s="57" t="s">
        <v>12</v>
      </c>
      <c r="Y3" s="57" t="s">
        <v>13</v>
      </c>
      <c r="Z3" s="56" t="s">
        <v>160</v>
      </c>
      <c r="AA3" s="56" t="s">
        <v>161</v>
      </c>
      <c r="AB3" s="57" t="s">
        <v>160</v>
      </c>
      <c r="AC3" s="57" t="s">
        <v>161</v>
      </c>
      <c r="AE3" s="62"/>
      <c r="AF3" s="62"/>
      <c r="AG3" s="56" t="s">
        <v>25</v>
      </c>
      <c r="AH3" s="56" t="s">
        <v>23</v>
      </c>
      <c r="AI3" s="56" t="s">
        <v>157</v>
      </c>
      <c r="AJ3" s="56" t="s">
        <v>158</v>
      </c>
      <c r="AK3" s="62"/>
      <c r="AL3" s="62"/>
      <c r="AM3" s="62"/>
      <c r="AN3" s="57" t="s">
        <v>25</v>
      </c>
      <c r="AO3" s="57" t="s">
        <v>157</v>
      </c>
      <c r="AP3" s="57" t="s">
        <v>159</v>
      </c>
      <c r="AQ3" s="57" t="s">
        <v>24</v>
      </c>
      <c r="AR3" s="56" t="s">
        <v>9</v>
      </c>
      <c r="AS3" s="56" t="s">
        <v>10</v>
      </c>
      <c r="AT3" s="57" t="s">
        <v>11</v>
      </c>
      <c r="AU3" s="57" t="s">
        <v>12</v>
      </c>
      <c r="AV3" s="57" t="s">
        <v>13</v>
      </c>
      <c r="AW3" s="56" t="s">
        <v>160</v>
      </c>
      <c r="AX3" s="56" t="s">
        <v>161</v>
      </c>
      <c r="AY3" s="57" t="s">
        <v>160</v>
      </c>
      <c r="AZ3" s="57" t="s">
        <v>161</v>
      </c>
      <c r="BB3" s="56" t="s">
        <v>25</v>
      </c>
      <c r="BC3" s="56" t="s">
        <v>23</v>
      </c>
      <c r="BD3" s="56" t="s">
        <v>157</v>
      </c>
      <c r="BE3" s="56" t="s">
        <v>24</v>
      </c>
      <c r="BF3" s="62"/>
      <c r="BG3" s="62"/>
    </row>
    <row r="4" spans="1:59" ht="123" hidden="1" customHeight="1" x14ac:dyDescent="0.25">
      <c r="A4" s="8" t="s">
        <v>162</v>
      </c>
      <c r="B4" s="9" t="s">
        <v>163</v>
      </c>
      <c r="C4" s="8" t="s">
        <v>165</v>
      </c>
      <c r="D4" s="9" t="s">
        <v>166</v>
      </c>
      <c r="E4" s="8" t="s">
        <v>167</v>
      </c>
      <c r="F4" s="9" t="s">
        <v>168</v>
      </c>
      <c r="H4" s="8" t="s">
        <v>566</v>
      </c>
      <c r="I4" s="9" t="s">
        <v>169</v>
      </c>
      <c r="J4" s="8" t="s">
        <v>170</v>
      </c>
      <c r="K4" s="8" t="s">
        <v>171</v>
      </c>
      <c r="L4" s="8" t="s">
        <v>172</v>
      </c>
      <c r="M4" s="8" t="s">
        <v>173</v>
      </c>
      <c r="N4" s="8" t="s">
        <v>174</v>
      </c>
      <c r="O4" s="9" t="s">
        <v>175</v>
      </c>
      <c r="P4" s="8" t="s">
        <v>176</v>
      </c>
      <c r="Q4" s="9" t="s">
        <v>179</v>
      </c>
      <c r="R4" s="9" t="s">
        <v>180</v>
      </c>
      <c r="S4" s="9" t="s">
        <v>181</v>
      </c>
      <c r="T4" s="9" t="s">
        <v>182</v>
      </c>
      <c r="U4" s="8" t="s">
        <v>183</v>
      </c>
      <c r="V4" s="8" t="s">
        <v>184</v>
      </c>
      <c r="W4" s="9" t="s">
        <v>185</v>
      </c>
      <c r="X4" s="9" t="s">
        <v>186</v>
      </c>
      <c r="Y4" s="9" t="s">
        <v>187</v>
      </c>
      <c r="Z4" s="8" t="s">
        <v>188</v>
      </c>
      <c r="AA4" s="8" t="s">
        <v>189</v>
      </c>
      <c r="AB4" s="9" t="s">
        <v>190</v>
      </c>
      <c r="AC4" s="9" t="s">
        <v>191</v>
      </c>
      <c r="AE4" s="8" t="s">
        <v>567</v>
      </c>
      <c r="AF4" s="9" t="s">
        <v>192</v>
      </c>
      <c r="AG4" s="8" t="s">
        <v>193</v>
      </c>
      <c r="AH4" s="8" t="s">
        <v>194</v>
      </c>
      <c r="AI4" s="8" t="s">
        <v>195</v>
      </c>
      <c r="AJ4" s="8" t="s">
        <v>196</v>
      </c>
      <c r="AK4" s="8" t="s">
        <v>197</v>
      </c>
      <c r="AL4" s="9" t="s">
        <v>198</v>
      </c>
      <c r="AM4" s="8" t="s">
        <v>199</v>
      </c>
      <c r="AN4" s="9" t="s">
        <v>202</v>
      </c>
      <c r="AO4" s="9" t="s">
        <v>203</v>
      </c>
      <c r="AP4" s="9" t="s">
        <v>204</v>
      </c>
      <c r="AQ4" s="9" t="s">
        <v>205</v>
      </c>
      <c r="AR4" s="8" t="s">
        <v>206</v>
      </c>
      <c r="AS4" s="8" t="s">
        <v>207</v>
      </c>
      <c r="AT4" s="9" t="s">
        <v>208</v>
      </c>
      <c r="AU4" s="9" t="s">
        <v>209</v>
      </c>
      <c r="AV4" s="9" t="s">
        <v>210</v>
      </c>
      <c r="AW4" s="8" t="s">
        <v>211</v>
      </c>
      <c r="AX4" s="8" t="s">
        <v>212</v>
      </c>
      <c r="AY4" s="9" t="s">
        <v>213</v>
      </c>
      <c r="AZ4" s="9" t="s">
        <v>214</v>
      </c>
      <c r="BB4" s="8" t="s">
        <v>568</v>
      </c>
      <c r="BC4" s="8" t="s">
        <v>215</v>
      </c>
      <c r="BD4" s="8" t="s">
        <v>569</v>
      </c>
      <c r="BE4" s="8" t="s">
        <v>570</v>
      </c>
      <c r="BF4" s="9" t="s">
        <v>217</v>
      </c>
      <c r="BG4" s="8" t="s">
        <v>218</v>
      </c>
    </row>
    <row r="5" spans="1:59" collapsed="1" x14ac:dyDescent="0.25">
      <c r="A5" s="54" t="s">
        <v>229</v>
      </c>
      <c r="B5" s="54" t="s">
        <v>49</v>
      </c>
      <c r="C5" s="54">
        <v>238146391</v>
      </c>
      <c r="D5" s="10">
        <v>10</v>
      </c>
      <c r="E5" s="10">
        <v>300</v>
      </c>
      <c r="F5" s="10">
        <v>30</v>
      </c>
      <c r="H5" s="17">
        <f t="shared" ref="H5:H11" si="0">IF(ISBLANK(Q5),"·",Q5/(C5*(D5*3+IF(AND(ISNUMBER(T5),T5&gt;0),24,0))))</f>
        <v>0.16737351986032703</v>
      </c>
      <c r="I5" s="11">
        <f t="shared" ref="I5:I11" si="1">IF(OR(ISBLANK(Q5),ISBLANK(F5)),"·",Q5*F5/E5/1000000)</f>
        <v>215.2407584</v>
      </c>
      <c r="J5" s="12">
        <f t="shared" ref="J5:J11" si="2">IF(ISBLANK(Q5),"·",Q5/C5)</f>
        <v>9.0381700724576586</v>
      </c>
      <c r="K5" s="12">
        <f t="shared" ref="K5:K11" si="3">IF(N5="","·",N5/C5)</f>
        <v>1.4169214430799415</v>
      </c>
      <c r="L5" s="12">
        <f t="shared" ref="L5:L11" si="4">IF(R5="","·",R5/C5)</f>
        <v>1.3191667137210574</v>
      </c>
      <c r="M5" s="12">
        <f t="shared" ref="M5:M11" si="5">IF(ISBLANK(T5),"·",T5/C5)</f>
        <v>7.6212486293777175</v>
      </c>
      <c r="N5" s="54">
        <f t="shared" ref="N5:N11" si="6">IF(OR(ISBLANK(R5),ISBLANK(S5)),"",R5+S5)</f>
        <v>337434728</v>
      </c>
      <c r="O5" s="12">
        <v>16</v>
      </c>
      <c r="P5" s="13">
        <v>238146391</v>
      </c>
      <c r="Q5" s="14">
        <v>2152407584</v>
      </c>
      <c r="R5" s="14">
        <v>314154792</v>
      </c>
      <c r="S5" s="14">
        <v>23279936</v>
      </c>
      <c r="T5" s="14">
        <v>1814972856</v>
      </c>
      <c r="U5" s="15" t="s">
        <v>571</v>
      </c>
      <c r="V5" s="15" t="s">
        <v>571</v>
      </c>
      <c r="W5" s="15" t="s">
        <v>571</v>
      </c>
      <c r="X5" s="15" t="s">
        <v>571</v>
      </c>
      <c r="Y5" s="15" t="s">
        <v>571</v>
      </c>
      <c r="Z5" s="16">
        <v>98494.3</v>
      </c>
      <c r="AA5" s="16">
        <v>0</v>
      </c>
      <c r="AB5" s="16">
        <v>326.202</v>
      </c>
      <c r="AC5" s="16">
        <v>0</v>
      </c>
      <c r="AE5" s="17">
        <f t="shared" ref="AE5:AE11" si="7">IF(ISBLANK(Q5),"·",Q5/(C5*(D5*3+IF(AND(ISNUMBER(T5),T5&gt;0),24,0))))</f>
        <v>0.16737351986032703</v>
      </c>
      <c r="AF5" s="11" t="str">
        <f t="shared" ref="AF5:AF11" si="8">IF(OR(ISBLANK(AN5),ISBLANK(F5)),"·",AN5*F5/E5/1000000)</f>
        <v>·</v>
      </c>
      <c r="AG5" s="12" t="str">
        <f t="shared" ref="AG5:AG11" si="9">IF(ISBLANK(AN5),"·",AN5/C5)</f>
        <v>·</v>
      </c>
      <c r="AH5" s="12" t="str">
        <f t="shared" ref="AH5:AH11" si="10">IF(AK5="","·",AK5/C5)</f>
        <v>·</v>
      </c>
      <c r="AI5" s="12" t="str">
        <f t="shared" ref="AI5:AI11" si="11">IF(AO5="","·",AO5/C5)</f>
        <v>·</v>
      </c>
      <c r="AJ5" s="12" t="str">
        <f t="shared" ref="AJ5:AJ11" si="12">IF(ISBLANK(AQ5),"·",AQ5/C5)</f>
        <v>·</v>
      </c>
      <c r="AK5" s="54" t="str">
        <f t="shared" ref="AK5:AK11" si="13">IF(OR(ISBLANK(AO5),ISBLANK(AP5)),"",AO5+AP5)</f>
        <v/>
      </c>
      <c r="AL5" s="12">
        <v>16</v>
      </c>
      <c r="AM5" s="13"/>
      <c r="AN5" s="14"/>
      <c r="AO5" s="14"/>
      <c r="AP5" s="14"/>
      <c r="AQ5" s="14"/>
      <c r="AR5" s="15"/>
      <c r="AS5" s="15"/>
      <c r="AT5" s="15"/>
      <c r="AU5" s="15"/>
      <c r="AV5" s="15"/>
      <c r="AW5" s="16"/>
      <c r="AX5" s="16"/>
      <c r="AY5" s="16"/>
      <c r="AZ5" s="16"/>
      <c r="BB5" s="51" t="e">
        <f t="shared" ref="BB5:BB15" si="14">AG5/J5</f>
        <v>#VALUE!</v>
      </c>
      <c r="BC5" s="51" t="e">
        <f t="shared" ref="BC5:BC15" si="15">AH5/K5</f>
        <v>#VALUE!</v>
      </c>
      <c r="BD5" s="51" t="e">
        <f t="shared" ref="BD5:BD15" si="16">AI5/L5</f>
        <v>#VALUE!</v>
      </c>
      <c r="BE5" s="51" t="e">
        <f t="shared" ref="BE5:BE15" si="17">AJ5/M5</f>
        <v>#VALUE!</v>
      </c>
      <c r="BF5" s="17" t="e">
        <f t="shared" ref="BF5:BF11" si="18">(AK5/AN5) - (N5/Q5)</f>
        <v>#VALUE!</v>
      </c>
      <c r="BG5" s="17" t="e">
        <f t="array" ref="BG5">AVERAGE(AK5:AK5/AN5:AN5) - AVERAGE(N5:N5/Q5:Q5)</f>
        <v>#VALUE!</v>
      </c>
    </row>
    <row r="6" spans="1:59" collapsed="1" x14ac:dyDescent="0.25">
      <c r="A6" s="18"/>
      <c r="B6" s="18" t="s">
        <v>57</v>
      </c>
      <c r="C6" s="18">
        <v>218121242</v>
      </c>
      <c r="D6" s="19">
        <v>10</v>
      </c>
      <c r="E6" s="19">
        <v>300</v>
      </c>
      <c r="F6" s="19">
        <v>30</v>
      </c>
      <c r="H6" s="26">
        <f t="shared" si="0"/>
        <v>0.23917925697760603</v>
      </c>
      <c r="I6" s="20">
        <f t="shared" si="1"/>
        <v>281.71841360000002</v>
      </c>
      <c r="J6" s="21">
        <f t="shared" si="2"/>
        <v>12.915679876790726</v>
      </c>
      <c r="K6" s="21">
        <f t="shared" si="3"/>
        <v>1.7622966955231256</v>
      </c>
      <c r="L6" s="21">
        <f t="shared" si="4"/>
        <v>1.5956644882849145</v>
      </c>
      <c r="M6" s="21">
        <f t="shared" si="5"/>
        <v>11.1533831812676</v>
      </c>
      <c r="N6" s="18">
        <f t="shared" si="6"/>
        <v>384394344</v>
      </c>
      <c r="O6" s="21">
        <v>16</v>
      </c>
      <c r="P6" s="22">
        <v>218121242</v>
      </c>
      <c r="Q6" s="23">
        <v>2817184136</v>
      </c>
      <c r="R6" s="23">
        <v>348048320</v>
      </c>
      <c r="S6" s="23">
        <v>36346024</v>
      </c>
      <c r="T6" s="23">
        <v>2432789792</v>
      </c>
      <c r="U6" s="24" t="s">
        <v>571</v>
      </c>
      <c r="V6" s="24" t="s">
        <v>571</v>
      </c>
      <c r="W6" s="24" t="s">
        <v>571</v>
      </c>
      <c r="X6" s="24" t="s">
        <v>571</v>
      </c>
      <c r="Y6" s="24" t="s">
        <v>571</v>
      </c>
      <c r="Z6" s="25">
        <v>113889</v>
      </c>
      <c r="AA6" s="25">
        <v>0</v>
      </c>
      <c r="AB6" s="25">
        <v>345.71</v>
      </c>
      <c r="AC6" s="25">
        <v>0</v>
      </c>
      <c r="AE6" s="26">
        <f t="shared" si="7"/>
        <v>0.23917925697760603</v>
      </c>
      <c r="AF6" s="20" t="str">
        <f t="shared" si="8"/>
        <v>·</v>
      </c>
      <c r="AG6" s="21" t="str">
        <f t="shared" si="9"/>
        <v>·</v>
      </c>
      <c r="AH6" s="21" t="str">
        <f t="shared" si="10"/>
        <v>·</v>
      </c>
      <c r="AI6" s="21" t="str">
        <f t="shared" si="11"/>
        <v>·</v>
      </c>
      <c r="AJ6" s="21" t="str">
        <f t="shared" si="12"/>
        <v>·</v>
      </c>
      <c r="AK6" s="18" t="str">
        <f t="shared" si="13"/>
        <v/>
      </c>
      <c r="AL6" s="21">
        <v>16</v>
      </c>
      <c r="AM6" s="22"/>
      <c r="AN6" s="23"/>
      <c r="AO6" s="23"/>
      <c r="AP6" s="23"/>
      <c r="AQ6" s="23"/>
      <c r="AR6" s="24"/>
      <c r="AS6" s="24"/>
      <c r="AT6" s="24"/>
      <c r="AU6" s="24"/>
      <c r="AV6" s="24"/>
      <c r="AW6" s="25"/>
      <c r="AX6" s="25"/>
      <c r="AY6" s="25"/>
      <c r="AZ6" s="25"/>
      <c r="BB6" s="50" t="e">
        <f t="shared" si="14"/>
        <v>#VALUE!</v>
      </c>
      <c r="BC6" s="50" t="e">
        <f t="shared" si="15"/>
        <v>#VALUE!</v>
      </c>
      <c r="BD6" s="50" t="e">
        <f t="shared" si="16"/>
        <v>#VALUE!</v>
      </c>
      <c r="BE6" s="50" t="e">
        <f t="shared" si="17"/>
        <v>#VALUE!</v>
      </c>
      <c r="BF6" s="26" t="e">
        <f t="shared" si="18"/>
        <v>#VALUE!</v>
      </c>
      <c r="BG6" s="26" t="e">
        <f t="array" ref="BG6">AVERAGE(AK6:AK6/AN6:AN6) - AVERAGE(N6:N6/Q6:Q6)</f>
        <v>#VALUE!</v>
      </c>
    </row>
    <row r="7" spans="1:59" collapsed="1" x14ac:dyDescent="0.25">
      <c r="A7" s="54"/>
      <c r="B7" s="54" t="s">
        <v>62</v>
      </c>
      <c r="C7" s="54">
        <v>322589704</v>
      </c>
      <c r="D7" s="10">
        <v>10</v>
      </c>
      <c r="E7" s="10">
        <v>300</v>
      </c>
      <c r="F7" s="10">
        <v>30</v>
      </c>
      <c r="H7" s="17">
        <f t="shared" si="0"/>
        <v>0.18407305903857871</v>
      </c>
      <c r="I7" s="11">
        <f t="shared" si="1"/>
        <v>320.65239760000003</v>
      </c>
      <c r="J7" s="12">
        <f t="shared" si="2"/>
        <v>9.9399451880832501</v>
      </c>
      <c r="K7" s="12">
        <f t="shared" si="3"/>
        <v>1.5524557473167215</v>
      </c>
      <c r="L7" s="12">
        <f t="shared" si="4"/>
        <v>1.4374410164064009</v>
      </c>
      <c r="M7" s="12">
        <f t="shared" si="5"/>
        <v>8.3874894407665295</v>
      </c>
      <c r="N7" s="54">
        <f t="shared" si="6"/>
        <v>500806240</v>
      </c>
      <c r="O7" s="12">
        <v>16</v>
      </c>
      <c r="P7" s="13">
        <v>322589704</v>
      </c>
      <c r="Q7" s="14">
        <v>3206523976</v>
      </c>
      <c r="R7" s="14">
        <v>463703672</v>
      </c>
      <c r="S7" s="14">
        <v>37102568</v>
      </c>
      <c r="T7" s="14">
        <v>2705717736</v>
      </c>
      <c r="U7" s="15" t="s">
        <v>571</v>
      </c>
      <c r="V7" s="15" t="s">
        <v>571</v>
      </c>
      <c r="W7" s="15" t="s">
        <v>571</v>
      </c>
      <c r="X7" s="15" t="s">
        <v>571</v>
      </c>
      <c r="Y7" s="15" t="s">
        <v>571</v>
      </c>
      <c r="Z7" s="16">
        <v>124526</v>
      </c>
      <c r="AA7" s="16">
        <v>0</v>
      </c>
      <c r="AB7" s="16">
        <v>400.93900000000002</v>
      </c>
      <c r="AC7" s="16">
        <v>0</v>
      </c>
      <c r="AE7" s="17">
        <f t="shared" si="7"/>
        <v>0.18407305903857871</v>
      </c>
      <c r="AF7" s="11" t="str">
        <f t="shared" si="8"/>
        <v>·</v>
      </c>
      <c r="AG7" s="12" t="str">
        <f t="shared" si="9"/>
        <v>·</v>
      </c>
      <c r="AH7" s="12" t="str">
        <f t="shared" si="10"/>
        <v>·</v>
      </c>
      <c r="AI7" s="12" t="str">
        <f t="shared" si="11"/>
        <v>·</v>
      </c>
      <c r="AJ7" s="12" t="str">
        <f t="shared" si="12"/>
        <v>·</v>
      </c>
      <c r="AK7" s="54" t="str">
        <f t="shared" si="13"/>
        <v/>
      </c>
      <c r="AL7" s="12">
        <v>16</v>
      </c>
      <c r="AM7" s="13"/>
      <c r="AN7" s="14"/>
      <c r="AO7" s="14"/>
      <c r="AP7" s="14"/>
      <c r="AQ7" s="14"/>
      <c r="AR7" s="15"/>
      <c r="AS7" s="15"/>
      <c r="AT7" s="15"/>
      <c r="AU7" s="15"/>
      <c r="AV7" s="15"/>
      <c r="AW7" s="16"/>
      <c r="AX7" s="16"/>
      <c r="AY7" s="16"/>
      <c r="AZ7" s="16"/>
      <c r="BB7" s="51" t="e">
        <f t="shared" si="14"/>
        <v>#VALUE!</v>
      </c>
      <c r="BC7" s="51" t="e">
        <f t="shared" si="15"/>
        <v>#VALUE!</v>
      </c>
      <c r="BD7" s="51" t="e">
        <f t="shared" si="16"/>
        <v>#VALUE!</v>
      </c>
      <c r="BE7" s="51" t="e">
        <f t="shared" si="17"/>
        <v>#VALUE!</v>
      </c>
      <c r="BF7" s="17" t="e">
        <f t="shared" si="18"/>
        <v>#VALUE!</v>
      </c>
      <c r="BG7" s="17" t="e">
        <f t="array" ref="BG7">AVERAGE(AK7:AK7/AN7:AN7) - AVERAGE(N7:N7/Q7:Q7)</f>
        <v>#VALUE!</v>
      </c>
    </row>
    <row r="8" spans="1:59" collapsed="1" x14ac:dyDescent="0.25">
      <c r="A8" s="37"/>
      <c r="B8" s="37" t="s">
        <v>68</v>
      </c>
      <c r="C8" s="37">
        <v>250602891</v>
      </c>
      <c r="D8" s="38">
        <v>10</v>
      </c>
      <c r="E8" s="38">
        <v>250</v>
      </c>
      <c r="F8" s="38">
        <v>50</v>
      </c>
      <c r="H8" s="46">
        <f t="shared" si="0"/>
        <v>0.1528497285047356</v>
      </c>
      <c r="I8" s="39">
        <f t="shared" si="1"/>
        <v>413.68950560000002</v>
      </c>
      <c r="J8" s="40">
        <f t="shared" si="2"/>
        <v>8.2538853392557225</v>
      </c>
      <c r="K8" s="40">
        <f t="shared" si="3"/>
        <v>1.0119383020206258</v>
      </c>
      <c r="L8" s="40">
        <f t="shared" si="4"/>
        <v>0.89740331048295852</v>
      </c>
      <c r="M8" s="40">
        <f t="shared" si="5"/>
        <v>7.2419470372350974</v>
      </c>
      <c r="N8" s="37">
        <f t="shared" si="6"/>
        <v>253594664</v>
      </c>
      <c r="O8" s="40">
        <v>16</v>
      </c>
      <c r="P8" s="41">
        <v>250602891</v>
      </c>
      <c r="Q8" s="42">
        <v>2068447528</v>
      </c>
      <c r="R8" s="42">
        <v>224891864</v>
      </c>
      <c r="S8" s="42">
        <v>28702800</v>
      </c>
      <c r="T8" s="42">
        <v>1814852864</v>
      </c>
      <c r="U8" s="43" t="s">
        <v>571</v>
      </c>
      <c r="V8" s="43" t="s">
        <v>571</v>
      </c>
      <c r="W8" s="43" t="s">
        <v>571</v>
      </c>
      <c r="X8" s="43" t="s">
        <v>571</v>
      </c>
      <c r="Y8" s="43" t="s">
        <v>571</v>
      </c>
      <c r="Z8" s="44">
        <v>85680.3</v>
      </c>
      <c r="AA8" s="44">
        <v>0</v>
      </c>
      <c r="AB8" s="44">
        <v>299.21800000000002</v>
      </c>
      <c r="AC8" s="44">
        <v>0</v>
      </c>
      <c r="AE8" s="46">
        <f t="shared" si="7"/>
        <v>0.1528497285047356</v>
      </c>
      <c r="AF8" s="39" t="str">
        <f t="shared" si="8"/>
        <v>·</v>
      </c>
      <c r="AG8" s="40" t="str">
        <f t="shared" si="9"/>
        <v>·</v>
      </c>
      <c r="AH8" s="40" t="str">
        <f t="shared" si="10"/>
        <v>·</v>
      </c>
      <c r="AI8" s="40" t="str">
        <f t="shared" si="11"/>
        <v>·</v>
      </c>
      <c r="AJ8" s="40" t="str">
        <f t="shared" si="12"/>
        <v>·</v>
      </c>
      <c r="AK8" s="37" t="str">
        <f t="shared" si="13"/>
        <v/>
      </c>
      <c r="AL8" s="40">
        <v>16</v>
      </c>
      <c r="AM8" s="41"/>
      <c r="AN8" s="42"/>
      <c r="AO8" s="42"/>
      <c r="AP8" s="42"/>
      <c r="AQ8" s="42"/>
      <c r="AR8" s="43"/>
      <c r="AS8" s="43"/>
      <c r="AT8" s="43"/>
      <c r="AU8" s="43"/>
      <c r="AV8" s="43"/>
      <c r="AW8" s="44"/>
      <c r="AX8" s="44"/>
      <c r="AY8" s="44"/>
      <c r="AZ8" s="44"/>
      <c r="BB8" s="45" t="e">
        <f t="shared" si="14"/>
        <v>#VALUE!</v>
      </c>
      <c r="BC8" s="45" t="e">
        <f t="shared" si="15"/>
        <v>#VALUE!</v>
      </c>
      <c r="BD8" s="45" t="e">
        <f t="shared" si="16"/>
        <v>#VALUE!</v>
      </c>
      <c r="BE8" s="45" t="e">
        <f t="shared" si="17"/>
        <v>#VALUE!</v>
      </c>
      <c r="BF8" s="46" t="e">
        <f t="shared" si="18"/>
        <v>#VALUE!</v>
      </c>
      <c r="BG8" s="46" t="e">
        <f t="array" ref="BG8">AVERAGE(AK8:AK8/AN8:AN8) - AVERAGE(N8:N8/Q8:Q8)</f>
        <v>#VALUE!</v>
      </c>
    </row>
    <row r="9" spans="1:59" collapsed="1" x14ac:dyDescent="0.25">
      <c r="A9" s="27" t="s">
        <v>235</v>
      </c>
      <c r="B9" s="27" t="s">
        <v>71</v>
      </c>
      <c r="C9" s="27">
        <v>250294582</v>
      </c>
      <c r="D9" s="28">
        <v>10</v>
      </c>
      <c r="E9" s="28">
        <v>300</v>
      </c>
      <c r="F9" s="28">
        <v>30</v>
      </c>
      <c r="H9" s="36">
        <f t="shared" si="0"/>
        <v>0.2738422449041355</v>
      </c>
      <c r="I9" s="29">
        <f t="shared" si="1"/>
        <v>370.12264319999997</v>
      </c>
      <c r="J9" s="30">
        <f t="shared" si="2"/>
        <v>14.787481224823317</v>
      </c>
      <c r="K9" s="30">
        <f t="shared" si="3"/>
        <v>1.5161835504693426</v>
      </c>
      <c r="L9" s="30">
        <f t="shared" si="4"/>
        <v>1.4145296041605886</v>
      </c>
      <c r="M9" s="30">
        <f t="shared" si="5"/>
        <v>13.271297674353974</v>
      </c>
      <c r="N9" s="27">
        <f t="shared" si="6"/>
        <v>379492528</v>
      </c>
      <c r="O9" s="30">
        <v>16</v>
      </c>
      <c r="P9" s="31">
        <v>250294582</v>
      </c>
      <c r="Q9" s="32">
        <v>3701226432</v>
      </c>
      <c r="R9" s="32">
        <v>354049096</v>
      </c>
      <c r="S9" s="32">
        <v>25443432</v>
      </c>
      <c r="T9" s="32">
        <v>3321733904</v>
      </c>
      <c r="U9" s="33" t="s">
        <v>571</v>
      </c>
      <c r="V9" s="33" t="s">
        <v>571</v>
      </c>
      <c r="W9" s="33" t="s">
        <v>571</v>
      </c>
      <c r="X9" s="33" t="s">
        <v>571</v>
      </c>
      <c r="Y9" s="33" t="s">
        <v>571</v>
      </c>
      <c r="Z9" s="34">
        <v>109767</v>
      </c>
      <c r="AA9" s="34">
        <v>0</v>
      </c>
      <c r="AB9" s="34">
        <v>368.779</v>
      </c>
      <c r="AC9" s="34">
        <v>0</v>
      </c>
      <c r="AE9" s="36">
        <f t="shared" si="7"/>
        <v>0.2738422449041355</v>
      </c>
      <c r="AF9" s="29" t="str">
        <f t="shared" si="8"/>
        <v>·</v>
      </c>
      <c r="AG9" s="30" t="str">
        <f t="shared" si="9"/>
        <v>·</v>
      </c>
      <c r="AH9" s="30" t="str">
        <f t="shared" si="10"/>
        <v>·</v>
      </c>
      <c r="AI9" s="30" t="str">
        <f t="shared" si="11"/>
        <v>·</v>
      </c>
      <c r="AJ9" s="30" t="str">
        <f t="shared" si="12"/>
        <v>·</v>
      </c>
      <c r="AK9" s="27" t="str">
        <f t="shared" si="13"/>
        <v/>
      </c>
      <c r="AL9" s="30">
        <v>16</v>
      </c>
      <c r="AM9" s="31"/>
      <c r="AN9" s="32"/>
      <c r="AO9" s="32"/>
      <c r="AP9" s="32"/>
      <c r="AQ9" s="32"/>
      <c r="AR9" s="33"/>
      <c r="AS9" s="33"/>
      <c r="AT9" s="33"/>
      <c r="AU9" s="33"/>
      <c r="AV9" s="33"/>
      <c r="AW9" s="34"/>
      <c r="AX9" s="34"/>
      <c r="AY9" s="34"/>
      <c r="AZ9" s="34"/>
      <c r="BB9" s="35" t="e">
        <f t="shared" si="14"/>
        <v>#VALUE!</v>
      </c>
      <c r="BC9" s="35" t="e">
        <f t="shared" si="15"/>
        <v>#VALUE!</v>
      </c>
      <c r="BD9" s="35" t="e">
        <f t="shared" si="16"/>
        <v>#VALUE!</v>
      </c>
      <c r="BE9" s="35" t="e">
        <f t="shared" si="17"/>
        <v>#VALUE!</v>
      </c>
      <c r="BF9" s="36" t="e">
        <f t="shared" si="18"/>
        <v>#VALUE!</v>
      </c>
      <c r="BG9" s="36" t="e">
        <f t="array" ref="BG9">AVERAGE(AK9:AK9/AN9:AN9) - AVERAGE(N9:N9/Q9:Q9)</f>
        <v>#VALUE!</v>
      </c>
    </row>
    <row r="10" spans="1:59" collapsed="1" x14ac:dyDescent="0.25">
      <c r="A10" s="18" t="s">
        <v>236</v>
      </c>
      <c r="B10" s="18" t="s">
        <v>75</v>
      </c>
      <c r="C10" s="18">
        <v>186907991</v>
      </c>
      <c r="D10" s="19">
        <v>11</v>
      </c>
      <c r="E10" s="19">
        <v>64</v>
      </c>
      <c r="F10" s="19">
        <v>30</v>
      </c>
      <c r="H10" s="26">
        <f t="shared" si="0"/>
        <v>0.17265337938762476</v>
      </c>
      <c r="I10" s="20">
        <f t="shared" si="1"/>
        <v>862.22197874999995</v>
      </c>
      <c r="J10" s="21">
        <f t="shared" si="2"/>
        <v>9.8412426250946119</v>
      </c>
      <c r="K10" s="21">
        <f t="shared" si="3"/>
        <v>1.1282184719432353</v>
      </c>
      <c r="L10" s="21">
        <f t="shared" si="4"/>
        <v>1.0765527087603226</v>
      </c>
      <c r="M10" s="21">
        <f t="shared" si="5"/>
        <v>8.7130241531513768</v>
      </c>
      <c r="N10" s="18">
        <f t="shared" si="6"/>
        <v>210873048</v>
      </c>
      <c r="O10" s="21">
        <v>16</v>
      </c>
      <c r="P10" s="22">
        <v>186907991</v>
      </c>
      <c r="Q10" s="23">
        <v>1839406888</v>
      </c>
      <c r="R10" s="23">
        <v>201216304</v>
      </c>
      <c r="S10" s="23">
        <v>9656744</v>
      </c>
      <c r="T10" s="23">
        <v>1628533840</v>
      </c>
      <c r="U10" s="24" t="s">
        <v>571</v>
      </c>
      <c r="V10" s="24" t="s">
        <v>571</v>
      </c>
      <c r="W10" s="24" t="s">
        <v>571</v>
      </c>
      <c r="X10" s="24" t="s">
        <v>571</v>
      </c>
      <c r="Y10" s="24" t="s">
        <v>571</v>
      </c>
      <c r="Z10" s="25">
        <v>74501.600000000006</v>
      </c>
      <c r="AA10" s="25">
        <v>0</v>
      </c>
      <c r="AB10" s="25">
        <v>233.46700000000001</v>
      </c>
      <c r="AC10" s="25">
        <v>0</v>
      </c>
      <c r="AE10" s="26">
        <f t="shared" si="7"/>
        <v>0.17265337938762476</v>
      </c>
      <c r="AF10" s="20" t="str">
        <f t="shared" si="8"/>
        <v>·</v>
      </c>
      <c r="AG10" s="21" t="str">
        <f t="shared" si="9"/>
        <v>·</v>
      </c>
      <c r="AH10" s="21" t="str">
        <f t="shared" si="10"/>
        <v>·</v>
      </c>
      <c r="AI10" s="21" t="str">
        <f t="shared" si="11"/>
        <v>·</v>
      </c>
      <c r="AJ10" s="21" t="str">
        <f t="shared" si="12"/>
        <v>·</v>
      </c>
      <c r="AK10" s="18" t="str">
        <f t="shared" si="13"/>
        <v/>
      </c>
      <c r="AL10" s="21">
        <v>16</v>
      </c>
      <c r="AM10" s="22"/>
      <c r="AN10" s="23"/>
      <c r="AO10" s="23"/>
      <c r="AP10" s="23"/>
      <c r="AQ10" s="23"/>
      <c r="AR10" s="24"/>
      <c r="AS10" s="24"/>
      <c r="AT10" s="24"/>
      <c r="AU10" s="24"/>
      <c r="AV10" s="24"/>
      <c r="AW10" s="25"/>
      <c r="AX10" s="25"/>
      <c r="AY10" s="25"/>
      <c r="AZ10" s="25"/>
      <c r="BB10" s="50" t="e">
        <f t="shared" si="14"/>
        <v>#VALUE!</v>
      </c>
      <c r="BC10" s="50" t="e">
        <f t="shared" si="15"/>
        <v>#VALUE!</v>
      </c>
      <c r="BD10" s="50" t="e">
        <f t="shared" si="16"/>
        <v>#VALUE!</v>
      </c>
      <c r="BE10" s="50" t="e">
        <f t="shared" si="17"/>
        <v>#VALUE!</v>
      </c>
      <c r="BF10" s="26" t="e">
        <f t="shared" si="18"/>
        <v>#VALUE!</v>
      </c>
      <c r="BG10" s="26" t="e">
        <f t="array" ref="BG10">AVERAGE(AK10:AK10/AN10:AN10) - AVERAGE(N10:N10/Q10:Q10)</f>
        <v>#VALUE!</v>
      </c>
    </row>
    <row r="11" spans="1:59" collapsed="1" x14ac:dyDescent="0.25">
      <c r="A11" s="27"/>
      <c r="B11" s="27" t="s">
        <v>80</v>
      </c>
      <c r="C11" s="27">
        <v>166028718</v>
      </c>
      <c r="D11" s="28">
        <v>11</v>
      </c>
      <c r="E11" s="28">
        <v>64</v>
      </c>
      <c r="F11" s="28">
        <v>30</v>
      </c>
      <c r="H11" s="36">
        <f t="shared" si="0"/>
        <v>0.17522646028865627</v>
      </c>
      <c r="I11" s="29">
        <f t="shared" si="1"/>
        <v>777.31856249999998</v>
      </c>
      <c r="J11" s="30">
        <f t="shared" si="2"/>
        <v>9.9879082364534071</v>
      </c>
      <c r="K11" s="30">
        <f t="shared" si="3"/>
        <v>1.1941209351505082</v>
      </c>
      <c r="L11" s="30">
        <f t="shared" si="4"/>
        <v>1.1344813250922048</v>
      </c>
      <c r="M11" s="30">
        <f t="shared" si="5"/>
        <v>8.7937873013028991</v>
      </c>
      <c r="N11" s="27">
        <f t="shared" si="6"/>
        <v>198258368</v>
      </c>
      <c r="O11" s="30">
        <v>16</v>
      </c>
      <c r="P11" s="31">
        <v>166028718</v>
      </c>
      <c r="Q11" s="32">
        <v>1658279600</v>
      </c>
      <c r="R11" s="32">
        <v>188356480</v>
      </c>
      <c r="S11" s="32">
        <v>9901888</v>
      </c>
      <c r="T11" s="32">
        <v>1460021232</v>
      </c>
      <c r="U11" s="33" t="s">
        <v>571</v>
      </c>
      <c r="V11" s="33" t="s">
        <v>571</v>
      </c>
      <c r="W11" s="33" t="s">
        <v>571</v>
      </c>
      <c r="X11" s="33" t="s">
        <v>571</v>
      </c>
      <c r="Y11" s="33" t="s">
        <v>571</v>
      </c>
      <c r="Z11" s="34">
        <v>72192.600000000006</v>
      </c>
      <c r="AA11" s="34">
        <v>0</v>
      </c>
      <c r="AB11" s="34">
        <v>212.797</v>
      </c>
      <c r="AC11" s="34">
        <v>0</v>
      </c>
      <c r="AE11" s="36">
        <f t="shared" si="7"/>
        <v>0.17522646028865627</v>
      </c>
      <c r="AF11" s="29" t="str">
        <f t="shared" si="8"/>
        <v>·</v>
      </c>
      <c r="AG11" s="30" t="str">
        <f t="shared" si="9"/>
        <v>·</v>
      </c>
      <c r="AH11" s="30" t="str">
        <f t="shared" si="10"/>
        <v>·</v>
      </c>
      <c r="AI11" s="30" t="str">
        <f t="shared" si="11"/>
        <v>·</v>
      </c>
      <c r="AJ11" s="30" t="str">
        <f t="shared" si="12"/>
        <v>·</v>
      </c>
      <c r="AK11" s="27" t="str">
        <f t="shared" si="13"/>
        <v/>
      </c>
      <c r="AL11" s="30">
        <v>16</v>
      </c>
      <c r="AM11" s="31"/>
      <c r="AN11" s="32"/>
      <c r="AO11" s="32"/>
      <c r="AP11" s="32"/>
      <c r="AQ11" s="32"/>
      <c r="AR11" s="33"/>
      <c r="AS11" s="33"/>
      <c r="AT11" s="33"/>
      <c r="AU11" s="33"/>
      <c r="AV11" s="33"/>
      <c r="AW11" s="34"/>
      <c r="AX11" s="34"/>
      <c r="AY11" s="34"/>
      <c r="AZ11" s="34"/>
      <c r="BB11" s="35" t="e">
        <f t="shared" si="14"/>
        <v>#VALUE!</v>
      </c>
      <c r="BC11" s="35" t="e">
        <f t="shared" si="15"/>
        <v>#VALUE!</v>
      </c>
      <c r="BD11" s="35" t="e">
        <f t="shared" si="16"/>
        <v>#VALUE!</v>
      </c>
      <c r="BE11" s="35" t="e">
        <f t="shared" si="17"/>
        <v>#VALUE!</v>
      </c>
      <c r="BF11" s="36" t="e">
        <f t="shared" si="18"/>
        <v>#VALUE!</v>
      </c>
      <c r="BG11" s="36" t="e">
        <f t="array" ref="BG11">AVERAGE(AK11:AK11/AN11:AN11) - AVERAGE(N11:N11/Q11:Q11)</f>
        <v>#VALUE!</v>
      </c>
    </row>
    <row r="12" spans="1:59" x14ac:dyDescent="0.25">
      <c r="B12" s="47" t="s">
        <v>14</v>
      </c>
      <c r="J12" s="48">
        <f>AVERAGE(J5:J8)</f>
        <v>10.03692011914684</v>
      </c>
      <c r="K12" s="48">
        <f>AVERAGE(K5:K8)</f>
        <v>1.4359030469851037</v>
      </c>
      <c r="L12" s="48">
        <f>AVERAGE(L5:L8)</f>
        <v>1.3124188822238327</v>
      </c>
      <c r="M12" s="48">
        <f>AVERAGE(M5:M8)</f>
        <v>8.6010170721617367</v>
      </c>
      <c r="AG12" s="48" t="e">
        <f>AVERAGE(AG5:AG8)</f>
        <v>#DIV/0!</v>
      </c>
      <c r="AH12" s="48" t="e">
        <f>AVERAGE(AH5:AH8)</f>
        <v>#DIV/0!</v>
      </c>
      <c r="AI12" s="48" t="e">
        <f>AVERAGE(AI5:AI8)</f>
        <v>#DIV/0!</v>
      </c>
      <c r="AJ12" s="48" t="e">
        <f>AVERAGE(AJ5:AJ8)</f>
        <v>#DIV/0!</v>
      </c>
      <c r="BB12" s="52" t="e">
        <f t="shared" si="14"/>
        <v>#DIV/0!</v>
      </c>
      <c r="BC12" s="52" t="e">
        <f t="shared" si="15"/>
        <v>#DIV/0!</v>
      </c>
      <c r="BD12" s="52" t="e">
        <f t="shared" si="16"/>
        <v>#DIV/0!</v>
      </c>
      <c r="BE12" s="52" t="e">
        <f t="shared" si="17"/>
        <v>#DIV/0!</v>
      </c>
      <c r="BG12" s="55" t="e">
        <f>AVERAGE(BG5:BG8)</f>
        <v>#VALUE!</v>
      </c>
    </row>
    <row r="13" spans="1:59" x14ac:dyDescent="0.25">
      <c r="B13" s="47" t="s">
        <v>15</v>
      </c>
      <c r="J13" s="48">
        <f>AVERAGE(J9:J9)</f>
        <v>14.787481224823317</v>
      </c>
      <c r="K13" s="48">
        <f>AVERAGE(K9:K9)</f>
        <v>1.5161835504693426</v>
      </c>
      <c r="L13" s="48">
        <f>AVERAGE(L9:L9)</f>
        <v>1.4145296041605886</v>
      </c>
      <c r="M13" s="48">
        <f>AVERAGE(M9:M9)</f>
        <v>13.271297674353974</v>
      </c>
      <c r="AG13" s="48" t="e">
        <f>AVERAGE(AG9:AG9)</f>
        <v>#DIV/0!</v>
      </c>
      <c r="AH13" s="48" t="e">
        <f>AVERAGE(AH9:AH9)</f>
        <v>#DIV/0!</v>
      </c>
      <c r="AI13" s="48" t="e">
        <f>AVERAGE(AI9:AI9)</f>
        <v>#DIV/0!</v>
      </c>
      <c r="AJ13" s="48" t="e">
        <f>AVERAGE(AJ9:AJ9)</f>
        <v>#DIV/0!</v>
      </c>
      <c r="BB13" s="52" t="e">
        <f t="shared" si="14"/>
        <v>#DIV/0!</v>
      </c>
      <c r="BC13" s="52" t="e">
        <f t="shared" si="15"/>
        <v>#DIV/0!</v>
      </c>
      <c r="BD13" s="52" t="e">
        <f t="shared" si="16"/>
        <v>#DIV/0!</v>
      </c>
      <c r="BE13" s="52" t="e">
        <f t="shared" si="17"/>
        <v>#DIV/0!</v>
      </c>
      <c r="BG13" s="55" t="e">
        <f>AVERAGE(BG9:BG9)</f>
        <v>#VALUE!</v>
      </c>
    </row>
    <row r="14" spans="1:59" x14ac:dyDescent="0.25">
      <c r="B14" s="47" t="s">
        <v>16</v>
      </c>
      <c r="J14" s="48">
        <f>AVERAGE(J10:J11)</f>
        <v>9.9145754307740095</v>
      </c>
      <c r="K14" s="48">
        <f>AVERAGE(K10:K11)</f>
        <v>1.1611697035468718</v>
      </c>
      <c r="L14" s="48">
        <f>AVERAGE(L10:L11)</f>
        <v>1.1055170169262638</v>
      </c>
      <c r="M14" s="48">
        <f>AVERAGE(M10:M11)</f>
        <v>8.7534057272271379</v>
      </c>
      <c r="AG14" s="48" t="e">
        <f>AVERAGE(AG10:AG11)</f>
        <v>#DIV/0!</v>
      </c>
      <c r="AH14" s="48" t="e">
        <f>AVERAGE(AH10:AH11)</f>
        <v>#DIV/0!</v>
      </c>
      <c r="AI14" s="48" t="e">
        <f>AVERAGE(AI10:AI11)</f>
        <v>#DIV/0!</v>
      </c>
      <c r="AJ14" s="48" t="e">
        <f>AVERAGE(AJ10:AJ11)</f>
        <v>#DIV/0!</v>
      </c>
      <c r="BB14" s="52" t="e">
        <f t="shared" si="14"/>
        <v>#DIV/0!</v>
      </c>
      <c r="BC14" s="52" t="e">
        <f t="shared" si="15"/>
        <v>#DIV/0!</v>
      </c>
      <c r="BD14" s="52" t="e">
        <f t="shared" si="16"/>
        <v>#DIV/0!</v>
      </c>
      <c r="BE14" s="52" t="e">
        <f t="shared" si="17"/>
        <v>#DIV/0!</v>
      </c>
      <c r="BG14" s="55" t="e">
        <f>AVERAGE(BG10:BG11)</f>
        <v>#VALUE!</v>
      </c>
    </row>
    <row r="15" spans="1:59" x14ac:dyDescent="0.25">
      <c r="B15" s="47" t="s">
        <v>17</v>
      </c>
      <c r="J15" s="48">
        <f>AVERAGE(J5:J11)</f>
        <v>10.68061608042267</v>
      </c>
      <c r="K15" s="48">
        <f>AVERAGE(K5:K11)</f>
        <v>1.3688764493576431</v>
      </c>
      <c r="L15" s="48">
        <f>AVERAGE(L5:L11)</f>
        <v>1.2678913095583495</v>
      </c>
      <c r="M15" s="48">
        <f>AVERAGE(M5:M11)</f>
        <v>9.3117396310650271</v>
      </c>
      <c r="AG15" s="48" t="e">
        <f>AVERAGE(AG5:AG11)</f>
        <v>#DIV/0!</v>
      </c>
      <c r="AH15" s="48" t="e">
        <f>AVERAGE(AH5:AH11)</f>
        <v>#DIV/0!</v>
      </c>
      <c r="AI15" s="48" t="e">
        <f>AVERAGE(AI5:AI11)</f>
        <v>#DIV/0!</v>
      </c>
      <c r="AJ15" s="48" t="e">
        <f>AVERAGE(AJ5:AJ11)</f>
        <v>#DIV/0!</v>
      </c>
      <c r="BB15" s="52" t="e">
        <f t="shared" si="14"/>
        <v>#DIV/0!</v>
      </c>
      <c r="BC15" s="52" t="e">
        <f t="shared" si="15"/>
        <v>#DIV/0!</v>
      </c>
      <c r="BD15" s="52" t="e">
        <f t="shared" si="16"/>
        <v>#DIV/0!</v>
      </c>
      <c r="BE15" s="52" t="e">
        <f t="shared" si="17"/>
        <v>#DIV/0!</v>
      </c>
      <c r="BG15" s="55" t="e">
        <f>AVERAGE(BG5:BG11)</f>
        <v>#VALUE!</v>
      </c>
    </row>
    <row r="16" spans="1:59" hidden="1" outlineLevel="2" x14ac:dyDescent="0.25">
      <c r="A16" s="47" t="s">
        <v>237</v>
      </c>
      <c r="B16" s="47" t="s">
        <v>238</v>
      </c>
      <c r="Z16" s="49">
        <f>SUM(Z5:Z8,Z9:Z9,Z10:Z11)</f>
        <v>679050.79999999993</v>
      </c>
      <c r="AA16" s="49">
        <f>SUM(AA5:AA8,AA9:AA9,AA10:AA11)</f>
        <v>0</v>
      </c>
      <c r="AB16" s="49">
        <f>SUM(AB5:AB8,AB9:AB9,AB10:AB11)</f>
        <v>2187.1120000000001</v>
      </c>
      <c r="AC16" s="49">
        <f>SUM(AC5:AC8,AC9:AC9,AC10:AC11)</f>
        <v>0</v>
      </c>
      <c r="AW16" s="49">
        <f>SUM(AW5:AW8,AW9:AW9,AW10:AW11)</f>
        <v>0</v>
      </c>
      <c r="AX16" s="49">
        <f>SUM(AX5:AX8,AX9:AX9,AX10:AX11)</f>
        <v>0</v>
      </c>
      <c r="AY16" s="49">
        <f>SUM(AY5:AY8,AY9:AY9,AY10:AY11)</f>
        <v>0</v>
      </c>
      <c r="AZ16" s="49">
        <f>SUM(AZ5:AZ8,AZ9:AZ9,AZ10:AZ11)</f>
        <v>0</v>
      </c>
    </row>
    <row r="17" spans="2:52" hidden="1" outlineLevel="2" x14ac:dyDescent="0.25">
      <c r="B17" s="47" t="s">
        <v>239</v>
      </c>
      <c r="AW17" s="55">
        <f>AW16/Z16</f>
        <v>0</v>
      </c>
      <c r="AX17" s="55" t="e">
        <f>AX16/AA16</f>
        <v>#DIV/0!</v>
      </c>
      <c r="AY17" s="55">
        <f>AY16/AB16</f>
        <v>0</v>
      </c>
      <c r="AZ17" s="55" t="e">
        <f>AZ16/AC16</f>
        <v>#DIV/0!</v>
      </c>
    </row>
    <row r="18" spans="2:52" hidden="1" outlineLevel="2" x14ac:dyDescent="0.25">
      <c r="B18" s="47" t="s">
        <v>240</v>
      </c>
      <c r="Z18" s="49">
        <f>GEOMEAN(Z5:Z8,Z9:Z9,Z10:Z11)</f>
        <v>95159.465935750675</v>
      </c>
      <c r="AA18" s="49" t="e">
        <f>GEOMEAN(AA5:AA8,AA9:AA9,AA10:AA11)</f>
        <v>#NUM!</v>
      </c>
      <c r="AB18" s="49">
        <f>GEOMEAN(AB5:AB8,AB9:AB9,AB10:AB11)</f>
        <v>305.41391755710788</v>
      </c>
      <c r="AC18" s="49" t="e">
        <f>GEOMEAN(AC5:AC8,AC9:AC9,AC10:AC11)</f>
        <v>#NUM!</v>
      </c>
      <c r="AW18" s="49" t="e">
        <f>GEOMEAN(AW5:AW8,AW9:AW9,AW10:AW11)</f>
        <v>#NUM!</v>
      </c>
      <c r="AX18" s="49" t="e">
        <f>GEOMEAN(AX5:AX8,AX9:AX9,AX10:AX11)</f>
        <v>#NUM!</v>
      </c>
      <c r="AY18" s="49" t="e">
        <f>GEOMEAN(AY5:AY8,AY9:AY9,AY10:AY11)</f>
        <v>#NUM!</v>
      </c>
      <c r="AZ18" s="49" t="e">
        <f>GEOMEAN(AZ5:AZ8,AZ9:AZ9,AZ10:AZ11)</f>
        <v>#NUM!</v>
      </c>
    </row>
    <row r="19" spans="2:52" outlineLevel="2" collapsed="1" x14ac:dyDescent="0.25">
      <c r="B19" s="47" t="s">
        <v>241</v>
      </c>
      <c r="AW19" s="55" t="e">
        <f>AW18/Z18</f>
        <v>#NUM!</v>
      </c>
      <c r="AX19" s="55" t="e">
        <f>AX18/AA18</f>
        <v>#NUM!</v>
      </c>
      <c r="AY19" s="55" t="e">
        <f>AY18/AB18</f>
        <v>#NUM!</v>
      </c>
      <c r="AZ19" s="55" t="e">
        <f>AZ18/AC18</f>
        <v>#NUM!</v>
      </c>
    </row>
  </sheetData>
  <mergeCells count="34">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 ref="AE2:AE3"/>
    <mergeCell ref="AF2:AF3"/>
    <mergeCell ref="AG2:AJ2"/>
    <mergeCell ref="O2:O3"/>
    <mergeCell ref="P2:P3"/>
    <mergeCell ref="Q2:T2"/>
    <mergeCell ref="U2:V2"/>
    <mergeCell ref="W2:Y2"/>
    <mergeCell ref="F2:F3"/>
    <mergeCell ref="H2:H3"/>
    <mergeCell ref="I2:I3"/>
    <mergeCell ref="J2:M2"/>
    <mergeCell ref="N2:N3"/>
    <mergeCell ref="A2:A3"/>
    <mergeCell ref="B2:B3"/>
    <mergeCell ref="C2:C3"/>
    <mergeCell ref="D2:D3"/>
    <mergeCell ref="E2:E3"/>
  </mergeCells>
  <conditionalFormatting sqref="BB5 BB6 BB7 BB8 BB9 BB10 BB11 BB12 BB13 BB14 BB15">
    <cfRule type="cellIs" dxfId="29" priority="3" operator="greaterThanOrEqual">
      <formula>1.03</formula>
    </cfRule>
    <cfRule type="cellIs" dxfId="28" priority="4" operator="lessThanOrEqual">
      <formula>0.97</formula>
    </cfRule>
  </conditionalFormatting>
  <conditionalFormatting sqref="BC5 BC6 BC7 BC8 BC9 BC10 BC11 BC12 BC13 BC14 BC15">
    <cfRule type="cellIs" dxfId="27" priority="7" operator="greaterThanOrEqual">
      <formula>1.03</formula>
    </cfRule>
    <cfRule type="cellIs" dxfId="26" priority="8" operator="lessThanOrEqual">
      <formula>0.97</formula>
    </cfRule>
  </conditionalFormatting>
  <conditionalFormatting sqref="BD5 BD6 BD7 BD8 BD9 BD10 BD11 BD12 BD13 BD14 BD15">
    <cfRule type="cellIs" dxfId="25" priority="1" operator="greaterThanOrEqual">
      <formula>1.03</formula>
    </cfRule>
    <cfRule type="cellIs" dxfId="24" priority="2" operator="lessThanOrEqual">
      <formula>0.97</formula>
    </cfRule>
  </conditionalFormatting>
  <conditionalFormatting sqref="BE5 BE6 BE7 BE8 BE9 BE10 BE11 BE12 BE13 BE14 BE15">
    <cfRule type="cellIs" dxfId="23" priority="5" operator="greaterThanOrEqual">
      <formula>1.03</formula>
    </cfRule>
    <cfRule type="cellIs" dxfId="22" priority="6" operator="lessThanOrEqual">
      <formula>0.97</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outlinePr summaryBelow="0"/>
  </sheetPr>
  <dimension ref="A1:BU47"/>
  <sheetViews>
    <sheetView tabSelected="1" zoomScale="55" zoomScaleNormal="55" workbookViewId="0">
      <pane xSplit="2" ySplit="4" topLeftCell="C5" activePane="bottomRight" state="frozen"/>
      <selection pane="topRight" activeCell="C1" sqref="C1"/>
      <selection pane="bottomLeft" activeCell="A5" sqref="A5"/>
      <selection pane="bottomRight" activeCell="L53" sqref="L53"/>
    </sheetView>
  </sheetViews>
  <sheetFormatPr defaultRowHeight="15" outlineLevelRow="2" x14ac:dyDescent="0.25"/>
  <cols>
    <col min="2" max="2" width="24.7109375" style="53" customWidth="1"/>
    <col min="4" max="5" width="10.7109375" style="53" customWidth="1"/>
    <col min="8" max="8" width="1.7109375" style="53" customWidth="1"/>
    <col min="10" max="13" width="10.7109375" style="53" customWidth="1"/>
    <col min="14" max="14" width="24.7109375" style="53" hidden="1" customWidth="1"/>
    <col min="15" max="15" width="12.7109375" style="53" customWidth="1"/>
    <col min="16" max="16" width="10.7109375" style="53" customWidth="1"/>
    <col min="19" max="22" width="12.7109375" style="53" customWidth="1"/>
    <col min="23" max="27" width="11.7109375" style="53" customWidth="1"/>
    <col min="32" max="32" width="1.7109375" style="53" customWidth="1"/>
    <col min="34" max="37" width="10.7109375" style="53" customWidth="1"/>
    <col min="38" max="38" width="24.7109375" style="53" hidden="1" customWidth="1"/>
    <col min="39" max="39" width="12.7109375" style="53" customWidth="1"/>
    <col min="40" max="40" width="10.7109375" style="53" customWidth="1"/>
    <col min="43" max="46" width="12.7109375" style="53" customWidth="1"/>
    <col min="47" max="51" width="11.7109375" style="53" customWidth="1"/>
    <col min="56" max="56" width="1.7109375" style="53" customWidth="1"/>
    <col min="61" max="61" width="1.7109375" style="53" customWidth="1"/>
    <col min="64" max="66" width="11.7109375" style="53" customWidth="1"/>
    <col min="67" max="67" width="1.7109375" style="53" customWidth="1"/>
    <col min="70" max="72" width="11.7109375" style="53" customWidth="1"/>
    <col min="73" max="73" width="1.7109375" style="53" customWidth="1"/>
  </cols>
  <sheetData>
    <row r="1" spans="1:72" x14ac:dyDescent="0.25">
      <c r="A1" s="73" t="s">
        <v>573</v>
      </c>
      <c r="B1" s="59"/>
      <c r="C1" s="59"/>
      <c r="D1" s="59"/>
      <c r="E1" s="59"/>
      <c r="F1" s="59"/>
      <c r="G1" s="59"/>
      <c r="I1" s="58" t="str">
        <f>Summary!$C$1</f>
        <v>R10.0</v>
      </c>
      <c r="J1" s="59"/>
      <c r="K1" s="59"/>
      <c r="L1" s="59"/>
      <c r="M1" s="59"/>
      <c r="N1" s="59"/>
      <c r="O1" s="59"/>
      <c r="P1" s="59"/>
      <c r="Q1" s="59"/>
      <c r="R1" s="59"/>
      <c r="S1" s="59"/>
      <c r="T1" s="59"/>
      <c r="U1" s="59"/>
      <c r="V1" s="59"/>
      <c r="W1" s="59"/>
      <c r="X1" s="59"/>
      <c r="Y1" s="59"/>
      <c r="Z1" s="59"/>
      <c r="AA1" s="59"/>
      <c r="AB1" s="59"/>
      <c r="AC1" s="59"/>
      <c r="AD1" s="59"/>
      <c r="AE1" s="59"/>
      <c r="AG1" s="60">
        <f>Summary!$C$2</f>
        <v>0</v>
      </c>
      <c r="AH1" s="59"/>
      <c r="AI1" s="59"/>
      <c r="AJ1" s="59"/>
      <c r="AK1" s="59"/>
      <c r="AL1" s="59"/>
      <c r="AM1" s="59"/>
      <c r="AN1" s="59"/>
      <c r="AO1" s="59"/>
      <c r="AP1" s="59"/>
      <c r="AQ1" s="59"/>
      <c r="AR1" s="59"/>
      <c r="AS1" s="59"/>
      <c r="AT1" s="59"/>
      <c r="AU1" s="59"/>
      <c r="AV1" s="59"/>
      <c r="AW1" s="59"/>
      <c r="AX1" s="59"/>
      <c r="AY1" s="59"/>
      <c r="AZ1" s="59"/>
      <c r="BA1" s="59"/>
      <c r="BB1" s="59"/>
      <c r="BC1" s="59"/>
    </row>
    <row r="2" spans="1:72" ht="30" customHeight="1" x14ac:dyDescent="0.25">
      <c r="A2" s="69" t="s">
        <v>137</v>
      </c>
      <c r="B2" s="70" t="s">
        <v>138</v>
      </c>
      <c r="C2" s="69" t="s">
        <v>139</v>
      </c>
      <c r="D2" s="70" t="s">
        <v>140</v>
      </c>
      <c r="E2" s="69" t="s">
        <v>141</v>
      </c>
      <c r="F2" s="70" t="s">
        <v>142</v>
      </c>
      <c r="G2" s="69" t="s">
        <v>143</v>
      </c>
      <c r="I2" s="70" t="s">
        <v>144</v>
      </c>
      <c r="J2" s="71" t="s">
        <v>145</v>
      </c>
      <c r="K2" s="59"/>
      <c r="L2" s="59"/>
      <c r="M2" s="59"/>
      <c r="N2" s="69" t="s">
        <v>146</v>
      </c>
      <c r="O2" s="70" t="s">
        <v>147</v>
      </c>
      <c r="P2" s="69" t="s">
        <v>84</v>
      </c>
      <c r="Q2" s="70" t="s">
        <v>86</v>
      </c>
      <c r="R2" s="69" t="s">
        <v>82</v>
      </c>
      <c r="S2" s="72" t="s">
        <v>148</v>
      </c>
      <c r="T2" s="59"/>
      <c r="U2" s="59"/>
      <c r="V2" s="59"/>
      <c r="W2" s="71" t="s">
        <v>149</v>
      </c>
      <c r="X2" s="59"/>
      <c r="Y2" s="72" t="s">
        <v>150</v>
      </c>
      <c r="Z2" s="59"/>
      <c r="AA2" s="59"/>
      <c r="AB2" s="71" t="s">
        <v>151</v>
      </c>
      <c r="AC2" s="59"/>
      <c r="AD2" s="72" t="s">
        <v>152</v>
      </c>
      <c r="AE2" s="59"/>
      <c r="AG2" s="69" t="s">
        <v>144</v>
      </c>
      <c r="AH2" s="72" t="s">
        <v>145</v>
      </c>
      <c r="AI2" s="59"/>
      <c r="AJ2" s="59"/>
      <c r="AK2" s="59"/>
      <c r="AL2" s="70" t="s">
        <v>153</v>
      </c>
      <c r="AM2" s="69" t="s">
        <v>147</v>
      </c>
      <c r="AN2" s="70" t="s">
        <v>84</v>
      </c>
      <c r="AO2" s="69" t="s">
        <v>86</v>
      </c>
      <c r="AP2" s="70" t="s">
        <v>82</v>
      </c>
      <c r="AQ2" s="71" t="s">
        <v>148</v>
      </c>
      <c r="AR2" s="59"/>
      <c r="AS2" s="59"/>
      <c r="AT2" s="59"/>
      <c r="AU2" s="72" t="s">
        <v>149</v>
      </c>
      <c r="AV2" s="59"/>
      <c r="AW2" s="71" t="s">
        <v>150</v>
      </c>
      <c r="AX2" s="59"/>
      <c r="AY2" s="59"/>
      <c r="AZ2" s="72" t="s">
        <v>151</v>
      </c>
      <c r="BA2" s="59"/>
      <c r="BB2" s="71" t="s">
        <v>152</v>
      </c>
      <c r="BC2" s="59"/>
      <c r="BE2" s="70" t="s">
        <v>154</v>
      </c>
      <c r="BF2" s="69" t="s">
        <v>155</v>
      </c>
      <c r="BG2" s="70" t="s">
        <v>156</v>
      </c>
      <c r="BH2" s="69" t="s">
        <v>156</v>
      </c>
      <c r="BJ2" s="72" t="s">
        <v>5</v>
      </c>
      <c r="BK2" s="59"/>
      <c r="BL2" s="71" t="s">
        <v>6</v>
      </c>
      <c r="BM2" s="59"/>
      <c r="BN2" s="59"/>
      <c r="BP2" s="72" t="s">
        <v>7</v>
      </c>
      <c r="BQ2" s="59"/>
      <c r="BR2" s="71" t="s">
        <v>8</v>
      </c>
      <c r="BS2" s="59"/>
      <c r="BT2" s="59"/>
    </row>
    <row r="3" spans="1:72" x14ac:dyDescent="0.25">
      <c r="A3" s="62"/>
      <c r="B3" s="62"/>
      <c r="C3" s="62"/>
      <c r="D3" s="62"/>
      <c r="E3" s="62"/>
      <c r="F3" s="62"/>
      <c r="G3" s="62"/>
      <c r="I3" s="62"/>
      <c r="J3" s="56" t="s">
        <v>25</v>
      </c>
      <c r="K3" s="56" t="s">
        <v>23</v>
      </c>
      <c r="L3" s="56" t="s">
        <v>157</v>
      </c>
      <c r="M3" s="56" t="s">
        <v>158</v>
      </c>
      <c r="N3" s="62"/>
      <c r="O3" s="62"/>
      <c r="P3" s="62"/>
      <c r="Q3" s="62"/>
      <c r="R3" s="62"/>
      <c r="S3" s="57" t="s">
        <v>25</v>
      </c>
      <c r="T3" s="57" t="s">
        <v>157</v>
      </c>
      <c r="U3" s="57" t="s">
        <v>159</v>
      </c>
      <c r="V3" s="57" t="s">
        <v>24</v>
      </c>
      <c r="W3" s="56" t="s">
        <v>9</v>
      </c>
      <c r="X3" s="56" t="s">
        <v>10</v>
      </c>
      <c r="Y3" s="57" t="s">
        <v>11</v>
      </c>
      <c r="Z3" s="57" t="s">
        <v>12</v>
      </c>
      <c r="AA3" s="57" t="s">
        <v>13</v>
      </c>
      <c r="AB3" s="56" t="s">
        <v>160</v>
      </c>
      <c r="AC3" s="56" t="s">
        <v>161</v>
      </c>
      <c r="AD3" s="57" t="s">
        <v>160</v>
      </c>
      <c r="AE3" s="57" t="s">
        <v>161</v>
      </c>
      <c r="AG3" s="62"/>
      <c r="AH3" s="57" t="s">
        <v>25</v>
      </c>
      <c r="AI3" s="57" t="s">
        <v>23</v>
      </c>
      <c r="AJ3" s="57" t="s">
        <v>157</v>
      </c>
      <c r="AK3" s="57" t="s">
        <v>158</v>
      </c>
      <c r="AL3" s="62"/>
      <c r="AM3" s="62"/>
      <c r="AN3" s="62"/>
      <c r="AO3" s="62"/>
      <c r="AP3" s="62"/>
      <c r="AQ3" s="56" t="s">
        <v>25</v>
      </c>
      <c r="AR3" s="56" t="s">
        <v>157</v>
      </c>
      <c r="AS3" s="56" t="s">
        <v>159</v>
      </c>
      <c r="AT3" s="56" t="s">
        <v>24</v>
      </c>
      <c r="AU3" s="57" t="s">
        <v>9</v>
      </c>
      <c r="AV3" s="57" t="s">
        <v>10</v>
      </c>
      <c r="AW3" s="56" t="s">
        <v>11</v>
      </c>
      <c r="AX3" s="56" t="s">
        <v>12</v>
      </c>
      <c r="AY3" s="56" t="s">
        <v>13</v>
      </c>
      <c r="AZ3" s="57" t="s">
        <v>160</v>
      </c>
      <c r="BA3" s="57" t="s">
        <v>161</v>
      </c>
      <c r="BB3" s="56" t="s">
        <v>160</v>
      </c>
      <c r="BC3" s="56" t="s">
        <v>161</v>
      </c>
      <c r="BE3" s="62"/>
      <c r="BF3" s="62"/>
      <c r="BG3" s="62"/>
      <c r="BH3" s="62"/>
      <c r="BJ3" s="57" t="s">
        <v>9</v>
      </c>
      <c r="BK3" s="57" t="s">
        <v>10</v>
      </c>
      <c r="BL3" s="56" t="s">
        <v>11</v>
      </c>
      <c r="BM3" s="56" t="s">
        <v>12</v>
      </c>
      <c r="BN3" s="56" t="s">
        <v>13</v>
      </c>
      <c r="BP3" s="57" t="s">
        <v>9</v>
      </c>
      <c r="BQ3" s="57" t="s">
        <v>10</v>
      </c>
      <c r="BR3" s="56" t="s">
        <v>11</v>
      </c>
      <c r="BS3" s="56" t="s">
        <v>12</v>
      </c>
      <c r="BT3" s="56" t="s">
        <v>13</v>
      </c>
    </row>
    <row r="4" spans="1:72" ht="123" hidden="1" customHeight="1" x14ac:dyDescent="0.25">
      <c r="A4" s="8" t="s">
        <v>162</v>
      </c>
      <c r="B4" s="9" t="s">
        <v>163</v>
      </c>
      <c r="C4" s="8" t="s">
        <v>164</v>
      </c>
      <c r="D4" s="9" t="s">
        <v>165</v>
      </c>
      <c r="E4" s="8" t="s">
        <v>166</v>
      </c>
      <c r="F4" s="9" t="s">
        <v>167</v>
      </c>
      <c r="G4" s="8" t="s">
        <v>168</v>
      </c>
      <c r="I4" s="9" t="s">
        <v>169</v>
      </c>
      <c r="J4" s="8" t="s">
        <v>170</v>
      </c>
      <c r="K4" s="8" t="s">
        <v>171</v>
      </c>
      <c r="L4" s="8" t="s">
        <v>172</v>
      </c>
      <c r="M4" s="8" t="s">
        <v>173</v>
      </c>
      <c r="N4" s="8" t="s">
        <v>174</v>
      </c>
      <c r="O4" s="9" t="s">
        <v>175</v>
      </c>
      <c r="P4" s="8" t="s">
        <v>176</v>
      </c>
      <c r="Q4" s="9" t="s">
        <v>177</v>
      </c>
      <c r="R4" s="8" t="s">
        <v>178</v>
      </c>
      <c r="S4" s="9" t="s">
        <v>179</v>
      </c>
      <c r="T4" s="9" t="s">
        <v>180</v>
      </c>
      <c r="U4" s="9" t="s">
        <v>181</v>
      </c>
      <c r="V4" s="9" t="s">
        <v>182</v>
      </c>
      <c r="W4" s="8" t="s">
        <v>183</v>
      </c>
      <c r="X4" s="8" t="s">
        <v>184</v>
      </c>
      <c r="Y4" s="9" t="s">
        <v>185</v>
      </c>
      <c r="Z4" s="9" t="s">
        <v>186</v>
      </c>
      <c r="AA4" s="9" t="s">
        <v>187</v>
      </c>
      <c r="AB4" s="8" t="s">
        <v>188</v>
      </c>
      <c r="AC4" s="8" t="s">
        <v>189</v>
      </c>
      <c r="AD4" s="9" t="s">
        <v>190</v>
      </c>
      <c r="AE4" s="9" t="s">
        <v>191</v>
      </c>
      <c r="AG4" s="8" t="s">
        <v>192</v>
      </c>
      <c r="AH4" s="9" t="s">
        <v>193</v>
      </c>
      <c r="AI4" s="9" t="s">
        <v>194</v>
      </c>
      <c r="AJ4" s="9" t="s">
        <v>195</v>
      </c>
      <c r="AK4" s="9" t="s">
        <v>196</v>
      </c>
      <c r="AL4" s="9" t="s">
        <v>197</v>
      </c>
      <c r="AM4" s="8" t="s">
        <v>198</v>
      </c>
      <c r="AN4" s="9" t="s">
        <v>199</v>
      </c>
      <c r="AO4" s="8" t="s">
        <v>200</v>
      </c>
      <c r="AP4" s="9" t="s">
        <v>201</v>
      </c>
      <c r="AQ4" s="8" t="s">
        <v>202</v>
      </c>
      <c r="AR4" s="8" t="s">
        <v>203</v>
      </c>
      <c r="AS4" s="8" t="s">
        <v>204</v>
      </c>
      <c r="AT4" s="8" t="s">
        <v>205</v>
      </c>
      <c r="AU4" s="9" t="s">
        <v>206</v>
      </c>
      <c r="AV4" s="9" t="s">
        <v>207</v>
      </c>
      <c r="AW4" s="8" t="s">
        <v>208</v>
      </c>
      <c r="AX4" s="8" t="s">
        <v>209</v>
      </c>
      <c r="AY4" s="8" t="s">
        <v>210</v>
      </c>
      <c r="AZ4" s="9" t="s">
        <v>211</v>
      </c>
      <c r="BA4" s="9" t="s">
        <v>212</v>
      </c>
      <c r="BB4" s="8" t="s">
        <v>213</v>
      </c>
      <c r="BC4" s="8" t="s">
        <v>214</v>
      </c>
      <c r="BE4" s="9" t="s">
        <v>215</v>
      </c>
      <c r="BF4" s="8" t="s">
        <v>216</v>
      </c>
      <c r="BG4" s="9" t="s">
        <v>217</v>
      </c>
      <c r="BH4" s="8" t="s">
        <v>218</v>
      </c>
      <c r="BJ4" s="9" t="s">
        <v>219</v>
      </c>
      <c r="BK4" s="9" t="s">
        <v>220</v>
      </c>
      <c r="BL4" s="8" t="s">
        <v>221</v>
      </c>
      <c r="BM4" s="8" t="s">
        <v>222</v>
      </c>
      <c r="BN4" s="8" t="s">
        <v>223</v>
      </c>
      <c r="BP4" s="9" t="s">
        <v>224</v>
      </c>
      <c r="BQ4" s="9" t="s">
        <v>225</v>
      </c>
      <c r="BR4" s="8" t="s">
        <v>226</v>
      </c>
      <c r="BS4" s="8" t="s">
        <v>227</v>
      </c>
      <c r="BT4" s="8" t="s">
        <v>228</v>
      </c>
    </row>
    <row r="5" spans="1:72" x14ac:dyDescent="0.25">
      <c r="A5" s="54" t="s">
        <v>229</v>
      </c>
      <c r="B5" s="54" t="s">
        <v>49</v>
      </c>
      <c r="C5" s="10" t="s">
        <v>230</v>
      </c>
      <c r="D5" s="54">
        <v>238146391</v>
      </c>
      <c r="E5" s="10">
        <v>10</v>
      </c>
      <c r="F5" s="10">
        <v>300</v>
      </c>
      <c r="G5" s="10">
        <v>30</v>
      </c>
      <c r="I5" s="11">
        <f t="shared" ref="I5:I39" si="0">IF(OR(ISBLANK(S5),ISBLANK(G5)),"·",S5*G5/F5/1000000)</f>
        <v>1.2501023999999998</v>
      </c>
      <c r="J5" s="12">
        <f t="shared" ref="J5:J39" si="1">IF(ISBLANK(S5),"·",S5/D5)</f>
        <v>5.2493023083436105E-2</v>
      </c>
      <c r="K5" s="12">
        <f t="shared" ref="K5:K39" si="2">IF(N5="","·",N5/D5)</f>
        <v>4.4591798999800925E-2</v>
      </c>
      <c r="L5" s="12">
        <f t="shared" ref="L5:L39" si="3">IF(T5="","·",T5/D5)</f>
        <v>2.7862156433015185E-2</v>
      </c>
      <c r="M5" s="12">
        <f t="shared" ref="M5:M39" si="4">IF(ISBLANK(V5),"·",V5/D5)</f>
        <v>7.9012240836351787E-3</v>
      </c>
      <c r="N5" s="54">
        <f t="shared" ref="N5:N39" si="5">IF(OR(ISBLANK(T5),ISBLANK(U5)),"",T5+U5)</f>
        <v>10619376</v>
      </c>
      <c r="O5" s="12">
        <v>16</v>
      </c>
      <c r="P5" s="13">
        <v>222175774</v>
      </c>
      <c r="Q5" s="13">
        <v>740585.91333333298</v>
      </c>
      <c r="R5" s="13">
        <v>16831.916666666701</v>
      </c>
      <c r="S5" s="14">
        <v>12501024</v>
      </c>
      <c r="T5" s="14">
        <v>6635272</v>
      </c>
      <c r="U5" s="14">
        <v>3984104</v>
      </c>
      <c r="V5" s="14">
        <v>1881648</v>
      </c>
      <c r="W5" s="15">
        <v>66.605775666666702</v>
      </c>
      <c r="X5" s="15">
        <v>68.398893333333305</v>
      </c>
      <c r="Y5" s="15">
        <v>31.596465666666699</v>
      </c>
      <c r="Z5" s="15">
        <v>44.3402556666667</v>
      </c>
      <c r="AA5" s="15">
        <v>43.842016666666701</v>
      </c>
      <c r="AB5" s="16">
        <v>65851.5</v>
      </c>
      <c r="AC5" s="16">
        <v>0</v>
      </c>
      <c r="AD5" s="16">
        <v>406.08699999999999</v>
      </c>
      <c r="AE5" s="16">
        <v>0</v>
      </c>
      <c r="AG5" s="11" t="str">
        <f t="shared" ref="AG5:AG39" si="6">IF(OR(ISBLANK(AQ5),ISBLANK(G5)),"·",AQ5*G5/F5/1000000)</f>
        <v>·</v>
      </c>
      <c r="AH5" s="12" t="str">
        <f t="shared" ref="AH5:AH39" si="7">IF(ISBLANK(AQ5),"·",AQ5/D5)</f>
        <v>·</v>
      </c>
      <c r="AI5" s="12" t="str">
        <f t="shared" ref="AI5:AI39" si="8">IF(AL5="","·",AL5/D5)</f>
        <v>·</v>
      </c>
      <c r="AJ5" s="12" t="str">
        <f t="shared" ref="AJ5:AJ39" si="9">IF(AR5="","·",AR5/D5)</f>
        <v>·</v>
      </c>
      <c r="AK5" s="12" t="str">
        <f t="shared" ref="AK5:AK39" si="10">IF(ISBLANK(AT5),"·",AT5/D5)</f>
        <v>·</v>
      </c>
      <c r="AL5" s="54" t="str">
        <f t="shared" ref="AL5:AL39" si="11">IF(OR(ISBLANK(AR5),ISBLANK(AS5)),"",AR5+AS5)</f>
        <v/>
      </c>
      <c r="AM5" s="12">
        <v>16</v>
      </c>
      <c r="AN5" s="13"/>
      <c r="AO5" s="13"/>
      <c r="AP5" s="13"/>
      <c r="AQ5" s="14"/>
      <c r="AR5" s="14"/>
      <c r="AS5" s="14"/>
      <c r="AT5" s="14"/>
      <c r="AU5" s="15"/>
      <c r="AV5" s="15"/>
      <c r="AW5" s="15"/>
      <c r="AX5" s="15"/>
      <c r="AY5" s="15"/>
      <c r="AZ5" s="16"/>
      <c r="BA5" s="16"/>
      <c r="BB5" s="16"/>
      <c r="BC5" s="16"/>
      <c r="BE5" s="51" t="e">
        <f t="shared" ref="BE5:BE43" si="12">AI5/K5</f>
        <v>#VALUE!</v>
      </c>
      <c r="BF5" s="17" t="e">
        <f t="shared" ref="BF5:BF39" si="13">(AP5/AO5) - (R5/Q5)</f>
        <v>#DIV/0!</v>
      </c>
      <c r="BG5" s="17" t="e">
        <f t="shared" ref="BG5:BG39" si="14">(AL5/AQ5) - (N5/S5)</f>
        <v>#VALUE!</v>
      </c>
      <c r="BH5" s="17" t="e">
        <f t="array" ref="BH5">AVERAGE(AL5:AL9/AQ5:AQ9) - AVERAGE(N5:N9/S5:S9)</f>
        <v>#VALUE!</v>
      </c>
      <c r="BJ5" s="51" t="str">
        <f>IF( OR(ISBLANK(N5:N9),ISBLANK(AL5:AL9), ISBLANK(W5:W9),ISBLANK(AU5:AU9)), "·", bdRateExtend( N5:N9,W5:W9, AL5:AL9,AU5:AU9))</f>
        <v>·</v>
      </c>
      <c r="BK5" s="51" t="str">
        <f>IF( OR(ISBLANK(N5:N9),ISBLANK(AL5:AL9), ISBLANK(X5:X9),ISBLANK(AV5:AV9)), "·", bdRateExtend( N5:N9,X5:X9, AL5:AL9,AV5:AV9))</f>
        <v>·</v>
      </c>
      <c r="BL5" s="51" t="str">
        <f>IF( OR(ISBLANK(V5:V9),ISBLANK(AT5:AT9), ISBLANK(Y5:Y9),ISBLANK(AW5:AW9)), "·", bdRateExtend( V5:V9,Y5:Y9, AT5:AT9,AW5:AW9))</f>
        <v>·</v>
      </c>
      <c r="BM5" s="51" t="str">
        <f>IF( OR(ISBLANK(V5:V9),ISBLANK(AT5:AT9), ISBLANK(Z5:Z9),ISBLANK(AX5:AX9)), "·", bdRateExtend( V5:V9,Z5:Z9, AT5:AT9,AX5:AX9))</f>
        <v>·</v>
      </c>
      <c r="BN5" s="51" t="str">
        <f>IF( OR(ISBLANK(V5:V9),ISBLANK(AT5:AT9), ISBLANK(AA5:AA9),ISBLANK(AY5:AY9)), "·", bdRateExtend( V5:V9,AA5:AA9, AT5:AT9,AY5:AY9))</f>
        <v>·</v>
      </c>
      <c r="BP5" s="51" t="str">
        <f>IF( OR(ISBLANK(S5:S9),ISBLANK(AQ5:AQ9), ISBLANK(W5:W9),ISBLANK(AU5:AU9)), "·", bdRateExtend( S5:S9,W5:W9, AQ5:AQ9,AU5:AU9))</f>
        <v>·</v>
      </c>
      <c r="BQ5" s="51" t="str">
        <f>IF( OR(ISBLANK(S5:S9),ISBLANK(AQ5:AQ9), ISBLANK(X5:X9),ISBLANK(AV5:AV9)), "·", bdRateExtend( S5:S9,X5:X9, AQ5:AQ9,AV5:AV9))</f>
        <v>·</v>
      </c>
      <c r="BR5" s="51" t="str">
        <f>IF( OR(ISBLANK(S5:S9),ISBLANK(AQ5:AQ9), ISBLANK(Y5:Y9),ISBLANK(AW5:AW9)), "·", bdRateExtend( S5:S9,Y5:Y9, AQ5:AQ9,AW5:AW9))</f>
        <v>·</v>
      </c>
      <c r="BS5" s="51" t="str">
        <f>IF( OR(ISBLANK(S5:S9),ISBLANK(AQ5:AQ9), ISBLANK(Z5:Z9),ISBLANK(AX5:AX9)), "·", bdRateExtend( S5:S9,Z5:Z9, AQ5:AQ9,AX5:AX9))</f>
        <v>·</v>
      </c>
      <c r="BT5" s="51" t="str">
        <f>IF( OR(ISBLANK(S5:S9),ISBLANK(AQ5:AQ9), ISBLANK(AA5:AA9),ISBLANK(AY5:AY9)), "·", bdRateExtend( S5:S9,AA5:AA9, AQ5:AQ9,AY5:AY9))</f>
        <v>·</v>
      </c>
    </row>
    <row r="6" spans="1:72" outlineLevel="1" x14ac:dyDescent="0.25">
      <c r="A6" s="18"/>
      <c r="B6" s="18" t="s">
        <v>49</v>
      </c>
      <c r="C6" s="19" t="s">
        <v>231</v>
      </c>
      <c r="D6" s="18">
        <v>238146391</v>
      </c>
      <c r="E6" s="19">
        <v>10</v>
      </c>
      <c r="F6" s="19">
        <v>300</v>
      </c>
      <c r="G6" s="19">
        <v>30</v>
      </c>
      <c r="I6" s="20">
        <f t="shared" si="0"/>
        <v>1.6526168000000001</v>
      </c>
      <c r="J6" s="21">
        <f t="shared" si="1"/>
        <v>6.9394996626255825E-2</v>
      </c>
      <c r="K6" s="21">
        <f t="shared" si="2"/>
        <v>5.4729664158546916E-2</v>
      </c>
      <c r="L6" s="21">
        <f t="shared" si="3"/>
        <v>3.8000021591761177E-2</v>
      </c>
      <c r="M6" s="21">
        <f t="shared" si="4"/>
        <v>1.4665332467708906E-2</v>
      </c>
      <c r="N6" s="18">
        <f t="shared" si="5"/>
        <v>13033672</v>
      </c>
      <c r="O6" s="21">
        <v>16</v>
      </c>
      <c r="P6" s="22">
        <v>234561263</v>
      </c>
      <c r="Q6" s="22">
        <v>781870.87666666706</v>
      </c>
      <c r="R6" s="22">
        <v>20264.1466666667</v>
      </c>
      <c r="S6" s="23">
        <v>16526168</v>
      </c>
      <c r="T6" s="23">
        <v>9049568</v>
      </c>
      <c r="U6" s="23">
        <v>3984104</v>
      </c>
      <c r="V6" s="23">
        <v>3492496</v>
      </c>
      <c r="W6" s="24">
        <v>68.316653000000002</v>
      </c>
      <c r="X6" s="24">
        <v>70.389345333333296</v>
      </c>
      <c r="Y6" s="24">
        <v>33.641505333333299</v>
      </c>
      <c r="Z6" s="24">
        <v>45.400005333333297</v>
      </c>
      <c r="AA6" s="24">
        <v>45.0032723333333</v>
      </c>
      <c r="AB6" s="25">
        <v>68996.5</v>
      </c>
      <c r="AC6" s="25">
        <v>0</v>
      </c>
      <c r="AD6" s="25">
        <v>416.98500000000001</v>
      </c>
      <c r="AE6" s="25">
        <v>0</v>
      </c>
      <c r="AG6" s="20" t="str">
        <f t="shared" si="6"/>
        <v>·</v>
      </c>
      <c r="AH6" s="21" t="str">
        <f t="shared" si="7"/>
        <v>·</v>
      </c>
      <c r="AI6" s="21" t="str">
        <f t="shared" si="8"/>
        <v>·</v>
      </c>
      <c r="AJ6" s="21" t="str">
        <f t="shared" si="9"/>
        <v>·</v>
      </c>
      <c r="AK6" s="21" t="str">
        <f t="shared" si="10"/>
        <v>·</v>
      </c>
      <c r="AL6" s="18" t="str">
        <f t="shared" si="11"/>
        <v/>
      </c>
      <c r="AM6" s="21">
        <v>16</v>
      </c>
      <c r="AN6" s="22"/>
      <c r="AO6" s="22"/>
      <c r="AP6" s="22"/>
      <c r="AQ6" s="23"/>
      <c r="AR6" s="23"/>
      <c r="AS6" s="23"/>
      <c r="AT6" s="23"/>
      <c r="AU6" s="24"/>
      <c r="AV6" s="24"/>
      <c r="AW6" s="24"/>
      <c r="AX6" s="24"/>
      <c r="AY6" s="24"/>
      <c r="AZ6" s="25"/>
      <c r="BA6" s="25"/>
      <c r="BB6" s="25"/>
      <c r="BC6" s="25"/>
      <c r="BE6" s="50" t="e">
        <f t="shared" si="12"/>
        <v>#VALUE!</v>
      </c>
      <c r="BF6" s="26" t="e">
        <f t="shared" si="13"/>
        <v>#DIV/0!</v>
      </c>
      <c r="BG6" s="26" t="e">
        <f t="shared" si="14"/>
        <v>#VALUE!</v>
      </c>
      <c r="BH6" s="26"/>
      <c r="BJ6" s="50"/>
      <c r="BK6" s="50"/>
      <c r="BL6" s="50"/>
      <c r="BM6" s="50"/>
      <c r="BN6" s="50"/>
      <c r="BP6" s="50"/>
      <c r="BQ6" s="50"/>
      <c r="BR6" s="50"/>
      <c r="BS6" s="50"/>
      <c r="BT6" s="50"/>
    </row>
    <row r="7" spans="1:72" outlineLevel="1" x14ac:dyDescent="0.25">
      <c r="A7" s="54"/>
      <c r="B7" s="54" t="s">
        <v>49</v>
      </c>
      <c r="C7" s="10" t="s">
        <v>232</v>
      </c>
      <c r="D7" s="54">
        <v>238146391</v>
      </c>
      <c r="E7" s="10">
        <v>10</v>
      </c>
      <c r="F7" s="10">
        <v>300</v>
      </c>
      <c r="G7" s="10">
        <v>30</v>
      </c>
      <c r="I7" s="11">
        <f t="shared" si="0"/>
        <v>2.3466567999999999</v>
      </c>
      <c r="J7" s="12">
        <f t="shared" si="1"/>
        <v>9.8538415390053091E-2</v>
      </c>
      <c r="K7" s="12">
        <f t="shared" si="2"/>
        <v>6.9020168355186207E-2</v>
      </c>
      <c r="L7" s="12">
        <f t="shared" si="3"/>
        <v>5.229052578840046E-2</v>
      </c>
      <c r="M7" s="12">
        <f t="shared" si="4"/>
        <v>2.9518247034866885E-2</v>
      </c>
      <c r="N7" s="54">
        <f t="shared" si="5"/>
        <v>16436904</v>
      </c>
      <c r="O7" s="12">
        <v>16</v>
      </c>
      <c r="P7" s="13">
        <v>237155375</v>
      </c>
      <c r="Q7" s="13">
        <v>790517.91666666698</v>
      </c>
      <c r="R7" s="13">
        <v>21719.383333333299</v>
      </c>
      <c r="S7" s="14">
        <v>23466568</v>
      </c>
      <c r="T7" s="14">
        <v>12452800</v>
      </c>
      <c r="U7" s="14">
        <v>3984104</v>
      </c>
      <c r="V7" s="14">
        <v>7029664</v>
      </c>
      <c r="W7" s="15">
        <v>69.641815666666702</v>
      </c>
      <c r="X7" s="15">
        <v>72.052471333333401</v>
      </c>
      <c r="Y7" s="15">
        <v>36.020868333333297</v>
      </c>
      <c r="Z7" s="15">
        <v>46.671756333333299</v>
      </c>
      <c r="AA7" s="15">
        <v>46.494686333333298</v>
      </c>
      <c r="AB7" s="16">
        <v>72097.5</v>
      </c>
      <c r="AC7" s="16">
        <v>0</v>
      </c>
      <c r="AD7" s="16">
        <v>423.67</v>
      </c>
      <c r="AE7" s="16">
        <v>0</v>
      </c>
      <c r="AG7" s="11" t="str">
        <f t="shared" si="6"/>
        <v>·</v>
      </c>
      <c r="AH7" s="12" t="str">
        <f t="shared" si="7"/>
        <v>·</v>
      </c>
      <c r="AI7" s="12" t="str">
        <f t="shared" si="8"/>
        <v>·</v>
      </c>
      <c r="AJ7" s="12" t="str">
        <f t="shared" si="9"/>
        <v>·</v>
      </c>
      <c r="AK7" s="12" t="str">
        <f t="shared" si="10"/>
        <v>·</v>
      </c>
      <c r="AL7" s="54" t="str">
        <f t="shared" si="11"/>
        <v/>
      </c>
      <c r="AM7" s="12">
        <v>16</v>
      </c>
      <c r="AN7" s="13"/>
      <c r="AO7" s="13"/>
      <c r="AP7" s="13"/>
      <c r="AQ7" s="14"/>
      <c r="AR7" s="14"/>
      <c r="AS7" s="14"/>
      <c r="AT7" s="14"/>
      <c r="AU7" s="15"/>
      <c r="AV7" s="15"/>
      <c r="AW7" s="15"/>
      <c r="AX7" s="15"/>
      <c r="AY7" s="15"/>
      <c r="AZ7" s="16"/>
      <c r="BA7" s="16"/>
      <c r="BB7" s="16"/>
      <c r="BC7" s="16"/>
      <c r="BE7" s="51" t="e">
        <f t="shared" si="12"/>
        <v>#VALUE!</v>
      </c>
      <c r="BF7" s="17" t="e">
        <f t="shared" si="13"/>
        <v>#DIV/0!</v>
      </c>
      <c r="BG7" s="17" t="e">
        <f t="shared" si="14"/>
        <v>#VALUE!</v>
      </c>
      <c r="BH7" s="17"/>
      <c r="BJ7" s="51"/>
      <c r="BK7" s="51"/>
      <c r="BL7" s="51"/>
      <c r="BM7" s="51"/>
      <c r="BN7" s="51"/>
      <c r="BP7" s="51"/>
      <c r="BQ7" s="51"/>
      <c r="BR7" s="51"/>
      <c r="BS7" s="51"/>
      <c r="BT7" s="51"/>
    </row>
    <row r="8" spans="1:72" outlineLevel="1" x14ac:dyDescent="0.25">
      <c r="A8" s="18"/>
      <c r="B8" s="18" t="s">
        <v>49</v>
      </c>
      <c r="C8" s="19" t="s">
        <v>233</v>
      </c>
      <c r="D8" s="18">
        <v>238146391</v>
      </c>
      <c r="E8" s="19">
        <v>10</v>
      </c>
      <c r="F8" s="19">
        <v>300</v>
      </c>
      <c r="G8" s="19">
        <v>30</v>
      </c>
      <c r="I8" s="20">
        <f t="shared" si="0"/>
        <v>3.8743712000000001</v>
      </c>
      <c r="J8" s="21">
        <f t="shared" si="1"/>
        <v>0.16268863801509384</v>
      </c>
      <c r="K8" s="21">
        <f t="shared" si="2"/>
        <v>9.8916569346625113E-2</v>
      </c>
      <c r="L8" s="21">
        <f t="shared" si="3"/>
        <v>8.2186926779839381E-2</v>
      </c>
      <c r="M8" s="21">
        <f t="shared" si="4"/>
        <v>6.3772068668468712E-2</v>
      </c>
      <c r="N8" s="18">
        <f t="shared" si="5"/>
        <v>23556624</v>
      </c>
      <c r="O8" s="21">
        <v>16</v>
      </c>
      <c r="P8" s="22">
        <v>246286726</v>
      </c>
      <c r="Q8" s="22">
        <v>820955.75333333295</v>
      </c>
      <c r="R8" s="22">
        <v>25005.6033333333</v>
      </c>
      <c r="S8" s="23">
        <v>38743712</v>
      </c>
      <c r="T8" s="23">
        <v>19572520</v>
      </c>
      <c r="U8" s="23">
        <v>3984104</v>
      </c>
      <c r="V8" s="23">
        <v>15187088</v>
      </c>
      <c r="W8" s="24">
        <v>70.708436666666699</v>
      </c>
      <c r="X8" s="24">
        <v>73.267008666666698</v>
      </c>
      <c r="Y8" s="24">
        <v>38.498014666666698</v>
      </c>
      <c r="Z8" s="24">
        <v>47.936231333333303</v>
      </c>
      <c r="AA8" s="24">
        <v>47.9143263333333</v>
      </c>
      <c r="AB8" s="25">
        <v>76388.5</v>
      </c>
      <c r="AC8" s="25">
        <v>0</v>
      </c>
      <c r="AD8" s="25">
        <v>415.71699999999998</v>
      </c>
      <c r="AE8" s="25">
        <v>0</v>
      </c>
      <c r="AG8" s="20" t="str">
        <f t="shared" si="6"/>
        <v>·</v>
      </c>
      <c r="AH8" s="21" t="str">
        <f t="shared" si="7"/>
        <v>·</v>
      </c>
      <c r="AI8" s="21" t="str">
        <f t="shared" si="8"/>
        <v>·</v>
      </c>
      <c r="AJ8" s="21" t="str">
        <f t="shared" si="9"/>
        <v>·</v>
      </c>
      <c r="AK8" s="21" t="str">
        <f t="shared" si="10"/>
        <v>·</v>
      </c>
      <c r="AL8" s="18" t="str">
        <f t="shared" si="11"/>
        <v/>
      </c>
      <c r="AM8" s="21">
        <v>16</v>
      </c>
      <c r="AN8" s="22"/>
      <c r="AO8" s="22"/>
      <c r="AP8" s="22"/>
      <c r="AQ8" s="23"/>
      <c r="AR8" s="23"/>
      <c r="AS8" s="23"/>
      <c r="AT8" s="23"/>
      <c r="AU8" s="24"/>
      <c r="AV8" s="24"/>
      <c r="AW8" s="24"/>
      <c r="AX8" s="24"/>
      <c r="AY8" s="24"/>
      <c r="AZ8" s="25"/>
      <c r="BA8" s="25"/>
      <c r="BB8" s="25"/>
      <c r="BC8" s="25"/>
      <c r="BE8" s="50" t="e">
        <f t="shared" si="12"/>
        <v>#VALUE!</v>
      </c>
      <c r="BF8" s="26" t="e">
        <f t="shared" si="13"/>
        <v>#DIV/0!</v>
      </c>
      <c r="BG8" s="26" t="e">
        <f t="shared" si="14"/>
        <v>#VALUE!</v>
      </c>
      <c r="BH8" s="26"/>
      <c r="BJ8" s="50"/>
      <c r="BK8" s="50"/>
      <c r="BL8" s="50"/>
      <c r="BM8" s="50"/>
      <c r="BN8" s="50"/>
      <c r="BP8" s="50"/>
      <c r="BQ8" s="50"/>
      <c r="BR8" s="50"/>
      <c r="BS8" s="50"/>
      <c r="BT8" s="50"/>
    </row>
    <row r="9" spans="1:72" outlineLevel="1" x14ac:dyDescent="0.25">
      <c r="A9" s="54"/>
      <c r="B9" s="27" t="s">
        <v>49</v>
      </c>
      <c r="C9" s="28" t="s">
        <v>234</v>
      </c>
      <c r="D9" s="27">
        <v>238146391</v>
      </c>
      <c r="E9" s="28">
        <v>10</v>
      </c>
      <c r="F9" s="28">
        <v>300</v>
      </c>
      <c r="G9" s="28">
        <v>30</v>
      </c>
      <c r="I9" s="29">
        <f t="shared" si="0"/>
        <v>7.7059888000000001</v>
      </c>
      <c r="J9" s="30">
        <f t="shared" si="1"/>
        <v>0.3235820105289775</v>
      </c>
      <c r="K9" s="30">
        <f t="shared" si="2"/>
        <v>0.17057199073825141</v>
      </c>
      <c r="L9" s="30">
        <f t="shared" si="3"/>
        <v>0.13409859316322792</v>
      </c>
      <c r="M9" s="30">
        <f t="shared" si="4"/>
        <v>0.15301001979072612</v>
      </c>
      <c r="N9" s="27">
        <f t="shared" si="5"/>
        <v>40621104</v>
      </c>
      <c r="O9" s="30">
        <v>16</v>
      </c>
      <c r="P9" s="31">
        <v>236690659</v>
      </c>
      <c r="Q9" s="31">
        <v>788968.86333333305</v>
      </c>
      <c r="R9" s="31">
        <v>10948.0433333333</v>
      </c>
      <c r="S9" s="32">
        <v>77059888</v>
      </c>
      <c r="T9" s="32">
        <v>31935096</v>
      </c>
      <c r="U9" s="32">
        <v>8686008</v>
      </c>
      <c r="V9" s="32">
        <v>36438784</v>
      </c>
      <c r="W9" s="33">
        <v>71.773281999999995</v>
      </c>
      <c r="X9" s="33">
        <v>75.150792000000095</v>
      </c>
      <c r="Y9" s="33">
        <v>41.026584</v>
      </c>
      <c r="Z9" s="33">
        <v>49.4072696666667</v>
      </c>
      <c r="AA9" s="33">
        <v>49.476902666666703</v>
      </c>
      <c r="AB9" s="34">
        <v>82706</v>
      </c>
      <c r="AC9" s="34">
        <v>0</v>
      </c>
      <c r="AD9" s="34">
        <v>399.714</v>
      </c>
      <c r="AE9" s="34">
        <v>0</v>
      </c>
      <c r="AG9" s="29" t="str">
        <f t="shared" si="6"/>
        <v>·</v>
      </c>
      <c r="AH9" s="30" t="str">
        <f t="shared" si="7"/>
        <v>·</v>
      </c>
      <c r="AI9" s="30" t="str">
        <f t="shared" si="8"/>
        <v>·</v>
      </c>
      <c r="AJ9" s="30" t="str">
        <f t="shared" si="9"/>
        <v>·</v>
      </c>
      <c r="AK9" s="30" t="str">
        <f t="shared" si="10"/>
        <v>·</v>
      </c>
      <c r="AL9" s="27" t="str">
        <f t="shared" si="11"/>
        <v/>
      </c>
      <c r="AM9" s="30">
        <v>16</v>
      </c>
      <c r="AN9" s="31"/>
      <c r="AO9" s="31"/>
      <c r="AP9" s="31"/>
      <c r="AQ9" s="32"/>
      <c r="AR9" s="32"/>
      <c r="AS9" s="32"/>
      <c r="AT9" s="32"/>
      <c r="AU9" s="33"/>
      <c r="AV9" s="33"/>
      <c r="AW9" s="33"/>
      <c r="AX9" s="33"/>
      <c r="AY9" s="33"/>
      <c r="AZ9" s="34"/>
      <c r="BA9" s="34"/>
      <c r="BB9" s="34"/>
      <c r="BC9" s="34"/>
      <c r="BE9" s="35" t="e">
        <f t="shared" si="12"/>
        <v>#VALUE!</v>
      </c>
      <c r="BF9" s="36" t="e">
        <f t="shared" si="13"/>
        <v>#DIV/0!</v>
      </c>
      <c r="BG9" s="36" t="e">
        <f t="shared" si="14"/>
        <v>#VALUE!</v>
      </c>
      <c r="BH9" s="36"/>
      <c r="BJ9" s="35"/>
      <c r="BK9" s="35"/>
      <c r="BL9" s="35"/>
      <c r="BM9" s="35"/>
      <c r="BN9" s="35"/>
      <c r="BP9" s="35"/>
      <c r="BQ9" s="35"/>
      <c r="BR9" s="35"/>
      <c r="BS9" s="35"/>
      <c r="BT9" s="35"/>
    </row>
    <row r="10" spans="1:72" x14ac:dyDescent="0.25">
      <c r="A10" s="18"/>
      <c r="B10" s="18" t="s">
        <v>57</v>
      </c>
      <c r="C10" s="19" t="s">
        <v>230</v>
      </c>
      <c r="D10" s="18">
        <v>218121242</v>
      </c>
      <c r="E10" s="19">
        <v>10</v>
      </c>
      <c r="F10" s="19">
        <v>300</v>
      </c>
      <c r="G10" s="19">
        <v>30</v>
      </c>
      <c r="I10" s="20">
        <f t="shared" si="0"/>
        <v>2.1299312000000001</v>
      </c>
      <c r="J10" s="21">
        <f t="shared" si="1"/>
        <v>9.7648958004741229E-2</v>
      </c>
      <c r="K10" s="21">
        <f t="shared" si="2"/>
        <v>7.2970976389360551E-2</v>
      </c>
      <c r="L10" s="21">
        <f t="shared" si="3"/>
        <v>4.1374677299884435E-2</v>
      </c>
      <c r="M10" s="21">
        <f t="shared" si="4"/>
        <v>2.4677981615380679E-2</v>
      </c>
      <c r="N10" s="18">
        <f t="shared" si="5"/>
        <v>15916520</v>
      </c>
      <c r="O10" s="21">
        <v>16</v>
      </c>
      <c r="P10" s="22">
        <v>202678143</v>
      </c>
      <c r="Q10" s="22">
        <v>675593.81</v>
      </c>
      <c r="R10" s="22">
        <v>20402.4866666667</v>
      </c>
      <c r="S10" s="23">
        <v>21299312</v>
      </c>
      <c r="T10" s="23">
        <v>9024696</v>
      </c>
      <c r="U10" s="23">
        <v>6891824</v>
      </c>
      <c r="V10" s="23">
        <v>5382792</v>
      </c>
      <c r="W10" s="24">
        <v>65.897205666666693</v>
      </c>
      <c r="X10" s="24">
        <v>67.692311000000103</v>
      </c>
      <c r="Y10" s="24">
        <v>30.871722666666699</v>
      </c>
      <c r="Z10" s="24">
        <v>38.647551333333297</v>
      </c>
      <c r="AA10" s="24">
        <v>29.906655666666701</v>
      </c>
      <c r="AB10" s="25">
        <v>75930.7</v>
      </c>
      <c r="AC10" s="25">
        <v>0</v>
      </c>
      <c r="AD10" s="25">
        <v>392.52600000000001</v>
      </c>
      <c r="AE10" s="25">
        <v>0</v>
      </c>
      <c r="AG10" s="20" t="str">
        <f t="shared" si="6"/>
        <v>·</v>
      </c>
      <c r="AH10" s="21" t="str">
        <f t="shared" si="7"/>
        <v>·</v>
      </c>
      <c r="AI10" s="21" t="str">
        <f t="shared" si="8"/>
        <v>·</v>
      </c>
      <c r="AJ10" s="21" t="str">
        <f t="shared" si="9"/>
        <v>·</v>
      </c>
      <c r="AK10" s="21" t="str">
        <f t="shared" si="10"/>
        <v>·</v>
      </c>
      <c r="AL10" s="18" t="str">
        <f t="shared" si="11"/>
        <v/>
      </c>
      <c r="AM10" s="21">
        <v>16</v>
      </c>
      <c r="AN10" s="22"/>
      <c r="AO10" s="22"/>
      <c r="AP10" s="22"/>
      <c r="AQ10" s="23"/>
      <c r="AR10" s="23"/>
      <c r="AS10" s="23"/>
      <c r="AT10" s="23"/>
      <c r="AU10" s="24"/>
      <c r="AV10" s="24"/>
      <c r="AW10" s="24"/>
      <c r="AX10" s="24"/>
      <c r="AY10" s="24"/>
      <c r="AZ10" s="25"/>
      <c r="BA10" s="25"/>
      <c r="BB10" s="25"/>
      <c r="BC10" s="25"/>
      <c r="BE10" s="50" t="e">
        <f t="shared" si="12"/>
        <v>#VALUE!</v>
      </c>
      <c r="BF10" s="26" t="e">
        <f t="shared" si="13"/>
        <v>#DIV/0!</v>
      </c>
      <c r="BG10" s="26" t="e">
        <f t="shared" si="14"/>
        <v>#VALUE!</v>
      </c>
      <c r="BH10" s="26" t="e">
        <f t="array" ref="BH10">AVERAGE(AL10:AL14/AQ10:AQ14) - AVERAGE(N10:N14/S10:S14)</f>
        <v>#VALUE!</v>
      </c>
      <c r="BJ10" s="50" t="str">
        <f>IF( OR(ISBLANK(N10:N14),ISBLANK(AL10:AL14), ISBLANK(W10:W14),ISBLANK(AU10:AU14)), "·", bdRateExtend( N10:N14,W10:W14, AL10:AL14,AU10:AU14))</f>
        <v>·</v>
      </c>
      <c r="BK10" s="50" t="str">
        <f>IF( OR(ISBLANK(N10:N14),ISBLANK(AL10:AL14), ISBLANK(X10:X14),ISBLANK(AV10:AV14)), "·", bdRateExtend( N10:N14,X10:X14, AL10:AL14,AV10:AV14))</f>
        <v>·</v>
      </c>
      <c r="BL10" s="50" t="str">
        <f>IF( OR(ISBLANK(V10:V14),ISBLANK(AT10:AT14), ISBLANK(Y10:Y14),ISBLANK(AW10:AW14)), "·", bdRateExtend( V10:V14,Y10:Y14, AT10:AT14,AW10:AW14))</f>
        <v>·</v>
      </c>
      <c r="BM10" s="50" t="str">
        <f>IF( OR(ISBLANK(V10:V14),ISBLANK(AT10:AT14), ISBLANK(Z10:Z14),ISBLANK(AX10:AX14)), "·", bdRateExtend( V10:V14,Z10:Z14, AT10:AT14,AX10:AX14))</f>
        <v>·</v>
      </c>
      <c r="BN10" s="50" t="str">
        <f>IF( OR(ISBLANK(V10:V14),ISBLANK(AT10:AT14), ISBLANK(AA10:AA14),ISBLANK(AY10:AY14)), "·", bdRateExtend( V10:V14,AA10:AA14, AT10:AT14,AY10:AY14))</f>
        <v>·</v>
      </c>
      <c r="BP10" s="50" t="str">
        <f>IF( OR(ISBLANK(S10:S14),ISBLANK(AQ10:AQ14), ISBLANK(W10:W14),ISBLANK(AU10:AU14)), "·", bdRateExtend( S10:S14,W10:W14, AQ10:AQ14,AU10:AU14))</f>
        <v>·</v>
      </c>
      <c r="BQ10" s="50" t="str">
        <f>IF( OR(ISBLANK(S10:S14),ISBLANK(AQ10:AQ14), ISBLANK(X10:X14),ISBLANK(AV10:AV14)), "·", bdRateExtend( S10:S14,X10:X14, AQ10:AQ14,AV10:AV14))</f>
        <v>·</v>
      </c>
      <c r="BR10" s="50" t="str">
        <f>IF( OR(ISBLANK(S10:S14),ISBLANK(AQ10:AQ14), ISBLANK(Y10:Y14),ISBLANK(AW10:AW14)), "·", bdRateExtend( S10:S14,Y10:Y14, AQ10:AQ14,AW10:AW14))</f>
        <v>·</v>
      </c>
      <c r="BS10" s="50" t="str">
        <f>IF( OR(ISBLANK(S10:S14),ISBLANK(AQ10:AQ14), ISBLANK(Z10:Z14),ISBLANK(AX10:AX14)), "·", bdRateExtend( S10:S14,Z10:Z14, AQ10:AQ14,AX10:AX14))</f>
        <v>·</v>
      </c>
      <c r="BT10" s="50" t="str">
        <f>IF( OR(ISBLANK(S10:S14),ISBLANK(AQ10:AQ14), ISBLANK(AA10:AA14),ISBLANK(AY10:AY14)), "·", bdRateExtend( S10:S14,AA10:AA14, AQ10:AQ14,AY10:AY14))</f>
        <v>·</v>
      </c>
    </row>
    <row r="11" spans="1:72" outlineLevel="1" x14ac:dyDescent="0.25">
      <c r="A11" s="54"/>
      <c r="B11" s="54" t="s">
        <v>57</v>
      </c>
      <c r="C11" s="10" t="s">
        <v>231</v>
      </c>
      <c r="D11" s="54">
        <v>218121242</v>
      </c>
      <c r="E11" s="10">
        <v>10</v>
      </c>
      <c r="F11" s="10">
        <v>300</v>
      </c>
      <c r="G11" s="10">
        <v>30</v>
      </c>
      <c r="I11" s="11">
        <f t="shared" si="0"/>
        <v>2.9042599999999998</v>
      </c>
      <c r="J11" s="12">
        <f t="shared" si="1"/>
        <v>0.13314888423384275</v>
      </c>
      <c r="K11" s="12">
        <f t="shared" si="2"/>
        <v>8.9695656510153196E-2</v>
      </c>
      <c r="L11" s="12">
        <f t="shared" si="3"/>
        <v>5.8099357420677074E-2</v>
      </c>
      <c r="M11" s="12">
        <f t="shared" si="4"/>
        <v>4.3453227723689564E-2</v>
      </c>
      <c r="N11" s="54">
        <f t="shared" si="5"/>
        <v>19564528</v>
      </c>
      <c r="O11" s="12">
        <v>16</v>
      </c>
      <c r="P11" s="13">
        <v>214390714</v>
      </c>
      <c r="Q11" s="13">
        <v>714635.71333333303</v>
      </c>
      <c r="R11" s="13">
        <v>24998.4866666667</v>
      </c>
      <c r="S11" s="14">
        <v>29042600</v>
      </c>
      <c r="T11" s="14">
        <v>12672704</v>
      </c>
      <c r="U11" s="14">
        <v>6891824</v>
      </c>
      <c r="V11" s="14">
        <v>9478072</v>
      </c>
      <c r="W11" s="15">
        <v>67.573559333333293</v>
      </c>
      <c r="X11" s="15">
        <v>69.614537999999996</v>
      </c>
      <c r="Y11" s="15">
        <v>32.683078333333299</v>
      </c>
      <c r="Z11" s="15">
        <v>39.6302423333333</v>
      </c>
      <c r="AA11" s="15">
        <v>32.110628666666699</v>
      </c>
      <c r="AB11" s="16">
        <v>79321</v>
      </c>
      <c r="AC11" s="16">
        <v>0</v>
      </c>
      <c r="AD11" s="16">
        <v>394.29700000000003</v>
      </c>
      <c r="AE11" s="16">
        <v>0</v>
      </c>
      <c r="AG11" s="11" t="str">
        <f t="shared" si="6"/>
        <v>·</v>
      </c>
      <c r="AH11" s="12" t="str">
        <f t="shared" si="7"/>
        <v>·</v>
      </c>
      <c r="AI11" s="12" t="str">
        <f t="shared" si="8"/>
        <v>·</v>
      </c>
      <c r="AJ11" s="12" t="str">
        <f t="shared" si="9"/>
        <v>·</v>
      </c>
      <c r="AK11" s="12" t="str">
        <f t="shared" si="10"/>
        <v>·</v>
      </c>
      <c r="AL11" s="54" t="str">
        <f t="shared" si="11"/>
        <v/>
      </c>
      <c r="AM11" s="12">
        <v>16</v>
      </c>
      <c r="AN11" s="13"/>
      <c r="AO11" s="13"/>
      <c r="AP11" s="13"/>
      <c r="AQ11" s="14"/>
      <c r="AR11" s="14"/>
      <c r="AS11" s="14"/>
      <c r="AT11" s="14"/>
      <c r="AU11" s="15"/>
      <c r="AV11" s="15"/>
      <c r="AW11" s="15"/>
      <c r="AX11" s="15"/>
      <c r="AY11" s="15"/>
      <c r="AZ11" s="16"/>
      <c r="BA11" s="16"/>
      <c r="BB11" s="16"/>
      <c r="BC11" s="16"/>
      <c r="BE11" s="51" t="e">
        <f t="shared" si="12"/>
        <v>#VALUE!</v>
      </c>
      <c r="BF11" s="17" t="e">
        <f t="shared" si="13"/>
        <v>#DIV/0!</v>
      </c>
      <c r="BG11" s="17" t="e">
        <f t="shared" si="14"/>
        <v>#VALUE!</v>
      </c>
      <c r="BH11" s="17"/>
      <c r="BJ11" s="51"/>
      <c r="BK11" s="51"/>
      <c r="BL11" s="51"/>
      <c r="BM11" s="51"/>
      <c r="BN11" s="51"/>
      <c r="BP11" s="51"/>
      <c r="BQ11" s="51"/>
      <c r="BR11" s="51"/>
      <c r="BS11" s="51"/>
      <c r="BT11" s="51"/>
    </row>
    <row r="12" spans="1:72" outlineLevel="1" x14ac:dyDescent="0.25">
      <c r="A12" s="18"/>
      <c r="B12" s="18" t="s">
        <v>57</v>
      </c>
      <c r="C12" s="19" t="s">
        <v>232</v>
      </c>
      <c r="D12" s="18">
        <v>218121242</v>
      </c>
      <c r="E12" s="19">
        <v>10</v>
      </c>
      <c r="F12" s="19">
        <v>300</v>
      </c>
      <c r="G12" s="19">
        <v>30</v>
      </c>
      <c r="I12" s="20">
        <f t="shared" si="0"/>
        <v>4.1399736000000003</v>
      </c>
      <c r="J12" s="21">
        <f t="shared" si="1"/>
        <v>0.18980148664291946</v>
      </c>
      <c r="K12" s="21">
        <f t="shared" si="2"/>
        <v>0.11499993201028995</v>
      </c>
      <c r="L12" s="21">
        <f t="shared" si="3"/>
        <v>8.3403632920813833E-2</v>
      </c>
      <c r="M12" s="21">
        <f t="shared" si="4"/>
        <v>7.4801554632629497E-2</v>
      </c>
      <c r="N12" s="18">
        <f t="shared" si="5"/>
        <v>25083928</v>
      </c>
      <c r="O12" s="21">
        <v>16</v>
      </c>
      <c r="P12" s="22">
        <v>217286162</v>
      </c>
      <c r="Q12" s="22">
        <v>724287.20666666701</v>
      </c>
      <c r="R12" s="22">
        <v>26541.406666666699</v>
      </c>
      <c r="S12" s="23">
        <v>41399736</v>
      </c>
      <c r="T12" s="23">
        <v>18192104</v>
      </c>
      <c r="U12" s="23">
        <v>6891824</v>
      </c>
      <c r="V12" s="23">
        <v>16315808</v>
      </c>
      <c r="W12" s="24">
        <v>68.893530999999996</v>
      </c>
      <c r="X12" s="24">
        <v>71.249480333333395</v>
      </c>
      <c r="Y12" s="24">
        <v>34.690359666666602</v>
      </c>
      <c r="Z12" s="24">
        <v>40.578880333333402</v>
      </c>
      <c r="AA12" s="24">
        <v>33.988951999999998</v>
      </c>
      <c r="AB12" s="25">
        <v>82792.399999999994</v>
      </c>
      <c r="AC12" s="25">
        <v>0</v>
      </c>
      <c r="AD12" s="25">
        <v>408.45699999999999</v>
      </c>
      <c r="AE12" s="25">
        <v>0</v>
      </c>
      <c r="AG12" s="20" t="str">
        <f t="shared" si="6"/>
        <v>·</v>
      </c>
      <c r="AH12" s="21" t="str">
        <f t="shared" si="7"/>
        <v>·</v>
      </c>
      <c r="AI12" s="21" t="str">
        <f t="shared" si="8"/>
        <v>·</v>
      </c>
      <c r="AJ12" s="21" t="str">
        <f t="shared" si="9"/>
        <v>·</v>
      </c>
      <c r="AK12" s="21" t="str">
        <f t="shared" si="10"/>
        <v>·</v>
      </c>
      <c r="AL12" s="18" t="str">
        <f t="shared" si="11"/>
        <v/>
      </c>
      <c r="AM12" s="21">
        <v>16</v>
      </c>
      <c r="AN12" s="22"/>
      <c r="AO12" s="22"/>
      <c r="AP12" s="22"/>
      <c r="AQ12" s="23"/>
      <c r="AR12" s="23"/>
      <c r="AS12" s="23"/>
      <c r="AT12" s="23"/>
      <c r="AU12" s="24"/>
      <c r="AV12" s="24"/>
      <c r="AW12" s="24"/>
      <c r="AX12" s="24"/>
      <c r="AY12" s="24"/>
      <c r="AZ12" s="25"/>
      <c r="BA12" s="25"/>
      <c r="BB12" s="25"/>
      <c r="BC12" s="25"/>
      <c r="BE12" s="50" t="e">
        <f t="shared" si="12"/>
        <v>#VALUE!</v>
      </c>
      <c r="BF12" s="26" t="e">
        <f t="shared" si="13"/>
        <v>#DIV/0!</v>
      </c>
      <c r="BG12" s="26" t="e">
        <f t="shared" si="14"/>
        <v>#VALUE!</v>
      </c>
      <c r="BH12" s="26"/>
      <c r="BJ12" s="50"/>
      <c r="BK12" s="50"/>
      <c r="BL12" s="50"/>
      <c r="BM12" s="50"/>
      <c r="BN12" s="50"/>
      <c r="BP12" s="50"/>
      <c r="BQ12" s="50"/>
      <c r="BR12" s="50"/>
      <c r="BS12" s="50"/>
      <c r="BT12" s="50"/>
    </row>
    <row r="13" spans="1:72" outlineLevel="1" x14ac:dyDescent="0.25">
      <c r="A13" s="54"/>
      <c r="B13" s="54" t="s">
        <v>57</v>
      </c>
      <c r="C13" s="10" t="s">
        <v>233</v>
      </c>
      <c r="D13" s="54">
        <v>218121242</v>
      </c>
      <c r="E13" s="10">
        <v>10</v>
      </c>
      <c r="F13" s="10">
        <v>300</v>
      </c>
      <c r="G13" s="10">
        <v>30</v>
      </c>
      <c r="I13" s="11">
        <f t="shared" si="0"/>
        <v>6.7104407999999998</v>
      </c>
      <c r="J13" s="12">
        <f t="shared" si="1"/>
        <v>0.30764728544870473</v>
      </c>
      <c r="K13" s="12">
        <f t="shared" si="2"/>
        <v>0.16196570162570412</v>
      </c>
      <c r="L13" s="12">
        <f t="shared" si="3"/>
        <v>0.130369402536228</v>
      </c>
      <c r="M13" s="12">
        <f t="shared" si="4"/>
        <v>0.14568158382300062</v>
      </c>
      <c r="N13" s="54">
        <f t="shared" si="5"/>
        <v>35328160</v>
      </c>
      <c r="O13" s="12">
        <v>16</v>
      </c>
      <c r="P13" s="13">
        <v>225171185</v>
      </c>
      <c r="Q13" s="13">
        <v>750570.61666666705</v>
      </c>
      <c r="R13" s="13">
        <v>30159.856666666699</v>
      </c>
      <c r="S13" s="14">
        <v>67104408</v>
      </c>
      <c r="T13" s="14">
        <v>28436336</v>
      </c>
      <c r="U13" s="14">
        <v>6891824</v>
      </c>
      <c r="V13" s="14">
        <v>31776248</v>
      </c>
      <c r="W13" s="15">
        <v>69.941466000000005</v>
      </c>
      <c r="X13" s="15">
        <v>72.463044333333301</v>
      </c>
      <c r="Y13" s="15">
        <v>36.879898333333301</v>
      </c>
      <c r="Z13" s="15">
        <v>41.625819</v>
      </c>
      <c r="AA13" s="15">
        <v>35.922255333333297</v>
      </c>
      <c r="AB13" s="16">
        <v>87170.9</v>
      </c>
      <c r="AC13" s="16">
        <v>0</v>
      </c>
      <c r="AD13" s="16">
        <v>398.05099999999999</v>
      </c>
      <c r="AE13" s="16">
        <v>0</v>
      </c>
      <c r="AG13" s="11" t="str">
        <f t="shared" si="6"/>
        <v>·</v>
      </c>
      <c r="AH13" s="12" t="str">
        <f t="shared" si="7"/>
        <v>·</v>
      </c>
      <c r="AI13" s="12" t="str">
        <f t="shared" si="8"/>
        <v>·</v>
      </c>
      <c r="AJ13" s="12" t="str">
        <f t="shared" si="9"/>
        <v>·</v>
      </c>
      <c r="AK13" s="12" t="str">
        <f t="shared" si="10"/>
        <v>·</v>
      </c>
      <c r="AL13" s="54" t="str">
        <f t="shared" si="11"/>
        <v/>
      </c>
      <c r="AM13" s="12">
        <v>16</v>
      </c>
      <c r="AN13" s="13"/>
      <c r="AO13" s="13"/>
      <c r="AP13" s="13"/>
      <c r="AQ13" s="14"/>
      <c r="AR13" s="14"/>
      <c r="AS13" s="14"/>
      <c r="AT13" s="14"/>
      <c r="AU13" s="15"/>
      <c r="AV13" s="15"/>
      <c r="AW13" s="15"/>
      <c r="AX13" s="15"/>
      <c r="AY13" s="15"/>
      <c r="AZ13" s="16"/>
      <c r="BA13" s="16"/>
      <c r="BB13" s="16"/>
      <c r="BC13" s="16"/>
      <c r="BE13" s="51" t="e">
        <f t="shared" si="12"/>
        <v>#VALUE!</v>
      </c>
      <c r="BF13" s="17" t="e">
        <f t="shared" si="13"/>
        <v>#DIV/0!</v>
      </c>
      <c r="BG13" s="17" t="e">
        <f t="shared" si="14"/>
        <v>#VALUE!</v>
      </c>
      <c r="BH13" s="17"/>
      <c r="BJ13" s="51"/>
      <c r="BK13" s="51"/>
      <c r="BL13" s="51"/>
      <c r="BM13" s="51"/>
      <c r="BN13" s="51"/>
      <c r="BP13" s="51"/>
      <c r="BQ13" s="51"/>
      <c r="BR13" s="51"/>
      <c r="BS13" s="51"/>
      <c r="BT13" s="51"/>
    </row>
    <row r="14" spans="1:72" outlineLevel="1" x14ac:dyDescent="0.25">
      <c r="A14" s="18"/>
      <c r="B14" s="37" t="s">
        <v>57</v>
      </c>
      <c r="C14" s="38" t="s">
        <v>234</v>
      </c>
      <c r="D14" s="37">
        <v>218121242</v>
      </c>
      <c r="E14" s="38">
        <v>10</v>
      </c>
      <c r="F14" s="38">
        <v>300</v>
      </c>
      <c r="G14" s="38">
        <v>30</v>
      </c>
      <c r="I14" s="39">
        <f t="shared" si="0"/>
        <v>13.203337599999999</v>
      </c>
      <c r="J14" s="40">
        <f t="shared" si="1"/>
        <v>0.60532103516997215</v>
      </c>
      <c r="K14" s="40">
        <f t="shared" si="2"/>
        <v>0.27293840551302195</v>
      </c>
      <c r="L14" s="40">
        <f t="shared" si="3"/>
        <v>0.21079546209442546</v>
      </c>
      <c r="M14" s="40">
        <f t="shared" si="4"/>
        <v>0.33238262965695015</v>
      </c>
      <c r="N14" s="37">
        <f t="shared" si="5"/>
        <v>59533664</v>
      </c>
      <c r="O14" s="40">
        <v>16</v>
      </c>
      <c r="P14" s="41">
        <v>212984057</v>
      </c>
      <c r="Q14" s="41">
        <v>709946.85666666704</v>
      </c>
      <c r="R14" s="41">
        <v>14248.9633333333</v>
      </c>
      <c r="S14" s="42">
        <v>132033376</v>
      </c>
      <c r="T14" s="42">
        <v>45978968</v>
      </c>
      <c r="U14" s="42">
        <v>13554696</v>
      </c>
      <c r="V14" s="42">
        <v>72499712</v>
      </c>
      <c r="W14" s="43">
        <v>70.810416333333293</v>
      </c>
      <c r="X14" s="43">
        <v>74.574849666666694</v>
      </c>
      <c r="Y14" s="43">
        <v>39.265649000000003</v>
      </c>
      <c r="Z14" s="43">
        <v>42.9108806666666</v>
      </c>
      <c r="AA14" s="43">
        <v>38.028820000000003</v>
      </c>
      <c r="AB14" s="44">
        <v>92913</v>
      </c>
      <c r="AC14" s="44">
        <v>0</v>
      </c>
      <c r="AD14" s="44">
        <v>404.24200000000002</v>
      </c>
      <c r="AE14" s="44">
        <v>0</v>
      </c>
      <c r="AG14" s="39" t="str">
        <f t="shared" si="6"/>
        <v>·</v>
      </c>
      <c r="AH14" s="40" t="str">
        <f t="shared" si="7"/>
        <v>·</v>
      </c>
      <c r="AI14" s="40" t="str">
        <f t="shared" si="8"/>
        <v>·</v>
      </c>
      <c r="AJ14" s="40" t="str">
        <f t="shared" si="9"/>
        <v>·</v>
      </c>
      <c r="AK14" s="40" t="str">
        <f t="shared" si="10"/>
        <v>·</v>
      </c>
      <c r="AL14" s="37" t="str">
        <f t="shared" si="11"/>
        <v/>
      </c>
      <c r="AM14" s="40">
        <v>16</v>
      </c>
      <c r="AN14" s="41"/>
      <c r="AO14" s="41"/>
      <c r="AP14" s="41"/>
      <c r="AQ14" s="42"/>
      <c r="AR14" s="42"/>
      <c r="AS14" s="42"/>
      <c r="AT14" s="42"/>
      <c r="AU14" s="43"/>
      <c r="AV14" s="43"/>
      <c r="AW14" s="43"/>
      <c r="AX14" s="43"/>
      <c r="AY14" s="43"/>
      <c r="AZ14" s="44"/>
      <c r="BA14" s="44"/>
      <c r="BB14" s="44"/>
      <c r="BC14" s="44"/>
      <c r="BE14" s="45" t="e">
        <f t="shared" si="12"/>
        <v>#VALUE!</v>
      </c>
      <c r="BF14" s="46" t="e">
        <f t="shared" si="13"/>
        <v>#DIV/0!</v>
      </c>
      <c r="BG14" s="46" t="e">
        <f t="shared" si="14"/>
        <v>#VALUE!</v>
      </c>
      <c r="BH14" s="46"/>
      <c r="BJ14" s="45"/>
      <c r="BK14" s="45"/>
      <c r="BL14" s="45"/>
      <c r="BM14" s="45"/>
      <c r="BN14" s="45"/>
      <c r="BP14" s="45"/>
      <c r="BQ14" s="45"/>
      <c r="BR14" s="45"/>
      <c r="BS14" s="45"/>
      <c r="BT14" s="45"/>
    </row>
    <row r="15" spans="1:72" x14ac:dyDescent="0.25">
      <c r="A15" s="54"/>
      <c r="B15" s="54" t="s">
        <v>62</v>
      </c>
      <c r="C15" s="10" t="s">
        <v>230</v>
      </c>
      <c r="D15" s="54">
        <v>322589704</v>
      </c>
      <c r="E15" s="10">
        <v>10</v>
      </c>
      <c r="F15" s="10">
        <v>300</v>
      </c>
      <c r="G15" s="10">
        <v>30</v>
      </c>
      <c r="I15" s="11">
        <f t="shared" si="0"/>
        <v>1.8754376000000001</v>
      </c>
      <c r="J15" s="12">
        <f t="shared" si="1"/>
        <v>5.8136932975393414E-2</v>
      </c>
      <c r="K15" s="12">
        <f t="shared" si="2"/>
        <v>4.8257163223039502E-2</v>
      </c>
      <c r="L15" s="12">
        <f t="shared" si="3"/>
        <v>2.6889711272372163E-2</v>
      </c>
      <c r="M15" s="12">
        <f t="shared" si="4"/>
        <v>9.8797697523539067E-3</v>
      </c>
      <c r="N15" s="54">
        <f t="shared" si="5"/>
        <v>15567264</v>
      </c>
      <c r="O15" s="12">
        <v>16</v>
      </c>
      <c r="P15" s="13">
        <v>308605834</v>
      </c>
      <c r="Q15" s="13">
        <v>1028686.11333333</v>
      </c>
      <c r="R15" s="13">
        <v>31656.65</v>
      </c>
      <c r="S15" s="14">
        <v>18754376</v>
      </c>
      <c r="T15" s="14">
        <v>8674344</v>
      </c>
      <c r="U15" s="14">
        <v>6892920</v>
      </c>
      <c r="V15" s="14">
        <v>3187112</v>
      </c>
      <c r="W15" s="15">
        <v>66.2888186666666</v>
      </c>
      <c r="X15" s="15">
        <v>67.884724666666699</v>
      </c>
      <c r="Y15" s="15">
        <v>29.029461999999999</v>
      </c>
      <c r="Z15" s="15">
        <v>43.382292333333297</v>
      </c>
      <c r="AA15" s="15">
        <v>43.5889046666666</v>
      </c>
      <c r="AB15" s="16">
        <v>74229</v>
      </c>
      <c r="AC15" s="16">
        <v>0</v>
      </c>
      <c r="AD15" s="16">
        <v>500.17399999999998</v>
      </c>
      <c r="AE15" s="16">
        <v>0</v>
      </c>
      <c r="AG15" s="11" t="str">
        <f t="shared" si="6"/>
        <v>·</v>
      </c>
      <c r="AH15" s="12" t="str">
        <f t="shared" si="7"/>
        <v>·</v>
      </c>
      <c r="AI15" s="12" t="str">
        <f t="shared" si="8"/>
        <v>·</v>
      </c>
      <c r="AJ15" s="12" t="str">
        <f t="shared" si="9"/>
        <v>·</v>
      </c>
      <c r="AK15" s="12" t="str">
        <f t="shared" si="10"/>
        <v>·</v>
      </c>
      <c r="AL15" s="54" t="str">
        <f t="shared" si="11"/>
        <v/>
      </c>
      <c r="AM15" s="12">
        <v>16</v>
      </c>
      <c r="AN15" s="13"/>
      <c r="AO15" s="13"/>
      <c r="AP15" s="13"/>
      <c r="AQ15" s="14"/>
      <c r="AR15" s="14"/>
      <c r="AS15" s="14"/>
      <c r="AT15" s="14"/>
      <c r="AU15" s="15"/>
      <c r="AV15" s="15"/>
      <c r="AW15" s="15"/>
      <c r="AX15" s="15"/>
      <c r="AY15" s="15"/>
      <c r="AZ15" s="16"/>
      <c r="BA15" s="16"/>
      <c r="BB15" s="16"/>
      <c r="BC15" s="16"/>
      <c r="BE15" s="51" t="e">
        <f t="shared" si="12"/>
        <v>#VALUE!</v>
      </c>
      <c r="BF15" s="17" t="e">
        <f t="shared" si="13"/>
        <v>#DIV/0!</v>
      </c>
      <c r="BG15" s="17" t="e">
        <f t="shared" si="14"/>
        <v>#VALUE!</v>
      </c>
      <c r="BH15" s="17" t="e">
        <f t="array" ref="BH15">AVERAGE(AL15:AL19/AQ15:AQ19) - AVERAGE(N15:N19/S15:S19)</f>
        <v>#VALUE!</v>
      </c>
      <c r="BJ15" s="51" t="str">
        <f>IF( OR(ISBLANK(N15:N19),ISBLANK(AL15:AL19), ISBLANK(W15:W19),ISBLANK(AU15:AU19)), "·", bdRateExtend( N15:N19,W15:W19, AL15:AL19,AU15:AU19))</f>
        <v>·</v>
      </c>
      <c r="BK15" s="51" t="str">
        <f>IF( OR(ISBLANK(N15:N19),ISBLANK(AL15:AL19), ISBLANK(X15:X19),ISBLANK(AV15:AV19)), "·", bdRateExtend( N15:N19,X15:X19, AL15:AL19,AV15:AV19))</f>
        <v>·</v>
      </c>
      <c r="BL15" s="51" t="str">
        <f>IF( OR(ISBLANK(V15:V19),ISBLANK(AT15:AT19), ISBLANK(Y15:Y19),ISBLANK(AW15:AW19)), "·", bdRateExtend( V15:V19,Y15:Y19, AT15:AT19,AW15:AW19))</f>
        <v>·</v>
      </c>
      <c r="BM15" s="51" t="str">
        <f>IF( OR(ISBLANK(V15:V19),ISBLANK(AT15:AT19), ISBLANK(Z15:Z19),ISBLANK(AX15:AX19)), "·", bdRateExtend( V15:V19,Z15:Z19, AT15:AT19,AX15:AX19))</f>
        <v>·</v>
      </c>
      <c r="BN15" s="51" t="str">
        <f>IF( OR(ISBLANK(V15:V19),ISBLANK(AT15:AT19), ISBLANK(AA15:AA19),ISBLANK(AY15:AY19)), "·", bdRateExtend( V15:V19,AA15:AA19, AT15:AT19,AY15:AY19))</f>
        <v>·</v>
      </c>
      <c r="BP15" s="51" t="str">
        <f>IF( OR(ISBLANK(S15:S19),ISBLANK(AQ15:AQ19), ISBLANK(W15:W19),ISBLANK(AU15:AU19)), "·", bdRateExtend( S15:S19,W15:W19, AQ15:AQ19,AU15:AU19))</f>
        <v>·</v>
      </c>
      <c r="BQ15" s="51" t="str">
        <f>IF( OR(ISBLANK(S15:S19),ISBLANK(AQ15:AQ19), ISBLANK(X15:X19),ISBLANK(AV15:AV19)), "·", bdRateExtend( S15:S19,X15:X19, AQ15:AQ19,AV15:AV19))</f>
        <v>·</v>
      </c>
      <c r="BR15" s="51" t="str">
        <f>IF( OR(ISBLANK(S15:S19),ISBLANK(AQ15:AQ19), ISBLANK(Y15:Y19),ISBLANK(AW15:AW19)), "·", bdRateExtend( S15:S19,Y15:Y19, AQ15:AQ19,AW15:AW19))</f>
        <v>·</v>
      </c>
      <c r="BS15" s="51" t="str">
        <f>IF( OR(ISBLANK(S15:S19),ISBLANK(AQ15:AQ19), ISBLANK(Z15:Z19),ISBLANK(AX15:AX19)), "·", bdRateExtend( S15:S19,Z15:Z19, AQ15:AQ19,AX15:AX19))</f>
        <v>·</v>
      </c>
      <c r="BT15" s="51" t="str">
        <f>IF( OR(ISBLANK(S15:S19),ISBLANK(AQ15:AQ19), ISBLANK(AA15:AA19),ISBLANK(AY15:AY19)), "·", bdRateExtend( S15:S19,AA15:AA19, AQ15:AQ19,AY15:AY19))</f>
        <v>·</v>
      </c>
    </row>
    <row r="16" spans="1:72" outlineLevel="1" x14ac:dyDescent="0.25">
      <c r="A16" s="18"/>
      <c r="B16" s="18" t="s">
        <v>62</v>
      </c>
      <c r="C16" s="19" t="s">
        <v>231</v>
      </c>
      <c r="D16" s="18">
        <v>322589704</v>
      </c>
      <c r="E16" s="19">
        <v>10</v>
      </c>
      <c r="F16" s="19">
        <v>300</v>
      </c>
      <c r="G16" s="19">
        <v>30</v>
      </c>
      <c r="I16" s="20">
        <f t="shared" si="0"/>
        <v>2.5006072000000001</v>
      </c>
      <c r="J16" s="21">
        <f t="shared" si="1"/>
        <v>7.7516646346530632E-2</v>
      </c>
      <c r="K16" s="21">
        <f t="shared" si="2"/>
        <v>5.8559934696489881E-2</v>
      </c>
      <c r="L16" s="21">
        <f t="shared" si="3"/>
        <v>3.7192482745822542E-2</v>
      </c>
      <c r="M16" s="21">
        <f t="shared" si="4"/>
        <v>1.8956711650040758E-2</v>
      </c>
      <c r="N16" s="18">
        <f t="shared" si="5"/>
        <v>18890832</v>
      </c>
      <c r="O16" s="21">
        <v>16</v>
      </c>
      <c r="P16" s="22">
        <v>321091422</v>
      </c>
      <c r="Q16" s="22">
        <v>1070304.74</v>
      </c>
      <c r="R16" s="22">
        <v>36518.2366666667</v>
      </c>
      <c r="S16" s="23">
        <v>25006072</v>
      </c>
      <c r="T16" s="23">
        <v>11997912</v>
      </c>
      <c r="U16" s="23">
        <v>6892920</v>
      </c>
      <c r="V16" s="23">
        <v>6115240</v>
      </c>
      <c r="W16" s="24">
        <v>67.999486333333394</v>
      </c>
      <c r="X16" s="24">
        <v>70.006182999999993</v>
      </c>
      <c r="Y16" s="24">
        <v>31.341215666666699</v>
      </c>
      <c r="Z16" s="24">
        <v>44.051130666666701</v>
      </c>
      <c r="AA16" s="24">
        <v>44.318318333333302</v>
      </c>
      <c r="AB16" s="25">
        <v>77368.7</v>
      </c>
      <c r="AC16" s="25">
        <v>0</v>
      </c>
      <c r="AD16" s="25">
        <v>510.72699999999998</v>
      </c>
      <c r="AE16" s="25">
        <v>0</v>
      </c>
      <c r="AG16" s="20" t="str">
        <f t="shared" si="6"/>
        <v>·</v>
      </c>
      <c r="AH16" s="21" t="str">
        <f t="shared" si="7"/>
        <v>·</v>
      </c>
      <c r="AI16" s="21" t="str">
        <f t="shared" si="8"/>
        <v>·</v>
      </c>
      <c r="AJ16" s="21" t="str">
        <f t="shared" si="9"/>
        <v>·</v>
      </c>
      <c r="AK16" s="21" t="str">
        <f t="shared" si="10"/>
        <v>·</v>
      </c>
      <c r="AL16" s="18" t="str">
        <f t="shared" si="11"/>
        <v/>
      </c>
      <c r="AM16" s="21">
        <v>16</v>
      </c>
      <c r="AN16" s="22"/>
      <c r="AO16" s="22"/>
      <c r="AP16" s="22"/>
      <c r="AQ16" s="23"/>
      <c r="AR16" s="23"/>
      <c r="AS16" s="23"/>
      <c r="AT16" s="23"/>
      <c r="AU16" s="24"/>
      <c r="AV16" s="24"/>
      <c r="AW16" s="24"/>
      <c r="AX16" s="24"/>
      <c r="AY16" s="24"/>
      <c r="AZ16" s="25"/>
      <c r="BA16" s="25"/>
      <c r="BB16" s="25"/>
      <c r="BC16" s="25"/>
      <c r="BE16" s="50" t="e">
        <f t="shared" si="12"/>
        <v>#VALUE!</v>
      </c>
      <c r="BF16" s="26" t="e">
        <f t="shared" si="13"/>
        <v>#DIV/0!</v>
      </c>
      <c r="BG16" s="26" t="e">
        <f t="shared" si="14"/>
        <v>#VALUE!</v>
      </c>
      <c r="BH16" s="26"/>
      <c r="BJ16" s="50"/>
      <c r="BK16" s="50"/>
      <c r="BL16" s="50"/>
      <c r="BM16" s="50"/>
      <c r="BN16" s="50"/>
      <c r="BP16" s="50"/>
      <c r="BQ16" s="50"/>
      <c r="BR16" s="50"/>
      <c r="BS16" s="50"/>
      <c r="BT16" s="50"/>
    </row>
    <row r="17" spans="1:72" outlineLevel="1" x14ac:dyDescent="0.25">
      <c r="A17" s="54"/>
      <c r="B17" s="54" t="s">
        <v>62</v>
      </c>
      <c r="C17" s="10" t="s">
        <v>232</v>
      </c>
      <c r="D17" s="54">
        <v>322589704</v>
      </c>
      <c r="E17" s="10">
        <v>10</v>
      </c>
      <c r="F17" s="10">
        <v>300</v>
      </c>
      <c r="G17" s="10">
        <v>30</v>
      </c>
      <c r="I17" s="11">
        <f t="shared" si="0"/>
        <v>3.5933887999999996</v>
      </c>
      <c r="J17" s="12">
        <f t="shared" si="1"/>
        <v>0.11139192464741528</v>
      </c>
      <c r="K17" s="12">
        <f t="shared" si="2"/>
        <v>7.2566531757628575E-2</v>
      </c>
      <c r="L17" s="12">
        <f t="shared" si="3"/>
        <v>5.1199079806961229E-2</v>
      </c>
      <c r="M17" s="12">
        <f t="shared" si="4"/>
        <v>3.882539288978671E-2</v>
      </c>
      <c r="N17" s="54">
        <f t="shared" si="5"/>
        <v>23409216</v>
      </c>
      <c r="O17" s="12">
        <v>16</v>
      </c>
      <c r="P17" s="13">
        <v>321732378</v>
      </c>
      <c r="Q17" s="13">
        <v>1072441.26</v>
      </c>
      <c r="R17" s="13">
        <v>37380.403333333299</v>
      </c>
      <c r="S17" s="14">
        <v>35933888</v>
      </c>
      <c r="T17" s="14">
        <v>16516296</v>
      </c>
      <c r="U17" s="14">
        <v>6892920</v>
      </c>
      <c r="V17" s="14">
        <v>12524672</v>
      </c>
      <c r="W17" s="15">
        <v>69.3191286666667</v>
      </c>
      <c r="X17" s="15">
        <v>71.776923333333301</v>
      </c>
      <c r="Y17" s="15">
        <v>33.742196333333297</v>
      </c>
      <c r="Z17" s="15">
        <v>45.172553999999998</v>
      </c>
      <c r="AA17" s="15">
        <v>45.598112999999998</v>
      </c>
      <c r="AB17" s="16">
        <v>79348.7</v>
      </c>
      <c r="AC17" s="16">
        <v>0</v>
      </c>
      <c r="AD17" s="16">
        <v>503.01</v>
      </c>
      <c r="AE17" s="16">
        <v>0</v>
      </c>
      <c r="AG17" s="11" t="str">
        <f t="shared" si="6"/>
        <v>·</v>
      </c>
      <c r="AH17" s="12" t="str">
        <f t="shared" si="7"/>
        <v>·</v>
      </c>
      <c r="AI17" s="12" t="str">
        <f t="shared" si="8"/>
        <v>·</v>
      </c>
      <c r="AJ17" s="12" t="str">
        <f t="shared" si="9"/>
        <v>·</v>
      </c>
      <c r="AK17" s="12" t="str">
        <f t="shared" si="10"/>
        <v>·</v>
      </c>
      <c r="AL17" s="54" t="str">
        <f t="shared" si="11"/>
        <v/>
      </c>
      <c r="AM17" s="12">
        <v>16</v>
      </c>
      <c r="AN17" s="13"/>
      <c r="AO17" s="13"/>
      <c r="AP17" s="13"/>
      <c r="AQ17" s="14"/>
      <c r="AR17" s="14"/>
      <c r="AS17" s="14"/>
      <c r="AT17" s="14"/>
      <c r="AU17" s="15"/>
      <c r="AV17" s="15"/>
      <c r="AW17" s="15"/>
      <c r="AX17" s="15"/>
      <c r="AY17" s="15"/>
      <c r="AZ17" s="16"/>
      <c r="BA17" s="16"/>
      <c r="BB17" s="16"/>
      <c r="BC17" s="16"/>
      <c r="BE17" s="51" t="e">
        <f t="shared" si="12"/>
        <v>#VALUE!</v>
      </c>
      <c r="BF17" s="17" t="e">
        <f t="shared" si="13"/>
        <v>#DIV/0!</v>
      </c>
      <c r="BG17" s="17" t="e">
        <f t="shared" si="14"/>
        <v>#VALUE!</v>
      </c>
      <c r="BH17" s="17"/>
      <c r="BJ17" s="51"/>
      <c r="BK17" s="51"/>
      <c r="BL17" s="51"/>
      <c r="BM17" s="51"/>
      <c r="BN17" s="51"/>
      <c r="BP17" s="51"/>
      <c r="BQ17" s="51"/>
      <c r="BR17" s="51"/>
      <c r="BS17" s="51"/>
      <c r="BT17" s="51"/>
    </row>
    <row r="18" spans="1:72" outlineLevel="1" x14ac:dyDescent="0.25">
      <c r="A18" s="18"/>
      <c r="B18" s="18" t="s">
        <v>62</v>
      </c>
      <c r="C18" s="19" t="s">
        <v>233</v>
      </c>
      <c r="D18" s="18">
        <v>322589704</v>
      </c>
      <c r="E18" s="19">
        <v>10</v>
      </c>
      <c r="F18" s="19">
        <v>300</v>
      </c>
      <c r="G18" s="19">
        <v>30</v>
      </c>
      <c r="I18" s="20">
        <f t="shared" si="0"/>
        <v>6.2370136</v>
      </c>
      <c r="J18" s="21">
        <f t="shared" si="1"/>
        <v>0.19334199209284125</v>
      </c>
      <c r="K18" s="21">
        <f t="shared" si="2"/>
        <v>0.10647169321932234</v>
      </c>
      <c r="L18" s="21">
        <f t="shared" si="3"/>
        <v>8.5104241268654998E-2</v>
      </c>
      <c r="M18" s="21">
        <f t="shared" si="4"/>
        <v>8.6870298873518909E-2</v>
      </c>
      <c r="N18" s="18">
        <f t="shared" si="5"/>
        <v>34346672</v>
      </c>
      <c r="O18" s="21">
        <v>16</v>
      </c>
      <c r="P18" s="22">
        <v>331738139</v>
      </c>
      <c r="Q18" s="22">
        <v>1105793.7966666699</v>
      </c>
      <c r="R18" s="22">
        <v>41758.8766666667</v>
      </c>
      <c r="S18" s="23">
        <v>62370136</v>
      </c>
      <c r="T18" s="23">
        <v>27453752</v>
      </c>
      <c r="U18" s="23">
        <v>6892920</v>
      </c>
      <c r="V18" s="23">
        <v>28023464</v>
      </c>
      <c r="W18" s="24">
        <v>70.481152666666603</v>
      </c>
      <c r="X18" s="24">
        <v>73.086757333333296</v>
      </c>
      <c r="Y18" s="24">
        <v>36.162147333333301</v>
      </c>
      <c r="Z18" s="24">
        <v>46.488766666666699</v>
      </c>
      <c r="AA18" s="24">
        <v>46.978773333333301</v>
      </c>
      <c r="AB18" s="25">
        <v>84497.7</v>
      </c>
      <c r="AC18" s="25">
        <v>0</v>
      </c>
      <c r="AD18" s="25">
        <v>516.10599999999999</v>
      </c>
      <c r="AE18" s="25">
        <v>0</v>
      </c>
      <c r="AG18" s="20" t="str">
        <f t="shared" si="6"/>
        <v>·</v>
      </c>
      <c r="AH18" s="21" t="str">
        <f t="shared" si="7"/>
        <v>·</v>
      </c>
      <c r="AI18" s="21" t="str">
        <f t="shared" si="8"/>
        <v>·</v>
      </c>
      <c r="AJ18" s="21" t="str">
        <f t="shared" si="9"/>
        <v>·</v>
      </c>
      <c r="AK18" s="21" t="str">
        <f t="shared" si="10"/>
        <v>·</v>
      </c>
      <c r="AL18" s="18" t="str">
        <f t="shared" si="11"/>
        <v/>
      </c>
      <c r="AM18" s="21">
        <v>16</v>
      </c>
      <c r="AN18" s="22"/>
      <c r="AO18" s="22"/>
      <c r="AP18" s="22"/>
      <c r="AQ18" s="23"/>
      <c r="AR18" s="23"/>
      <c r="AS18" s="23"/>
      <c r="AT18" s="23"/>
      <c r="AU18" s="24"/>
      <c r="AV18" s="24"/>
      <c r="AW18" s="24"/>
      <c r="AX18" s="24"/>
      <c r="AY18" s="24"/>
      <c r="AZ18" s="25"/>
      <c r="BA18" s="25"/>
      <c r="BB18" s="25"/>
      <c r="BC18" s="25"/>
      <c r="BE18" s="50" t="e">
        <f t="shared" si="12"/>
        <v>#VALUE!</v>
      </c>
      <c r="BF18" s="26" t="e">
        <f t="shared" si="13"/>
        <v>#DIV/0!</v>
      </c>
      <c r="BG18" s="26" t="e">
        <f t="shared" si="14"/>
        <v>#VALUE!</v>
      </c>
      <c r="BH18" s="26"/>
      <c r="BJ18" s="50"/>
      <c r="BK18" s="50"/>
      <c r="BL18" s="50"/>
      <c r="BM18" s="50"/>
      <c r="BN18" s="50"/>
      <c r="BP18" s="50"/>
      <c r="BQ18" s="50"/>
      <c r="BR18" s="50"/>
      <c r="BS18" s="50"/>
      <c r="BT18" s="50"/>
    </row>
    <row r="19" spans="1:72" outlineLevel="1" x14ac:dyDescent="0.25">
      <c r="A19" s="54"/>
      <c r="B19" s="27" t="s">
        <v>62</v>
      </c>
      <c r="C19" s="28" t="s">
        <v>234</v>
      </c>
      <c r="D19" s="27">
        <v>322589704</v>
      </c>
      <c r="E19" s="28">
        <v>10</v>
      </c>
      <c r="F19" s="28">
        <v>300</v>
      </c>
      <c r="G19" s="28">
        <v>30</v>
      </c>
      <c r="I19" s="29">
        <f t="shared" si="0"/>
        <v>13.084494400000001</v>
      </c>
      <c r="J19" s="30">
        <f t="shared" si="1"/>
        <v>0.40560793595569933</v>
      </c>
      <c r="K19" s="30">
        <f t="shared" si="2"/>
        <v>0.18401090693210717</v>
      </c>
      <c r="L19" s="30">
        <f t="shared" si="3"/>
        <v>0.13882263272729869</v>
      </c>
      <c r="M19" s="30">
        <f t="shared" si="4"/>
        <v>0.22159702902359216</v>
      </c>
      <c r="N19" s="27">
        <f t="shared" si="5"/>
        <v>59360024</v>
      </c>
      <c r="O19" s="30">
        <v>16</v>
      </c>
      <c r="P19" s="31">
        <v>314150218</v>
      </c>
      <c r="Q19" s="31">
        <v>1047167.3933333301</v>
      </c>
      <c r="R19" s="31">
        <v>18178.596666666701</v>
      </c>
      <c r="S19" s="32">
        <v>130844944</v>
      </c>
      <c r="T19" s="32">
        <v>44782752</v>
      </c>
      <c r="U19" s="32">
        <v>14577272</v>
      </c>
      <c r="V19" s="32">
        <v>71484920</v>
      </c>
      <c r="W19" s="33">
        <v>71.167197333333405</v>
      </c>
      <c r="X19" s="33">
        <v>75.031733000000003</v>
      </c>
      <c r="Y19" s="33">
        <v>38.638331666666602</v>
      </c>
      <c r="Z19" s="33">
        <v>48.282963000000002</v>
      </c>
      <c r="AA19" s="33">
        <v>48.820591333333297</v>
      </c>
      <c r="AB19" s="34">
        <v>91240.3</v>
      </c>
      <c r="AC19" s="34">
        <v>0</v>
      </c>
      <c r="AD19" s="34">
        <v>492.62799999999999</v>
      </c>
      <c r="AE19" s="34">
        <v>0</v>
      </c>
      <c r="AG19" s="29" t="str">
        <f t="shared" si="6"/>
        <v>·</v>
      </c>
      <c r="AH19" s="30" t="str">
        <f t="shared" si="7"/>
        <v>·</v>
      </c>
      <c r="AI19" s="30" t="str">
        <f t="shared" si="8"/>
        <v>·</v>
      </c>
      <c r="AJ19" s="30" t="str">
        <f t="shared" si="9"/>
        <v>·</v>
      </c>
      <c r="AK19" s="30" t="str">
        <f t="shared" si="10"/>
        <v>·</v>
      </c>
      <c r="AL19" s="27" t="str">
        <f t="shared" si="11"/>
        <v/>
      </c>
      <c r="AM19" s="30">
        <v>16</v>
      </c>
      <c r="AN19" s="31"/>
      <c r="AO19" s="31"/>
      <c r="AP19" s="31"/>
      <c r="AQ19" s="32"/>
      <c r="AR19" s="32"/>
      <c r="AS19" s="32"/>
      <c r="AT19" s="32"/>
      <c r="AU19" s="33"/>
      <c r="AV19" s="33"/>
      <c r="AW19" s="33"/>
      <c r="AX19" s="33"/>
      <c r="AY19" s="33"/>
      <c r="AZ19" s="34"/>
      <c r="BA19" s="34"/>
      <c r="BB19" s="34"/>
      <c r="BC19" s="34"/>
      <c r="BE19" s="35" t="e">
        <f t="shared" si="12"/>
        <v>#VALUE!</v>
      </c>
      <c r="BF19" s="36" t="e">
        <f t="shared" si="13"/>
        <v>#DIV/0!</v>
      </c>
      <c r="BG19" s="36" t="e">
        <f t="shared" si="14"/>
        <v>#VALUE!</v>
      </c>
      <c r="BH19" s="36"/>
      <c r="BJ19" s="35"/>
      <c r="BK19" s="35"/>
      <c r="BL19" s="35"/>
      <c r="BM19" s="35"/>
      <c r="BN19" s="35"/>
      <c r="BP19" s="35"/>
      <c r="BQ19" s="35"/>
      <c r="BR19" s="35"/>
      <c r="BS19" s="35"/>
      <c r="BT19" s="35"/>
    </row>
    <row r="20" spans="1:72" x14ac:dyDescent="0.25">
      <c r="A20" s="18"/>
      <c r="B20" s="18" t="s">
        <v>68</v>
      </c>
      <c r="C20" s="19" t="s">
        <v>230</v>
      </c>
      <c r="D20" s="18">
        <v>250602891</v>
      </c>
      <c r="E20" s="19">
        <v>10</v>
      </c>
      <c r="F20" s="19">
        <v>250</v>
      </c>
      <c r="G20" s="19">
        <v>50</v>
      </c>
      <c r="I20" s="20">
        <f t="shared" si="0"/>
        <v>2.2155136</v>
      </c>
      <c r="J20" s="21">
        <f t="shared" si="1"/>
        <v>4.420367201589865E-2</v>
      </c>
      <c r="K20" s="21">
        <f t="shared" si="2"/>
        <v>3.517402359097286E-2</v>
      </c>
      <c r="L20" s="21">
        <f t="shared" si="3"/>
        <v>1.9917056742972689E-2</v>
      </c>
      <c r="M20" s="21">
        <f t="shared" si="4"/>
        <v>9.029648424925792E-3</v>
      </c>
      <c r="N20" s="18">
        <f t="shared" si="5"/>
        <v>8814712</v>
      </c>
      <c r="O20" s="21">
        <v>16</v>
      </c>
      <c r="P20" s="22">
        <v>237407070</v>
      </c>
      <c r="Q20" s="22">
        <v>949628.28</v>
      </c>
      <c r="R20" s="22">
        <v>29313.223999999998</v>
      </c>
      <c r="S20" s="23">
        <v>11077568</v>
      </c>
      <c r="T20" s="23">
        <v>4991272</v>
      </c>
      <c r="U20" s="23">
        <v>3823440</v>
      </c>
      <c r="V20" s="23">
        <v>2262856</v>
      </c>
      <c r="W20" s="24">
        <v>67.492355200000006</v>
      </c>
      <c r="X20" s="24">
        <v>69.259778799999907</v>
      </c>
      <c r="Y20" s="24">
        <v>30.3263192</v>
      </c>
      <c r="Z20" s="24">
        <v>40.210041599999997</v>
      </c>
      <c r="AA20" s="24">
        <v>38.806454799999997</v>
      </c>
      <c r="AB20" s="25">
        <v>59913.2</v>
      </c>
      <c r="AC20" s="25">
        <v>0</v>
      </c>
      <c r="AD20" s="25">
        <v>383.209</v>
      </c>
      <c r="AE20" s="25">
        <v>0</v>
      </c>
      <c r="AG20" s="20" t="str">
        <f t="shared" si="6"/>
        <v>·</v>
      </c>
      <c r="AH20" s="21" t="str">
        <f t="shared" si="7"/>
        <v>·</v>
      </c>
      <c r="AI20" s="21" t="str">
        <f t="shared" si="8"/>
        <v>·</v>
      </c>
      <c r="AJ20" s="21" t="str">
        <f t="shared" si="9"/>
        <v>·</v>
      </c>
      <c r="AK20" s="21" t="str">
        <f t="shared" si="10"/>
        <v>·</v>
      </c>
      <c r="AL20" s="18" t="str">
        <f t="shared" si="11"/>
        <v/>
      </c>
      <c r="AM20" s="21">
        <v>16</v>
      </c>
      <c r="AN20" s="22"/>
      <c r="AO20" s="22"/>
      <c r="AP20" s="22"/>
      <c r="AQ20" s="23"/>
      <c r="AR20" s="23"/>
      <c r="AS20" s="23"/>
      <c r="AT20" s="23"/>
      <c r="AU20" s="24"/>
      <c r="AV20" s="24"/>
      <c r="AW20" s="24"/>
      <c r="AX20" s="24"/>
      <c r="AY20" s="24"/>
      <c r="AZ20" s="25"/>
      <c r="BA20" s="25"/>
      <c r="BB20" s="25"/>
      <c r="BC20" s="25"/>
      <c r="BE20" s="50" t="e">
        <f t="shared" si="12"/>
        <v>#VALUE!</v>
      </c>
      <c r="BF20" s="26" t="e">
        <f t="shared" si="13"/>
        <v>#DIV/0!</v>
      </c>
      <c r="BG20" s="26" t="e">
        <f t="shared" si="14"/>
        <v>#VALUE!</v>
      </c>
      <c r="BH20" s="26" t="e">
        <f t="array" ref="BH20">AVERAGE(AL20:AL24/AQ20:AQ24) - AVERAGE(N20:N24/S20:S24)</f>
        <v>#VALUE!</v>
      </c>
      <c r="BJ20" s="50" t="str">
        <f>IF( OR(ISBLANK(N20:N24),ISBLANK(AL20:AL24), ISBLANK(W20:W24),ISBLANK(AU20:AU24)), "·", bdRateExtend( N20:N24,W20:W24, AL20:AL24,AU20:AU24))</f>
        <v>·</v>
      </c>
      <c r="BK20" s="50" t="str">
        <f>IF( OR(ISBLANK(N20:N24),ISBLANK(AL20:AL24), ISBLANK(X20:X24),ISBLANK(AV20:AV24)), "·", bdRateExtend( N20:N24,X20:X24, AL20:AL24,AV20:AV24))</f>
        <v>·</v>
      </c>
      <c r="BL20" s="50" t="str">
        <f>IF( OR(ISBLANK(V20:V24),ISBLANK(AT20:AT24), ISBLANK(Y20:Y24),ISBLANK(AW20:AW24)), "·", bdRateExtend( V20:V24,Y20:Y24, AT20:AT24,AW20:AW24))</f>
        <v>·</v>
      </c>
      <c r="BM20" s="50" t="str">
        <f>IF( OR(ISBLANK(V20:V24),ISBLANK(AT20:AT24), ISBLANK(Z20:Z24),ISBLANK(AX20:AX24)), "·", bdRateExtend( V20:V24,Z20:Z24, AT20:AT24,AX20:AX24))</f>
        <v>·</v>
      </c>
      <c r="BN20" s="50" t="str">
        <f>IF( OR(ISBLANK(V20:V24),ISBLANK(AT20:AT24), ISBLANK(AA20:AA24),ISBLANK(AY20:AY24)), "·", bdRateExtend( V20:V24,AA20:AA24, AT20:AT24,AY20:AY24))</f>
        <v>·</v>
      </c>
      <c r="BP20" s="50" t="str">
        <f>IF( OR(ISBLANK(S20:S24),ISBLANK(AQ20:AQ24), ISBLANK(W20:W24),ISBLANK(AU20:AU24)), "·", bdRateExtend( S20:S24,W20:W24, AQ20:AQ24,AU20:AU24))</f>
        <v>·</v>
      </c>
      <c r="BQ20" s="50" t="str">
        <f>IF( OR(ISBLANK(S20:S24),ISBLANK(AQ20:AQ24), ISBLANK(X20:X24),ISBLANK(AV20:AV24)), "·", bdRateExtend( S20:S24,X20:X24, AQ20:AQ24,AV20:AV24))</f>
        <v>·</v>
      </c>
      <c r="BR20" s="50" t="str">
        <f>IF( OR(ISBLANK(S20:S24),ISBLANK(AQ20:AQ24), ISBLANK(Y20:Y24),ISBLANK(AW20:AW24)), "·", bdRateExtend( S20:S24,Y20:Y24, AQ20:AQ24,AW20:AW24))</f>
        <v>·</v>
      </c>
      <c r="BS20" s="50" t="str">
        <f>IF( OR(ISBLANK(S20:S24),ISBLANK(AQ20:AQ24), ISBLANK(Z20:Z24),ISBLANK(AX20:AX24)), "·", bdRateExtend( S20:S24,Z20:Z24, AQ20:AQ24,AX20:AX24))</f>
        <v>·</v>
      </c>
      <c r="BT20" s="50" t="str">
        <f>IF( OR(ISBLANK(S20:S24),ISBLANK(AQ20:AQ24), ISBLANK(AA20:AA24),ISBLANK(AY20:AY24)), "·", bdRateExtend( S20:S24,AA20:AA24, AQ20:AQ24,AY20:AY24))</f>
        <v>·</v>
      </c>
    </row>
    <row r="21" spans="1:72" outlineLevel="1" x14ac:dyDescent="0.25">
      <c r="A21" s="54"/>
      <c r="B21" s="54" t="s">
        <v>68</v>
      </c>
      <c r="C21" s="10" t="s">
        <v>231</v>
      </c>
      <c r="D21" s="54">
        <v>250602891</v>
      </c>
      <c r="E21" s="10">
        <v>10</v>
      </c>
      <c r="F21" s="10">
        <v>250</v>
      </c>
      <c r="G21" s="10">
        <v>50</v>
      </c>
      <c r="I21" s="11">
        <f t="shared" si="0"/>
        <v>2.9336623999999998</v>
      </c>
      <c r="J21" s="12">
        <f t="shared" si="1"/>
        <v>5.853209410900212E-2</v>
      </c>
      <c r="K21" s="12">
        <f t="shared" si="2"/>
        <v>4.1863363818895452E-2</v>
      </c>
      <c r="L21" s="12">
        <f t="shared" si="3"/>
        <v>2.6606396970895278E-2</v>
      </c>
      <c r="M21" s="12">
        <f t="shared" si="4"/>
        <v>1.6668730290106668E-2</v>
      </c>
      <c r="N21" s="54">
        <f t="shared" si="5"/>
        <v>10491080</v>
      </c>
      <c r="O21" s="12">
        <v>16</v>
      </c>
      <c r="P21" s="13">
        <v>246103056</v>
      </c>
      <c r="Q21" s="13">
        <v>984412.22400000005</v>
      </c>
      <c r="R21" s="13">
        <v>33748.468000000001</v>
      </c>
      <c r="S21" s="14">
        <v>14668312</v>
      </c>
      <c r="T21" s="14">
        <v>6667640</v>
      </c>
      <c r="U21" s="14">
        <v>3823440</v>
      </c>
      <c r="V21" s="14">
        <v>4177232</v>
      </c>
      <c r="W21" s="15">
        <v>69.059734399999996</v>
      </c>
      <c r="X21" s="15">
        <v>71.219593599999996</v>
      </c>
      <c r="Y21" s="15">
        <v>31.8517084</v>
      </c>
      <c r="Z21" s="15">
        <v>41.369615600000003</v>
      </c>
      <c r="AA21" s="15">
        <v>40.106305999999996</v>
      </c>
      <c r="AB21" s="16">
        <v>62811.5</v>
      </c>
      <c r="AC21" s="16">
        <v>0</v>
      </c>
      <c r="AD21" s="16">
        <v>384.05200000000002</v>
      </c>
      <c r="AE21" s="16">
        <v>0</v>
      </c>
      <c r="AG21" s="11" t="str">
        <f t="shared" si="6"/>
        <v>·</v>
      </c>
      <c r="AH21" s="12" t="str">
        <f t="shared" si="7"/>
        <v>·</v>
      </c>
      <c r="AI21" s="12" t="str">
        <f t="shared" si="8"/>
        <v>·</v>
      </c>
      <c r="AJ21" s="12" t="str">
        <f t="shared" si="9"/>
        <v>·</v>
      </c>
      <c r="AK21" s="12" t="str">
        <f t="shared" si="10"/>
        <v>·</v>
      </c>
      <c r="AL21" s="54" t="str">
        <f t="shared" si="11"/>
        <v/>
      </c>
      <c r="AM21" s="12">
        <v>16</v>
      </c>
      <c r="AN21" s="13"/>
      <c r="AO21" s="13"/>
      <c r="AP21" s="13"/>
      <c r="AQ21" s="14"/>
      <c r="AR21" s="14"/>
      <c r="AS21" s="14"/>
      <c r="AT21" s="14"/>
      <c r="AU21" s="15"/>
      <c r="AV21" s="15"/>
      <c r="AW21" s="15"/>
      <c r="AX21" s="15"/>
      <c r="AY21" s="15"/>
      <c r="AZ21" s="16"/>
      <c r="BA21" s="16"/>
      <c r="BB21" s="16"/>
      <c r="BC21" s="16"/>
      <c r="BE21" s="51" t="e">
        <f t="shared" si="12"/>
        <v>#VALUE!</v>
      </c>
      <c r="BF21" s="17" t="e">
        <f t="shared" si="13"/>
        <v>#DIV/0!</v>
      </c>
      <c r="BG21" s="17" t="e">
        <f t="shared" si="14"/>
        <v>#VALUE!</v>
      </c>
      <c r="BH21" s="17"/>
      <c r="BJ21" s="51"/>
      <c r="BK21" s="51"/>
      <c r="BL21" s="51"/>
      <c r="BM21" s="51"/>
      <c r="BN21" s="51"/>
      <c r="BP21" s="51"/>
      <c r="BQ21" s="51"/>
      <c r="BR21" s="51"/>
      <c r="BS21" s="51"/>
      <c r="BT21" s="51"/>
    </row>
    <row r="22" spans="1:72" outlineLevel="1" x14ac:dyDescent="0.25">
      <c r="A22" s="18"/>
      <c r="B22" s="18" t="s">
        <v>68</v>
      </c>
      <c r="C22" s="19" t="s">
        <v>232</v>
      </c>
      <c r="D22" s="18">
        <v>250602891</v>
      </c>
      <c r="E22" s="19">
        <v>10</v>
      </c>
      <c r="F22" s="19">
        <v>250</v>
      </c>
      <c r="G22" s="19">
        <v>50</v>
      </c>
      <c r="I22" s="20">
        <f t="shared" si="0"/>
        <v>4.354768</v>
      </c>
      <c r="J22" s="21">
        <f t="shared" si="1"/>
        <v>8.6885829262041511E-2</v>
      </c>
      <c r="K22" s="21">
        <f t="shared" si="2"/>
        <v>4.9992815126781595E-2</v>
      </c>
      <c r="L22" s="21">
        <f t="shared" si="3"/>
        <v>3.4735848278781428E-2</v>
      </c>
      <c r="M22" s="21">
        <f t="shared" si="4"/>
        <v>3.6893014135259916E-2</v>
      </c>
      <c r="N22" s="18">
        <f t="shared" si="5"/>
        <v>12528344</v>
      </c>
      <c r="O22" s="21">
        <v>16</v>
      </c>
      <c r="P22" s="22">
        <v>253070598</v>
      </c>
      <c r="Q22" s="22">
        <v>1012282.392</v>
      </c>
      <c r="R22" s="22">
        <v>35699.588000000003</v>
      </c>
      <c r="S22" s="23">
        <v>21773840</v>
      </c>
      <c r="T22" s="23">
        <v>8704904</v>
      </c>
      <c r="U22" s="23">
        <v>3823440</v>
      </c>
      <c r="V22" s="23">
        <v>9245496</v>
      </c>
      <c r="W22" s="24">
        <v>70.247885200000098</v>
      </c>
      <c r="X22" s="24">
        <v>72.726473999999996</v>
      </c>
      <c r="Y22" s="24">
        <v>33.742991600000003</v>
      </c>
      <c r="Z22" s="24">
        <v>42.612606</v>
      </c>
      <c r="AA22" s="24">
        <v>41.407418399999997</v>
      </c>
      <c r="AB22" s="25">
        <v>64352.800000000003</v>
      </c>
      <c r="AC22" s="25">
        <v>0</v>
      </c>
      <c r="AD22" s="25">
        <v>380.05700000000002</v>
      </c>
      <c r="AE22" s="25">
        <v>0</v>
      </c>
      <c r="AG22" s="20" t="str">
        <f t="shared" si="6"/>
        <v>·</v>
      </c>
      <c r="AH22" s="21" t="str">
        <f t="shared" si="7"/>
        <v>·</v>
      </c>
      <c r="AI22" s="21" t="str">
        <f t="shared" si="8"/>
        <v>·</v>
      </c>
      <c r="AJ22" s="21" t="str">
        <f t="shared" si="9"/>
        <v>·</v>
      </c>
      <c r="AK22" s="21" t="str">
        <f t="shared" si="10"/>
        <v>·</v>
      </c>
      <c r="AL22" s="18" t="str">
        <f t="shared" si="11"/>
        <v/>
      </c>
      <c r="AM22" s="21">
        <v>16</v>
      </c>
      <c r="AN22" s="22"/>
      <c r="AO22" s="22"/>
      <c r="AP22" s="22"/>
      <c r="AQ22" s="23"/>
      <c r="AR22" s="23"/>
      <c r="AS22" s="23"/>
      <c r="AT22" s="23"/>
      <c r="AU22" s="24"/>
      <c r="AV22" s="24"/>
      <c r="AW22" s="24"/>
      <c r="AX22" s="24"/>
      <c r="AY22" s="24"/>
      <c r="AZ22" s="25"/>
      <c r="BA22" s="25"/>
      <c r="BB22" s="25"/>
      <c r="BC22" s="25"/>
      <c r="BE22" s="50" t="e">
        <f t="shared" si="12"/>
        <v>#VALUE!</v>
      </c>
      <c r="BF22" s="26" t="e">
        <f t="shared" si="13"/>
        <v>#DIV/0!</v>
      </c>
      <c r="BG22" s="26" t="e">
        <f t="shared" si="14"/>
        <v>#VALUE!</v>
      </c>
      <c r="BH22" s="26"/>
      <c r="BJ22" s="50"/>
      <c r="BK22" s="50"/>
      <c r="BL22" s="50"/>
      <c r="BM22" s="50"/>
      <c r="BN22" s="50"/>
      <c r="BP22" s="50"/>
      <c r="BQ22" s="50"/>
      <c r="BR22" s="50"/>
      <c r="BS22" s="50"/>
      <c r="BT22" s="50"/>
    </row>
    <row r="23" spans="1:72" outlineLevel="1" x14ac:dyDescent="0.25">
      <c r="A23" s="54"/>
      <c r="B23" s="54" t="s">
        <v>68</v>
      </c>
      <c r="C23" s="10" t="s">
        <v>233</v>
      </c>
      <c r="D23" s="54">
        <v>250602891</v>
      </c>
      <c r="E23" s="10">
        <v>10</v>
      </c>
      <c r="F23" s="10">
        <v>250</v>
      </c>
      <c r="G23" s="10">
        <v>50</v>
      </c>
      <c r="I23" s="11">
        <f t="shared" si="0"/>
        <v>7.9474335999999992</v>
      </c>
      <c r="J23" s="12">
        <f t="shared" si="1"/>
        <v>0.1585662792693002</v>
      </c>
      <c r="K23" s="12">
        <f t="shared" si="2"/>
        <v>7.2479483087846741E-2</v>
      </c>
      <c r="L23" s="12">
        <f t="shared" si="3"/>
        <v>5.7222516239846567E-2</v>
      </c>
      <c r="M23" s="12">
        <f t="shared" si="4"/>
        <v>8.608679618145347E-2</v>
      </c>
      <c r="N23" s="54">
        <f t="shared" si="5"/>
        <v>18163568</v>
      </c>
      <c r="O23" s="12">
        <v>16</v>
      </c>
      <c r="P23" s="13">
        <v>255954824</v>
      </c>
      <c r="Q23" s="13">
        <v>1023819.296</v>
      </c>
      <c r="R23" s="13">
        <v>38049.572</v>
      </c>
      <c r="S23" s="14">
        <v>39737168</v>
      </c>
      <c r="T23" s="14">
        <v>14340128</v>
      </c>
      <c r="U23" s="14">
        <v>3823440</v>
      </c>
      <c r="V23" s="14">
        <v>21573600</v>
      </c>
      <c r="W23" s="15">
        <v>71.200280400000096</v>
      </c>
      <c r="X23" s="15">
        <v>73.980531600000006</v>
      </c>
      <c r="Y23" s="15">
        <v>35.635744000000003</v>
      </c>
      <c r="Z23" s="15">
        <v>43.8066952</v>
      </c>
      <c r="AA23" s="15">
        <v>42.590507600000002</v>
      </c>
      <c r="AB23" s="16">
        <v>67675</v>
      </c>
      <c r="AC23" s="16">
        <v>0</v>
      </c>
      <c r="AD23" s="16">
        <v>410.37599999999998</v>
      </c>
      <c r="AE23" s="16">
        <v>0</v>
      </c>
      <c r="AG23" s="11" t="str">
        <f t="shared" si="6"/>
        <v>·</v>
      </c>
      <c r="AH23" s="12" t="str">
        <f t="shared" si="7"/>
        <v>·</v>
      </c>
      <c r="AI23" s="12" t="str">
        <f t="shared" si="8"/>
        <v>·</v>
      </c>
      <c r="AJ23" s="12" t="str">
        <f t="shared" si="9"/>
        <v>·</v>
      </c>
      <c r="AK23" s="12" t="str">
        <f t="shared" si="10"/>
        <v>·</v>
      </c>
      <c r="AL23" s="54" t="str">
        <f t="shared" si="11"/>
        <v/>
      </c>
      <c r="AM23" s="12">
        <v>16</v>
      </c>
      <c r="AN23" s="13"/>
      <c r="AO23" s="13"/>
      <c r="AP23" s="13"/>
      <c r="AQ23" s="14"/>
      <c r="AR23" s="14"/>
      <c r="AS23" s="14"/>
      <c r="AT23" s="14"/>
      <c r="AU23" s="15"/>
      <c r="AV23" s="15"/>
      <c r="AW23" s="15"/>
      <c r="AX23" s="15"/>
      <c r="AY23" s="15"/>
      <c r="AZ23" s="16"/>
      <c r="BA23" s="16"/>
      <c r="BB23" s="16"/>
      <c r="BC23" s="16"/>
      <c r="BE23" s="51" t="e">
        <f t="shared" si="12"/>
        <v>#VALUE!</v>
      </c>
      <c r="BF23" s="17" t="e">
        <f t="shared" si="13"/>
        <v>#DIV/0!</v>
      </c>
      <c r="BG23" s="17" t="e">
        <f t="shared" si="14"/>
        <v>#VALUE!</v>
      </c>
      <c r="BH23" s="17"/>
      <c r="BJ23" s="51"/>
      <c r="BK23" s="51"/>
      <c r="BL23" s="51"/>
      <c r="BM23" s="51"/>
      <c r="BN23" s="51"/>
      <c r="BP23" s="51"/>
      <c r="BQ23" s="51"/>
      <c r="BR23" s="51"/>
      <c r="BS23" s="51"/>
      <c r="BT23" s="51"/>
    </row>
    <row r="24" spans="1:72" outlineLevel="1" x14ac:dyDescent="0.25">
      <c r="A24" s="37"/>
      <c r="B24" s="37" t="s">
        <v>68</v>
      </c>
      <c r="C24" s="38" t="s">
        <v>234</v>
      </c>
      <c r="D24" s="37">
        <v>250602891</v>
      </c>
      <c r="E24" s="38">
        <v>10</v>
      </c>
      <c r="F24" s="38">
        <v>250</v>
      </c>
      <c r="G24" s="38">
        <v>50</v>
      </c>
      <c r="I24" s="39">
        <f t="shared" si="0"/>
        <v>15.895918400000001</v>
      </c>
      <c r="J24" s="40">
        <f t="shared" si="1"/>
        <v>0.3171535319598528</v>
      </c>
      <c r="K24" s="40">
        <f t="shared" si="2"/>
        <v>0.12502546907968431</v>
      </c>
      <c r="L24" s="40">
        <f t="shared" si="3"/>
        <v>9.2003280201583951E-2</v>
      </c>
      <c r="M24" s="40">
        <f t="shared" si="4"/>
        <v>0.19212806288016845</v>
      </c>
      <c r="N24" s="37">
        <f t="shared" si="5"/>
        <v>31331744</v>
      </c>
      <c r="O24" s="40">
        <v>16</v>
      </c>
      <c r="P24" s="41">
        <v>244674086</v>
      </c>
      <c r="Q24" s="41">
        <v>978696.34400000004</v>
      </c>
      <c r="R24" s="41">
        <v>18813.608</v>
      </c>
      <c r="S24" s="42">
        <v>79479592</v>
      </c>
      <c r="T24" s="42">
        <v>23056288</v>
      </c>
      <c r="U24" s="42">
        <v>8275456</v>
      </c>
      <c r="V24" s="42">
        <v>48147848</v>
      </c>
      <c r="W24" s="43">
        <v>71.975096399999998</v>
      </c>
      <c r="X24" s="43">
        <v>75.955701599999998</v>
      </c>
      <c r="Y24" s="43">
        <v>36.862554799999998</v>
      </c>
      <c r="Z24" s="43">
        <v>44.767542800000001</v>
      </c>
      <c r="AA24" s="43">
        <v>43.348285599999997</v>
      </c>
      <c r="AB24" s="44">
        <v>72485.5</v>
      </c>
      <c r="AC24" s="44">
        <v>0</v>
      </c>
      <c r="AD24" s="44">
        <v>397.03</v>
      </c>
      <c r="AE24" s="44">
        <v>0</v>
      </c>
      <c r="AG24" s="39" t="str">
        <f t="shared" si="6"/>
        <v>·</v>
      </c>
      <c r="AH24" s="40" t="str">
        <f t="shared" si="7"/>
        <v>·</v>
      </c>
      <c r="AI24" s="40" t="str">
        <f t="shared" si="8"/>
        <v>·</v>
      </c>
      <c r="AJ24" s="40" t="str">
        <f t="shared" si="9"/>
        <v>·</v>
      </c>
      <c r="AK24" s="40" t="str">
        <f t="shared" si="10"/>
        <v>·</v>
      </c>
      <c r="AL24" s="37" t="str">
        <f t="shared" si="11"/>
        <v/>
      </c>
      <c r="AM24" s="40">
        <v>16</v>
      </c>
      <c r="AN24" s="41"/>
      <c r="AO24" s="41"/>
      <c r="AP24" s="41"/>
      <c r="AQ24" s="42"/>
      <c r="AR24" s="42"/>
      <c r="AS24" s="42"/>
      <c r="AT24" s="42"/>
      <c r="AU24" s="43"/>
      <c r="AV24" s="43"/>
      <c r="AW24" s="43"/>
      <c r="AX24" s="43"/>
      <c r="AY24" s="43"/>
      <c r="AZ24" s="44"/>
      <c r="BA24" s="44"/>
      <c r="BB24" s="44"/>
      <c r="BC24" s="44"/>
      <c r="BE24" s="45" t="e">
        <f t="shared" si="12"/>
        <v>#VALUE!</v>
      </c>
      <c r="BF24" s="46" t="e">
        <f t="shared" si="13"/>
        <v>#DIV/0!</v>
      </c>
      <c r="BG24" s="46" t="e">
        <f t="shared" si="14"/>
        <v>#VALUE!</v>
      </c>
      <c r="BH24" s="46"/>
      <c r="BJ24" s="45"/>
      <c r="BK24" s="45"/>
      <c r="BL24" s="45"/>
      <c r="BM24" s="45"/>
      <c r="BN24" s="45"/>
      <c r="BP24" s="45"/>
      <c r="BQ24" s="45"/>
      <c r="BR24" s="45"/>
      <c r="BS24" s="45"/>
      <c r="BT24" s="45"/>
    </row>
    <row r="25" spans="1:72" x14ac:dyDescent="0.25">
      <c r="A25" s="54" t="s">
        <v>235</v>
      </c>
      <c r="B25" s="54" t="s">
        <v>71</v>
      </c>
      <c r="C25" s="10" t="s">
        <v>230</v>
      </c>
      <c r="D25" s="54">
        <v>250294582</v>
      </c>
      <c r="E25" s="10">
        <v>10</v>
      </c>
      <c r="F25" s="10">
        <v>300</v>
      </c>
      <c r="G25" s="10">
        <v>30</v>
      </c>
      <c r="I25" s="11">
        <f t="shared" si="0"/>
        <v>2.1797336</v>
      </c>
      <c r="J25" s="12">
        <f t="shared" si="1"/>
        <v>8.7086727270828418E-2</v>
      </c>
      <c r="K25" s="12">
        <f t="shared" si="2"/>
        <v>5.6075812300243881E-2</v>
      </c>
      <c r="L25" s="12">
        <f t="shared" si="3"/>
        <v>3.4340719368827571E-2</v>
      </c>
      <c r="M25" s="12">
        <f t="shared" si="4"/>
        <v>3.101091497058454E-2</v>
      </c>
      <c r="N25" s="54">
        <f t="shared" si="5"/>
        <v>14035472</v>
      </c>
      <c r="O25" s="12">
        <v>16</v>
      </c>
      <c r="P25" s="13">
        <v>232245529</v>
      </c>
      <c r="Q25" s="13">
        <v>774151.76333333296</v>
      </c>
      <c r="R25" s="13">
        <v>16183.733333333301</v>
      </c>
      <c r="S25" s="14">
        <v>21797336</v>
      </c>
      <c r="T25" s="14">
        <v>8595296</v>
      </c>
      <c r="U25" s="14">
        <v>5440176</v>
      </c>
      <c r="V25" s="14">
        <v>7761864</v>
      </c>
      <c r="W25" s="15">
        <v>66.369531999999893</v>
      </c>
      <c r="X25" s="15">
        <v>68.128068999999996</v>
      </c>
      <c r="Y25" s="15">
        <v>25.826992000000001</v>
      </c>
      <c r="Z25" s="15">
        <v>32.380549000000002</v>
      </c>
      <c r="AA25" s="15">
        <v>31.540010333333299</v>
      </c>
      <c r="AB25" s="16">
        <v>66016.3</v>
      </c>
      <c r="AC25" s="16">
        <v>0</v>
      </c>
      <c r="AD25" s="16">
        <v>414.56200000000001</v>
      </c>
      <c r="AE25" s="16">
        <v>0</v>
      </c>
      <c r="AG25" s="11" t="str">
        <f t="shared" si="6"/>
        <v>·</v>
      </c>
      <c r="AH25" s="12" t="str">
        <f t="shared" si="7"/>
        <v>·</v>
      </c>
      <c r="AI25" s="12" t="str">
        <f t="shared" si="8"/>
        <v>·</v>
      </c>
      <c r="AJ25" s="12" t="str">
        <f t="shared" si="9"/>
        <v>·</v>
      </c>
      <c r="AK25" s="12" t="str">
        <f t="shared" si="10"/>
        <v>·</v>
      </c>
      <c r="AL25" s="54" t="str">
        <f t="shared" si="11"/>
        <v/>
      </c>
      <c r="AM25" s="12">
        <v>16</v>
      </c>
      <c r="AN25" s="13"/>
      <c r="AO25" s="13"/>
      <c r="AP25" s="13"/>
      <c r="AQ25" s="14"/>
      <c r="AR25" s="14"/>
      <c r="AS25" s="14"/>
      <c r="AT25" s="14"/>
      <c r="AU25" s="15"/>
      <c r="AV25" s="15"/>
      <c r="AW25" s="15"/>
      <c r="AX25" s="15"/>
      <c r="AY25" s="15"/>
      <c r="AZ25" s="16"/>
      <c r="BA25" s="16"/>
      <c r="BB25" s="16"/>
      <c r="BC25" s="16"/>
      <c r="BE25" s="51" t="e">
        <f t="shared" si="12"/>
        <v>#VALUE!</v>
      </c>
      <c r="BF25" s="17" t="e">
        <f t="shared" si="13"/>
        <v>#DIV/0!</v>
      </c>
      <c r="BG25" s="17" t="e">
        <f t="shared" si="14"/>
        <v>#VALUE!</v>
      </c>
      <c r="BH25" s="17" t="e">
        <f t="array" ref="BH25">AVERAGE(AL25:AL29/AQ25:AQ29) - AVERAGE(N25:N29/S25:S29)</f>
        <v>#VALUE!</v>
      </c>
      <c r="BJ25" s="51" t="str">
        <f>IF( OR(ISBLANK(N25:N29),ISBLANK(AL25:AL29), ISBLANK(W25:W29),ISBLANK(AU25:AU29)), "·", bdRateExtend( N25:N29,W25:W29, AL25:AL29,AU25:AU29))</f>
        <v>·</v>
      </c>
      <c r="BK25" s="51" t="str">
        <f>IF( OR(ISBLANK(N25:N29),ISBLANK(AL25:AL29), ISBLANK(X25:X29),ISBLANK(AV25:AV29)), "·", bdRateExtend( N25:N29,X25:X29, AL25:AL29,AV25:AV29))</f>
        <v>·</v>
      </c>
      <c r="BL25" s="51" t="str">
        <f>IF( OR(ISBLANK(V25:V29),ISBLANK(AT25:AT29), ISBLANK(Y25:Y29),ISBLANK(AW25:AW29)), "·", bdRateExtend( V25:V29,Y25:Y29, AT25:AT29,AW25:AW29))</f>
        <v>·</v>
      </c>
      <c r="BM25" s="51" t="str">
        <f>IF( OR(ISBLANK(V25:V29),ISBLANK(AT25:AT29), ISBLANK(Z25:Z29),ISBLANK(AX25:AX29)), "·", bdRateExtend( V25:V29,Z25:Z29, AT25:AT29,AX25:AX29))</f>
        <v>·</v>
      </c>
      <c r="BN25" s="51" t="str">
        <f>IF( OR(ISBLANK(V25:V29),ISBLANK(AT25:AT29), ISBLANK(AA25:AA29),ISBLANK(AY25:AY29)), "·", bdRateExtend( V25:V29,AA25:AA29, AT25:AT29,AY25:AY29))</f>
        <v>·</v>
      </c>
      <c r="BP25" s="51" t="str">
        <f>IF( OR(ISBLANK(S25:S29),ISBLANK(AQ25:AQ29), ISBLANK(W25:W29),ISBLANK(AU25:AU29)), "·", bdRateExtend( S25:S29,W25:W29, AQ25:AQ29,AU25:AU29))</f>
        <v>·</v>
      </c>
      <c r="BQ25" s="51" t="str">
        <f>IF( OR(ISBLANK(S25:S29),ISBLANK(AQ25:AQ29), ISBLANK(X25:X29),ISBLANK(AV25:AV29)), "·", bdRateExtend( S25:S29,X25:X29, AQ25:AQ29,AV25:AV29))</f>
        <v>·</v>
      </c>
      <c r="BR25" s="51" t="str">
        <f>IF( OR(ISBLANK(S25:S29),ISBLANK(AQ25:AQ29), ISBLANK(Y25:Y29),ISBLANK(AW25:AW29)), "·", bdRateExtend( S25:S29,Y25:Y29, AQ25:AQ29,AW25:AW29))</f>
        <v>·</v>
      </c>
      <c r="BS25" s="51" t="str">
        <f>IF( OR(ISBLANK(S25:S29),ISBLANK(AQ25:AQ29), ISBLANK(Z25:Z29),ISBLANK(AX25:AX29)), "·", bdRateExtend( S25:S29,Z25:Z29, AQ25:AQ29,AX25:AX29))</f>
        <v>·</v>
      </c>
      <c r="BT25" s="51" t="str">
        <f>IF( OR(ISBLANK(S25:S29),ISBLANK(AQ25:AQ29), ISBLANK(AA25:AA29),ISBLANK(AY25:AY29)), "·", bdRateExtend( S25:S29,AA25:AA29, AQ25:AQ29,AY25:AY29))</f>
        <v>·</v>
      </c>
    </row>
    <row r="26" spans="1:72" outlineLevel="1" x14ac:dyDescent="0.25">
      <c r="A26" s="18"/>
      <c r="B26" s="18" t="s">
        <v>71</v>
      </c>
      <c r="C26" s="19" t="s">
        <v>231</v>
      </c>
      <c r="D26" s="18">
        <v>250294582</v>
      </c>
      <c r="E26" s="19">
        <v>10</v>
      </c>
      <c r="F26" s="19">
        <v>300</v>
      </c>
      <c r="G26" s="19">
        <v>30</v>
      </c>
      <c r="I26" s="20">
        <f t="shared" si="0"/>
        <v>3.3559023999999997</v>
      </c>
      <c r="J26" s="21">
        <f t="shared" si="1"/>
        <v>0.13407810801114345</v>
      </c>
      <c r="K26" s="21">
        <f t="shared" si="2"/>
        <v>7.0100790275995667E-2</v>
      </c>
      <c r="L26" s="21">
        <f t="shared" si="3"/>
        <v>4.8365697344579357E-2</v>
      </c>
      <c r="M26" s="21">
        <f t="shared" si="4"/>
        <v>6.3977317735147782E-2</v>
      </c>
      <c r="N26" s="18">
        <f t="shared" si="5"/>
        <v>17545848</v>
      </c>
      <c r="O26" s="21">
        <v>16</v>
      </c>
      <c r="P26" s="22">
        <v>244084101</v>
      </c>
      <c r="Q26" s="22">
        <v>813613.67</v>
      </c>
      <c r="R26" s="22">
        <v>19480.406666666699</v>
      </c>
      <c r="S26" s="23">
        <v>33559024</v>
      </c>
      <c r="T26" s="23">
        <v>12105672</v>
      </c>
      <c r="U26" s="23">
        <v>5440176</v>
      </c>
      <c r="V26" s="23">
        <v>16013176</v>
      </c>
      <c r="W26" s="24">
        <v>68.072850000000003</v>
      </c>
      <c r="X26" s="24">
        <v>70.116752333333295</v>
      </c>
      <c r="Y26" s="24">
        <v>27.869063666666701</v>
      </c>
      <c r="Z26" s="24">
        <v>33.584782333333301</v>
      </c>
      <c r="AA26" s="24">
        <v>32.953457999999998</v>
      </c>
      <c r="AB26" s="25">
        <v>70709.8</v>
      </c>
      <c r="AC26" s="25">
        <v>0</v>
      </c>
      <c r="AD26" s="25">
        <v>435.69499999999999</v>
      </c>
      <c r="AE26" s="25">
        <v>0</v>
      </c>
      <c r="AG26" s="20" t="str">
        <f t="shared" si="6"/>
        <v>·</v>
      </c>
      <c r="AH26" s="21" t="str">
        <f t="shared" si="7"/>
        <v>·</v>
      </c>
      <c r="AI26" s="21" t="str">
        <f t="shared" si="8"/>
        <v>·</v>
      </c>
      <c r="AJ26" s="21" t="str">
        <f t="shared" si="9"/>
        <v>·</v>
      </c>
      <c r="AK26" s="21" t="str">
        <f t="shared" si="10"/>
        <v>·</v>
      </c>
      <c r="AL26" s="18" t="str">
        <f t="shared" si="11"/>
        <v/>
      </c>
      <c r="AM26" s="21">
        <v>16</v>
      </c>
      <c r="AN26" s="22"/>
      <c r="AO26" s="22"/>
      <c r="AP26" s="22"/>
      <c r="AQ26" s="23"/>
      <c r="AR26" s="23"/>
      <c r="AS26" s="23"/>
      <c r="AT26" s="23"/>
      <c r="AU26" s="24"/>
      <c r="AV26" s="24"/>
      <c r="AW26" s="24"/>
      <c r="AX26" s="24"/>
      <c r="AY26" s="24"/>
      <c r="AZ26" s="25"/>
      <c r="BA26" s="25"/>
      <c r="BB26" s="25"/>
      <c r="BC26" s="25"/>
      <c r="BE26" s="50" t="e">
        <f t="shared" si="12"/>
        <v>#VALUE!</v>
      </c>
      <c r="BF26" s="26" t="e">
        <f t="shared" si="13"/>
        <v>#DIV/0!</v>
      </c>
      <c r="BG26" s="26" t="e">
        <f t="shared" si="14"/>
        <v>#VALUE!</v>
      </c>
      <c r="BH26" s="26"/>
      <c r="BJ26" s="50"/>
      <c r="BK26" s="50"/>
      <c r="BL26" s="50"/>
      <c r="BM26" s="50"/>
      <c r="BN26" s="50"/>
      <c r="BP26" s="50"/>
      <c r="BQ26" s="50"/>
      <c r="BR26" s="50"/>
      <c r="BS26" s="50"/>
      <c r="BT26" s="50"/>
    </row>
    <row r="27" spans="1:72" outlineLevel="1" x14ac:dyDescent="0.25">
      <c r="A27" s="54"/>
      <c r="B27" s="54" t="s">
        <v>71</v>
      </c>
      <c r="C27" s="10" t="s">
        <v>232</v>
      </c>
      <c r="D27" s="54">
        <v>250294582</v>
      </c>
      <c r="E27" s="10">
        <v>10</v>
      </c>
      <c r="F27" s="10">
        <v>300</v>
      </c>
      <c r="G27" s="10">
        <v>30</v>
      </c>
      <c r="I27" s="11">
        <f t="shared" si="0"/>
        <v>5.6600840000000003</v>
      </c>
      <c r="J27" s="12">
        <f t="shared" si="1"/>
        <v>0.22613689656294678</v>
      </c>
      <c r="K27" s="12">
        <f t="shared" si="2"/>
        <v>9.0839840871984989E-2</v>
      </c>
      <c r="L27" s="12">
        <f t="shared" si="3"/>
        <v>6.9104747940568687E-2</v>
      </c>
      <c r="M27" s="12">
        <f t="shared" si="4"/>
        <v>0.13529705569096179</v>
      </c>
      <c r="N27" s="54">
        <f t="shared" si="5"/>
        <v>22736720</v>
      </c>
      <c r="O27" s="12">
        <v>16</v>
      </c>
      <c r="P27" s="13">
        <v>246150191</v>
      </c>
      <c r="Q27" s="13">
        <v>820500.63666666695</v>
      </c>
      <c r="R27" s="13">
        <v>20394.356666666699</v>
      </c>
      <c r="S27" s="14">
        <v>56600840</v>
      </c>
      <c r="T27" s="14">
        <v>17296544</v>
      </c>
      <c r="U27" s="14">
        <v>5440176</v>
      </c>
      <c r="V27" s="14">
        <v>33864120</v>
      </c>
      <c r="W27" s="15">
        <v>69.361491999999998</v>
      </c>
      <c r="X27" s="15">
        <v>71.797428333333301</v>
      </c>
      <c r="Y27" s="15">
        <v>30.1747293333333</v>
      </c>
      <c r="Z27" s="15">
        <v>34.836359333333398</v>
      </c>
      <c r="AA27" s="15">
        <v>34.291919666666701</v>
      </c>
      <c r="AB27" s="16">
        <v>74615.100000000006</v>
      </c>
      <c r="AC27" s="16">
        <v>0</v>
      </c>
      <c r="AD27" s="16">
        <v>419.577</v>
      </c>
      <c r="AE27" s="16">
        <v>0</v>
      </c>
      <c r="AG27" s="11" t="str">
        <f t="shared" si="6"/>
        <v>·</v>
      </c>
      <c r="AH27" s="12" t="str">
        <f t="shared" si="7"/>
        <v>·</v>
      </c>
      <c r="AI27" s="12" t="str">
        <f t="shared" si="8"/>
        <v>·</v>
      </c>
      <c r="AJ27" s="12" t="str">
        <f t="shared" si="9"/>
        <v>·</v>
      </c>
      <c r="AK27" s="12" t="str">
        <f t="shared" si="10"/>
        <v>·</v>
      </c>
      <c r="AL27" s="54" t="str">
        <f t="shared" si="11"/>
        <v/>
      </c>
      <c r="AM27" s="12">
        <v>16</v>
      </c>
      <c r="AN27" s="13"/>
      <c r="AO27" s="13"/>
      <c r="AP27" s="13"/>
      <c r="AQ27" s="14"/>
      <c r="AR27" s="14"/>
      <c r="AS27" s="14"/>
      <c r="AT27" s="14"/>
      <c r="AU27" s="15"/>
      <c r="AV27" s="15"/>
      <c r="AW27" s="15"/>
      <c r="AX27" s="15"/>
      <c r="AY27" s="15"/>
      <c r="AZ27" s="16"/>
      <c r="BA27" s="16"/>
      <c r="BB27" s="16"/>
      <c r="BC27" s="16"/>
      <c r="BE27" s="51" t="e">
        <f t="shared" si="12"/>
        <v>#VALUE!</v>
      </c>
      <c r="BF27" s="17" t="e">
        <f t="shared" si="13"/>
        <v>#DIV/0!</v>
      </c>
      <c r="BG27" s="17" t="e">
        <f t="shared" si="14"/>
        <v>#VALUE!</v>
      </c>
      <c r="BH27" s="17"/>
      <c r="BJ27" s="51"/>
      <c r="BK27" s="51"/>
      <c r="BL27" s="51"/>
      <c r="BM27" s="51"/>
      <c r="BN27" s="51"/>
      <c r="BP27" s="51"/>
      <c r="BQ27" s="51"/>
      <c r="BR27" s="51"/>
      <c r="BS27" s="51"/>
      <c r="BT27" s="51"/>
    </row>
    <row r="28" spans="1:72" outlineLevel="1" x14ac:dyDescent="0.25">
      <c r="A28" s="18"/>
      <c r="B28" s="18" t="s">
        <v>71</v>
      </c>
      <c r="C28" s="19" t="s">
        <v>233</v>
      </c>
      <c r="D28" s="18">
        <v>250294582</v>
      </c>
      <c r="E28" s="19">
        <v>10</v>
      </c>
      <c r="F28" s="19">
        <v>300</v>
      </c>
      <c r="G28" s="19">
        <v>30</v>
      </c>
      <c r="I28" s="20">
        <f t="shared" si="0"/>
        <v>10.906060800000001</v>
      </c>
      <c r="J28" s="21">
        <f t="shared" si="1"/>
        <v>0.43572900031851269</v>
      </c>
      <c r="K28" s="21">
        <f t="shared" si="2"/>
        <v>0.12771814613230423</v>
      </c>
      <c r="L28" s="21">
        <f t="shared" si="3"/>
        <v>0.1059830532008879</v>
      </c>
      <c r="M28" s="21">
        <f t="shared" si="4"/>
        <v>0.30801085418620849</v>
      </c>
      <c r="N28" s="18">
        <f t="shared" si="5"/>
        <v>31967160</v>
      </c>
      <c r="O28" s="21">
        <v>16</v>
      </c>
      <c r="P28" s="22">
        <v>253033881</v>
      </c>
      <c r="Q28" s="22">
        <v>843446.27</v>
      </c>
      <c r="R28" s="22">
        <v>22935.33</v>
      </c>
      <c r="S28" s="23">
        <v>109060608</v>
      </c>
      <c r="T28" s="23">
        <v>26526984</v>
      </c>
      <c r="U28" s="23">
        <v>5440176</v>
      </c>
      <c r="V28" s="23">
        <v>77093448</v>
      </c>
      <c r="W28" s="24">
        <v>70.475684000000001</v>
      </c>
      <c r="X28" s="24">
        <v>73.025847666666706</v>
      </c>
      <c r="Y28" s="24">
        <v>32.691046666666701</v>
      </c>
      <c r="Z28" s="24">
        <v>36.392126666666698</v>
      </c>
      <c r="AA28" s="24">
        <v>35.842055333333299</v>
      </c>
      <c r="AB28" s="25">
        <v>79581.399999999994</v>
      </c>
      <c r="AC28" s="25">
        <v>0</v>
      </c>
      <c r="AD28" s="25">
        <v>447.29399999999998</v>
      </c>
      <c r="AE28" s="25">
        <v>0</v>
      </c>
      <c r="AG28" s="20" t="str">
        <f t="shared" si="6"/>
        <v>·</v>
      </c>
      <c r="AH28" s="21" t="str">
        <f t="shared" si="7"/>
        <v>·</v>
      </c>
      <c r="AI28" s="21" t="str">
        <f t="shared" si="8"/>
        <v>·</v>
      </c>
      <c r="AJ28" s="21" t="str">
        <f t="shared" si="9"/>
        <v>·</v>
      </c>
      <c r="AK28" s="21" t="str">
        <f t="shared" si="10"/>
        <v>·</v>
      </c>
      <c r="AL28" s="18" t="str">
        <f t="shared" si="11"/>
        <v/>
      </c>
      <c r="AM28" s="21">
        <v>16</v>
      </c>
      <c r="AN28" s="22"/>
      <c r="AO28" s="22"/>
      <c r="AP28" s="22"/>
      <c r="AQ28" s="23"/>
      <c r="AR28" s="23"/>
      <c r="AS28" s="23"/>
      <c r="AT28" s="23"/>
      <c r="AU28" s="24"/>
      <c r="AV28" s="24"/>
      <c r="AW28" s="24"/>
      <c r="AX28" s="24"/>
      <c r="AY28" s="24"/>
      <c r="AZ28" s="25"/>
      <c r="BA28" s="25"/>
      <c r="BB28" s="25"/>
      <c r="BC28" s="25"/>
      <c r="BE28" s="50" t="e">
        <f t="shared" si="12"/>
        <v>#VALUE!</v>
      </c>
      <c r="BF28" s="26" t="e">
        <f t="shared" si="13"/>
        <v>#DIV/0!</v>
      </c>
      <c r="BG28" s="26" t="e">
        <f t="shared" si="14"/>
        <v>#VALUE!</v>
      </c>
      <c r="BH28" s="26"/>
      <c r="BJ28" s="50"/>
      <c r="BK28" s="50"/>
      <c r="BL28" s="50"/>
      <c r="BM28" s="50"/>
      <c r="BN28" s="50"/>
      <c r="BP28" s="50"/>
      <c r="BQ28" s="50"/>
      <c r="BR28" s="50"/>
      <c r="BS28" s="50"/>
      <c r="BT28" s="50"/>
    </row>
    <row r="29" spans="1:72" outlineLevel="1" x14ac:dyDescent="0.25">
      <c r="A29" s="27"/>
      <c r="B29" s="27" t="s">
        <v>71</v>
      </c>
      <c r="C29" s="28" t="s">
        <v>234</v>
      </c>
      <c r="D29" s="27">
        <v>250294582</v>
      </c>
      <c r="E29" s="28">
        <v>10</v>
      </c>
      <c r="F29" s="28">
        <v>300</v>
      </c>
      <c r="G29" s="28">
        <v>30</v>
      </c>
      <c r="I29" s="29">
        <f t="shared" si="0"/>
        <v>25.145625600000002</v>
      </c>
      <c r="J29" s="30">
        <f t="shared" si="1"/>
        <v>1.0046412271121394</v>
      </c>
      <c r="K29" s="30">
        <f t="shared" si="2"/>
        <v>0.21141900706424399</v>
      </c>
      <c r="L29" s="30">
        <f t="shared" si="3"/>
        <v>0.16752388191926584</v>
      </c>
      <c r="M29" s="30">
        <f t="shared" si="4"/>
        <v>0.79322222004789544</v>
      </c>
      <c r="N29" s="27">
        <f t="shared" si="5"/>
        <v>52917032</v>
      </c>
      <c r="O29" s="30">
        <v>16</v>
      </c>
      <c r="P29" s="31">
        <v>243615027</v>
      </c>
      <c r="Q29" s="31">
        <v>812050.09</v>
      </c>
      <c r="R29" s="31">
        <v>10648.276666666699</v>
      </c>
      <c r="S29" s="32">
        <v>251456256</v>
      </c>
      <c r="T29" s="32">
        <v>41930320</v>
      </c>
      <c r="U29" s="32">
        <v>10986712</v>
      </c>
      <c r="V29" s="32">
        <v>198539224</v>
      </c>
      <c r="W29" s="33">
        <v>71.191898333333299</v>
      </c>
      <c r="X29" s="33">
        <v>74.928939999999997</v>
      </c>
      <c r="Y29" s="33">
        <v>35.699723666666699</v>
      </c>
      <c r="Z29" s="33">
        <v>38.374378999999998</v>
      </c>
      <c r="AA29" s="33">
        <v>37.762467999999998</v>
      </c>
      <c r="AB29" s="34">
        <v>87533.5</v>
      </c>
      <c r="AC29" s="34">
        <v>0</v>
      </c>
      <c r="AD29" s="34">
        <v>420.32799999999997</v>
      </c>
      <c r="AE29" s="34">
        <v>0</v>
      </c>
      <c r="AG29" s="29" t="str">
        <f t="shared" si="6"/>
        <v>·</v>
      </c>
      <c r="AH29" s="30" t="str">
        <f t="shared" si="7"/>
        <v>·</v>
      </c>
      <c r="AI29" s="30" t="str">
        <f t="shared" si="8"/>
        <v>·</v>
      </c>
      <c r="AJ29" s="30" t="str">
        <f t="shared" si="9"/>
        <v>·</v>
      </c>
      <c r="AK29" s="30" t="str">
        <f t="shared" si="10"/>
        <v>·</v>
      </c>
      <c r="AL29" s="27" t="str">
        <f t="shared" si="11"/>
        <v/>
      </c>
      <c r="AM29" s="30">
        <v>16</v>
      </c>
      <c r="AN29" s="31"/>
      <c r="AO29" s="31"/>
      <c r="AP29" s="31"/>
      <c r="AQ29" s="32"/>
      <c r="AR29" s="32"/>
      <c r="AS29" s="32"/>
      <c r="AT29" s="32"/>
      <c r="AU29" s="33"/>
      <c r="AV29" s="33"/>
      <c r="AW29" s="33"/>
      <c r="AX29" s="33"/>
      <c r="AY29" s="33"/>
      <c r="AZ29" s="34"/>
      <c r="BA29" s="34"/>
      <c r="BB29" s="34"/>
      <c r="BC29" s="34"/>
      <c r="BE29" s="35" t="e">
        <f t="shared" si="12"/>
        <v>#VALUE!</v>
      </c>
      <c r="BF29" s="36" t="e">
        <f t="shared" si="13"/>
        <v>#DIV/0!</v>
      </c>
      <c r="BG29" s="36" t="e">
        <f t="shared" si="14"/>
        <v>#VALUE!</v>
      </c>
      <c r="BH29" s="36"/>
      <c r="BJ29" s="35"/>
      <c r="BK29" s="35"/>
      <c r="BL29" s="35"/>
      <c r="BM29" s="35"/>
      <c r="BN29" s="35"/>
      <c r="BP29" s="35"/>
      <c r="BQ29" s="35"/>
      <c r="BR29" s="35"/>
      <c r="BS29" s="35"/>
      <c r="BT29" s="35"/>
    </row>
    <row r="30" spans="1:72" x14ac:dyDescent="0.25">
      <c r="A30" s="18" t="s">
        <v>236</v>
      </c>
      <c r="B30" s="18" t="s">
        <v>75</v>
      </c>
      <c r="C30" s="19" t="s">
        <v>230</v>
      </c>
      <c r="D30" s="18">
        <v>186907991</v>
      </c>
      <c r="E30" s="19">
        <v>11</v>
      </c>
      <c r="F30" s="19">
        <v>64</v>
      </c>
      <c r="G30" s="19">
        <v>30</v>
      </c>
      <c r="I30" s="20">
        <f t="shared" si="0"/>
        <v>3.9674550000000002</v>
      </c>
      <c r="J30" s="21">
        <f t="shared" si="1"/>
        <v>4.5283799556756245E-2</v>
      </c>
      <c r="K30" s="21">
        <f t="shared" si="2"/>
        <v>3.5372784034685814E-2</v>
      </c>
      <c r="L30" s="21">
        <f t="shared" si="3"/>
        <v>2.2510926244988638E-2</v>
      </c>
      <c r="M30" s="21">
        <f t="shared" si="4"/>
        <v>9.911015522070429E-3</v>
      </c>
      <c r="N30" s="18">
        <f t="shared" si="5"/>
        <v>6611456</v>
      </c>
      <c r="O30" s="21">
        <v>16</v>
      </c>
      <c r="P30" s="22">
        <v>172282793</v>
      </c>
      <c r="Q30" s="22">
        <v>2691918.640625</v>
      </c>
      <c r="R30" s="22">
        <v>32558.609375</v>
      </c>
      <c r="S30" s="23">
        <v>8463904</v>
      </c>
      <c r="T30" s="23">
        <v>4207472</v>
      </c>
      <c r="U30" s="23">
        <v>2403984</v>
      </c>
      <c r="V30" s="23">
        <v>1852448</v>
      </c>
      <c r="W30" s="24">
        <v>73.532010937500004</v>
      </c>
      <c r="X30" s="24">
        <v>75.624971875</v>
      </c>
      <c r="Y30" s="24">
        <v>32.9684546875</v>
      </c>
      <c r="Z30" s="24">
        <v>41.845357812499998</v>
      </c>
      <c r="AA30" s="24">
        <v>43.151626562499999</v>
      </c>
      <c r="AB30" s="25">
        <v>49860.5</v>
      </c>
      <c r="AC30" s="25">
        <v>0</v>
      </c>
      <c r="AD30" s="25">
        <v>317.166</v>
      </c>
      <c r="AE30" s="25">
        <v>0</v>
      </c>
      <c r="AG30" s="20" t="str">
        <f t="shared" si="6"/>
        <v>·</v>
      </c>
      <c r="AH30" s="21" t="str">
        <f t="shared" si="7"/>
        <v>·</v>
      </c>
      <c r="AI30" s="21" t="str">
        <f t="shared" si="8"/>
        <v>·</v>
      </c>
      <c r="AJ30" s="21" t="str">
        <f t="shared" si="9"/>
        <v>·</v>
      </c>
      <c r="AK30" s="21" t="str">
        <f t="shared" si="10"/>
        <v>·</v>
      </c>
      <c r="AL30" s="18" t="str">
        <f t="shared" si="11"/>
        <v/>
      </c>
      <c r="AM30" s="21">
        <v>16</v>
      </c>
      <c r="AN30" s="22"/>
      <c r="AO30" s="22"/>
      <c r="AP30" s="22"/>
      <c r="AQ30" s="23"/>
      <c r="AR30" s="23"/>
      <c r="AS30" s="23"/>
      <c r="AT30" s="23"/>
      <c r="AU30" s="24"/>
      <c r="AV30" s="24"/>
      <c r="AW30" s="24"/>
      <c r="AX30" s="24"/>
      <c r="AY30" s="24"/>
      <c r="AZ30" s="25"/>
      <c r="BA30" s="25"/>
      <c r="BB30" s="25"/>
      <c r="BC30" s="25"/>
      <c r="BE30" s="50" t="e">
        <f t="shared" si="12"/>
        <v>#VALUE!</v>
      </c>
      <c r="BF30" s="26" t="e">
        <f t="shared" si="13"/>
        <v>#DIV/0!</v>
      </c>
      <c r="BG30" s="26" t="e">
        <f t="shared" si="14"/>
        <v>#VALUE!</v>
      </c>
      <c r="BH30" s="26" t="e">
        <f t="array" ref="BH30">AVERAGE(AL30:AL34/AQ30:AQ34) - AVERAGE(N30:N34/S30:S34)</f>
        <v>#VALUE!</v>
      </c>
      <c r="BJ30" s="50" t="str">
        <f>IF( OR(ISBLANK(N30:N34),ISBLANK(AL30:AL34), ISBLANK(W30:W34),ISBLANK(AU30:AU34)), "·", bdRateExtend( N30:N34,W30:W34, AL30:AL34,AU30:AU34))</f>
        <v>·</v>
      </c>
      <c r="BK30" s="50" t="str">
        <f>IF( OR(ISBLANK(N30:N34),ISBLANK(AL30:AL34), ISBLANK(X30:X34),ISBLANK(AV30:AV34)), "·", bdRateExtend( N30:N34,X30:X34, AL30:AL34,AV30:AV34))</f>
        <v>·</v>
      </c>
      <c r="BL30" s="50" t="str">
        <f>IF( OR(ISBLANK(V30:V34),ISBLANK(AT30:AT34), ISBLANK(Y30:Y34),ISBLANK(AW30:AW34)), "·", bdRateExtend( V30:V34,Y30:Y34, AT30:AT34,AW30:AW34))</f>
        <v>·</v>
      </c>
      <c r="BM30" s="50" t="str">
        <f>IF( OR(ISBLANK(V30:V34),ISBLANK(AT30:AT34), ISBLANK(Z30:Z34),ISBLANK(AX30:AX34)), "·", bdRateExtend( V30:V34,Z30:Z34, AT30:AT34,AX30:AX34))</f>
        <v>·</v>
      </c>
      <c r="BN30" s="50" t="str">
        <f>IF( OR(ISBLANK(V30:V34),ISBLANK(AT30:AT34), ISBLANK(AA30:AA34),ISBLANK(AY30:AY34)), "·", bdRateExtend( V30:V34,AA30:AA34, AT30:AT34,AY30:AY34))</f>
        <v>·</v>
      </c>
      <c r="BP30" s="50" t="str">
        <f>IF( OR(ISBLANK(S30:S34),ISBLANK(AQ30:AQ34), ISBLANK(W30:W34),ISBLANK(AU30:AU34)), "·", bdRateExtend( S30:S34,W30:W34, AQ30:AQ34,AU30:AU34))</f>
        <v>·</v>
      </c>
      <c r="BQ30" s="50" t="str">
        <f>IF( OR(ISBLANK(S30:S34),ISBLANK(AQ30:AQ34), ISBLANK(X30:X34),ISBLANK(AV30:AV34)), "·", bdRateExtend( S30:S34,X30:X34, AQ30:AQ34,AV30:AV34))</f>
        <v>·</v>
      </c>
      <c r="BR30" s="50" t="str">
        <f>IF( OR(ISBLANK(S30:S34),ISBLANK(AQ30:AQ34), ISBLANK(Y30:Y34),ISBLANK(AW30:AW34)), "·", bdRateExtend( S30:S34,Y30:Y34, AQ30:AQ34,AW30:AW34))</f>
        <v>·</v>
      </c>
      <c r="BS30" s="50" t="str">
        <f>IF( OR(ISBLANK(S30:S34),ISBLANK(AQ30:AQ34), ISBLANK(Z30:Z34),ISBLANK(AX30:AX34)), "·", bdRateExtend( S30:S34,Z30:Z34, AQ30:AQ34,AX30:AX34))</f>
        <v>·</v>
      </c>
      <c r="BT30" s="50" t="str">
        <f>IF( OR(ISBLANK(S30:S34),ISBLANK(AQ30:AQ34), ISBLANK(AA30:AA34),ISBLANK(AY30:AY34)), "·", bdRateExtend( S30:S34,AA30:AA34, AQ30:AQ34,AY30:AY34))</f>
        <v>·</v>
      </c>
    </row>
    <row r="31" spans="1:72" outlineLevel="1" x14ac:dyDescent="0.25">
      <c r="A31" s="54"/>
      <c r="B31" s="54" t="s">
        <v>75</v>
      </c>
      <c r="C31" s="10" t="s">
        <v>231</v>
      </c>
      <c r="D31" s="54">
        <v>186907991</v>
      </c>
      <c r="E31" s="10">
        <v>11</v>
      </c>
      <c r="F31" s="10">
        <v>64</v>
      </c>
      <c r="G31" s="10">
        <v>30</v>
      </c>
      <c r="I31" s="11">
        <f t="shared" si="0"/>
        <v>5.3122274999999997</v>
      </c>
      <c r="J31" s="12">
        <f t="shared" si="1"/>
        <v>6.0632784822988117E-2</v>
      </c>
      <c r="K31" s="12">
        <f t="shared" si="2"/>
        <v>4.3717895400202551E-2</v>
      </c>
      <c r="L31" s="12">
        <f t="shared" si="3"/>
        <v>3.0856037610505375E-2</v>
      </c>
      <c r="M31" s="12">
        <f t="shared" si="4"/>
        <v>1.6914889422785566E-2</v>
      </c>
      <c r="N31" s="54">
        <f t="shared" si="5"/>
        <v>8171224</v>
      </c>
      <c r="O31" s="12">
        <v>16</v>
      </c>
      <c r="P31" s="13">
        <v>181467697</v>
      </c>
      <c r="Q31" s="13">
        <v>2835432.765625</v>
      </c>
      <c r="R31" s="13">
        <v>39838.984375</v>
      </c>
      <c r="S31" s="14">
        <v>11332752</v>
      </c>
      <c r="T31" s="14">
        <v>5767240</v>
      </c>
      <c r="U31" s="14">
        <v>2403984</v>
      </c>
      <c r="V31" s="14">
        <v>3161528</v>
      </c>
      <c r="W31" s="15">
        <v>75.180025000000001</v>
      </c>
      <c r="X31" s="15">
        <v>77.545546874999999</v>
      </c>
      <c r="Y31" s="15">
        <v>35.004407812499998</v>
      </c>
      <c r="Z31" s="15">
        <v>42.516818749999999</v>
      </c>
      <c r="AA31" s="15">
        <v>44.415865625000002</v>
      </c>
      <c r="AB31" s="16">
        <v>53087.8</v>
      </c>
      <c r="AC31" s="16">
        <v>0</v>
      </c>
      <c r="AD31" s="16">
        <v>338.24700000000001</v>
      </c>
      <c r="AE31" s="16">
        <v>0</v>
      </c>
      <c r="AG31" s="11" t="str">
        <f t="shared" si="6"/>
        <v>·</v>
      </c>
      <c r="AH31" s="12" t="str">
        <f t="shared" si="7"/>
        <v>·</v>
      </c>
      <c r="AI31" s="12" t="str">
        <f t="shared" si="8"/>
        <v>·</v>
      </c>
      <c r="AJ31" s="12" t="str">
        <f t="shared" si="9"/>
        <v>·</v>
      </c>
      <c r="AK31" s="12" t="str">
        <f t="shared" si="10"/>
        <v>·</v>
      </c>
      <c r="AL31" s="54" t="str">
        <f t="shared" si="11"/>
        <v/>
      </c>
      <c r="AM31" s="12">
        <v>16</v>
      </c>
      <c r="AN31" s="13"/>
      <c r="AO31" s="13"/>
      <c r="AP31" s="13"/>
      <c r="AQ31" s="14"/>
      <c r="AR31" s="14"/>
      <c r="AS31" s="14"/>
      <c r="AT31" s="14"/>
      <c r="AU31" s="15"/>
      <c r="AV31" s="15"/>
      <c r="AW31" s="15"/>
      <c r="AX31" s="15"/>
      <c r="AY31" s="15"/>
      <c r="AZ31" s="16"/>
      <c r="BA31" s="16"/>
      <c r="BB31" s="16"/>
      <c r="BC31" s="16"/>
      <c r="BE31" s="51" t="e">
        <f t="shared" si="12"/>
        <v>#VALUE!</v>
      </c>
      <c r="BF31" s="17" t="e">
        <f t="shared" si="13"/>
        <v>#DIV/0!</v>
      </c>
      <c r="BG31" s="17" t="e">
        <f t="shared" si="14"/>
        <v>#VALUE!</v>
      </c>
      <c r="BH31" s="17"/>
      <c r="BJ31" s="51"/>
      <c r="BK31" s="51"/>
      <c r="BL31" s="51"/>
      <c r="BM31" s="51"/>
      <c r="BN31" s="51"/>
      <c r="BP31" s="51"/>
      <c r="BQ31" s="51"/>
      <c r="BR31" s="51"/>
      <c r="BS31" s="51"/>
      <c r="BT31" s="51"/>
    </row>
    <row r="32" spans="1:72" outlineLevel="1" x14ac:dyDescent="0.25">
      <c r="A32" s="18"/>
      <c r="B32" s="18" t="s">
        <v>75</v>
      </c>
      <c r="C32" s="19" t="s">
        <v>232</v>
      </c>
      <c r="D32" s="18">
        <v>186907991</v>
      </c>
      <c r="E32" s="19">
        <v>11</v>
      </c>
      <c r="F32" s="19">
        <v>64</v>
      </c>
      <c r="G32" s="19">
        <v>30</v>
      </c>
      <c r="I32" s="20">
        <f t="shared" si="0"/>
        <v>7.66663125</v>
      </c>
      <c r="J32" s="21">
        <f t="shared" si="1"/>
        <v>8.7505514946121271E-2</v>
      </c>
      <c r="K32" s="21">
        <f t="shared" si="2"/>
        <v>5.6071781329028354E-2</v>
      </c>
      <c r="L32" s="21">
        <f t="shared" si="3"/>
        <v>4.3209923539331181E-2</v>
      </c>
      <c r="M32" s="21">
        <f t="shared" si="4"/>
        <v>3.1433733617092917E-2</v>
      </c>
      <c r="N32" s="18">
        <f t="shared" si="5"/>
        <v>10480264</v>
      </c>
      <c r="O32" s="21">
        <v>16</v>
      </c>
      <c r="P32" s="22">
        <v>184191613</v>
      </c>
      <c r="Q32" s="22">
        <v>2877993.953125</v>
      </c>
      <c r="R32" s="22">
        <v>42690.109375</v>
      </c>
      <c r="S32" s="23">
        <v>16355480</v>
      </c>
      <c r="T32" s="23">
        <v>8076280</v>
      </c>
      <c r="U32" s="23">
        <v>2403984</v>
      </c>
      <c r="V32" s="23">
        <v>5875216</v>
      </c>
      <c r="W32" s="24">
        <v>76.422521875000001</v>
      </c>
      <c r="X32" s="24">
        <v>79.111943749999995</v>
      </c>
      <c r="Y32" s="24">
        <v>36.880779687500002</v>
      </c>
      <c r="Z32" s="24">
        <v>43.149412499999997</v>
      </c>
      <c r="AA32" s="24">
        <v>45.881970312500002</v>
      </c>
      <c r="AB32" s="25">
        <v>56114.6</v>
      </c>
      <c r="AC32" s="25">
        <v>0</v>
      </c>
      <c r="AD32" s="25">
        <v>349.392</v>
      </c>
      <c r="AE32" s="25">
        <v>0</v>
      </c>
      <c r="AG32" s="20" t="str">
        <f t="shared" si="6"/>
        <v>·</v>
      </c>
      <c r="AH32" s="21" t="str">
        <f t="shared" si="7"/>
        <v>·</v>
      </c>
      <c r="AI32" s="21" t="str">
        <f t="shared" si="8"/>
        <v>·</v>
      </c>
      <c r="AJ32" s="21" t="str">
        <f t="shared" si="9"/>
        <v>·</v>
      </c>
      <c r="AK32" s="21" t="str">
        <f t="shared" si="10"/>
        <v>·</v>
      </c>
      <c r="AL32" s="18" t="str">
        <f t="shared" si="11"/>
        <v/>
      </c>
      <c r="AM32" s="21">
        <v>16</v>
      </c>
      <c r="AN32" s="22"/>
      <c r="AO32" s="22"/>
      <c r="AP32" s="22"/>
      <c r="AQ32" s="23"/>
      <c r="AR32" s="23"/>
      <c r="AS32" s="23"/>
      <c r="AT32" s="23"/>
      <c r="AU32" s="24"/>
      <c r="AV32" s="24"/>
      <c r="AW32" s="24"/>
      <c r="AX32" s="24"/>
      <c r="AY32" s="24"/>
      <c r="AZ32" s="25"/>
      <c r="BA32" s="25"/>
      <c r="BB32" s="25"/>
      <c r="BC32" s="25"/>
      <c r="BE32" s="50" t="e">
        <f t="shared" si="12"/>
        <v>#VALUE!</v>
      </c>
      <c r="BF32" s="26" t="e">
        <f t="shared" si="13"/>
        <v>#DIV/0!</v>
      </c>
      <c r="BG32" s="26" t="e">
        <f t="shared" si="14"/>
        <v>#VALUE!</v>
      </c>
      <c r="BH32" s="26"/>
      <c r="BJ32" s="50"/>
      <c r="BK32" s="50"/>
      <c r="BL32" s="50"/>
      <c r="BM32" s="50"/>
      <c r="BN32" s="50"/>
      <c r="BP32" s="50"/>
      <c r="BQ32" s="50"/>
      <c r="BR32" s="50"/>
      <c r="BS32" s="50"/>
      <c r="BT32" s="50"/>
    </row>
    <row r="33" spans="1:72" outlineLevel="1" x14ac:dyDescent="0.25">
      <c r="A33" s="54"/>
      <c r="B33" s="54" t="s">
        <v>75</v>
      </c>
      <c r="C33" s="10" t="s">
        <v>233</v>
      </c>
      <c r="D33" s="54">
        <v>186907991</v>
      </c>
      <c r="E33" s="10">
        <v>11</v>
      </c>
      <c r="F33" s="10">
        <v>64</v>
      </c>
      <c r="G33" s="10">
        <v>30</v>
      </c>
      <c r="I33" s="11">
        <f t="shared" si="0"/>
        <v>12.650343749999999</v>
      </c>
      <c r="J33" s="12">
        <f t="shared" si="1"/>
        <v>0.14438869015503997</v>
      </c>
      <c r="K33" s="12">
        <f t="shared" si="2"/>
        <v>7.7684768437749671E-2</v>
      </c>
      <c r="L33" s="12">
        <f t="shared" si="3"/>
        <v>6.4822910648052498E-2</v>
      </c>
      <c r="M33" s="12">
        <f t="shared" si="4"/>
        <v>6.6703921717290296E-2</v>
      </c>
      <c r="N33" s="54">
        <f t="shared" si="5"/>
        <v>14519904</v>
      </c>
      <c r="O33" s="12">
        <v>16</v>
      </c>
      <c r="P33" s="13">
        <v>188806131</v>
      </c>
      <c r="Q33" s="13">
        <v>2950095.796875</v>
      </c>
      <c r="R33" s="13">
        <v>47691.4375</v>
      </c>
      <c r="S33" s="14">
        <v>26987400</v>
      </c>
      <c r="T33" s="14">
        <v>12115920</v>
      </c>
      <c r="U33" s="14">
        <v>2403984</v>
      </c>
      <c r="V33" s="14">
        <v>12467496</v>
      </c>
      <c r="W33" s="15">
        <v>77.551282812500006</v>
      </c>
      <c r="X33" s="15">
        <v>80.268201562499996</v>
      </c>
      <c r="Y33" s="15">
        <v>38.6912203125</v>
      </c>
      <c r="Z33" s="15">
        <v>43.742812499999999</v>
      </c>
      <c r="AA33" s="15">
        <v>47.247900000000001</v>
      </c>
      <c r="AB33" s="16">
        <v>58838.3</v>
      </c>
      <c r="AC33" s="16">
        <v>0</v>
      </c>
      <c r="AD33" s="16">
        <v>360.04599999999999</v>
      </c>
      <c r="AE33" s="16">
        <v>0</v>
      </c>
      <c r="AG33" s="11" t="str">
        <f t="shared" si="6"/>
        <v>·</v>
      </c>
      <c r="AH33" s="12" t="str">
        <f t="shared" si="7"/>
        <v>·</v>
      </c>
      <c r="AI33" s="12" t="str">
        <f t="shared" si="8"/>
        <v>·</v>
      </c>
      <c r="AJ33" s="12" t="str">
        <f t="shared" si="9"/>
        <v>·</v>
      </c>
      <c r="AK33" s="12" t="str">
        <f t="shared" si="10"/>
        <v>·</v>
      </c>
      <c r="AL33" s="54" t="str">
        <f t="shared" si="11"/>
        <v/>
      </c>
      <c r="AM33" s="12">
        <v>16</v>
      </c>
      <c r="AN33" s="13"/>
      <c r="AO33" s="13"/>
      <c r="AP33" s="13"/>
      <c r="AQ33" s="14"/>
      <c r="AR33" s="14"/>
      <c r="AS33" s="14"/>
      <c r="AT33" s="14"/>
      <c r="AU33" s="15"/>
      <c r="AV33" s="15"/>
      <c r="AW33" s="15"/>
      <c r="AX33" s="15"/>
      <c r="AY33" s="15"/>
      <c r="AZ33" s="16"/>
      <c r="BA33" s="16"/>
      <c r="BB33" s="16"/>
      <c r="BC33" s="16"/>
      <c r="BE33" s="51" t="e">
        <f t="shared" si="12"/>
        <v>#VALUE!</v>
      </c>
      <c r="BF33" s="17" t="e">
        <f t="shared" si="13"/>
        <v>#DIV/0!</v>
      </c>
      <c r="BG33" s="17" t="e">
        <f t="shared" si="14"/>
        <v>#VALUE!</v>
      </c>
      <c r="BH33" s="17"/>
      <c r="BJ33" s="51"/>
      <c r="BK33" s="51"/>
      <c r="BL33" s="51"/>
      <c r="BM33" s="51"/>
      <c r="BN33" s="51"/>
      <c r="BP33" s="51"/>
      <c r="BQ33" s="51"/>
      <c r="BR33" s="51"/>
      <c r="BS33" s="51"/>
      <c r="BT33" s="51"/>
    </row>
    <row r="34" spans="1:72" outlineLevel="1" x14ac:dyDescent="0.25">
      <c r="A34" s="18"/>
      <c r="B34" s="37" t="s">
        <v>75</v>
      </c>
      <c r="C34" s="38" t="s">
        <v>234</v>
      </c>
      <c r="D34" s="37">
        <v>186907991</v>
      </c>
      <c r="E34" s="38">
        <v>11</v>
      </c>
      <c r="F34" s="38">
        <v>64</v>
      </c>
      <c r="G34" s="38">
        <v>30</v>
      </c>
      <c r="I34" s="39">
        <f t="shared" si="0"/>
        <v>25.57977</v>
      </c>
      <c r="J34" s="40">
        <f t="shared" si="1"/>
        <v>0.29196277648717545</v>
      </c>
      <c r="K34" s="40">
        <f t="shared" si="2"/>
        <v>0.12910900101644129</v>
      </c>
      <c r="L34" s="40">
        <f t="shared" si="3"/>
        <v>0.10261861944682718</v>
      </c>
      <c r="M34" s="40">
        <f t="shared" si="4"/>
        <v>0.16285377547073415</v>
      </c>
      <c r="N34" s="37">
        <f t="shared" si="5"/>
        <v>24131504</v>
      </c>
      <c r="O34" s="40">
        <v>16</v>
      </c>
      <c r="P34" s="41">
        <v>185070843</v>
      </c>
      <c r="Q34" s="41">
        <v>2891731.921875</v>
      </c>
      <c r="R34" s="41">
        <v>18923.953125</v>
      </c>
      <c r="S34" s="42">
        <v>54570176</v>
      </c>
      <c r="T34" s="42">
        <v>19180240</v>
      </c>
      <c r="U34" s="42">
        <v>4951264</v>
      </c>
      <c r="V34" s="42">
        <v>30438672</v>
      </c>
      <c r="W34" s="43">
        <v>78.460593750000001</v>
      </c>
      <c r="X34" s="43">
        <v>81.916093750000002</v>
      </c>
      <c r="Y34" s="43">
        <v>40.5214140625</v>
      </c>
      <c r="Z34" s="43">
        <v>44.454210937500001</v>
      </c>
      <c r="AA34" s="43">
        <v>48.733959374999998</v>
      </c>
      <c r="AB34" s="44">
        <v>62596.6</v>
      </c>
      <c r="AC34" s="44">
        <v>0</v>
      </c>
      <c r="AD34" s="44">
        <v>365.96199999999999</v>
      </c>
      <c r="AE34" s="44">
        <v>0</v>
      </c>
      <c r="AG34" s="39" t="str">
        <f t="shared" si="6"/>
        <v>·</v>
      </c>
      <c r="AH34" s="40" t="str">
        <f t="shared" si="7"/>
        <v>·</v>
      </c>
      <c r="AI34" s="40" t="str">
        <f t="shared" si="8"/>
        <v>·</v>
      </c>
      <c r="AJ34" s="40" t="str">
        <f t="shared" si="9"/>
        <v>·</v>
      </c>
      <c r="AK34" s="40" t="str">
        <f t="shared" si="10"/>
        <v>·</v>
      </c>
      <c r="AL34" s="37" t="str">
        <f t="shared" si="11"/>
        <v/>
      </c>
      <c r="AM34" s="40">
        <v>16</v>
      </c>
      <c r="AN34" s="41"/>
      <c r="AO34" s="41"/>
      <c r="AP34" s="41"/>
      <c r="AQ34" s="42"/>
      <c r="AR34" s="42"/>
      <c r="AS34" s="42"/>
      <c r="AT34" s="42"/>
      <c r="AU34" s="43"/>
      <c r="AV34" s="43"/>
      <c r="AW34" s="43"/>
      <c r="AX34" s="43"/>
      <c r="AY34" s="43"/>
      <c r="AZ34" s="44"/>
      <c r="BA34" s="44"/>
      <c r="BB34" s="44"/>
      <c r="BC34" s="44"/>
      <c r="BE34" s="45" t="e">
        <f t="shared" si="12"/>
        <v>#VALUE!</v>
      </c>
      <c r="BF34" s="46" t="e">
        <f t="shared" si="13"/>
        <v>#DIV/0!</v>
      </c>
      <c r="BG34" s="46" t="e">
        <f t="shared" si="14"/>
        <v>#VALUE!</v>
      </c>
      <c r="BH34" s="46"/>
      <c r="BJ34" s="45"/>
      <c r="BK34" s="45"/>
      <c r="BL34" s="45"/>
      <c r="BM34" s="45"/>
      <c r="BN34" s="45"/>
      <c r="BP34" s="45"/>
      <c r="BQ34" s="45"/>
      <c r="BR34" s="45"/>
      <c r="BS34" s="45"/>
      <c r="BT34" s="45"/>
    </row>
    <row r="35" spans="1:72" x14ac:dyDescent="0.25">
      <c r="A35" s="54"/>
      <c r="B35" s="54" t="s">
        <v>80</v>
      </c>
      <c r="C35" s="10" t="s">
        <v>230</v>
      </c>
      <c r="D35" s="54">
        <v>166028718</v>
      </c>
      <c r="E35" s="10">
        <v>11</v>
      </c>
      <c r="F35" s="10">
        <v>64</v>
      </c>
      <c r="G35" s="10">
        <v>30</v>
      </c>
      <c r="I35" s="11">
        <f t="shared" si="0"/>
        <v>4.3569599999999999</v>
      </c>
      <c r="J35" s="12">
        <f t="shared" si="1"/>
        <v>5.59833751170686E-2</v>
      </c>
      <c r="K35" s="12">
        <f t="shared" si="2"/>
        <v>4.3085076402264333E-2</v>
      </c>
      <c r="L35" s="12">
        <f t="shared" si="3"/>
        <v>2.7584625450158568E-2</v>
      </c>
      <c r="M35" s="12">
        <f t="shared" si="4"/>
        <v>1.2898298714804267E-2</v>
      </c>
      <c r="N35" s="54">
        <f t="shared" si="5"/>
        <v>7153360</v>
      </c>
      <c r="O35" s="12">
        <v>16</v>
      </c>
      <c r="P35" s="13">
        <v>149903109</v>
      </c>
      <c r="Q35" s="13">
        <v>2342236.078125</v>
      </c>
      <c r="R35" s="13">
        <v>30822.421875</v>
      </c>
      <c r="S35" s="14">
        <v>9294848</v>
      </c>
      <c r="T35" s="14">
        <v>4579840</v>
      </c>
      <c r="U35" s="14">
        <v>2573520</v>
      </c>
      <c r="V35" s="14">
        <v>2141488</v>
      </c>
      <c r="W35" s="15">
        <v>73.214260937500001</v>
      </c>
      <c r="X35" s="15">
        <v>75.410712500000002</v>
      </c>
      <c r="Y35" s="15">
        <v>31.889514062500002</v>
      </c>
      <c r="Z35" s="15">
        <v>42.1611609375</v>
      </c>
      <c r="AA35" s="15">
        <v>43.433592187499997</v>
      </c>
      <c r="AB35" s="16">
        <v>45133.2</v>
      </c>
      <c r="AC35" s="16">
        <v>0</v>
      </c>
      <c r="AD35" s="16">
        <v>285.30799999999999</v>
      </c>
      <c r="AE35" s="16">
        <v>0</v>
      </c>
      <c r="AG35" s="11" t="str">
        <f t="shared" si="6"/>
        <v>·</v>
      </c>
      <c r="AH35" s="12" t="str">
        <f t="shared" si="7"/>
        <v>·</v>
      </c>
      <c r="AI35" s="12" t="str">
        <f t="shared" si="8"/>
        <v>·</v>
      </c>
      <c r="AJ35" s="12" t="str">
        <f t="shared" si="9"/>
        <v>·</v>
      </c>
      <c r="AK35" s="12" t="str">
        <f t="shared" si="10"/>
        <v>·</v>
      </c>
      <c r="AL35" s="54" t="str">
        <f t="shared" si="11"/>
        <v/>
      </c>
      <c r="AM35" s="12">
        <v>16</v>
      </c>
      <c r="AN35" s="13"/>
      <c r="AO35" s="13"/>
      <c r="AP35" s="13"/>
      <c r="AQ35" s="14"/>
      <c r="AR35" s="14"/>
      <c r="AS35" s="14"/>
      <c r="AT35" s="14"/>
      <c r="AU35" s="15"/>
      <c r="AV35" s="15"/>
      <c r="AW35" s="15"/>
      <c r="AX35" s="15"/>
      <c r="AY35" s="15"/>
      <c r="AZ35" s="16"/>
      <c r="BA35" s="16"/>
      <c r="BB35" s="16"/>
      <c r="BC35" s="16"/>
      <c r="BE35" s="51" t="e">
        <f t="shared" si="12"/>
        <v>#VALUE!</v>
      </c>
      <c r="BF35" s="17" t="e">
        <f t="shared" si="13"/>
        <v>#DIV/0!</v>
      </c>
      <c r="BG35" s="17" t="e">
        <f t="shared" si="14"/>
        <v>#VALUE!</v>
      </c>
      <c r="BH35" s="17" t="e">
        <f t="array" ref="BH35">AVERAGE(AL35:AL39/AQ35:AQ39) - AVERAGE(N35:N39/S35:S39)</f>
        <v>#VALUE!</v>
      </c>
      <c r="BJ35" s="51" t="str">
        <f>IF( OR(ISBLANK(N35:N39),ISBLANK(AL35:AL39), ISBLANK(W35:W39),ISBLANK(AU35:AU39)), "·", bdRateExtend( N35:N39,W35:W39, AL35:AL39,AU35:AU39))</f>
        <v>·</v>
      </c>
      <c r="BK35" s="51" t="str">
        <f>IF( OR(ISBLANK(N35:N39),ISBLANK(AL35:AL39), ISBLANK(X35:X39),ISBLANK(AV35:AV39)), "·", bdRateExtend( N35:N39,X35:X39, AL35:AL39,AV35:AV39))</f>
        <v>·</v>
      </c>
      <c r="BL35" s="51" t="str">
        <f>IF( OR(ISBLANK(V35:V39),ISBLANK(AT35:AT39), ISBLANK(Y35:Y39),ISBLANK(AW35:AW39)), "·", bdRateExtend( V35:V39,Y35:Y39, AT35:AT39,AW35:AW39))</f>
        <v>·</v>
      </c>
      <c r="BM35" s="51" t="str">
        <f>IF( OR(ISBLANK(V35:V39),ISBLANK(AT35:AT39), ISBLANK(Z35:Z39),ISBLANK(AX35:AX39)), "·", bdRateExtend( V35:V39,Z35:Z39, AT35:AT39,AX35:AX39))</f>
        <v>·</v>
      </c>
      <c r="BN35" s="51" t="str">
        <f>IF( OR(ISBLANK(V35:V39),ISBLANK(AT35:AT39), ISBLANK(AA35:AA39),ISBLANK(AY35:AY39)), "·", bdRateExtend( V35:V39,AA35:AA39, AT35:AT39,AY35:AY39))</f>
        <v>·</v>
      </c>
      <c r="BP35" s="51" t="str">
        <f>IF( OR(ISBLANK(S35:S39),ISBLANK(AQ35:AQ39), ISBLANK(W35:W39),ISBLANK(AU35:AU39)), "·", bdRateExtend( S35:S39,W35:W39, AQ35:AQ39,AU35:AU39))</f>
        <v>·</v>
      </c>
      <c r="BQ35" s="51" t="str">
        <f>IF( OR(ISBLANK(S35:S39),ISBLANK(AQ35:AQ39), ISBLANK(X35:X39),ISBLANK(AV35:AV39)), "·", bdRateExtend( S35:S39,X35:X39, AQ35:AQ39,AV35:AV39))</f>
        <v>·</v>
      </c>
      <c r="BR35" s="51" t="str">
        <f>IF( OR(ISBLANK(S35:S39),ISBLANK(AQ35:AQ39), ISBLANK(Y35:Y39),ISBLANK(AW35:AW39)), "·", bdRateExtend( S35:S39,Y35:Y39, AQ35:AQ39,AW35:AW39))</f>
        <v>·</v>
      </c>
      <c r="BS35" s="51" t="str">
        <f>IF( OR(ISBLANK(S35:S39),ISBLANK(AQ35:AQ39), ISBLANK(Z35:Z39),ISBLANK(AX35:AX39)), "·", bdRateExtend( S35:S39,Z35:Z39, AQ35:AQ39,AX35:AX39))</f>
        <v>·</v>
      </c>
      <c r="BT35" s="51" t="str">
        <f>IF( OR(ISBLANK(S35:S39),ISBLANK(AQ35:AQ39), ISBLANK(AA35:AA39),ISBLANK(AY35:AY39)), "·", bdRateExtend( S35:S39,AA35:AA39, AQ35:AQ39,AY35:AY39))</f>
        <v>·</v>
      </c>
    </row>
    <row r="36" spans="1:72" outlineLevel="1" x14ac:dyDescent="0.25">
      <c r="A36" s="18"/>
      <c r="B36" s="18" t="s">
        <v>80</v>
      </c>
      <c r="C36" s="19" t="s">
        <v>231</v>
      </c>
      <c r="D36" s="18">
        <v>166028718</v>
      </c>
      <c r="E36" s="19">
        <v>11</v>
      </c>
      <c r="F36" s="19">
        <v>64</v>
      </c>
      <c r="G36" s="19">
        <v>30</v>
      </c>
      <c r="I36" s="20">
        <f t="shared" si="0"/>
        <v>5.8639462499999997</v>
      </c>
      <c r="J36" s="21">
        <f t="shared" si="1"/>
        <v>7.5346916790624135E-2</v>
      </c>
      <c r="K36" s="21">
        <f t="shared" si="2"/>
        <v>5.3355829682428794E-2</v>
      </c>
      <c r="L36" s="21">
        <f t="shared" si="3"/>
        <v>3.7855378730323026E-2</v>
      </c>
      <c r="M36" s="21">
        <f t="shared" si="4"/>
        <v>2.1991087108195341E-2</v>
      </c>
      <c r="N36" s="18">
        <f t="shared" si="5"/>
        <v>8858600</v>
      </c>
      <c r="O36" s="21">
        <v>16</v>
      </c>
      <c r="P36" s="22">
        <v>159705315</v>
      </c>
      <c r="Q36" s="22">
        <v>2495395.546875</v>
      </c>
      <c r="R36" s="22">
        <v>38648.546875</v>
      </c>
      <c r="S36" s="23">
        <v>12509752</v>
      </c>
      <c r="T36" s="23">
        <v>6285080</v>
      </c>
      <c r="U36" s="23">
        <v>2573520</v>
      </c>
      <c r="V36" s="23">
        <v>3651152</v>
      </c>
      <c r="W36" s="24">
        <v>74.935885937500004</v>
      </c>
      <c r="X36" s="24">
        <v>77.368315624999994</v>
      </c>
      <c r="Y36" s="24">
        <v>34.107812500000001</v>
      </c>
      <c r="Z36" s="24">
        <v>42.935343750000001</v>
      </c>
      <c r="AA36" s="24">
        <v>44.761360937500001</v>
      </c>
      <c r="AB36" s="25">
        <v>45528.5</v>
      </c>
      <c r="AC36" s="25">
        <v>0</v>
      </c>
      <c r="AD36" s="25">
        <v>295.077</v>
      </c>
      <c r="AE36" s="25">
        <v>0</v>
      </c>
      <c r="AG36" s="20" t="str">
        <f t="shared" si="6"/>
        <v>·</v>
      </c>
      <c r="AH36" s="21" t="str">
        <f t="shared" si="7"/>
        <v>·</v>
      </c>
      <c r="AI36" s="21" t="str">
        <f t="shared" si="8"/>
        <v>·</v>
      </c>
      <c r="AJ36" s="21" t="str">
        <f t="shared" si="9"/>
        <v>·</v>
      </c>
      <c r="AK36" s="21" t="str">
        <f t="shared" si="10"/>
        <v>·</v>
      </c>
      <c r="AL36" s="18" t="str">
        <f t="shared" si="11"/>
        <v/>
      </c>
      <c r="AM36" s="21">
        <v>16</v>
      </c>
      <c r="AN36" s="22"/>
      <c r="AO36" s="22"/>
      <c r="AP36" s="22"/>
      <c r="AQ36" s="23"/>
      <c r="AR36" s="23"/>
      <c r="AS36" s="23"/>
      <c r="AT36" s="23"/>
      <c r="AU36" s="24"/>
      <c r="AV36" s="24"/>
      <c r="AW36" s="24"/>
      <c r="AX36" s="24"/>
      <c r="AY36" s="24"/>
      <c r="AZ36" s="25"/>
      <c r="BA36" s="25"/>
      <c r="BB36" s="25"/>
      <c r="BC36" s="25"/>
      <c r="BE36" s="50" t="e">
        <f t="shared" si="12"/>
        <v>#VALUE!</v>
      </c>
      <c r="BF36" s="26" t="e">
        <f t="shared" si="13"/>
        <v>#DIV/0!</v>
      </c>
      <c r="BG36" s="26" t="e">
        <f t="shared" si="14"/>
        <v>#VALUE!</v>
      </c>
      <c r="BH36" s="26"/>
      <c r="BJ36" s="50"/>
      <c r="BK36" s="50"/>
      <c r="BL36" s="50"/>
      <c r="BM36" s="50"/>
      <c r="BN36" s="50"/>
      <c r="BP36" s="50"/>
      <c r="BQ36" s="50"/>
      <c r="BR36" s="50"/>
      <c r="BS36" s="50"/>
      <c r="BT36" s="50"/>
    </row>
    <row r="37" spans="1:72" outlineLevel="1" x14ac:dyDescent="0.25">
      <c r="A37" s="54"/>
      <c r="B37" s="54" t="s">
        <v>80</v>
      </c>
      <c r="C37" s="10" t="s">
        <v>232</v>
      </c>
      <c r="D37" s="54">
        <v>166028718</v>
      </c>
      <c r="E37" s="10">
        <v>11</v>
      </c>
      <c r="F37" s="10">
        <v>64</v>
      </c>
      <c r="G37" s="10">
        <v>30</v>
      </c>
      <c r="I37" s="11">
        <f t="shared" si="0"/>
        <v>8.4339562499999996</v>
      </c>
      <c r="J37" s="12">
        <f t="shared" si="1"/>
        <v>0.10836944485712406</v>
      </c>
      <c r="K37" s="12">
        <f t="shared" si="2"/>
        <v>6.821908966375323E-2</v>
      </c>
      <c r="L37" s="12">
        <f t="shared" si="3"/>
        <v>5.2718638711647461E-2</v>
      </c>
      <c r="M37" s="12">
        <f t="shared" si="4"/>
        <v>4.0150355193370825E-2</v>
      </c>
      <c r="N37" s="54">
        <f t="shared" si="5"/>
        <v>11326328</v>
      </c>
      <c r="O37" s="12">
        <v>16</v>
      </c>
      <c r="P37" s="13">
        <v>163111668</v>
      </c>
      <c r="Q37" s="13">
        <v>2548619.8125</v>
      </c>
      <c r="R37" s="13">
        <v>41930.140625</v>
      </c>
      <c r="S37" s="14">
        <v>17992440</v>
      </c>
      <c r="T37" s="14">
        <v>8752808</v>
      </c>
      <c r="U37" s="14">
        <v>2573520</v>
      </c>
      <c r="V37" s="14">
        <v>6666112</v>
      </c>
      <c r="W37" s="15">
        <v>76.245125000000002</v>
      </c>
      <c r="X37" s="15">
        <v>78.983759375000005</v>
      </c>
      <c r="Y37" s="15">
        <v>36.187578125000002</v>
      </c>
      <c r="Z37" s="15">
        <v>43.520915625000001</v>
      </c>
      <c r="AA37" s="15">
        <v>46.116348437500001</v>
      </c>
      <c r="AB37" s="16">
        <v>46946.7</v>
      </c>
      <c r="AC37" s="16">
        <v>0</v>
      </c>
      <c r="AD37" s="16">
        <v>300.94400000000002</v>
      </c>
      <c r="AE37" s="16">
        <v>0</v>
      </c>
      <c r="AG37" s="11" t="str">
        <f t="shared" si="6"/>
        <v>·</v>
      </c>
      <c r="AH37" s="12" t="str">
        <f t="shared" si="7"/>
        <v>·</v>
      </c>
      <c r="AI37" s="12" t="str">
        <f t="shared" si="8"/>
        <v>·</v>
      </c>
      <c r="AJ37" s="12" t="str">
        <f t="shared" si="9"/>
        <v>·</v>
      </c>
      <c r="AK37" s="12" t="str">
        <f t="shared" si="10"/>
        <v>·</v>
      </c>
      <c r="AL37" s="54" t="str">
        <f t="shared" si="11"/>
        <v/>
      </c>
      <c r="AM37" s="12">
        <v>16</v>
      </c>
      <c r="AN37" s="13"/>
      <c r="AO37" s="13"/>
      <c r="AP37" s="13"/>
      <c r="AQ37" s="14"/>
      <c r="AR37" s="14"/>
      <c r="AS37" s="14"/>
      <c r="AT37" s="14"/>
      <c r="AU37" s="15"/>
      <c r="AV37" s="15"/>
      <c r="AW37" s="15"/>
      <c r="AX37" s="15"/>
      <c r="AY37" s="15"/>
      <c r="AZ37" s="16"/>
      <c r="BA37" s="16"/>
      <c r="BB37" s="16"/>
      <c r="BC37" s="16"/>
      <c r="BE37" s="51" t="e">
        <f t="shared" si="12"/>
        <v>#VALUE!</v>
      </c>
      <c r="BF37" s="17" t="e">
        <f t="shared" si="13"/>
        <v>#DIV/0!</v>
      </c>
      <c r="BG37" s="17" t="e">
        <f t="shared" si="14"/>
        <v>#VALUE!</v>
      </c>
      <c r="BH37" s="17"/>
      <c r="BJ37" s="51"/>
      <c r="BK37" s="51"/>
      <c r="BL37" s="51"/>
      <c r="BM37" s="51"/>
      <c r="BN37" s="51"/>
      <c r="BP37" s="51"/>
      <c r="BQ37" s="51"/>
      <c r="BR37" s="51"/>
      <c r="BS37" s="51"/>
      <c r="BT37" s="51"/>
    </row>
    <row r="38" spans="1:72" outlineLevel="1" x14ac:dyDescent="0.25">
      <c r="A38" s="18"/>
      <c r="B38" s="18" t="s">
        <v>80</v>
      </c>
      <c r="C38" s="19" t="s">
        <v>233</v>
      </c>
      <c r="D38" s="18">
        <v>166028718</v>
      </c>
      <c r="E38" s="19">
        <v>11</v>
      </c>
      <c r="F38" s="19">
        <v>64</v>
      </c>
      <c r="G38" s="19">
        <v>30</v>
      </c>
      <c r="I38" s="20">
        <f t="shared" si="0"/>
        <v>13.797656249999999</v>
      </c>
      <c r="J38" s="21">
        <f t="shared" si="1"/>
        <v>0.17728860617956468</v>
      </c>
      <c r="K38" s="21">
        <f t="shared" si="2"/>
        <v>9.376127327562693E-2</v>
      </c>
      <c r="L38" s="21">
        <f t="shared" si="3"/>
        <v>7.8260822323521162E-2</v>
      </c>
      <c r="M38" s="21">
        <f t="shared" si="4"/>
        <v>8.352733290393774E-2</v>
      </c>
      <c r="N38" s="18">
        <f t="shared" si="5"/>
        <v>15567064</v>
      </c>
      <c r="O38" s="21">
        <v>16</v>
      </c>
      <c r="P38" s="22">
        <v>167401357</v>
      </c>
      <c r="Q38" s="22">
        <v>2615646.203125</v>
      </c>
      <c r="R38" s="22">
        <v>46927.546875</v>
      </c>
      <c r="S38" s="23">
        <v>29435000</v>
      </c>
      <c r="T38" s="23">
        <v>12993544</v>
      </c>
      <c r="U38" s="23">
        <v>2573520</v>
      </c>
      <c r="V38" s="23">
        <v>13867936</v>
      </c>
      <c r="W38" s="24">
        <v>77.430582812500006</v>
      </c>
      <c r="X38" s="24">
        <v>80.1885328125</v>
      </c>
      <c r="Y38" s="24">
        <v>38.161134375000003</v>
      </c>
      <c r="Z38" s="24">
        <v>44.139771875000001</v>
      </c>
      <c r="AA38" s="24">
        <v>47.276406250000001</v>
      </c>
      <c r="AB38" s="25">
        <v>49747.8</v>
      </c>
      <c r="AC38" s="25">
        <v>0</v>
      </c>
      <c r="AD38" s="25">
        <v>305.39299999999997</v>
      </c>
      <c r="AE38" s="25">
        <v>0</v>
      </c>
      <c r="AG38" s="20" t="str">
        <f t="shared" si="6"/>
        <v>·</v>
      </c>
      <c r="AH38" s="21" t="str">
        <f t="shared" si="7"/>
        <v>·</v>
      </c>
      <c r="AI38" s="21" t="str">
        <f t="shared" si="8"/>
        <v>·</v>
      </c>
      <c r="AJ38" s="21" t="str">
        <f t="shared" si="9"/>
        <v>·</v>
      </c>
      <c r="AK38" s="21" t="str">
        <f t="shared" si="10"/>
        <v>·</v>
      </c>
      <c r="AL38" s="18" t="str">
        <f t="shared" si="11"/>
        <v/>
      </c>
      <c r="AM38" s="21">
        <v>16</v>
      </c>
      <c r="AN38" s="22"/>
      <c r="AO38" s="22"/>
      <c r="AP38" s="22"/>
      <c r="AQ38" s="23"/>
      <c r="AR38" s="23"/>
      <c r="AS38" s="23"/>
      <c r="AT38" s="23"/>
      <c r="AU38" s="24"/>
      <c r="AV38" s="24"/>
      <c r="AW38" s="24"/>
      <c r="AX38" s="24"/>
      <c r="AY38" s="24"/>
      <c r="AZ38" s="25"/>
      <c r="BA38" s="25"/>
      <c r="BB38" s="25"/>
      <c r="BC38" s="25"/>
      <c r="BE38" s="50" t="e">
        <f t="shared" si="12"/>
        <v>#VALUE!</v>
      </c>
      <c r="BF38" s="26" t="e">
        <f t="shared" si="13"/>
        <v>#DIV/0!</v>
      </c>
      <c r="BG38" s="26" t="e">
        <f t="shared" si="14"/>
        <v>#VALUE!</v>
      </c>
      <c r="BH38" s="26"/>
      <c r="BJ38" s="50"/>
      <c r="BK38" s="50"/>
      <c r="BL38" s="50"/>
      <c r="BM38" s="50"/>
      <c r="BN38" s="50"/>
      <c r="BP38" s="50"/>
      <c r="BQ38" s="50"/>
      <c r="BR38" s="50"/>
      <c r="BS38" s="50"/>
      <c r="BT38" s="50"/>
    </row>
    <row r="39" spans="1:72" outlineLevel="1" x14ac:dyDescent="0.25">
      <c r="A39" s="27"/>
      <c r="B39" s="27" t="s">
        <v>80</v>
      </c>
      <c r="C39" s="28" t="s">
        <v>234</v>
      </c>
      <c r="D39" s="27">
        <v>166028718</v>
      </c>
      <c r="E39" s="28">
        <v>11</v>
      </c>
      <c r="F39" s="28">
        <v>64</v>
      </c>
      <c r="G39" s="28">
        <v>30</v>
      </c>
      <c r="I39" s="29">
        <f t="shared" si="0"/>
        <v>27.446249999999999</v>
      </c>
      <c r="J39" s="30">
        <f t="shared" si="1"/>
        <v>0.35266188106084151</v>
      </c>
      <c r="K39" s="30">
        <f t="shared" si="2"/>
        <v>0.15205793494111061</v>
      </c>
      <c r="L39" s="30">
        <f t="shared" si="3"/>
        <v>0.12062077116080605</v>
      </c>
      <c r="M39" s="30">
        <f t="shared" si="4"/>
        <v>0.20060394611973092</v>
      </c>
      <c r="N39" s="27">
        <f t="shared" si="5"/>
        <v>25245984</v>
      </c>
      <c r="O39" s="30">
        <v>16</v>
      </c>
      <c r="P39" s="31">
        <v>163642490</v>
      </c>
      <c r="Q39" s="31">
        <v>2556913.90625</v>
      </c>
      <c r="R39" s="31">
        <v>18550.453125</v>
      </c>
      <c r="S39" s="32">
        <v>58552000</v>
      </c>
      <c r="T39" s="32">
        <v>20026512</v>
      </c>
      <c r="U39" s="32">
        <v>5219472</v>
      </c>
      <c r="V39" s="32">
        <v>33306016</v>
      </c>
      <c r="W39" s="33">
        <v>78.2872921875</v>
      </c>
      <c r="X39" s="33">
        <v>81.8868875</v>
      </c>
      <c r="Y39" s="33">
        <v>40.240200000000002</v>
      </c>
      <c r="Z39" s="33">
        <v>45.062987499999998</v>
      </c>
      <c r="AA39" s="33">
        <v>48.670310937499998</v>
      </c>
      <c r="AB39" s="34">
        <v>56535.3</v>
      </c>
      <c r="AC39" s="34">
        <v>0</v>
      </c>
      <c r="AD39" s="34">
        <v>312.30200000000002</v>
      </c>
      <c r="AE39" s="34">
        <v>0</v>
      </c>
      <c r="AG39" s="29" t="str">
        <f t="shared" si="6"/>
        <v>·</v>
      </c>
      <c r="AH39" s="30" t="str">
        <f t="shared" si="7"/>
        <v>·</v>
      </c>
      <c r="AI39" s="30" t="str">
        <f t="shared" si="8"/>
        <v>·</v>
      </c>
      <c r="AJ39" s="30" t="str">
        <f t="shared" si="9"/>
        <v>·</v>
      </c>
      <c r="AK39" s="30" t="str">
        <f t="shared" si="10"/>
        <v>·</v>
      </c>
      <c r="AL39" s="27" t="str">
        <f t="shared" si="11"/>
        <v/>
      </c>
      <c r="AM39" s="30">
        <v>16</v>
      </c>
      <c r="AN39" s="31"/>
      <c r="AO39" s="31"/>
      <c r="AP39" s="31"/>
      <c r="AQ39" s="32"/>
      <c r="AR39" s="32"/>
      <c r="AS39" s="32"/>
      <c r="AT39" s="32"/>
      <c r="AU39" s="33"/>
      <c r="AV39" s="33"/>
      <c r="AW39" s="33"/>
      <c r="AX39" s="33"/>
      <c r="AY39" s="33"/>
      <c r="AZ39" s="34"/>
      <c r="BA39" s="34"/>
      <c r="BB39" s="34"/>
      <c r="BC39" s="34"/>
      <c r="BE39" s="35" t="e">
        <f t="shared" si="12"/>
        <v>#VALUE!</v>
      </c>
      <c r="BF39" s="36" t="e">
        <f t="shared" si="13"/>
        <v>#DIV/0!</v>
      </c>
      <c r="BG39" s="36" t="e">
        <f t="shared" si="14"/>
        <v>#VALUE!</v>
      </c>
      <c r="BH39" s="36"/>
      <c r="BJ39" s="35"/>
      <c r="BK39" s="35"/>
      <c r="BL39" s="35"/>
      <c r="BM39" s="35"/>
      <c r="BN39" s="35"/>
      <c r="BP39" s="35"/>
      <c r="BQ39" s="35"/>
      <c r="BR39" s="35"/>
      <c r="BS39" s="35"/>
      <c r="BT39" s="35"/>
    </row>
    <row r="40" spans="1:72" x14ac:dyDescent="0.25">
      <c r="B40" s="47" t="s">
        <v>14</v>
      </c>
      <c r="J40" s="48">
        <f>AVERAGE(J5:J24)</f>
        <v>0.1775800785888986</v>
      </c>
      <c r="K40" s="48">
        <f>AVERAGE(K5:K24)</f>
        <v>9.7240112408985432E-2</v>
      </c>
      <c r="L40" s="48">
        <f>AVERAGE(L5:L24)</f>
        <v>7.1408700114173121E-2</v>
      </c>
      <c r="M40" s="48">
        <f>AVERAGE(M5:M24)</f>
        <v>8.0339966179913153E-2</v>
      </c>
      <c r="AH40" s="48" t="e">
        <f>AVERAGE(AH5:AH24)</f>
        <v>#DIV/0!</v>
      </c>
      <c r="AI40" s="48" t="e">
        <f>AVERAGE(AI5:AI24)</f>
        <v>#DIV/0!</v>
      </c>
      <c r="AJ40" s="48" t="e">
        <f>AVERAGE(AJ5:AJ24)</f>
        <v>#DIV/0!</v>
      </c>
      <c r="AK40" s="48" t="e">
        <f>AVERAGE(AK5:AK24)</f>
        <v>#DIV/0!</v>
      </c>
      <c r="BE40" s="52" t="e">
        <f t="shared" si="12"/>
        <v>#DIV/0!</v>
      </c>
      <c r="BH40" s="55" t="e">
        <f>AVERAGE(BH5:BH24)</f>
        <v>#VALUE!</v>
      </c>
      <c r="BJ40" s="52" t="e">
        <f>AVERAGE(BJ5:BJ24)</f>
        <v>#DIV/0!</v>
      </c>
      <c r="BK40" s="52" t="e">
        <f>AVERAGE(BK5:BK24)</f>
        <v>#DIV/0!</v>
      </c>
      <c r="BL40" s="52" t="e">
        <f>AVERAGE(BL5:BL24)</f>
        <v>#DIV/0!</v>
      </c>
      <c r="BM40" s="52" t="e">
        <f>AVERAGE(BM5:BM24)</f>
        <v>#DIV/0!</v>
      </c>
      <c r="BN40" s="52" t="e">
        <f>AVERAGE(BN5:BN24)</f>
        <v>#DIV/0!</v>
      </c>
      <c r="BP40" s="52" t="e">
        <f>AVERAGE(BP5:BP24)</f>
        <v>#DIV/0!</v>
      </c>
      <c r="BQ40" s="52" t="e">
        <f>AVERAGE(BQ5:BQ24)</f>
        <v>#DIV/0!</v>
      </c>
      <c r="BR40" s="52" t="e">
        <f>AVERAGE(BR5:BR24)</f>
        <v>#DIV/0!</v>
      </c>
      <c r="BS40" s="52" t="e">
        <f>AVERAGE(BS5:BS24)</f>
        <v>#DIV/0!</v>
      </c>
      <c r="BT40" s="52" t="e">
        <f>AVERAGE(BT5:BT24)</f>
        <v>#DIV/0!</v>
      </c>
    </row>
    <row r="41" spans="1:72" x14ac:dyDescent="0.25">
      <c r="B41" s="47" t="s">
        <v>15</v>
      </c>
      <c r="J41" s="48">
        <f>AVERAGE(J25:J29)</f>
        <v>0.37753439185511412</v>
      </c>
      <c r="K41" s="48">
        <f>AVERAGE(K25:K29)</f>
        <v>0.11123071932895456</v>
      </c>
      <c r="L41" s="48">
        <f>AVERAGE(L25:L29)</f>
        <v>8.5063619954825878E-2</v>
      </c>
      <c r="M41" s="48">
        <f>AVERAGE(M25:M29)</f>
        <v>0.26630367252615961</v>
      </c>
      <c r="AH41" s="48" t="e">
        <f>AVERAGE(AH25:AH29)</f>
        <v>#DIV/0!</v>
      </c>
      <c r="AI41" s="48" t="e">
        <f>AVERAGE(AI25:AI29)</f>
        <v>#DIV/0!</v>
      </c>
      <c r="AJ41" s="48" t="e">
        <f>AVERAGE(AJ25:AJ29)</f>
        <v>#DIV/0!</v>
      </c>
      <c r="AK41" s="48" t="e">
        <f>AVERAGE(AK25:AK29)</f>
        <v>#DIV/0!</v>
      </c>
      <c r="BE41" s="52" t="e">
        <f t="shared" si="12"/>
        <v>#DIV/0!</v>
      </c>
      <c r="BH41" s="55" t="e">
        <f>AVERAGE(BH25:BH29)</f>
        <v>#VALUE!</v>
      </c>
      <c r="BJ41" s="52" t="e">
        <f>AVERAGE(BJ25:BJ29)</f>
        <v>#DIV/0!</v>
      </c>
      <c r="BK41" s="52" t="e">
        <f>AVERAGE(BK25:BK29)</f>
        <v>#DIV/0!</v>
      </c>
      <c r="BL41" s="52" t="e">
        <f>AVERAGE(BL25:BL29)</f>
        <v>#DIV/0!</v>
      </c>
      <c r="BM41" s="52" t="e">
        <f>AVERAGE(BM25:BM29)</f>
        <v>#DIV/0!</v>
      </c>
      <c r="BN41" s="52" t="e">
        <f>AVERAGE(BN25:BN29)</f>
        <v>#DIV/0!</v>
      </c>
      <c r="BP41" s="52" t="e">
        <f>AVERAGE(BP25:BP29)</f>
        <v>#DIV/0!</v>
      </c>
      <c r="BQ41" s="52" t="e">
        <f>AVERAGE(BQ25:BQ29)</f>
        <v>#DIV/0!</v>
      </c>
      <c r="BR41" s="52" t="e">
        <f>AVERAGE(BR25:BR29)</f>
        <v>#DIV/0!</v>
      </c>
      <c r="BS41" s="52" t="e">
        <f>AVERAGE(BS25:BS29)</f>
        <v>#DIV/0!</v>
      </c>
      <c r="BT41" s="52" t="e">
        <f>AVERAGE(BT25:BT29)</f>
        <v>#DIV/0!</v>
      </c>
    </row>
    <row r="42" spans="1:72" x14ac:dyDescent="0.25">
      <c r="B42" s="47" t="s">
        <v>16</v>
      </c>
      <c r="J42" s="48">
        <f>AVERAGE(J30:J39)</f>
        <v>0.13994237899733039</v>
      </c>
      <c r="K42" s="48">
        <f>AVERAGE(K30:K39)</f>
        <v>7.5243543418329159E-2</v>
      </c>
      <c r="L42" s="48">
        <f>AVERAGE(L30:L39)</f>
        <v>5.8105865386616107E-2</v>
      </c>
      <c r="M42" s="48">
        <f>AVERAGE(M30:M39)</f>
        <v>6.4698835579001246E-2</v>
      </c>
      <c r="AH42" s="48" t="e">
        <f>AVERAGE(AH30:AH39)</f>
        <v>#DIV/0!</v>
      </c>
      <c r="AI42" s="48" t="e">
        <f>AVERAGE(AI30:AI39)</f>
        <v>#DIV/0!</v>
      </c>
      <c r="AJ42" s="48" t="e">
        <f>AVERAGE(AJ30:AJ39)</f>
        <v>#DIV/0!</v>
      </c>
      <c r="AK42" s="48" t="e">
        <f>AVERAGE(AK30:AK39)</f>
        <v>#DIV/0!</v>
      </c>
      <c r="BE42" s="52" t="e">
        <f t="shared" si="12"/>
        <v>#DIV/0!</v>
      </c>
      <c r="BH42" s="55" t="e">
        <f>AVERAGE(BH30:BH39)</f>
        <v>#VALUE!</v>
      </c>
      <c r="BJ42" s="52" t="e">
        <f>AVERAGE(BJ30:BJ39)</f>
        <v>#DIV/0!</v>
      </c>
      <c r="BK42" s="52" t="e">
        <f>AVERAGE(BK30:BK39)</f>
        <v>#DIV/0!</v>
      </c>
      <c r="BL42" s="52" t="e">
        <f>AVERAGE(BL30:BL39)</f>
        <v>#DIV/0!</v>
      </c>
      <c r="BM42" s="52" t="e">
        <f>AVERAGE(BM30:BM39)</f>
        <v>#DIV/0!</v>
      </c>
      <c r="BN42" s="52" t="e">
        <f>AVERAGE(BN30:BN39)</f>
        <v>#DIV/0!</v>
      </c>
      <c r="BP42" s="52" t="e">
        <f>AVERAGE(BP30:BP39)</f>
        <v>#DIV/0!</v>
      </c>
      <c r="BQ42" s="52" t="e">
        <f>AVERAGE(BQ30:BQ39)</f>
        <v>#DIV/0!</v>
      </c>
      <c r="BR42" s="52" t="e">
        <f>AVERAGE(BR30:BR39)</f>
        <v>#DIV/0!</v>
      </c>
      <c r="BS42" s="52" t="e">
        <f>AVERAGE(BS30:BS39)</f>
        <v>#DIV/0!</v>
      </c>
      <c r="BT42" s="52" t="e">
        <f>AVERAGE(BT30:BT39)</f>
        <v>#DIV/0!</v>
      </c>
    </row>
    <row r="43" spans="1:72" x14ac:dyDescent="0.25">
      <c r="B43" s="47" t="s">
        <v>17</v>
      </c>
      <c r="J43" s="48">
        <f>AVERAGE(J5:J39)</f>
        <v>0.19539135202933849</v>
      </c>
      <c r="K43" s="48">
        <f>AVERAGE(K5:K39)</f>
        <v>9.2954036543079224E-2</v>
      </c>
      <c r="L43" s="48">
        <f>AVERAGE(L5:L39)</f>
        <v>6.9558593026392945E-2</v>
      </c>
      <c r="M43" s="48">
        <f>AVERAGE(M5:M39)</f>
        <v>0.10243731548625926</v>
      </c>
      <c r="AH43" s="48" t="e">
        <f>AVERAGE(AH5:AH39)</f>
        <v>#DIV/0!</v>
      </c>
      <c r="AI43" s="48" t="e">
        <f>AVERAGE(AI5:AI39)</f>
        <v>#DIV/0!</v>
      </c>
      <c r="AJ43" s="48" t="e">
        <f>AVERAGE(AJ5:AJ39)</f>
        <v>#DIV/0!</v>
      </c>
      <c r="AK43" s="48" t="e">
        <f>AVERAGE(AK5:AK39)</f>
        <v>#DIV/0!</v>
      </c>
      <c r="BE43" s="52" t="e">
        <f t="shared" si="12"/>
        <v>#DIV/0!</v>
      </c>
      <c r="BH43" s="55" t="e">
        <f>AVERAGE(BH5:BH39)</f>
        <v>#VALUE!</v>
      </c>
      <c r="BJ43" s="52" t="e">
        <f>AVERAGE(BJ5:BJ39)</f>
        <v>#DIV/0!</v>
      </c>
      <c r="BK43" s="52" t="e">
        <f>AVERAGE(BK5:BK39)</f>
        <v>#DIV/0!</v>
      </c>
      <c r="BL43" s="52" t="e">
        <f>AVERAGE(BL5:BL39)</f>
        <v>#DIV/0!</v>
      </c>
      <c r="BM43" s="52" t="e">
        <f>AVERAGE(BM5:BM39)</f>
        <v>#DIV/0!</v>
      </c>
      <c r="BN43" s="52" t="e">
        <f>AVERAGE(BN5:BN39)</f>
        <v>#DIV/0!</v>
      </c>
      <c r="BP43" s="52" t="e">
        <f>AVERAGE(BP5:BP39)</f>
        <v>#DIV/0!</v>
      </c>
      <c r="BQ43" s="52" t="e">
        <f>AVERAGE(BQ5:BQ39)</f>
        <v>#DIV/0!</v>
      </c>
      <c r="BR43" s="52" t="e">
        <f>AVERAGE(BR5:BR39)</f>
        <v>#DIV/0!</v>
      </c>
      <c r="BS43" s="52" t="e">
        <f>AVERAGE(BS5:BS39)</f>
        <v>#DIV/0!</v>
      </c>
      <c r="BT43" s="52" t="e">
        <f>AVERAGE(BT5:BT39)</f>
        <v>#DIV/0!</v>
      </c>
    </row>
    <row r="44" spans="1:72" hidden="1" outlineLevel="2" x14ac:dyDescent="0.25">
      <c r="A44" s="47" t="s">
        <v>237</v>
      </c>
      <c r="B44" s="47" t="s">
        <v>238</v>
      </c>
      <c r="AB44" s="49">
        <f>SUM(AB5:AB24,AB25:AB29,AB30:AB39)</f>
        <v>2420935.8000000003</v>
      </c>
      <c r="AC44" s="49">
        <f>SUM(AC5:AC24,AC25:AC29,AC30:AC39)</f>
        <v>0</v>
      </c>
      <c r="AD44" s="49">
        <f>SUM(AD5:AD24,AD25:AD29,AD30:AD39)</f>
        <v>13904.407999999994</v>
      </c>
      <c r="AE44" s="49">
        <f>SUM(AE5:AE24,AE25:AE29,AE30:AE39)</f>
        <v>0</v>
      </c>
      <c r="AZ44" s="49">
        <f>SUM(AZ5:AZ24,AZ25:AZ29,AZ30:AZ39)</f>
        <v>0</v>
      </c>
      <c r="BA44" s="49">
        <f>SUM(BA5:BA24,BA25:BA29,BA30:BA39)</f>
        <v>0</v>
      </c>
      <c r="BB44" s="49">
        <f>SUM(BB5:BB24,BB25:BB29,BB30:BB39)</f>
        <v>0</v>
      </c>
      <c r="BC44" s="49">
        <f>SUM(BC5:BC24,BC25:BC29,BC30:BC39)</f>
        <v>0</v>
      </c>
    </row>
    <row r="45" spans="1:72" hidden="1" outlineLevel="2" x14ac:dyDescent="0.25">
      <c r="B45" s="47" t="s">
        <v>239</v>
      </c>
      <c r="AZ45" s="55">
        <f>AZ44/AB44</f>
        <v>0</v>
      </c>
      <c r="BA45" s="55" t="e">
        <f>BA44/AC44</f>
        <v>#DIV/0!</v>
      </c>
      <c r="BB45" s="55">
        <f>BB44/AD44</f>
        <v>0</v>
      </c>
      <c r="BC45" s="55" t="e">
        <f>BC44/AE44</f>
        <v>#DIV/0!</v>
      </c>
    </row>
    <row r="46" spans="1:72" hidden="1" outlineLevel="2" x14ac:dyDescent="0.25">
      <c r="B46" s="47" t="s">
        <v>240</v>
      </c>
      <c r="AB46" s="49">
        <f>GEOMEAN(AB5:AB24,AB25:AB29,AB30:AB39)</f>
        <v>67827.040827740449</v>
      </c>
      <c r="AC46" s="49" t="e">
        <f>GEOMEAN(AC5:AC24,AC25:AC29,AC30:AC39)</f>
        <v>#NUM!</v>
      </c>
      <c r="AD46" s="49">
        <f>GEOMEAN(AD5:AD24,AD25:AD29,AD30:AD39)</f>
        <v>392.59633829442413</v>
      </c>
      <c r="AE46" s="49" t="e">
        <f>GEOMEAN(AE5:AE24,AE25:AE29,AE30:AE39)</f>
        <v>#NUM!</v>
      </c>
      <c r="AZ46" s="49" t="e">
        <f>GEOMEAN(AZ5:AZ24,AZ25:AZ29,AZ30:AZ39)</f>
        <v>#NUM!</v>
      </c>
      <c r="BA46" s="49" t="e">
        <f>GEOMEAN(BA5:BA24,BA25:BA29,BA30:BA39)</f>
        <v>#NUM!</v>
      </c>
      <c r="BB46" s="49" t="e">
        <f>GEOMEAN(BB5:BB24,BB25:BB29,BB30:BB39)</f>
        <v>#NUM!</v>
      </c>
      <c r="BC46" s="49" t="e">
        <f>GEOMEAN(BC5:BC24,BC25:BC29,BC30:BC39)</f>
        <v>#NUM!</v>
      </c>
    </row>
    <row r="47" spans="1:72" outlineLevel="2" collapsed="1" x14ac:dyDescent="0.25">
      <c r="B47" s="47" t="s">
        <v>241</v>
      </c>
      <c r="AZ47" s="55" t="e">
        <f>AZ46/AB46</f>
        <v>#NUM!</v>
      </c>
      <c r="BA47" s="55" t="e">
        <f>BA46/AC46</f>
        <v>#NUM!</v>
      </c>
      <c r="BB47" s="55" t="e">
        <f>BB46/AD46</f>
        <v>#NUM!</v>
      </c>
      <c r="BC47" s="55" t="e">
        <f>BC46/AE46</f>
        <v>#NUM!</v>
      </c>
    </row>
  </sheetData>
  <mergeCells count="42">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 ref="AZ2:BA2"/>
    <mergeCell ref="AH2:AK2"/>
    <mergeCell ref="AL2:AL3"/>
    <mergeCell ref="AM2:AM3"/>
    <mergeCell ref="AN2:AN3"/>
    <mergeCell ref="AO2:AO3"/>
    <mergeCell ref="W2:X2"/>
    <mergeCell ref="Y2:AA2"/>
    <mergeCell ref="AB2:AC2"/>
    <mergeCell ref="AD2:AE2"/>
    <mergeCell ref="AG2:AG3"/>
    <mergeCell ref="O2:O3"/>
    <mergeCell ref="P2:P3"/>
    <mergeCell ref="Q2:Q3"/>
    <mergeCell ref="R2:R3"/>
    <mergeCell ref="S2:V2"/>
    <mergeCell ref="F2:F3"/>
    <mergeCell ref="G2:G3"/>
    <mergeCell ref="I2:I3"/>
    <mergeCell ref="J2:M2"/>
    <mergeCell ref="N2:N3"/>
    <mergeCell ref="A2:A3"/>
    <mergeCell ref="B2:B3"/>
    <mergeCell ref="C2:C3"/>
    <mergeCell ref="D2:D3"/>
    <mergeCell ref="E2:E3"/>
  </mergeCells>
  <conditionalFormatting sqref="BE5 BE6 BE7 BE8 BE9 BE10 BE11 BE12 BE13 BE14 BE15 BE16 BE17 BE18 BE19 BE20 BE21 BE22 BE23 BE24 BE25 BE26 BE27 BE28 BE29 BE30 BE31 BE32 BE33 BE34 BE35 BE36 BE37 BE38 BE39 BE40 BE41 BE42 BE43">
    <cfRule type="cellIs" dxfId="21" priority="17" operator="greaterThanOrEqual">
      <formula>1.03</formula>
    </cfRule>
    <cfRule type="cellIs" dxfId="20" priority="18"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19" priority="1" operator="greaterThanOrEqual">
      <formula>0.03</formula>
    </cfRule>
    <cfRule type="cellIs" dxfId="18" priority="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17" priority="3" operator="greaterThanOrEqual">
      <formula>0.03</formula>
    </cfRule>
    <cfRule type="cellIs" dxfId="16" priority="4"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15" priority="19" operator="greaterThanOrEqual">
      <formula>0.03</formula>
    </cfRule>
    <cfRule type="cellIs" dxfId="14" priority="20"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13" priority="9" operator="greaterThanOrEqual">
      <formula>0.03</formula>
    </cfRule>
    <cfRule type="cellIs" dxfId="12"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11" priority="7" operator="greaterThanOrEqual">
      <formula>0.03</formula>
    </cfRule>
    <cfRule type="cellIs" dxfId="10" priority="8"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9" priority="21" operator="greaterThanOrEqual">
      <formula>0.03</formula>
    </cfRule>
    <cfRule type="cellIs" dxfId="8" priority="22"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7" priority="11" operator="greaterThanOrEqual">
      <formula>0.03</formula>
    </cfRule>
    <cfRule type="cellIs" dxfId="6" priority="12"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5" priority="15" operator="greaterThanOrEqual">
      <formula>0.03</formula>
    </cfRule>
    <cfRule type="cellIs" dxfId="4" priority="16"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3" priority="13" operator="greaterThanOrEqual">
      <formula>0.03</formula>
    </cfRule>
    <cfRule type="cellIs" dxfId="2" priority="14"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1" priority="5" operator="greaterThanOrEqual">
      <formula>0.03</formula>
    </cfRule>
    <cfRule type="cellIs" dxfId="0" priority="6" operator="lessThanOrEqual">
      <formula>-0.03</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Summary</vt:lpstr>
      <vt:lpstr>Graphs</vt:lpstr>
      <vt:lpstr>C2 lossyG,lossyA,intra</vt:lpstr>
      <vt:lpstr>names</vt:lpstr>
      <vt:lpstr>CW losslG,losslA,intra</vt:lpstr>
      <vt:lpstr>CW losslG,losslA,interLD</vt:lpstr>
      <vt:lpstr>C2 lossyG,lossyA,interRA</vt:lpstr>
      <vt:lpstr>Graphs!all_cols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MPEG point cloud compression common test condition reporting template N18175</dc:title>
  <cp:lastModifiedBy>Julien Ricard</cp:lastModifiedBy>
  <dcterms:created xsi:type="dcterms:W3CDTF">2019-04-23T13:57:55Z</dcterms:created>
  <dcterms:modified xsi:type="dcterms:W3CDTF">2021-07-09T15:48:48Z</dcterms:modified>
</cp:coreProperties>
</file>