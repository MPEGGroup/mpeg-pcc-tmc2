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T:\users\indranil\pcc\MPEG125_lmpp_integration\tmc2v5.0_lmpp_integration_release_32_frames\"/>
    </mc:Choice>
  </mc:AlternateContent>
  <bookViews>
    <workbookView xWindow="240" yWindow="12" windowWidth="16092" windowHeight="966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M20" i="7"/>
  <c r="BM15" i="7"/>
  <c r="BR20" i="7"/>
  <c r="BQ20" i="7"/>
  <c r="BS15" i="7"/>
  <c r="BQ10" i="7"/>
  <c r="BR10" i="7"/>
  <c r="BL5" i="7"/>
  <c r="BS10" i="7"/>
  <c r="BR5" i="7"/>
  <c r="BJ15" i="3"/>
  <c r="BM15" i="3"/>
  <c r="BO10" i="3"/>
  <c r="BL10" i="3"/>
  <c r="BM10" i="3"/>
  <c r="BR10" i="3"/>
  <c r="BQ5" i="3"/>
  <c r="BS15" i="3"/>
  <c r="BM20" i="3"/>
  <c r="BR20" i="3"/>
  <c r="BK5" i="3"/>
  <c r="BM5" i="7"/>
  <c r="BR25" i="7"/>
  <c r="BO10" i="7"/>
  <c r="BR25" i="3"/>
  <c r="BK15" i="3"/>
  <c r="BP5" i="7"/>
  <c r="BK10" i="7"/>
  <c r="BM10" i="7"/>
  <c r="BL15" i="7"/>
  <c r="BL25" i="7"/>
  <c r="BS20" i="7"/>
  <c r="BQ5" i="7"/>
  <c r="BL10" i="7"/>
  <c r="BP10" i="7"/>
  <c r="BO5" i="7"/>
  <c r="BL15" i="3"/>
  <c r="BM5" i="3"/>
  <c r="BS25" i="3"/>
  <c r="BO15" i="3"/>
  <c r="BL5" i="3"/>
  <c r="BM25" i="3"/>
  <c r="BS20" i="3"/>
  <c r="BQ20" i="3"/>
  <c r="BQ10" i="3"/>
  <c r="BS10" i="3"/>
  <c r="BO20" i="7"/>
  <c r="BQ25" i="7"/>
  <c r="BP20" i="3"/>
  <c r="BL25" i="3"/>
  <c r="BP5" i="3"/>
  <c r="BL20" i="3"/>
  <c r="BP15" i="3"/>
  <c r="BJ25" i="7"/>
  <c r="BM25" i="7"/>
  <c r="BK25" i="7"/>
  <c r="BO15" i="7"/>
  <c r="BP25" i="3"/>
  <c r="BO5" i="3"/>
  <c r="BO20" i="3"/>
  <c r="BQ15" i="3"/>
  <c r="BR15" i="7"/>
  <c r="BQ15" i="7"/>
  <c r="BK15" i="7"/>
  <c r="BP15" i="7"/>
  <c r="BS5" i="7"/>
  <c r="BL20" i="7"/>
  <c r="BK5" i="7"/>
  <c r="BP20" i="7"/>
  <c r="BQ25" i="3"/>
  <c r="BP10" i="3"/>
  <c r="BK10" i="3"/>
  <c r="BR15" i="3"/>
  <c r="BK20" i="3"/>
  <c r="BS25" i="7"/>
  <c r="BK20" i="7"/>
  <c r="BP25" i="7"/>
  <c r="BO25" i="7"/>
  <c r="BR5" i="3"/>
  <c r="BO25" i="3"/>
  <c r="BS5" i="3"/>
  <c r="BK25" i="3"/>
  <c r="BB8" i="6" l="1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5" i="7"/>
  <c r="BJ10" i="7"/>
  <c r="BI10" i="3"/>
  <c r="BJ25" i="3"/>
  <c r="BJ5" i="3"/>
  <c r="BJ5" i="7"/>
  <c r="BJ15" i="7"/>
  <c r="BJ20" i="3"/>
  <c r="BI15" i="3"/>
  <c r="BJ20" i="7"/>
  <c r="BI10" i="7"/>
  <c r="BI25" i="7"/>
  <c r="BI20" i="3"/>
  <c r="BI15" i="7"/>
  <c r="BI20" i="7"/>
  <c r="BJ10" i="3"/>
  <c r="BI25" i="3"/>
  <c r="BI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<sst xmlns="http://schemas.openxmlformats.org/spreadsheetml/2006/main" count="1360" uniqueCount="553">
  <si>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</si>
  <si>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</si>
  <si>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</si>
  <si>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</si>
  <si>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</si>
  <si>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</si>
  <si>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</si>
  <si>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</si>
  <si>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</si>
  <si>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</si>
  <si>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</si>
  <si>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</si>
  <si>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</si>
  <si>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</si>
  <si>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</si>
  <si>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</si>
  <si>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</si>
  <si>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</si>
  <si>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</si>
  <si>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</si>
  <si>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</si>
  <si>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</si>
  <si>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</si>
  <si>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</si>
  <si>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</si>
  <si>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</si>
  <si>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</si>
  <si>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</si>
  <si>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</si>
  <si>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</si>
  <si>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</si>
  <si>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</si>
  <si>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</si>
  <si>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</si>
  <si>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</si>
  <si>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</si>
  <si>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</si>
  <si>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</si>
  <si>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</si>
  <si>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</si>
  <si>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</si>
  <si>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</si>
  <si>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</si>
  <si>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</si>
  <si>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</si>
  <si>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</si>
  <si>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</si>
  <si>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</si>
  <si>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</si>
  <si>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</si>
  <si>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</si>
  <si>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</si>
  <si>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</si>
  <si>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</si>
  <si>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</si>
  <si>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</si>
  <si>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</si>
  <si>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</si>
  <si>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</si>
  <si>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</si>
  <si>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</si>
  <si>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</si>
  <si>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</si>
  <si>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</si>
  <si>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</si>
  <si>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</si>
  <si>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</si>
  <si>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</si>
  <si>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</si>
  <si>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</si>
  <si>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</si>
  <si>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</si>
  <si>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</si>
  <si>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</si>
  <si>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</si>
  <si>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</si>
  <si>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</si>
  <si>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</si>
  <si>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</si>
  <si>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</si>
  <si>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</si>
  <si>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</si>
  <si>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</si>
  <si>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</si>
  <si>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</si>
  <si>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</si>
  <si>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</si>
  <si>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</si>
  <si>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</si>
  <si>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</si>
  <si>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</si>
  <si>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</si>
  <si>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</si>
  <si>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</si>
  <si>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</si>
  <si>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</si>
  <si>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</si>
  <si>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</si>
  <si>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</si>
  <si>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</si>
  <si>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</si>
  <si>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</si>
  <si>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</si>
  <si>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</si>
  <si>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</si>
  <si>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</si>
  <si>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</si>
  <si>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</si>
  <si>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</si>
  <si>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</si>
  <si>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</si>
  <si>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</si>
  <si>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</si>
  <si>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</si>
  <si>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</si>
  <si>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</si>
  <si>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</si>
  <si>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</si>
  <si>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</si>
  <si>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</si>
  <si>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</si>
  <si>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</si>
  <si>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</si>
  <si>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</si>
  <si>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</si>
  <si>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</si>
  <si>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</si>
  <si>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</si>
  <si>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</si>
  <si>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</si>
  <si>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</si>
  <si>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</si>
  <si>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</si>
  <si>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</si>
  <si>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</si>
  <si>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</si>
  <si>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</si>
  <si>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</si>
  <si>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</si>
  <si>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</si>
  <si>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</si>
  <si>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</si>
  <si>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</si>
  <si>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</si>
  <si>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</si>
  <si>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</si>
  <si>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</si>
  <si>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</si>
  <si>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</si>
  <si>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</si>
  <si>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</si>
  <si>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</si>
  <si>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</si>
  <si>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</si>
  <si>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</si>
  <si>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</si>
  <si>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</si>
  <si>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</si>
  <si>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</si>
  <si>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</si>
  <si>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</si>
  <si>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</si>
  <si>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</si>
  <si>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</si>
  <si>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</si>
  <si>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</si>
  <si>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</si>
  <si>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</si>
  <si>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</si>
  <si>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</si>
  <si>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</si>
  <si>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</si>
  <si>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</si>
  <si>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</si>
  <si>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</si>
  <si>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</si>
  <si>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</si>
  <si>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</si>
  <si>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</si>
  <si>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</si>
  <si>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</si>
  <si>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</si>
  <si>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</si>
  <si>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</si>
  <si>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</si>
  <si>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</si>
  <si>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</si>
  <si>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</si>
  <si>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</si>
  <si>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</si>
  <si>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</si>
  <si>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</si>
  <si>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</si>
  <si>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</si>
  <si>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</si>
  <si>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</si>
  <si>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</si>
  <si>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</si>
  <si>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</si>
  <si>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</si>
  <si>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</si>
  <si>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</si>
  <si>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</si>
  <si>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</si>
  <si>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</si>
  <si>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</si>
  <si>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</si>
  <si>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</si>
  <si>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</si>
  <si>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</si>
  <si>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</si>
  <si>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</si>
  <si>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</si>
  <si>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</si>
  <si>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</si>
  <si>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</si>
  <si>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</si>
  <si>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</si>
  <si>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</si>
  <si>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</si>
  <si>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</si>
  <si>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</si>
  <si>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</si>
  <si>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</si>
  <si>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</si>
  <si>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</si>
  <si>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</si>
  <si>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</si>
  <si>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</si>
  <si>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</si>
  <si>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</si>
  <si>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</si>
  <si>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</si>
  <si>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</si>
  <si>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</si>
  <si>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</si>
  <si>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</si>
  <si>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</si>
  <si>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</si>
  <si>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</si>
  <si>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</si>
  <si>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</si>
  <si>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</si>
  <si>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</si>
  <si>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</si>
  <si>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</si>
  <si>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</si>
  <si>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</si>
  <si>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</si>
  <si>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</si>
  <si>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</si>
  <si>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</si>
  <si>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</si>
  <si>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</si>
  <si>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</si>
  <si>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</si>
  <si>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</si>
  <si>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</si>
  <si>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</si>
  <si>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</si>
  <si>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</si>
  <si>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</si>
  <si>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</si>
  <si>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</si>
  <si>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</si>
  <si>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</si>
  <si>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</si>
  <si>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</si>
  <si>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</si>
  <si>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</si>
  <si>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</si>
  <si>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</si>
  <si>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</si>
  <si>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</si>
  <si>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</si>
  <si>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</si>
  <si>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</si>
  <si>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</si>
  <si>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</si>
  <si>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</si>
  <si>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</si>
  <si>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</si>
  <si>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</si>
  <si>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</si>
  <si>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</si>
  <si>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</si>
  <si>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</si>
  <si>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</si>
  <si>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</si>
  <si>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</si>
  <si>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</si>
  <si>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</si>
  <si>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</si>
  <si>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</si>
  <si>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</si>
  <si>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</si>
  <si>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</si>
  <si>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</si>
  <si>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</si>
  <si>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</si>
  <si>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</si>
  <si>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</si>
  <si>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</si>
  <si>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</si>
  <si>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</si>
  <si>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</si>
  <si>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</si>
  <si>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</si>
  <si>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</si>
  <si>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</si>
  <si>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</si>
  <si>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</si>
  <si>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</si>
  <si>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</si>
  <si>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</si>
  <si>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</si>
  <si>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</si>
  <si>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</si>
  <si>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</si>
  <si>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</si>
  <si>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</si>
  <si>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</si>
  <si>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</si>
  <si>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</si>
  <si>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</si>
  <si>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</si>
  <si>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</si>
  <si>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</si>
  <si>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</si>
  <si>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</si>
  <si>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</si>
  <si>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</si>
  <si>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</si>
  <si>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</si>
  <si>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</si>
  <si>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</si>
  <si>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</si>
  <si>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</si>
  <si>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</si>
  <si>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</si>
  <si>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</si>
  <si>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</si>
  <si>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</si>
  <si>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</si>
  <si>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</si>
  <si>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</si>
  <si>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</si>
  <si>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</si>
  <si>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</si>
  <si>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</si>
  <si>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</si>
  <si>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</si>
  <si>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</si>
  <si>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</si>
  <si>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</si>
  <si>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</si>
  <si>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</si>
  <si>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</si>
  <si>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</si>
  <si>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</si>
  <si>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</si>
  <si>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</si>
  <si>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</si>
  <si>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</si>
  <si>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</si>
  <si>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</si>
  <si>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</si>
  <si>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</si>
  <si>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</si>
  <si>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</si>
  <si>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</si>
  <si>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</si>
  <si>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</si>
  <si>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</si>
  <si>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</si>
  <si>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</si>
  <si>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</si>
  <si>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</si>
  <si>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</si>
  <si>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</si>
  <si>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</si>
  <si>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</si>
  <si>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</si>
  <si>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</si>
  <si>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</si>
  <si>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</si>
  <si>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</si>
  <si>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</si>
  <si>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</si>
  <si>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</si>
  <si>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</si>
  <si>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</si>
  <si>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</si>
  <si>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</si>
  <si>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</si>
  <si>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</si>
  <si>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</si>
  <si>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</si>
  <si>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</si>
  <si>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</si>
  <si>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</si>
  <si>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</si>
  <si>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</si>
  <si>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</si>
  <si>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</si>
  <si>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</si>
  <si>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</si>
  <si>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</si>
  <si>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</si>
  <si>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</si>
  <si>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</si>
  <si>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</si>
  <si>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</si>
  <si>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</si>
  <si>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</si>
  <si>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</si>
  <si>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</si>
  <si>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</si>
  <si>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</si>
  <si>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</si>
  <si>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</si>
  <si>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</si>
  <si>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</si>
  <si>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</si>
  <si>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</si>
  <si>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</si>
  <si>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</si>
  <si>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</si>
  <si>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</si>
  <si>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</si>
  <si>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</si>
  <si>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</si>
  <si>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</si>
  <si>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</si>
  <si>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</si>
  <si>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</si>
  <si>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</si>
  <si>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</si>
  <si>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</si>
  <si>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</si>
  <si>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</si>
  <si>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</si>
  <si>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</si>
  <si>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</si>
  <si>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</si>
  <si>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</si>
  <si>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</si>
  <si>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</si>
  <si>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</si>
  <si>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</si>
  <si>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</si>
  <si>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</si>
  <si>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</si>
  <si>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</si>
  <si>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</si>
  <si>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</si>
  <si>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</si>
  <si>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</si>
  <si>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</si>
  <si>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</si>
  <si>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</si>
  <si>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</si>
  <si>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</si>
  <si>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</si>
  <si>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</si>
  <si>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</si>
  <si>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</si>
  <si>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</si>
  <si>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</si>
  <si>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</si>
  <si>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</si>
  <si>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</si>
  <si>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</si>
  <si>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</si>
  <si>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</si>
  <si>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</si>
  <si>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</si>
  <si>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</si>
  <si>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</si>
  <si>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</si>
  <si>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</si>
  <si>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</si>
  <si>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</si>
  <si>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</si>
  <si>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</si>
  <si>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</si>
  <si>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</si>
  <si>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</si>
  <si>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</si>
  <si>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</si>
  <si>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</si>
  <si>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</si>
  <si>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</si>
  <si>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</si>
  <si>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</si>
  <si>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</si>
  <si>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</si>
  <si>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</si>
  <si>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</si>
  <si>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</si>
  <si>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</si>
  <si>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</si>
  <si>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</si>
  <si>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</si>
  <si>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</si>
  <si>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</si>
  <si>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</si>
  <si>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</si>
  <si>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</si>
  <si>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</si>
  <si>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</si>
  <si>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</si>
  <si>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</si>
  <si>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</si>
  <si>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</si>
  <si>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</si>
  <si>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</si>
  <si>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</si>
  <si>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</si>
  <si>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</si>
  <si>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</si>
  <si>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</si>
  <si>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</si>
  <si>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</si>
  <si>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</si>
  <si>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</si>
  <si>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</si>
  <si>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</si>
  <si>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</si>
  <si>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</si>
  <si>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</si>
  <si>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</si>
  <si>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</si>
  <si>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</si>
  <si>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</si>
  <si>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</si>
  <si>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</si>
  <si>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</si>
  <si>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</si>
  <si>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</si>
  <si>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</si>
  <si>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</si>
  <si>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</si>
  <si>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</si>
  <si>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</si>
  <si>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</si>
  <si>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</si>
  <si>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</si>
  <si>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</si>
  <si>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</si>
  <si>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reference (TMC2v5.0-RC4.0)</t>
  </si>
  <si>
    <t>inf</t>
  </si>
  <si>
    <t>tested (TMC2v5.0-RC5.0, lossy-missed-points-patch)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</si>
</sst>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66.410678125000004</c:v>
                </c:pt>
                <c:pt idx="1">
                  <c:v>68.300690625000001</c:v>
                </c:pt>
                <c:pt idx="2">
                  <c:v>69.680531250000001</c:v>
                </c:pt>
                <c:pt idx="3">
                  <c:v>70.736090625000003</c:v>
                </c:pt>
                <c:pt idx="4">
                  <c:v>71.632184374999994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68.546343750000005</c:v>
                </c:pt>
                <c:pt idx="1">
                  <c:v>70.516206249999996</c:v>
                </c:pt>
                <c:pt idx="2">
                  <c:v>72.253249999999994</c:v>
                </c:pt>
                <c:pt idx="3">
                  <c:v>73.544759374999998</c:v>
                </c:pt>
                <c:pt idx="4">
                  <c:v>74.733031249999996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32.13510625</c:v>
                </c:pt>
                <c:pt idx="1">
                  <c:v>34.427690624999997</c:v>
                </c:pt>
                <c:pt idx="2">
                  <c:v>36.981556249999997</c:v>
                </c:pt>
                <c:pt idx="3">
                  <c:v>39.622215625000003</c:v>
                </c:pt>
                <c:pt idx="4">
                  <c:v>42.050737499999997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44.129806250000001</c:v>
                </c:pt>
                <c:pt idx="1">
                  <c:v>45.371740625000001</c:v>
                </c:pt>
                <c:pt idx="2">
                  <c:v>46.465359374999998</c:v>
                </c:pt>
                <c:pt idx="3">
                  <c:v>47.780403124999999</c:v>
                </c:pt>
                <c:pt idx="4">
                  <c:v>49.403159375000001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43.733046874999999</c:v>
                </c:pt>
                <c:pt idx="1">
                  <c:v>45.078971875000001</c:v>
                </c:pt>
                <c:pt idx="2">
                  <c:v>46.320393750000001</c:v>
                </c:pt>
                <c:pt idx="3">
                  <c:v>47.788815624999998</c:v>
                </c:pt>
                <c:pt idx="4">
                  <c:v>49.526462500000001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(TMC2v5.0-RC4.0)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9.5683358915823177E-2</c:v>
                </c:pt>
                <c:pt idx="1">
                  <c:v>0.14839117924242423</c:v>
                </c:pt>
                <c:pt idx="2">
                  <c:v>0.24352174968287768</c:v>
                </c:pt>
                <c:pt idx="3">
                  <c:v>0.4259595716946824</c:v>
                </c:pt>
                <c:pt idx="4">
                  <c:v>0.77371543675036325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 (TMC2v5.0-RC5.0, lossy-missed-points-patch)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9.984898059195714E-2</c:v>
                </c:pt>
                <c:pt idx="1">
                  <c:v>0.1526907519809956</c:v>
                </c:pt>
                <c:pt idx="2">
                  <c:v>0.24796360536815293</c:v>
                </c:pt>
                <c:pt idx="3">
                  <c:v>0.43041777069140341</c:v>
                </c:pt>
                <c:pt idx="4">
                  <c:v>0.77881711357812333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2</v>
      </c>
      <c r="D1" s="64"/>
      <c r="E1" s="64"/>
    </row>
    <row r="2" spans="2:12" x14ac:dyDescent="0.3">
      <c r="B2" t="s">
        <v>1</v>
      </c>
      <c r="C2" s="65" t="s">
        <v>3</v>
      </c>
      <c r="D2" s="65"/>
      <c r="E2" s="65"/>
    </row>
    <row r="4" spans="2:12" s="1" customFormat="1" x14ac:dyDescent="0.3">
      <c r="B4" s="1" t="s">
        <v>296</v>
      </c>
    </row>
    <row r="6" spans="2:12" x14ac:dyDescent="0.3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x14ac:dyDescent="0.3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0.20222346873659813</v>
      </c>
      <c r="D9" s="5">
        <f>'C2 lossyG,lossyA,intra'!$BJ$30:$BJ$30</f>
        <v>0.20433459616922622</v>
      </c>
      <c r="E9" s="5">
        <f>'C2 lossyG,lossyA,intra'!$BK$30:$BK$30</f>
        <v>7.5409508220921906E-3</v>
      </c>
      <c r="F9" s="5">
        <f>'C2 lossyG,lossyA,intra'!$BL$30:$BL$30</f>
        <v>3.4261567802129578E-2</v>
      </c>
      <c r="G9" s="5">
        <f>'C2 lossyG,lossyA,intra'!$BM$30:$BM$30</f>
        <v>3.3453800203892714E-2</v>
      </c>
      <c r="H9" s="5">
        <f>'C2 lossyG,lossyA,intra'!$BO$30:$BO$30</f>
        <v>8.1500668803674348E-2</v>
      </c>
      <c r="I9" s="5">
        <f>'C2 lossyG,lossyA,intra'!$BP$30:$BP$30</f>
        <v>8.7614926577479046E-2</v>
      </c>
      <c r="J9" s="5">
        <f>'C2 lossyG,lossyA,intra'!$BQ$30:$BQ$30</f>
        <v>7.3956013361507755E-2</v>
      </c>
      <c r="K9" s="5">
        <f>'C2 lossyG,lossyA,intra'!$BR$30:$BR$30</f>
        <v>8.8335686951046488E-2</v>
      </c>
      <c r="L9" s="5">
        <f>'C2 lossyG,lossyA,intra'!$BS$30:$BS$30</f>
        <v>9.2326562959687608E-2</v>
      </c>
    </row>
    <row r="10" spans="2:12" x14ac:dyDescent="0.3">
      <c r="B10" s="4" t="s">
        <v>289</v>
      </c>
      <c r="C10" s="5">
        <f>'C2 lossyG,lossyA,intra'!$BI$31:$BI$31</f>
        <v>0.36150644169968116</v>
      </c>
      <c r="D10" s="5">
        <f>'C2 lossyG,lossyA,intra'!$BJ$31:$BJ$31</f>
        <v>0.361813104290581</v>
      </c>
      <c r="E10" s="5">
        <f>'C2 lossyG,lossyA,intra'!$BK$31:$BK$31</f>
        <v>1.1813313320708785E-2</v>
      </c>
      <c r="F10" s="5">
        <f>'C2 lossyG,lossyA,intra'!$BL$31:$BL$31</f>
        <v>4.104045621172081E-2</v>
      </c>
      <c r="G10" s="5">
        <f>'C2 lossyG,lossyA,intra'!$BM$31:$BM$31</f>
        <v>4.1746712004903541E-2</v>
      </c>
      <c r="H10" s="5">
        <f>'C2 lossyG,lossyA,intra'!$BO$31:$BO$31</f>
        <v>8.1230064458954754E-2</v>
      </c>
      <c r="I10" s="5">
        <f>'C2 lossyG,lossyA,intra'!$BP$31:$BP$31</f>
        <v>8.930592907493784E-2</v>
      </c>
      <c r="J10" s="5">
        <f>'C2 lossyG,lossyA,intra'!$BQ$31:$BQ$31</f>
        <v>8.3813836585554746E-2</v>
      </c>
      <c r="K10" s="5">
        <f>'C2 lossyG,lossyA,intra'!$BR$31:$BR$31</f>
        <v>9.5789740052717232E-2</v>
      </c>
      <c r="L10" s="5">
        <f>'C2 lossyG,lossyA,intra'!$BS$31:$BS$31</f>
        <v>0.10050224055931811</v>
      </c>
    </row>
    <row r="11" spans="2:12" x14ac:dyDescent="0.3">
      <c r="B11" s="6" t="s">
        <v>290</v>
      </c>
      <c r="C11" s="7">
        <f>'C2 lossyG,lossyA,intra'!$BI$32:$BI$32</f>
        <v>0.23408006332921474</v>
      </c>
      <c r="D11" s="7">
        <f>'C2 lossyG,lossyA,intra'!$BJ$32:$BJ$32</f>
        <v>0.23583029779349718</v>
      </c>
      <c r="E11" s="7">
        <f>'C2 lossyG,lossyA,intra'!$BK$32:$BK$32</f>
        <v>8.3954233218155091E-3</v>
      </c>
      <c r="F11" s="7">
        <f>'C2 lossyG,lossyA,intra'!$BL$32:$BL$32</f>
        <v>3.5617345484047824E-2</v>
      </c>
      <c r="G11" s="7">
        <f>'C2 lossyG,lossyA,intra'!$BM$32:$BM$32</f>
        <v>3.5112382564094879E-2</v>
      </c>
      <c r="H11" s="7">
        <f>'C2 lossyG,lossyA,intra'!$BO$32:$BO$32</f>
        <v>8.1446547934730426E-2</v>
      </c>
      <c r="I11" s="7">
        <f>'C2 lossyG,lossyA,intra'!$BP$32:$BP$32</f>
        <v>8.7953127076970811E-2</v>
      </c>
      <c r="J11" s="7">
        <f>'C2 lossyG,lossyA,intra'!$BQ$32:$BQ$32</f>
        <v>7.5927578006317151E-2</v>
      </c>
      <c r="K11" s="7">
        <f>'C2 lossyG,lossyA,intra'!$BR$32:$BR$32</f>
        <v>8.9826497571380642E-2</v>
      </c>
      <c r="L11" s="7">
        <f>'C2 lossyG,lossyA,intra'!$BS$32:$BS$32</f>
        <v>9.3961698479613706E-2</v>
      </c>
    </row>
    <row r="12" spans="2:12" x14ac:dyDescent="0.3">
      <c r="B12" t="s">
        <v>299</v>
      </c>
      <c r="C12" s="58">
        <f>'C2 lossyG,lossyA,intra'!AZ36</f>
        <v>0.90544057623621688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300</v>
      </c>
      <c r="C13" s="59">
        <f>'C2 lossyG,lossyA,intra'!BB36</f>
        <v>1.0256715042432141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381</v>
      </c>
      <c r="C15" s="61" t="s">
        <v>382</v>
      </c>
      <c r="D15" s="61"/>
      <c r="E15" s="61"/>
    </row>
    <row r="16" spans="2:12" x14ac:dyDescent="0.3">
      <c r="B16" s="60"/>
      <c r="C16" s="62" t="s">
        <v>357</v>
      </c>
      <c r="D16" s="62"/>
      <c r="E16" s="62"/>
    </row>
    <row r="17" spans="2:5" x14ac:dyDescent="0.3">
      <c r="B17" s="6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289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290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299</v>
      </c>
      <c r="C21" s="58" t="e">
        <f>'CW losslG,losslA,intra'!AW16</f>
        <v>#NUM!</v>
      </c>
      <c r="D21" s="58"/>
      <c r="E21" s="58"/>
    </row>
    <row r="22" spans="2:5" x14ac:dyDescent="0.3">
      <c r="B22" s="9" t="s">
        <v>300</v>
      </c>
      <c r="C22" s="59" t="e">
        <f>'CW losslG,losslA,intra'!AY16</f>
        <v>#NUM!</v>
      </c>
      <c r="D22" s="59"/>
      <c r="E22" s="59"/>
    </row>
    <row r="24" spans="2:5" s="1" customFormat="1" x14ac:dyDescent="0.3">
      <c r="B24" s="1" t="s">
        <v>456</v>
      </c>
    </row>
    <row r="26" spans="2:5" x14ac:dyDescent="0.3">
      <c r="B26" s="60" t="s">
        <v>457</v>
      </c>
      <c r="C26" s="61" t="s">
        <v>458</v>
      </c>
      <c r="D26" s="61"/>
      <c r="E26" s="61"/>
    </row>
    <row r="27" spans="2:5" x14ac:dyDescent="0.3">
      <c r="B27" s="60"/>
      <c r="C27" s="62" t="s">
        <v>357</v>
      </c>
      <c r="D27" s="62"/>
      <c r="E27" s="62"/>
    </row>
    <row r="28" spans="2:5" x14ac:dyDescent="0.3">
      <c r="B28" s="6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289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290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299</v>
      </c>
      <c r="C32" s="58" t="e">
        <f>'CW losslG,losslA,interLD'!AW16</f>
        <v>#NUM!</v>
      </c>
      <c r="D32" s="58"/>
      <c r="E32" s="58"/>
    </row>
    <row r="33" spans="2:12" x14ac:dyDescent="0.3">
      <c r="B33" s="9" t="s">
        <v>300</v>
      </c>
      <c r="C33" s="59" t="e">
        <f>'CW losslG,losslA,interLD'!AY16</f>
        <v>#NUM!</v>
      </c>
      <c r="D33" s="59"/>
      <c r="E33" s="59"/>
    </row>
    <row r="35" spans="2:12" s="1" customFormat="1" x14ac:dyDescent="0.3">
      <c r="B35" s="1" t="s">
        <v>543</v>
      </c>
    </row>
    <row r="37" spans="2:12" x14ac:dyDescent="0.3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x14ac:dyDescent="0.3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0.22028613082891729</v>
      </c>
      <c r="D40" s="5">
        <f>'C2 lossyG,lossyA,interRA'!$BJ$30:$BJ$30</f>
        <v>0.22311237468409945</v>
      </c>
      <c r="E40" s="5">
        <f>'C2 lossyG,lossyA,interRA'!$BK$30:$BK$30</f>
        <v>2.8854625277029144E-2</v>
      </c>
      <c r="F40" s="5">
        <f>'C2 lossyG,lossyA,interRA'!$BL$30:$BL$30</f>
        <v>4.1655381655990309E-2</v>
      </c>
      <c r="G40" s="5">
        <f>'C2 lossyG,lossyA,interRA'!$BM$30:$BM$30</f>
        <v>3.596995394492164E-2</v>
      </c>
      <c r="H40" s="5">
        <f>'C2 lossyG,lossyA,interRA'!$BO$30:$BO$30</f>
        <v>0.1449548358601323</v>
      </c>
      <c r="I40" s="5">
        <f>'C2 lossyG,lossyA,interRA'!$BP$30:$BP$30</f>
        <v>0.14993364587147723</v>
      </c>
      <c r="J40" s="5">
        <f>'C2 lossyG,lossyA,interRA'!$BQ$30:$BQ$30</f>
        <v>0.12622327935962968</v>
      </c>
      <c r="K40" s="5">
        <f>'C2 lossyG,lossyA,interRA'!$BR$30:$BR$30</f>
        <v>0.1344310284577796</v>
      </c>
      <c r="L40" s="5">
        <f>'C2 lossyG,lossyA,interRA'!$BS$30:$BS$30</f>
        <v>0.13564743999131013</v>
      </c>
    </row>
    <row r="41" spans="2:12" x14ac:dyDescent="0.3">
      <c r="B41" s="4" t="s">
        <v>289</v>
      </c>
      <c r="C41" s="5">
        <f>'C2 lossyG,lossyA,interRA'!$BI$31:$BI$31</f>
        <v>0.32198489460113766</v>
      </c>
      <c r="D41" s="5">
        <f>'C2 lossyG,lossyA,interRA'!$BJ$31:$BJ$31</f>
        <v>0.32534517488112846</v>
      </c>
      <c r="E41" s="5">
        <f>'C2 lossyG,lossyA,interRA'!$BK$31:$BK$31</f>
        <v>2.0151216465204458E-2</v>
      </c>
      <c r="F41" s="5">
        <f>'C2 lossyG,lossyA,interRA'!$BL$31:$BL$31</f>
        <v>5.0186292817772316E-2</v>
      </c>
      <c r="G41" s="5">
        <f>'C2 lossyG,lossyA,interRA'!$BM$31:$BM$31</f>
        <v>5.0845656197938904E-2</v>
      </c>
      <c r="H41" s="5">
        <f>'C2 lossyG,lossyA,interRA'!$BO$31:$BO$31</f>
        <v>0.15339010559628496</v>
      </c>
      <c r="I41" s="5">
        <f>'C2 lossyG,lossyA,interRA'!$BP$31:$BP$31</f>
        <v>0.16278188191495269</v>
      </c>
      <c r="J41" s="5">
        <f>'C2 lossyG,lossyA,interRA'!$BQ$31:$BQ$31</f>
        <v>0.12731087252653084</v>
      </c>
      <c r="K41" s="5">
        <f>'C2 lossyG,lossyA,interRA'!$BR$31:$BR$31</f>
        <v>0.14579816020138692</v>
      </c>
      <c r="L41" s="5">
        <f>'C2 lossyG,lossyA,interRA'!$BS$31:$BS$31</f>
        <v>0.15136925251751077</v>
      </c>
    </row>
    <row r="42" spans="2:12" x14ac:dyDescent="0.3">
      <c r="B42" s="6" t="s">
        <v>290</v>
      </c>
      <c r="C42" s="7">
        <f>'C2 lossyG,lossyA,interRA'!$BI$32:$BI$32</f>
        <v>0.24062588358336137</v>
      </c>
      <c r="D42" s="7">
        <f>'C2 lossyG,lossyA,interRA'!$BJ$32:$BJ$32</f>
        <v>0.24355893472350526</v>
      </c>
      <c r="E42" s="7">
        <f>'C2 lossyG,lossyA,interRA'!$BK$32:$BK$32</f>
        <v>2.7113943514664209E-2</v>
      </c>
      <c r="F42" s="7">
        <f>'C2 lossyG,lossyA,interRA'!$BL$32:$BL$32</f>
        <v>4.3361563888346707E-2</v>
      </c>
      <c r="G42" s="7">
        <f>'C2 lossyG,lossyA,interRA'!$BM$32:$BM$32</f>
        <v>3.8945094395525091E-2</v>
      </c>
      <c r="H42" s="7">
        <f>'C2 lossyG,lossyA,interRA'!$BO$32:$BO$32</f>
        <v>0.14664188980736284</v>
      </c>
      <c r="I42" s="7">
        <f>'C2 lossyG,lossyA,interRA'!$BP$32:$BP$32</f>
        <v>0.15250329308017233</v>
      </c>
      <c r="J42" s="7">
        <f>'C2 lossyG,lossyA,interRA'!$BQ$32:$BQ$32</f>
        <v>0.12644079799300992</v>
      </c>
      <c r="K42" s="7">
        <f>'C2 lossyG,lossyA,interRA'!$BR$32:$BR$32</f>
        <v>0.13670445480650106</v>
      </c>
      <c r="L42" s="7">
        <f>'C2 lossyG,lossyA,interRA'!$BS$32:$BS$32</f>
        <v>0.13879180249655027</v>
      </c>
    </row>
    <row r="43" spans="2:12" x14ac:dyDescent="0.3">
      <c r="B43" t="s">
        <v>299</v>
      </c>
      <c r="C43" s="58">
        <f>'C2 lossyG,lossyA,interRA'!AZ36</f>
        <v>0.89577961719159149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300</v>
      </c>
      <c r="C44" s="59">
        <f>'C2 lossyG,lossyA,interRA'!BB36</f>
        <v>1.0049990272094329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Y1" activePane="topRight" state="frozen"/>
      <selection pane="topRight" activeCell="BI38" sqref="BI38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68" t="s">
        <v>261</v>
      </c>
      <c r="B1" s="68"/>
      <c r="C1" s="68"/>
      <c r="D1" s="68"/>
      <c r="E1" s="68"/>
      <c r="F1" s="68"/>
      <c r="G1" s="68"/>
      <c r="I1" s="64" t="s">
        <v>550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x14ac:dyDescent="0.3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2.2393800000000001</v>
      </c>
      <c r="J5" s="18">
        <f t="shared" ref="J5:J29" si="1">IF(ISBLANK(S5),"·",S5/D5)</f>
        <v>9.5683358915823177E-2</v>
      </c>
      <c r="K5" s="18">
        <f t="shared" ref="K5:K29" si="2">IF(N5="","·",N5/D5)</f>
        <v>6.0954783464943055E-2</v>
      </c>
      <c r="L5" s="18">
        <f t="shared" ref="L5:L29" si="3">IF(T5="","·",T5/D5)</f>
        <v>3.2430257221690732E-2</v>
      </c>
      <c r="M5" s="18">
        <f t="shared" ref="M5:M29" si="4">IF(ISBLANK(V5),"·",V5/D5)</f>
        <v>3.4709668482737037E-2</v>
      </c>
      <c r="N5" s="15">
        <f t="shared" ref="N5:N29" si="5">IF(OR(ISBLANK(T5),ISBLANK(U5)),"",T5+U5)</f>
        <v>1521696</v>
      </c>
      <c r="O5" s="18">
        <f t="shared" ref="O5:O29" si="6">IF(ISBLANK(S5),"·",S5/P5)</f>
        <v>0.10937999767289461</v>
      </c>
      <c r="P5" s="19">
        <v>21838289</v>
      </c>
      <c r="Q5" s="19">
        <v>682446.53125</v>
      </c>
      <c r="R5" s="19">
        <v>14074.5625</v>
      </c>
      <c r="S5" s="20">
        <v>2388672</v>
      </c>
      <c r="T5" s="20">
        <v>809600</v>
      </c>
      <c r="U5" s="20">
        <v>712096</v>
      </c>
      <c r="V5" s="20">
        <v>866504</v>
      </c>
      <c r="W5" s="21">
        <v>66.395740625000002</v>
      </c>
      <c r="X5" s="21">
        <v>68.545965624999994</v>
      </c>
      <c r="Y5" s="21">
        <v>32.151171875000003</v>
      </c>
      <c r="Z5" s="21">
        <v>44.135159375000001</v>
      </c>
      <c r="AA5" s="21">
        <v>43.713462499999999</v>
      </c>
      <c r="AB5" s="22">
        <v>4198.9799999999996</v>
      </c>
      <c r="AC5" s="22">
        <v>873.61699999999996</v>
      </c>
      <c r="AD5" s="22">
        <v>4.5259999999999998</v>
      </c>
      <c r="AE5" s="22">
        <v>13.837</v>
      </c>
      <c r="AG5" s="17">
        <f t="shared" ref="AG5:AG29" si="7">IF(OR(ISBLANK(AQ5),ISBLANK(G5)),"·",AQ5*G5/F5/1000000)</f>
        <v>2.3368725000000001</v>
      </c>
      <c r="AH5" s="18">
        <f t="shared" ref="AH5:AH29" si="8">IF(ISBLANK(AQ5),"·",AQ5/D5)</f>
        <v>9.984898059195714E-2</v>
      </c>
      <c r="AI5" s="18">
        <f t="shared" ref="AI5:AI29" si="9">IF(AL5="","·",AL5/D5)</f>
        <v>6.4217357069429548E-2</v>
      </c>
      <c r="AJ5" s="18">
        <f t="shared" ref="AJ5:AJ29" si="10">IF(AR5="","·",AR5/D5)</f>
        <v>3.5692830826177226E-2</v>
      </c>
      <c r="AK5" s="18">
        <f t="shared" ref="AK5:AK29" si="11">IF(ISBLANK(AT5),"·",AT5/D5)</f>
        <v>3.5443194755271128E-2</v>
      </c>
      <c r="AL5" s="15">
        <f t="shared" ref="AL5:AL29" si="12">IF(OR(ISBLANK(AR5),ISBLANK(AS5)),"",AR5+AS5)</f>
        <v>1603144</v>
      </c>
      <c r="AM5" s="18">
        <f t="shared" ref="AM5:AM29" si="13">IF(ISBLANK(AQ5),"·",AQ5/AN5)</f>
        <v>0.11412154965265608</v>
      </c>
      <c r="AN5" s="19">
        <v>21842185</v>
      </c>
      <c r="AO5" s="19">
        <v>682568.28125</v>
      </c>
      <c r="AP5" s="19">
        <v>14131.1875</v>
      </c>
      <c r="AQ5" s="20">
        <v>2492664</v>
      </c>
      <c r="AR5" s="20">
        <v>891048</v>
      </c>
      <c r="AS5" s="20">
        <v>712096</v>
      </c>
      <c r="AT5" s="20">
        <v>884816</v>
      </c>
      <c r="AU5" s="21">
        <v>66.410678125000004</v>
      </c>
      <c r="AV5" s="21">
        <v>68.546343750000005</v>
      </c>
      <c r="AW5" s="21">
        <v>32.13510625</v>
      </c>
      <c r="AX5" s="21">
        <v>44.129806250000001</v>
      </c>
      <c r="AY5" s="21">
        <v>43.733046874999999</v>
      </c>
      <c r="AZ5" s="22">
        <v>3828.2</v>
      </c>
      <c r="BA5" s="22">
        <v>797.75900000000001</v>
      </c>
      <c r="BB5" s="22">
        <v>4.57</v>
      </c>
      <c r="BC5" s="22">
        <v>13.936999999999999</v>
      </c>
      <c r="BE5" s="23">
        <f t="shared" ref="BE5:BE29" si="14">(AP5/AO5) - (R5/Q5)</f>
        <v>7.9280077613125277E-5</v>
      </c>
      <c r="BF5" s="23">
        <f t="shared" ref="BF5:BF29" si="15">(AL5/AQ5) - (N5/S5)</f>
        <v>6.097983046118971E-3</v>
      </c>
      <c r="BG5" s="23">
        <f t="array" ref="BG5">AVERAGE(AL5:AL9/AQ5:AQ9) - AVERAGE(N5:N9/S5:S9)</f>
        <v>5.4731800959634813E-3</v>
      </c>
      <c r="BI5" s="24">
        <f>IF( OR(ISBLANK(N5:N9),ISBLANK(AL5:AL9), ISBLANK(W5:W9),ISBLANK(AU5:AU9)), "·", bdRateExtend( N5:N9,W5:W9, AL5:AL9,AU5:AU9))</f>
        <v>3.7349468716483036E-2</v>
      </c>
      <c r="BJ5" s="24">
        <f>IF( OR(ISBLANK(N5:N9),ISBLANK(AL5:AL9), ISBLANK(X5:X9),ISBLANK(AV5:AV9)), "·", bdRateExtend( N5:N9,X5:X9, AL5:AL9,AV5:AV9))</f>
        <v>3.7768696408623459E-2</v>
      </c>
      <c r="BK5" s="24">
        <f>IF( OR(ISBLANK(V5:V9),ISBLANK(AT5:AT9), ISBLANK(Y5:Y9),ISBLANK(AW5:AW9)), "·", bdRateExtend( V5:V9,Y5:Y9, AT5:AT9,AW5:AW9))</f>
        <v>8.6830410652083412E-3</v>
      </c>
      <c r="BL5" s="24">
        <f>IF( OR(ISBLANK(V5:V9),ISBLANK(AT5:AT9), ISBLANK(Z5:Z9),ISBLANK(AX5:AX9)), "·", bdRateExtend( V5:V9,Z5:Z9, AT5:AT9,AX5:AX9))</f>
        <v>1.7835236376542163E-2</v>
      </c>
      <c r="BM5" s="24">
        <f>IF( OR(ISBLANK(V5:V9),ISBLANK(AT5:AT9), ISBLANK(AA5:AA9),ISBLANK(AY5:AY9)), "·", bdRateExtend( V5:V9,AA5:AA9, AT5:AT9,AY5:AY9))</f>
        <v>1.0513941106434554E-2</v>
      </c>
      <c r="BO5" s="24">
        <f>IF( OR(ISBLANK(S5:S9),ISBLANK(AQ5:AQ9), ISBLANK(W5:W9),ISBLANK(AU5:AU9)), "·", bdRateExtend( S5:S9,W5:W9, AQ5:AQ9,AU5:AU9))</f>
        <v>2.0462496465838642E-2</v>
      </c>
      <c r="BP5" s="24">
        <f>IF( OR(ISBLANK(S5:S9),ISBLANK(AQ5:AQ9), ISBLANK(X5:X9),ISBLANK(AV5:AV9)), "·", bdRateExtend( S5:S9,X5:X9, AQ5:AQ9,AV5:AV9))</f>
        <v>2.235563321002676E-2</v>
      </c>
      <c r="BQ5" s="24">
        <f>IF( OR(ISBLANK(S5:S9),ISBLANK(AQ5:AQ9), ISBLANK(Y5:Y9),ISBLANK(AW5:AW9)), "·", bdRateExtend( S5:S9,Y5:Y9, AQ5:AQ9,AW5:AW9))</f>
        <v>2.0369742026432824E-2</v>
      </c>
      <c r="BR5" s="24">
        <f>IF( OR(ISBLANK(S5:S9),ISBLANK(AQ5:AQ9), ISBLANK(Z5:Z9),ISBLANK(AX5:AX9)), "·", bdRateExtend( S5:S9,Z5:Z9, AQ5:AQ9,AX5:AX9))</f>
        <v>2.6040719838888338E-2</v>
      </c>
      <c r="BS5" s="24">
        <f>IF( OR(ISBLANK(S5:S9),ISBLANK(AQ5:AQ9), ISBLANK(AA5:AA9),ISBLANK(AY5:AY9)), "·", bdRateExtend( S5:S9,AA5:AA9, AQ5:AQ9,AY5:AY9))</f>
        <v>2.1676544809594578E-2</v>
      </c>
      <c r="BU5">
        <f>AQ5-S5</f>
        <v>103992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3.4729575000000001</v>
      </c>
      <c r="J6" s="28">
        <f t="shared" si="1"/>
        <v>0.14839117924242423</v>
      </c>
      <c r="K6" s="28">
        <f t="shared" si="2"/>
        <v>7.3573101729382723E-2</v>
      </c>
      <c r="L6" s="28">
        <f t="shared" si="3"/>
        <v>4.50485754861304E-2</v>
      </c>
      <c r="M6" s="28">
        <f t="shared" si="4"/>
        <v>7.4799170544898416E-2</v>
      </c>
      <c r="N6" s="25">
        <f t="shared" si="5"/>
        <v>1836704</v>
      </c>
      <c r="O6" s="28">
        <f t="shared" si="6"/>
        <v>0.15248280431294964</v>
      </c>
      <c r="P6" s="29">
        <v>24294464</v>
      </c>
      <c r="Q6" s="29">
        <v>759202</v>
      </c>
      <c r="R6" s="29">
        <v>19637.125</v>
      </c>
      <c r="S6" s="30">
        <v>3704488</v>
      </c>
      <c r="T6" s="30">
        <v>1124608</v>
      </c>
      <c r="U6" s="30">
        <v>712096</v>
      </c>
      <c r="V6" s="30">
        <v>1867312</v>
      </c>
      <c r="W6" s="31">
        <v>68.286643749999996</v>
      </c>
      <c r="X6" s="31">
        <v>70.515618750000002</v>
      </c>
      <c r="Y6" s="31">
        <v>34.43336875</v>
      </c>
      <c r="Z6" s="31">
        <v>45.414081250000002</v>
      </c>
      <c r="AA6" s="31">
        <v>45.089015625000002</v>
      </c>
      <c r="AB6" s="32">
        <v>4065.47</v>
      </c>
      <c r="AC6" s="32">
        <v>924.00199999999995</v>
      </c>
      <c r="AD6" s="32">
        <v>4.8319999999999999</v>
      </c>
      <c r="AE6" s="32">
        <v>14.61</v>
      </c>
      <c r="AG6" s="27">
        <f t="shared" si="7"/>
        <v>3.573585</v>
      </c>
      <c r="AH6" s="28">
        <f t="shared" si="8"/>
        <v>0.1526907519809956</v>
      </c>
      <c r="AI6" s="28">
        <f t="shared" si="9"/>
        <v>7.6835675333869216E-2</v>
      </c>
      <c r="AJ6" s="28">
        <f t="shared" si="10"/>
        <v>4.8311149090616894E-2</v>
      </c>
      <c r="AK6" s="28">
        <f t="shared" si="11"/>
        <v>7.566664787986993E-2</v>
      </c>
      <c r="AL6" s="25">
        <f t="shared" si="12"/>
        <v>1918152</v>
      </c>
      <c r="AM6" s="28">
        <f t="shared" si="13"/>
        <v>0.1568757726858932</v>
      </c>
      <c r="AN6" s="29">
        <v>24298360</v>
      </c>
      <c r="AO6" s="29">
        <v>759323.75</v>
      </c>
      <c r="AP6" s="29">
        <v>19700.34375</v>
      </c>
      <c r="AQ6" s="30">
        <v>3811824</v>
      </c>
      <c r="AR6" s="30">
        <v>1206056</v>
      </c>
      <c r="AS6" s="30">
        <v>712096</v>
      </c>
      <c r="AT6" s="30">
        <v>1888968</v>
      </c>
      <c r="AU6" s="31">
        <v>68.300690625000001</v>
      </c>
      <c r="AV6" s="31">
        <v>70.516206249999996</v>
      </c>
      <c r="AW6" s="31">
        <v>34.427690624999997</v>
      </c>
      <c r="AX6" s="31">
        <v>45.371740625000001</v>
      </c>
      <c r="AY6" s="31">
        <v>45.078971875000001</v>
      </c>
      <c r="AZ6" s="32">
        <v>3751.53</v>
      </c>
      <c r="BA6" s="32">
        <v>861.19399999999996</v>
      </c>
      <c r="BB6" s="32">
        <v>5.1260000000000003</v>
      </c>
      <c r="BC6" s="32">
        <v>14.164999999999999</v>
      </c>
      <c r="BE6" s="33">
        <f t="shared" si="14"/>
        <v>7.9109375511039748E-5</v>
      </c>
      <c r="BF6" s="33">
        <f t="shared" si="15"/>
        <v>7.4059728467722463E-3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107336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5.6993999999999998</v>
      </c>
      <c r="J7" s="18">
        <f t="shared" si="1"/>
        <v>0.24352174968287768</v>
      </c>
      <c r="K7" s="18">
        <f t="shared" si="2"/>
        <v>9.1061726804645068E-2</v>
      </c>
      <c r="L7" s="18">
        <f t="shared" si="3"/>
        <v>6.2537200561392753E-2</v>
      </c>
      <c r="M7" s="18">
        <f t="shared" si="4"/>
        <v>0.15244111591008952</v>
      </c>
      <c r="N7" s="15">
        <f t="shared" si="5"/>
        <v>2273296</v>
      </c>
      <c r="O7" s="18">
        <f t="shared" si="6"/>
        <v>0.24491098542614143</v>
      </c>
      <c r="P7" s="19">
        <v>24822733</v>
      </c>
      <c r="Q7" s="19">
        <v>775710.40625</v>
      </c>
      <c r="R7" s="19">
        <v>21328.78125</v>
      </c>
      <c r="S7" s="20">
        <v>6079360</v>
      </c>
      <c r="T7" s="20">
        <v>1561200</v>
      </c>
      <c r="U7" s="20">
        <v>712096</v>
      </c>
      <c r="V7" s="20">
        <v>3805592</v>
      </c>
      <c r="W7" s="21">
        <v>69.66915625</v>
      </c>
      <c r="X7" s="21">
        <v>72.252784375000005</v>
      </c>
      <c r="Y7" s="21">
        <v>36.978884375</v>
      </c>
      <c r="Z7" s="21">
        <v>46.488531250000001</v>
      </c>
      <c r="AA7" s="21">
        <v>46.325428125000002</v>
      </c>
      <c r="AB7" s="22">
        <v>4131.22</v>
      </c>
      <c r="AC7" s="22">
        <v>1002.64</v>
      </c>
      <c r="AD7" s="22">
        <v>4.8689999999999998</v>
      </c>
      <c r="AE7" s="22">
        <v>14.992000000000001</v>
      </c>
      <c r="AG7" s="17">
        <f t="shared" si="7"/>
        <v>5.8033574999999997</v>
      </c>
      <c r="AH7" s="18">
        <f t="shared" si="8"/>
        <v>0.24796360536815293</v>
      </c>
      <c r="AI7" s="18">
        <f t="shared" si="9"/>
        <v>9.4324300409131576E-2</v>
      </c>
      <c r="AJ7" s="18">
        <f t="shared" si="10"/>
        <v>6.5799774165879246E-2</v>
      </c>
      <c r="AK7" s="18">
        <f t="shared" si="11"/>
        <v>0.1534508761917649</v>
      </c>
      <c r="AL7" s="15">
        <f t="shared" si="12"/>
        <v>2354744</v>
      </c>
      <c r="AM7" s="18">
        <f t="shared" si="13"/>
        <v>0.24933904639248447</v>
      </c>
      <c r="AN7" s="19">
        <v>24826629</v>
      </c>
      <c r="AO7" s="19">
        <v>775832.15625</v>
      </c>
      <c r="AP7" s="19">
        <v>21393.34375</v>
      </c>
      <c r="AQ7" s="20">
        <v>6190248</v>
      </c>
      <c r="AR7" s="20">
        <v>1642648</v>
      </c>
      <c r="AS7" s="20">
        <v>712096</v>
      </c>
      <c r="AT7" s="20">
        <v>3830800</v>
      </c>
      <c r="AU7" s="21">
        <v>69.680531250000001</v>
      </c>
      <c r="AV7" s="21">
        <v>72.253249999999994</v>
      </c>
      <c r="AW7" s="21">
        <v>36.981556249999997</v>
      </c>
      <c r="AX7" s="21">
        <v>46.465359374999998</v>
      </c>
      <c r="AY7" s="21">
        <v>46.320393750000001</v>
      </c>
      <c r="AZ7" s="22">
        <v>4044.76</v>
      </c>
      <c r="BA7" s="22">
        <v>890.005</v>
      </c>
      <c r="BB7" s="22">
        <v>4.9459999999999997</v>
      </c>
      <c r="BC7" s="22">
        <v>14.734</v>
      </c>
      <c r="BE7" s="23">
        <f t="shared" si="14"/>
        <v>7.8902228241375938E-5</v>
      </c>
      <c r="BF7" s="23">
        <f t="shared" si="15"/>
        <v>6.4590148671854197E-3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110888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9.9691875000000003</v>
      </c>
      <c r="J8" s="28">
        <f t="shared" si="1"/>
        <v>0.4259595716946824</v>
      </c>
      <c r="K8" s="28">
        <f t="shared" si="2"/>
        <v>0.12027331304279172</v>
      </c>
      <c r="L8" s="28">
        <f t="shared" si="3"/>
        <v>9.1748786799539392E-2</v>
      </c>
      <c r="M8" s="28">
        <f t="shared" si="4"/>
        <v>0.30566735168374765</v>
      </c>
      <c r="N8" s="25">
        <f t="shared" si="5"/>
        <v>3002544</v>
      </c>
      <c r="O8" s="28">
        <f t="shared" si="6"/>
        <v>0.40949132011486611</v>
      </c>
      <c r="P8" s="29">
        <v>25968316</v>
      </c>
      <c r="Q8" s="29">
        <v>811509.875</v>
      </c>
      <c r="R8" s="29">
        <v>24839.96875</v>
      </c>
      <c r="S8" s="30">
        <v>10633800</v>
      </c>
      <c r="T8" s="30">
        <v>2290448</v>
      </c>
      <c r="U8" s="30">
        <v>712096</v>
      </c>
      <c r="V8" s="30">
        <v>7630784</v>
      </c>
      <c r="W8" s="31">
        <v>70.735515625000005</v>
      </c>
      <c r="X8" s="31">
        <v>73.543899999999994</v>
      </c>
      <c r="Y8" s="31">
        <v>39.621790625000003</v>
      </c>
      <c r="Z8" s="31">
        <v>47.778500000000001</v>
      </c>
      <c r="AA8" s="31">
        <v>47.798987500000003</v>
      </c>
      <c r="AB8" s="32">
        <v>4106.46</v>
      </c>
      <c r="AC8" s="32">
        <v>1024.97</v>
      </c>
      <c r="AD8" s="32">
        <v>5.016</v>
      </c>
      <c r="AE8" s="32">
        <v>15.401999999999999</v>
      </c>
      <c r="AG8" s="27">
        <f t="shared" si="7"/>
        <v>10.073527500000001</v>
      </c>
      <c r="AH8" s="28">
        <f t="shared" si="8"/>
        <v>0.43041777069140341</v>
      </c>
      <c r="AI8" s="28">
        <f t="shared" si="9"/>
        <v>0.12353588664727821</v>
      </c>
      <c r="AJ8" s="28">
        <f t="shared" si="10"/>
        <v>9.5011360404025885E-2</v>
      </c>
      <c r="AK8" s="28">
        <f t="shared" si="11"/>
        <v>0.3066934552768687</v>
      </c>
      <c r="AL8" s="25">
        <f t="shared" si="12"/>
        <v>3083992</v>
      </c>
      <c r="AM8" s="28">
        <f t="shared" si="13"/>
        <v>0.41371508903438797</v>
      </c>
      <c r="AN8" s="29">
        <v>25972212</v>
      </c>
      <c r="AO8" s="29">
        <v>811631.625</v>
      </c>
      <c r="AP8" s="29">
        <v>24904.1875</v>
      </c>
      <c r="AQ8" s="30">
        <v>10745096</v>
      </c>
      <c r="AR8" s="30">
        <v>2371896</v>
      </c>
      <c r="AS8" s="30">
        <v>712096</v>
      </c>
      <c r="AT8" s="30">
        <v>7656400</v>
      </c>
      <c r="AU8" s="31">
        <v>70.736090625000003</v>
      </c>
      <c r="AV8" s="31">
        <v>73.544759374999998</v>
      </c>
      <c r="AW8" s="31">
        <v>39.622215625000003</v>
      </c>
      <c r="AX8" s="31">
        <v>47.780403124999999</v>
      </c>
      <c r="AY8" s="31">
        <v>47.788815624999998</v>
      </c>
      <c r="AZ8" s="32">
        <v>3336.63</v>
      </c>
      <c r="BA8" s="32">
        <v>1060.47</v>
      </c>
      <c r="BB8" s="32">
        <v>5.2729999999999997</v>
      </c>
      <c r="BC8" s="32">
        <v>15.801</v>
      </c>
      <c r="BE8" s="33">
        <f t="shared" si="14"/>
        <v>7.4531391982986944E-5</v>
      </c>
      <c r="BF8" s="33">
        <f t="shared" si="15"/>
        <v>4.6553913033272609E-3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111296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18.108090000000001</v>
      </c>
      <c r="J9" s="38">
        <f t="shared" si="1"/>
        <v>0.77371543675036325</v>
      </c>
      <c r="K9" s="38">
        <f t="shared" si="2"/>
        <v>0.17027423235406053</v>
      </c>
      <c r="L9" s="38">
        <f t="shared" si="3"/>
        <v>0.1417497061108082</v>
      </c>
      <c r="M9" s="38">
        <f t="shared" si="4"/>
        <v>0.60342229742815967</v>
      </c>
      <c r="N9" s="35">
        <f t="shared" si="5"/>
        <v>4250784</v>
      </c>
      <c r="O9" s="38">
        <f t="shared" si="6"/>
        <v>0.7366091261020794</v>
      </c>
      <c r="P9" s="39">
        <v>26221907</v>
      </c>
      <c r="Q9" s="39">
        <v>819434.59375</v>
      </c>
      <c r="R9" s="39">
        <v>26544.875</v>
      </c>
      <c r="S9" s="40">
        <v>19315296</v>
      </c>
      <c r="T9" s="40">
        <v>3538688</v>
      </c>
      <c r="U9" s="40">
        <v>712096</v>
      </c>
      <c r="V9" s="40">
        <v>15064040</v>
      </c>
      <c r="W9" s="41">
        <v>71.631712500000006</v>
      </c>
      <c r="X9" s="41">
        <v>74.732290625000005</v>
      </c>
      <c r="Y9" s="41">
        <v>42.051034375</v>
      </c>
      <c r="Z9" s="41">
        <v>49.409953125000001</v>
      </c>
      <c r="AA9" s="41">
        <v>49.533196875000002</v>
      </c>
      <c r="AB9" s="42">
        <v>4182.97</v>
      </c>
      <c r="AC9" s="42">
        <v>1204.3699999999999</v>
      </c>
      <c r="AD9" s="42">
        <v>5.1139999999999999</v>
      </c>
      <c r="AE9" s="42">
        <v>16.573</v>
      </c>
      <c r="AG9" s="37">
        <f t="shared" si="7"/>
        <v>18.22749</v>
      </c>
      <c r="AH9" s="38">
        <f t="shared" si="8"/>
        <v>0.77881711357812333</v>
      </c>
      <c r="AI9" s="38">
        <f t="shared" si="9"/>
        <v>0.17353680595854704</v>
      </c>
      <c r="AJ9" s="38">
        <f t="shared" si="10"/>
        <v>0.14501227971529471</v>
      </c>
      <c r="AK9" s="38">
        <f t="shared" si="11"/>
        <v>0.60509187885231974</v>
      </c>
      <c r="AL9" s="35">
        <f t="shared" si="12"/>
        <v>4332232</v>
      </c>
      <c r="AM9" s="38">
        <f t="shared" si="13"/>
        <v>0.74135598440970518</v>
      </c>
      <c r="AN9" s="39">
        <v>26225803</v>
      </c>
      <c r="AO9" s="39">
        <v>819556.34375</v>
      </c>
      <c r="AP9" s="39">
        <v>26604.6875</v>
      </c>
      <c r="AQ9" s="40">
        <v>19442656</v>
      </c>
      <c r="AR9" s="40">
        <v>3620136</v>
      </c>
      <c r="AS9" s="40">
        <v>712096</v>
      </c>
      <c r="AT9" s="40">
        <v>15105720</v>
      </c>
      <c r="AU9" s="41">
        <v>71.632184374999994</v>
      </c>
      <c r="AV9" s="41">
        <v>74.733031249999996</v>
      </c>
      <c r="AW9" s="41">
        <v>42.050737499999997</v>
      </c>
      <c r="AX9" s="41">
        <v>49.403159375000001</v>
      </c>
      <c r="AY9" s="41">
        <v>49.526462500000001</v>
      </c>
      <c r="AZ9" s="42">
        <v>3648.68</v>
      </c>
      <c r="BA9" s="42">
        <v>1162.58</v>
      </c>
      <c r="BB9" s="42">
        <v>5.1020000000000003</v>
      </c>
      <c r="BC9" s="42">
        <v>16.402000000000001</v>
      </c>
      <c r="BE9" s="43">
        <f t="shared" si="14"/>
        <v>6.8169216757403561E-5</v>
      </c>
      <c r="BF9" s="43">
        <f t="shared" si="15"/>
        <v>2.7475384164136751E-3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127360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3.2486549999999998</v>
      </c>
      <c r="J10" s="28">
        <f t="shared" si="1"/>
        <v>0.15295803461246096</v>
      </c>
      <c r="K10" s="28">
        <f t="shared" si="2"/>
        <v>7.8435336563937988E-2</v>
      </c>
      <c r="L10" s="28">
        <f t="shared" si="3"/>
        <v>3.8155994302131881E-2</v>
      </c>
      <c r="M10" s="28">
        <f t="shared" si="4"/>
        <v>7.4501863601554627E-2</v>
      </c>
      <c r="N10" s="25">
        <f t="shared" si="5"/>
        <v>1776936</v>
      </c>
      <c r="O10" s="28">
        <f t="shared" si="6"/>
        <v>0.16657529273587585</v>
      </c>
      <c r="P10" s="29">
        <v>20802797</v>
      </c>
      <c r="Q10" s="29">
        <v>650087.40625</v>
      </c>
      <c r="R10" s="29">
        <v>19199.34375</v>
      </c>
      <c r="S10" s="30">
        <v>3465232</v>
      </c>
      <c r="T10" s="30">
        <v>864416</v>
      </c>
      <c r="U10" s="30">
        <v>912520</v>
      </c>
      <c r="V10" s="30">
        <v>1687824</v>
      </c>
      <c r="W10" s="31">
        <v>65.9461625</v>
      </c>
      <c r="X10" s="31">
        <v>67.930053125000001</v>
      </c>
      <c r="Y10" s="31">
        <v>32.503250000000001</v>
      </c>
      <c r="Z10" s="31">
        <v>39.247293749999997</v>
      </c>
      <c r="AA10" s="31">
        <v>32.195581249999996</v>
      </c>
      <c r="AB10" s="32">
        <v>3884.91</v>
      </c>
      <c r="AC10" s="32">
        <v>982.81</v>
      </c>
      <c r="AD10" s="32">
        <v>4.3789999999999996</v>
      </c>
      <c r="AE10" s="32">
        <v>15.920999999999999</v>
      </c>
      <c r="AG10" s="27">
        <f t="shared" si="7"/>
        <v>4.1733000000000002</v>
      </c>
      <c r="AH10" s="28">
        <f t="shared" si="8"/>
        <v>0.19649355374706867</v>
      </c>
      <c r="AI10" s="28">
        <f t="shared" si="9"/>
        <v>0.12017167760865043</v>
      </c>
      <c r="AJ10" s="28">
        <f t="shared" si="10"/>
        <v>7.9892335346844326E-2</v>
      </c>
      <c r="AK10" s="28">
        <f t="shared" si="11"/>
        <v>7.6114237921174194E-2</v>
      </c>
      <c r="AL10" s="25">
        <f t="shared" si="12"/>
        <v>2722464</v>
      </c>
      <c r="AM10" s="28">
        <f t="shared" si="13"/>
        <v>0.21242410340156676</v>
      </c>
      <c r="AN10" s="29">
        <v>20955814</v>
      </c>
      <c r="AO10" s="29">
        <v>654869.1875</v>
      </c>
      <c r="AP10" s="29">
        <v>21686.09375</v>
      </c>
      <c r="AQ10" s="30">
        <v>4451520</v>
      </c>
      <c r="AR10" s="30">
        <v>1809944</v>
      </c>
      <c r="AS10" s="30">
        <v>912520</v>
      </c>
      <c r="AT10" s="30">
        <v>1724352</v>
      </c>
      <c r="AU10" s="31">
        <v>66.165596875000006</v>
      </c>
      <c r="AV10" s="31">
        <v>67.951818750000001</v>
      </c>
      <c r="AW10" s="31">
        <v>32.415365625</v>
      </c>
      <c r="AX10" s="31">
        <v>39.167003125000001</v>
      </c>
      <c r="AY10" s="31">
        <v>32.123140624999998</v>
      </c>
      <c r="AZ10" s="32">
        <v>3448.42</v>
      </c>
      <c r="BA10" s="32">
        <v>935.17899999999997</v>
      </c>
      <c r="BB10" s="32">
        <v>4.7249999999999996</v>
      </c>
      <c r="BC10" s="32">
        <v>15.624000000000001</v>
      </c>
      <c r="BE10" s="33">
        <f t="shared" si="14"/>
        <v>3.5816731056586178E-3</v>
      </c>
      <c r="BF10" s="33">
        <f t="shared" si="15"/>
        <v>9.8790854985597032E-2</v>
      </c>
      <c r="BG10" s="33">
        <f t="array" ref="BG10">AVERAGE(AL10:AL14/AQ10:AQ14) - AVERAGE(N10:N14/S10:S14)</f>
        <v>6.429797509630919E-2</v>
      </c>
      <c r="BI10" s="34">
        <f>IF( OR(ISBLANK(N10:N14),ISBLANK(AL10:AL14), ISBLANK(W10:W14),ISBLANK(AU10:AU14)), "·", bdRateExtend( N10:N14,W10:W14, AL10:AL14,AU10:AU14))</f>
        <v>0.36334972025715673</v>
      </c>
      <c r="BJ10" s="34">
        <f>IF( OR(ISBLANK(N10:N14),ISBLANK(AL10:AL14), ISBLANK(X10:X14),ISBLANK(AV10:AV14)), "·", bdRateExtend( N10:N14,X10:X14, AL10:AL14,AV10:AV14))</f>
        <v>0.37040366914025391</v>
      </c>
      <c r="BK10" s="34">
        <f>IF( OR(ISBLANK(V10:V14),ISBLANK(AT10:AT14), ISBLANK(Y10:Y14),ISBLANK(AW10:AW14)), "·", bdRateExtend( V10:V14,Y10:Y14, AT10:AT14,AW10:AW14))</f>
        <v>1.8014759505900813E-2</v>
      </c>
      <c r="BL10" s="34">
        <f>IF( OR(ISBLANK(V10:V14),ISBLANK(AT10:AT14), ISBLANK(Z10:Z14),ISBLANK(AX10:AX14)), "·", bdRateExtend( V10:V14,Z10:Z14, AT10:AT14,AX10:AX14))</f>
        <v>5.6860853400912292E-2</v>
      </c>
      <c r="BM10" s="34">
        <f>IF( OR(ISBLANK(V10:V14),ISBLANK(AT10:AT14), ISBLANK(AA10:AA14),ISBLANK(AY10:AY14)), "·", bdRateExtend( V10:V14,AA10:AA14, AT10:AT14,AY10:AY14))</f>
        <v>4.7600171141787717E-2</v>
      </c>
      <c r="BO10" s="34">
        <f>IF( OR(ISBLANK(S10:S14),ISBLANK(AQ10:AQ14), ISBLANK(W10:W14),ISBLANK(AU10:AU14)), "·", bdRateExtend( S10:S14,W10:W14, AQ10:AQ14,AU10:AU14))</f>
        <v>0.13639341881119438</v>
      </c>
      <c r="BP10" s="34">
        <f>IF( OR(ISBLANK(S10:S14),ISBLANK(AQ10:AQ14), ISBLANK(X10:X14),ISBLANK(AV10:AV14)), "·", bdRateExtend( S10:S14,X10:X14, AQ10:AQ14,AV10:AV14))</f>
        <v>0.15248681773485062</v>
      </c>
      <c r="BQ10" s="34">
        <f>IF( OR(ISBLANK(S10:S14),ISBLANK(AQ10:AQ14), ISBLANK(Y10:Y14),ISBLANK(AW10:AW14)), "·", bdRateExtend( S10:S14,Y10:Y14, AQ10:AQ14,AW10:AW14))</f>
        <v>0.13511936014168491</v>
      </c>
      <c r="BR10" s="34">
        <f>IF( OR(ISBLANK(S10:S14),ISBLANK(AQ10:AQ14), ISBLANK(Z10:Z14),ISBLANK(AX10:AX14)), "·", bdRateExtend( S10:S14,Z10:Z14, AQ10:AQ14,AX10:AX14))</f>
        <v>0.16054987349982719</v>
      </c>
      <c r="BS10" s="34">
        <f>IF( OR(ISBLANK(S10:S14),ISBLANK(AQ10:AQ14), ISBLANK(AA10:AA14),ISBLANK(AY10:AY14)), "·", bdRateExtend( S10:S14,AA10:AA14, AQ10:AQ14,AY10:AY14))</f>
        <v>0.16517427782053962</v>
      </c>
      <c r="BU10" s="4">
        <f t="shared" si="16"/>
        <v>986288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4.6985999999999999</v>
      </c>
      <c r="J11" s="18">
        <f t="shared" si="1"/>
        <v>0.22122651418205661</v>
      </c>
      <c r="K11" s="18">
        <f t="shared" si="2"/>
        <v>9.4114140723182194E-2</v>
      </c>
      <c r="L11" s="18">
        <f t="shared" si="3"/>
        <v>5.3834798461376093E-2</v>
      </c>
      <c r="M11" s="18">
        <f t="shared" si="4"/>
        <v>0.12709153901190604</v>
      </c>
      <c r="N11" s="15">
        <f t="shared" si="5"/>
        <v>2132136</v>
      </c>
      <c r="O11" s="18">
        <f t="shared" si="6"/>
        <v>0.22302750637275165</v>
      </c>
      <c r="P11" s="19">
        <v>22471847</v>
      </c>
      <c r="Q11" s="19">
        <v>702245.21875</v>
      </c>
      <c r="R11" s="19">
        <v>25286.25</v>
      </c>
      <c r="S11" s="20">
        <v>5011840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69.82880625</v>
      </c>
      <c r="Y11" s="21">
        <v>34.388628124999997</v>
      </c>
      <c r="Z11" s="21">
        <v>40.108456250000003</v>
      </c>
      <c r="AA11" s="21">
        <v>33.973350000000003</v>
      </c>
      <c r="AB11" s="22">
        <v>3891.61</v>
      </c>
      <c r="AC11" s="22">
        <v>1014.34</v>
      </c>
      <c r="AD11" s="22">
        <v>4.6319999999999997</v>
      </c>
      <c r="AE11" s="22">
        <v>16.439</v>
      </c>
      <c r="AG11" s="17">
        <f t="shared" si="7"/>
        <v>5.6463374999999996</v>
      </c>
      <c r="AH11" s="18">
        <f t="shared" si="8"/>
        <v>0.26584930894743714</v>
      </c>
      <c r="AI11" s="18">
        <f t="shared" si="9"/>
        <v>0.13585048176789463</v>
      </c>
      <c r="AJ11" s="18">
        <f t="shared" si="10"/>
        <v>9.5571139506088532E-2</v>
      </c>
      <c r="AK11" s="18">
        <f t="shared" si="11"/>
        <v>0.12979118896229844</v>
      </c>
      <c r="AL11" s="15">
        <f t="shared" si="12"/>
        <v>3077664</v>
      </c>
      <c r="AM11" s="18">
        <f t="shared" si="13"/>
        <v>0.2662009371636444</v>
      </c>
      <c r="AN11" s="19">
        <v>22624864</v>
      </c>
      <c r="AO11" s="19">
        <v>707027</v>
      </c>
      <c r="AP11" s="19">
        <v>27899.40625</v>
      </c>
      <c r="AQ11" s="20">
        <v>6022760</v>
      </c>
      <c r="AR11" s="20">
        <v>2165144</v>
      </c>
      <c r="AS11" s="20">
        <v>912520</v>
      </c>
      <c r="AT11" s="20">
        <v>2940392</v>
      </c>
      <c r="AU11" s="21">
        <v>67.779209374999994</v>
      </c>
      <c r="AV11" s="21">
        <v>69.847034375000007</v>
      </c>
      <c r="AW11" s="21">
        <v>34.361640625</v>
      </c>
      <c r="AX11" s="21">
        <v>40.024012499999998</v>
      </c>
      <c r="AY11" s="21">
        <v>33.912199999999999</v>
      </c>
      <c r="AZ11" s="22">
        <v>3564.63</v>
      </c>
      <c r="BA11" s="22">
        <v>960.95500000000004</v>
      </c>
      <c r="BB11" s="22">
        <v>4.8</v>
      </c>
      <c r="BC11" s="22">
        <v>16.37</v>
      </c>
      <c r="BE11" s="23">
        <f t="shared" si="14"/>
        <v>3.452449771022055E-3</v>
      </c>
      <c r="BF11" s="23">
        <f t="shared" si="15"/>
        <v>8.5585779579453014E-2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1010920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7.3323</v>
      </c>
      <c r="J12" s="28">
        <f t="shared" si="1"/>
        <v>0.34523031752800698</v>
      </c>
      <c r="K12" s="28">
        <f t="shared" si="2"/>
        <v>0.11743989317225599</v>
      </c>
      <c r="L12" s="28">
        <f t="shared" si="3"/>
        <v>7.7160550910449877E-2</v>
      </c>
      <c r="M12" s="28">
        <f t="shared" si="4"/>
        <v>0.22776958990878265</v>
      </c>
      <c r="N12" s="25">
        <f t="shared" si="5"/>
        <v>2660576</v>
      </c>
      <c r="O12" s="28">
        <f t="shared" si="6"/>
        <v>0.34263527916899272</v>
      </c>
      <c r="P12" s="29">
        <v>22826371</v>
      </c>
      <c r="Q12" s="29">
        <v>713324.09375</v>
      </c>
      <c r="R12" s="29">
        <v>26845.03125</v>
      </c>
      <c r="S12" s="30">
        <v>7821120</v>
      </c>
      <c r="T12" s="30">
        <v>1748056</v>
      </c>
      <c r="U12" s="30">
        <v>912520</v>
      </c>
      <c r="V12" s="30">
        <v>5160072</v>
      </c>
      <c r="W12" s="31">
        <v>69.029246874999998</v>
      </c>
      <c r="X12" s="31">
        <v>71.512090624999999</v>
      </c>
      <c r="Y12" s="31">
        <v>36.513684374999997</v>
      </c>
      <c r="Z12" s="31">
        <v>41.002600000000001</v>
      </c>
      <c r="AA12" s="31">
        <v>35.772681249999998</v>
      </c>
      <c r="AB12" s="32">
        <v>3902.97</v>
      </c>
      <c r="AC12" s="32">
        <v>1114.74</v>
      </c>
      <c r="AD12" s="32">
        <v>4.7679999999999998</v>
      </c>
      <c r="AE12" s="32">
        <v>16.297000000000001</v>
      </c>
      <c r="AG12" s="27">
        <f t="shared" si="7"/>
        <v>8.3121825000000005</v>
      </c>
      <c r="AH12" s="28">
        <f t="shared" si="8"/>
        <v>0.39136661127146227</v>
      </c>
      <c r="AI12" s="28">
        <f t="shared" si="9"/>
        <v>0.15917623421696844</v>
      </c>
      <c r="AJ12" s="28">
        <f t="shared" si="10"/>
        <v>0.11889689195516233</v>
      </c>
      <c r="AK12" s="28">
        <f t="shared" si="11"/>
        <v>0.23198273883724982</v>
      </c>
      <c r="AL12" s="25">
        <f t="shared" si="12"/>
        <v>3606104</v>
      </c>
      <c r="AM12" s="28">
        <f t="shared" si="13"/>
        <v>0.38583829995820601</v>
      </c>
      <c r="AN12" s="29">
        <v>22979388</v>
      </c>
      <c r="AO12" s="29">
        <v>718105.875</v>
      </c>
      <c r="AP12" s="29">
        <v>29516.1875</v>
      </c>
      <c r="AQ12" s="30">
        <v>8866328</v>
      </c>
      <c r="AR12" s="30">
        <v>2693584</v>
      </c>
      <c r="AS12" s="30">
        <v>912520</v>
      </c>
      <c r="AT12" s="30">
        <v>5255520</v>
      </c>
      <c r="AU12" s="31">
        <v>69.071287499999997</v>
      </c>
      <c r="AV12" s="31">
        <v>71.5270625</v>
      </c>
      <c r="AW12" s="31">
        <v>36.520146875000002</v>
      </c>
      <c r="AX12" s="31">
        <v>40.944768750000001</v>
      </c>
      <c r="AY12" s="31">
        <v>35.695643750000002</v>
      </c>
      <c r="AZ12" s="32">
        <v>3619.49</v>
      </c>
      <c r="BA12" s="32">
        <v>1034.78</v>
      </c>
      <c r="BB12" s="32">
        <v>4.726</v>
      </c>
      <c r="BC12" s="32">
        <v>16.501999999999999</v>
      </c>
      <c r="BE12" s="33">
        <f t="shared" si="14"/>
        <v>3.4691264525851806E-3</v>
      </c>
      <c r="BF12" s="33">
        <f t="shared" si="15"/>
        <v>6.654060470438139E-2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1045208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12.770917499999999</v>
      </c>
      <c r="J13" s="18">
        <f t="shared" si="1"/>
        <v>0.60129944269178581</v>
      </c>
      <c r="K13" s="18">
        <f t="shared" si="2"/>
        <v>0.15827540923025149</v>
      </c>
      <c r="L13" s="18">
        <f t="shared" si="3"/>
        <v>0.11799606696844539</v>
      </c>
      <c r="M13" s="18">
        <f t="shared" si="4"/>
        <v>0.44300319901456597</v>
      </c>
      <c r="N13" s="15">
        <f t="shared" si="5"/>
        <v>3585696</v>
      </c>
      <c r="O13" s="18">
        <f t="shared" si="6"/>
        <v>0.57375429474020623</v>
      </c>
      <c r="P13" s="19">
        <v>23742414</v>
      </c>
      <c r="Q13" s="19">
        <v>741950.4375</v>
      </c>
      <c r="R13" s="19">
        <v>30595</v>
      </c>
      <c r="S13" s="20">
        <v>13622312</v>
      </c>
      <c r="T13" s="20">
        <v>2673176</v>
      </c>
      <c r="U13" s="20">
        <v>912520</v>
      </c>
      <c r="V13" s="20">
        <v>10036144</v>
      </c>
      <c r="W13" s="21">
        <v>70.031556249999994</v>
      </c>
      <c r="X13" s="21">
        <v>72.792896874999997</v>
      </c>
      <c r="Y13" s="21">
        <v>38.857306250000001</v>
      </c>
      <c r="Z13" s="21">
        <v>42.181359375</v>
      </c>
      <c r="AA13" s="21">
        <v>37.871034375000001</v>
      </c>
      <c r="AB13" s="22">
        <v>3856.51</v>
      </c>
      <c r="AC13" s="22">
        <v>1196.96</v>
      </c>
      <c r="AD13" s="22">
        <v>4.8479999999999999</v>
      </c>
      <c r="AE13" s="22">
        <v>17.468</v>
      </c>
      <c r="AG13" s="17">
        <f t="shared" si="7"/>
        <v>13.8180975</v>
      </c>
      <c r="AH13" s="18">
        <f t="shared" si="8"/>
        <v>0.65060433800553163</v>
      </c>
      <c r="AI13" s="18">
        <f t="shared" si="9"/>
        <v>0.20001175027496393</v>
      </c>
      <c r="AJ13" s="18">
        <f t="shared" si="10"/>
        <v>0.15973240801315783</v>
      </c>
      <c r="AK13" s="18">
        <f t="shared" si="11"/>
        <v>0.45038494951332364</v>
      </c>
      <c r="AL13" s="15">
        <f t="shared" si="12"/>
        <v>4531224</v>
      </c>
      <c r="AM13" s="18">
        <f t="shared" si="13"/>
        <v>0.61682519976308436</v>
      </c>
      <c r="AN13" s="19">
        <v>23895431</v>
      </c>
      <c r="AO13" s="19">
        <v>746732.21875</v>
      </c>
      <c r="AP13" s="19">
        <v>33282.84375</v>
      </c>
      <c r="AQ13" s="20">
        <v>14739304</v>
      </c>
      <c r="AR13" s="20">
        <v>3618704</v>
      </c>
      <c r="AS13" s="20">
        <v>912520</v>
      </c>
      <c r="AT13" s="20">
        <v>10203376</v>
      </c>
      <c r="AU13" s="21">
        <v>70.043806250000003</v>
      </c>
      <c r="AV13" s="21">
        <v>72.804759375000003</v>
      </c>
      <c r="AW13" s="21">
        <v>38.896162500000003</v>
      </c>
      <c r="AX13" s="21">
        <v>42.123375000000003</v>
      </c>
      <c r="AY13" s="21">
        <v>37.768281250000001</v>
      </c>
      <c r="AZ13" s="22">
        <v>3536.64</v>
      </c>
      <c r="BA13" s="22">
        <v>1126.6099999999999</v>
      </c>
      <c r="BB13" s="22">
        <v>4.8499999999999996</v>
      </c>
      <c r="BC13" s="22">
        <v>17.37</v>
      </c>
      <c r="BE13" s="23">
        <f t="shared" si="14"/>
        <v>3.3354160911225825E-3</v>
      </c>
      <c r="BF13" s="23">
        <f t="shared" si="15"/>
        <v>4.4202278543553131E-2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1116992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23.314462500000001</v>
      </c>
      <c r="J14" s="48">
        <f t="shared" si="1"/>
        <v>1.0977264012478773</v>
      </c>
      <c r="K14" s="48">
        <f t="shared" si="2"/>
        <v>0.22769543340262405</v>
      </c>
      <c r="L14" s="48">
        <f t="shared" si="3"/>
        <v>0.18741609114081795</v>
      </c>
      <c r="M14" s="48">
        <f t="shared" si="4"/>
        <v>0.87001013339828503</v>
      </c>
      <c r="N14" s="45">
        <f t="shared" si="5"/>
        <v>5158392</v>
      </c>
      <c r="O14" s="48">
        <f t="shared" si="6"/>
        <v>1.0368756723663066</v>
      </c>
      <c r="P14" s="49">
        <v>23984322</v>
      </c>
      <c r="Q14" s="49">
        <v>749510.0625</v>
      </c>
      <c r="R14" s="49">
        <v>32373.9375</v>
      </c>
      <c r="S14" s="50">
        <v>24868760</v>
      </c>
      <c r="T14" s="50">
        <v>4245872</v>
      </c>
      <c r="U14" s="50">
        <v>912520</v>
      </c>
      <c r="V14" s="50">
        <v>19709896</v>
      </c>
      <c r="W14" s="51">
        <v>70.862768750000001</v>
      </c>
      <c r="X14" s="51">
        <v>73.881662500000004</v>
      </c>
      <c r="Y14" s="51">
        <v>41.215343750000002</v>
      </c>
      <c r="Z14" s="51">
        <v>43.568628124999996</v>
      </c>
      <c r="AA14" s="51">
        <v>39.813234375</v>
      </c>
      <c r="AB14" s="52">
        <v>4046.66</v>
      </c>
      <c r="AC14" s="52">
        <v>1383.74</v>
      </c>
      <c r="AD14" s="52">
        <v>4.7430000000000003</v>
      </c>
      <c r="AE14" s="52">
        <v>18.189</v>
      </c>
      <c r="AG14" s="47">
        <f t="shared" si="7"/>
        <v>24.476257499999999</v>
      </c>
      <c r="AH14" s="48">
        <f t="shared" si="8"/>
        <v>1.1524277714526496</v>
      </c>
      <c r="AI14" s="48">
        <f t="shared" si="9"/>
        <v>0.26943177444733651</v>
      </c>
      <c r="AJ14" s="48">
        <f t="shared" si="10"/>
        <v>0.22915243218553039</v>
      </c>
      <c r="AK14" s="48">
        <f t="shared" si="11"/>
        <v>0.88278835878806905</v>
      </c>
      <c r="AL14" s="45">
        <f t="shared" si="12"/>
        <v>6103920</v>
      </c>
      <c r="AM14" s="48">
        <f t="shared" si="13"/>
        <v>1.0816440039227191</v>
      </c>
      <c r="AN14" s="49">
        <v>24137339</v>
      </c>
      <c r="AO14" s="49">
        <v>754291.84375</v>
      </c>
      <c r="AP14" s="49">
        <v>34983.59375</v>
      </c>
      <c r="AQ14" s="50">
        <v>26108008</v>
      </c>
      <c r="AR14" s="50">
        <v>5191400</v>
      </c>
      <c r="AS14" s="50">
        <v>912520</v>
      </c>
      <c r="AT14" s="50">
        <v>19999384</v>
      </c>
      <c r="AU14" s="51">
        <v>70.871818750000003</v>
      </c>
      <c r="AV14" s="51">
        <v>73.888684374999997</v>
      </c>
      <c r="AW14" s="51">
        <v>41.228521874999998</v>
      </c>
      <c r="AX14" s="51">
        <v>43.518196875000001</v>
      </c>
      <c r="AY14" s="51">
        <v>39.673834374999998</v>
      </c>
      <c r="AZ14" s="52">
        <v>3498.59</v>
      </c>
      <c r="BA14" s="52">
        <v>1327.17</v>
      </c>
      <c r="BB14" s="52">
        <v>4.9660000000000002</v>
      </c>
      <c r="BC14" s="52">
        <v>18.058</v>
      </c>
      <c r="BE14" s="53">
        <f t="shared" si="14"/>
        <v>3.1859214221135884E-3</v>
      </c>
      <c r="BF14" s="53">
        <f t="shared" si="15"/>
        <v>2.6370357668561634E-2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1239248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4.4030399999999998</v>
      </c>
      <c r="J15" s="18">
        <f t="shared" si="1"/>
        <v>0.13834732573187983</v>
      </c>
      <c r="K15" s="18">
        <f t="shared" si="2"/>
        <v>7.6947734749063246E-2</v>
      </c>
      <c r="L15" s="18">
        <f t="shared" si="3"/>
        <v>3.8476341767655783E-2</v>
      </c>
      <c r="M15" s="18">
        <f t="shared" si="4"/>
        <v>6.1385687250023697E-2</v>
      </c>
      <c r="N15" s="15">
        <f t="shared" si="5"/>
        <v>2612200</v>
      </c>
      <c r="O15" s="18">
        <f t="shared" si="6"/>
        <v>0.1508845017025594</v>
      </c>
      <c r="P15" s="19">
        <v>31126961</v>
      </c>
      <c r="Q15" s="19">
        <v>972717.53125</v>
      </c>
      <c r="R15" s="19">
        <v>30954.71875</v>
      </c>
      <c r="S15" s="20">
        <v>4696576</v>
      </c>
      <c r="T15" s="20">
        <v>1306184</v>
      </c>
      <c r="U15" s="20">
        <v>1306016</v>
      </c>
      <c r="V15" s="20">
        <v>2083904</v>
      </c>
      <c r="W15" s="21">
        <v>66.004115624999997</v>
      </c>
      <c r="X15" s="21">
        <v>67.863206250000005</v>
      </c>
      <c r="Y15" s="21">
        <v>29.573128125</v>
      </c>
      <c r="Z15" s="21">
        <v>43.198421875000001</v>
      </c>
      <c r="AA15" s="21">
        <v>43.441078124999997</v>
      </c>
      <c r="AB15" s="22">
        <v>5285.42</v>
      </c>
      <c r="AC15" s="22">
        <v>919.178</v>
      </c>
      <c r="AD15" s="22">
        <v>6.1920000000000002</v>
      </c>
      <c r="AE15" s="22">
        <v>16.260999999999999</v>
      </c>
      <c r="AG15" s="17">
        <f t="shared" si="7"/>
        <v>5.2850099999999998</v>
      </c>
      <c r="AH15" s="18">
        <f t="shared" si="8"/>
        <v>0.16605958609647931</v>
      </c>
      <c r="AI15" s="18">
        <f t="shared" si="9"/>
        <v>0.10344730682633807</v>
      </c>
      <c r="AJ15" s="18">
        <f t="shared" si="10"/>
        <v>6.4975913844930608E-2</v>
      </c>
      <c r="AK15" s="18">
        <f t="shared" si="11"/>
        <v>6.2473713255188461E-2</v>
      </c>
      <c r="AL15" s="15">
        <f t="shared" si="12"/>
        <v>3511800</v>
      </c>
      <c r="AM15" s="18">
        <f t="shared" si="13"/>
        <v>0.18039851783356298</v>
      </c>
      <c r="AN15" s="19">
        <v>31249392</v>
      </c>
      <c r="AO15" s="19">
        <v>976543.5</v>
      </c>
      <c r="AP15" s="19">
        <v>32893.8125</v>
      </c>
      <c r="AQ15" s="20">
        <v>5637344</v>
      </c>
      <c r="AR15" s="20">
        <v>2205784</v>
      </c>
      <c r="AS15" s="20">
        <v>1306016</v>
      </c>
      <c r="AT15" s="20">
        <v>2120840</v>
      </c>
      <c r="AU15" s="21">
        <v>66.084890625</v>
      </c>
      <c r="AV15" s="21">
        <v>67.872031250000006</v>
      </c>
      <c r="AW15" s="21">
        <v>29.542131250000001</v>
      </c>
      <c r="AX15" s="21">
        <v>43.183446875000001</v>
      </c>
      <c r="AY15" s="21">
        <v>43.382481249999998</v>
      </c>
      <c r="AZ15" s="22">
        <v>4540</v>
      </c>
      <c r="BA15" s="22">
        <v>925.05399999999997</v>
      </c>
      <c r="BB15" s="22">
        <v>6.2409999999999997</v>
      </c>
      <c r="BC15" s="22">
        <v>16.390999999999998</v>
      </c>
      <c r="BE15" s="23">
        <f t="shared" si="14"/>
        <v>1.8609925996157933E-3</v>
      </c>
      <c r="BF15" s="23">
        <f t="shared" si="15"/>
        <v>6.6760510560168185E-2</v>
      </c>
      <c r="BG15" s="23">
        <f t="array" ref="BG15">AVERAGE(AL15:AL19/AQ15:AQ19) - AVERAGE(N15:N19/S15:S19)</f>
        <v>4.2182532473718115E-2</v>
      </c>
      <c r="BI15" s="24">
        <f>IF( OR(ISBLANK(N15:N19),ISBLANK(AL15:AL19), ISBLANK(W15:W19),ISBLANK(AU15:AU19)), "·", bdRateExtend( N15:N19,W15:W19, AL15:AL19,AU15:AU19))</f>
        <v>0.24102989762589999</v>
      </c>
      <c r="BJ15" s="24">
        <f>IF( OR(ISBLANK(N15:N19),ISBLANK(AL15:AL19), ISBLANK(X15:X19),ISBLANK(AV15:AV19)), "·", bdRateExtend( N15:N19,X15:X19, AL15:AL19,AV15:AV19))</f>
        <v>0.24282332713939048</v>
      </c>
      <c r="BK15" s="24">
        <f>IF( OR(ISBLANK(V15:V19),ISBLANK(AT15:AT19), ISBLANK(Y15:Y19),ISBLANK(AW15:AW19)), "·", bdRateExtend( V15:V19,Y15:Y19, AT15:AT19,AW15:AW19))</f>
        <v>1.0586945853999996E-2</v>
      </c>
      <c r="BL15" s="24">
        <f>IF( OR(ISBLANK(V15:V19),ISBLANK(AT15:AT19), ISBLANK(Z15:Z19),ISBLANK(AX15:AX19)), "·", bdRateExtend( V15:V19,Z15:Z19, AT15:AT19,AX15:AX19))</f>
        <v>2.0964981748031963E-2</v>
      </c>
      <c r="BM15" s="24">
        <f>IF( OR(ISBLANK(V15:V19),ISBLANK(AT15:AT19), ISBLANK(AA15:AA19),ISBLANK(AY15:AY19)), "·", bdRateExtend( V15:V19,AA15:AA19, AT15:AT19,AY15:AY19))</f>
        <v>2.3740623807490646E-2</v>
      </c>
      <c r="BO15" s="24">
        <f>IF( OR(ISBLANK(S15:S19),ISBLANK(AQ15:AQ19), ISBLANK(W15:W19),ISBLANK(AU15:AU19)), "·", bdRateExtend( S15:S19,W15:W19, AQ15:AQ19,AU15:AU19))</f>
        <v>9.2052078475229671E-2</v>
      </c>
      <c r="BP15" s="24">
        <f>IF( OR(ISBLANK(S15:S19),ISBLANK(AQ15:AQ19), ISBLANK(X15:X19),ISBLANK(AV15:AV19)), "·", bdRateExtend( S15:S19,X15:X19, AQ15:AQ19,AV15:AV19))</f>
        <v>9.9025557471852821E-2</v>
      </c>
      <c r="BQ15" s="24">
        <f>IF( OR(ISBLANK(S15:S19),ISBLANK(AQ15:AQ19), ISBLANK(Y15:Y19),ISBLANK(AW15:AW19)), "·", bdRateExtend( S15:S19,Y15:Y19, AQ15:AQ19,AW15:AW19))</f>
        <v>8.9113802380343277E-2</v>
      </c>
      <c r="BR15" s="24">
        <f>IF( OR(ISBLANK(S15:S19),ISBLANK(AQ15:AQ19), ISBLANK(Z15:Z19),ISBLANK(AX15:AX19)), "·", bdRateExtend( S15:S19,Z15:Z19, AQ15:AQ19,AX15:AX19))</f>
        <v>8.1475573733523543E-2</v>
      </c>
      <c r="BS15" s="24">
        <f>IF( OR(ISBLANK(S15:S19),ISBLANK(AQ15:AQ19), ISBLANK(AA15:AA19),ISBLANK(AY15:AY19)), "·", bdRateExtend( S15:S19,AA15:AA19, AQ15:AQ19,AY15:AY19))</f>
        <v>8.4698751487149559E-2</v>
      </c>
      <c r="BU15" s="4">
        <f t="shared" si="16"/>
        <v>940768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7.0890750000000002</v>
      </c>
      <c r="J16" s="28">
        <f t="shared" si="1"/>
        <v>0.22274486903655791</v>
      </c>
      <c r="K16" s="28">
        <f t="shared" si="2"/>
        <v>9.2777488018487717E-2</v>
      </c>
      <c r="L16" s="28">
        <f t="shared" si="3"/>
        <v>5.4306095037080254E-2</v>
      </c>
      <c r="M16" s="28">
        <f t="shared" si="4"/>
        <v>0.12995347728527731</v>
      </c>
      <c r="N16" s="25">
        <f t="shared" si="5"/>
        <v>3149584</v>
      </c>
      <c r="O16" s="28">
        <f t="shared" si="6"/>
        <v>0.22390412399874393</v>
      </c>
      <c r="P16" s="29">
        <v>33771955</v>
      </c>
      <c r="Q16" s="29">
        <v>1055373.59375</v>
      </c>
      <c r="R16" s="29">
        <v>39996.875</v>
      </c>
      <c r="S16" s="30">
        <v>7561680</v>
      </c>
      <c r="T16" s="30">
        <v>1843568</v>
      </c>
      <c r="U16" s="30">
        <v>1306016</v>
      </c>
      <c r="V16" s="30">
        <v>4411624</v>
      </c>
      <c r="W16" s="31">
        <v>67.859421874999995</v>
      </c>
      <c r="X16" s="31">
        <v>69.973478125</v>
      </c>
      <c r="Y16" s="31">
        <v>32.039056250000002</v>
      </c>
      <c r="Z16" s="31">
        <v>44.041056249999997</v>
      </c>
      <c r="AA16" s="31">
        <v>44.373040625000002</v>
      </c>
      <c r="AB16" s="32">
        <v>5326.19</v>
      </c>
      <c r="AC16" s="32">
        <v>996.44</v>
      </c>
      <c r="AD16" s="32">
        <v>7.109</v>
      </c>
      <c r="AE16" s="32">
        <v>17.030999999999999</v>
      </c>
      <c r="AG16" s="27">
        <f t="shared" si="7"/>
        <v>7.9912725</v>
      </c>
      <c r="AH16" s="28">
        <f t="shared" si="8"/>
        <v>0.25109269494933356</v>
      </c>
      <c r="AI16" s="28">
        <f t="shared" si="9"/>
        <v>0.11927706009576255</v>
      </c>
      <c r="AJ16" s="28">
        <f t="shared" si="10"/>
        <v>8.0805667114355079E-2</v>
      </c>
      <c r="AK16" s="28">
        <f t="shared" si="11"/>
        <v>0.13167706883861827</v>
      </c>
      <c r="AL16" s="25">
        <f t="shared" si="12"/>
        <v>4049184</v>
      </c>
      <c r="AM16" s="28">
        <f t="shared" si="13"/>
        <v>0.25148778325708571</v>
      </c>
      <c r="AN16" s="29">
        <v>33894386</v>
      </c>
      <c r="AO16" s="29">
        <v>1059199.5625</v>
      </c>
      <c r="AP16" s="29">
        <v>42003.15625</v>
      </c>
      <c r="AQ16" s="30">
        <v>8524024</v>
      </c>
      <c r="AR16" s="30">
        <v>2743168</v>
      </c>
      <c r="AS16" s="30">
        <v>1306016</v>
      </c>
      <c r="AT16" s="30">
        <v>4470136</v>
      </c>
      <c r="AU16" s="31">
        <v>67.886768750000002</v>
      </c>
      <c r="AV16" s="31">
        <v>69.979771874999997</v>
      </c>
      <c r="AW16" s="31">
        <v>32.031434375000003</v>
      </c>
      <c r="AX16" s="31">
        <v>44.007621874999998</v>
      </c>
      <c r="AY16" s="31">
        <v>44.339871875</v>
      </c>
      <c r="AZ16" s="32">
        <v>4811.53</v>
      </c>
      <c r="BA16" s="32">
        <v>997.18700000000001</v>
      </c>
      <c r="BB16" s="32">
        <v>6.8170000000000002</v>
      </c>
      <c r="BC16" s="32">
        <v>16.962</v>
      </c>
      <c r="BE16" s="33">
        <f t="shared" si="14"/>
        <v>1.7572547878730582E-3</v>
      </c>
      <c r="BF16" s="33">
        <f t="shared" si="15"/>
        <v>5.8512899784908201E-2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962344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12.060135000000001</v>
      </c>
      <c r="J17" s="18">
        <f t="shared" si="1"/>
        <v>0.37893987454473377</v>
      </c>
      <c r="K17" s="18">
        <f t="shared" si="2"/>
        <v>0.11565360593604554</v>
      </c>
      <c r="L17" s="18">
        <f t="shared" si="3"/>
        <v>7.7182212954638077E-2</v>
      </c>
      <c r="M17" s="18">
        <f t="shared" si="4"/>
        <v>0.26327236487589534</v>
      </c>
      <c r="N17" s="15">
        <f t="shared" si="5"/>
        <v>3926176</v>
      </c>
      <c r="O17" s="18">
        <f t="shared" si="6"/>
        <v>0.37772142687134885</v>
      </c>
      <c r="P17" s="19">
        <v>34057226</v>
      </c>
      <c r="Q17" s="19">
        <v>1064288.3125</v>
      </c>
      <c r="R17" s="19">
        <v>41259.5</v>
      </c>
      <c r="S17" s="20">
        <v>12864144</v>
      </c>
      <c r="T17" s="20">
        <v>2620160</v>
      </c>
      <c r="U17" s="20">
        <v>1306016</v>
      </c>
      <c r="V17" s="20">
        <v>8937496</v>
      </c>
      <c r="W17" s="21">
        <v>69.260087499999997</v>
      </c>
      <c r="X17" s="21">
        <v>71.842303125000001</v>
      </c>
      <c r="Y17" s="21">
        <v>34.605715625000002</v>
      </c>
      <c r="Z17" s="21">
        <v>44.834134374999998</v>
      </c>
      <c r="AA17" s="21">
        <v>45.275284374999998</v>
      </c>
      <c r="AB17" s="22">
        <v>5286.8</v>
      </c>
      <c r="AC17" s="22">
        <v>1097.9100000000001</v>
      </c>
      <c r="AD17" s="22">
        <v>6.7830000000000004</v>
      </c>
      <c r="AE17" s="22">
        <v>17.367999999999999</v>
      </c>
      <c r="AG17" s="17">
        <f t="shared" si="7"/>
        <v>12.9989325</v>
      </c>
      <c r="AH17" s="18">
        <f t="shared" si="8"/>
        <v>0.40843770411902208</v>
      </c>
      <c r="AI17" s="18">
        <f t="shared" si="9"/>
        <v>0.14215317801332036</v>
      </c>
      <c r="AJ17" s="18">
        <f t="shared" si="10"/>
        <v>0.1036817850319129</v>
      </c>
      <c r="AK17" s="18">
        <f t="shared" si="11"/>
        <v>0.26614596009074898</v>
      </c>
      <c r="AL17" s="15">
        <f t="shared" si="12"/>
        <v>4825776</v>
      </c>
      <c r="AM17" s="18">
        <f t="shared" si="13"/>
        <v>0.40566609547895699</v>
      </c>
      <c r="AN17" s="19">
        <v>34179657</v>
      </c>
      <c r="AO17" s="19">
        <v>1068114.28125</v>
      </c>
      <c r="AP17" s="19">
        <v>43302.1875</v>
      </c>
      <c r="AQ17" s="20">
        <v>13865528</v>
      </c>
      <c r="AR17" s="20">
        <v>3519760</v>
      </c>
      <c r="AS17" s="20">
        <v>1306016</v>
      </c>
      <c r="AT17" s="20">
        <v>9035048</v>
      </c>
      <c r="AU17" s="21">
        <v>69.300228125000004</v>
      </c>
      <c r="AV17" s="21">
        <v>71.844459375</v>
      </c>
      <c r="AW17" s="21">
        <v>34.6139625</v>
      </c>
      <c r="AX17" s="21">
        <v>44.838465624999998</v>
      </c>
      <c r="AY17" s="21">
        <v>45.29200625</v>
      </c>
      <c r="AZ17" s="22">
        <v>4924.6499999999996</v>
      </c>
      <c r="BA17" s="22">
        <v>1089.8</v>
      </c>
      <c r="BB17" s="22">
        <v>6.96</v>
      </c>
      <c r="BC17" s="22">
        <v>17.454000000000001</v>
      </c>
      <c r="BE17" s="23">
        <f t="shared" si="14"/>
        <v>1.773560524345616E-3</v>
      </c>
      <c r="BF17" s="23">
        <f t="shared" si="15"/>
        <v>4.2838220640966596E-2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1001384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21.963809999999999</v>
      </c>
      <c r="J18" s="28">
        <f t="shared" si="1"/>
        <v>0.69012191040352111</v>
      </c>
      <c r="K18" s="28">
        <f t="shared" si="2"/>
        <v>0.15423646443628405</v>
      </c>
      <c r="L18" s="28">
        <f t="shared" si="3"/>
        <v>0.11576507145487658</v>
      </c>
      <c r="M18" s="28">
        <f t="shared" si="4"/>
        <v>0.53587154223444411</v>
      </c>
      <c r="N18" s="25">
        <f t="shared" si="5"/>
        <v>5235976</v>
      </c>
      <c r="O18" s="28">
        <f t="shared" si="6"/>
        <v>0.65836030009435031</v>
      </c>
      <c r="P18" s="29">
        <v>35585475</v>
      </c>
      <c r="Q18" s="29">
        <v>1112046.09375</v>
      </c>
      <c r="R18" s="29">
        <v>46814.3125</v>
      </c>
      <c r="S18" s="30">
        <v>23428064</v>
      </c>
      <c r="T18" s="30">
        <v>3929960</v>
      </c>
      <c r="U18" s="30">
        <v>1306016</v>
      </c>
      <c r="V18" s="30">
        <v>18191616</v>
      </c>
      <c r="W18" s="31">
        <v>70.364343750000003</v>
      </c>
      <c r="X18" s="31">
        <v>73.219015624999997</v>
      </c>
      <c r="Y18" s="31">
        <v>37.267678125000003</v>
      </c>
      <c r="Z18" s="31">
        <v>46.198950000000004</v>
      </c>
      <c r="AA18" s="31">
        <v>46.691428125000002</v>
      </c>
      <c r="AB18" s="32">
        <v>5326.11</v>
      </c>
      <c r="AC18" s="32">
        <v>1288.68</v>
      </c>
      <c r="AD18" s="32">
        <v>6.931</v>
      </c>
      <c r="AE18" s="32">
        <v>18.911000000000001</v>
      </c>
      <c r="AG18" s="27">
        <f t="shared" si="7"/>
        <v>22.9604775</v>
      </c>
      <c r="AH18" s="28">
        <f t="shared" si="8"/>
        <v>0.72143806543933231</v>
      </c>
      <c r="AI18" s="28">
        <f t="shared" si="9"/>
        <v>0.18073603651355888</v>
      </c>
      <c r="AJ18" s="28">
        <f t="shared" si="10"/>
        <v>0.1422646435321514</v>
      </c>
      <c r="AK18" s="28">
        <f t="shared" si="11"/>
        <v>0.54056346291082069</v>
      </c>
      <c r="AL18" s="25">
        <f t="shared" si="12"/>
        <v>6135576</v>
      </c>
      <c r="AM18" s="28">
        <f t="shared" si="13"/>
        <v>0.68587544730290262</v>
      </c>
      <c r="AN18" s="29">
        <v>35707906</v>
      </c>
      <c r="AO18" s="29">
        <v>1115872.0625</v>
      </c>
      <c r="AP18" s="29">
        <v>48856.25</v>
      </c>
      <c r="AQ18" s="30">
        <v>24491176</v>
      </c>
      <c r="AR18" s="30">
        <v>4829560</v>
      </c>
      <c r="AS18" s="30">
        <v>1306016</v>
      </c>
      <c r="AT18" s="30">
        <v>18350896</v>
      </c>
      <c r="AU18" s="31">
        <v>70.362856249999993</v>
      </c>
      <c r="AV18" s="31">
        <v>73.217215624999994</v>
      </c>
      <c r="AW18" s="31">
        <v>37.290234374999997</v>
      </c>
      <c r="AX18" s="31">
        <v>46.178996875000003</v>
      </c>
      <c r="AY18" s="31">
        <v>46.657743750000002</v>
      </c>
      <c r="AZ18" s="32">
        <v>4779.8</v>
      </c>
      <c r="BA18" s="32">
        <v>1282.19</v>
      </c>
      <c r="BB18" s="32">
        <v>7.6269999999999998</v>
      </c>
      <c r="BC18" s="32">
        <v>18.256</v>
      </c>
      <c r="BE18" s="33">
        <f t="shared" si="14"/>
        <v>1.6855641508226882E-3</v>
      </c>
      <c r="BF18" s="33">
        <f t="shared" si="15"/>
        <v>2.7030281266480299E-2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1063112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40.459732500000001</v>
      </c>
      <c r="J19" s="38">
        <f t="shared" si="1"/>
        <v>1.2712797955962754</v>
      </c>
      <c r="K19" s="38">
        <f t="shared" si="2"/>
        <v>0.21745744441496775</v>
      </c>
      <c r="L19" s="38">
        <f t="shared" si="3"/>
        <v>0.17898605143356028</v>
      </c>
      <c r="M19" s="38">
        <f t="shared" si="4"/>
        <v>1.0538084474485148</v>
      </c>
      <c r="N19" s="35">
        <f t="shared" si="5"/>
        <v>7382184</v>
      </c>
      <c r="O19" s="38">
        <f t="shared" si="6"/>
        <v>1.2008858558108806</v>
      </c>
      <c r="P19" s="39">
        <v>35937677</v>
      </c>
      <c r="Q19" s="39">
        <v>1123052.40625</v>
      </c>
      <c r="R19" s="39">
        <v>49618.46875</v>
      </c>
      <c r="S19" s="40">
        <v>43157048</v>
      </c>
      <c r="T19" s="40">
        <v>6076168</v>
      </c>
      <c r="U19" s="40">
        <v>1306016</v>
      </c>
      <c r="V19" s="40">
        <v>35774392</v>
      </c>
      <c r="W19" s="41">
        <v>71.276459375000002</v>
      </c>
      <c r="X19" s="41">
        <v>74.402046874999996</v>
      </c>
      <c r="Y19" s="41">
        <v>39.331274999999998</v>
      </c>
      <c r="Z19" s="41">
        <v>48.002015624999999</v>
      </c>
      <c r="AA19" s="41">
        <v>48.57079375</v>
      </c>
      <c r="AB19" s="42">
        <v>5492.05</v>
      </c>
      <c r="AC19" s="42">
        <v>1587.84</v>
      </c>
      <c r="AD19" s="42">
        <v>6.7969999999999997</v>
      </c>
      <c r="AE19" s="42">
        <v>19.852</v>
      </c>
      <c r="AG19" s="37">
        <f t="shared" si="7"/>
        <v>41.558594999999997</v>
      </c>
      <c r="AH19" s="38">
        <f t="shared" si="8"/>
        <v>1.3058070059377775</v>
      </c>
      <c r="AI19" s="38">
        <f t="shared" si="9"/>
        <v>0.24395701649224258</v>
      </c>
      <c r="AJ19" s="38">
        <f t="shared" si="10"/>
        <v>0.2054856235108351</v>
      </c>
      <c r="AK19" s="38">
        <f t="shared" si="11"/>
        <v>1.0617114234305822</v>
      </c>
      <c r="AL19" s="35">
        <f t="shared" si="12"/>
        <v>8281784</v>
      </c>
      <c r="AM19" s="38">
        <f t="shared" si="13"/>
        <v>1.229313234447329</v>
      </c>
      <c r="AN19" s="39">
        <v>36060108</v>
      </c>
      <c r="AO19" s="39">
        <v>1126878.375</v>
      </c>
      <c r="AP19" s="39">
        <v>51602.0625</v>
      </c>
      <c r="AQ19" s="40">
        <v>44329168</v>
      </c>
      <c r="AR19" s="40">
        <v>6975768</v>
      </c>
      <c r="AS19" s="40">
        <v>1306016</v>
      </c>
      <c r="AT19" s="40">
        <v>36042680</v>
      </c>
      <c r="AU19" s="41">
        <v>71.272062500000004</v>
      </c>
      <c r="AV19" s="41">
        <v>74.395834375000007</v>
      </c>
      <c r="AW19" s="41">
        <v>39.331499999999998</v>
      </c>
      <c r="AX19" s="41">
        <v>47.989096875000001</v>
      </c>
      <c r="AY19" s="41">
        <v>48.552862500000003</v>
      </c>
      <c r="AZ19" s="42">
        <v>4805.92</v>
      </c>
      <c r="BA19" s="42">
        <v>1590.71</v>
      </c>
      <c r="BB19" s="42">
        <v>7.2439999999999998</v>
      </c>
      <c r="BC19" s="42">
        <v>19.803000000000001</v>
      </c>
      <c r="BE19" s="43">
        <f t="shared" si="14"/>
        <v>1.6102497231025789E-3</v>
      </c>
      <c r="BF19" s="43">
        <f t="shared" si="15"/>
        <v>1.5770750116067211E-2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1172120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5.2679999999999998</v>
      </c>
      <c r="J20" s="28">
        <f t="shared" si="1"/>
        <v>0.10467424305199532</v>
      </c>
      <c r="K20" s="28">
        <f t="shared" si="2"/>
        <v>5.9153465314719572E-2</v>
      </c>
      <c r="L20" s="28">
        <f t="shared" si="3"/>
        <v>2.8262592044252088E-2</v>
      </c>
      <c r="M20" s="28">
        <f t="shared" si="4"/>
        <v>4.5506123740644999E-2</v>
      </c>
      <c r="N20" s="25">
        <f t="shared" si="5"/>
        <v>1905312</v>
      </c>
      <c r="O20" s="28">
        <f t="shared" si="6"/>
        <v>0.11022491077360297</v>
      </c>
      <c r="P20" s="29">
        <v>30587641</v>
      </c>
      <c r="Q20" s="29">
        <v>955863.78125</v>
      </c>
      <c r="R20" s="29">
        <v>27495.84375</v>
      </c>
      <c r="S20" s="30">
        <v>3371520</v>
      </c>
      <c r="T20" s="30">
        <v>910328</v>
      </c>
      <c r="U20" s="30">
        <v>994984</v>
      </c>
      <c r="V20" s="30">
        <v>1465736</v>
      </c>
      <c r="W20" s="31">
        <v>67.020143750000003</v>
      </c>
      <c r="X20" s="31">
        <v>68.734246874999997</v>
      </c>
      <c r="Y20" s="31">
        <v>30.842065625</v>
      </c>
      <c r="Z20" s="31">
        <v>39.512446875000002</v>
      </c>
      <c r="AA20" s="31">
        <v>38.325375000000001</v>
      </c>
      <c r="AB20" s="32">
        <v>5138.8599999999997</v>
      </c>
      <c r="AC20" s="32">
        <v>925.02099999999996</v>
      </c>
      <c r="AD20" s="32">
        <v>5.5960000000000001</v>
      </c>
      <c r="AE20" s="32">
        <v>16.702999999999999</v>
      </c>
      <c r="AG20" s="27">
        <f t="shared" si="7"/>
        <v>6.0133749999999999</v>
      </c>
      <c r="AH20" s="28">
        <f t="shared" si="8"/>
        <v>0.11948471456203348</v>
      </c>
      <c r="AI20" s="28">
        <f t="shared" si="9"/>
        <v>7.2664946953929291E-2</v>
      </c>
      <c r="AJ20" s="28">
        <f t="shared" si="10"/>
        <v>4.177407368346181E-2</v>
      </c>
      <c r="AK20" s="28">
        <f t="shared" si="11"/>
        <v>4.667372438744509E-2</v>
      </c>
      <c r="AL20" s="25">
        <f t="shared" si="12"/>
        <v>2340512</v>
      </c>
      <c r="AM20" s="28">
        <f t="shared" si="13"/>
        <v>0.12558937733734635</v>
      </c>
      <c r="AN20" s="29">
        <v>30643993</v>
      </c>
      <c r="AO20" s="29">
        <v>957624.78125</v>
      </c>
      <c r="AP20" s="29">
        <v>28469.5625</v>
      </c>
      <c r="AQ20" s="30">
        <v>3848560</v>
      </c>
      <c r="AR20" s="30">
        <v>1345528</v>
      </c>
      <c r="AS20" s="30">
        <v>994984</v>
      </c>
      <c r="AT20" s="30">
        <v>1503344</v>
      </c>
      <c r="AU20" s="31">
        <v>67.026121875000001</v>
      </c>
      <c r="AV20" s="31">
        <v>68.741024999999993</v>
      </c>
      <c r="AW20" s="31">
        <v>30.8673</v>
      </c>
      <c r="AX20" s="31">
        <v>39.469896875000003</v>
      </c>
      <c r="AY20" s="31">
        <v>38.281509374999999</v>
      </c>
      <c r="AZ20" s="32">
        <v>4388.76</v>
      </c>
      <c r="BA20" s="32">
        <v>925.07299999999998</v>
      </c>
      <c r="BB20" s="32">
        <v>5.6</v>
      </c>
      <c r="BC20" s="32">
        <v>15.855</v>
      </c>
      <c r="BE20" s="33">
        <f t="shared" si="14"/>
        <v>9.6390864717122923E-4</v>
      </c>
      <c r="BF20" s="33">
        <f t="shared" si="15"/>
        <v>4.3033069718873107E-2</v>
      </c>
      <c r="BG20" s="33">
        <f t="array" ref="BG20">AVERAGE(AL20:AL24/AQ20:AQ24) - AVERAGE(N20:N24/S20:S24)</f>
        <v>2.7448129750730799E-2</v>
      </c>
      <c r="BI20" s="34">
        <f>IF( OR(ISBLANK(N20:N24),ISBLANK(AL20:AL24), ISBLANK(W20:W24),ISBLANK(AU20:AU24)), "·", bdRateExtend( N20:N24,W20:W24, AL20:AL24,AU20:AU24))</f>
        <v>0.16716478834685278</v>
      </c>
      <c r="BJ20" s="34">
        <f>IF( OR(ISBLANK(N20:N24),ISBLANK(AL20:AL24), ISBLANK(X20:X24),ISBLANK(AV20:AV24)), "·", bdRateExtend( N20:N24,X20:X24, AL20:AL24,AV20:AV24))</f>
        <v>0.16634269198863705</v>
      </c>
      <c r="BK20" s="34">
        <f>IF( OR(ISBLANK(V20:V24),ISBLANK(AT20:AT24), ISBLANK(Y20:Y24),ISBLANK(AW20:AW24)), "·", bdRateExtend( V20:V24,Y20:Y24, AT20:AT24,AW20:AW24))</f>
        <v>-7.1209431367403875E-3</v>
      </c>
      <c r="BL20" s="34">
        <f>IF( OR(ISBLANK(V20:V24),ISBLANK(AT20:AT24), ISBLANK(Z20:Z24),ISBLANK(AX20:AX24)), "·", bdRateExtend( V20:V24,Z20:Z24, AT20:AT24,AX20:AX24))</f>
        <v>4.1385199683031892E-2</v>
      </c>
      <c r="BM20" s="34">
        <f>IF( OR(ISBLANK(V20:V24),ISBLANK(AT20:AT24), ISBLANK(AA20:AA24),ISBLANK(AY20:AY24)), "·", bdRateExtend( V20:V24,AA20:AA24, AT20:AT24,AY20:AY24))</f>
        <v>5.1960464759857938E-2</v>
      </c>
      <c r="BO20" s="34">
        <f>IF( OR(ISBLANK(S20:S24),ISBLANK(AQ20:AQ24), ISBLANK(W20:W24),ISBLANK(AU20:AU24)), "·", bdRateExtend( S20:S24,W20:W24, AQ20:AQ24,AU20:AU24))</f>
        <v>7.70946814624347E-2</v>
      </c>
      <c r="BP20" s="34">
        <f>IF( OR(ISBLANK(S20:S24),ISBLANK(AQ20:AQ24), ISBLANK(X20:X24),ISBLANK(AV20:AV24)), "·", bdRateExtend( S20:S24,X20:X24, AQ20:AQ24,AV20:AV24))</f>
        <v>7.6591697893185984E-2</v>
      </c>
      <c r="BQ20" s="34">
        <f>IF( OR(ISBLANK(S20:S24),ISBLANK(AQ20:AQ24), ISBLANK(Y20:Y24),ISBLANK(AW20:AW24)), "·", bdRateExtend( S20:S24,Y20:Y24, AQ20:AQ24,AW20:AW24))</f>
        <v>5.1221148897570012E-2</v>
      </c>
      <c r="BR20" s="34">
        <f>IF( OR(ISBLANK(S20:S24),ISBLANK(AQ20:AQ24), ISBLANK(Z20:Z24),ISBLANK(AX20:AX24)), "·", bdRateExtend( S20:S24,Z20:Z24, AQ20:AQ24,AX20:AX24))</f>
        <v>8.5276580731946883E-2</v>
      </c>
      <c r="BS20" s="34">
        <f>IF( OR(ISBLANK(S20:S24),ISBLANK(AQ20:AQ24), ISBLANK(AA20:AA24),ISBLANK(AY20:AY24)), "·", bdRateExtend( S20:S24,AA20:AA24, AQ20:AQ24,AY20:AY24))</f>
        <v>9.7756677721466678E-2</v>
      </c>
      <c r="BU20" s="4">
        <f t="shared" si="16"/>
        <v>477040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8.3442124999999994</v>
      </c>
      <c r="J21" s="18">
        <f t="shared" si="1"/>
        <v>0.16579804998149156</v>
      </c>
      <c r="K21" s="18">
        <f t="shared" si="2"/>
        <v>6.9731167153886178E-2</v>
      </c>
      <c r="L21" s="18">
        <f t="shared" si="3"/>
        <v>3.8840293883418704E-2</v>
      </c>
      <c r="M21" s="18">
        <f t="shared" si="4"/>
        <v>9.6052228830974626E-2</v>
      </c>
      <c r="N21" s="15">
        <f t="shared" si="5"/>
        <v>2246016</v>
      </c>
      <c r="O21" s="18">
        <f t="shared" si="6"/>
        <v>0.16868797250348927</v>
      </c>
      <c r="P21" s="19">
        <v>31657835</v>
      </c>
      <c r="Q21" s="19">
        <v>989307.34375</v>
      </c>
      <c r="R21" s="19">
        <v>32532.3125</v>
      </c>
      <c r="S21" s="20">
        <v>5340296</v>
      </c>
      <c r="T21" s="20">
        <v>1251032</v>
      </c>
      <c r="U21" s="20">
        <v>994984</v>
      </c>
      <c r="V21" s="20">
        <v>3093808</v>
      </c>
      <c r="W21" s="21">
        <v>68.592931250000007</v>
      </c>
      <c r="X21" s="21">
        <v>70.761106249999997</v>
      </c>
      <c r="Y21" s="21">
        <v>32.755375000000001</v>
      </c>
      <c r="Z21" s="21">
        <v>40.610009374999997</v>
      </c>
      <c r="AA21" s="21">
        <v>39.613965624999999</v>
      </c>
      <c r="AB21" s="22">
        <v>4931.7299999999996</v>
      </c>
      <c r="AC21" s="22">
        <v>1023.99</v>
      </c>
      <c r="AD21" s="22">
        <v>6.0129999999999999</v>
      </c>
      <c r="AE21" s="22">
        <v>16.79</v>
      </c>
      <c r="AG21" s="17">
        <f t="shared" si="7"/>
        <v>9.1493374999999997</v>
      </c>
      <c r="AH21" s="18">
        <f t="shared" si="8"/>
        <v>0.18179574359144557</v>
      </c>
      <c r="AI21" s="18">
        <f t="shared" si="9"/>
        <v>8.3242648793095911E-2</v>
      </c>
      <c r="AJ21" s="18">
        <f t="shared" si="10"/>
        <v>5.2351775522628423E-2</v>
      </c>
      <c r="AK21" s="18">
        <f t="shared" si="11"/>
        <v>9.8407051577690571E-2</v>
      </c>
      <c r="AL21" s="15">
        <f t="shared" si="12"/>
        <v>2681216</v>
      </c>
      <c r="AM21" s="18">
        <f t="shared" si="13"/>
        <v>0.18463585397916712</v>
      </c>
      <c r="AN21" s="19">
        <v>31714187</v>
      </c>
      <c r="AO21" s="19">
        <v>991068.34375</v>
      </c>
      <c r="AP21" s="19">
        <v>33536.6875</v>
      </c>
      <c r="AQ21" s="20">
        <v>5855576</v>
      </c>
      <c r="AR21" s="20">
        <v>1686232</v>
      </c>
      <c r="AS21" s="20">
        <v>994984</v>
      </c>
      <c r="AT21" s="20">
        <v>3169656</v>
      </c>
      <c r="AU21" s="21">
        <v>68.597206249999999</v>
      </c>
      <c r="AV21" s="21">
        <v>70.765928125000002</v>
      </c>
      <c r="AW21" s="21">
        <v>32.811628124999999</v>
      </c>
      <c r="AX21" s="21">
        <v>40.573112500000001</v>
      </c>
      <c r="AY21" s="21">
        <v>39.561340625</v>
      </c>
      <c r="AZ21" s="22">
        <v>4804.7700000000004</v>
      </c>
      <c r="BA21" s="22">
        <v>985.97299999999996</v>
      </c>
      <c r="BB21" s="22">
        <v>5.7910000000000004</v>
      </c>
      <c r="BC21" s="22">
        <v>16.209</v>
      </c>
      <c r="BE21" s="23">
        <f t="shared" si="14"/>
        <v>9.5499609780960032E-4</v>
      </c>
      <c r="BF21" s="23">
        <f t="shared" si="15"/>
        <v>3.731214261153859E-2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515280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13.925675</v>
      </c>
      <c r="J22" s="28">
        <f t="shared" si="1"/>
        <v>0.27670073834720865</v>
      </c>
      <c r="K22" s="28">
        <f t="shared" si="2"/>
        <v>8.6265097691396328E-2</v>
      </c>
      <c r="L22" s="28">
        <f t="shared" si="3"/>
        <v>5.5374224420928847E-2</v>
      </c>
      <c r="M22" s="28">
        <f t="shared" si="4"/>
        <v>0.19042098665918153</v>
      </c>
      <c r="N22" s="25">
        <f t="shared" si="5"/>
        <v>2778568</v>
      </c>
      <c r="O22" s="28">
        <f t="shared" si="6"/>
        <v>0.27010459529840158</v>
      </c>
      <c r="P22" s="29">
        <v>32996225</v>
      </c>
      <c r="Q22" s="29">
        <v>1031132.03125</v>
      </c>
      <c r="R22" s="29">
        <v>34910.03125</v>
      </c>
      <c r="S22" s="30">
        <v>8912432</v>
      </c>
      <c r="T22" s="30">
        <v>1783584</v>
      </c>
      <c r="U22" s="30">
        <v>994984</v>
      </c>
      <c r="V22" s="30">
        <v>6133392</v>
      </c>
      <c r="W22" s="31">
        <v>69.795837500000005</v>
      </c>
      <c r="X22" s="31">
        <v>72.356040625000006</v>
      </c>
      <c r="Y22" s="31">
        <v>34.611943750000002</v>
      </c>
      <c r="Z22" s="31">
        <v>41.691915625</v>
      </c>
      <c r="AA22" s="31">
        <v>40.689765625</v>
      </c>
      <c r="AB22" s="32">
        <v>4977.25</v>
      </c>
      <c r="AC22" s="32">
        <v>1097.51</v>
      </c>
      <c r="AD22" s="32">
        <v>5.7270000000000003</v>
      </c>
      <c r="AE22" s="32">
        <v>16.613</v>
      </c>
      <c r="AG22" s="27">
        <f t="shared" si="7"/>
        <v>14.799737500000001</v>
      </c>
      <c r="AH22" s="28">
        <f t="shared" si="8"/>
        <v>0.2940682080829024</v>
      </c>
      <c r="AI22" s="28">
        <f t="shared" si="9"/>
        <v>9.9776579330606061E-2</v>
      </c>
      <c r="AJ22" s="28">
        <f t="shared" si="10"/>
        <v>6.888570606013858E-2</v>
      </c>
      <c r="AK22" s="28">
        <f t="shared" si="11"/>
        <v>0.19414558553163722</v>
      </c>
      <c r="AL22" s="25">
        <f t="shared" si="12"/>
        <v>3213768</v>
      </c>
      <c r="AM22" s="28">
        <f t="shared" si="13"/>
        <v>0.28656863880840516</v>
      </c>
      <c r="AN22" s="29">
        <v>33052577</v>
      </c>
      <c r="AO22" s="29">
        <v>1032893.03125</v>
      </c>
      <c r="AP22" s="29">
        <v>35911.625</v>
      </c>
      <c r="AQ22" s="30">
        <v>9471832</v>
      </c>
      <c r="AR22" s="30">
        <v>2218784</v>
      </c>
      <c r="AS22" s="30">
        <v>994984</v>
      </c>
      <c r="AT22" s="30">
        <v>6253360</v>
      </c>
      <c r="AU22" s="31">
        <v>69.798749999999998</v>
      </c>
      <c r="AV22" s="31">
        <v>72.359071874999998</v>
      </c>
      <c r="AW22" s="31">
        <v>34.687484374999997</v>
      </c>
      <c r="AX22" s="31">
        <v>41.657306249999998</v>
      </c>
      <c r="AY22" s="31">
        <v>40.635115624999997</v>
      </c>
      <c r="AZ22" s="32">
        <v>4725.04</v>
      </c>
      <c r="BA22" s="32">
        <v>1065.33</v>
      </c>
      <c r="BB22" s="32">
        <v>5.8410000000000002</v>
      </c>
      <c r="BC22" s="32">
        <v>16.687999999999999</v>
      </c>
      <c r="BE22" s="33">
        <f t="shared" si="14"/>
        <v>9.1197564749050108E-4</v>
      </c>
      <c r="BF22" s="33">
        <f t="shared" si="15"/>
        <v>2.7534238995331584E-2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559400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24.380737499999999</v>
      </c>
      <c r="J23" s="18">
        <f t="shared" si="1"/>
        <v>0.48444101041417936</v>
      </c>
      <c r="K23" s="18">
        <f t="shared" si="2"/>
        <v>0.11453365068343042</v>
      </c>
      <c r="L23" s="18">
        <f t="shared" si="3"/>
        <v>8.3642777412962943E-2</v>
      </c>
      <c r="M23" s="18">
        <f t="shared" si="4"/>
        <v>0.3698927057341182</v>
      </c>
      <c r="N23" s="15">
        <f t="shared" si="5"/>
        <v>3689088</v>
      </c>
      <c r="O23" s="18">
        <f t="shared" si="6"/>
        <v>0.47261329509378075</v>
      </c>
      <c r="P23" s="19">
        <v>33015728</v>
      </c>
      <c r="Q23" s="19">
        <v>1031741.5</v>
      </c>
      <c r="R23" s="19">
        <v>36525.53125</v>
      </c>
      <c r="S23" s="20">
        <v>15603672</v>
      </c>
      <c r="T23" s="20">
        <v>2694104</v>
      </c>
      <c r="U23" s="20">
        <v>994984</v>
      </c>
      <c r="V23" s="20">
        <v>11914112</v>
      </c>
      <c r="W23" s="21">
        <v>70.797381250000001</v>
      </c>
      <c r="X23" s="21">
        <v>73.705390625000007</v>
      </c>
      <c r="Y23" s="21">
        <v>36.296262499999997</v>
      </c>
      <c r="Z23" s="21">
        <v>42.884687499999998</v>
      </c>
      <c r="AA23" s="21">
        <v>41.799809375000002</v>
      </c>
      <c r="AB23" s="22">
        <v>5166.28</v>
      </c>
      <c r="AC23" s="22">
        <v>1213.05</v>
      </c>
      <c r="AD23" s="22">
        <v>5.8120000000000003</v>
      </c>
      <c r="AE23" s="22">
        <v>17.173999999999999</v>
      </c>
      <c r="AG23" s="17">
        <f t="shared" si="7"/>
        <v>25.315212500000001</v>
      </c>
      <c r="AH23" s="18">
        <f t="shared" si="8"/>
        <v>0.50300886600947425</v>
      </c>
      <c r="AI23" s="18">
        <f t="shared" si="9"/>
        <v>0.12804513232264014</v>
      </c>
      <c r="AJ23" s="18">
        <f t="shared" si="10"/>
        <v>9.7154259052172662E-2</v>
      </c>
      <c r="AK23" s="18">
        <f t="shared" si="11"/>
        <v>0.37481769046617497</v>
      </c>
      <c r="AL23" s="15">
        <f t="shared" si="12"/>
        <v>4124288</v>
      </c>
      <c r="AM23" s="18">
        <f t="shared" si="13"/>
        <v>0.48989165483392638</v>
      </c>
      <c r="AN23" s="19">
        <v>33072080</v>
      </c>
      <c r="AO23" s="19">
        <v>1033502.5</v>
      </c>
      <c r="AP23" s="19">
        <v>37507.4375</v>
      </c>
      <c r="AQ23" s="20">
        <v>16201736</v>
      </c>
      <c r="AR23" s="20">
        <v>3129304</v>
      </c>
      <c r="AS23" s="20">
        <v>994984</v>
      </c>
      <c r="AT23" s="20">
        <v>12072744</v>
      </c>
      <c r="AU23" s="21">
        <v>70.799665625000003</v>
      </c>
      <c r="AV23" s="21">
        <v>73.707721875000004</v>
      </c>
      <c r="AW23" s="21">
        <v>36.379609375000001</v>
      </c>
      <c r="AX23" s="21">
        <v>42.849499999999999</v>
      </c>
      <c r="AY23" s="21">
        <v>41.748615624999999</v>
      </c>
      <c r="AZ23" s="22">
        <v>4680.68</v>
      </c>
      <c r="BA23" s="22">
        <v>1206.01</v>
      </c>
      <c r="BB23" s="22">
        <v>6.1820000000000004</v>
      </c>
      <c r="BC23" s="22">
        <v>17.802</v>
      </c>
      <c r="BE23" s="23">
        <f t="shared" si="14"/>
        <v>8.8975463291410956E-4</v>
      </c>
      <c r="BF23" s="23">
        <f t="shared" si="15"/>
        <v>1.8134051062988321E-2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598064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42.041725</v>
      </c>
      <c r="J24" s="48">
        <f t="shared" si="1"/>
        <v>0.83536175796794765</v>
      </c>
      <c r="K24" s="48">
        <f t="shared" si="2"/>
        <v>0.16055018057790954</v>
      </c>
      <c r="L24" s="48">
        <f t="shared" si="3"/>
        <v>0.12965930730744207</v>
      </c>
      <c r="M24" s="48">
        <f t="shared" si="4"/>
        <v>0.67479692339340736</v>
      </c>
      <c r="N24" s="45">
        <f t="shared" si="5"/>
        <v>5171264</v>
      </c>
      <c r="O24" s="48">
        <f t="shared" si="6"/>
        <v>0.80606464945073941</v>
      </c>
      <c r="P24" s="49">
        <v>33380330</v>
      </c>
      <c r="Q24" s="49">
        <v>1043135.3125</v>
      </c>
      <c r="R24" s="49">
        <v>37738.625</v>
      </c>
      <c r="S24" s="50">
        <v>26906704</v>
      </c>
      <c r="T24" s="50">
        <v>4176280</v>
      </c>
      <c r="U24" s="50">
        <v>994984</v>
      </c>
      <c r="V24" s="50">
        <v>21734968</v>
      </c>
      <c r="W24" s="51">
        <v>71.497268750000003</v>
      </c>
      <c r="X24" s="51">
        <v>74.665240624999996</v>
      </c>
      <c r="Y24" s="51">
        <v>37.58619375</v>
      </c>
      <c r="Z24" s="51">
        <v>44.082262499999999</v>
      </c>
      <c r="AA24" s="51">
        <v>42.781740624999998</v>
      </c>
      <c r="AB24" s="52">
        <v>4910.76</v>
      </c>
      <c r="AC24" s="52">
        <v>1435.46</v>
      </c>
      <c r="AD24" s="52">
        <v>5.8280000000000003</v>
      </c>
      <c r="AE24" s="52">
        <v>18.187000000000001</v>
      </c>
      <c r="AG24" s="47">
        <f t="shared" si="7"/>
        <v>43.0642</v>
      </c>
      <c r="AH24" s="48">
        <f t="shared" si="8"/>
        <v>0.85567815824596383</v>
      </c>
      <c r="AI24" s="48">
        <f t="shared" si="9"/>
        <v>0.17406166221711927</v>
      </c>
      <c r="AJ24" s="48">
        <f t="shared" si="10"/>
        <v>0.14317078894665178</v>
      </c>
      <c r="AK24" s="48">
        <f t="shared" si="11"/>
        <v>0.68147045280818541</v>
      </c>
      <c r="AL24" s="45">
        <f t="shared" si="12"/>
        <v>5606464</v>
      </c>
      <c r="AM24" s="48">
        <f t="shared" si="13"/>
        <v>0.82427700212598842</v>
      </c>
      <c r="AN24" s="49">
        <v>33436682</v>
      </c>
      <c r="AO24" s="49">
        <v>1044896.3125</v>
      </c>
      <c r="AP24" s="49">
        <v>38676.09375</v>
      </c>
      <c r="AQ24" s="50">
        <v>27561088</v>
      </c>
      <c r="AR24" s="50">
        <v>4611480</v>
      </c>
      <c r="AS24" s="50">
        <v>994984</v>
      </c>
      <c r="AT24" s="50">
        <v>21949920</v>
      </c>
      <c r="AU24" s="51">
        <v>71.498928125000006</v>
      </c>
      <c r="AV24" s="51">
        <v>74.666134374999999</v>
      </c>
      <c r="AW24" s="51">
        <v>37.675771875000002</v>
      </c>
      <c r="AX24" s="51">
        <v>44.031828124999997</v>
      </c>
      <c r="AY24" s="51">
        <v>42.725718749999999</v>
      </c>
      <c r="AZ24" s="52">
        <v>4672.46</v>
      </c>
      <c r="BA24" s="52">
        <v>1378.27</v>
      </c>
      <c r="BB24" s="52">
        <v>6.0380000000000003</v>
      </c>
      <c r="BC24" s="52">
        <v>18.140999999999998</v>
      </c>
      <c r="BE24" s="53">
        <f t="shared" si="14"/>
        <v>8.3621614299163316E-4</v>
      </c>
      <c r="BF24" s="53">
        <f t="shared" si="15"/>
        <v>1.1227146364922558E-2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654384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4.6757249999999999</v>
      </c>
      <c r="J25" s="18">
        <f t="shared" si="1"/>
        <v>0.1970353828051444</v>
      </c>
      <c r="K25" s="18">
        <f t="shared" si="2"/>
        <v>6.8769751182898131E-2</v>
      </c>
      <c r="L25" s="18">
        <f t="shared" si="3"/>
        <v>3.6444734929999549E-2</v>
      </c>
      <c r="M25" s="18">
        <f t="shared" si="4"/>
        <v>0.12824698464089232</v>
      </c>
      <c r="N25" s="15">
        <f t="shared" si="5"/>
        <v>1740728</v>
      </c>
      <c r="O25" s="18">
        <f t="shared" si="6"/>
        <v>0.21627508804941201</v>
      </c>
      <c r="P25" s="19">
        <v>23060631</v>
      </c>
      <c r="Q25" s="19">
        <v>720644.71875</v>
      </c>
      <c r="R25" s="19">
        <v>17794.15625</v>
      </c>
      <c r="S25" s="20">
        <v>4987440</v>
      </c>
      <c r="T25" s="20">
        <v>922504</v>
      </c>
      <c r="U25" s="20">
        <v>818224</v>
      </c>
      <c r="V25" s="20">
        <v>3246240</v>
      </c>
      <c r="W25" s="21">
        <v>66.213971874999999</v>
      </c>
      <c r="X25" s="21">
        <v>68.123893749999993</v>
      </c>
      <c r="Y25" s="21">
        <v>27.491409375</v>
      </c>
      <c r="Z25" s="21">
        <v>33.278868750000001</v>
      </c>
      <c r="AA25" s="21">
        <v>32.699599999999997</v>
      </c>
      <c r="AB25" s="22">
        <v>4293.82</v>
      </c>
      <c r="AC25" s="22">
        <v>1019.42</v>
      </c>
      <c r="AD25" s="22">
        <v>4.843</v>
      </c>
      <c r="AE25" s="22">
        <v>17.338000000000001</v>
      </c>
      <c r="AG25" s="17">
        <f t="shared" si="7"/>
        <v>5.5773149999999996</v>
      </c>
      <c r="AH25" s="18">
        <f t="shared" si="8"/>
        <v>0.23502844928858604</v>
      </c>
      <c r="AI25" s="18">
        <f t="shared" si="9"/>
        <v>0.10445533273641923</v>
      </c>
      <c r="AJ25" s="18">
        <f t="shared" si="10"/>
        <v>7.2130316483520654E-2</v>
      </c>
      <c r="AK25" s="18">
        <f t="shared" si="11"/>
        <v>0.13038727883969001</v>
      </c>
      <c r="AL25" s="15">
        <f t="shared" si="12"/>
        <v>2644016</v>
      </c>
      <c r="AM25" s="18">
        <f t="shared" si="13"/>
        <v>0.25619318548595643</v>
      </c>
      <c r="AN25" s="19">
        <v>23221289</v>
      </c>
      <c r="AO25" s="19">
        <v>725665.28125</v>
      </c>
      <c r="AP25" s="19">
        <v>20362.6875</v>
      </c>
      <c r="AQ25" s="20">
        <v>5949136</v>
      </c>
      <c r="AR25" s="20">
        <v>1825792</v>
      </c>
      <c r="AS25" s="20">
        <v>818224</v>
      </c>
      <c r="AT25" s="20">
        <v>3300416</v>
      </c>
      <c r="AU25" s="21">
        <v>66.335459374999999</v>
      </c>
      <c r="AV25" s="21">
        <v>68.138737500000005</v>
      </c>
      <c r="AW25" s="21">
        <v>27.474371874999999</v>
      </c>
      <c r="AX25" s="21">
        <v>33.208465625000002</v>
      </c>
      <c r="AY25" s="21">
        <v>32.632249999999999</v>
      </c>
      <c r="AZ25" s="22">
        <v>3746.86</v>
      </c>
      <c r="BA25" s="22">
        <v>953.101</v>
      </c>
      <c r="BB25" s="22">
        <v>4.8819999999999997</v>
      </c>
      <c r="BC25" s="22">
        <v>17.265999999999998</v>
      </c>
      <c r="BE25" s="23">
        <f t="shared" si="14"/>
        <v>3.3687205462719534E-3</v>
      </c>
      <c r="BF25" s="23">
        <f t="shared" si="15"/>
        <v>9.5414629576638599E-2</v>
      </c>
      <c r="BG25" s="23">
        <f t="array" ref="BG25">AVERAGE(AL25:AL29/AQ25:AQ29) - AVERAGE(N25:N29/S25:S29)</f>
        <v>4.9235372144692729E-2</v>
      </c>
      <c r="BI25" s="24">
        <f>IF( OR(ISBLANK(N25:N29),ISBLANK(AL25:AL29), ISBLANK(W25:W29),ISBLANK(AU25:AU29)), "·", bdRateExtend( N25:N29,W25:W29, AL25:AL29,AU25:AU29))</f>
        <v>0.36150644169968116</v>
      </c>
      <c r="BJ25" s="24">
        <f>IF( OR(ISBLANK(N25:N29),ISBLANK(AL25:AL29), ISBLANK(X25:X29),ISBLANK(AV25:AV29)), "·", bdRateExtend( N25:N29,X25:X29, AL25:AL29,AV25:AV29))</f>
        <v>0.361813104290581</v>
      </c>
      <c r="BK25" s="24">
        <f>IF( OR(ISBLANK(V25:V29),ISBLANK(AT25:AT29), ISBLANK(Y25:Y29),ISBLANK(AW25:AW29)), "·", bdRateExtend( V25:V29,Y25:Y29, AT25:AT29,AW25:AW29))</f>
        <v>1.1813313320708785E-2</v>
      </c>
      <c r="BL25" s="24">
        <f>IF( OR(ISBLANK(V25:V29),ISBLANK(AT25:AT29), ISBLANK(Z25:Z29),ISBLANK(AX25:AX29)), "·", bdRateExtend( V25:V29,Z25:Z29, AT25:AT29,AX25:AX29))</f>
        <v>4.104045621172081E-2</v>
      </c>
      <c r="BM25" s="24">
        <f>IF( OR(ISBLANK(V25:V29),ISBLANK(AT25:AT29), ISBLANK(AA25:AA29),ISBLANK(AY25:AY29)), "·", bdRateExtend( V25:V29,AA25:AA29, AT25:AT29,AY25:AY29))</f>
        <v>4.1746712004903541E-2</v>
      </c>
      <c r="BO25" s="24">
        <f>IF( OR(ISBLANK(S25:S29),ISBLANK(AQ25:AQ29), ISBLANK(W25:W29),ISBLANK(AU25:AU29)), "·", bdRateExtend( S25:S29,W25:W29, AQ25:AQ29,AU25:AU29))</f>
        <v>8.1230064458954754E-2</v>
      </c>
      <c r="BP25" s="24">
        <f>IF( OR(ISBLANK(S25:S29),ISBLANK(AQ25:AQ29), ISBLANK(X25:X29),ISBLANK(AV25:AV29)), "·", bdRateExtend( S25:S29,X25:X29, AQ25:AQ29,AV25:AV29))</f>
        <v>8.930592907493784E-2</v>
      </c>
      <c r="BQ25" s="24">
        <f>IF( OR(ISBLANK(S25:S29),ISBLANK(AQ25:AQ29), ISBLANK(Y25:Y29),ISBLANK(AW25:AW29)), "·", bdRateExtend( S25:S29,Y25:Y29, AQ25:AQ29,AW25:AW29))</f>
        <v>8.3813836585554746E-2</v>
      </c>
      <c r="BR25" s="24">
        <f>IF( OR(ISBLANK(S25:S29),ISBLANK(AQ25:AQ29), ISBLANK(Z25:Z29),ISBLANK(AX25:AX29)), "·", bdRateExtend( S25:S29,Z25:Z29, AQ25:AQ29,AX25:AX29))</f>
        <v>9.5789740052717232E-2</v>
      </c>
      <c r="BS25" s="24">
        <f>IF( OR(ISBLANK(S25:S29),ISBLANK(AQ25:AQ29), ISBLANK(AA25:AA29),ISBLANK(AY25:AY29)), "·", bdRateExtend( S25:S29,AA25:AA29, AQ25:AQ29,AY25:AY29))</f>
        <v>0.10050224055931811</v>
      </c>
      <c r="BU25" s="4">
        <f t="shared" si="16"/>
        <v>961696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8.0947125</v>
      </c>
      <c r="J26" s="28">
        <f t="shared" si="1"/>
        <v>0.34111175831236601</v>
      </c>
      <c r="K26" s="28">
        <f t="shared" si="2"/>
        <v>8.3279315030004256E-2</v>
      </c>
      <c r="L26" s="28">
        <f t="shared" si="3"/>
        <v>5.095429877710568E-2</v>
      </c>
      <c r="M26" s="28">
        <f t="shared" si="4"/>
        <v>0.25781379630100781</v>
      </c>
      <c r="N26" s="25">
        <f t="shared" si="5"/>
        <v>2108000</v>
      </c>
      <c r="O26" s="28">
        <f t="shared" si="6"/>
        <v>0.34444189933476899</v>
      </c>
      <c r="P26" s="29">
        <v>25067682</v>
      </c>
      <c r="Q26" s="29">
        <v>783365.0625</v>
      </c>
      <c r="R26" s="29">
        <v>23471.96875</v>
      </c>
      <c r="S26" s="30">
        <v>8634360</v>
      </c>
      <c r="T26" s="30">
        <v>1289776</v>
      </c>
      <c r="U26" s="30">
        <v>818224</v>
      </c>
      <c r="V26" s="30">
        <v>6525888</v>
      </c>
      <c r="W26" s="31">
        <v>68.024268750000005</v>
      </c>
      <c r="X26" s="31">
        <v>70.118606249999999</v>
      </c>
      <c r="Y26" s="31">
        <v>29.920506249999999</v>
      </c>
      <c r="Z26" s="31">
        <v>34.446249999999999</v>
      </c>
      <c r="AA26" s="31">
        <v>34.026671874999998</v>
      </c>
      <c r="AB26" s="32">
        <v>4148.92</v>
      </c>
      <c r="AC26" s="32">
        <v>1089.1300000000001</v>
      </c>
      <c r="AD26" s="32">
        <v>5.1529999999999996</v>
      </c>
      <c r="AE26" s="32">
        <v>17.838000000000001</v>
      </c>
      <c r="AG26" s="27">
        <f t="shared" si="7"/>
        <v>9.0283425000000008</v>
      </c>
      <c r="AH26" s="28">
        <f t="shared" si="8"/>
        <v>0.38045499266604743</v>
      </c>
      <c r="AI26" s="28">
        <f t="shared" si="9"/>
        <v>0.11896489658352535</v>
      </c>
      <c r="AJ26" s="28">
        <f t="shared" si="10"/>
        <v>8.6639880330626778E-2</v>
      </c>
      <c r="AK26" s="28">
        <f t="shared" si="11"/>
        <v>0.26130425837004523</v>
      </c>
      <c r="AL26" s="25">
        <f t="shared" si="12"/>
        <v>3011288</v>
      </c>
      <c r="AM26" s="28">
        <f t="shared" si="13"/>
        <v>0.38172277684540479</v>
      </c>
      <c r="AN26" s="29">
        <v>25228340</v>
      </c>
      <c r="AO26" s="29">
        <v>788385.625</v>
      </c>
      <c r="AP26" s="29">
        <v>26190.65625</v>
      </c>
      <c r="AQ26" s="30">
        <v>9630232</v>
      </c>
      <c r="AR26" s="30">
        <v>2193064</v>
      </c>
      <c r="AS26" s="30">
        <v>818224</v>
      </c>
      <c r="AT26" s="30">
        <v>6614240</v>
      </c>
      <c r="AU26" s="31">
        <v>68.055418750000001</v>
      </c>
      <c r="AV26" s="31">
        <v>70.127768750000001</v>
      </c>
      <c r="AW26" s="31">
        <v>29.9165125</v>
      </c>
      <c r="AX26" s="31">
        <v>34.384903125000001</v>
      </c>
      <c r="AY26" s="31">
        <v>33.975378124999999</v>
      </c>
      <c r="AZ26" s="32">
        <v>3503.46</v>
      </c>
      <c r="BA26" s="32">
        <v>1048.53</v>
      </c>
      <c r="BB26" s="32">
        <v>5.0279999999999996</v>
      </c>
      <c r="BC26" s="32">
        <v>17.588000000000001</v>
      </c>
      <c r="BE26" s="33">
        <f t="shared" si="14"/>
        <v>3.2576144154750422E-3</v>
      </c>
      <c r="BF26" s="33">
        <f t="shared" si="15"/>
        <v>6.8550265687262163E-2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995872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14.684302499999999</v>
      </c>
      <c r="J27" s="18">
        <f t="shared" si="1"/>
        <v>0.61879754782713681</v>
      </c>
      <c r="K27" s="18">
        <f t="shared" si="2"/>
        <v>0.10432796437225569</v>
      </c>
      <c r="L27" s="18">
        <f t="shared" si="3"/>
        <v>7.2002948119357119E-2</v>
      </c>
      <c r="M27" s="18">
        <f t="shared" si="4"/>
        <v>0.51445093647352713</v>
      </c>
      <c r="N27" s="15">
        <f t="shared" si="5"/>
        <v>2640792</v>
      </c>
      <c r="O27" s="18">
        <f t="shared" si="6"/>
        <v>0.61789973777068274</v>
      </c>
      <c r="P27" s="19">
        <v>25349187</v>
      </c>
      <c r="Q27" s="19">
        <v>792162.09375</v>
      </c>
      <c r="R27" s="19">
        <v>24713.28125</v>
      </c>
      <c r="S27" s="20">
        <v>15663256</v>
      </c>
      <c r="T27" s="20">
        <v>1822568</v>
      </c>
      <c r="U27" s="20">
        <v>818224</v>
      </c>
      <c r="V27" s="20">
        <v>13021992</v>
      </c>
      <c r="W27" s="21">
        <v>69.399496874999997</v>
      </c>
      <c r="X27" s="21">
        <v>71.923853124999994</v>
      </c>
      <c r="Y27" s="21">
        <v>32.419096875000001</v>
      </c>
      <c r="Z27" s="21">
        <v>35.707549999999998</v>
      </c>
      <c r="AA27" s="21">
        <v>35.368006250000001</v>
      </c>
      <c r="AB27" s="22">
        <v>4155.93</v>
      </c>
      <c r="AC27" s="22">
        <v>1185.53</v>
      </c>
      <c r="AD27" s="22">
        <v>4.984</v>
      </c>
      <c r="AE27" s="22">
        <v>17.696999999999999</v>
      </c>
      <c r="AG27" s="17">
        <f t="shared" si="7"/>
        <v>15.680925</v>
      </c>
      <c r="AH27" s="18">
        <f t="shared" si="8"/>
        <v>0.66079529059424136</v>
      </c>
      <c r="AI27" s="18">
        <f t="shared" si="9"/>
        <v>0.14001354592577681</v>
      </c>
      <c r="AJ27" s="18">
        <f t="shared" si="10"/>
        <v>0.10768852967287822</v>
      </c>
      <c r="AK27" s="18">
        <f t="shared" si="11"/>
        <v>0.52059590695598779</v>
      </c>
      <c r="AL27" s="15">
        <f t="shared" si="12"/>
        <v>3544080</v>
      </c>
      <c r="AM27" s="18">
        <f t="shared" si="13"/>
        <v>0.65568097336538111</v>
      </c>
      <c r="AN27" s="19">
        <v>25509845</v>
      </c>
      <c r="AO27" s="19">
        <v>797182.65625</v>
      </c>
      <c r="AP27" s="19">
        <v>27472.5625</v>
      </c>
      <c r="AQ27" s="20">
        <v>16726320</v>
      </c>
      <c r="AR27" s="20">
        <v>2725856</v>
      </c>
      <c r="AS27" s="20">
        <v>818224</v>
      </c>
      <c r="AT27" s="20">
        <v>13177536</v>
      </c>
      <c r="AU27" s="21">
        <v>69.424250000000001</v>
      </c>
      <c r="AV27" s="21">
        <v>71.926018749999997</v>
      </c>
      <c r="AW27" s="21">
        <v>32.431818749999998</v>
      </c>
      <c r="AX27" s="21">
        <v>35.648109374999997</v>
      </c>
      <c r="AY27" s="21">
        <v>35.303928124999999</v>
      </c>
      <c r="AZ27" s="22">
        <v>3752.23</v>
      </c>
      <c r="BA27" s="22">
        <v>1140.46</v>
      </c>
      <c r="BB27" s="22">
        <v>5.242</v>
      </c>
      <c r="BC27" s="22">
        <v>17.945</v>
      </c>
      <c r="BE27" s="23">
        <f t="shared" si="14"/>
        <v>3.2648144952934013E-3</v>
      </c>
      <c r="BF27" s="23">
        <f t="shared" si="15"/>
        <v>4.3288520529399105E-2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1063064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27.911145000000001</v>
      </c>
      <c r="J28" s="28">
        <f t="shared" si="1"/>
        <v>1.1761776279838725</v>
      </c>
      <c r="K28" s="28">
        <f t="shared" si="2"/>
        <v>0.13937954855974194</v>
      </c>
      <c r="L28" s="28">
        <f t="shared" si="3"/>
        <v>0.10705453230684335</v>
      </c>
      <c r="M28" s="28">
        <f t="shared" si="4"/>
        <v>1.0367794324427766</v>
      </c>
      <c r="N28" s="25">
        <f t="shared" si="5"/>
        <v>3528032</v>
      </c>
      <c r="O28" s="28">
        <f t="shared" si="6"/>
        <v>1.1322783921434219</v>
      </c>
      <c r="P28" s="29">
        <v>26293788</v>
      </c>
      <c r="Q28" s="29">
        <v>821680.875</v>
      </c>
      <c r="R28" s="29">
        <v>28168.09375</v>
      </c>
      <c r="S28" s="30">
        <v>29771888</v>
      </c>
      <c r="T28" s="30">
        <v>2709808</v>
      </c>
      <c r="U28" s="30">
        <v>818224</v>
      </c>
      <c r="V28" s="30">
        <v>26243384</v>
      </c>
      <c r="W28" s="31">
        <v>70.456653125000003</v>
      </c>
      <c r="X28" s="31">
        <v>73.272515624999997</v>
      </c>
      <c r="Y28" s="31">
        <v>34.892353125</v>
      </c>
      <c r="Z28" s="31">
        <v>37.535249999999998</v>
      </c>
      <c r="AA28" s="31">
        <v>37.146465624999998</v>
      </c>
      <c r="AB28" s="32">
        <v>4001.83</v>
      </c>
      <c r="AC28" s="32">
        <v>1422.96</v>
      </c>
      <c r="AD28" s="32">
        <v>5.0979999999999999</v>
      </c>
      <c r="AE28" s="32">
        <v>19.164999999999999</v>
      </c>
      <c r="AG28" s="27">
        <f t="shared" si="7"/>
        <v>29.020544999999998</v>
      </c>
      <c r="AH28" s="28">
        <f t="shared" si="8"/>
        <v>1.2229278225919873</v>
      </c>
      <c r="AI28" s="28">
        <f t="shared" si="9"/>
        <v>0.17506513011326302</v>
      </c>
      <c r="AJ28" s="28">
        <f t="shared" si="10"/>
        <v>0.14274011386036445</v>
      </c>
      <c r="AK28" s="28">
        <f t="shared" si="11"/>
        <v>1.0476768547662474</v>
      </c>
      <c r="AL28" s="25">
        <f t="shared" si="12"/>
        <v>4431320</v>
      </c>
      <c r="AM28" s="28">
        <f t="shared" si="13"/>
        <v>1.1701340485451859</v>
      </c>
      <c r="AN28" s="29">
        <v>26454446</v>
      </c>
      <c r="AO28" s="29">
        <v>826701.4375</v>
      </c>
      <c r="AP28" s="29">
        <v>30913.65625</v>
      </c>
      <c r="AQ28" s="30">
        <v>30955248</v>
      </c>
      <c r="AR28" s="30">
        <v>3613096</v>
      </c>
      <c r="AS28" s="30">
        <v>818224</v>
      </c>
      <c r="AT28" s="30">
        <v>26519224</v>
      </c>
      <c r="AU28" s="31">
        <v>70.455231249999997</v>
      </c>
      <c r="AV28" s="31">
        <v>73.268490624999998</v>
      </c>
      <c r="AW28" s="31">
        <v>34.895387499999998</v>
      </c>
      <c r="AX28" s="31">
        <v>37.465168749999997</v>
      </c>
      <c r="AY28" s="31">
        <v>37.066187499999998</v>
      </c>
      <c r="AZ28" s="32">
        <v>3967.39</v>
      </c>
      <c r="BA28" s="32">
        <v>1308.54</v>
      </c>
      <c r="BB28" s="32">
        <v>5.266</v>
      </c>
      <c r="BC28" s="32">
        <v>18.760000000000002</v>
      </c>
      <c r="BE28" s="33">
        <f t="shared" si="14"/>
        <v>3.1129161804593908E-3</v>
      </c>
      <c r="BF28" s="33">
        <f t="shared" si="15"/>
        <v>2.4650337968288319E-2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1183360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49.775152499999997</v>
      </c>
      <c r="J29" s="38">
        <f t="shared" si="1"/>
        <v>2.0975284532392178</v>
      </c>
      <c r="K29" s="38">
        <f t="shared" si="2"/>
        <v>0.19662483316482574</v>
      </c>
      <c r="L29" s="38">
        <f t="shared" si="3"/>
        <v>0.16429981691192716</v>
      </c>
      <c r="M29" s="38">
        <f t="shared" si="4"/>
        <v>1.9008849730930379</v>
      </c>
      <c r="N29" s="35">
        <f t="shared" si="5"/>
        <v>4977048</v>
      </c>
      <c r="O29" s="38">
        <f t="shared" si="6"/>
        <v>2.0027673260878593</v>
      </c>
      <c r="P29" s="39">
        <v>26510067</v>
      </c>
      <c r="Q29" s="39">
        <v>828439.59375</v>
      </c>
      <c r="R29" s="39">
        <v>29877.40625</v>
      </c>
      <c r="S29" s="40">
        <v>53093496</v>
      </c>
      <c r="T29" s="40">
        <v>4158824</v>
      </c>
      <c r="U29" s="40">
        <v>818224</v>
      </c>
      <c r="V29" s="40">
        <v>48115976</v>
      </c>
      <c r="W29" s="41">
        <v>71.332890625000005</v>
      </c>
      <c r="X29" s="41">
        <v>74.419128125</v>
      </c>
      <c r="Y29" s="41">
        <v>36.561346874999998</v>
      </c>
      <c r="Z29" s="41">
        <v>39.684590624999998</v>
      </c>
      <c r="AA29" s="41">
        <v>39.094140625000001</v>
      </c>
      <c r="AB29" s="42">
        <v>4197.62</v>
      </c>
      <c r="AC29" s="42">
        <v>1634.6</v>
      </c>
      <c r="AD29" s="42">
        <v>5.12</v>
      </c>
      <c r="AE29" s="42">
        <v>20.428000000000001</v>
      </c>
      <c r="AG29" s="37">
        <f t="shared" si="7"/>
        <v>51.037822499999997</v>
      </c>
      <c r="AH29" s="38">
        <f t="shared" si="8"/>
        <v>2.1507374565074961</v>
      </c>
      <c r="AI29" s="38">
        <f t="shared" si="9"/>
        <v>0.23231041471834682</v>
      </c>
      <c r="AJ29" s="38">
        <f t="shared" si="10"/>
        <v>0.19998539846544824</v>
      </c>
      <c r="AK29" s="38">
        <f t="shared" si="11"/>
        <v>1.9182412040766725</v>
      </c>
      <c r="AL29" s="35">
        <f t="shared" si="12"/>
        <v>5880336</v>
      </c>
      <c r="AM29" s="38">
        <f t="shared" si="13"/>
        <v>2.0412022545318886</v>
      </c>
      <c r="AN29" s="39">
        <v>26670725</v>
      </c>
      <c r="AO29" s="39">
        <v>833460.15625</v>
      </c>
      <c r="AP29" s="39">
        <v>32540.21875</v>
      </c>
      <c r="AQ29" s="40">
        <v>54440344</v>
      </c>
      <c r="AR29" s="40">
        <v>5062112</v>
      </c>
      <c r="AS29" s="40">
        <v>818224</v>
      </c>
      <c r="AT29" s="40">
        <v>48555304</v>
      </c>
      <c r="AU29" s="41">
        <v>71.32688125</v>
      </c>
      <c r="AV29" s="41">
        <v>74.407637500000007</v>
      </c>
      <c r="AW29" s="41">
        <v>36.570571874999999</v>
      </c>
      <c r="AX29" s="41">
        <v>39.574131250000001</v>
      </c>
      <c r="AY29" s="41">
        <v>38.981040624999999</v>
      </c>
      <c r="AZ29" s="42">
        <v>3937.91</v>
      </c>
      <c r="BA29" s="42">
        <v>1568.58</v>
      </c>
      <c r="BB29" s="42">
        <v>5.41</v>
      </c>
      <c r="BC29" s="42">
        <v>19.975000000000001</v>
      </c>
      <c r="BE29" s="43">
        <f t="shared" si="14"/>
        <v>2.9776438827355256E-3</v>
      </c>
      <c r="BF29" s="43">
        <f t="shared" si="15"/>
        <v>1.4273106961875337E-2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1346848</v>
      </c>
    </row>
    <row r="30" spans="1:73" x14ac:dyDescent="0.3">
      <c r="B30" s="55" t="s">
        <v>288</v>
      </c>
      <c r="J30" s="56">
        <f>AVERAGE(J5:J24)</f>
        <v>0.43370607908120745</v>
      </c>
      <c r="K30" s="56">
        <f>AVERAGE(K5:K24)</f>
        <v>0.11697018347321328</v>
      </c>
      <c r="L30" s="56">
        <f>AVERAGE(L5:L24)</f>
        <v>8.2428649783979929E-2</v>
      </c>
      <c r="M30" s="56">
        <f>AVERAGE(M5:M24)</f>
        <v>0.31671882082186048</v>
      </c>
      <c r="AH30" s="56">
        <f>AVERAGE(AH5:AH24)</f>
        <v>0.45866752763342733</v>
      </c>
      <c r="AI30" s="56">
        <f>AVERAGE(AI5:AI24)</f>
        <v>0.13822267556463411</v>
      </c>
      <c r="AJ30" s="56">
        <f>AVERAGE(AJ5:AJ24)</f>
        <v>0.10368114187540078</v>
      </c>
      <c r="AK30" s="56">
        <f>AVERAGE(AK5:AK24)</f>
        <v>0.3202746830137651</v>
      </c>
      <c r="BG30" s="8">
        <f>AVERAGE(BG5:BG24)</f>
        <v>3.4850454354180396E-2</v>
      </c>
      <c r="BI30" s="5">
        <f>AVERAGE(BI5:BI24)</f>
        <v>0.20222346873659813</v>
      </c>
      <c r="BJ30" s="5">
        <f>AVERAGE(BJ5:BJ24)</f>
        <v>0.20433459616922622</v>
      </c>
      <c r="BK30" s="5">
        <f>AVERAGE(BK5:BK24)</f>
        <v>7.5409508220921906E-3</v>
      </c>
      <c r="BL30" s="5">
        <f>AVERAGE(BL5:BL24)</f>
        <v>3.4261567802129578E-2</v>
      </c>
      <c r="BM30" s="5">
        <f>AVERAGE(BM5:BM24)</f>
        <v>3.3453800203892714E-2</v>
      </c>
      <c r="BO30" s="5">
        <f>AVERAGE(BO5:BO24)</f>
        <v>8.1500668803674348E-2</v>
      </c>
      <c r="BP30" s="5">
        <f>AVERAGE(BP5:BP24)</f>
        <v>8.7614926577479046E-2</v>
      </c>
      <c r="BQ30" s="5">
        <f>AVERAGE(BQ5:BQ24)</f>
        <v>7.3956013361507755E-2</v>
      </c>
      <c r="BR30" s="5">
        <f>AVERAGE(BR5:BR24)</f>
        <v>8.8335686951046488E-2</v>
      </c>
      <c r="BS30" s="5">
        <f>AVERAGE(BS5:BS24)</f>
        <v>9.2326562959687608E-2</v>
      </c>
    </row>
    <row r="31" spans="1:73" x14ac:dyDescent="0.3">
      <c r="B31" s="55" t="s">
        <v>289</v>
      </c>
      <c r="J31" s="56">
        <f>AVERAGE(J25:J29)</f>
        <v>0.88613015403354756</v>
      </c>
      <c r="K31" s="56">
        <f>AVERAGE(K25:K29)</f>
        <v>0.11847628246194515</v>
      </c>
      <c r="L31" s="56">
        <f>AVERAGE(L25:L29)</f>
        <v>8.6151266209046562E-2</v>
      </c>
      <c r="M31" s="56">
        <f>AVERAGE(M25:M29)</f>
        <v>0.76763522459024836</v>
      </c>
      <c r="AH31" s="56">
        <f>AVERAGE(AH25:AH29)</f>
        <v>0.92998880232967163</v>
      </c>
      <c r="AI31" s="56">
        <f>AVERAGE(AI25:AI29)</f>
        <v>0.15416186401546622</v>
      </c>
      <c r="AJ31" s="56">
        <f>AVERAGE(AJ25:AJ29)</f>
        <v>0.12183684776256767</v>
      </c>
      <c r="AK31" s="56">
        <f>AVERAGE(AK25:AK29)</f>
        <v>0.77564110060172864</v>
      </c>
      <c r="BG31" s="8">
        <f>AVERAGE(BG25:BG29)</f>
        <v>4.9235372144692729E-2</v>
      </c>
      <c r="BI31" s="5">
        <f>AVERAGE(BI25:BI29)</f>
        <v>0.36150644169968116</v>
      </c>
      <c r="BJ31" s="5">
        <f>AVERAGE(BJ25:BJ29)</f>
        <v>0.361813104290581</v>
      </c>
      <c r="BK31" s="5">
        <f>AVERAGE(BK25:BK29)</f>
        <v>1.1813313320708785E-2</v>
      </c>
      <c r="BL31" s="5">
        <f>AVERAGE(BL25:BL29)</f>
        <v>4.104045621172081E-2</v>
      </c>
      <c r="BM31" s="5">
        <f>AVERAGE(BM25:BM29)</f>
        <v>4.1746712004903541E-2</v>
      </c>
      <c r="BO31" s="5">
        <f>AVERAGE(BO25:BO29)</f>
        <v>8.1230064458954754E-2</v>
      </c>
      <c r="BP31" s="5">
        <f>AVERAGE(BP25:BP29)</f>
        <v>8.930592907493784E-2</v>
      </c>
      <c r="BQ31" s="5">
        <f>AVERAGE(BQ25:BQ29)</f>
        <v>8.3813836585554746E-2</v>
      </c>
      <c r="BR31" s="5">
        <f>AVERAGE(BR25:BR29)</f>
        <v>9.5789740052717232E-2</v>
      </c>
      <c r="BS31" s="5">
        <f>AVERAGE(BS25:BS29)</f>
        <v>0.10050224055931811</v>
      </c>
    </row>
    <row r="32" spans="1:73" collapsed="1" x14ac:dyDescent="0.3">
      <c r="B32" s="55" t="s">
        <v>290</v>
      </c>
      <c r="J32" s="56">
        <f>AVERAGE(J5:J29)</f>
        <v>0.52419089407167541</v>
      </c>
      <c r="K32" s="56">
        <f>AVERAGE(K5:K29)</f>
        <v>0.11727140327095968</v>
      </c>
      <c r="L32" s="56">
        <f>AVERAGE(L5:L29)</f>
        <v>8.3173173068993245E-2</v>
      </c>
      <c r="M32" s="56">
        <f>AVERAGE(M5:M29)</f>
        <v>0.40690210157553808</v>
      </c>
      <c r="AH32" s="56">
        <f>AVERAGE(AH5:AH29)</f>
        <v>0.55293178257267628</v>
      </c>
      <c r="AI32" s="56">
        <f>AVERAGE(AI5:AI29)</f>
        <v>0.1414105132548005</v>
      </c>
      <c r="AJ32" s="56">
        <f>AVERAGE(AJ5:AJ29)</f>
        <v>0.10731228305283416</v>
      </c>
      <c r="AK32" s="56">
        <f>AVERAGE(AK5:AK29)</f>
        <v>0.4113479665313578</v>
      </c>
      <c r="BG32" s="8">
        <f>AVERAGE(BG5:BG29)</f>
        <v>3.7727437912282863E-2</v>
      </c>
      <c r="BI32" s="5">
        <f>AVERAGE(BI5:BI29)</f>
        <v>0.23408006332921474</v>
      </c>
      <c r="BJ32" s="5">
        <f>AVERAGE(BJ5:BJ29)</f>
        <v>0.23583029779349718</v>
      </c>
      <c r="BK32" s="5">
        <f>AVERAGE(BK5:BK29)</f>
        <v>8.3954233218155091E-3</v>
      </c>
      <c r="BL32" s="5">
        <f>AVERAGE(BL5:BL29)</f>
        <v>3.5617345484047824E-2</v>
      </c>
      <c r="BM32" s="5">
        <f>AVERAGE(BM5:BM29)</f>
        <v>3.5112382564094879E-2</v>
      </c>
      <c r="BO32" s="5">
        <f>AVERAGE(BO5:BO29)</f>
        <v>8.1446547934730426E-2</v>
      </c>
      <c r="BP32" s="5">
        <f>AVERAGE(BP5:BP29)</f>
        <v>8.7953127076970811E-2</v>
      </c>
      <c r="BQ32" s="5">
        <f>AVERAGE(BQ5:BQ29)</f>
        <v>7.5927578006317151E-2</v>
      </c>
      <c r="BR32" s="5">
        <f>AVERAGE(BR5:BR29)</f>
        <v>8.9826497571380642E-2</v>
      </c>
      <c r="BS32" s="5">
        <f>AVERAGE(BS5:BS29)</f>
        <v>9.3961698479613706E-2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112907.33</v>
      </c>
      <c r="AC33" s="57">
        <f>SUM(AC5:AC24,AC25:AC29)</f>
        <v>28658.907999999996</v>
      </c>
      <c r="AD33" s="57">
        <f>SUM(AD5:AD24,AD25:AD29)</f>
        <v>135.71300000000002</v>
      </c>
      <c r="AE33" s="57">
        <f>SUM(AE5:AE24,AE25:AE29)</f>
        <v>427.08400000000006</v>
      </c>
      <c r="AZ33" s="57">
        <f>SUM(AZ5:AZ24,AZ25:AZ29)</f>
        <v>102319.03000000001</v>
      </c>
      <c r="BA33" s="57">
        <f>SUM(BA5:BA24,BA25:BA29)</f>
        <v>27621.509999999995</v>
      </c>
      <c r="BB33" s="57">
        <f>SUM(BB5:BB24,BB25:BB29)</f>
        <v>139.25299999999996</v>
      </c>
      <c r="BC33" s="57">
        <f>SUM(BC5:BC24,BC25:BC29)</f>
        <v>424.05800000000005</v>
      </c>
    </row>
    <row r="34" spans="1:55" hidden="1" outlineLevel="2" x14ac:dyDescent="0.3">
      <c r="B34" s="55" t="s">
        <v>293</v>
      </c>
      <c r="AZ34" s="8">
        <f>AZ33/AB33</f>
        <v>0.90622132327458293</v>
      </c>
      <c r="BA34" s="8">
        <f>BA33/AC33</f>
        <v>0.96380190061672966</v>
      </c>
      <c r="BB34" s="8">
        <f>BB33/AD33</f>
        <v>1.0260844576422299</v>
      </c>
      <c r="BC34" s="8">
        <f>BC33/AE33</f>
        <v>0.9929147427672308</v>
      </c>
    </row>
    <row r="35" spans="1:55" hidden="1" outlineLevel="2" x14ac:dyDescent="0.3">
      <c r="B35" s="55" t="s">
        <v>294</v>
      </c>
      <c r="AB35" s="57">
        <f>GEOMEAN(AB5:AB24,AB25:AB29)</f>
        <v>4481.7565776080637</v>
      </c>
      <c r="AC35" s="57">
        <f>GEOMEAN(AC5:AC24,AC25:AC29)</f>
        <v>1129.4437822297925</v>
      </c>
      <c r="AD35" s="57">
        <f>GEOMEAN(AD5:AD24,AD25:AD29)</f>
        <v>5.3741938084206211</v>
      </c>
      <c r="AE35" s="57">
        <f>GEOMEAN(AE5:AE24,AE25:AE29)</f>
        <v>17.015466658999472</v>
      </c>
      <c r="AZ35" s="57">
        <f>GEOMEAN(AZ5:AZ24,AZ25:AZ29)</f>
        <v>4057.9642581799003</v>
      </c>
      <c r="BA35" s="57">
        <f>GEOMEAN(BA5:BA24,BA25:BA29)</f>
        <v>1087.3836715024672</v>
      </c>
      <c r="BB35" s="57">
        <f>GEOMEAN(BB5:BB24,BB25:BB29)</f>
        <v>5.512157447577346</v>
      </c>
      <c r="BC35" s="57">
        <f>GEOMEAN(BC5:BC24,BC25:BC29)</f>
        <v>16.896279362303964</v>
      </c>
    </row>
    <row r="36" spans="1:55" outlineLevel="2" collapsed="1" x14ac:dyDescent="0.3">
      <c r="B36" s="55" t="s">
        <v>295</v>
      </c>
      <c r="AZ36" s="8">
        <f>AZ35/AB35</f>
        <v>0.90544057623621688</v>
      </c>
      <c r="BA36" s="8">
        <f>BA35/AC35</f>
        <v>0.96276033266189787</v>
      </c>
      <c r="BB36" s="8">
        <f>BB35/AD35</f>
        <v>1.0256715042432141</v>
      </c>
      <c r="BC36" s="8">
        <f>BC35/AE35</f>
        <v>0.99299535539729267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AE1" activePane="topRight" state="frozen"/>
      <selection pane="topRight" activeCell="AE2" sqref="AE2:AE3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68" t="s">
        <v>366</v>
      </c>
      <c r="B1" s="68"/>
      <c r="C1" s="68"/>
      <c r="D1" s="68"/>
      <c r="E1" s="68"/>
      <c r="F1" s="68"/>
      <c r="H1" s="64" t="s">
        <v>550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3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x14ac:dyDescent="0.3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0.30041687594851124</v>
      </c>
      <c r="I5" s="17">
        <f>IF(OR(ISBLANK(Q5),ISBLANK(F5)),"·",Q5*F5/E5/1000000)</f>
        <v>210.92932500000001</v>
      </c>
      <c r="J5" s="18">
        <f>IF(ISBLANK(Q5),"·",Q5/C5)</f>
        <v>9.0125062784553371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7.6455507477645819</v>
      </c>
      <c r="N5" s="15">
        <f>IF(OR(ISBLANK(R5),ISBLANK(S5)),"",R5+S5)</f>
        <v>34124656</v>
      </c>
      <c r="O5" s="18">
        <f>IF(ISBLANK(Q5),"·",Q5/P5)</f>
        <v>9.0125062784553371</v>
      </c>
      <c r="P5" s="19">
        <v>24964341</v>
      </c>
      <c r="Q5" s="20">
        <v>224991280</v>
      </c>
      <c r="R5" s="20">
        <v>32084232</v>
      </c>
      <c r="S5" s="20">
        <v>2040424</v>
      </c>
      <c r="T5" s="20">
        <v>190866136</v>
      </c>
      <c r="U5" s="21" t="s">
        <v>551</v>
      </c>
      <c r="V5" s="21" t="s">
        <v>551</v>
      </c>
      <c r="W5" s="21" t="s">
        <v>551</v>
      </c>
      <c r="X5" s="21" t="s">
        <v>551</v>
      </c>
      <c r="Y5" s="21" t="s">
        <v>551</v>
      </c>
      <c r="Z5" s="22">
        <v>4328.57</v>
      </c>
      <c r="AA5" s="22">
        <v>4288.13</v>
      </c>
      <c r="AB5" s="22">
        <v>2.5510000000000002</v>
      </c>
      <c r="AC5" s="22">
        <v>15.824999999999999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-224991280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0.42962492978121902</v>
      </c>
      <c r="I6" s="27">
        <f>IF(OR(ISBLANK(Q6),ISBLANK(F6)),"·",Q6*F6/E6/1000000)</f>
        <v>273.74237249999999</v>
      </c>
      <c r="J6" s="28">
        <f>IF(ISBLANK(Q6),"·",Q6/C6)</f>
        <v>12.888747893436571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11.22080421936395</v>
      </c>
      <c r="N6" s="25">
        <f>IF(OR(ISBLANK(R6),ISBLANK(S6)),"",R6+S6)</f>
        <v>37786424</v>
      </c>
      <c r="O6" s="28">
        <f>IF(ISBLANK(Q6),"·",Q6/P6)</f>
        <v>12.888747893436571</v>
      </c>
      <c r="P6" s="29">
        <v>22654789</v>
      </c>
      <c r="Q6" s="30">
        <v>291991864</v>
      </c>
      <c r="R6" s="30">
        <v>34560952</v>
      </c>
      <c r="S6" s="30">
        <v>3225472</v>
      </c>
      <c r="T6" s="30">
        <v>254204952</v>
      </c>
      <c r="U6" s="31" t="s">
        <v>551</v>
      </c>
      <c r="V6" s="31" t="s">
        <v>551</v>
      </c>
      <c r="W6" s="31" t="s">
        <v>551</v>
      </c>
      <c r="X6" s="31" t="s">
        <v>551</v>
      </c>
      <c r="Y6" s="31" t="s">
        <v>551</v>
      </c>
      <c r="Z6" s="32">
        <v>3545.69</v>
      </c>
      <c r="AA6" s="32">
        <v>4744.3</v>
      </c>
      <c r="AB6" s="32">
        <v>2.3319999999999999</v>
      </c>
      <c r="AC6" s="32">
        <v>17.744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-291991864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0.34270988111778233</v>
      </c>
      <c r="I7" s="17">
        <f>IF(OR(ISBLANK(Q7),ISBLANK(F7)),"·",Q7*F7/E7/1000000)</f>
        <v>327.21239250000002</v>
      </c>
      <c r="J7" s="18">
        <f>IF(ISBLANK(Q7),"·",Q7/C7)</f>
        <v>10.28129643353347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8.7298187171226065</v>
      </c>
      <c r="N7" s="15">
        <f>IF(OR(ISBLANK(R7),ISBLANK(S7)),"",R7+S7)</f>
        <v>52668640</v>
      </c>
      <c r="O7" s="18">
        <f>IF(ISBLANK(Q7),"·",Q7/P7)</f>
        <v>10.28129643353347</v>
      </c>
      <c r="P7" s="19">
        <v>33947718</v>
      </c>
      <c r="Q7" s="20">
        <v>349026552</v>
      </c>
      <c r="R7" s="20">
        <v>48790512</v>
      </c>
      <c r="S7" s="20">
        <v>3878128</v>
      </c>
      <c r="T7" s="20">
        <v>296357424</v>
      </c>
      <c r="U7" s="21" t="s">
        <v>551</v>
      </c>
      <c r="V7" s="21" t="s">
        <v>551</v>
      </c>
      <c r="W7" s="21" t="s">
        <v>551</v>
      </c>
      <c r="X7" s="21" t="s">
        <v>551</v>
      </c>
      <c r="Y7" s="21" t="s">
        <v>551</v>
      </c>
      <c r="Z7" s="22">
        <v>5017.38</v>
      </c>
      <c r="AA7" s="22">
        <v>5963.53</v>
      </c>
      <c r="AB7" s="22">
        <v>3.016</v>
      </c>
      <c r="AC7" s="22">
        <v>20.079000000000001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-349026552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0.27167730690671321</v>
      </c>
      <c r="I8" s="47">
        <f>IF(OR(ISBLANK(Q8),ISBLANK(F8)),"·",Q8*F8/E8/1000000)</f>
        <v>410.18573750000002</v>
      </c>
      <c r="J8" s="48">
        <f>IF(ISBLANK(Q8),"·",Q8/C8)</f>
        <v>8.150319207201397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7.078536822031837</v>
      </c>
      <c r="N8" s="45">
        <f>IF(OR(ISBLANK(R8),ISBLANK(S8)),"",R8+S8)</f>
        <v>34521240</v>
      </c>
      <c r="O8" s="48">
        <f>IF(ISBLANK(Q8),"·",Q8/P8)</f>
        <v>8.150319207201397</v>
      </c>
      <c r="P8" s="49">
        <v>32209643</v>
      </c>
      <c r="Q8" s="50">
        <v>262518872</v>
      </c>
      <c r="R8" s="50">
        <v>29608016</v>
      </c>
      <c r="S8" s="50">
        <v>4913224</v>
      </c>
      <c r="T8" s="50">
        <v>227997144</v>
      </c>
      <c r="U8" s="51" t="s">
        <v>551</v>
      </c>
      <c r="V8" s="51" t="s">
        <v>551</v>
      </c>
      <c r="W8" s="51" t="s">
        <v>551</v>
      </c>
      <c r="X8" s="51" t="s">
        <v>551</v>
      </c>
      <c r="Y8" s="51" t="s">
        <v>551</v>
      </c>
      <c r="Z8" s="52">
        <v>5167.45</v>
      </c>
      <c r="AA8" s="52">
        <v>4489.9799999999996</v>
      </c>
      <c r="AB8" s="52">
        <v>2.665</v>
      </c>
      <c r="AC8" s="52">
        <v>17.065000000000001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-262518872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0.50451807930192449</v>
      </c>
      <c r="I9" s="37">
        <f>IF(OR(ISBLANK(Q9),ISBLANK(F9)),"·",Q9*F9/E9/1000000)</f>
        <v>359.17221000000001</v>
      </c>
      <c r="J9" s="38">
        <f>IF(ISBLANK(Q9),"·",Q9/C9)</f>
        <v>15.135542379057734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13.626368222256847</v>
      </c>
      <c r="N9" s="35">
        <f>IF(OR(ISBLANK(R9),ISBLANK(S9)),"",R9+S9)</f>
        <v>38200344</v>
      </c>
      <c r="O9" s="38">
        <f>IF(ISBLANK(Q9),"·",Q9/P9)</f>
        <v>15.135542379057734</v>
      </c>
      <c r="P9" s="39">
        <v>25312408</v>
      </c>
      <c r="Q9" s="40">
        <v>383117024</v>
      </c>
      <c r="R9" s="40">
        <v>35666024</v>
      </c>
      <c r="S9" s="40">
        <v>2534320</v>
      </c>
      <c r="T9" s="40">
        <v>344916192</v>
      </c>
      <c r="U9" s="41" t="s">
        <v>551</v>
      </c>
      <c r="V9" s="41" t="s">
        <v>551</v>
      </c>
      <c r="W9" s="41" t="s">
        <v>551</v>
      </c>
      <c r="X9" s="41" t="s">
        <v>551</v>
      </c>
      <c r="Y9" s="41" t="s">
        <v>551</v>
      </c>
      <c r="Z9" s="42">
        <v>4102.71</v>
      </c>
      <c r="AA9" s="42">
        <v>5126.08</v>
      </c>
      <c r="AB9" s="42">
        <v>2.3879999999999999</v>
      </c>
      <c r="AC9" s="42">
        <v>19.568000000000001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-383117024</v>
      </c>
    </row>
    <row r="10" spans="1:60" x14ac:dyDescent="0.3">
      <c r="B10" s="55" t="s">
        <v>288</v>
      </c>
      <c r="J10" s="56">
        <f>AVERAGE(J5:J8)</f>
        <v>10.083217453156694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8.6686776265707444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>
        <f>AVERAGE(J9:J9)</f>
        <v>15.135542379057734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13.626368222256847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>
        <f>AVERAGE(J5:J9)</f>
        <v>11.093682438336902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9.6602157457079638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22161.8</v>
      </c>
      <c r="AA13" s="57">
        <f>SUM(AA5:AA8,AA9:AA9)</f>
        <v>24612.019999999997</v>
      </c>
      <c r="AB13" s="57">
        <f>SUM(AB5:AB8,AB9:AB9)</f>
        <v>12.952</v>
      </c>
      <c r="AC13" s="57">
        <f>SUM(AC5:AC8,AC9:AC9)</f>
        <v>90.281000000000006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60" hidden="1" outlineLevel="2" x14ac:dyDescent="0.3">
      <c r="B15" s="55" t="s">
        <v>294</v>
      </c>
      <c r="Z15" s="57">
        <f>GEOMEAN(Z5:Z8,Z9:Z9)</f>
        <v>4391.1053937492416</v>
      </c>
      <c r="AA15" s="57">
        <f>GEOMEAN(AA5:AA8,AA9:AA9)</f>
        <v>4888.7142849412585</v>
      </c>
      <c r="AB15" s="57">
        <f>GEOMEAN(AB5:AB8,AB9:AB9)</f>
        <v>2.5794099782739646</v>
      </c>
      <c r="AC15" s="57">
        <f>GEOMEAN(AC5:AC8,AC9:AC9)</f>
        <v>17.986970066056575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23" spans="41:41" x14ac:dyDescent="0.3">
      <c r="AO23" s="4"/>
    </row>
    <row r="24" spans="41:41" x14ac:dyDescent="0.3">
      <c r="AO24" s="4"/>
    </row>
    <row r="25" spans="41:41" x14ac:dyDescent="0.3">
      <c r="AO25" s="4"/>
    </row>
    <row r="26" spans="41:41" x14ac:dyDescent="0.3">
      <c r="AO26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Y1" activePane="topRight" state="frozen"/>
      <selection pane="topRight" activeCell="AQ25" sqref="AQ25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68" t="s">
        <v>441</v>
      </c>
      <c r="B1" s="68"/>
      <c r="C1" s="68"/>
      <c r="D1" s="68"/>
      <c r="E1" s="68"/>
      <c r="F1" s="68"/>
      <c r="H1" s="64" t="s">
        <v>550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3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x14ac:dyDescent="0.3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0.29420415303572406</v>
      </c>
      <c r="I5" s="17">
        <f>IF(OR(ISBLANK(Q5),ISBLANK(F5)),"·",Q5*F5/E5/1000000)</f>
        <v>206.56723500000001</v>
      </c>
      <c r="J5" s="18">
        <f>IF(ISBLANK(Q5),"·",Q5/C5)</f>
        <v>8.8261245910717214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7.4620182443430014</v>
      </c>
      <c r="N5" s="15">
        <f>IF(OR(ISBLANK(R5),ISBLANK(S5)),"",R5+S5)</f>
        <v>34053528</v>
      </c>
      <c r="O5" s="18">
        <f>IF(ISBLANK(Q5),"·",Q5/P5)</f>
        <v>8.8261245910717214</v>
      </c>
      <c r="P5" s="19">
        <v>24964341</v>
      </c>
      <c r="Q5" s="20">
        <v>220338384</v>
      </c>
      <c r="R5" s="20">
        <v>31949088</v>
      </c>
      <c r="S5" s="20">
        <v>2104440</v>
      </c>
      <c r="T5" s="20">
        <v>186284368</v>
      </c>
      <c r="U5" s="21" t="s">
        <v>551</v>
      </c>
      <c r="V5" s="21" t="s">
        <v>551</v>
      </c>
      <c r="W5" s="21" t="s">
        <v>551</v>
      </c>
      <c r="X5" s="21" t="s">
        <v>551</v>
      </c>
      <c r="Y5" s="21" t="s">
        <v>551</v>
      </c>
      <c r="Z5" s="22">
        <v>3942.92</v>
      </c>
      <c r="AA5" s="22">
        <v>5850.65</v>
      </c>
      <c r="AB5" s="22">
        <v>2.4729999999999999</v>
      </c>
      <c r="AC5" s="22">
        <v>15.782999999999999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-220338384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0.42376006827224627</v>
      </c>
      <c r="I6" s="27">
        <f>IF(OR(ISBLANK(Q6),ISBLANK(F6)),"·",Q6*F6/E6/1000000)</f>
        <v>270.00548250000003</v>
      </c>
      <c r="J6" s="28">
        <f>IF(ISBLANK(Q6),"·",Q6/C6)</f>
        <v>12.712802048167388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11.037092775395083</v>
      </c>
      <c r="N6" s="25">
        <f>IF(OR(ISBLANK(R6),ISBLANK(S6)),"",R6+S6)</f>
        <v>37962352</v>
      </c>
      <c r="O6" s="28">
        <f>IF(ISBLANK(Q6),"·",Q6/P6)</f>
        <v>12.712802048167388</v>
      </c>
      <c r="P6" s="29">
        <v>22654789</v>
      </c>
      <c r="Q6" s="30">
        <v>288005848</v>
      </c>
      <c r="R6" s="30">
        <v>34544160</v>
      </c>
      <c r="S6" s="30">
        <v>3418192</v>
      </c>
      <c r="T6" s="30">
        <v>250043008</v>
      </c>
      <c r="U6" s="31" t="s">
        <v>551</v>
      </c>
      <c r="V6" s="31" t="s">
        <v>551</v>
      </c>
      <c r="W6" s="31" t="s">
        <v>551</v>
      </c>
      <c r="X6" s="31" t="s">
        <v>551</v>
      </c>
      <c r="Y6" s="31" t="s">
        <v>551</v>
      </c>
      <c r="Z6" s="32">
        <v>3923.26</v>
      </c>
      <c r="AA6" s="32">
        <v>7078.22</v>
      </c>
      <c r="AB6" s="32">
        <v>2.14</v>
      </c>
      <c r="AC6" s="32">
        <v>16.966000000000001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-288005848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0.32406066292880126</v>
      </c>
      <c r="I7" s="17">
        <f>IF(OR(ISBLANK(Q7),ISBLANK(F7)),"·",Q7*F7/E7/1000000)</f>
        <v>309.40649999999999</v>
      </c>
      <c r="J7" s="18">
        <f>IF(ISBLANK(Q7),"·",Q7/C7)</f>
        <v>9.7218198878640383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8.2078796577725779</v>
      </c>
      <c r="N7" s="15">
        <f>IF(OR(ISBLANK(R7),ISBLANK(S7)),"",R7+S7)</f>
        <v>51394328</v>
      </c>
      <c r="O7" s="18">
        <f>IF(ISBLANK(Q7),"·",Q7/P7)</f>
        <v>9.7218198878640383</v>
      </c>
      <c r="P7" s="19">
        <v>33947718</v>
      </c>
      <c r="Q7" s="20">
        <v>330033600</v>
      </c>
      <c r="R7" s="20">
        <v>47429256</v>
      </c>
      <c r="S7" s="20">
        <v>3965072</v>
      </c>
      <c r="T7" s="20">
        <v>278638784</v>
      </c>
      <c r="U7" s="21" t="s">
        <v>551</v>
      </c>
      <c r="V7" s="21" t="s">
        <v>551</v>
      </c>
      <c r="W7" s="21" t="s">
        <v>551</v>
      </c>
      <c r="X7" s="21" t="s">
        <v>551</v>
      </c>
      <c r="Y7" s="21" t="s">
        <v>551</v>
      </c>
      <c r="Z7" s="22">
        <v>5067.62</v>
      </c>
      <c r="AA7" s="22">
        <v>7953.03</v>
      </c>
      <c r="AB7" s="22">
        <v>3.2810000000000001</v>
      </c>
      <c r="AC7" s="22">
        <v>20.324999999999999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-330033600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0.24391968165144415</v>
      </c>
      <c r="I8" s="47">
        <f>IF(OR(ISBLANK(Q8),ISBLANK(F8)),"·",Q8*F8/E8/1000000)</f>
        <v>368.27652499999999</v>
      </c>
      <c r="J8" s="48">
        <f>IF(ISBLANK(Q8),"·",Q8/C8)</f>
        <v>7.3175904495433244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6.3781130390051199</v>
      </c>
      <c r="N8" s="45">
        <f>IF(OR(ISBLANK(R8),ISBLANK(S8)),"",R8+S8)</f>
        <v>30259744</v>
      </c>
      <c r="O8" s="48">
        <f>IF(ISBLANK(Q8),"·",Q8/P8)</f>
        <v>7.3175904495433244</v>
      </c>
      <c r="P8" s="49">
        <v>32209643</v>
      </c>
      <c r="Q8" s="50">
        <v>235696976</v>
      </c>
      <c r="R8" s="50">
        <v>26933800</v>
      </c>
      <c r="S8" s="50">
        <v>3325944</v>
      </c>
      <c r="T8" s="50">
        <v>205436744</v>
      </c>
      <c r="U8" s="51" t="s">
        <v>551</v>
      </c>
      <c r="V8" s="51" t="s">
        <v>551</v>
      </c>
      <c r="W8" s="51" t="s">
        <v>551</v>
      </c>
      <c r="X8" s="51" t="s">
        <v>551</v>
      </c>
      <c r="Y8" s="51" t="s">
        <v>551</v>
      </c>
      <c r="Z8" s="52">
        <v>4985.22</v>
      </c>
      <c r="AA8" s="52">
        <v>5279.46</v>
      </c>
      <c r="AB8" s="52">
        <v>2.6040000000000001</v>
      </c>
      <c r="AC8" s="52">
        <v>16.661000000000001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-235696976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0.49762947352407827</v>
      </c>
      <c r="I9" s="37">
        <f>IF(OR(ISBLANK(Q9),ISBLANK(F9)),"·",Q9*F9/E9/1000000)</f>
        <v>354.26813249999998</v>
      </c>
      <c r="J9" s="38">
        <f>IF(ISBLANK(Q9),"·",Q9/C9)</f>
        <v>14.928884205722348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13.41381381020723</v>
      </c>
      <c r="N9" s="35">
        <f>IF(OR(ISBLANK(R9),ISBLANK(S9)),"",R9+S9)</f>
        <v>38349592</v>
      </c>
      <c r="O9" s="38">
        <f>IF(ISBLANK(Q9),"·",Q9/P9)</f>
        <v>14.928884205722348</v>
      </c>
      <c r="P9" s="39">
        <v>25312408</v>
      </c>
      <c r="Q9" s="40">
        <v>377886008</v>
      </c>
      <c r="R9" s="40">
        <v>35646928</v>
      </c>
      <c r="S9" s="40">
        <v>2702664</v>
      </c>
      <c r="T9" s="40">
        <v>339535928</v>
      </c>
      <c r="U9" s="41" t="s">
        <v>551</v>
      </c>
      <c r="V9" s="41" t="s">
        <v>551</v>
      </c>
      <c r="W9" s="41" t="s">
        <v>551</v>
      </c>
      <c r="X9" s="41" t="s">
        <v>551</v>
      </c>
      <c r="Y9" s="41" t="s">
        <v>551</v>
      </c>
      <c r="Z9" s="42">
        <v>4298.99</v>
      </c>
      <c r="AA9" s="42">
        <v>7781.43</v>
      </c>
      <c r="AB9" s="42">
        <v>2.468</v>
      </c>
      <c r="AC9" s="42">
        <v>20.236999999999998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-377886008</v>
      </c>
    </row>
    <row r="10" spans="1:60" x14ac:dyDescent="0.3">
      <c r="B10" s="55" t="s">
        <v>288</v>
      </c>
      <c r="J10" s="56">
        <f>AVERAGE(J5:J8)</f>
        <v>9.6445842441616172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8.2712759291289455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>
        <f>AVERAGE(J9:J9)</f>
        <v>14.928884205722348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13.41381381020723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>
        <f>AVERAGE(J5:J9)</f>
        <v>10.701444236473764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9.2997835053446032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22218.010000000002</v>
      </c>
      <c r="AA13" s="57">
        <f>SUM(AA5:AA8,AA9:AA9)</f>
        <v>33942.789999999994</v>
      </c>
      <c r="AB13" s="57">
        <f>SUM(AB5:AB8,AB9:AB9)</f>
        <v>12.966000000000001</v>
      </c>
      <c r="AC13" s="57">
        <f>SUM(AC5:AC8,AC9:AC9)</f>
        <v>89.971999999999994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60" hidden="1" outlineLevel="2" x14ac:dyDescent="0.3">
      <c r="B15" s="55" t="s">
        <v>294</v>
      </c>
      <c r="Z15" s="57">
        <f>GEOMEAN(Z5:Z8,Z9:Z9)</f>
        <v>4416.3549609890379</v>
      </c>
      <c r="AA15" s="57">
        <f>GEOMEAN(AA5:AA8,AA9:AA9)</f>
        <v>6702.8876945725515</v>
      </c>
      <c r="AB15" s="57">
        <f>GEOMEAN(AB5:AB8,AB9:AB9)</f>
        <v>2.5675922200112637</v>
      </c>
      <c r="AC15" s="57">
        <f>GEOMEAN(AC5:AC8,AC9:AC9)</f>
        <v>17.894903217597619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tabSelected="1" zoomScale="85" zoomScaleNormal="85" workbookViewId="0">
      <pane xSplit="2" topLeftCell="AV1" activePane="topRight" state="frozen"/>
      <selection pane="topRight" activeCell="BK38" sqref="BK38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68" t="s">
        <v>528</v>
      </c>
      <c r="B1" s="68"/>
      <c r="C1" s="68"/>
      <c r="D1" s="68"/>
      <c r="E1" s="68"/>
      <c r="F1" s="68"/>
      <c r="G1" s="68"/>
      <c r="I1" s="64" t="s">
        <v>550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x14ac:dyDescent="0.3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1.3665375</v>
      </c>
      <c r="J5" s="18">
        <f t="shared" ref="J5:J29" si="1">IF(ISBLANK(S5),"·",S5/D5)</f>
        <v>5.8388883567966003E-2</v>
      </c>
      <c r="K5" s="18">
        <f t="shared" ref="K5:K29" si="2">IF(N5="","·",N5/D5)</f>
        <v>4.7467065123008856E-2</v>
      </c>
      <c r="L5" s="18">
        <f t="shared" ref="L5:L29" si="3">IF(T5="","·",T5/D5)</f>
        <v>2.747150425480889E-2</v>
      </c>
      <c r="M5" s="18">
        <f t="shared" ref="M5:M29" si="4">IF(ISBLANK(V5),"·",V5/D5)</f>
        <v>1.0902911476814069E-2</v>
      </c>
      <c r="N5" s="15">
        <f t="shared" ref="N5:N29" si="5">IF(OR(ISBLANK(T5),ISBLANK(U5)),"",T5+U5)</f>
        <v>1184984</v>
      </c>
      <c r="O5" s="18">
        <f t="shared" ref="O5:O29" si="6">IF(ISBLANK(S5),"·",S5/P5)</f>
        <v>6.3163830893883652E-2</v>
      </c>
      <c r="P5" s="19">
        <v>23077131</v>
      </c>
      <c r="Q5" s="19">
        <v>721160.34375</v>
      </c>
      <c r="R5" s="19">
        <v>15865.875</v>
      </c>
      <c r="S5" s="20">
        <v>1457640</v>
      </c>
      <c r="T5" s="20">
        <v>685808</v>
      </c>
      <c r="U5" s="20">
        <v>499176</v>
      </c>
      <c r="V5" s="20">
        <v>272184</v>
      </c>
      <c r="W5" s="21">
        <v>66.697140625000003</v>
      </c>
      <c r="X5" s="21">
        <v>68.584103124999999</v>
      </c>
      <c r="Y5" s="21">
        <v>31.336321874999999</v>
      </c>
      <c r="Z5" s="21">
        <v>43.356965625000001</v>
      </c>
      <c r="AA5" s="21">
        <v>42.911453125000001</v>
      </c>
      <c r="AB5" s="22">
        <v>4246.01</v>
      </c>
      <c r="AC5" s="22">
        <v>2906.12</v>
      </c>
      <c r="AD5" s="22">
        <v>4.806</v>
      </c>
      <c r="AE5" s="22">
        <v>15.414</v>
      </c>
      <c r="AG5" s="17">
        <f t="shared" ref="AG5:AG29" si="7">IF(OR(ISBLANK(AQ5),ISBLANK(G5)),"·",AQ5*G5/F5/1000000)</f>
        <v>1.4580375000000001</v>
      </c>
      <c r="AH5" s="18">
        <f t="shared" ref="AH5:AH29" si="8">IF(ISBLANK(AQ5),"·",AQ5/D5)</f>
        <v>6.229846003145046E-2</v>
      </c>
      <c r="AI5" s="18">
        <f t="shared" ref="AI5:AI29" si="9">IF(AL5="","·",AL5/D5)</f>
        <v>5.0388031472571218E-2</v>
      </c>
      <c r="AJ5" s="18">
        <f t="shared" ref="AJ5:AJ29" si="10">IF(AR5="","·",AR5/D5)</f>
        <v>3.0392470604371252E-2</v>
      </c>
      <c r="AK5" s="18">
        <f t="shared" ref="AK5:AK29" si="11">IF(ISBLANK(AT5),"·",AT5/D5)</f>
        <v>1.172199979162278E-2</v>
      </c>
      <c r="AL5" s="15">
        <f t="shared" ref="AL5:AL29" si="12">IF(OR(ISBLANK(AR5),ISBLANK(AS5)),"",AR5+AS5)</f>
        <v>1257904</v>
      </c>
      <c r="AM5" s="18">
        <f t="shared" ref="AM5:AM29" si="13">IF(ISBLANK(AQ5),"·",AQ5/AN5)</f>
        <v>6.738175038745027E-2</v>
      </c>
      <c r="AN5" s="19">
        <v>23081027</v>
      </c>
      <c r="AO5" s="19">
        <v>721282.09375</v>
      </c>
      <c r="AP5" s="19">
        <v>15913.78125</v>
      </c>
      <c r="AQ5" s="20">
        <v>1555240</v>
      </c>
      <c r="AR5" s="20">
        <v>758728</v>
      </c>
      <c r="AS5" s="20">
        <v>499176</v>
      </c>
      <c r="AT5" s="20">
        <v>292632</v>
      </c>
      <c r="AU5" s="21">
        <v>66.711640625000001</v>
      </c>
      <c r="AV5" s="21">
        <v>68.584262499999994</v>
      </c>
      <c r="AW5" s="21">
        <v>31.31495</v>
      </c>
      <c r="AX5" s="21">
        <v>43.343796875000002</v>
      </c>
      <c r="AY5" s="21">
        <v>42.822384374999999</v>
      </c>
      <c r="AZ5" s="22">
        <v>3719.58</v>
      </c>
      <c r="BA5" s="22">
        <v>2913.9</v>
      </c>
      <c r="BB5" s="22">
        <v>4.6680000000000001</v>
      </c>
      <c r="BC5" s="22">
        <v>15.212999999999999</v>
      </c>
      <c r="BE5" s="23">
        <f t="shared" ref="BE5:BE29" si="14">(AP5/AO5) - (R5/Q5)</f>
        <v>6.270458082311553E-5</v>
      </c>
      <c r="BF5" s="23">
        <f t="shared" ref="BF5:BF29" si="15">(AL5/AQ5) - (N5/S5)</f>
        <v>-4.1303096900817682E-3</v>
      </c>
      <c r="BG5" s="23">
        <f t="array" ref="BG5">AVERAGE(AL5:AL9/AQ5:AQ9) - AVERAGE(N5:N9/S5:S9)</f>
        <v>1.5559282088672965E-3</v>
      </c>
      <c r="BI5" s="24">
        <f>IF( OR(ISBLANK(N5:N9),ISBLANK(AL5:AL9), ISBLANK(W5:W9),ISBLANK(AU5:AU9)), "·", bdRateExtend( N5:N9,W5:W9, AL5:AL9,AU5:AU9))</f>
        <v>4.3494549714051534E-2</v>
      </c>
      <c r="BJ5" s="24">
        <f>IF( OR(ISBLANK(N5:N9),ISBLANK(AL5:AL9), ISBLANK(X5:X9),ISBLANK(AV5:AV9)), "·", bdRateExtend( N5:N9,X5:X9, AL5:AL9,AV5:AV9))</f>
        <v>4.4110873180657872E-2</v>
      </c>
      <c r="BK5" s="24">
        <f>IF( OR(ISBLANK(V5:V9),ISBLANK(AT5:AT9), ISBLANK(Y5:Y9),ISBLANK(AW5:AW9)), "·", bdRateExtend( V5:V9,Y5:Y9, AT5:AT9,AW5:AW9))</f>
        <v>2.9024269231182176E-2</v>
      </c>
      <c r="BL5" s="24">
        <f>IF( OR(ISBLANK(V5:V9),ISBLANK(AT5:AT9), ISBLANK(Z5:Z9),ISBLANK(AX5:AX9)), "·", bdRateExtend( V5:V9,Z5:Z9, AT5:AT9,AX5:AX9))</f>
        <v>1.8804472504060143E-2</v>
      </c>
      <c r="BM5" s="24">
        <f>IF( OR(ISBLANK(V5:V9),ISBLANK(AT5:AT9), ISBLANK(AA5:AA9),ISBLANK(AY5:AY9)), "·", bdRateExtend( V5:V9,AA5:AA9, AT5:AT9,AY5:AY9))</f>
        <v>7.4937842599289706E-3</v>
      </c>
      <c r="BO5" s="24">
        <f>IF( OR(ISBLANK(S5:S9),ISBLANK(AQ5:AQ9), ISBLANK(W5:W9),ISBLANK(AU5:AU9)), "·", bdRateExtend( S5:S9,W5:W9, AQ5:AQ9,AU5:AU9))</f>
        <v>4.010677170339072E-2</v>
      </c>
      <c r="BP5" s="24">
        <f>IF( OR(ISBLANK(S5:S9),ISBLANK(AQ5:AQ9), ISBLANK(X5:X9),ISBLANK(AV5:AV9)), "·", bdRateExtend( S5:S9,X5:X9, AQ5:AQ9,AV5:AV9))</f>
        <v>4.113777762414017E-2</v>
      </c>
      <c r="BQ5" s="24">
        <f>IF( OR(ISBLANK(S5:S9),ISBLANK(AQ5:AQ9), ISBLANK(Y5:Y9),ISBLANK(AW5:AW9)), "·", bdRateExtend( S5:S9,Y5:Y9, AQ5:AQ9,AW5:AW9))</f>
        <v>3.7518111221872763E-2</v>
      </c>
      <c r="BR5" s="24">
        <f>IF( OR(ISBLANK(S5:S9),ISBLANK(AQ5:AQ9), ISBLANK(Z5:Z9),ISBLANK(AX5:AX9)), "·", bdRateExtend( S5:S9,Z5:Z9, AQ5:AQ9,AX5:AX9))</f>
        <v>3.1277972240177032E-2</v>
      </c>
      <c r="BS5" s="24">
        <f>IF( OR(ISBLANK(S5:S9),ISBLANK(AQ5:AQ9), ISBLANK(AA5:AA9),ISBLANK(AY5:AY9)), "·", bdRateExtend( S5:S9,AA5:AA9, AQ5:AQ9,AY5:AY9))</f>
        <v>2.5830337930563552E-2</v>
      </c>
      <c r="BU5">
        <f>AQ5-S5</f>
        <v>97600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1.7868075000000001</v>
      </c>
      <c r="J6" s="28">
        <f t="shared" si="1"/>
        <v>7.6346016904672145E-2</v>
      </c>
      <c r="K6" s="28">
        <f t="shared" si="2"/>
        <v>5.7033350089233277E-2</v>
      </c>
      <c r="L6" s="28">
        <f t="shared" si="3"/>
        <v>3.7037789221033311E-2</v>
      </c>
      <c r="M6" s="28">
        <f t="shared" si="4"/>
        <v>1.929375984729579E-2</v>
      </c>
      <c r="N6" s="25">
        <f t="shared" si="5"/>
        <v>1423800</v>
      </c>
      <c r="O6" s="28">
        <f t="shared" si="6"/>
        <v>7.7184801163469166E-2</v>
      </c>
      <c r="P6" s="29">
        <v>24693048</v>
      </c>
      <c r="Q6" s="29">
        <v>771657.75</v>
      </c>
      <c r="R6" s="29">
        <v>19943.125</v>
      </c>
      <c r="S6" s="30">
        <v>1905928</v>
      </c>
      <c r="T6" s="30">
        <v>924624</v>
      </c>
      <c r="U6" s="30">
        <v>499176</v>
      </c>
      <c r="V6" s="30">
        <v>481656</v>
      </c>
      <c r="W6" s="31">
        <v>68.437731249999999</v>
      </c>
      <c r="X6" s="31">
        <v>70.609693750000005</v>
      </c>
      <c r="Y6" s="31">
        <v>33.412203124999998</v>
      </c>
      <c r="Z6" s="31">
        <v>44.839784375000001</v>
      </c>
      <c r="AA6" s="31">
        <v>44.466918749999998</v>
      </c>
      <c r="AB6" s="32">
        <v>3984.72</v>
      </c>
      <c r="AC6" s="32">
        <v>3206.51</v>
      </c>
      <c r="AD6" s="32">
        <v>4.7670000000000003</v>
      </c>
      <c r="AE6" s="32">
        <v>16.009</v>
      </c>
      <c r="AG6" s="27">
        <f t="shared" si="7"/>
        <v>1.8783974999999999</v>
      </c>
      <c r="AH6" s="28">
        <f t="shared" si="8"/>
        <v>8.025943885320265E-2</v>
      </c>
      <c r="AI6" s="28">
        <f t="shared" si="9"/>
        <v>5.9954316438795639E-2</v>
      </c>
      <c r="AJ6" s="28">
        <f t="shared" si="10"/>
        <v>3.9958755570595673E-2</v>
      </c>
      <c r="AK6" s="28">
        <f t="shared" si="11"/>
        <v>2.011669364715055E-2</v>
      </c>
      <c r="AL6" s="25">
        <f t="shared" si="12"/>
        <v>1496720</v>
      </c>
      <c r="AM6" s="28">
        <f t="shared" si="13"/>
        <v>8.1128418155703805E-2</v>
      </c>
      <c r="AN6" s="29">
        <v>24696944</v>
      </c>
      <c r="AO6" s="29">
        <v>771779.5</v>
      </c>
      <c r="AP6" s="29">
        <v>19996.4375</v>
      </c>
      <c r="AQ6" s="30">
        <v>2003624</v>
      </c>
      <c r="AR6" s="30">
        <v>997544</v>
      </c>
      <c r="AS6" s="30">
        <v>499176</v>
      </c>
      <c r="AT6" s="30">
        <v>502200</v>
      </c>
      <c r="AU6" s="31">
        <v>68.446203124999997</v>
      </c>
      <c r="AV6" s="31">
        <v>70.609712500000001</v>
      </c>
      <c r="AW6" s="31">
        <v>33.392996875000001</v>
      </c>
      <c r="AX6" s="31">
        <v>44.847843750000003</v>
      </c>
      <c r="AY6" s="31">
        <v>44.580568749999998</v>
      </c>
      <c r="AZ6" s="32">
        <v>3895.05</v>
      </c>
      <c r="BA6" s="32">
        <v>3111.6</v>
      </c>
      <c r="BB6" s="32">
        <v>4.8849999999999998</v>
      </c>
      <c r="BC6" s="32">
        <v>15.430999999999999</v>
      </c>
      <c r="BE6" s="33">
        <f t="shared" si="14"/>
        <v>6.5000339548235836E-5</v>
      </c>
      <c r="BF6" s="33">
        <f t="shared" si="15"/>
        <v>-3.1239183317932628E-5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97696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2.4900224999999998</v>
      </c>
      <c r="J7" s="18">
        <f t="shared" si="1"/>
        <v>0.10639271431198605</v>
      </c>
      <c r="K7" s="18">
        <f t="shared" si="2"/>
        <v>6.9324161210584323E-2</v>
      </c>
      <c r="L7" s="18">
        <f t="shared" si="3"/>
        <v>4.9328600342384364E-2</v>
      </c>
      <c r="M7" s="18">
        <f t="shared" si="4"/>
        <v>3.7049646133258632E-2</v>
      </c>
      <c r="N7" s="15">
        <f t="shared" si="5"/>
        <v>1730632</v>
      </c>
      <c r="O7" s="18">
        <f t="shared" si="6"/>
        <v>0.1067705204272149</v>
      </c>
      <c r="P7" s="19">
        <v>24876005</v>
      </c>
      <c r="Q7" s="19">
        <v>777375.15625</v>
      </c>
      <c r="R7" s="19">
        <v>21136.9375</v>
      </c>
      <c r="S7" s="20">
        <v>2656024</v>
      </c>
      <c r="T7" s="20">
        <v>1231456</v>
      </c>
      <c r="U7" s="20">
        <v>499176</v>
      </c>
      <c r="V7" s="20">
        <v>924920</v>
      </c>
      <c r="W7" s="21">
        <v>69.746521874999999</v>
      </c>
      <c r="X7" s="21">
        <v>72.330109375000006</v>
      </c>
      <c r="Y7" s="21">
        <v>35.850993750000001</v>
      </c>
      <c r="Z7" s="21">
        <v>46.146181249999998</v>
      </c>
      <c r="AA7" s="21">
        <v>45.917096874999999</v>
      </c>
      <c r="AB7" s="22">
        <v>4091.72</v>
      </c>
      <c r="AC7" s="22">
        <v>3371.11</v>
      </c>
      <c r="AD7" s="22">
        <v>4.82</v>
      </c>
      <c r="AE7" s="22">
        <v>16.725999999999999</v>
      </c>
      <c r="AG7" s="17">
        <f t="shared" si="7"/>
        <v>2.576505</v>
      </c>
      <c r="AH7" s="18">
        <f t="shared" si="8"/>
        <v>0.1100879049841532</v>
      </c>
      <c r="AI7" s="18">
        <f t="shared" si="9"/>
        <v>7.2245127560146685E-2</v>
      </c>
      <c r="AJ7" s="18">
        <f t="shared" si="10"/>
        <v>5.2249566691946726E-2</v>
      </c>
      <c r="AK7" s="18">
        <f t="shared" si="11"/>
        <v>3.765434865675004E-2</v>
      </c>
      <c r="AL7" s="15">
        <f t="shared" si="12"/>
        <v>1803552</v>
      </c>
      <c r="AM7" s="18">
        <f t="shared" si="13"/>
        <v>0.11046153278503801</v>
      </c>
      <c r="AN7" s="19">
        <v>24879901</v>
      </c>
      <c r="AO7" s="19">
        <v>777496.90625</v>
      </c>
      <c r="AP7" s="19">
        <v>21194.78125</v>
      </c>
      <c r="AQ7" s="20">
        <v>2748272</v>
      </c>
      <c r="AR7" s="20">
        <v>1304376</v>
      </c>
      <c r="AS7" s="20">
        <v>499176</v>
      </c>
      <c r="AT7" s="20">
        <v>940016</v>
      </c>
      <c r="AU7" s="21">
        <v>69.757606249999995</v>
      </c>
      <c r="AV7" s="21">
        <v>72.329962499999993</v>
      </c>
      <c r="AW7" s="21">
        <v>35.83823125</v>
      </c>
      <c r="AX7" s="21">
        <v>46.174040625000004</v>
      </c>
      <c r="AY7" s="21">
        <v>46.019662500000003</v>
      </c>
      <c r="AZ7" s="22">
        <v>3755.08</v>
      </c>
      <c r="BA7" s="22">
        <v>3308.72</v>
      </c>
      <c r="BB7" s="22">
        <v>4.883</v>
      </c>
      <c r="BC7" s="22">
        <v>15.97</v>
      </c>
      <c r="BE7" s="23">
        <f t="shared" si="14"/>
        <v>7.0139636959822005E-5</v>
      </c>
      <c r="BF7" s="23">
        <f t="shared" si="15"/>
        <v>4.6619685472450989E-3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92248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4.1190600000000002</v>
      </c>
      <c r="J8" s="28">
        <f t="shared" si="1"/>
        <v>0.17599759593093203</v>
      </c>
      <c r="K8" s="28">
        <f t="shared" si="2"/>
        <v>9.5772445986056678E-2</v>
      </c>
      <c r="L8" s="28">
        <f t="shared" si="3"/>
        <v>7.5776885117856713E-2</v>
      </c>
      <c r="M8" s="28">
        <f t="shared" si="4"/>
        <v>8.0206242976732289E-2</v>
      </c>
      <c r="N8" s="25">
        <f t="shared" si="5"/>
        <v>2390896</v>
      </c>
      <c r="O8" s="28">
        <f t="shared" si="6"/>
        <v>0.16871227059001973</v>
      </c>
      <c r="P8" s="29">
        <v>26042350</v>
      </c>
      <c r="Q8" s="29">
        <v>813823.4375</v>
      </c>
      <c r="R8" s="29">
        <v>24959.15625</v>
      </c>
      <c r="S8" s="30">
        <v>4393664</v>
      </c>
      <c r="T8" s="30">
        <v>1891720</v>
      </c>
      <c r="U8" s="30">
        <v>499176</v>
      </c>
      <c r="V8" s="30">
        <v>2002296</v>
      </c>
      <c r="W8" s="31">
        <v>70.765909375000007</v>
      </c>
      <c r="X8" s="31">
        <v>73.579650000000001</v>
      </c>
      <c r="Y8" s="31">
        <v>38.416184375</v>
      </c>
      <c r="Z8" s="31">
        <v>47.510184375000001</v>
      </c>
      <c r="AA8" s="31">
        <v>47.331428125000002</v>
      </c>
      <c r="AB8" s="32">
        <v>4317.76</v>
      </c>
      <c r="AC8" s="32">
        <v>3671.01</v>
      </c>
      <c r="AD8" s="32">
        <v>5.0049999999999999</v>
      </c>
      <c r="AE8" s="32">
        <v>16.582000000000001</v>
      </c>
      <c r="AG8" s="27">
        <f t="shared" si="7"/>
        <v>4.2160349999999998</v>
      </c>
      <c r="AH8" s="28">
        <f t="shared" si="8"/>
        <v>0.18014110606805123</v>
      </c>
      <c r="AI8" s="28">
        <f t="shared" si="9"/>
        <v>9.8693412335619027E-2</v>
      </c>
      <c r="AJ8" s="28">
        <f t="shared" si="10"/>
        <v>7.8697851467419061E-2</v>
      </c>
      <c r="AK8" s="28">
        <f t="shared" si="11"/>
        <v>8.1259264965175729E-2</v>
      </c>
      <c r="AL8" s="25">
        <f t="shared" si="12"/>
        <v>2463816</v>
      </c>
      <c r="AM8" s="28">
        <f t="shared" si="13"/>
        <v>0.17265843223626162</v>
      </c>
      <c r="AN8" s="29">
        <v>26046246</v>
      </c>
      <c r="AO8" s="29">
        <v>813945.1875</v>
      </c>
      <c r="AP8" s="29">
        <v>25014.125</v>
      </c>
      <c r="AQ8" s="30">
        <v>4497104</v>
      </c>
      <c r="AR8" s="30">
        <v>1964640</v>
      </c>
      <c r="AS8" s="30">
        <v>499176</v>
      </c>
      <c r="AT8" s="30">
        <v>2028584</v>
      </c>
      <c r="AU8" s="31">
        <v>70.765453124999993</v>
      </c>
      <c r="AV8" s="31">
        <v>73.578934375000003</v>
      </c>
      <c r="AW8" s="31">
        <v>38.405409374999998</v>
      </c>
      <c r="AX8" s="31">
        <v>47.549946875000003</v>
      </c>
      <c r="AY8" s="31">
        <v>47.325178125000001</v>
      </c>
      <c r="AZ8" s="32">
        <v>3406.87</v>
      </c>
      <c r="BA8" s="32">
        <v>3611.45</v>
      </c>
      <c r="BB8" s="32">
        <v>5.0830000000000002</v>
      </c>
      <c r="BC8" s="32">
        <v>16.381</v>
      </c>
      <c r="BE8" s="33">
        <f t="shared" si="14"/>
        <v>6.2946251482429855E-5</v>
      </c>
      <c r="BF8" s="33">
        <f t="shared" si="15"/>
        <v>3.6981916899457845E-3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103440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8.4549824999999998</v>
      </c>
      <c r="J9" s="38">
        <f t="shared" si="1"/>
        <v>0.3612612085374094</v>
      </c>
      <c r="K9" s="38">
        <f t="shared" si="2"/>
        <v>0.14293796099003775</v>
      </c>
      <c r="L9" s="38">
        <f t="shared" si="3"/>
        <v>0.12294240012183778</v>
      </c>
      <c r="M9" s="38">
        <f t="shared" si="4"/>
        <v>0.2183043405792286</v>
      </c>
      <c r="N9" s="35">
        <f t="shared" si="5"/>
        <v>3568352</v>
      </c>
      <c r="O9" s="38">
        <f t="shared" si="6"/>
        <v>0.34309870664353131</v>
      </c>
      <c r="P9" s="39">
        <v>26285870</v>
      </c>
      <c r="Q9" s="39">
        <v>821433.4375</v>
      </c>
      <c r="R9" s="39">
        <v>26542.1875</v>
      </c>
      <c r="S9" s="40">
        <v>9018648</v>
      </c>
      <c r="T9" s="40">
        <v>3069176</v>
      </c>
      <c r="U9" s="40">
        <v>499176</v>
      </c>
      <c r="V9" s="40">
        <v>5449824</v>
      </c>
      <c r="W9" s="41">
        <v>71.578540625000002</v>
      </c>
      <c r="X9" s="41">
        <v>74.672959375000005</v>
      </c>
      <c r="Y9" s="41">
        <v>41.076818750000001</v>
      </c>
      <c r="Z9" s="41">
        <v>49.243762500000003</v>
      </c>
      <c r="AA9" s="41">
        <v>49.251246875</v>
      </c>
      <c r="AB9" s="42">
        <v>4290.71</v>
      </c>
      <c r="AC9" s="42">
        <v>4028.9</v>
      </c>
      <c r="AD9" s="42">
        <v>4.95</v>
      </c>
      <c r="AE9" s="42">
        <v>17.943999999999999</v>
      </c>
      <c r="AG9" s="37">
        <f t="shared" si="7"/>
        <v>8.5503750000000007</v>
      </c>
      <c r="AH9" s="38">
        <f t="shared" si="8"/>
        <v>0.36533710222913557</v>
      </c>
      <c r="AI9" s="38">
        <f t="shared" si="9"/>
        <v>0.14585892733960013</v>
      </c>
      <c r="AJ9" s="38">
        <f t="shared" si="10"/>
        <v>0.12586336647140015</v>
      </c>
      <c r="AK9" s="38">
        <f t="shared" si="11"/>
        <v>0.21928974612227897</v>
      </c>
      <c r="AL9" s="35">
        <f t="shared" si="12"/>
        <v>3641272</v>
      </c>
      <c r="AM9" s="38">
        <f t="shared" si="13"/>
        <v>0.34691826469661236</v>
      </c>
      <c r="AN9" s="39">
        <v>26289766</v>
      </c>
      <c r="AO9" s="39">
        <v>821555.1875</v>
      </c>
      <c r="AP9" s="39">
        <v>26595.4375</v>
      </c>
      <c r="AQ9" s="40">
        <v>9120400</v>
      </c>
      <c r="AR9" s="40">
        <v>3142096</v>
      </c>
      <c r="AS9" s="40">
        <v>499176</v>
      </c>
      <c r="AT9" s="40">
        <v>5474424</v>
      </c>
      <c r="AU9" s="41">
        <v>71.578125</v>
      </c>
      <c r="AV9" s="41">
        <v>74.672243750000007</v>
      </c>
      <c r="AW9" s="41">
        <v>41.080775000000003</v>
      </c>
      <c r="AX9" s="41">
        <v>49.201753125000003</v>
      </c>
      <c r="AY9" s="41">
        <v>49.260937499999997</v>
      </c>
      <c r="AZ9" s="42">
        <v>3701.28</v>
      </c>
      <c r="BA9" s="42">
        <v>3936.52</v>
      </c>
      <c r="BB9" s="42">
        <v>5.1420000000000003</v>
      </c>
      <c r="BC9" s="42">
        <v>17.346</v>
      </c>
      <c r="BE9" s="43">
        <f t="shared" si="14"/>
        <v>6.0027628410369571E-5</v>
      </c>
      <c r="BF9" s="43">
        <f t="shared" si="15"/>
        <v>3.5810296805459108E-3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101752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2.1041625000000002</v>
      </c>
      <c r="J10" s="28">
        <f t="shared" si="1"/>
        <v>9.9071326596773868E-2</v>
      </c>
      <c r="K10" s="28">
        <f t="shared" si="2"/>
        <v>7.1505234500308087E-2</v>
      </c>
      <c r="L10" s="28">
        <f t="shared" si="3"/>
        <v>3.8061709601444532E-2</v>
      </c>
      <c r="M10" s="28">
        <f t="shared" si="4"/>
        <v>2.7545257649497421E-2</v>
      </c>
      <c r="N10" s="25">
        <f t="shared" si="5"/>
        <v>1619936</v>
      </c>
      <c r="O10" s="28">
        <f t="shared" si="6"/>
        <v>0.10691072337267121</v>
      </c>
      <c r="P10" s="29">
        <v>20993591</v>
      </c>
      <c r="Q10" s="29">
        <v>656049.71875</v>
      </c>
      <c r="R10" s="29">
        <v>19815.4375</v>
      </c>
      <c r="S10" s="30">
        <v>2244440</v>
      </c>
      <c r="T10" s="30">
        <v>862280</v>
      </c>
      <c r="U10" s="30">
        <v>757656</v>
      </c>
      <c r="V10" s="30">
        <v>624032</v>
      </c>
      <c r="W10" s="31">
        <v>65.961984375</v>
      </c>
      <c r="X10" s="31">
        <v>67.906637500000002</v>
      </c>
      <c r="Y10" s="31">
        <v>30.780918750000001</v>
      </c>
      <c r="Z10" s="31">
        <v>38.347728125000003</v>
      </c>
      <c r="AA10" s="31">
        <v>29.883928125000001</v>
      </c>
      <c r="AB10" s="32">
        <v>3801.97</v>
      </c>
      <c r="AC10" s="32">
        <v>3499.99</v>
      </c>
      <c r="AD10" s="32">
        <v>4.5430000000000001</v>
      </c>
      <c r="AE10" s="32">
        <v>16.11</v>
      </c>
      <c r="AG10" s="27">
        <f t="shared" si="7"/>
        <v>2.848875</v>
      </c>
      <c r="AH10" s="28">
        <f t="shared" si="8"/>
        <v>0.13413499459209266</v>
      </c>
      <c r="AI10" s="28">
        <f t="shared" si="9"/>
        <v>0.10527575427870901</v>
      </c>
      <c r="AJ10" s="28">
        <f t="shared" si="10"/>
        <v>7.1832229379845472E-2</v>
      </c>
      <c r="AK10" s="28">
        <f t="shared" si="11"/>
        <v>2.8651602096139584E-2</v>
      </c>
      <c r="AL10" s="25">
        <f t="shared" si="12"/>
        <v>2385000</v>
      </c>
      <c r="AM10" s="28">
        <f t="shared" si="13"/>
        <v>0.14370153359820165</v>
      </c>
      <c r="AN10" s="29">
        <v>21146608</v>
      </c>
      <c r="AO10" s="29">
        <v>660831.5</v>
      </c>
      <c r="AP10" s="29">
        <v>22252.53125</v>
      </c>
      <c r="AQ10" s="30">
        <v>3038800</v>
      </c>
      <c r="AR10" s="30">
        <v>1627344</v>
      </c>
      <c r="AS10" s="30">
        <v>757656</v>
      </c>
      <c r="AT10" s="30">
        <v>649096</v>
      </c>
      <c r="AU10" s="31">
        <v>66.168168750000007</v>
      </c>
      <c r="AV10" s="31">
        <v>67.922593750000004</v>
      </c>
      <c r="AW10" s="31">
        <v>30.657196875</v>
      </c>
      <c r="AX10" s="31">
        <v>38.292671875000003</v>
      </c>
      <c r="AY10" s="31">
        <v>29.870075</v>
      </c>
      <c r="AZ10" s="32">
        <v>3391.31</v>
      </c>
      <c r="BA10" s="32">
        <v>3419.52</v>
      </c>
      <c r="BB10" s="32">
        <v>4.452</v>
      </c>
      <c r="BC10" s="32">
        <v>16.297999999999998</v>
      </c>
      <c r="BE10" s="33">
        <f t="shared" si="14"/>
        <v>3.4693624839014156E-3</v>
      </c>
      <c r="BF10" s="33">
        <f t="shared" si="15"/>
        <v>6.3094190027215391E-2</v>
      </c>
      <c r="BG10" s="33">
        <f t="array" ref="BG10">AVERAGE(AL10:AL14/AQ10:AQ14) - AVERAGE(N10:N14/S10:S14)</f>
        <v>5.1503816133615765E-2</v>
      </c>
      <c r="BI10" s="34">
        <f>IF( OR(ISBLANK(N10:N14),ISBLANK(AL10:AL14), ISBLANK(W10:W14),ISBLANK(AU10:AU14)), "·", bdRateExtend( N10:N14,W10:W14, AL10:AL14,AU10:AU14))</f>
        <v>0.31596032420182807</v>
      </c>
      <c r="BJ10" s="34">
        <f>IF( OR(ISBLANK(N10:N14),ISBLANK(AL10:AL14), ISBLANK(X10:X14),ISBLANK(AV10:AV14)), "·", bdRateExtend( N10:N14,X10:X14, AL10:AL14,AV10:AV14))</f>
        <v>0.32620474709006375</v>
      </c>
      <c r="BK10" s="34">
        <f>IF( OR(ISBLANK(V10:V14),ISBLANK(AT10:AT14), ISBLANK(Y10:Y14),ISBLANK(AW10:AW14)), "·", bdRateExtend( V10:V14,Y10:Y14, AT10:AT14,AW10:AW14))</f>
        <v>3.358993263148724E-2</v>
      </c>
      <c r="BL10" s="34">
        <f>IF( OR(ISBLANK(V10:V14),ISBLANK(AT10:AT14), ISBLANK(Z10:Z14),ISBLANK(AX10:AX14)), "·", bdRateExtend( V10:V14,Z10:Z14, AT10:AT14,AX10:AX14))</f>
        <v>6.5197735762838827E-2</v>
      </c>
      <c r="BM10" s="34">
        <f>IF( OR(ISBLANK(V10:V14),ISBLANK(AT10:AT14), ISBLANK(AA10:AA14),ISBLANK(AY10:AY14)), "·", bdRateExtend( V10:V14,AA10:AA14, AT10:AT14,AY10:AY14))</f>
        <v>4.8698465528526302E-2</v>
      </c>
      <c r="BO10" s="34">
        <f>IF( OR(ISBLANK(S10:S14),ISBLANK(AQ10:AQ14), ISBLANK(W10:W14),ISBLANK(AU10:AU14)), "·", bdRateExtend( S10:S14,W10:W14, AQ10:AQ14,AU10:AU14))</f>
        <v>0.1915239886762512</v>
      </c>
      <c r="BP10" s="34">
        <f>IF( OR(ISBLANK(S10:S14),ISBLANK(AQ10:AQ14), ISBLANK(X10:X14),ISBLANK(AV10:AV14)), "·", bdRateExtend( S10:S14,X10:X14, AQ10:AQ14,AV10:AV14))</f>
        <v>0.20858645454194802</v>
      </c>
      <c r="BQ10" s="34">
        <f>IF( OR(ISBLANK(S10:S14),ISBLANK(AQ10:AQ14), ISBLANK(Y10:Y14),ISBLANK(AW10:AW14)), "·", bdRateExtend( S10:S14,Y10:Y14, AQ10:AQ14,AW10:AW14))</f>
        <v>0.18080861272089788</v>
      </c>
      <c r="BR10" s="34">
        <f>IF( OR(ISBLANK(S10:S14),ISBLANK(AQ10:AQ14), ISBLANK(Z10:Z14),ISBLANK(AX10:AX14)), "·", bdRateExtend( S10:S14,Z10:Z14, AQ10:AQ14,AX10:AX14))</f>
        <v>0.20935644508469875</v>
      </c>
      <c r="BS10" s="34">
        <f>IF( OR(ISBLANK(S10:S14),ISBLANK(AQ10:AQ14), ISBLANK(AA10:AA14),ISBLANK(AY10:AY14)), "·", bdRateExtend( S10:S14,AA10:AA14, AQ10:AQ14,AY10:AY14))</f>
        <v>0.20373956629735779</v>
      </c>
      <c r="BU10" s="4">
        <f t="shared" si="16"/>
        <v>794360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2.9042625000000002</v>
      </c>
      <c r="J11" s="18">
        <f t="shared" si="1"/>
        <v>0.1367428317253363</v>
      </c>
      <c r="K11" s="18">
        <f t="shared" si="2"/>
        <v>8.6959097257537907E-2</v>
      </c>
      <c r="L11" s="18">
        <f t="shared" si="3"/>
        <v>5.3515572358674365E-2</v>
      </c>
      <c r="M11" s="18">
        <f t="shared" si="4"/>
        <v>4.9762900020830031E-2</v>
      </c>
      <c r="N11" s="15">
        <f t="shared" si="5"/>
        <v>1970040</v>
      </c>
      <c r="O11" s="18">
        <f t="shared" si="6"/>
        <v>0.13786759960986142</v>
      </c>
      <c r="P11" s="19">
        <v>22469964</v>
      </c>
      <c r="Q11" s="19">
        <v>702186.375</v>
      </c>
      <c r="R11" s="19">
        <v>25184.25</v>
      </c>
      <c r="S11" s="20">
        <v>3097880</v>
      </c>
      <c r="T11" s="20">
        <v>1212384</v>
      </c>
      <c r="U11" s="20">
        <v>757656</v>
      </c>
      <c r="V11" s="20">
        <v>1127368</v>
      </c>
      <c r="W11" s="21">
        <v>67.681240625000001</v>
      </c>
      <c r="X11" s="21">
        <v>69.835137500000002</v>
      </c>
      <c r="Y11" s="21">
        <v>32.694362499999997</v>
      </c>
      <c r="Z11" s="21">
        <v>39.520256250000003</v>
      </c>
      <c r="AA11" s="21">
        <v>32.160274999999999</v>
      </c>
      <c r="AB11" s="22">
        <v>4010.2</v>
      </c>
      <c r="AC11" s="22">
        <v>3770.22</v>
      </c>
      <c r="AD11" s="22">
        <v>4.782</v>
      </c>
      <c r="AE11" s="22">
        <v>16.841999999999999</v>
      </c>
      <c r="AG11" s="17">
        <f t="shared" si="7"/>
        <v>3.6528675000000002</v>
      </c>
      <c r="AH11" s="18">
        <f t="shared" si="8"/>
        <v>0.17198977222873274</v>
      </c>
      <c r="AI11" s="18">
        <f t="shared" si="9"/>
        <v>0.12072961703593885</v>
      </c>
      <c r="AJ11" s="18">
        <f t="shared" si="10"/>
        <v>8.7286092137075305E-2</v>
      </c>
      <c r="AK11" s="18">
        <f t="shared" si="11"/>
        <v>5.1052516975549848E-2</v>
      </c>
      <c r="AL11" s="15">
        <f t="shared" si="12"/>
        <v>2735104</v>
      </c>
      <c r="AM11" s="18">
        <f t="shared" si="13"/>
        <v>0.17223159052292888</v>
      </c>
      <c r="AN11" s="19">
        <v>22622981</v>
      </c>
      <c r="AO11" s="19">
        <v>706968.15625</v>
      </c>
      <c r="AP11" s="19">
        <v>27725.875</v>
      </c>
      <c r="AQ11" s="20">
        <v>3896392</v>
      </c>
      <c r="AR11" s="20">
        <v>1977448</v>
      </c>
      <c r="AS11" s="20">
        <v>757656</v>
      </c>
      <c r="AT11" s="20">
        <v>1156584</v>
      </c>
      <c r="AU11" s="21">
        <v>67.782990624999996</v>
      </c>
      <c r="AV11" s="21">
        <v>69.844456249999993</v>
      </c>
      <c r="AW11" s="21">
        <v>32.623134374999999</v>
      </c>
      <c r="AX11" s="21">
        <v>39.446165624999999</v>
      </c>
      <c r="AY11" s="21">
        <v>32.1113</v>
      </c>
      <c r="AZ11" s="22">
        <v>3471.65</v>
      </c>
      <c r="BA11" s="22">
        <v>3723.01</v>
      </c>
      <c r="BB11" s="22">
        <v>4.6719999999999997</v>
      </c>
      <c r="BC11" s="22">
        <v>17.302</v>
      </c>
      <c r="BE11" s="23">
        <f t="shared" si="14"/>
        <v>3.352518934153198E-3</v>
      </c>
      <c r="BF11" s="23">
        <f t="shared" si="15"/>
        <v>6.6026449803893383E-2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798512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4.1676525</v>
      </c>
      <c r="J12" s="28">
        <f t="shared" si="1"/>
        <v>0.19622764970355716</v>
      </c>
      <c r="K12" s="28">
        <f t="shared" si="2"/>
        <v>0.10953198460599213</v>
      </c>
      <c r="L12" s="28">
        <f t="shared" si="3"/>
        <v>7.6088459707128589E-2</v>
      </c>
      <c r="M12" s="28">
        <f t="shared" si="4"/>
        <v>8.6674830650596654E-2</v>
      </c>
      <c r="N12" s="25">
        <f t="shared" si="5"/>
        <v>2481424</v>
      </c>
      <c r="O12" s="28">
        <f t="shared" si="6"/>
        <v>0.19492934194154007</v>
      </c>
      <c r="P12" s="29">
        <v>22805679</v>
      </c>
      <c r="Q12" s="29">
        <v>712677.46875</v>
      </c>
      <c r="R12" s="29">
        <v>26777.15625</v>
      </c>
      <c r="S12" s="30">
        <v>4445496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71.533574999999999</v>
      </c>
      <c r="Y12" s="31">
        <v>34.763062499999997</v>
      </c>
      <c r="Z12" s="31">
        <v>40.446318750000003</v>
      </c>
      <c r="AA12" s="31">
        <v>34.07218125</v>
      </c>
      <c r="AB12" s="32">
        <v>3592.09</v>
      </c>
      <c r="AC12" s="32">
        <v>4003.48</v>
      </c>
      <c r="AD12" s="32">
        <v>4.7670000000000003</v>
      </c>
      <c r="AE12" s="32">
        <v>16.908000000000001</v>
      </c>
      <c r="AG12" s="27">
        <f t="shared" si="7"/>
        <v>4.9486575000000004</v>
      </c>
      <c r="AH12" s="28">
        <f t="shared" si="8"/>
        <v>0.23300009547650169</v>
      </c>
      <c r="AI12" s="28">
        <f t="shared" si="9"/>
        <v>0.14330250438439307</v>
      </c>
      <c r="AJ12" s="28">
        <f t="shared" si="10"/>
        <v>0.10985897948552953</v>
      </c>
      <c r="AK12" s="28">
        <f t="shared" si="11"/>
        <v>8.9489952874864553E-2</v>
      </c>
      <c r="AL12" s="25">
        <f t="shared" si="12"/>
        <v>3246488</v>
      </c>
      <c r="AM12" s="28">
        <f t="shared" si="13"/>
        <v>0.22991584539470361</v>
      </c>
      <c r="AN12" s="29">
        <v>22958696</v>
      </c>
      <c r="AO12" s="29">
        <v>717459.25</v>
      </c>
      <c r="AP12" s="29">
        <v>29364.90625</v>
      </c>
      <c r="AQ12" s="30">
        <v>5278568</v>
      </c>
      <c r="AR12" s="30">
        <v>2488832</v>
      </c>
      <c r="AS12" s="30">
        <v>757656</v>
      </c>
      <c r="AT12" s="30">
        <v>2027376</v>
      </c>
      <c r="AU12" s="31">
        <v>69.076599999999999</v>
      </c>
      <c r="AV12" s="31">
        <v>71.534531250000001</v>
      </c>
      <c r="AW12" s="31">
        <v>34.743193750000003</v>
      </c>
      <c r="AX12" s="31">
        <v>40.399859374999998</v>
      </c>
      <c r="AY12" s="31">
        <v>34.017768750000002</v>
      </c>
      <c r="AZ12" s="32">
        <v>3704.38</v>
      </c>
      <c r="BA12" s="32">
        <v>3908.58</v>
      </c>
      <c r="BB12" s="32">
        <v>4.7279999999999998</v>
      </c>
      <c r="BC12" s="32">
        <v>17.367999999999999</v>
      </c>
      <c r="BE12" s="33">
        <f t="shared" si="14"/>
        <v>3.3564080098283863E-3</v>
      </c>
      <c r="BF12" s="33">
        <f t="shared" si="15"/>
        <v>5.6843622995955689E-2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833072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6.8598074999999996</v>
      </c>
      <c r="J13" s="18">
        <f t="shared" si="1"/>
        <v>0.32298371880665055</v>
      </c>
      <c r="K13" s="18">
        <f t="shared" si="2"/>
        <v>0.15014856240770991</v>
      </c>
      <c r="L13" s="18">
        <f t="shared" si="3"/>
        <v>0.11670503750884637</v>
      </c>
      <c r="M13" s="18">
        <f t="shared" si="4"/>
        <v>0.17281432195197227</v>
      </c>
      <c r="N13" s="15">
        <f t="shared" si="5"/>
        <v>3401584</v>
      </c>
      <c r="O13" s="18">
        <f t="shared" si="6"/>
        <v>0.30741504725168528</v>
      </c>
      <c r="P13" s="19">
        <v>23802114</v>
      </c>
      <c r="Q13" s="19">
        <v>743816.0625</v>
      </c>
      <c r="R13" s="19">
        <v>30639.71875</v>
      </c>
      <c r="S13" s="20">
        <v>7317128</v>
      </c>
      <c r="T13" s="20">
        <v>2643928</v>
      </c>
      <c r="U13" s="20">
        <v>757656</v>
      </c>
      <c r="V13" s="20">
        <v>3915072</v>
      </c>
      <c r="W13" s="21">
        <v>70.005984374999997</v>
      </c>
      <c r="X13" s="21">
        <v>72.755981250000005</v>
      </c>
      <c r="Y13" s="21">
        <v>37.030693749999998</v>
      </c>
      <c r="Z13" s="21">
        <v>41.526387499999998</v>
      </c>
      <c r="AA13" s="21">
        <v>36.097665624999998</v>
      </c>
      <c r="AB13" s="22">
        <v>3595.43</v>
      </c>
      <c r="AC13" s="22">
        <v>4301.82</v>
      </c>
      <c r="AD13" s="22">
        <v>4.6989999999999998</v>
      </c>
      <c r="AE13" s="22">
        <v>17.670000000000002</v>
      </c>
      <c r="AG13" s="17">
        <f t="shared" si="7"/>
        <v>7.6753499999999999</v>
      </c>
      <c r="AH13" s="18">
        <f t="shared" si="8"/>
        <v>0.36138231082178696</v>
      </c>
      <c r="AI13" s="18">
        <f t="shared" si="9"/>
        <v>0.18391908218611086</v>
      </c>
      <c r="AJ13" s="18">
        <f t="shared" si="10"/>
        <v>0.15047555728724729</v>
      </c>
      <c r="AK13" s="18">
        <f t="shared" si="11"/>
        <v>0.17725559041843206</v>
      </c>
      <c r="AL13" s="15">
        <f t="shared" si="12"/>
        <v>4166648</v>
      </c>
      <c r="AM13" s="18">
        <f t="shared" si="13"/>
        <v>0.34176561171800729</v>
      </c>
      <c r="AN13" s="19">
        <v>23955131</v>
      </c>
      <c r="AO13" s="19">
        <v>748597.84375</v>
      </c>
      <c r="AP13" s="19">
        <v>33224.1875</v>
      </c>
      <c r="AQ13" s="20">
        <v>8187040</v>
      </c>
      <c r="AR13" s="20">
        <v>3408992</v>
      </c>
      <c r="AS13" s="20">
        <v>757656</v>
      </c>
      <c r="AT13" s="20">
        <v>4015688</v>
      </c>
      <c r="AU13" s="21">
        <v>70.005812500000005</v>
      </c>
      <c r="AV13" s="21">
        <v>72.749281249999996</v>
      </c>
      <c r="AW13" s="21">
        <v>37.047971875000002</v>
      </c>
      <c r="AX13" s="21">
        <v>41.46753125</v>
      </c>
      <c r="AY13" s="21">
        <v>36.019996874999997</v>
      </c>
      <c r="AZ13" s="22">
        <v>3433.7</v>
      </c>
      <c r="BA13" s="22">
        <v>4220.6400000000003</v>
      </c>
      <c r="BB13" s="22">
        <v>4.8479999999999999</v>
      </c>
      <c r="BC13" s="22">
        <v>17.553000000000001</v>
      </c>
      <c r="BE13" s="23">
        <f t="shared" si="14"/>
        <v>3.1892888281882317E-3</v>
      </c>
      <c r="BF13" s="23">
        <f t="shared" si="15"/>
        <v>4.4052502791467829E-2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869912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13.7423325</v>
      </c>
      <c r="J14" s="48">
        <f t="shared" si="1"/>
        <v>0.64703705693308378</v>
      </c>
      <c r="K14" s="48">
        <f t="shared" si="2"/>
        <v>0.22186708514477887</v>
      </c>
      <c r="L14" s="48">
        <f t="shared" si="3"/>
        <v>0.18842356024591533</v>
      </c>
      <c r="M14" s="48">
        <f t="shared" si="4"/>
        <v>0.42514913734133652</v>
      </c>
      <c r="N14" s="45">
        <f t="shared" si="5"/>
        <v>5026352</v>
      </c>
      <c r="O14" s="48">
        <f t="shared" si="6"/>
        <v>0.61120469613738826</v>
      </c>
      <c r="P14" s="49">
        <v>23982944</v>
      </c>
      <c r="Q14" s="49">
        <v>749467</v>
      </c>
      <c r="R14" s="49">
        <v>32391.4375</v>
      </c>
      <c r="S14" s="50">
        <v>14658488</v>
      </c>
      <c r="T14" s="50">
        <v>4268696</v>
      </c>
      <c r="U14" s="50">
        <v>757656</v>
      </c>
      <c r="V14" s="50">
        <v>9631664</v>
      </c>
      <c r="W14" s="51">
        <v>70.859481250000002</v>
      </c>
      <c r="X14" s="51">
        <v>73.880081250000003</v>
      </c>
      <c r="Y14" s="51">
        <v>39.721912500000002</v>
      </c>
      <c r="Z14" s="51">
        <v>42.956209375</v>
      </c>
      <c r="AA14" s="51">
        <v>38.524393750000002</v>
      </c>
      <c r="AB14" s="52">
        <v>3721.93</v>
      </c>
      <c r="AC14" s="52">
        <v>4725.58</v>
      </c>
      <c r="AD14" s="52">
        <v>4.8319999999999999</v>
      </c>
      <c r="AE14" s="52">
        <v>18.535</v>
      </c>
      <c r="AG14" s="47">
        <f t="shared" si="7"/>
        <v>14.658374999999999</v>
      </c>
      <c r="AH14" s="48">
        <f t="shared" si="8"/>
        <v>0.69016754029357763</v>
      </c>
      <c r="AI14" s="48">
        <f t="shared" si="9"/>
        <v>0.25563760492317983</v>
      </c>
      <c r="AJ14" s="48">
        <f t="shared" si="10"/>
        <v>0.22219408002431626</v>
      </c>
      <c r="AK14" s="48">
        <f t="shared" si="11"/>
        <v>0.43432229715315379</v>
      </c>
      <c r="AL14" s="45">
        <f t="shared" si="12"/>
        <v>5791416</v>
      </c>
      <c r="AM14" s="48">
        <f t="shared" si="13"/>
        <v>0.64781344318546086</v>
      </c>
      <c r="AN14" s="49">
        <v>24135961</v>
      </c>
      <c r="AO14" s="49">
        <v>754248.78125</v>
      </c>
      <c r="AP14" s="49">
        <v>34923.4375</v>
      </c>
      <c r="AQ14" s="50">
        <v>15635600</v>
      </c>
      <c r="AR14" s="50">
        <v>5033760</v>
      </c>
      <c r="AS14" s="50">
        <v>757656</v>
      </c>
      <c r="AT14" s="50">
        <v>9839480</v>
      </c>
      <c r="AU14" s="51">
        <v>70.853209375000006</v>
      </c>
      <c r="AV14" s="51">
        <v>73.862796875000001</v>
      </c>
      <c r="AW14" s="51">
        <v>39.767712500000002</v>
      </c>
      <c r="AX14" s="51">
        <v>42.896796875</v>
      </c>
      <c r="AY14" s="51">
        <v>38.433915624999997</v>
      </c>
      <c r="AZ14" s="52">
        <v>3465.68</v>
      </c>
      <c r="BA14" s="52">
        <v>4617.5200000000004</v>
      </c>
      <c r="BB14" s="52">
        <v>4.6050000000000004</v>
      </c>
      <c r="BC14" s="52">
        <v>18.347000000000001</v>
      </c>
      <c r="BE14" s="53">
        <f t="shared" si="14"/>
        <v>3.0829811459027051E-3</v>
      </c>
      <c r="BF14" s="53">
        <f t="shared" si="15"/>
        <v>2.7502315049546366E-2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977112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2.1970049999999999</v>
      </c>
      <c r="J15" s="18">
        <f t="shared" si="1"/>
        <v>6.903179766015495E-2</v>
      </c>
      <c r="K15" s="18">
        <f t="shared" si="2"/>
        <v>5.4727684494138902E-2</v>
      </c>
      <c r="L15" s="18">
        <f t="shared" si="3"/>
        <v>2.8180509806285066E-2</v>
      </c>
      <c r="M15" s="18">
        <f t="shared" si="4"/>
        <v>1.4290209433223169E-2</v>
      </c>
      <c r="N15" s="15">
        <f t="shared" si="5"/>
        <v>1857880</v>
      </c>
      <c r="O15" s="18">
        <f t="shared" si="6"/>
        <v>7.1497912745510248E-2</v>
      </c>
      <c r="P15" s="19">
        <v>32776789</v>
      </c>
      <c r="Q15" s="19">
        <v>1024274.65625</v>
      </c>
      <c r="R15" s="19">
        <v>34476.84375</v>
      </c>
      <c r="S15" s="20">
        <v>2343472</v>
      </c>
      <c r="T15" s="20">
        <v>956664</v>
      </c>
      <c r="U15" s="20">
        <v>901216</v>
      </c>
      <c r="V15" s="20">
        <v>485120</v>
      </c>
      <c r="W15" s="21">
        <v>66.346265625000001</v>
      </c>
      <c r="X15" s="21">
        <v>67.982121875000004</v>
      </c>
      <c r="Y15" s="21">
        <v>28.651700000000002</v>
      </c>
      <c r="Z15" s="21">
        <v>42.734606249999999</v>
      </c>
      <c r="AA15" s="21">
        <v>42.747812500000002</v>
      </c>
      <c r="AB15" s="22">
        <v>4982.13</v>
      </c>
      <c r="AC15" s="22">
        <v>3502.3</v>
      </c>
      <c r="AD15" s="22">
        <v>6.6020000000000003</v>
      </c>
      <c r="AE15" s="22">
        <v>18.486999999999998</v>
      </c>
      <c r="AG15" s="17">
        <f t="shared" si="7"/>
        <v>2.9138174999999999</v>
      </c>
      <c r="AH15" s="18">
        <f t="shared" si="8"/>
        <v>9.1554666502178444E-2</v>
      </c>
      <c r="AI15" s="18">
        <f t="shared" si="9"/>
        <v>7.6338798384032763E-2</v>
      </c>
      <c r="AJ15" s="18">
        <f t="shared" si="10"/>
        <v>4.9791623696178927E-2</v>
      </c>
      <c r="AK15" s="18">
        <f t="shared" si="11"/>
        <v>1.5077302103192915E-2</v>
      </c>
      <c r="AL15" s="15">
        <f t="shared" si="12"/>
        <v>2591528</v>
      </c>
      <c r="AM15" s="18">
        <f t="shared" si="13"/>
        <v>9.4472513330103272E-2</v>
      </c>
      <c r="AN15" s="19">
        <v>32899220</v>
      </c>
      <c r="AO15" s="19">
        <v>1028100.625</v>
      </c>
      <c r="AP15" s="19">
        <v>36344.6875</v>
      </c>
      <c r="AQ15" s="20">
        <v>3108072</v>
      </c>
      <c r="AR15" s="20">
        <v>1690312</v>
      </c>
      <c r="AS15" s="20">
        <v>901216</v>
      </c>
      <c r="AT15" s="20">
        <v>511840</v>
      </c>
      <c r="AU15" s="21">
        <v>66.354387500000001</v>
      </c>
      <c r="AV15" s="21">
        <v>67.985974999999996</v>
      </c>
      <c r="AW15" s="21">
        <v>28.584246875000002</v>
      </c>
      <c r="AX15" s="21">
        <v>42.651118750000002</v>
      </c>
      <c r="AY15" s="21">
        <v>42.739634375000001</v>
      </c>
      <c r="AZ15" s="22">
        <v>4901.04</v>
      </c>
      <c r="BA15" s="22">
        <v>3464.89</v>
      </c>
      <c r="BB15" s="22">
        <v>6.383</v>
      </c>
      <c r="BC15" s="22">
        <v>18.594000000000001</v>
      </c>
      <c r="BE15" s="23">
        <f t="shared" si="14"/>
        <v>1.6915295064150807E-3</v>
      </c>
      <c r="BF15" s="23">
        <f t="shared" si="15"/>
        <v>4.1016149791781586E-2</v>
      </c>
      <c r="BG15" s="23">
        <f t="array" ref="BG15">AVERAGE(AL15:AL19/AQ15:AQ19) - AVERAGE(N15:N19/S15:S19)</f>
        <v>4.1551018638954273E-2</v>
      </c>
      <c r="BI15" s="24">
        <f>IF( OR(ISBLANK(N15:N19),ISBLANK(AL15:AL19), ISBLANK(W15:W19),ISBLANK(AU15:AU19)), "·", bdRateExtend( N15:N19,W15:W19, AL15:AL19,AU15:AU19))</f>
        <v>0.29170743377413899</v>
      </c>
      <c r="BJ15" s="24">
        <f>IF( OR(ISBLANK(N15:N19),ISBLANK(AL15:AL19), ISBLANK(X15:X19),ISBLANK(AV15:AV19)), "·", bdRateExtend( N15:N19,X15:X19, AL15:AL19,AV15:AV19))</f>
        <v>0.29316559232190742</v>
      </c>
      <c r="BK15" s="24">
        <f>IF( OR(ISBLANK(V15:V19),ISBLANK(AT15:AT19), ISBLANK(Y15:Y19),ISBLANK(AW15:AW19)), "·", bdRateExtend( V15:V19,Y15:Y19, AT15:AT19,AW15:AW19))</f>
        <v>3.5800530300537314E-2</v>
      </c>
      <c r="BL15" s="24">
        <f>IF( OR(ISBLANK(V15:V19),ISBLANK(AT15:AT19), ISBLANK(Z15:Z19),ISBLANK(AX15:AX19)), "·", bdRateExtend( V15:V19,Z15:Z19, AT15:AT19,AX15:AX19))</f>
        <v>1.2846862597975184E-2</v>
      </c>
      <c r="BM15" s="24">
        <f>IF( OR(ISBLANK(V15:V19),ISBLANK(AT15:AT19), ISBLANK(AA15:AA19),ISBLANK(AY15:AY19)), "·", bdRateExtend( V15:V19,AA15:AA19, AT15:AT19,AY15:AY19))</f>
        <v>1.6448399946403569E-2</v>
      </c>
      <c r="BO15" s="24">
        <f>IF( OR(ISBLANK(S15:S19),ISBLANK(AQ15:AQ19), ISBLANK(W15:W19),ISBLANK(AU15:AU19)), "·", bdRateExtend( S15:S19,W15:W19, AQ15:AQ19,AU15:AU19))</f>
        <v>0.19985572236816007</v>
      </c>
      <c r="BP15" s="24">
        <f>IF( OR(ISBLANK(S15:S19),ISBLANK(AQ15:AQ19), ISBLANK(X15:X19),ISBLANK(AV15:AV19)), "·", bdRateExtend( S15:S19,X15:X19, AQ15:AQ19,AV15:AV19))</f>
        <v>0.20264479327678009</v>
      </c>
      <c r="BQ15" s="24">
        <f>IF( OR(ISBLANK(S15:S19),ISBLANK(AQ15:AQ19), ISBLANK(Y15:Y19),ISBLANK(AW15:AW19)), "·", bdRateExtend( S15:S19,Y15:Y19, AQ15:AQ19,AW15:AW19))</f>
        <v>0.17520852109914475</v>
      </c>
      <c r="BR15" s="24">
        <f>IF( OR(ISBLANK(S15:S19),ISBLANK(AQ15:AQ19), ISBLANK(Z15:Z19),ISBLANK(AX15:AX19)), "·", bdRateExtend( S15:S19,Z15:Z19, AQ15:AQ19,AX15:AX19))</f>
        <v>0.14266418778664836</v>
      </c>
      <c r="BS15" s="24">
        <f>IF( OR(ISBLANK(S15:S19),ISBLANK(AQ15:AQ19), ISBLANK(AA15:AA19),ISBLANK(AY15:AY19)), "·", bdRateExtend( S15:S19,AA15:AA19, AQ15:AQ19,AY15:AY19))</f>
        <v>0.15277427278661482</v>
      </c>
      <c r="BU15" s="4">
        <f t="shared" si="16"/>
        <v>764600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2.9151150000000001</v>
      </c>
      <c r="J16" s="28">
        <f t="shared" si="1"/>
        <v>9.1595435074605019E-2</v>
      </c>
      <c r="K16" s="28">
        <f t="shared" si="2"/>
        <v>6.3980265183067681E-2</v>
      </c>
      <c r="L16" s="28">
        <f t="shared" si="3"/>
        <v>3.7433090495213844E-2</v>
      </c>
      <c r="M16" s="28">
        <f t="shared" si="4"/>
        <v>2.7601266158744454E-2</v>
      </c>
      <c r="N16" s="25">
        <f t="shared" si="5"/>
        <v>2171984</v>
      </c>
      <c r="O16" s="28">
        <f t="shared" si="6"/>
        <v>9.051247582006279E-2</v>
      </c>
      <c r="P16" s="29">
        <v>34353894</v>
      </c>
      <c r="Q16" s="29">
        <v>1073559.1875</v>
      </c>
      <c r="R16" s="29">
        <v>40795</v>
      </c>
      <c r="S16" s="30">
        <v>3109456</v>
      </c>
      <c r="T16" s="30">
        <v>1270768</v>
      </c>
      <c r="U16" s="30">
        <v>901216</v>
      </c>
      <c r="V16" s="30">
        <v>937000</v>
      </c>
      <c r="W16" s="31">
        <v>68.030228124999994</v>
      </c>
      <c r="X16" s="31">
        <v>70.151956249999998</v>
      </c>
      <c r="Y16" s="31">
        <v>31.046575000000001</v>
      </c>
      <c r="Z16" s="31">
        <v>43.784453124999999</v>
      </c>
      <c r="AA16" s="31">
        <v>44.093853125000003</v>
      </c>
      <c r="AB16" s="32">
        <v>5431.91</v>
      </c>
      <c r="AC16" s="32">
        <v>3705.49</v>
      </c>
      <c r="AD16" s="32">
        <v>7.0250000000000004</v>
      </c>
      <c r="AE16" s="32">
        <v>19.501999999999999</v>
      </c>
      <c r="AG16" s="27">
        <f t="shared" si="7"/>
        <v>3.6453975000000001</v>
      </c>
      <c r="AH16" s="28">
        <f t="shared" si="8"/>
        <v>0.11454154296910325</v>
      </c>
      <c r="AI16" s="28">
        <f t="shared" si="9"/>
        <v>8.5591379072961549E-2</v>
      </c>
      <c r="AJ16" s="28">
        <f t="shared" si="10"/>
        <v>5.9044204385107713E-2</v>
      </c>
      <c r="AK16" s="28">
        <f t="shared" si="11"/>
        <v>2.8811597881188949E-2</v>
      </c>
      <c r="AL16" s="25">
        <f t="shared" si="12"/>
        <v>2905632</v>
      </c>
      <c r="AM16" s="28">
        <f t="shared" si="13"/>
        <v>0.11278533892460986</v>
      </c>
      <c r="AN16" s="29">
        <v>34476325</v>
      </c>
      <c r="AO16" s="29">
        <v>1077385.15625</v>
      </c>
      <c r="AP16" s="29">
        <v>42689.5</v>
      </c>
      <c r="AQ16" s="30">
        <v>3888424</v>
      </c>
      <c r="AR16" s="30">
        <v>2004416</v>
      </c>
      <c r="AS16" s="30">
        <v>901216</v>
      </c>
      <c r="AT16" s="30">
        <v>978088</v>
      </c>
      <c r="AU16" s="31">
        <v>68.030271874999997</v>
      </c>
      <c r="AV16" s="31">
        <v>70.149028125000001</v>
      </c>
      <c r="AW16" s="31">
        <v>30.992015625000001</v>
      </c>
      <c r="AX16" s="31">
        <v>43.738149999999997</v>
      </c>
      <c r="AY16" s="31">
        <v>44.099318750000002</v>
      </c>
      <c r="AZ16" s="32">
        <v>4866.82</v>
      </c>
      <c r="BA16" s="32">
        <v>3712.72</v>
      </c>
      <c r="BB16" s="32">
        <v>7.0549999999999997</v>
      </c>
      <c r="BC16" s="32">
        <v>19.940000000000001</v>
      </c>
      <c r="BE16" s="33">
        <f t="shared" si="14"/>
        <v>1.6234807628351042E-3</v>
      </c>
      <c r="BF16" s="33">
        <f t="shared" si="15"/>
        <v>4.8742521661404137E-2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778968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4.2557475</v>
      </c>
      <c r="J17" s="18">
        <f t="shared" si="1"/>
        <v>0.13371926796375533</v>
      </c>
      <c r="K17" s="18">
        <f t="shared" si="2"/>
        <v>7.6386165338123757E-2</v>
      </c>
      <c r="L17" s="18">
        <f t="shared" si="3"/>
        <v>4.9838990650269921E-2</v>
      </c>
      <c r="M17" s="18">
        <f t="shared" si="4"/>
        <v>5.7319198892838687E-2</v>
      </c>
      <c r="N17" s="15">
        <f t="shared" si="5"/>
        <v>2593136</v>
      </c>
      <c r="O17" s="18">
        <f t="shared" si="6"/>
        <v>0.13242777436345407</v>
      </c>
      <c r="P17" s="19">
        <v>34278791</v>
      </c>
      <c r="Q17" s="19">
        <v>1071212.21875</v>
      </c>
      <c r="R17" s="19">
        <v>41638.15625</v>
      </c>
      <c r="S17" s="20">
        <v>4539464</v>
      </c>
      <c r="T17" s="20">
        <v>1691920</v>
      </c>
      <c r="U17" s="20">
        <v>901216</v>
      </c>
      <c r="V17" s="20">
        <v>1945856</v>
      </c>
      <c r="W17" s="21">
        <v>69.417018749999997</v>
      </c>
      <c r="X17" s="21">
        <v>71.995306249999999</v>
      </c>
      <c r="Y17" s="21">
        <v>33.567862499999997</v>
      </c>
      <c r="Z17" s="21">
        <v>44.754265625000002</v>
      </c>
      <c r="AA17" s="21">
        <v>45.117028124999997</v>
      </c>
      <c r="AB17" s="22">
        <v>5371.81</v>
      </c>
      <c r="AC17" s="22">
        <v>3941.86</v>
      </c>
      <c r="AD17" s="22">
        <v>7.1589999999999998</v>
      </c>
      <c r="AE17" s="22">
        <v>19.577999999999999</v>
      </c>
      <c r="AG17" s="17">
        <f t="shared" si="7"/>
        <v>4.99125</v>
      </c>
      <c r="AH17" s="18">
        <f t="shared" si="8"/>
        <v>0.15682939277391192</v>
      </c>
      <c r="AI17" s="18">
        <f t="shared" si="9"/>
        <v>9.7997279228017625E-2</v>
      </c>
      <c r="AJ17" s="18">
        <f t="shared" si="10"/>
        <v>7.1450104540163789E-2</v>
      </c>
      <c r="AK17" s="18">
        <f t="shared" si="11"/>
        <v>5.8693547530941546E-2</v>
      </c>
      <c r="AL17" s="15">
        <f t="shared" si="12"/>
        <v>3326784</v>
      </c>
      <c r="AM17" s="18">
        <f t="shared" si="13"/>
        <v>0.15476194421233061</v>
      </c>
      <c r="AN17" s="19">
        <v>34401222</v>
      </c>
      <c r="AO17" s="19">
        <v>1075038.1875</v>
      </c>
      <c r="AP17" s="19">
        <v>43557.25</v>
      </c>
      <c r="AQ17" s="20">
        <v>5324000</v>
      </c>
      <c r="AR17" s="20">
        <v>2425568</v>
      </c>
      <c r="AS17" s="20">
        <v>901216</v>
      </c>
      <c r="AT17" s="20">
        <v>1992512</v>
      </c>
      <c r="AU17" s="21">
        <v>69.428284375000004</v>
      </c>
      <c r="AV17" s="21">
        <v>71.984512499999994</v>
      </c>
      <c r="AW17" s="21">
        <v>33.570828124999998</v>
      </c>
      <c r="AX17" s="21">
        <v>44.939106250000002</v>
      </c>
      <c r="AY17" s="21">
        <v>45.213384374999997</v>
      </c>
      <c r="AZ17" s="22">
        <v>4759.3999999999996</v>
      </c>
      <c r="BA17" s="22">
        <v>3929.73</v>
      </c>
      <c r="BB17" s="22">
        <v>6.9279999999999999</v>
      </c>
      <c r="BC17" s="22">
        <v>19.658999999999999</v>
      </c>
      <c r="BE17" s="23">
        <f t="shared" si="14"/>
        <v>1.6468046203964859E-3</v>
      </c>
      <c r="BF17" s="23">
        <f t="shared" si="15"/>
        <v>5.3622742376202792E-2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784536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7.6114949999999997</v>
      </c>
      <c r="J18" s="28">
        <f t="shared" si="1"/>
        <v>0.23915975736572337</v>
      </c>
      <c r="K18" s="28">
        <f t="shared" si="2"/>
        <v>0.10603151587390941</v>
      </c>
      <c r="L18" s="28">
        <f t="shared" si="3"/>
        <v>7.9484341186055574E-2</v>
      </c>
      <c r="M18" s="28">
        <f t="shared" si="4"/>
        <v>0.1331143377590211</v>
      </c>
      <c r="N18" s="25">
        <f t="shared" si="5"/>
        <v>3599528</v>
      </c>
      <c r="O18" s="28">
        <f t="shared" si="6"/>
        <v>0.22736191470730149</v>
      </c>
      <c r="P18" s="29">
        <v>35709270</v>
      </c>
      <c r="Q18" s="29">
        <v>1115914.6875</v>
      </c>
      <c r="R18" s="29">
        <v>47065.3125</v>
      </c>
      <c r="S18" s="30">
        <v>8118928</v>
      </c>
      <c r="T18" s="30">
        <v>2698312</v>
      </c>
      <c r="U18" s="30">
        <v>901216</v>
      </c>
      <c r="V18" s="30">
        <v>4518928</v>
      </c>
      <c r="W18" s="31">
        <v>70.436640624999995</v>
      </c>
      <c r="X18" s="31">
        <v>73.306431250000003</v>
      </c>
      <c r="Y18" s="31">
        <v>36.109034375</v>
      </c>
      <c r="Z18" s="31">
        <v>45.990868749999997</v>
      </c>
      <c r="AA18" s="31">
        <v>46.386809374999999</v>
      </c>
      <c r="AB18" s="32">
        <v>5504.72</v>
      </c>
      <c r="AC18" s="32">
        <v>4295.6499999999996</v>
      </c>
      <c r="AD18" s="32">
        <v>6.859</v>
      </c>
      <c r="AE18" s="32">
        <v>19.891999999999999</v>
      </c>
      <c r="AG18" s="27">
        <f t="shared" si="7"/>
        <v>8.39907</v>
      </c>
      <c r="AH18" s="28">
        <f t="shared" si="8"/>
        <v>0.26390604517216737</v>
      </c>
      <c r="AI18" s="28">
        <f t="shared" si="9"/>
        <v>0.12764262976380328</v>
      </c>
      <c r="AJ18" s="28">
        <f t="shared" si="10"/>
        <v>0.10109545507594943</v>
      </c>
      <c r="AK18" s="28">
        <f t="shared" si="11"/>
        <v>0.13612484939341135</v>
      </c>
      <c r="AL18" s="25">
        <f t="shared" si="12"/>
        <v>4333176</v>
      </c>
      <c r="AM18" s="28">
        <f t="shared" si="13"/>
        <v>0.25003021765558942</v>
      </c>
      <c r="AN18" s="29">
        <v>35831701</v>
      </c>
      <c r="AO18" s="29">
        <v>1119740.65625</v>
      </c>
      <c r="AP18" s="29">
        <v>48981.3125</v>
      </c>
      <c r="AQ18" s="30">
        <v>8959008</v>
      </c>
      <c r="AR18" s="30">
        <v>3431960</v>
      </c>
      <c r="AS18" s="30">
        <v>901216</v>
      </c>
      <c r="AT18" s="30">
        <v>4621128</v>
      </c>
      <c r="AU18" s="31">
        <v>70.424587500000001</v>
      </c>
      <c r="AV18" s="31">
        <v>73.287603125000004</v>
      </c>
      <c r="AW18" s="31">
        <v>36.120262500000003</v>
      </c>
      <c r="AX18" s="31">
        <v>46.010665625000001</v>
      </c>
      <c r="AY18" s="31">
        <v>46.398834375</v>
      </c>
      <c r="AZ18" s="32">
        <v>5068.3</v>
      </c>
      <c r="BA18" s="32">
        <v>4280.68</v>
      </c>
      <c r="BB18" s="32">
        <v>7.4109999999999996</v>
      </c>
      <c r="BC18" s="32">
        <v>19.494</v>
      </c>
      <c r="BE18" s="33">
        <f t="shared" si="14"/>
        <v>1.5670005695591349E-3</v>
      </c>
      <c r="BF18" s="33">
        <f t="shared" si="15"/>
        <v>4.0316785124721699E-2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840080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17.1970125</v>
      </c>
      <c r="J19" s="38">
        <f t="shared" si="1"/>
        <v>0.54034500934643093</v>
      </c>
      <c r="K19" s="38">
        <f t="shared" si="2"/>
        <v>0.15636326424061847</v>
      </c>
      <c r="L19" s="38">
        <f t="shared" si="3"/>
        <v>0.12981608955276464</v>
      </c>
      <c r="M19" s="38">
        <f t="shared" si="4"/>
        <v>0.38396784137301954</v>
      </c>
      <c r="N19" s="35">
        <f t="shared" si="5"/>
        <v>5308176</v>
      </c>
      <c r="O19" s="38">
        <f t="shared" si="6"/>
        <v>0.51121133795441276</v>
      </c>
      <c r="P19" s="39">
        <v>35882381</v>
      </c>
      <c r="Q19" s="39">
        <v>1121324.40625</v>
      </c>
      <c r="R19" s="39">
        <v>49290.5</v>
      </c>
      <c r="S19" s="40">
        <v>18343480</v>
      </c>
      <c r="T19" s="40">
        <v>4406960</v>
      </c>
      <c r="U19" s="40">
        <v>901216</v>
      </c>
      <c r="V19" s="40">
        <v>13034832</v>
      </c>
      <c r="W19" s="41">
        <v>71.307787500000003</v>
      </c>
      <c r="X19" s="41">
        <v>74.445509375</v>
      </c>
      <c r="Y19" s="41">
        <v>38.652468749999997</v>
      </c>
      <c r="Z19" s="41">
        <v>47.897134375</v>
      </c>
      <c r="AA19" s="41">
        <v>48.353803124999999</v>
      </c>
      <c r="AB19" s="42">
        <v>5164.9799999999996</v>
      </c>
      <c r="AC19" s="42">
        <v>4878.71</v>
      </c>
      <c r="AD19" s="42">
        <v>7.1559999999999997</v>
      </c>
      <c r="AE19" s="42">
        <v>21.532</v>
      </c>
      <c r="AG19" s="37">
        <f t="shared" si="7"/>
        <v>18.071482499999998</v>
      </c>
      <c r="AH19" s="38">
        <f t="shared" si="8"/>
        <v>0.5678216132230155</v>
      </c>
      <c r="AI19" s="38">
        <f t="shared" si="9"/>
        <v>0.17797437813051234</v>
      </c>
      <c r="AJ19" s="38">
        <f t="shared" si="10"/>
        <v>0.1514272034426585</v>
      </c>
      <c r="AK19" s="38">
        <f t="shared" si="11"/>
        <v>0.38970866907755036</v>
      </c>
      <c r="AL19" s="35">
        <f t="shared" si="12"/>
        <v>6041824</v>
      </c>
      <c r="AM19" s="38">
        <f t="shared" si="13"/>
        <v>0.53537977090395583</v>
      </c>
      <c r="AN19" s="39">
        <v>36004812</v>
      </c>
      <c r="AO19" s="39">
        <v>1125150.375</v>
      </c>
      <c r="AP19" s="39">
        <v>51147.15625</v>
      </c>
      <c r="AQ19" s="40">
        <v>19276248</v>
      </c>
      <c r="AR19" s="40">
        <v>5140608</v>
      </c>
      <c r="AS19" s="40">
        <v>901216</v>
      </c>
      <c r="AT19" s="40">
        <v>13229720</v>
      </c>
      <c r="AU19" s="41">
        <v>71.291046875000006</v>
      </c>
      <c r="AV19" s="41">
        <v>74.418006250000005</v>
      </c>
      <c r="AW19" s="41">
        <v>38.647015625000002</v>
      </c>
      <c r="AX19" s="41">
        <v>47.898934375000003</v>
      </c>
      <c r="AY19" s="41">
        <v>48.357718749999997</v>
      </c>
      <c r="AZ19" s="42">
        <v>4863.3999999999996</v>
      </c>
      <c r="BA19" s="42">
        <v>4844.42</v>
      </c>
      <c r="BB19" s="42">
        <v>6.8529999999999998</v>
      </c>
      <c r="BC19" s="42">
        <v>21.893000000000001</v>
      </c>
      <c r="BE19" s="43">
        <f t="shared" si="14"/>
        <v>1.5006675262248942E-3</v>
      </c>
      <c r="BF19" s="43">
        <f t="shared" si="15"/>
        <v>2.4056894240660653E-2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932768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2.4330500000000002</v>
      </c>
      <c r="J20" s="28">
        <f t="shared" si="1"/>
        <v>4.8344280003351794E-2</v>
      </c>
      <c r="K20" s="28">
        <f t="shared" si="2"/>
        <v>3.6082610415768969E-2</v>
      </c>
      <c r="L20" s="28">
        <f t="shared" si="3"/>
        <v>1.9892924612669567E-2</v>
      </c>
      <c r="M20" s="28">
        <f t="shared" si="4"/>
        <v>1.2247015590952063E-2</v>
      </c>
      <c r="N20" s="25">
        <f t="shared" si="5"/>
        <v>1162208</v>
      </c>
      <c r="O20" s="28">
        <f t="shared" si="6"/>
        <v>5.0538777763836161E-2</v>
      </c>
      <c r="P20" s="29">
        <v>30811034</v>
      </c>
      <c r="Q20" s="29">
        <v>962844.8125</v>
      </c>
      <c r="R20" s="29">
        <v>28036.625</v>
      </c>
      <c r="S20" s="30">
        <v>1557152</v>
      </c>
      <c r="T20" s="30">
        <v>640744</v>
      </c>
      <c r="U20" s="30">
        <v>521464</v>
      </c>
      <c r="V20" s="30">
        <v>394472</v>
      </c>
      <c r="W20" s="31">
        <v>67.068512499999997</v>
      </c>
      <c r="X20" s="31">
        <v>68.784443749999994</v>
      </c>
      <c r="Y20" s="31">
        <v>29.861671874999999</v>
      </c>
      <c r="Z20" s="31">
        <v>39.039371875000001</v>
      </c>
      <c r="AA20" s="31">
        <v>37.703818750000003</v>
      </c>
      <c r="AB20" s="32">
        <v>5420.12</v>
      </c>
      <c r="AC20" s="32">
        <v>2622.78</v>
      </c>
      <c r="AD20" s="32">
        <v>5.4539999999999997</v>
      </c>
      <c r="AE20" s="32">
        <v>14.712999999999999</v>
      </c>
      <c r="AG20" s="27">
        <f t="shared" si="7"/>
        <v>3.0405250000000001</v>
      </c>
      <c r="AH20" s="28">
        <f t="shared" si="8"/>
        <v>6.0414702516261978E-2</v>
      </c>
      <c r="AI20" s="28">
        <f t="shared" si="9"/>
        <v>4.7240511172383995E-2</v>
      </c>
      <c r="AJ20" s="28">
        <f t="shared" si="10"/>
        <v>3.1050825369284597E-2</v>
      </c>
      <c r="AK20" s="28">
        <f t="shared" si="11"/>
        <v>1.3028148123218876E-2</v>
      </c>
      <c r="AL20" s="25">
        <f t="shared" si="12"/>
        <v>1521600</v>
      </c>
      <c r="AM20" s="28">
        <f t="shared" si="13"/>
        <v>6.3041813777169206E-2</v>
      </c>
      <c r="AN20" s="29">
        <v>30867386</v>
      </c>
      <c r="AO20" s="29">
        <v>964605.8125</v>
      </c>
      <c r="AP20" s="29">
        <v>28984.53125</v>
      </c>
      <c r="AQ20" s="30">
        <v>1945936</v>
      </c>
      <c r="AR20" s="30">
        <v>1000136</v>
      </c>
      <c r="AS20" s="30">
        <v>521464</v>
      </c>
      <c r="AT20" s="30">
        <v>419632</v>
      </c>
      <c r="AU20" s="31">
        <v>67.072818749999996</v>
      </c>
      <c r="AV20" s="31">
        <v>68.789309375000002</v>
      </c>
      <c r="AW20" s="31">
        <v>29.851368749999999</v>
      </c>
      <c r="AX20" s="31">
        <v>38.960637499999997</v>
      </c>
      <c r="AY20" s="31">
        <v>37.635265625000002</v>
      </c>
      <c r="AZ20" s="32">
        <v>4847.41</v>
      </c>
      <c r="BA20" s="32">
        <v>2602.9499999999998</v>
      </c>
      <c r="BB20" s="32">
        <v>5.56</v>
      </c>
      <c r="BC20" s="32">
        <v>14.827999999999999</v>
      </c>
      <c r="BE20" s="33">
        <f t="shared" si="14"/>
        <v>9.2952842298033023E-4</v>
      </c>
      <c r="BF20" s="33">
        <f t="shared" si="15"/>
        <v>3.5569602152786817E-2</v>
      </c>
      <c r="BG20" s="33">
        <f t="array" ref="BG20">AVERAGE(AL20:AL24/AQ20:AQ24) - AVERAGE(N20:N24/S20:S24)</f>
        <v>3.2792143990649836E-2</v>
      </c>
      <c r="BI20" s="34">
        <f>IF( OR(ISBLANK(N20:N24),ISBLANK(AL20:AL24), ISBLANK(W20:W24),ISBLANK(AU20:AU24)), "·", bdRateExtend( N20:N24,W20:W24, AL20:AL24,AU20:AU24))</f>
        <v>0.22998221562565058</v>
      </c>
      <c r="BJ20" s="34">
        <f>IF( OR(ISBLANK(N20:N24),ISBLANK(AL20:AL24), ISBLANK(X20:X24),ISBLANK(AV20:AV24)), "·", bdRateExtend( N20:N24,X20:X24, AL20:AL24,AV20:AV24))</f>
        <v>0.22896828614376874</v>
      </c>
      <c r="BK20" s="34">
        <f>IF( OR(ISBLANK(V20:V24),ISBLANK(AT20:AT24), ISBLANK(Y20:Y24),ISBLANK(AW20:AW24)), "·", bdRateExtend( V20:V24,Y20:Y24, AT20:AT24,AW20:AW24))</f>
        <v>1.7003768944909847E-2</v>
      </c>
      <c r="BL20" s="34">
        <f>IF( OR(ISBLANK(V20:V24),ISBLANK(AT20:AT24), ISBLANK(Z20:Z24),ISBLANK(AX20:AX24)), "·", bdRateExtend( V20:V24,Z20:Z24, AT20:AT24,AX20:AX24))</f>
        <v>6.9772455759087082E-2</v>
      </c>
      <c r="BM20" s="34">
        <f>IF( OR(ISBLANK(V20:V24),ISBLANK(AT20:AT24), ISBLANK(AA20:AA24),ISBLANK(AY20:AY24)), "·", bdRateExtend( V20:V24,AA20:AA24, AT20:AT24,AY20:AY24))</f>
        <v>7.1239166044827718E-2</v>
      </c>
      <c r="BO20" s="34">
        <f>IF( OR(ISBLANK(S20:S24),ISBLANK(AQ20:AQ24), ISBLANK(W20:W24),ISBLANK(AU20:AU24)), "·", bdRateExtend( S20:S24,W20:W24, AQ20:AQ24,AU20:AU24))</f>
        <v>0.14833286069272722</v>
      </c>
      <c r="BP20" s="34">
        <f>IF( OR(ISBLANK(S20:S24),ISBLANK(AQ20:AQ24), ISBLANK(X20:X24),ISBLANK(AV20:AV24)), "·", bdRateExtend( S20:S24,X20:X24, AQ20:AQ24,AV20:AV24))</f>
        <v>0.14736555804304063</v>
      </c>
      <c r="BQ20" s="34">
        <f>IF( OR(ISBLANK(S20:S24),ISBLANK(AQ20:AQ24), ISBLANK(Y20:Y24),ISBLANK(AW20:AW24)), "·", bdRateExtend( S20:S24,Y20:Y24, AQ20:AQ24,AW20:AW24))</f>
        <v>0.11135787239660333</v>
      </c>
      <c r="BR20" s="34">
        <f>IF( OR(ISBLANK(S20:S24),ISBLANK(AQ20:AQ24), ISBLANK(Z20:Z24),ISBLANK(AX20:AX24)), "·", bdRateExtend( S20:S24,Z20:Z24, AQ20:AQ24,AX20:AX24))</f>
        <v>0.15442550871959426</v>
      </c>
      <c r="BS20" s="34">
        <f>IF( OR(ISBLANK(S20:S24),ISBLANK(AQ20:AQ24), ISBLANK(AA20:AA24),ISBLANK(AY20:AY24)), "·", bdRateExtend( S20:S24,AA20:AA24, AQ20:AQ24,AY20:AY24))</f>
        <v>0.16024558295070435</v>
      </c>
      <c r="BU20" s="4">
        <f t="shared" si="16"/>
        <v>388784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3.3669750000000001</v>
      </c>
      <c r="J21" s="18">
        <f t="shared" si="1"/>
        <v>6.6901207194379642E-2</v>
      </c>
      <c r="K21" s="18">
        <f t="shared" si="2"/>
        <v>4.2489139044478076E-2</v>
      </c>
      <c r="L21" s="18">
        <f t="shared" si="3"/>
        <v>2.6299453241378678E-2</v>
      </c>
      <c r="M21" s="18">
        <f t="shared" si="4"/>
        <v>2.4397414153270808E-2</v>
      </c>
      <c r="N21" s="15">
        <f t="shared" si="5"/>
        <v>1368560</v>
      </c>
      <c r="O21" s="18">
        <f t="shared" si="6"/>
        <v>6.7660447331918963E-2</v>
      </c>
      <c r="P21" s="19">
        <v>31848208</v>
      </c>
      <c r="Q21" s="19">
        <v>995256.5</v>
      </c>
      <c r="R21" s="19">
        <v>32402.28125</v>
      </c>
      <c r="S21" s="20">
        <v>2154864</v>
      </c>
      <c r="T21" s="20">
        <v>847096</v>
      </c>
      <c r="U21" s="20">
        <v>521464</v>
      </c>
      <c r="V21" s="20">
        <v>785832</v>
      </c>
      <c r="W21" s="21">
        <v>68.705831250000003</v>
      </c>
      <c r="X21" s="21">
        <v>70.895943750000001</v>
      </c>
      <c r="Y21" s="21">
        <v>31.418203125000002</v>
      </c>
      <c r="Z21" s="21">
        <v>40.323431249999999</v>
      </c>
      <c r="AA21" s="21">
        <v>39.086153125000003</v>
      </c>
      <c r="AB21" s="22">
        <v>4970.5</v>
      </c>
      <c r="AC21" s="22">
        <v>2829.92</v>
      </c>
      <c r="AD21" s="22">
        <v>5.4790000000000001</v>
      </c>
      <c r="AE21" s="22">
        <v>15.045</v>
      </c>
      <c r="AG21" s="17">
        <f t="shared" si="7"/>
        <v>3.9891999999999999</v>
      </c>
      <c r="AH21" s="18">
        <f t="shared" si="8"/>
        <v>7.9264709639905048E-2</v>
      </c>
      <c r="AI21" s="18">
        <f t="shared" si="9"/>
        <v>5.3647039801093109E-2</v>
      </c>
      <c r="AJ21" s="18">
        <f t="shared" si="10"/>
        <v>3.7457353997993707E-2</v>
      </c>
      <c r="AK21" s="18">
        <f t="shared" si="11"/>
        <v>2.5471626618152832E-2</v>
      </c>
      <c r="AL21" s="15">
        <f t="shared" si="12"/>
        <v>1727952</v>
      </c>
      <c r="AM21" s="18">
        <f t="shared" si="13"/>
        <v>8.00226676061353E-2</v>
      </c>
      <c r="AN21" s="19">
        <v>31904560</v>
      </c>
      <c r="AO21" s="19">
        <v>997017.5</v>
      </c>
      <c r="AP21" s="19">
        <v>33381.53125</v>
      </c>
      <c r="AQ21" s="20">
        <v>2553088</v>
      </c>
      <c r="AR21" s="20">
        <v>1206488</v>
      </c>
      <c r="AS21" s="20">
        <v>521464</v>
      </c>
      <c r="AT21" s="20">
        <v>820432</v>
      </c>
      <c r="AU21" s="21">
        <v>68.708353125000002</v>
      </c>
      <c r="AV21" s="21">
        <v>70.89849375</v>
      </c>
      <c r="AW21" s="21">
        <v>31.425103125</v>
      </c>
      <c r="AX21" s="21">
        <v>40.288568750000003</v>
      </c>
      <c r="AY21" s="21">
        <v>39.055903125</v>
      </c>
      <c r="AZ21" s="22">
        <v>4371.6899999999996</v>
      </c>
      <c r="BA21" s="22">
        <v>2792.4</v>
      </c>
      <c r="BB21" s="22">
        <v>5.7779999999999996</v>
      </c>
      <c r="BC21" s="22">
        <v>15.185</v>
      </c>
      <c r="BE21" s="23">
        <f t="shared" si="14"/>
        <v>9.2467547119840648E-4</v>
      </c>
      <c r="BF21" s="23">
        <f t="shared" si="15"/>
        <v>4.1705907569472456E-2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398224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5.5168999999999997</v>
      </c>
      <c r="J22" s="28">
        <f t="shared" si="1"/>
        <v>0.10961984272846489</v>
      </c>
      <c r="K22" s="28">
        <f t="shared" si="2"/>
        <v>5.0538653905602124E-2</v>
      </c>
      <c r="L22" s="28">
        <f t="shared" si="3"/>
        <v>3.4348968102502722E-2</v>
      </c>
      <c r="M22" s="28">
        <f t="shared" si="4"/>
        <v>5.906653482623201E-2</v>
      </c>
      <c r="N22" s="25">
        <f t="shared" si="5"/>
        <v>1627832</v>
      </c>
      <c r="O22" s="28">
        <f t="shared" si="6"/>
        <v>0.10815885593028754</v>
      </c>
      <c r="P22" s="29">
        <v>32644724</v>
      </c>
      <c r="Q22" s="29">
        <v>1020147.625</v>
      </c>
      <c r="R22" s="29">
        <v>34408.53125</v>
      </c>
      <c r="S22" s="30">
        <v>3530816</v>
      </c>
      <c r="T22" s="30">
        <v>1106368</v>
      </c>
      <c r="U22" s="30">
        <v>521464</v>
      </c>
      <c r="V22" s="30">
        <v>1902512</v>
      </c>
      <c r="W22" s="31">
        <v>69.971634374999994</v>
      </c>
      <c r="X22" s="31">
        <v>72.581712499999995</v>
      </c>
      <c r="Y22" s="31">
        <v>33.451215625000003</v>
      </c>
      <c r="Z22" s="31">
        <v>41.544906249999997</v>
      </c>
      <c r="AA22" s="31">
        <v>40.409721875000002</v>
      </c>
      <c r="AB22" s="32">
        <v>5280.69</v>
      </c>
      <c r="AC22" s="32">
        <v>2953.23</v>
      </c>
      <c r="AD22" s="32">
        <v>5.6760000000000002</v>
      </c>
      <c r="AE22" s="32">
        <v>15.278</v>
      </c>
      <c r="AG22" s="27">
        <f t="shared" si="7"/>
        <v>6.1715375000000003</v>
      </c>
      <c r="AH22" s="28">
        <f t="shared" si="8"/>
        <v>0.12262737590727101</v>
      </c>
      <c r="AI22" s="28">
        <f t="shared" si="9"/>
        <v>6.169655466221715E-2</v>
      </c>
      <c r="AJ22" s="28">
        <f t="shared" si="10"/>
        <v>4.5506868859117748E-2</v>
      </c>
      <c r="AK22" s="28">
        <f t="shared" si="11"/>
        <v>6.0784778024394741E-2</v>
      </c>
      <c r="AL22" s="25">
        <f t="shared" si="12"/>
        <v>1987224</v>
      </c>
      <c r="AM22" s="28">
        <f t="shared" si="13"/>
        <v>0.12078452709017892</v>
      </c>
      <c r="AN22" s="29">
        <v>32701076</v>
      </c>
      <c r="AO22" s="29">
        <v>1021908.625</v>
      </c>
      <c r="AP22" s="29">
        <v>35390.90625</v>
      </c>
      <c r="AQ22" s="30">
        <v>3949784</v>
      </c>
      <c r="AR22" s="30">
        <v>1465760</v>
      </c>
      <c r="AS22" s="30">
        <v>521464</v>
      </c>
      <c r="AT22" s="30">
        <v>1957856</v>
      </c>
      <c r="AU22" s="31">
        <v>69.972140624999994</v>
      </c>
      <c r="AV22" s="31">
        <v>72.581478125000004</v>
      </c>
      <c r="AW22" s="31">
        <v>33.496450000000003</v>
      </c>
      <c r="AX22" s="31">
        <v>41.494184375000003</v>
      </c>
      <c r="AY22" s="31">
        <v>40.328840624999998</v>
      </c>
      <c r="AZ22" s="32">
        <v>4341</v>
      </c>
      <c r="BA22" s="32">
        <v>2970.34</v>
      </c>
      <c r="BB22" s="32">
        <v>5.9710000000000001</v>
      </c>
      <c r="BC22" s="32">
        <v>15.797000000000001</v>
      </c>
      <c r="BE22" s="33">
        <f t="shared" si="14"/>
        <v>9.0319061483914304E-4</v>
      </c>
      <c r="BF22" s="33">
        <f t="shared" si="15"/>
        <v>4.208656009422701E-2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418968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10.180350000000001</v>
      </c>
      <c r="J23" s="18">
        <f t="shared" si="1"/>
        <v>0.20228178250842457</v>
      </c>
      <c r="K23" s="18">
        <f t="shared" si="2"/>
        <v>7.1333420243124085E-2</v>
      </c>
      <c r="L23" s="18">
        <f t="shared" si="3"/>
        <v>5.5143734440024683E-2</v>
      </c>
      <c r="M23" s="18">
        <f t="shared" si="4"/>
        <v>0.13093370826866974</v>
      </c>
      <c r="N23" s="15">
        <f t="shared" si="5"/>
        <v>2297624</v>
      </c>
      <c r="O23" s="18">
        <f t="shared" si="6"/>
        <v>0.19766271990897732</v>
      </c>
      <c r="P23" s="19">
        <v>32962331</v>
      </c>
      <c r="Q23" s="19">
        <v>1030072.84375</v>
      </c>
      <c r="R23" s="19">
        <v>36672.65625</v>
      </c>
      <c r="S23" s="20">
        <v>6515424</v>
      </c>
      <c r="T23" s="20">
        <v>1776160</v>
      </c>
      <c r="U23" s="20">
        <v>521464</v>
      </c>
      <c r="V23" s="20">
        <v>4217328</v>
      </c>
      <c r="W23" s="21">
        <v>70.896387500000003</v>
      </c>
      <c r="X23" s="21">
        <v>73.817259375000006</v>
      </c>
      <c r="Y23" s="21">
        <v>35.412228124999999</v>
      </c>
      <c r="Z23" s="21">
        <v>42.618421875000003</v>
      </c>
      <c r="AA23" s="21">
        <v>41.45553125</v>
      </c>
      <c r="AB23" s="22">
        <v>5256.01</v>
      </c>
      <c r="AC23" s="22">
        <v>3232.45</v>
      </c>
      <c r="AD23" s="22">
        <v>5.7290000000000001</v>
      </c>
      <c r="AE23" s="22">
        <v>15.925000000000001</v>
      </c>
      <c r="AG23" s="17">
        <f t="shared" si="7"/>
        <v>10.904425</v>
      </c>
      <c r="AH23" s="18">
        <f t="shared" si="8"/>
        <v>0.21666902672594043</v>
      </c>
      <c r="AI23" s="18">
        <f t="shared" si="9"/>
        <v>8.2491320999739118E-2</v>
      </c>
      <c r="AJ23" s="18">
        <f t="shared" si="10"/>
        <v>6.6301635196639716E-2</v>
      </c>
      <c r="AK23" s="18">
        <f t="shared" si="11"/>
        <v>0.13403166250554222</v>
      </c>
      <c r="AL23" s="15">
        <f t="shared" si="12"/>
        <v>2657016</v>
      </c>
      <c r="AM23" s="18">
        <f t="shared" si="13"/>
        <v>0.21136009573731332</v>
      </c>
      <c r="AN23" s="19">
        <v>33018683</v>
      </c>
      <c r="AO23" s="19">
        <v>1031833.84375</v>
      </c>
      <c r="AP23" s="19">
        <v>37634.28125</v>
      </c>
      <c r="AQ23" s="20">
        <v>6978832</v>
      </c>
      <c r="AR23" s="20">
        <v>2135552</v>
      </c>
      <c r="AS23" s="20">
        <v>521464</v>
      </c>
      <c r="AT23" s="20">
        <v>4317112</v>
      </c>
      <c r="AU23" s="21">
        <v>70.895446875000005</v>
      </c>
      <c r="AV23" s="21">
        <v>73.814643750000002</v>
      </c>
      <c r="AW23" s="21">
        <v>35.469606249999998</v>
      </c>
      <c r="AX23" s="21">
        <v>42.552475000000001</v>
      </c>
      <c r="AY23" s="21">
        <v>41.416368749999997</v>
      </c>
      <c r="AZ23" s="22">
        <v>4710.41</v>
      </c>
      <c r="BA23" s="22">
        <v>3199.88</v>
      </c>
      <c r="BB23" s="22">
        <v>5.8339999999999996</v>
      </c>
      <c r="BC23" s="22">
        <v>15.638</v>
      </c>
      <c r="BE23" s="23">
        <f t="shared" si="14"/>
        <v>8.7119634478351887E-4</v>
      </c>
      <c r="BF23" s="23">
        <f t="shared" si="15"/>
        <v>2.8081208037438132E-2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463408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20.0088875</v>
      </c>
      <c r="J24" s="48">
        <f t="shared" si="1"/>
        <v>0.39757311187832789</v>
      </c>
      <c r="K24" s="48">
        <f t="shared" si="2"/>
        <v>0.10434788116093059</v>
      </c>
      <c r="L24" s="48">
        <f t="shared" si="3"/>
        <v>8.815819535783119E-2</v>
      </c>
      <c r="M24" s="48">
        <f t="shared" si="4"/>
        <v>0.2932105767207665</v>
      </c>
      <c r="N24" s="45">
        <f t="shared" si="5"/>
        <v>3361008</v>
      </c>
      <c r="O24" s="48">
        <f t="shared" si="6"/>
        <v>0.38443318095226775</v>
      </c>
      <c r="P24" s="49">
        <v>33310569</v>
      </c>
      <c r="Q24" s="49">
        <v>1040955.28125</v>
      </c>
      <c r="R24" s="49">
        <v>37580.75</v>
      </c>
      <c r="S24" s="50">
        <v>12805688</v>
      </c>
      <c r="T24" s="50">
        <v>2839544</v>
      </c>
      <c r="U24" s="50">
        <v>521464</v>
      </c>
      <c r="V24" s="50">
        <v>9444208</v>
      </c>
      <c r="W24" s="51">
        <v>71.579103125000003</v>
      </c>
      <c r="X24" s="51">
        <v>74.756918749999997</v>
      </c>
      <c r="Y24" s="51">
        <v>37.215793750000003</v>
      </c>
      <c r="Z24" s="51">
        <v>43.842628124999997</v>
      </c>
      <c r="AA24" s="51">
        <v>42.542721874999998</v>
      </c>
      <c r="AB24" s="52">
        <v>5133.6000000000004</v>
      </c>
      <c r="AC24" s="52">
        <v>3573.59</v>
      </c>
      <c r="AD24" s="52">
        <v>5.7350000000000003</v>
      </c>
      <c r="AE24" s="52">
        <v>16.582999999999998</v>
      </c>
      <c r="AG24" s="47">
        <f t="shared" si="7"/>
        <v>20.8371</v>
      </c>
      <c r="AH24" s="48">
        <f t="shared" si="8"/>
        <v>0.41402955009467196</v>
      </c>
      <c r="AI24" s="48">
        <f t="shared" si="9"/>
        <v>0.11550578191754562</v>
      </c>
      <c r="AJ24" s="48">
        <f t="shared" si="10"/>
        <v>9.9316096114446223E-2</v>
      </c>
      <c r="AK24" s="48">
        <f t="shared" si="11"/>
        <v>0.29837772495646725</v>
      </c>
      <c r="AL24" s="45">
        <f t="shared" si="12"/>
        <v>3720400</v>
      </c>
      <c r="AM24" s="48">
        <f t="shared" si="13"/>
        <v>0.39966960092002496</v>
      </c>
      <c r="AN24" s="49">
        <v>33366921</v>
      </c>
      <c r="AO24" s="49">
        <v>1042716.28125</v>
      </c>
      <c r="AP24" s="49">
        <v>38515.40625</v>
      </c>
      <c r="AQ24" s="50">
        <v>13335744</v>
      </c>
      <c r="AR24" s="50">
        <v>3198936</v>
      </c>
      <c r="AS24" s="50">
        <v>521464</v>
      </c>
      <c r="AT24" s="50">
        <v>9610640</v>
      </c>
      <c r="AU24" s="51">
        <v>71.577184375000002</v>
      </c>
      <c r="AV24" s="51">
        <v>74.752384375000005</v>
      </c>
      <c r="AW24" s="51">
        <v>37.297118750000003</v>
      </c>
      <c r="AX24" s="51">
        <v>43.804181249999999</v>
      </c>
      <c r="AY24" s="51">
        <v>42.465990625000003</v>
      </c>
      <c r="AZ24" s="52">
        <v>4317.05</v>
      </c>
      <c r="BA24" s="52">
        <v>3550.47</v>
      </c>
      <c r="BB24" s="52">
        <v>5.827</v>
      </c>
      <c r="BC24" s="52">
        <v>16.928000000000001</v>
      </c>
      <c r="BE24" s="53">
        <f t="shared" si="14"/>
        <v>8.3539533719129144E-4</v>
      </c>
      <c r="BF24" s="53">
        <f t="shared" si="15"/>
        <v>1.6517442099324708E-2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530056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2.32863</v>
      </c>
      <c r="J25" s="18">
        <f t="shared" si="1"/>
        <v>9.8128633198390297E-2</v>
      </c>
      <c r="K25" s="18">
        <f t="shared" si="2"/>
        <v>6.188206195159307E-2</v>
      </c>
      <c r="L25" s="18">
        <f t="shared" si="3"/>
        <v>3.5299683854653416E-2</v>
      </c>
      <c r="M25" s="18">
        <f t="shared" si="4"/>
        <v>3.6227924265443259E-2</v>
      </c>
      <c r="N25" s="15">
        <f t="shared" si="5"/>
        <v>1566384</v>
      </c>
      <c r="O25" s="18">
        <f t="shared" si="6"/>
        <v>0.10530626794517212</v>
      </c>
      <c r="P25" s="19">
        <v>23587124</v>
      </c>
      <c r="Q25" s="19">
        <v>737097.625</v>
      </c>
      <c r="R25" s="19">
        <v>19103.28125</v>
      </c>
      <c r="S25" s="20">
        <v>2483872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68.108406250000002</v>
      </c>
      <c r="Y25" s="21">
        <v>25.817106249999998</v>
      </c>
      <c r="Z25" s="21">
        <v>32.337265625000001</v>
      </c>
      <c r="AA25" s="21">
        <v>31.505771875000001</v>
      </c>
      <c r="AB25" s="22">
        <v>4150.13</v>
      </c>
      <c r="AC25" s="22">
        <v>3812.89</v>
      </c>
      <c r="AD25" s="22">
        <v>4.8369999999999997</v>
      </c>
      <c r="AE25" s="22">
        <v>18.672999999999998</v>
      </c>
      <c r="AG25" s="17">
        <f t="shared" si="7"/>
        <v>3.0463724999999999</v>
      </c>
      <c r="AH25" s="18">
        <f t="shared" si="8"/>
        <v>0.12837435300505587</v>
      </c>
      <c r="AI25" s="18">
        <f t="shared" si="9"/>
        <v>9.0783934898647334E-2</v>
      </c>
      <c r="AJ25" s="18">
        <f t="shared" si="10"/>
        <v>6.4201556801707679E-2</v>
      </c>
      <c r="AK25" s="18">
        <f t="shared" si="11"/>
        <v>3.7404580393931706E-2</v>
      </c>
      <c r="AL25" s="15">
        <f t="shared" si="12"/>
        <v>2297960</v>
      </c>
      <c r="AM25" s="18">
        <f t="shared" si="13"/>
        <v>0.13683231554003653</v>
      </c>
      <c r="AN25" s="19">
        <v>23747782</v>
      </c>
      <c r="AO25" s="19">
        <v>742118.1875</v>
      </c>
      <c r="AP25" s="19">
        <v>21634.09375</v>
      </c>
      <c r="AQ25" s="20">
        <v>3249464</v>
      </c>
      <c r="AR25" s="20">
        <v>1625096</v>
      </c>
      <c r="AS25" s="20">
        <v>672864</v>
      </c>
      <c r="AT25" s="20">
        <v>946800</v>
      </c>
      <c r="AU25" s="21">
        <v>66.400709375000005</v>
      </c>
      <c r="AV25" s="21">
        <v>68.115734375000002</v>
      </c>
      <c r="AW25" s="21">
        <v>25.754621875000002</v>
      </c>
      <c r="AX25" s="21">
        <v>32.224534374999998</v>
      </c>
      <c r="AY25" s="21">
        <v>31.40769375</v>
      </c>
      <c r="AZ25" s="22">
        <v>3852</v>
      </c>
      <c r="BA25" s="22">
        <v>3794.43</v>
      </c>
      <c r="BB25" s="22">
        <v>5.069</v>
      </c>
      <c r="BC25" s="22">
        <v>18.445</v>
      </c>
      <c r="BE25" s="23">
        <f t="shared" si="14"/>
        <v>3.2349228905873689E-3</v>
      </c>
      <c r="BF25" s="23">
        <f t="shared" si="15"/>
        <v>7.6559378098120634E-2</v>
      </c>
      <c r="BG25" s="23">
        <f t="array" ref="BG25">AVERAGE(AL25:AL29/AQ25:AQ29) - AVERAGE(N25:N29/S25:S29)</f>
        <v>5.2672067961321067E-2</v>
      </c>
      <c r="BI25" s="24">
        <f>IF( OR(ISBLANK(N25:N29),ISBLANK(AL25:AL29), ISBLANK(W25:W29),ISBLANK(AU25:AU29)), "·", bdRateExtend( N25:N29,W25:W29, AL25:AL29,AU25:AU29))</f>
        <v>0.32198489460113766</v>
      </c>
      <c r="BJ25" s="24">
        <f>IF( OR(ISBLANK(N25:N29),ISBLANK(AL25:AL29), ISBLANK(X25:X29),ISBLANK(AV25:AV29)), "·", bdRateExtend( N25:N29,X25:X29, AL25:AL29,AV25:AV29))</f>
        <v>0.32534517488112846</v>
      </c>
      <c r="BK25" s="24">
        <f>IF( OR(ISBLANK(V25:V29),ISBLANK(AT25:AT29), ISBLANK(Y25:Y29),ISBLANK(AW25:AW29)), "·", bdRateExtend( V25:V29,Y25:Y29, AT25:AT29,AW25:AW29))</f>
        <v>2.0151216465204458E-2</v>
      </c>
      <c r="BL25" s="24">
        <f>IF( OR(ISBLANK(V25:V29),ISBLANK(AT25:AT29), ISBLANK(Z25:Z29),ISBLANK(AX25:AX29)), "·", bdRateExtend( V25:V29,Z25:Z29, AT25:AT29,AX25:AX29))</f>
        <v>5.0186292817772316E-2</v>
      </c>
      <c r="BM25" s="24">
        <f>IF( OR(ISBLANK(V25:V29),ISBLANK(AT25:AT29), ISBLANK(AA25:AA29),ISBLANK(AY25:AY29)), "·", bdRateExtend( V25:V29,AA25:AA29, AT25:AT29,AY25:AY29))</f>
        <v>5.0845656197938904E-2</v>
      </c>
      <c r="BO25" s="24">
        <f>IF( OR(ISBLANK(S25:S29),ISBLANK(AQ25:AQ29), ISBLANK(W25:W29),ISBLANK(AU25:AU29)), "·", bdRateExtend( S25:S29,W25:W29, AQ25:AQ29,AU25:AU29))</f>
        <v>0.15339010559628496</v>
      </c>
      <c r="BP25" s="24">
        <f>IF( OR(ISBLANK(S25:S29),ISBLANK(AQ25:AQ29), ISBLANK(X25:X29),ISBLANK(AV25:AV29)), "·", bdRateExtend( S25:S29,X25:X29, AQ25:AQ29,AV25:AV29))</f>
        <v>0.16278188191495269</v>
      </c>
      <c r="BQ25" s="24">
        <f>IF( OR(ISBLANK(S25:S29),ISBLANK(AQ25:AQ29), ISBLANK(Y25:Y29),ISBLANK(AW25:AW29)), "·", bdRateExtend( S25:S29,Y25:Y29, AQ25:AQ29,AW25:AW29))</f>
        <v>0.12731087252653084</v>
      </c>
      <c r="BR25" s="24">
        <f>IF( OR(ISBLANK(S25:S29),ISBLANK(AQ25:AQ29), ISBLANK(Z25:Z29),ISBLANK(AX25:AX29)), "·", bdRateExtend( S25:S29,Z25:Z29, AQ25:AQ29,AX25:AX29))</f>
        <v>0.14579816020138692</v>
      </c>
      <c r="BS25" s="24">
        <f>IF( OR(ISBLANK(S25:S29),ISBLANK(AQ25:AQ29), ISBLANK(AA25:AA29),ISBLANK(AY25:AY29)), "·", bdRateExtend( S25:S29,AA25:AA29, AQ25:AQ29,AY25:AY29))</f>
        <v>0.15136925251751077</v>
      </c>
      <c r="BU25" s="4">
        <f t="shared" si="16"/>
        <v>765592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3.5969324999999999</v>
      </c>
      <c r="J26" s="28">
        <f t="shared" si="1"/>
        <v>0.15157499041576764</v>
      </c>
      <c r="K26" s="28">
        <f t="shared" si="2"/>
        <v>7.5654912009951794E-2</v>
      </c>
      <c r="L26" s="28">
        <f t="shared" si="3"/>
        <v>4.9072533913012147E-2</v>
      </c>
      <c r="M26" s="28">
        <f t="shared" si="4"/>
        <v>7.5901431424461874E-2</v>
      </c>
      <c r="N26" s="25">
        <f t="shared" si="5"/>
        <v>1915008</v>
      </c>
      <c r="O26" s="28">
        <f t="shared" si="6"/>
        <v>0.15250992408346942</v>
      </c>
      <c r="P26" s="29">
        <v>25157235</v>
      </c>
      <c r="Q26" s="29">
        <v>786163.59375</v>
      </c>
      <c r="R26" s="29">
        <v>23660.5</v>
      </c>
      <c r="S26" s="30">
        <v>3836728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70.140353125000004</v>
      </c>
      <c r="Y26" s="31">
        <v>27.873328125</v>
      </c>
      <c r="Z26" s="31">
        <v>33.63060625</v>
      </c>
      <c r="AA26" s="31">
        <v>32.988174999999998</v>
      </c>
      <c r="AB26" s="32">
        <v>4489.45</v>
      </c>
      <c r="AC26" s="32">
        <v>4084.77</v>
      </c>
      <c r="AD26" s="32">
        <v>4.9589999999999996</v>
      </c>
      <c r="AE26" s="32">
        <v>18.835000000000001</v>
      </c>
      <c r="AG26" s="27">
        <f t="shared" si="7"/>
        <v>4.3361475</v>
      </c>
      <c r="AH26" s="28">
        <f t="shared" si="8"/>
        <v>0.18272556289389774</v>
      </c>
      <c r="AI26" s="28">
        <f t="shared" si="9"/>
        <v>0.10455678495700607</v>
      </c>
      <c r="AJ26" s="28">
        <f t="shared" si="10"/>
        <v>7.7974406860066417E-2</v>
      </c>
      <c r="AK26" s="28">
        <f t="shared" si="11"/>
        <v>7.7982940224414835E-2</v>
      </c>
      <c r="AL26" s="25">
        <f t="shared" si="12"/>
        <v>2646584</v>
      </c>
      <c r="AM26" s="28">
        <f t="shared" si="13"/>
        <v>0.18268597627772579</v>
      </c>
      <c r="AN26" s="29">
        <v>25317893</v>
      </c>
      <c r="AO26" s="29">
        <v>791184.15625</v>
      </c>
      <c r="AP26" s="29">
        <v>26290.96875</v>
      </c>
      <c r="AQ26" s="30">
        <v>4625224</v>
      </c>
      <c r="AR26" s="30">
        <v>1973720</v>
      </c>
      <c r="AS26" s="30">
        <v>672864</v>
      </c>
      <c r="AT26" s="30">
        <v>1973936</v>
      </c>
      <c r="AU26" s="31">
        <v>68.071612500000001</v>
      </c>
      <c r="AV26" s="31">
        <v>70.139003125000002</v>
      </c>
      <c r="AW26" s="31">
        <v>27.848946874999999</v>
      </c>
      <c r="AX26" s="31">
        <v>33.573365625000001</v>
      </c>
      <c r="AY26" s="31">
        <v>32.928740625000003</v>
      </c>
      <c r="AZ26" s="32">
        <v>3467.12</v>
      </c>
      <c r="BA26" s="32">
        <v>4129.8999999999996</v>
      </c>
      <c r="BB26" s="32">
        <v>5.27</v>
      </c>
      <c r="BC26" s="32">
        <v>19.030999999999999</v>
      </c>
      <c r="BE26" s="33">
        <f t="shared" si="14"/>
        <v>3.1337446686642879E-3</v>
      </c>
      <c r="BF26" s="33">
        <f t="shared" si="15"/>
        <v>7.3081368671475799E-2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788496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6.1634025000000001</v>
      </c>
      <c r="J27" s="18">
        <f t="shared" si="1"/>
        <v>0.25972621806664936</v>
      </c>
      <c r="K27" s="18">
        <f t="shared" si="2"/>
        <v>9.5606866008164856E-2</v>
      </c>
      <c r="L27" s="18">
        <f t="shared" si="3"/>
        <v>6.9024487911225202E-2</v>
      </c>
      <c r="M27" s="18">
        <f t="shared" si="4"/>
        <v>0.16410070507713057</v>
      </c>
      <c r="N27" s="15">
        <f t="shared" si="5"/>
        <v>2420040</v>
      </c>
      <c r="O27" s="18">
        <f t="shared" si="6"/>
        <v>0.25975777394054594</v>
      </c>
      <c r="P27" s="19">
        <v>25309333</v>
      </c>
      <c r="Q27" s="19">
        <v>790916.65625</v>
      </c>
      <c r="R27" s="19">
        <v>24590.8125</v>
      </c>
      <c r="S27" s="20">
        <v>6574296</v>
      </c>
      <c r="T27" s="20">
        <v>1747176</v>
      </c>
      <c r="U27" s="20">
        <v>672864</v>
      </c>
      <c r="V27" s="20">
        <v>4153784</v>
      </c>
      <c r="W27" s="21">
        <v>69.417628124999993</v>
      </c>
      <c r="X27" s="21">
        <v>71.956634374999993</v>
      </c>
      <c r="Y27" s="21">
        <v>30.219646874999999</v>
      </c>
      <c r="Z27" s="21">
        <v>34.888071875000001</v>
      </c>
      <c r="AA27" s="21">
        <v>34.375062499999999</v>
      </c>
      <c r="AB27" s="22">
        <v>4292.71</v>
      </c>
      <c r="AC27" s="22">
        <v>4337.3</v>
      </c>
      <c r="AD27" s="22">
        <v>5.2549999999999999</v>
      </c>
      <c r="AE27" s="22">
        <v>19.398</v>
      </c>
      <c r="AG27" s="17">
        <f t="shared" si="7"/>
        <v>6.9145050000000001</v>
      </c>
      <c r="AH27" s="18">
        <f t="shared" si="8"/>
        <v>0.29137773063708516</v>
      </c>
      <c r="AI27" s="18">
        <f t="shared" si="9"/>
        <v>0.12450873895521912</v>
      </c>
      <c r="AJ27" s="18">
        <f t="shared" si="10"/>
        <v>9.7926360858279465E-2</v>
      </c>
      <c r="AK27" s="18">
        <f t="shared" si="11"/>
        <v>0.16668315396938924</v>
      </c>
      <c r="AL27" s="15">
        <f t="shared" si="12"/>
        <v>3151616</v>
      </c>
      <c r="AM27" s="18">
        <f t="shared" si="13"/>
        <v>0.28957497472221327</v>
      </c>
      <c r="AN27" s="19">
        <v>25469991</v>
      </c>
      <c r="AO27" s="19">
        <v>795937.21875</v>
      </c>
      <c r="AP27" s="19">
        <v>27252.0625</v>
      </c>
      <c r="AQ27" s="20">
        <v>7375472</v>
      </c>
      <c r="AR27" s="20">
        <v>2478752</v>
      </c>
      <c r="AS27" s="20">
        <v>672864</v>
      </c>
      <c r="AT27" s="20">
        <v>4219152</v>
      </c>
      <c r="AU27" s="21">
        <v>69.444031249999995</v>
      </c>
      <c r="AV27" s="21">
        <v>71.943806249999994</v>
      </c>
      <c r="AW27" s="21">
        <v>30.225071875000001</v>
      </c>
      <c r="AX27" s="21">
        <v>34.856812499999997</v>
      </c>
      <c r="AY27" s="21">
        <v>34.332693749999997</v>
      </c>
      <c r="AZ27" s="22">
        <v>3761</v>
      </c>
      <c r="BA27" s="22">
        <v>4355.78</v>
      </c>
      <c r="BB27" s="22">
        <v>4.976</v>
      </c>
      <c r="BC27" s="22">
        <v>19.224</v>
      </c>
      <c r="BE27" s="23">
        <f t="shared" si="14"/>
        <v>3.1474253858667263E-3</v>
      </c>
      <c r="BF27" s="23">
        <f t="shared" si="15"/>
        <v>5.9204080722238595E-2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801176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12.3744525</v>
      </c>
      <c r="J28" s="28">
        <f t="shared" si="1"/>
        <v>0.52146030515943009</v>
      </c>
      <c r="K28" s="28">
        <f t="shared" si="2"/>
        <v>0.12987022017028171</v>
      </c>
      <c r="L28" s="28">
        <f t="shared" si="3"/>
        <v>0.10328784207334206</v>
      </c>
      <c r="M28" s="28">
        <f t="shared" si="4"/>
        <v>0.39157143800779443</v>
      </c>
      <c r="N28" s="25">
        <f t="shared" si="5"/>
        <v>3287328</v>
      </c>
      <c r="O28" s="28">
        <f t="shared" si="6"/>
        <v>0.50133573904107553</v>
      </c>
      <c r="P28" s="29">
        <v>26328496</v>
      </c>
      <c r="Q28" s="29">
        <v>822765.5</v>
      </c>
      <c r="R28" s="29">
        <v>28125.34375</v>
      </c>
      <c r="S28" s="30">
        <v>13199416</v>
      </c>
      <c r="T28" s="30">
        <v>2614464</v>
      </c>
      <c r="U28" s="30">
        <v>672864</v>
      </c>
      <c r="V28" s="30">
        <v>9911616</v>
      </c>
      <c r="W28" s="31">
        <v>70.424096875000004</v>
      </c>
      <c r="X28" s="31">
        <v>73.220693749999995</v>
      </c>
      <c r="Y28" s="31">
        <v>32.775624999999998</v>
      </c>
      <c r="Z28" s="31">
        <v>36.4147125</v>
      </c>
      <c r="AA28" s="31">
        <v>35.915243750000002</v>
      </c>
      <c r="AB28" s="32">
        <v>4190.82</v>
      </c>
      <c r="AC28" s="32">
        <v>4756.84</v>
      </c>
      <c r="AD28" s="32">
        <v>5.0350000000000001</v>
      </c>
      <c r="AE28" s="32">
        <v>20.216000000000001</v>
      </c>
      <c r="AG28" s="27">
        <f t="shared" si="7"/>
        <v>13.1983575</v>
      </c>
      <c r="AH28" s="28">
        <f t="shared" si="8"/>
        <v>0.55617972023839057</v>
      </c>
      <c r="AI28" s="28">
        <f t="shared" si="9"/>
        <v>0.15877209311733598</v>
      </c>
      <c r="AJ28" s="28">
        <f t="shared" si="10"/>
        <v>0.13218971502039631</v>
      </c>
      <c r="AK28" s="28">
        <f t="shared" si="11"/>
        <v>0.39722178940857777</v>
      </c>
      <c r="AL28" s="25">
        <f t="shared" si="12"/>
        <v>4018904</v>
      </c>
      <c r="AM28" s="28">
        <f t="shared" si="13"/>
        <v>0.53147216404117703</v>
      </c>
      <c r="AN28" s="29">
        <v>26489154</v>
      </c>
      <c r="AO28" s="29">
        <v>827786.0625</v>
      </c>
      <c r="AP28" s="29">
        <v>30777.5625</v>
      </c>
      <c r="AQ28" s="30">
        <v>14078248</v>
      </c>
      <c r="AR28" s="30">
        <v>3346040</v>
      </c>
      <c r="AS28" s="30">
        <v>672864</v>
      </c>
      <c r="AT28" s="30">
        <v>10054640</v>
      </c>
      <c r="AU28" s="31">
        <v>70.409528124999994</v>
      </c>
      <c r="AV28" s="31">
        <v>73.195421874999994</v>
      </c>
      <c r="AW28" s="31">
        <v>32.795568750000001</v>
      </c>
      <c r="AX28" s="31">
        <v>36.360231249999998</v>
      </c>
      <c r="AY28" s="31">
        <v>35.857856249999998</v>
      </c>
      <c r="AZ28" s="32">
        <v>3699.57</v>
      </c>
      <c r="BA28" s="32">
        <v>4731.8</v>
      </c>
      <c r="BB28" s="32">
        <v>5.1559999999999997</v>
      </c>
      <c r="BC28" s="32">
        <v>19.891999999999999</v>
      </c>
      <c r="BE28" s="33">
        <f t="shared" si="14"/>
        <v>2.9966635026191443E-3</v>
      </c>
      <c r="BF28" s="33">
        <f t="shared" si="15"/>
        <v>3.6418025538648285E-2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878832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28.815915</v>
      </c>
      <c r="J29" s="38">
        <f t="shared" si="1"/>
        <v>1.2143046998926377</v>
      </c>
      <c r="K29" s="38">
        <f t="shared" si="2"/>
        <v>0.18798274743359067</v>
      </c>
      <c r="L29" s="38">
        <f t="shared" si="3"/>
        <v>0.16140036933665103</v>
      </c>
      <c r="M29" s="38">
        <f t="shared" si="4"/>
        <v>1.0263033054776931</v>
      </c>
      <c r="N29" s="35">
        <f t="shared" si="5"/>
        <v>4758296</v>
      </c>
      <c r="O29" s="38">
        <f t="shared" si="6"/>
        <v>1.1597409410567252</v>
      </c>
      <c r="P29" s="39">
        <v>26503312</v>
      </c>
      <c r="Q29" s="39">
        <v>828228.5</v>
      </c>
      <c r="R29" s="39">
        <v>29829.40625</v>
      </c>
      <c r="S29" s="40">
        <v>30736976</v>
      </c>
      <c r="T29" s="40">
        <v>4085432</v>
      </c>
      <c r="U29" s="40">
        <v>672864</v>
      </c>
      <c r="V29" s="40">
        <v>25978208</v>
      </c>
      <c r="W29" s="41">
        <v>71.324937500000004</v>
      </c>
      <c r="X29" s="41">
        <v>74.412821875000006</v>
      </c>
      <c r="Y29" s="41">
        <v>35.531715624999997</v>
      </c>
      <c r="Z29" s="41">
        <v>38.532499999999999</v>
      </c>
      <c r="AA29" s="41">
        <v>37.996524999999998</v>
      </c>
      <c r="AB29" s="42">
        <v>4235.21</v>
      </c>
      <c r="AC29" s="42">
        <v>5341.28</v>
      </c>
      <c r="AD29" s="42">
        <v>5.2720000000000002</v>
      </c>
      <c r="AE29" s="42">
        <v>22.082999999999998</v>
      </c>
      <c r="AG29" s="37">
        <f t="shared" si="7"/>
        <v>29.766480000000001</v>
      </c>
      <c r="AH29" s="38">
        <f t="shared" si="8"/>
        <v>1.2543615763462725</v>
      </c>
      <c r="AI29" s="38">
        <f t="shared" si="9"/>
        <v>0.21688462038064493</v>
      </c>
      <c r="AJ29" s="38">
        <f t="shared" si="10"/>
        <v>0.19030224228370529</v>
      </c>
      <c r="AK29" s="38">
        <f t="shared" si="11"/>
        <v>1.0372911182531508</v>
      </c>
      <c r="AL29" s="35">
        <f t="shared" si="12"/>
        <v>5489872</v>
      </c>
      <c r="AM29" s="38">
        <f t="shared" si="13"/>
        <v>1.1907796175888288</v>
      </c>
      <c r="AN29" s="39">
        <v>26663970</v>
      </c>
      <c r="AO29" s="39">
        <v>833249.0625</v>
      </c>
      <c r="AP29" s="39">
        <v>32403.71875</v>
      </c>
      <c r="AQ29" s="40">
        <v>31750912</v>
      </c>
      <c r="AR29" s="40">
        <v>4817008</v>
      </c>
      <c r="AS29" s="40">
        <v>672864</v>
      </c>
      <c r="AT29" s="40">
        <v>26256336</v>
      </c>
      <c r="AU29" s="41">
        <v>71.302140625000007</v>
      </c>
      <c r="AV29" s="41">
        <v>74.372862499999997</v>
      </c>
      <c r="AW29" s="41">
        <v>35.5354125</v>
      </c>
      <c r="AX29" s="41">
        <v>38.455859375000003</v>
      </c>
      <c r="AY29" s="41">
        <v>37.919434375000002</v>
      </c>
      <c r="AZ29" s="42">
        <v>3901.91</v>
      </c>
      <c r="BA29" s="42">
        <v>5250.35</v>
      </c>
      <c r="BB29" s="42">
        <v>4.8940000000000001</v>
      </c>
      <c r="BC29" s="42">
        <v>21.175999999999998</v>
      </c>
      <c r="BE29" s="43">
        <f t="shared" si="14"/>
        <v>2.8724813042912897E-3</v>
      </c>
      <c r="BF29" s="43">
        <f t="shared" si="15"/>
        <v>1.8097486776121913E-2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1013936</v>
      </c>
    </row>
    <row r="30" spans="1:73" x14ac:dyDescent="0.3">
      <c r="B30" s="55" t="s">
        <v>288</v>
      </c>
      <c r="J30" s="56">
        <f>AVERAGE(J5:J24)</f>
        <v>0.20395102473709931</v>
      </c>
      <c r="K30" s="56">
        <f>AVERAGE(K5:K24)</f>
        <v>9.0741377360750497E-2</v>
      </c>
      <c r="L30" s="56">
        <f>AVERAGE(L5:L24)</f>
        <v>6.6697390796246314E-2</v>
      </c>
      <c r="M30" s="56">
        <f>AVERAGE(M5:M24)</f>
        <v>0.11319257259021502</v>
      </c>
      <c r="AH30" s="56">
        <f>AVERAGE(AH5:AH24)</f>
        <v>0.22382286755515554</v>
      </c>
      <c r="AI30" s="56">
        <f>AVERAGE(AI5:AI24)</f>
        <v>0.10810650255436856</v>
      </c>
      <c r="AJ30" s="56">
        <f>AVERAGE(AJ5:AJ24)</f>
        <v>8.4062515989864334E-2</v>
      </c>
      <c r="AK30" s="56">
        <f>AVERAGE(AK5:AK24)</f>
        <v>0.11554619594575895</v>
      </c>
      <c r="BG30" s="8">
        <f>AVERAGE(BG5:BG24)</f>
        <v>3.1850726743021793E-2</v>
      </c>
      <c r="BI30" s="5">
        <f>AVERAGE(BI5:BI24)</f>
        <v>0.22028613082891729</v>
      </c>
      <c r="BJ30" s="5">
        <f>AVERAGE(BJ5:BJ24)</f>
        <v>0.22311237468409945</v>
      </c>
      <c r="BK30" s="5">
        <f>AVERAGE(BK5:BK24)</f>
        <v>2.8854625277029144E-2</v>
      </c>
      <c r="BL30" s="5">
        <f>AVERAGE(BL5:BL24)</f>
        <v>4.1655381655990309E-2</v>
      </c>
      <c r="BM30" s="5">
        <f>AVERAGE(BM5:BM24)</f>
        <v>3.596995394492164E-2</v>
      </c>
      <c r="BO30" s="5">
        <f>AVERAGE(BO5:BO24)</f>
        <v>0.1449548358601323</v>
      </c>
      <c r="BP30" s="5">
        <f>AVERAGE(BP5:BP24)</f>
        <v>0.14993364587147723</v>
      </c>
      <c r="BQ30" s="5">
        <f>AVERAGE(BQ5:BQ24)</f>
        <v>0.12622327935962968</v>
      </c>
      <c r="BR30" s="5">
        <f>AVERAGE(BR5:BR24)</f>
        <v>0.1344310284577796</v>
      </c>
      <c r="BS30" s="5">
        <f>AVERAGE(BS5:BS24)</f>
        <v>0.13564743999131013</v>
      </c>
    </row>
    <row r="31" spans="1:73" x14ac:dyDescent="0.3">
      <c r="B31" s="55" t="s">
        <v>289</v>
      </c>
      <c r="J31" s="56">
        <f>AVERAGE(J25:J29)</f>
        <v>0.449038969346575</v>
      </c>
      <c r="K31" s="56">
        <f>AVERAGE(K25:K29)</f>
        <v>0.1101993615147164</v>
      </c>
      <c r="L31" s="56">
        <f>AVERAGE(L25:L29)</f>
        <v>8.3616983417776763E-2</v>
      </c>
      <c r="M31" s="56">
        <f>AVERAGE(M25:M29)</f>
        <v>0.33882096085050467</v>
      </c>
      <c r="AH31" s="56">
        <f>AVERAGE(AH25:AH29)</f>
        <v>0.48260378862414033</v>
      </c>
      <c r="AI31" s="56">
        <f>AVERAGE(AI25:AI29)</f>
        <v>0.13910123446177067</v>
      </c>
      <c r="AJ31" s="56">
        <f>AVERAGE(AJ25:AJ29)</f>
        <v>0.11251885636483103</v>
      </c>
      <c r="AK31" s="56">
        <f>AVERAGE(AK25:AK29)</f>
        <v>0.34331671644989287</v>
      </c>
      <c r="BG31" s="8">
        <f>AVERAGE(BG25:BG29)</f>
        <v>5.2672067961321067E-2</v>
      </c>
      <c r="BI31" s="5">
        <f>AVERAGE(BI25:BI29)</f>
        <v>0.32198489460113766</v>
      </c>
      <c r="BJ31" s="5">
        <f>AVERAGE(BJ25:BJ29)</f>
        <v>0.32534517488112846</v>
      </c>
      <c r="BK31" s="5">
        <f>AVERAGE(BK25:BK29)</f>
        <v>2.0151216465204458E-2</v>
      </c>
      <c r="BL31" s="5">
        <f>AVERAGE(BL25:BL29)</f>
        <v>5.0186292817772316E-2</v>
      </c>
      <c r="BM31" s="5">
        <f>AVERAGE(BM25:BM29)</f>
        <v>5.0845656197938904E-2</v>
      </c>
      <c r="BO31" s="5">
        <f>AVERAGE(BO25:BO29)</f>
        <v>0.15339010559628496</v>
      </c>
      <c r="BP31" s="5">
        <f>AVERAGE(BP25:BP29)</f>
        <v>0.16278188191495269</v>
      </c>
      <c r="BQ31" s="5">
        <f>AVERAGE(BQ25:BQ29)</f>
        <v>0.12731087252653084</v>
      </c>
      <c r="BR31" s="5">
        <f>AVERAGE(BR25:BR29)</f>
        <v>0.14579816020138692</v>
      </c>
      <c r="BS31" s="5">
        <f>AVERAGE(BS25:BS29)</f>
        <v>0.15136925251751077</v>
      </c>
    </row>
    <row r="32" spans="1:73" collapsed="1" x14ac:dyDescent="0.3">
      <c r="B32" s="55" t="s">
        <v>290</v>
      </c>
      <c r="J32" s="56">
        <f>AVERAGE(J5:J29)</f>
        <v>0.25296861365899448</v>
      </c>
      <c r="K32" s="56">
        <f>AVERAGE(K5:K29)</f>
        <v>9.4632974191543692E-2</v>
      </c>
      <c r="L32" s="56">
        <f>AVERAGE(L5:L29)</f>
        <v>7.0081309320552398E-2</v>
      </c>
      <c r="M32" s="56">
        <f>AVERAGE(M5:M29)</f>
        <v>0.15831825024227292</v>
      </c>
      <c r="AH32" s="56">
        <f>AVERAGE(AH5:AH29)</f>
        <v>0.27557905176895248</v>
      </c>
      <c r="AI32" s="56">
        <f>AVERAGE(AI5:AI29)</f>
        <v>0.114305448935849</v>
      </c>
      <c r="AJ32" s="56">
        <f>AVERAGE(AJ5:AJ29)</f>
        <v>8.9753784064857664E-2</v>
      </c>
      <c r="AK32" s="56">
        <f>AVERAGE(AK5:AK29)</f>
        <v>0.16110030004658571</v>
      </c>
      <c r="BG32" s="8">
        <f>AVERAGE(BG5:BG29)</f>
        <v>3.6014994986681648E-2</v>
      </c>
      <c r="BI32" s="5">
        <f>AVERAGE(BI5:BI29)</f>
        <v>0.24062588358336137</v>
      </c>
      <c r="BJ32" s="5">
        <f>AVERAGE(BJ5:BJ29)</f>
        <v>0.24355893472350526</v>
      </c>
      <c r="BK32" s="5">
        <f>AVERAGE(BK5:BK29)</f>
        <v>2.7113943514664209E-2</v>
      </c>
      <c r="BL32" s="5">
        <f>AVERAGE(BL5:BL29)</f>
        <v>4.3361563888346707E-2</v>
      </c>
      <c r="BM32" s="5">
        <f>AVERAGE(BM5:BM29)</f>
        <v>3.8945094395525091E-2</v>
      </c>
      <c r="BO32" s="5">
        <f>AVERAGE(BO5:BO29)</f>
        <v>0.14664188980736284</v>
      </c>
      <c r="BP32" s="5">
        <f>AVERAGE(BP5:BP29)</f>
        <v>0.15250329308017233</v>
      </c>
      <c r="BQ32" s="5">
        <f>AVERAGE(BQ5:BQ29)</f>
        <v>0.12644079799300992</v>
      </c>
      <c r="BR32" s="5">
        <f>AVERAGE(BR5:BR29)</f>
        <v>0.13670445480650106</v>
      </c>
      <c r="BS32" s="5">
        <f>AVERAGE(BS5:BS29)</f>
        <v>0.13879180249655027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113527.33</v>
      </c>
      <c r="AC33" s="57">
        <f>SUM(AC5:AC24,AC25:AC29)</f>
        <v>95353.799999999988</v>
      </c>
      <c r="AD33" s="57">
        <f>SUM(AD5:AD24,AD25:AD29)</f>
        <v>136.203</v>
      </c>
      <c r="AE33" s="57">
        <f>SUM(AE5:AE24,AE25:AE29)</f>
        <v>444.48000000000013</v>
      </c>
      <c r="AZ33" s="57">
        <f>SUM(AZ5:AZ24,AZ25:AZ29)</f>
        <v>101672.70000000003</v>
      </c>
      <c r="BA33" s="57">
        <f>SUM(BA5:BA24,BA25:BA29)</f>
        <v>94382.200000000012</v>
      </c>
      <c r="BB33" s="57">
        <f>SUM(BB5:BB24,BB25:BB29)</f>
        <v>136.93100000000001</v>
      </c>
      <c r="BC33" s="57">
        <f>SUM(BC5:BC24,BC25:BC29)</f>
        <v>442.93299999999994</v>
      </c>
    </row>
    <row r="34" spans="1:55" hidden="1" outlineLevel="2" x14ac:dyDescent="0.3">
      <c r="B34" s="55" t="s">
        <v>293</v>
      </c>
      <c r="AZ34" s="8">
        <f>AZ33/AB33</f>
        <v>0.89557906453010061</v>
      </c>
      <c r="BA34" s="8">
        <f>BA33/AC33</f>
        <v>0.98981057912741832</v>
      </c>
      <c r="BB34" s="8">
        <f>BB33/AD33</f>
        <v>1.0053449630331197</v>
      </c>
      <c r="BC34" s="8">
        <f>BC33/AE33</f>
        <v>0.99651952843772451</v>
      </c>
    </row>
    <row r="35" spans="1:55" hidden="1" outlineLevel="2" x14ac:dyDescent="0.3">
      <c r="B35" s="55" t="s">
        <v>294</v>
      </c>
      <c r="AB35" s="57">
        <f>GEOMEAN(AB5:AB24,AB25:AB29)</f>
        <v>4498.1066500004645</v>
      </c>
      <c r="AC35" s="57">
        <f>GEOMEAN(AC5:AC24,AC25:AC29)</f>
        <v>3755.3909147257446</v>
      </c>
      <c r="AD35" s="57">
        <f>GEOMEAN(AD5:AD24,AD25:AD29)</f>
        <v>5.3906901628091148</v>
      </c>
      <c r="AE35" s="57">
        <f>GEOMEAN(AE5:AE24,AE25:AE29)</f>
        <v>17.67031550309251</v>
      </c>
      <c r="AZ35" s="57">
        <f>GEOMEAN(AZ5:AZ24,AZ25:AZ29)</f>
        <v>4029.3122530243681</v>
      </c>
      <c r="BA35" s="57">
        <f>GEOMEAN(BA5:BA24,BA25:BA29)</f>
        <v>3717.4446142145775</v>
      </c>
      <c r="BB35" s="57">
        <f>GEOMEAN(BB5:BB24,BB25:BB29)</f>
        <v>5.4176383696106196</v>
      </c>
      <c r="BC35" s="57">
        <f>GEOMEAN(BC5:BC24,BC25:BC29)</f>
        <v>17.612915598572489</v>
      </c>
    </row>
    <row r="36" spans="1:55" outlineLevel="2" collapsed="1" x14ac:dyDescent="0.3">
      <c r="B36" s="55" t="s">
        <v>295</v>
      </c>
      <c r="AZ36" s="8">
        <f>AZ35/AB35</f>
        <v>0.89577961719159149</v>
      </c>
      <c r="BA36" s="8">
        <f>BA35/AC35</f>
        <v>0.98989551251179442</v>
      </c>
      <c r="BB36" s="8">
        <f>BB35/AD35</f>
        <v>1.0049990272094329</v>
      </c>
      <c r="BC36" s="8">
        <f>BC35/AE35</f>
        <v>0.99675161971443149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Indranil Sinharoy</cp:lastModifiedBy>
  <dcterms:created xsi:type="dcterms:W3CDTF">2018-08-31T19:13:00Z</dcterms:created>
  <dcterms:modified xsi:type="dcterms:W3CDTF">2019-01-27T16:09:04Z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