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B02B2553-4184-6C4D-A7A4-2D36F88C0E20}" xr6:coauthVersionLast="36" xr6:coauthVersionMax="36" xr10:uidLastSave="{00000000-0000-0000-0000-000000000000}"/>
  <bookViews>
    <workbookView xWindow="7260" yWindow="460" windowWidth="43940" windowHeight="25540" activeTab="4"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M31" i="7"/>
  <c r="L31" i="7"/>
  <c r="K31" i="7"/>
  <c r="J31" i="7"/>
  <c r="I31" i="7"/>
  <c r="BF30" i="7"/>
  <c r="AL30" i="7"/>
  <c r="AK30" i="7"/>
  <c r="AJ30" i="7"/>
  <c r="AH30" i="7"/>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M7" i="7"/>
  <c r="L7" i="7"/>
  <c r="K7" i="7"/>
  <c r="J7" i="7"/>
  <c r="I7" i="7"/>
  <c r="BF6" i="7"/>
  <c r="AL6" i="7"/>
  <c r="AK6" i="7"/>
  <c r="AJ6" i="7"/>
  <c r="AH6" i="7"/>
  <c r="AG6" i="7"/>
  <c r="N6" i="7"/>
  <c r="K6" i="7" s="1"/>
  <c r="M6" i="7"/>
  <c r="L6" i="7"/>
  <c r="J6" i="7"/>
  <c r="I6" i="7"/>
  <c r="BF5" i="7"/>
  <c r="AL5" i="7"/>
  <c r="AI5" i="7" s="1"/>
  <c r="AK5" i="7"/>
  <c r="AJ5" i="7"/>
  <c r="AH5" i="7"/>
  <c r="AG5" i="7"/>
  <c r="N5" i="7"/>
  <c r="K5" i="7" s="1"/>
  <c r="M5" i="7"/>
  <c r="L5" i="7"/>
  <c r="L43" i="7" s="1"/>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BE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BE34" i="3" s="1"/>
  <c r="AK34" i="3"/>
  <c r="AJ34" i="3"/>
  <c r="AH34" i="3"/>
  <c r="AG34" i="3"/>
  <c r="N34" i="3"/>
  <c r="M34" i="3"/>
  <c r="L34" i="3"/>
  <c r="K34" i="3"/>
  <c r="J34" i="3"/>
  <c r="I34" i="3"/>
  <c r="BF33" i="3"/>
  <c r="AL33" i="3"/>
  <c r="AI33" i="3" s="1"/>
  <c r="BE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M30" i="3"/>
  <c r="L30" i="3"/>
  <c r="K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J41" i="3" s="1"/>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M22" i="3"/>
  <c r="L22" i="3"/>
  <c r="K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K20" i="3"/>
  <c r="J20" i="3"/>
  <c r="I20" i="3"/>
  <c r="BF19" i="3"/>
  <c r="AL19" i="3"/>
  <c r="BG19" i="3" s="1"/>
  <c r="AK19" i="3"/>
  <c r="AJ19" i="3"/>
  <c r="AH19" i="3"/>
  <c r="AG19" i="3"/>
  <c r="N19" i="3"/>
  <c r="K19" i="3" s="1"/>
  <c r="M19" i="3"/>
  <c r="L19" i="3"/>
  <c r="J19" i="3"/>
  <c r="I19" i="3"/>
  <c r="BF18" i="3"/>
  <c r="AL18" i="3"/>
  <c r="AK18" i="3"/>
  <c r="AJ18" i="3"/>
  <c r="AI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M16" i="3"/>
  <c r="L16" i="3"/>
  <c r="K16" i="3"/>
  <c r="J16" i="3"/>
  <c r="I16" i="3"/>
  <c r="BF15" i="3"/>
  <c r="AL15" i="3"/>
  <c r="BG15" i="3" s="1"/>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M10" i="3"/>
  <c r="L10" i="3"/>
  <c r="K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BE6" i="3" s="1"/>
  <c r="AK6" i="3"/>
  <c r="AJ6" i="3"/>
  <c r="AH6" i="3"/>
  <c r="AG6" i="3"/>
  <c r="N6" i="3"/>
  <c r="M6" i="3"/>
  <c r="L6" i="3"/>
  <c r="K6" i="3"/>
  <c r="J6" i="3"/>
  <c r="I6" i="3"/>
  <c r="BF5" i="3"/>
  <c r="AL5" i="3"/>
  <c r="AK5" i="3"/>
  <c r="AJ5" i="3"/>
  <c r="AH5" i="3"/>
  <c r="AG5" i="3"/>
  <c r="N5" i="3"/>
  <c r="M5" i="3"/>
  <c r="L5" i="3"/>
  <c r="J5" i="3"/>
  <c r="I5" i="3"/>
  <c r="B2" i="2"/>
  <c r="B1" i="2"/>
  <c r="BT25" i="7"/>
  <c r="BP5" i="7"/>
  <c r="BP30" i="7"/>
  <c r="BR20" i="7"/>
  <c r="BQ15" i="7"/>
  <c r="BL20" i="7"/>
  <c r="BM25" i="7"/>
  <c r="BT35" i="7"/>
  <c r="BP35" i="7"/>
  <c r="BR10" i="7"/>
  <c r="BS30" i="7"/>
  <c r="BN30" i="7"/>
  <c r="BS35" i="7"/>
  <c r="BS15" i="7"/>
  <c r="BL25" i="7"/>
  <c r="BS20" i="7"/>
  <c r="BM10" i="7"/>
  <c r="BL10" i="7"/>
  <c r="BS10" i="7"/>
  <c r="BT20" i="7"/>
  <c r="BQ20" i="7"/>
  <c r="BP10" i="7"/>
  <c r="BR30" i="7"/>
  <c r="BQ10" i="7"/>
  <c r="BQ25" i="7"/>
  <c r="BP20" i="7"/>
  <c r="BS5" i="7"/>
  <c r="BS25" i="7"/>
  <c r="BM15" i="7"/>
  <c r="BQ35" i="7"/>
  <c r="BK25" i="7"/>
  <c r="BL35" i="7"/>
  <c r="BL15" i="7"/>
  <c r="BT30" i="7"/>
  <c r="BN10" i="7"/>
  <c r="BN25" i="7"/>
  <c r="BR5" i="7"/>
  <c r="BN20" i="7"/>
  <c r="BM20" i="7"/>
  <c r="BK35" i="7"/>
  <c r="BM5" i="7"/>
  <c r="BN5" i="7"/>
  <c r="BK5" i="7"/>
  <c r="BN15" i="7"/>
  <c r="BP15" i="7"/>
  <c r="BT5" i="7"/>
  <c r="BT15" i="7"/>
  <c r="BM30" i="7"/>
  <c r="BR35" i="7"/>
  <c r="BR25" i="7"/>
  <c r="BL5" i="7"/>
  <c r="BP25" i="7"/>
  <c r="BM35" i="7"/>
  <c r="BQ5" i="7"/>
  <c r="BR15" i="7"/>
  <c r="BT10" i="7"/>
  <c r="BN35" i="7"/>
  <c r="BQ30" i="7"/>
  <c r="BJ5" i="7"/>
  <c r="BL30" i="7"/>
  <c r="BJ25" i="7"/>
  <c r="BS35" i="3"/>
  <c r="BM35" i="3"/>
  <c r="BN10" i="3"/>
  <c r="BP20" i="3"/>
  <c r="BK35" i="3"/>
  <c r="BP5" i="3"/>
  <c r="BT30" i="3"/>
  <c r="BM20" i="3"/>
  <c r="BR25" i="3"/>
  <c r="BR35" i="3"/>
  <c r="BT25" i="3"/>
  <c r="BS15" i="3"/>
  <c r="BT5" i="3"/>
  <c r="BL35" i="3"/>
  <c r="BT10" i="3"/>
  <c r="BN35" i="3"/>
  <c r="BQ10" i="3"/>
  <c r="BT35" i="3"/>
  <c r="BR15" i="3"/>
  <c r="BN20" i="3"/>
  <c r="BS25" i="3"/>
  <c r="BN25" i="3"/>
  <c r="BL25" i="3"/>
  <c r="BK15" i="3"/>
  <c r="BP25" i="3"/>
  <c r="BR10" i="3"/>
  <c r="BS10" i="3"/>
  <c r="BS20" i="3"/>
  <c r="BM10" i="3"/>
  <c r="BN15" i="3"/>
  <c r="BS5" i="3"/>
  <c r="BT20" i="3"/>
  <c r="BR30" i="3"/>
  <c r="BQ30" i="3"/>
  <c r="BM5" i="3"/>
  <c r="BJ20" i="3"/>
  <c r="BR20" i="3"/>
  <c r="BJ30" i="3"/>
  <c r="BK20" i="3"/>
  <c r="BR5" i="3"/>
  <c r="BJ10" i="3"/>
  <c r="BQ5" i="3"/>
  <c r="BM30" i="3"/>
  <c r="BQ15" i="3"/>
  <c r="BP15" i="3"/>
  <c r="BN5" i="3"/>
  <c r="BT15" i="3"/>
  <c r="BL15" i="3"/>
  <c r="BQ25" i="3"/>
  <c r="BS30" i="3"/>
  <c r="BM25" i="3"/>
  <c r="BL10" i="3"/>
  <c r="BL30" i="3"/>
  <c r="BQ35" i="3"/>
  <c r="BP35" i="3"/>
  <c r="BK25" i="3"/>
  <c r="BM15" i="3"/>
  <c r="BL5" i="3"/>
  <c r="BP30" i="3"/>
  <c r="BN30" i="3"/>
  <c r="BL20" i="3"/>
  <c r="BP10" i="3"/>
  <c r="BK30" i="3"/>
  <c r="BQ20" i="3"/>
  <c r="AI25" i="7" l="1"/>
  <c r="BG20" i="3"/>
  <c r="AJ41" i="3"/>
  <c r="AK42" i="3"/>
  <c r="BH20"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K40" i="7"/>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K15" i="7"/>
  <c r="BK10" i="7"/>
  <c r="BK20" i="7"/>
  <c r="BK30" i="7"/>
  <c r="BJ20" i="7"/>
  <c r="BJ30" i="7"/>
  <c r="BJ10" i="7"/>
  <c r="BJ35" i="7"/>
  <c r="BJ15" i="7"/>
  <c r="BJ25" i="3"/>
  <c r="BJ5" i="3"/>
  <c r="BK5" i="3"/>
  <c r="BJ15" i="3"/>
  <c r="BK10" i="3"/>
  <c r="BJ3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<sst xmlns="http://schemas.openxmlformats.org/spreadsheetml/2006/main" count="1512" uniqueCount="594">
  <si>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</si>
  <si>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</si>
  <si>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</si>
  <si>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</si>
  <si>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</si>
  <si>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</si>
  <si>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</si>
  <si>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</si>
  <si>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</si>
  <si>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</si>
  <si>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</si>
  <si>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</si>
  <si>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</si>
  <si>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</si>
  <si>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</si>
  <si>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</si>
  <si>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</si>
  <si>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</si>
  <si>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</si>
  <si>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</si>
  <si>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</si>
  <si>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</si>
  <si>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</si>
  <si>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</si>
  <si>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</si>
  <si>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</si>
  <si>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</si>
  <si>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</si>
  <si>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</si>
  <si>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</si>
  <si>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</si>
  <si>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</si>
  <si>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</si>
  <si>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</si>
  <si>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</si>
  <si>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</si>
  <si>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</si>
  <si>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</si>
  <si>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</si>
  <si>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</si>
  <si>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</si>
  <si>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</si>
  <si>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</si>
  <si>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</si>
  <si>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</si>
  <si>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</si>
  <si>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</si>
  <si>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</si>
  <si>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</si>
  <si>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</si>
  <si>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</si>
  <si>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</si>
  <si>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</si>
  <si>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</si>
  <si>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</si>
  <si>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</si>
  <si>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</si>
  <si>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</si>
  <si>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</si>
  <si>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</si>
  <si>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</si>
  <si>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</si>
  <si>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</si>
  <si>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</si>
  <si>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</si>
  <si>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</si>
  <si>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</si>
  <si>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</si>
  <si>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</si>
  <si>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</si>
  <si>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</si>
  <si>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</si>
  <si>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</si>
  <si>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</si>
  <si>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</si>
  <si>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</si>
  <si>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</si>
  <si>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</si>
  <si>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</si>
  <si>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</si>
  <si>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</si>
  <si>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</si>
  <si>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</si>
  <si>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</si>
  <si>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</si>
  <si>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</si>
  <si>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</si>
  <si>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</si>
  <si>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</si>
  <si>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</si>
  <si>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</si>
  <si>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</si>
  <si>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</si>
  <si>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</si>
  <si>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</si>
  <si>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</si>
  <si>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</si>
  <si>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</si>
  <si>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</si>
  <si>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</si>
  <si>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</si>
  <si>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</si>
  <si>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</si>
  <si>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</si>
  <si>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</si>
  <si>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</si>
  <si>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</si>
  <si>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</si>
  <si>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</si>
  <si>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</si>
  <si>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</si>
  <si>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</si>
  <si>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</si>
  <si>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</si>
  <si>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</si>
  <si>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</si>
  <si>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</si>
  <si>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</si>
  <si>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</si>
  <si>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</si>
  <si>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</si>
  <si>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</si>
  <si>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</si>
  <si>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</si>
  <si>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</si>
  <si>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</si>
  <si>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</si>
  <si>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</si>
  <si>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</si>
  <si>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</si>
  <si>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</si>
  <si>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</si>
  <si>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</si>
  <si>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</si>
  <si>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</si>
  <si>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</si>
  <si>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</si>
  <si>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</si>
  <si>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</si>
  <si>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</si>
  <si>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</si>
  <si>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</si>
  <si>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</si>
  <si>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</si>
  <si>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</si>
  <si>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</si>
  <si>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</si>
  <si>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</si>
  <si>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</si>
  <si>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</si>
  <si>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</si>
  <si>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</si>
  <si>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</si>
  <si>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</si>
  <si>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</si>
  <si>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</si>
  <si>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</si>
  <si>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</si>
  <si>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</si>
  <si>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</si>
  <si>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</si>
  <si>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</si>
  <si>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</si>
  <si>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</si>
  <si>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</si>
  <si>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</si>
  <si>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</si>
  <si>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</si>
  <si>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</si>
  <si>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</si>
  <si>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</si>
  <si>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</si>
  <si>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</si>
  <si>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</si>
  <si>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</si>
  <si>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</si>
  <si>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</si>
  <si>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</si>
  <si>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</si>
  <si>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</si>
  <si>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</si>
  <si>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</si>
  <si>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</si>
  <si>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</si>
  <si>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</si>
  <si>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</si>
  <si>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</si>
  <si>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</si>
  <si>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</si>
  <si>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</si>
  <si>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</si>
  <si>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</si>
  <si>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</si>
  <si>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</si>
  <si>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</si>
  <si>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</si>
  <si>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</si>
  <si>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</si>
  <si>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</si>
  <si>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</si>
  <si>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</si>
  <si>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</si>
  <si>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</si>
  <si>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</si>
  <si>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</si>
  <si>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</si>
  <si>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</si>
  <si>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</si>
  <si>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</si>
  <si>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</si>
  <si>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</si>
  <si>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</si>
  <si>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</si>
  <si>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</si>
  <si>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</si>
  <si>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</si>
  <si>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</si>
  <si>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</si>
  <si>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</si>
  <si>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</si>
  <si>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</si>
  <si>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</si>
  <si>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</si>
  <si>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</si>
  <si>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</si>
  <si>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</si>
  <si>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</si>
  <si>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</si>
  <si>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</si>
  <si>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</si>
  <si>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</si>
  <si>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</si>
  <si>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</si>
  <si>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</si>
  <si>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</si>
  <si>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</si>
  <si>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</si>
  <si>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</si>
  <si>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</si>
  <si>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</si>
  <si>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</si>
  <si>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</si>
  <si>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</si>
  <si>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</si>
  <si>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</si>
  <si>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</si>
  <si>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</si>
  <si>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</si>
  <si>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</si>
  <si>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</si>
  <si>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</si>
  <si>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</si>
  <si>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</si>
  <si>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</si>
  <si>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</si>
  <si>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</si>
  <si>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</si>
  <si>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</si>
  <si>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</si>
  <si>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</si>
  <si>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</si>
  <si>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</si>
  <si>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</si>
  <si>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</si>
  <si>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</si>
  <si>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</si>
  <si>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</si>
  <si>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</si>
  <si>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</si>
  <si>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</si>
  <si>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</si>
  <si>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</si>
  <si>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</si>
  <si>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</si>
  <si>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</si>
  <si>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</si>
  <si>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</si>
  <si>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</si>
  <si>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</si>
  <si>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</si>
  <si>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</si>
  <si>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</si>
  <si>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</si>
  <si>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</si>
  <si>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</si>
  <si>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</si>
  <si>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</si>
  <si>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</si>
  <si>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</si>
  <si>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</si>
  <si>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</si>
  <si>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</si>
  <si>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</si>
  <si>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</si>
  <si>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</si>
  <si>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</si>
  <si>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</si>
  <si>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</si>
  <si>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</si>
  <si>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</si>
  <si>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</si>
  <si>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</si>
  <si>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</si>
  <si>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</si>
  <si>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</si>
  <si>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</si>
  <si>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</si>
  <si>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</si>
  <si>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</si>
  <si>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</si>
  <si>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</si>
  <si>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</si>
  <si>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</si>
  <si>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</si>
  <si>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</si>
  <si>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</si>
  <si>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</si>
  <si>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</si>
  <si>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</si>
  <si>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</si>
  <si>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</si>
  <si>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</si>
  <si>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</si>
  <si>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</si>
  <si>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</si>
  <si>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</si>
  <si>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</si>
  <si>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</si>
  <si>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</si>
  <si>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</si>
  <si>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</si>
  <si>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</si>
  <si>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</si>
  <si>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</si>
  <si>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</si>
  <si>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</si>
  <si>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</si>
  <si>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</si>
  <si>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</si>
  <si>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</si>
  <si>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</si>
  <si>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</si>
  <si>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</si>
  <si>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</si>
  <si>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</si>
  <si>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</si>
  <si>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</si>
  <si>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</si>
  <si>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</si>
  <si>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</si>
  <si>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</si>
  <si>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</si>
  <si>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</si>
  <si>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</si>
  <si>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</si>
  <si>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</si>
  <si>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</si>
  <si>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</si>
  <si>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</si>
  <si>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</si>
  <si>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</si>
  <si>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</si>
  <si>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</si>
  <si>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</si>
  <si>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</si>
  <si>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</si>
  <si>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</si>
  <si>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</si>
  <si>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</si>
  <si>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</si>
  <si>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</si>
  <si>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</si>
  <si>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</si>
  <si>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</si>
  <si>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</si>
  <si>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</si>
  <si>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</si>
  <si>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</si>
  <si>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</si>
  <si>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</si>
  <si>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</si>
  <si>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</si>
  <si>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</si>
  <si>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</si>
  <si>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</si>
  <si>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</si>
  <si>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</si>
  <si>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</si>
  <si>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</si>
  <si>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</si>
  <si>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</si>
  <si>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</si>
  <si>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</si>
  <si>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</si>
  <si>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</si>
  <si>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</si>
  <si>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</si>
  <si>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</si>
  <si>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</si>
  <si>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</si>
  <si>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</si>
  <si>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</si>
  <si>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</si>
  <si>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</si>
  <si>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</si>
  <si>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</si>
  <si>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</si>
  <si>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</si>
  <si>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</si>
  <si>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</si>
  <si>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</si>
  <si>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</si>
  <si>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</si>
  <si>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</si>
  <si>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</si>
  <si>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</si>
  <si>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</si>
  <si>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</si>
  <si>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</si>
  <si>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</si>
  <si>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</si>
  <si>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</si>
  <si>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</si>
  <si>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</si>
  <si>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</si>
  <si>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</si>
  <si>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</si>
  <si>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</si>
  <si>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</si>
  <si>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</si>
  <si>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</si>
  <si>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</si>
  <si>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</si>
  <si>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</si>
  <si>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</si>
  <si>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</si>
  <si>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</si>
  <si>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</si>
  <si>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</si>
  <si>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</si>
  <si>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</si>
  <si>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</si>
  <si>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</si>
  <si>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</si>
  <si>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</si>
  <si>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</si>
  <si>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</si>
  <si>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</si>
  <si>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</si>
  <si>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</si>
  <si>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</si>
  <si>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</si>
  <si>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</si>
  <si>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</si>
  <si>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</si>
  <si>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</si>
  <si>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</si>
  <si>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</si>
  <si>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</si>
  <si>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</si>
  <si>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</si>
  <si>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</si>
  <si>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</si>
  <si>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</si>
  <si>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</si>
  <si>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</si>
  <si>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</si>
  <si>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</si>
  <si>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</si>
  <si>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</si>
  <si>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</si>
  <si>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</si>
  <si>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</si>
  <si>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</si>
  <si>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</si>
  <si>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</si>
  <si>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</si>
  <si>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</si>
  <si>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</si>
  <si>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</si>
  <si>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</si>
  <si>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</si>
  <si>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</si>
  <si>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</si>
  <si>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</si>
  <si>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</si>
  <si>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</si>
  <si>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</si>
  <si>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</si>
  <si>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</si>
  <si>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</si>
  <si>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</si>
  <si>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</si>
  <si>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</si>
  <si>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</si>
  <si>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</si>
  <si>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</si>
  <si>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</si>
  <si>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</si>
  <si>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</si>
  <si>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</si>
  <si>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</si>
  <si>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</si>
  <si>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</si>
  <si>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</si>
  <si>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</si>
  <si>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</si>
  <si>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</si>
  <si>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</si>
  <si>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</si>
  <si>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</si>
  <si>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</si>
  <si>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</si>
  <si>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</si>
  <si>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</si>
  <si>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</si>
  <si>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</si>
  <si>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</si>
  <si>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</si>
  <si>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</si>
  <si>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</si>
  <si>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</si>
  <si>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</si>
  <si>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</si>
  <si>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</si>
  <si>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</si>
  <si>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</si>
  <si>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</si>
  <si>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</si>
  <si>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</si>
  <si>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</si>
  <si>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</si>
  <si>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</si>
  <si>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</si>
  <si>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</si>
  <si>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</si>
  <si>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</si>
  <si>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</si>
  <si>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</si>
  <si>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</si>
  <si>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</si>
  <si>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</si>
  <si>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</si>
  <si>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</si>
  <si>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</si>
  <si>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</si>
  <si>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</si>
  <si>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</si>
  <si>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</si>
  <si>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</si>
  <si>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</si>
  <si>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</si>
  <si>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</si>
  <si>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</si>
  <si>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</si>
  <si>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</si>
  <si>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</si>
  <si>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</si>
  <si>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</si>
  <si>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</si>
  <si>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</si>
  <si>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</si>
  <si>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</si>
  <si>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</si>
  <si>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</si>
  <si>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</si>
  <si>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</si>
  <si>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</si>
  <si>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</si>
  <si>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</si>
  <si>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</si>
  <si>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</si>
  <si>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</si>
  <si>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</si>
  <si>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</si>
  <si>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</si>
  <si>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</si>
  <si>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</si>
  <si>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</si>
  <si>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</si>
  <si>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</si>
  <si>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</si>
  <si>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</si>
  <si>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</si>
  <si>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</si>
  <si>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</si>
  <si>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</si>
  <si>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</si>
  <si>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</si>
  <si>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</si>
  <si>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</si>
  <si>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</si>
  <si>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rc3 multistream=1 absoluteD1=0 absoluteT1=1</t>
  </si>
  <si>
    <t>TMC2v8.0rc3 : multistream=1 absoluteD1=0 absoluteT1=1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</si>
</sst>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TMC2v7.2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rc3 multistream=1 absoluteD1=0 absoluteT1=1</c:v>
                </c:pt>
              </c:strCache>
            </c:strRef>
          </c:tx>
          <c:spPr>
            <a:ln>
              <a:prstDash val="solid"/>
            </a:ln>
          </c:spPr>
          <c:marker>
            <c:symbol val="none"/>
          </c:marker>
          <c:xVal>
            <c:numRef>
              <c:f>Graphs!graph_a_x_range_B</c:f>
              <c:numCache>
                <c:formatCode>0.00</c:formatCode>
                <c:ptCount val="5"/>
                <c:pt idx="0">
                  <c:v>3.9360999596252545E-3</c:v>
                </c:pt>
                <c:pt idx="1">
                  <c:v>5.3917424261953227E-3</c:v>
                </c:pt>
                <c:pt idx="2">
                  <c:v>7.6042638832179493E-3</c:v>
                </c:pt>
                <c:pt idx="3">
                  <c:v>1.1152132051415383E-2</c:v>
                </c:pt>
                <c:pt idx="4">
                  <c:v>1.7103160719324106E-2</c:v>
                </c:pt>
              </c:numCache>
            </c:numRef>
          </c:xVal>
          <c:yVal>
            <c:numRef>
              <c:f>Graphs!graph_a_y_range_B</c:f>
              <c:numCache>
                <c:formatCode>0.00</c:formatCode>
                <c:ptCount val="5"/>
                <c:pt idx="0">
                  <c:v>65.834022000000004</c:v>
                </c:pt>
                <c:pt idx="1">
                  <c:v>67.074815999999998</c:v>
                </c:pt>
                <c:pt idx="2">
                  <c:v>68.264734000000004</c:v>
                </c:pt>
                <c:pt idx="3">
                  <c:v>69.856153000000006</c:v>
                </c:pt>
                <c:pt idx="4">
                  <c:v>71.242943999999994</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TMC2v7.2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rc3 multistream=1 absoluteD1=0 absoluteT1=1</c:v>
                </c:pt>
              </c:strCache>
            </c:strRef>
          </c:tx>
          <c:spPr>
            <a:ln>
              <a:prstDash val="solid"/>
            </a:ln>
          </c:spPr>
          <c:marker>
            <c:symbol val="none"/>
          </c:marker>
          <c:xVal>
            <c:numRef>
              <c:f>Graphs!graph_b_x_range_B</c:f>
              <c:numCache>
                <c:formatCode>0.00</c:formatCode>
                <c:ptCount val="5"/>
                <c:pt idx="0">
                  <c:v>3.9360999596252545E-3</c:v>
                </c:pt>
                <c:pt idx="1">
                  <c:v>5.3917424261953227E-3</c:v>
                </c:pt>
                <c:pt idx="2">
                  <c:v>7.6042638832179493E-3</c:v>
                </c:pt>
                <c:pt idx="3">
                  <c:v>1.1152132051415383E-2</c:v>
                </c:pt>
                <c:pt idx="4">
                  <c:v>1.7103160719324106E-2</c:v>
                </c:pt>
              </c:numCache>
            </c:numRef>
          </c:xVal>
          <c:yVal>
            <c:numRef>
              <c:f>Graphs!graph_b_y_range_B</c:f>
              <c:numCache>
                <c:formatCode>0.00</c:formatCode>
                <c:ptCount val="5"/>
                <c:pt idx="0">
                  <c:v>67.108699999999999</c:v>
                </c:pt>
                <c:pt idx="1">
                  <c:v>68.624425000000002</c:v>
                </c:pt>
                <c:pt idx="2">
                  <c:v>70.147934000000006</c:v>
                </c:pt>
                <c:pt idx="3">
                  <c:v>72.234369000000001</c:v>
                </c:pt>
                <c:pt idx="4">
                  <c:v>74.277056000000002</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TMC2v7.2</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rc3 multistream=1 absoluteD1=0 absoluteT1=1</c:v>
                </c:pt>
              </c:strCache>
            </c:strRef>
          </c:tx>
          <c:spPr>
            <a:ln>
              <a:prstDash val="solid"/>
            </a:ln>
          </c:spPr>
          <c:marker>
            <c:symbol val="none"/>
          </c:marker>
          <c:xVal>
            <c:numRef>
              <c:f>Graphs!graph_c_x_range_B</c:f>
              <c:numCache>
                <c:formatCode>0.00</c:formatCode>
                <c:ptCount val="5"/>
                <c:pt idx="0">
                  <c:v>1.1393361825080104E-2</c:v>
                </c:pt>
                <c:pt idx="1">
                  <c:v>2.001683074004678E-2</c:v>
                </c:pt>
                <c:pt idx="2">
                  <c:v>3.5808629995152857E-2</c:v>
                </c:pt>
                <c:pt idx="3">
                  <c:v>6.3011057765725284E-2</c:v>
                </c:pt>
                <c:pt idx="4">
                  <c:v>0.11802770506818221</c:v>
                </c:pt>
              </c:numCache>
            </c:numRef>
          </c:xVal>
          <c:yVal>
            <c:numRef>
              <c:f>Graphs!graph_c_y_range_B</c:f>
              <c:numCache>
                <c:formatCode>0.00</c:formatCode>
                <c:ptCount val="5"/>
                <c:pt idx="0">
                  <c:v>32.022691000000002</c:v>
                </c:pt>
                <c:pt idx="1">
                  <c:v>34.431800000000003</c:v>
                </c:pt>
                <c:pt idx="2">
                  <c:v>37.104816</c:v>
                </c:pt>
                <c:pt idx="3">
                  <c:v>39.815888000000001</c:v>
                </c:pt>
                <c:pt idx="4">
                  <c:v>42.318418999999999</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TMC2v7.2</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rc3 multistream=1 absoluteD1=0 absoluteT1=1</c:v>
                </c:pt>
              </c:strCache>
            </c:strRef>
          </c:tx>
          <c:spPr>
            <a:ln>
              <a:prstDash val="solid"/>
            </a:ln>
          </c:spPr>
          <c:marker>
            <c:symbol val="none"/>
          </c:marker>
          <c:xVal>
            <c:numRef>
              <c:f>Graphs!graph_d_x_range_B</c:f>
              <c:numCache>
                <c:formatCode>0.00</c:formatCode>
                <c:ptCount val="5"/>
                <c:pt idx="0">
                  <c:v>1.1393361825080104E-2</c:v>
                </c:pt>
                <c:pt idx="1">
                  <c:v>2.001683074004678E-2</c:v>
                </c:pt>
                <c:pt idx="2">
                  <c:v>3.5808629995152857E-2</c:v>
                </c:pt>
                <c:pt idx="3">
                  <c:v>6.3011057765725284E-2</c:v>
                </c:pt>
                <c:pt idx="4">
                  <c:v>0.11802770506818221</c:v>
                </c:pt>
              </c:numCache>
            </c:numRef>
          </c:xVal>
          <c:yVal>
            <c:numRef>
              <c:f>Graphs!graph_d_y_range_B</c:f>
              <c:numCache>
                <c:formatCode>0.00</c:formatCode>
                <c:ptCount val="5"/>
                <c:pt idx="0">
                  <c:v>42.689883999999999</c:v>
                </c:pt>
                <c:pt idx="1">
                  <c:v>44.176127999999999</c:v>
                </c:pt>
                <c:pt idx="2">
                  <c:v>45.545819000000002</c:v>
                </c:pt>
                <c:pt idx="3">
                  <c:v>47.126550000000002</c:v>
                </c:pt>
                <c:pt idx="4">
                  <c:v>48.764586999999999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TMC2v7.2</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rc3 multistream=1 absoluteD1=0 absoluteT1=1</c:v>
                </c:pt>
              </c:strCache>
            </c:strRef>
          </c:tx>
          <c:spPr>
            <a:ln>
              <a:prstDash val="solid"/>
            </a:ln>
          </c:spPr>
          <c:marker>
            <c:symbol val="none"/>
          </c:marker>
          <c:xVal>
            <c:numRef>
              <c:f>Graphs!graph_e_x_range_B</c:f>
              <c:numCache>
                <c:formatCode>0.00</c:formatCode>
                <c:ptCount val="5"/>
                <c:pt idx="0">
                  <c:v>1.1393361825080104E-2</c:v>
                </c:pt>
                <c:pt idx="1">
                  <c:v>2.001683074004678E-2</c:v>
                </c:pt>
                <c:pt idx="2">
                  <c:v>3.5808629995152857E-2</c:v>
                </c:pt>
                <c:pt idx="3">
                  <c:v>6.3011057765725284E-2</c:v>
                </c:pt>
                <c:pt idx="4">
                  <c:v>0.11802770506818221</c:v>
                </c:pt>
              </c:numCache>
            </c:numRef>
          </c:xVal>
          <c:yVal>
            <c:numRef>
              <c:f>Graphs!graph_e_y_range_B</c:f>
              <c:numCache>
                <c:formatCode>0.00</c:formatCode>
                <c:ptCount val="5"/>
                <c:pt idx="0">
                  <c:v>42.375824999999999</c:v>
                </c:pt>
                <c:pt idx="1">
                  <c:v>43.974812999999997</c:v>
                </c:pt>
                <c:pt idx="2">
                  <c:v>45.384577999999998</c:v>
                </c:pt>
                <c:pt idx="3">
                  <c:v>47.132961999999999</c:v>
                </c:pt>
                <c:pt idx="4">
                  <c:v>48.827697000000001</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TMC2v7.2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rc3 multistream=1 absoluteD1=0 absoluteT1=1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0.36271751922655404</v>
      </c>
      <c r="D9" s="51">
        <f>'C2 lossyG,lossyA,intra'!$BK$40:$BK$40</f>
        <v>0.41989611872356725</v>
      </c>
      <c r="E9" s="51">
        <f>'C2 lossyG,lossyA,intra'!$BL$40:$BL$40</f>
        <v>1.1651440049030755</v>
      </c>
      <c r="F9" s="51">
        <f>'C2 lossyG,lossyA,intra'!$BM$40:$BM$40</f>
        <v>1.9202027665305281</v>
      </c>
      <c r="G9" s="51">
        <f>'C2 lossyG,lossyA,intra'!$BN$40:$BN$40</f>
        <v>1.8993518486780099</v>
      </c>
      <c r="H9" s="51">
        <f>'C2 lossyG,lossyA,intra'!$BP$40:$BP$40</f>
        <v>1.6721821421162582</v>
      </c>
      <c r="I9" s="51">
        <f>'C2 lossyG,lossyA,intra'!$BQ$40:$BQ$40</f>
        <v>1.7713753159961643</v>
      </c>
      <c r="J9" s="51">
        <f>'C2 lossyG,lossyA,intra'!$BR$40:$BR$40</f>
        <v>0.71976401396811007</v>
      </c>
      <c r="K9" s="51">
        <f>'C2 lossyG,lossyA,intra'!$BS$40:$BS$40</f>
        <v>1.2299851883874799</v>
      </c>
      <c r="L9" s="51">
        <f>'C2 lossyG,lossyA,intra'!$BT$40:$BT$40</f>
        <v>1.1991499798860934</v>
      </c>
    </row>
    <row r="10" spans="2:12" x14ac:dyDescent="0.2">
      <c r="B10" t="s">
        <v>17</v>
      </c>
      <c r="C10" s="51">
        <f>'C2 lossyG,lossyA,intra'!$BJ$41:$BJ$41</f>
        <v>0.81373721964029122</v>
      </c>
      <c r="D10" s="51">
        <f>'C2 lossyG,lossyA,intra'!$BK$41:$BK$41</f>
        <v>0.91852359554501817</v>
      </c>
      <c r="E10" s="51">
        <f>'C2 lossyG,lossyA,intra'!$BL$41:$BL$41</f>
        <v>0.82178646321287774</v>
      </c>
      <c r="F10" s="51">
        <f>'C2 lossyG,lossyA,intra'!$BM$41:$BM$41</f>
        <v>0.95879083856309699</v>
      </c>
      <c r="G10" s="51">
        <f>'C2 lossyG,lossyA,intra'!$BN$41:$BN$41</f>
        <v>0.95611072482797854</v>
      </c>
      <c r="H10" s="51">
        <f>'C2 lossyG,lossyA,intra'!$BP$41:$BP$41</f>
        <v>1.8830482078619086</v>
      </c>
      <c r="I10" s="51">
        <f>'C2 lossyG,lossyA,intra'!$BQ$41:$BQ$41</f>
        <v>1.9480720882654756</v>
      </c>
      <c r="J10" s="51">
        <f>'C2 lossyG,lossyA,intra'!$BR$41:$BR$41</f>
        <v>0.65625632799850941</v>
      </c>
      <c r="K10" s="51">
        <f>'C2 lossyG,lossyA,intra'!$BS$41:$BS$41</f>
        <v>0.78448516189758877</v>
      </c>
      <c r="L10" s="51">
        <f>'C2 lossyG,lossyA,intra'!$BT$41:$BT$41</f>
        <v>0.77647267522682384</v>
      </c>
    </row>
    <row r="11" spans="2:12" x14ac:dyDescent="0.2">
      <c r="B11" t="s">
        <v>18</v>
      </c>
      <c r="C11" s="51">
        <f>'C2 lossyG,lossyA,intra'!$BJ$42:$BJ$42</f>
        <v>0.36468961533809718</v>
      </c>
      <c r="D11" s="51">
        <f>'C2 lossyG,lossyA,intra'!$BK$42:$BK$42</f>
        <v>0.44074441497181804</v>
      </c>
      <c r="E11" s="51">
        <f>'C2 lossyG,lossyA,intra'!$BL$42:$BL$42</f>
        <v>1.2426990613227185</v>
      </c>
      <c r="F11" s="51">
        <f>'C2 lossyG,lossyA,intra'!$BM$42:$BM$42</f>
        <v>1.5699996804657477</v>
      </c>
      <c r="G11" s="51">
        <f>'C2 lossyG,lossyA,intra'!$BN$42:$BN$42</f>
        <v>1.5584646033536611</v>
      </c>
      <c r="H11" s="51">
        <f>'C2 lossyG,lossyA,intra'!$BP$42:$BP$42</f>
        <v>1.53728599790725</v>
      </c>
      <c r="I11" s="51">
        <f>'C2 lossyG,lossyA,intra'!$BQ$42:$BQ$42</f>
        <v>1.627200423322698</v>
      </c>
      <c r="J11" s="51">
        <f>'C2 lossyG,lossyA,intra'!$BR$42:$BR$42</f>
        <v>0.70456555245315045</v>
      </c>
      <c r="K11" s="51">
        <f>'C2 lossyG,lossyA,intra'!$BS$42:$BS$42</f>
        <v>0.96051403513351041</v>
      </c>
      <c r="L11" s="51">
        <f>'C2 lossyG,lossyA,intra'!$BT$42:$BT$42</f>
        <v>0.93048755715911069</v>
      </c>
    </row>
    <row r="12" spans="2:12" x14ac:dyDescent="0.2">
      <c r="B12" s="4" t="s">
        <v>19</v>
      </c>
      <c r="C12" s="5">
        <f>'C2 lossyG,lossyA,intra'!$BJ$43:$BJ$43</f>
        <v>0.42771236103181448</v>
      </c>
      <c r="D12" s="5">
        <f>'C2 lossyG,lossyA,intra'!$BK$43:$BK$43</f>
        <v>0.4970852714832748</v>
      </c>
      <c r="E12" s="5">
        <f>'C2 lossyG,lossyA,intra'!$BL$43:$BL$43</f>
        <v>1.1382515150672308</v>
      </c>
      <c r="F12" s="5">
        <f>'C2 lossyG,lossyA,intra'!$BM$43:$BM$43</f>
        <v>1.6828001808023865</v>
      </c>
      <c r="G12" s="5">
        <f>'C2 lossyG,lossyA,intra'!$BN$43:$BN$43</f>
        <v>1.6672067608924774</v>
      </c>
      <c r="H12" s="5">
        <f>'C2 lossyG,lossyA,intra'!$BP$43:$BP$43</f>
        <v>1.6637641103059202</v>
      </c>
      <c r="I12" s="5">
        <f>'C2 lossyG,lossyA,intra'!$BQ$43:$BQ$43</f>
        <v>1.7554248855565042</v>
      </c>
      <c r="J12" s="5">
        <f>'C2 lossyG,lossyA,intra'!$BR$43:$BR$43</f>
        <v>0.70634906982532153</v>
      </c>
      <c r="K12" s="5">
        <f>'C2 lossyG,lossyA,intra'!$BS$43:$BS$43</f>
        <v>1.0893505693877898</v>
      </c>
      <c r="L12" s="5">
        <f>'C2 lossyG,lossyA,intra'!$BT$43:$BT$43</f>
        <v>1.0620068155842026</v>
      </c>
    </row>
    <row r="13" spans="2:12" x14ac:dyDescent="0.2">
      <c r="B13" t="s">
        <v>20</v>
      </c>
      <c r="C13" s="61">
        <f>'C2 lossyG,lossyA,intra'!AZ47</f>
        <v>0.9414984988964713</v>
      </c>
      <c r="D13" s="62"/>
      <c r="E13" s="62"/>
      <c r="F13" s="62"/>
      <c r="G13" s="62"/>
      <c r="H13" s="62"/>
      <c r="I13" s="62"/>
      <c r="J13" s="62"/>
      <c r="K13" s="62"/>
      <c r="L13" s="62"/>
    </row>
    <row r="14" spans="2:12" x14ac:dyDescent="0.2">
      <c r="B14" s="54" t="s">
        <v>21</v>
      </c>
      <c r="C14" s="63">
        <f>'C2 lossyG,lossyA,intra'!BB47</f>
        <v>1.2277008470777264</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0.15358348526097754</v>
      </c>
      <c r="D43" s="51">
        <f>'C2 lossyG,lossyA,interRA'!$BK$40:$BK$40</f>
        <v>0.1780196587598335</v>
      </c>
      <c r="E43" s="51">
        <f>'C2 lossyG,lossyA,interRA'!$BL$40:$BL$40</f>
        <v>1.4673077102842926</v>
      </c>
      <c r="F43" s="51">
        <f>'C2 lossyG,lossyA,interRA'!$BM$40:$BM$40</f>
        <v>2.1903556646978131</v>
      </c>
      <c r="G43" s="51">
        <f>'C2 lossyG,lossyA,interRA'!$BN$40:$BN$40</f>
        <v>2.1486640629055831</v>
      </c>
      <c r="H43" s="51">
        <f>'C2 lossyG,lossyA,interRA'!$BP$40:$BP$40</f>
        <v>1.1179175308963125</v>
      </c>
      <c r="I43" s="51">
        <f>'C2 lossyG,lossyA,interRA'!$BQ$40:$BQ$40</f>
        <v>1.1363647728910888</v>
      </c>
      <c r="J43" s="51">
        <f>'C2 lossyG,lossyA,interRA'!$BR$40:$BR$40</f>
        <v>0.51580706098022411</v>
      </c>
      <c r="K43" s="51">
        <f>'C2 lossyG,lossyA,interRA'!$BS$40:$BS$40</f>
        <v>0.87435963153278551</v>
      </c>
      <c r="L43" s="51">
        <f>'C2 lossyG,lossyA,interRA'!$BT$40:$BT$40</f>
        <v>0.83253496397819737</v>
      </c>
    </row>
    <row r="44" spans="2:12" x14ac:dyDescent="0.2">
      <c r="B44" t="s">
        <v>17</v>
      </c>
      <c r="C44" s="51">
        <f>'C2 lossyG,lossyA,interRA'!$BJ$41:$BJ$41</f>
        <v>0.38954923931476371</v>
      </c>
      <c r="D44" s="51">
        <f>'C2 lossyG,lossyA,interRA'!$BK$41:$BK$41</f>
        <v>0.45495705752223747</v>
      </c>
      <c r="E44" s="51">
        <f>'C2 lossyG,lossyA,interRA'!$BL$41:$BL$41</f>
        <v>1.0430555430256914</v>
      </c>
      <c r="F44" s="51">
        <f>'C2 lossyG,lossyA,interRA'!$BM$41:$BM$41</f>
        <v>1.1921218170577537</v>
      </c>
      <c r="G44" s="51">
        <f>'C2 lossyG,lossyA,interRA'!$BN$41:$BN$41</f>
        <v>1.1973770025881034</v>
      </c>
      <c r="H44" s="51">
        <f>'C2 lossyG,lossyA,interRA'!$BP$41:$BP$41</f>
        <v>1.4269188537209851</v>
      </c>
      <c r="I44" s="51">
        <f>'C2 lossyG,lossyA,interRA'!$BQ$41:$BQ$41</f>
        <v>1.4922985683827314</v>
      </c>
      <c r="J44" s="51">
        <f>'C2 lossyG,lossyA,interRA'!$BR$41:$BR$41</f>
        <v>0.64849778806618397</v>
      </c>
      <c r="K44" s="51">
        <f>'C2 lossyG,lossyA,interRA'!$BS$41:$BS$41</f>
        <v>0.74760067944623021</v>
      </c>
      <c r="L44" s="51">
        <f>'C2 lossyG,lossyA,interRA'!$BT$41:$BT$41</f>
        <v>0.74133402149630445</v>
      </c>
    </row>
    <row r="45" spans="2:12" x14ac:dyDescent="0.2">
      <c r="B45" t="s">
        <v>18</v>
      </c>
      <c r="C45" s="51">
        <f>'C2 lossyG,lossyA,interRA'!$BJ$42:$BJ$42</f>
        <v>0.26989937770940997</v>
      </c>
      <c r="D45" s="51">
        <f>'C2 lossyG,lossyA,interRA'!$BK$42:$BK$42</f>
        <v>0.32342282574640491</v>
      </c>
      <c r="E45" s="51">
        <f>'C2 lossyG,lossyA,interRA'!$BL$42:$BL$42</f>
        <v>1.5606717174435341</v>
      </c>
      <c r="F45" s="51">
        <f>'C2 lossyG,lossyA,interRA'!$BM$42:$BM$42</f>
        <v>2.299606894929167</v>
      </c>
      <c r="G45" s="51">
        <f>'C2 lossyG,lossyA,interRA'!$BN$42:$BN$42</f>
        <v>2.2230624192377268</v>
      </c>
      <c r="H45" s="51">
        <f>'C2 lossyG,lossyA,interRA'!$BP$42:$BP$42</f>
        <v>1.0947975683447426</v>
      </c>
      <c r="I45" s="51">
        <f>'C2 lossyG,lossyA,interRA'!$BQ$42:$BQ$42</f>
        <v>1.1431553774180163</v>
      </c>
      <c r="J45" s="51">
        <f>'C2 lossyG,lossyA,interRA'!$BR$42:$BR$42</f>
        <v>0.66549511479233503</v>
      </c>
      <c r="K45" s="51">
        <f>'C2 lossyG,lossyA,interRA'!$BS$42:$BS$42</f>
        <v>1.0248505646979909</v>
      </c>
      <c r="L45" s="51">
        <f>'C2 lossyG,lossyA,interRA'!$BT$42:$BT$42</f>
        <v>0.98391479137931881</v>
      </c>
    </row>
    <row r="46" spans="2:12" x14ac:dyDescent="0.2">
      <c r="B46" s="4" t="s">
        <v>19</v>
      </c>
      <c r="C46" s="5">
        <f>'C2 lossyG,lossyA,interRA'!$BJ$43:$BJ$43</f>
        <v>0.22052599082535626</v>
      </c>
      <c r="D46" s="5">
        <f>'C2 lossyG,lossyA,interRA'!$BK$43:$BK$43</f>
        <v>0.25912590629348303</v>
      </c>
      <c r="E46" s="5">
        <f>'C2 lossyG,lossyA,interRA'!$BL$43:$BL$43</f>
        <v>1.4333756884357041</v>
      </c>
      <c r="F46" s="5">
        <f>'C2 lossyG,lossyA,interRA'!$BM$43:$BM$43</f>
        <v>2.07896546652962</v>
      </c>
      <c r="G46" s="5">
        <f>'C2 lossyG,lossyA,interRA'!$BN$43:$BN$43</f>
        <v>2.0340225846694127</v>
      </c>
      <c r="H46" s="5">
        <f>'C2 lossyG,lossyA,interRA'!$BP$43:$BP$43</f>
        <v>1.1554548734279599</v>
      </c>
      <c r="I46" s="5">
        <f>'C2 lossyG,lossyA,interRA'!$BQ$43:$BQ$43</f>
        <v>1.1891526306833027</v>
      </c>
      <c r="J46" s="5">
        <f>'C2 lossyG,lossyA,interRA'!$BR$43:$BR$43</f>
        <v>0.57753089451024997</v>
      </c>
      <c r="K46" s="5">
        <f>'C2 lossyG,lossyA,interRA'!$BS$43:$BS$43</f>
        <v>0.89924861928190769</v>
      </c>
      <c r="L46" s="5">
        <f>'C2 lossyG,lossyA,interRA'!$BT$43:$BT$43</f>
        <v>0.86275763716681886</v>
      </c>
    </row>
    <row r="47" spans="2:12" x14ac:dyDescent="0.2">
      <c r="B47" t="s">
        <v>20</v>
      </c>
      <c r="C47" s="61">
        <f>'C2 lossyG,lossyA,interRA'!AZ47</f>
        <v>0.94984587878108995</v>
      </c>
      <c r="D47" s="62"/>
      <c r="E47" s="62"/>
      <c r="F47" s="62"/>
      <c r="G47" s="62"/>
      <c r="H47" s="62"/>
      <c r="I47" s="62"/>
      <c r="J47" s="62"/>
      <c r="K47" s="62"/>
      <c r="L47" s="62"/>
    </row>
    <row r="48" spans="2:12" x14ac:dyDescent="0.2">
      <c r="B48" s="54" t="s">
        <v>21</v>
      </c>
      <c r="C48" s="63">
        <f>'C2 lossyG,lossyA,interRA'!BB47</f>
        <v>1.238716082109818</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W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592</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2.1856575</v>
      </c>
      <c r="J5" s="11">
        <f t="shared" ref="J5:J39" si="1">IF(ISBLANK(S5),"·",S5/D5)</f>
        <v>9.7896423716956511E-3</v>
      </c>
      <c r="K5" s="11">
        <f t="shared" ref="K5:K39" si="2">IF(N5="","·",N5/D5)</f>
        <v>6.211103992753768E-3</v>
      </c>
      <c r="L5" s="11">
        <f t="shared" ref="L5:L39" si="3">IF(T5="","·",T5/D5)</f>
        <v>3.5272086067430685E-3</v>
      </c>
      <c r="M5" s="11">
        <f t="shared" ref="M5:M39" si="4">IF(ISBLANK(V5),"·",V5/D5)</f>
        <v>3.5785383789418835E-3</v>
      </c>
      <c r="N5" s="52">
        <f t="shared" ref="N5:N39" si="5">IF(OR(ISBLANK(T5),ISBLANK(U5)),"",T5+U5)</f>
        <v>1479152</v>
      </c>
      <c r="O5" s="11">
        <v>16</v>
      </c>
      <c r="P5" s="12">
        <v>21785839</v>
      </c>
      <c r="Q5" s="12">
        <v>680807.46875</v>
      </c>
      <c r="R5" s="12">
        <v>13493.8125</v>
      </c>
      <c r="S5" s="13">
        <v>2331368</v>
      </c>
      <c r="T5" s="13">
        <v>839992</v>
      </c>
      <c r="U5" s="13">
        <v>639160</v>
      </c>
      <c r="V5" s="13">
        <v>852216</v>
      </c>
      <c r="W5" s="14">
        <v>66.354628000000005</v>
      </c>
      <c r="X5" s="14">
        <v>68.478525000000005</v>
      </c>
      <c r="Y5" s="14">
        <v>32.104728000000001</v>
      </c>
      <c r="Z5" s="14">
        <v>44.160262000000003</v>
      </c>
      <c r="AA5" s="14">
        <v>43.841844000000002</v>
      </c>
      <c r="AB5" s="15">
        <v>3389.72</v>
      </c>
      <c r="AC5" s="15">
        <v>970.78300000000002</v>
      </c>
      <c r="AD5" s="15">
        <v>54.073999999999998</v>
      </c>
      <c r="AE5" s="15">
        <v>14.635</v>
      </c>
      <c r="AG5" s="10">
        <f t="shared" ref="AG5:AG39" si="6">IF(OR(ISBLANK(AQ5),ISBLANK(G5)),"·",AQ5*G5/F5/1000000)</f>
        <v>4.0108350000000002</v>
      </c>
      <c r="AH5" s="11">
        <f t="shared" ref="AH5:AH39" si="7">IF(ISBLANK(AQ5),"·",AQ5/D5)</f>
        <v>1.7964681228362599E-2</v>
      </c>
      <c r="AI5" s="11">
        <f t="shared" ref="AI5:AI39" si="8">IF(AL5="","·",AL5/D5)</f>
        <v>5.2450175488907578E-3</v>
      </c>
      <c r="AJ5" s="11">
        <f t="shared" ref="AJ5:AJ39" si="9">IF(AR5="","·",AR5/D5)</f>
        <v>3.9360999596252545E-3</v>
      </c>
      <c r="AK5" s="11">
        <f t="shared" ref="AK5:AK39" si="10">IF(ISBLANK(AT5),"·",AT5/D5)</f>
        <v>1.1393361825080104E-2</v>
      </c>
      <c r="AL5" s="52">
        <f t="shared" ref="AL5:AL39" si="11">IF(OR(ISBLANK(AR5),ISBLANK(AS5)),"",AR5+AS5)</f>
        <v>1249082</v>
      </c>
      <c r="AM5" s="11">
        <v>16</v>
      </c>
      <c r="AN5" s="12">
        <v>37195247</v>
      </c>
      <c r="AO5" s="12">
        <v>1162351.46875</v>
      </c>
      <c r="AP5" s="12">
        <v>47912.46875</v>
      </c>
      <c r="AQ5" s="13">
        <v>4278224</v>
      </c>
      <c r="AR5" s="13">
        <v>937368</v>
      </c>
      <c r="AS5" s="13">
        <v>311714</v>
      </c>
      <c r="AT5" s="13">
        <v>2713288</v>
      </c>
      <c r="AU5" s="14">
        <v>65.834022000000004</v>
      </c>
      <c r="AV5" s="14">
        <v>67.108699999999999</v>
      </c>
      <c r="AW5" s="14">
        <v>32.022691000000002</v>
      </c>
      <c r="AX5" s="14">
        <v>42.689883999999999</v>
      </c>
      <c r="AY5" s="14">
        <v>42.375824999999999</v>
      </c>
      <c r="AZ5" s="15">
        <v>3333.3</v>
      </c>
      <c r="BA5" s="15">
        <v>829.40899999999999</v>
      </c>
      <c r="BB5" s="15">
        <v>94.465000000000003</v>
      </c>
      <c r="BC5" s="15">
        <v>16.100000000000001</v>
      </c>
      <c r="BE5" s="50">
        <f t="shared" ref="BE5:BE43" si="12">AI5/K5</f>
        <v>0.84445817603599904</v>
      </c>
      <c r="BF5" s="16">
        <f t="shared" ref="BF5:BF39" si="13">(AP5/AO5) - (R5/Q5)</f>
        <v>2.1399987340870934E-2</v>
      </c>
      <c r="BG5" s="16">
        <f t="shared" ref="BG5:BG39" si="14">(AL5/AQ5) - (N5/S5)</f>
        <v>-0.34249393983287685</v>
      </c>
      <c r="BH5" s="16">
        <f t="array" ref="BH5">AVERAGE(AL5:AL9/AQ5:AQ9) - AVERAGE(N5:N9/S5:S9)</f>
        <v>-0.18384714536456392</v>
      </c>
      <c r="BJ5" s="50">
        <f>IF( OR(ISBLANK(N5:N9),ISBLANK(AL5:AL9), ISBLANK(W5:W9),ISBLANK(AU5:AU9)), "·", bdRateExtend( N5:N9,W5:W9, AL5:AL9,AU5:AU9))</f>
        <v>0.40054713558385835</v>
      </c>
      <c r="BK5" s="50">
        <f>IF( OR(ISBLANK(N5:N9),ISBLANK(AL5:AL9), ISBLANK(X5:X9),ISBLANK(AV5:AV9)), "·", bdRateExtend( N5:N9,X5:X9, AL5:AL9,AV5:AV9))</f>
        <v>0.49037603250129269</v>
      </c>
      <c r="BL5" s="50">
        <f>IF( OR(ISBLANK(V5:V9),ISBLANK(AT5:AT9), ISBLANK(Y5:Y9),ISBLANK(AW5:AW9)), "·", bdRateExtend( V5:V9,Y5:Y9, AT5:AT9,AW5:AW9))</f>
        <v>1.2916376171310144</v>
      </c>
      <c r="BM5" s="50">
        <f>IF( OR(ISBLANK(V5:V9),ISBLANK(AT5:AT9), ISBLANK(Z5:Z9),ISBLANK(AX5:AX9)), "·", bdRateExtend( V5:V9,Z5:Z9, AT5:AT9,AX5:AX9))</f>
        <v>2.6744189902832227</v>
      </c>
      <c r="BN5" s="50">
        <f>IF( OR(ISBLANK(V5:V9),ISBLANK(AT5:AT9), ISBLANK(AA5:AA9),ISBLANK(AY5:AY9)), "·", bdRateExtend( V5:V9,AA5:AA9, AT5:AT9,AY5:AY9))</f>
        <v>2.6257701469489549</v>
      </c>
      <c r="BP5" s="50">
        <f>IF( OR(ISBLANK(S5:S9),ISBLANK(AQ5:AQ9), ISBLANK(W5:W9),ISBLANK(AU5:AU9)), "·", bdRateExtend( S5:S9,W5:W9, AQ5:AQ9,AU5:AU9))</f>
        <v>1.7673018187304081</v>
      </c>
      <c r="BQ5" s="50">
        <f>IF( OR(ISBLANK(S5:S9),ISBLANK(AQ5:AQ9), ISBLANK(X5:X9),ISBLANK(AV5:AV9)), "·", bdRateExtend( S5:S9,X5:X9, AQ5:AQ9,AV5:AV9))</f>
        <v>1.9230434108445609</v>
      </c>
      <c r="BR5" s="50">
        <f>IF( OR(ISBLANK(S5:S9),ISBLANK(AQ5:AQ9), ISBLANK(Y5:Y9),ISBLANK(AW5:AW9)), "·", bdRateExtend( S5:S9,Y5:Y9, AQ5:AQ9,AW5:AW9))</f>
        <v>0.77187967335977303</v>
      </c>
      <c r="BS5" s="50">
        <f>IF( OR(ISBLANK(S5:S9),ISBLANK(AQ5:AQ9), ISBLANK(Z5:Z9),ISBLANK(AX5:AX9)), "·", bdRateExtend( S5:S9,Z5:Z9, AQ5:AQ9,AX5:AX9))</f>
        <v>1.6401759905112323</v>
      </c>
      <c r="BT5" s="50">
        <f>IF( OR(ISBLANK(S5:S9),ISBLANK(AQ5:AQ9), ISBLANK(AA5:AA9),ISBLANK(AY5:AY9)), "·", bdRateExtend( S5:S9,AA5:AA9, AQ5:AQ9,AY5:AY9))</f>
        <v>1.6072053731886973</v>
      </c>
      <c r="BV5" s="58">
        <f>AN5-P5</f>
        <v>15409408</v>
      </c>
      <c r="BW5" s="58">
        <f t="shared" ref="BW5:CG20" si="15">AO5-Q5</f>
        <v>481544</v>
      </c>
      <c r="BX5" s="58">
        <f t="shared" si="15"/>
        <v>34418.65625</v>
      </c>
      <c r="BY5" s="58">
        <f t="shared" si="15"/>
        <v>1946856</v>
      </c>
      <c r="BZ5" s="58">
        <f t="shared" si="15"/>
        <v>97376</v>
      </c>
      <c r="CA5" s="58">
        <f t="shared" si="15"/>
        <v>-327446</v>
      </c>
      <c r="CB5" s="58">
        <f t="shared" si="15"/>
        <v>1861072</v>
      </c>
      <c r="CC5" s="58">
        <f t="shared" si="15"/>
        <v>-0.52060600000000079</v>
      </c>
      <c r="CD5" s="58">
        <f t="shared" si="15"/>
        <v>-1.3698250000000058</v>
      </c>
      <c r="CE5" s="58">
        <f t="shared" si="15"/>
        <v>-8.2036999999999694E-2</v>
      </c>
      <c r="CF5" s="58">
        <f t="shared" si="15"/>
        <v>-1.4703780000000037</v>
      </c>
      <c r="CG5" s="58">
        <f t="shared" si="15"/>
        <v>-1.4660190000000028</v>
      </c>
      <c r="CJ5" t="s">
        <v>233</v>
      </c>
    </row>
    <row r="6" spans="1:88" outlineLevel="1" x14ac:dyDescent="0.2">
      <c r="A6" s="17"/>
      <c r="B6" s="17" t="s">
        <v>51</v>
      </c>
      <c r="C6" s="18" t="s">
        <v>234</v>
      </c>
      <c r="D6" s="17">
        <v>238146391</v>
      </c>
      <c r="E6" s="18">
        <v>10</v>
      </c>
      <c r="F6" s="18">
        <v>32</v>
      </c>
      <c r="G6" s="18">
        <v>30</v>
      </c>
      <c r="I6" s="19">
        <f t="shared" si="0"/>
        <v>3.4014674999999999</v>
      </c>
      <c r="J6" s="20">
        <f t="shared" si="1"/>
        <v>1.5235301214369442E-2</v>
      </c>
      <c r="K6" s="20">
        <f t="shared" si="2"/>
        <v>7.5753069043989841E-3</v>
      </c>
      <c r="L6" s="20">
        <f t="shared" si="3"/>
        <v>4.8914115183882837E-3</v>
      </c>
      <c r="M6" s="20">
        <f t="shared" si="4"/>
        <v>7.6599943099704589E-3</v>
      </c>
      <c r="N6" s="17">
        <f t="shared" si="5"/>
        <v>1804032</v>
      </c>
      <c r="O6" s="20">
        <v>16</v>
      </c>
      <c r="P6" s="21">
        <v>24191962</v>
      </c>
      <c r="Q6" s="21">
        <v>755998.8125</v>
      </c>
      <c r="R6" s="21">
        <v>19085.96875</v>
      </c>
      <c r="S6" s="22">
        <v>3628232</v>
      </c>
      <c r="T6" s="22">
        <v>1164872</v>
      </c>
      <c r="U6" s="22">
        <v>639160</v>
      </c>
      <c r="V6" s="22">
        <v>1824200</v>
      </c>
      <c r="W6" s="23">
        <v>68.255977999999999</v>
      </c>
      <c r="X6" s="23">
        <v>70.438458999999995</v>
      </c>
      <c r="Y6" s="23">
        <v>34.355628000000003</v>
      </c>
      <c r="Z6" s="23">
        <v>45.457172</v>
      </c>
      <c r="AA6" s="23">
        <v>45.255406000000001</v>
      </c>
      <c r="AB6" s="24">
        <v>4007.02</v>
      </c>
      <c r="AC6" s="24">
        <v>1376.29</v>
      </c>
      <c r="AD6" s="24">
        <v>67.054000000000002</v>
      </c>
      <c r="AE6" s="24">
        <v>20.920999999999999</v>
      </c>
      <c r="AG6" s="19">
        <f t="shared" si="6"/>
        <v>6.2611274999999997</v>
      </c>
      <c r="AH6" s="20">
        <f t="shared" si="7"/>
        <v>2.8043826202682198E-2</v>
      </c>
      <c r="AI6" s="20">
        <f t="shared" si="8"/>
        <v>7.2700912775957209E-3</v>
      </c>
      <c r="AJ6" s="20">
        <f t="shared" si="9"/>
        <v>5.3917424261953227E-3</v>
      </c>
      <c r="AK6" s="20">
        <f t="shared" si="10"/>
        <v>2.001683074004678E-2</v>
      </c>
      <c r="AL6" s="17">
        <f t="shared" si="11"/>
        <v>1731346</v>
      </c>
      <c r="AM6" s="20">
        <v>16</v>
      </c>
      <c r="AN6" s="21">
        <v>35815646</v>
      </c>
      <c r="AO6" s="21">
        <v>1119238.9375</v>
      </c>
      <c r="AP6" s="21">
        <v>49378.71875</v>
      </c>
      <c r="AQ6" s="22">
        <v>6678536</v>
      </c>
      <c r="AR6" s="22">
        <v>1284024</v>
      </c>
      <c r="AS6" s="22">
        <v>447322</v>
      </c>
      <c r="AT6" s="22">
        <v>4766936</v>
      </c>
      <c r="AU6" s="23">
        <v>67.074815999999998</v>
      </c>
      <c r="AV6" s="23">
        <v>68.624425000000002</v>
      </c>
      <c r="AW6" s="23">
        <v>34.431800000000003</v>
      </c>
      <c r="AX6" s="23">
        <v>44.176127999999999</v>
      </c>
      <c r="AY6" s="23">
        <v>43.974812999999997</v>
      </c>
      <c r="AZ6" s="24">
        <v>3859.04</v>
      </c>
      <c r="BA6" s="24">
        <v>1089.54</v>
      </c>
      <c r="BB6" s="24">
        <v>99.061999999999998</v>
      </c>
      <c r="BC6" s="24">
        <v>21.401</v>
      </c>
      <c r="BE6" s="49">
        <f t="shared" si="12"/>
        <v>0.95970914041436073</v>
      </c>
      <c r="BF6" s="25">
        <f t="shared" si="13"/>
        <v>1.8872090824829314E-2</v>
      </c>
      <c r="BG6" s="25">
        <f t="shared" si="14"/>
        <v>-0.23798033641200361</v>
      </c>
      <c r="BH6" s="25"/>
      <c r="BJ6" s="49"/>
      <c r="BK6" s="49"/>
      <c r="BL6" s="49"/>
      <c r="BM6" s="49"/>
      <c r="BN6" s="49"/>
      <c r="BP6" s="49"/>
      <c r="BQ6" s="49"/>
      <c r="BR6" s="49"/>
      <c r="BS6" s="49"/>
      <c r="BT6" s="49"/>
      <c r="BV6" s="58">
        <f t="shared" ref="BV6:CG39" si="16">AN6-P6</f>
        <v>11623684</v>
      </c>
      <c r="BW6" s="58">
        <f t="shared" si="15"/>
        <v>363240.125</v>
      </c>
      <c r="BX6" s="58">
        <f t="shared" si="15"/>
        <v>30292.75</v>
      </c>
      <c r="BY6" s="58">
        <f t="shared" si="15"/>
        <v>3050304</v>
      </c>
      <c r="BZ6" s="58">
        <f t="shared" si="15"/>
        <v>119152</v>
      </c>
      <c r="CA6" s="58">
        <f t="shared" si="15"/>
        <v>-191838</v>
      </c>
      <c r="CB6" s="58">
        <f t="shared" si="15"/>
        <v>2942736</v>
      </c>
      <c r="CC6" s="58">
        <f t="shared" si="15"/>
        <v>-1.1811620000000005</v>
      </c>
      <c r="CD6" s="58">
        <f t="shared" si="15"/>
        <v>-1.8140339999999924</v>
      </c>
      <c r="CE6" s="58">
        <f t="shared" si="15"/>
        <v>7.6171999999999684E-2</v>
      </c>
      <c r="CF6" s="58">
        <f t="shared" si="15"/>
        <v>-1.2810440000000014</v>
      </c>
      <c r="CG6" s="58">
        <f t="shared" si="15"/>
        <v>-1.2805930000000032</v>
      </c>
      <c r="CJ6" t="s">
        <v>233</v>
      </c>
    </row>
    <row r="7" spans="1:88" outlineLevel="1" x14ac:dyDescent="0.2">
      <c r="A7" s="52"/>
      <c r="B7" s="52" t="s">
        <v>51</v>
      </c>
      <c r="C7" s="9" t="s">
        <v>235</v>
      </c>
      <c r="D7" s="52">
        <v>238146391</v>
      </c>
      <c r="E7" s="9">
        <v>10</v>
      </c>
      <c r="F7" s="9">
        <v>32</v>
      </c>
      <c r="G7" s="9">
        <v>30</v>
      </c>
      <c r="I7" s="10">
        <f t="shared" si="0"/>
        <v>5.5771199999999999</v>
      </c>
      <c r="J7" s="11">
        <f t="shared" si="1"/>
        <v>2.498013081373969E-2</v>
      </c>
      <c r="K7" s="11">
        <f t="shared" si="2"/>
        <v>9.522613340800113E-3</v>
      </c>
      <c r="L7" s="11">
        <f t="shared" si="3"/>
        <v>6.8387179547894136E-3</v>
      </c>
      <c r="M7" s="11">
        <f t="shared" si="4"/>
        <v>1.5457517472939575E-2</v>
      </c>
      <c r="N7" s="52">
        <f t="shared" si="5"/>
        <v>2267776</v>
      </c>
      <c r="O7" s="11">
        <v>16</v>
      </c>
      <c r="P7" s="12">
        <v>24808216</v>
      </c>
      <c r="Q7" s="12">
        <v>775256.75</v>
      </c>
      <c r="R7" s="12">
        <v>20954.78125</v>
      </c>
      <c r="S7" s="13">
        <v>5948928</v>
      </c>
      <c r="T7" s="13">
        <v>1628616</v>
      </c>
      <c r="U7" s="13">
        <v>639160</v>
      </c>
      <c r="V7" s="13">
        <v>3681152</v>
      </c>
      <c r="W7" s="14">
        <v>69.683724999999995</v>
      </c>
      <c r="X7" s="14">
        <v>72.129402999999996</v>
      </c>
      <c r="Y7" s="14">
        <v>36.897066000000002</v>
      </c>
      <c r="Z7" s="14">
        <v>46.589962999999997</v>
      </c>
      <c r="AA7" s="14">
        <v>46.485678</v>
      </c>
      <c r="AB7" s="15">
        <v>3322.91</v>
      </c>
      <c r="AC7" s="15">
        <v>1042.68</v>
      </c>
      <c r="AD7" s="15">
        <v>59.536000000000001</v>
      </c>
      <c r="AE7" s="15">
        <v>15.117000000000001</v>
      </c>
      <c r="AG7" s="10">
        <f t="shared" si="6"/>
        <v>10.2808125</v>
      </c>
      <c r="AH7" s="11">
        <f t="shared" si="7"/>
        <v>4.6048146914810899E-2</v>
      </c>
      <c r="AI7" s="11">
        <f t="shared" si="8"/>
        <v>1.0492823298758284E-2</v>
      </c>
      <c r="AJ7" s="11">
        <f t="shared" si="9"/>
        <v>7.6042638832179493E-3</v>
      </c>
      <c r="AK7" s="11">
        <f t="shared" si="10"/>
        <v>3.5808629995152857E-2</v>
      </c>
      <c r="AL7" s="52">
        <f t="shared" si="11"/>
        <v>2498828</v>
      </c>
      <c r="AM7" s="11">
        <v>16</v>
      </c>
      <c r="AN7" s="12">
        <v>32915257</v>
      </c>
      <c r="AO7" s="12">
        <v>1028601.78125</v>
      </c>
      <c r="AP7" s="12">
        <v>48967.09375</v>
      </c>
      <c r="AQ7" s="13">
        <v>10966200</v>
      </c>
      <c r="AR7" s="13">
        <v>1810928</v>
      </c>
      <c r="AS7" s="13">
        <v>687900</v>
      </c>
      <c r="AT7" s="13">
        <v>8527696</v>
      </c>
      <c r="AU7" s="14">
        <v>68.264734000000004</v>
      </c>
      <c r="AV7" s="14">
        <v>70.147934000000006</v>
      </c>
      <c r="AW7" s="14">
        <v>37.104816</v>
      </c>
      <c r="AX7" s="14">
        <v>45.545819000000002</v>
      </c>
      <c r="AY7" s="14">
        <v>45.384577999999998</v>
      </c>
      <c r="AZ7" s="15">
        <v>3246.49</v>
      </c>
      <c r="BA7" s="15">
        <v>848.95899999999995</v>
      </c>
      <c r="BB7" s="15">
        <v>80.664000000000001</v>
      </c>
      <c r="BC7" s="15">
        <v>16.902000000000001</v>
      </c>
      <c r="BE7" s="50">
        <f t="shared" si="12"/>
        <v>1.1018848422419145</v>
      </c>
      <c r="BF7" s="16">
        <f t="shared" si="13"/>
        <v>2.0576019068225714E-2</v>
      </c>
      <c r="BG7" s="16">
        <f t="shared" si="14"/>
        <v>-0.15334115197328424</v>
      </c>
      <c r="BH7" s="16"/>
      <c r="BJ7" s="50"/>
      <c r="BK7" s="50"/>
      <c r="BL7" s="50"/>
      <c r="BM7" s="50"/>
      <c r="BN7" s="50"/>
      <c r="BP7" s="50"/>
      <c r="BQ7" s="50"/>
      <c r="BR7" s="50"/>
      <c r="BS7" s="50"/>
      <c r="BT7" s="50"/>
      <c r="BV7" s="58">
        <f t="shared" si="16"/>
        <v>8107041</v>
      </c>
      <c r="BW7" s="58">
        <f t="shared" si="15"/>
        <v>253345.03125</v>
      </c>
      <c r="BX7" s="58">
        <f t="shared" si="15"/>
        <v>28012.3125</v>
      </c>
      <c r="BY7" s="58">
        <f t="shared" si="15"/>
        <v>5017272</v>
      </c>
      <c r="BZ7" s="58">
        <f t="shared" si="15"/>
        <v>182312</v>
      </c>
      <c r="CA7" s="58">
        <f t="shared" si="15"/>
        <v>48740</v>
      </c>
      <c r="CB7" s="58">
        <f t="shared" si="15"/>
        <v>4846544</v>
      </c>
      <c r="CC7" s="58">
        <f t="shared" si="15"/>
        <v>-1.4189909999999912</v>
      </c>
      <c r="CD7" s="58">
        <f t="shared" si="15"/>
        <v>-1.9814689999999899</v>
      </c>
      <c r="CE7" s="58">
        <f t="shared" si="15"/>
        <v>0.20774999999999721</v>
      </c>
      <c r="CF7" s="58">
        <f t="shared" si="15"/>
        <v>-1.0441439999999957</v>
      </c>
      <c r="CG7" s="58">
        <f t="shared" si="15"/>
        <v>-1.1011000000000024</v>
      </c>
      <c r="CJ7" t="s">
        <v>233</v>
      </c>
    </row>
    <row r="8" spans="1:88" outlineLevel="1" x14ac:dyDescent="0.2">
      <c r="A8" s="17"/>
      <c r="B8" s="17" t="s">
        <v>51</v>
      </c>
      <c r="C8" s="18" t="s">
        <v>236</v>
      </c>
      <c r="D8" s="17">
        <v>238146391</v>
      </c>
      <c r="E8" s="18">
        <v>10</v>
      </c>
      <c r="F8" s="18">
        <v>32</v>
      </c>
      <c r="G8" s="18">
        <v>30</v>
      </c>
      <c r="I8" s="19">
        <f t="shared" si="0"/>
        <v>9.4412924999999994</v>
      </c>
      <c r="J8" s="20">
        <f t="shared" si="1"/>
        <v>4.2287905173419155E-2</v>
      </c>
      <c r="K8" s="20">
        <f t="shared" si="2"/>
        <v>1.2784640519704538E-2</v>
      </c>
      <c r="L8" s="20">
        <f t="shared" si="3"/>
        <v>1.0100745133693839E-2</v>
      </c>
      <c r="M8" s="20">
        <f t="shared" si="4"/>
        <v>2.9503264653714615E-2</v>
      </c>
      <c r="N8" s="17">
        <f t="shared" si="5"/>
        <v>3044616</v>
      </c>
      <c r="O8" s="20">
        <v>16</v>
      </c>
      <c r="P8" s="21">
        <v>25797809</v>
      </c>
      <c r="Q8" s="21">
        <v>806181.53125</v>
      </c>
      <c r="R8" s="21">
        <v>24199.8125</v>
      </c>
      <c r="S8" s="22">
        <v>10070712</v>
      </c>
      <c r="T8" s="22">
        <v>2405456</v>
      </c>
      <c r="U8" s="22">
        <v>639160</v>
      </c>
      <c r="V8" s="22">
        <v>7026096</v>
      </c>
      <c r="W8" s="23">
        <v>70.836841000000007</v>
      </c>
      <c r="X8" s="23">
        <v>73.406981000000002</v>
      </c>
      <c r="Y8" s="23">
        <v>39.525216</v>
      </c>
      <c r="Z8" s="23">
        <v>47.905425000000001</v>
      </c>
      <c r="AA8" s="23">
        <v>47.942124999999997</v>
      </c>
      <c r="AB8" s="24">
        <v>4080.27</v>
      </c>
      <c r="AC8" s="24">
        <v>1545.72</v>
      </c>
      <c r="AD8" s="24">
        <v>70.674000000000007</v>
      </c>
      <c r="AE8" s="24">
        <v>23.140999999999998</v>
      </c>
      <c r="AG8" s="19">
        <f t="shared" si="6"/>
        <v>17.146184999999999</v>
      </c>
      <c r="AH8" s="20">
        <f t="shared" si="7"/>
        <v>7.6798409260797909E-2</v>
      </c>
      <c r="AI8" s="20">
        <f t="shared" si="8"/>
        <v>1.5756770380786496E-2</v>
      </c>
      <c r="AJ8" s="20">
        <f t="shared" si="9"/>
        <v>1.1152132051415383E-2</v>
      </c>
      <c r="AK8" s="20">
        <f t="shared" si="10"/>
        <v>6.3011057765725284E-2</v>
      </c>
      <c r="AL8" s="17">
        <f t="shared" si="11"/>
        <v>3752418</v>
      </c>
      <c r="AM8" s="20">
        <v>16</v>
      </c>
      <c r="AN8" s="21">
        <v>28341550</v>
      </c>
      <c r="AO8" s="21">
        <v>885673.4375</v>
      </c>
      <c r="AP8" s="21">
        <v>45359.0625</v>
      </c>
      <c r="AQ8" s="22">
        <v>18289264</v>
      </c>
      <c r="AR8" s="22">
        <v>2655840</v>
      </c>
      <c r="AS8" s="22">
        <v>1096578</v>
      </c>
      <c r="AT8" s="22">
        <v>15005856</v>
      </c>
      <c r="AU8" s="23">
        <v>69.856153000000006</v>
      </c>
      <c r="AV8" s="23">
        <v>72.234369000000001</v>
      </c>
      <c r="AW8" s="23">
        <v>39.815888000000001</v>
      </c>
      <c r="AX8" s="23">
        <v>47.126550000000002</v>
      </c>
      <c r="AY8" s="23">
        <v>47.132961999999999</v>
      </c>
      <c r="AZ8" s="24">
        <v>3323.71</v>
      </c>
      <c r="BA8" s="24">
        <v>898.17399999999998</v>
      </c>
      <c r="BB8" s="24">
        <v>73.564999999999998</v>
      </c>
      <c r="BC8" s="24">
        <v>18.225000000000001</v>
      </c>
      <c r="BE8" s="49">
        <f t="shared" si="12"/>
        <v>1.2324766078874969</v>
      </c>
      <c r="BF8" s="25">
        <f t="shared" si="13"/>
        <v>2.1196386197975765E-2</v>
      </c>
      <c r="BG8" s="25">
        <f t="shared" si="14"/>
        <v>-9.7153277243912289E-2</v>
      </c>
      <c r="BH8" s="25"/>
      <c r="BJ8" s="49"/>
      <c r="BK8" s="49"/>
      <c r="BL8" s="49"/>
      <c r="BM8" s="49"/>
      <c r="BN8" s="49"/>
      <c r="BP8" s="49"/>
      <c r="BQ8" s="49"/>
      <c r="BR8" s="49"/>
      <c r="BS8" s="49"/>
      <c r="BT8" s="49"/>
      <c r="BV8" s="58">
        <f t="shared" si="16"/>
        <v>2543741</v>
      </c>
      <c r="BW8" s="58">
        <f t="shared" si="15"/>
        <v>79491.90625</v>
      </c>
      <c r="BX8" s="58">
        <f t="shared" si="15"/>
        <v>21159.25</v>
      </c>
      <c r="BY8" s="58">
        <f t="shared" si="15"/>
        <v>8218552</v>
      </c>
      <c r="BZ8" s="58">
        <f t="shared" si="15"/>
        <v>250384</v>
      </c>
      <c r="CA8" s="58">
        <f t="shared" si="15"/>
        <v>457418</v>
      </c>
      <c r="CB8" s="58">
        <f t="shared" si="15"/>
        <v>7979760</v>
      </c>
      <c r="CC8" s="58">
        <f t="shared" si="15"/>
        <v>-0.98068800000000067</v>
      </c>
      <c r="CD8" s="58">
        <f t="shared" si="15"/>
        <v>-1.1726120000000009</v>
      </c>
      <c r="CE8" s="58">
        <f t="shared" si="15"/>
        <v>0.29067200000000071</v>
      </c>
      <c r="CF8" s="58">
        <f t="shared" si="15"/>
        <v>-0.77887499999999932</v>
      </c>
      <c r="CG8" s="58">
        <f t="shared" si="15"/>
        <v>-0.80916299999999808</v>
      </c>
      <c r="CJ8" t="s">
        <v>233</v>
      </c>
    </row>
    <row r="9" spans="1:88" ht="16" outlineLevel="1" thickBot="1" x14ac:dyDescent="0.25">
      <c r="A9" s="52"/>
      <c r="B9" s="26" t="s">
        <v>51</v>
      </c>
      <c r="C9" s="27" t="s">
        <v>237</v>
      </c>
      <c r="D9" s="26">
        <v>238146391</v>
      </c>
      <c r="E9" s="27">
        <v>10</v>
      </c>
      <c r="F9" s="27">
        <v>32</v>
      </c>
      <c r="G9" s="27">
        <v>30</v>
      </c>
      <c r="I9" s="28">
        <f t="shared" si="0"/>
        <v>16.818832499999999</v>
      </c>
      <c r="J9" s="29">
        <f t="shared" si="1"/>
        <v>7.5332185067629259E-2</v>
      </c>
      <c r="K9" s="29">
        <f t="shared" si="2"/>
        <v>2.068986214449918E-2</v>
      </c>
      <c r="L9" s="29">
        <f t="shared" si="3"/>
        <v>1.5547781280464586E-2</v>
      </c>
      <c r="M9" s="29">
        <f t="shared" si="4"/>
        <v>5.4642322923130086E-2</v>
      </c>
      <c r="N9" s="26">
        <f t="shared" si="5"/>
        <v>4927216</v>
      </c>
      <c r="O9" s="29">
        <v>16</v>
      </c>
      <c r="P9" s="30">
        <v>24868389</v>
      </c>
      <c r="Q9" s="30">
        <v>777137.15625</v>
      </c>
      <c r="R9" s="30">
        <v>10635.96875</v>
      </c>
      <c r="S9" s="31">
        <v>17940088</v>
      </c>
      <c r="T9" s="31">
        <v>3702648</v>
      </c>
      <c r="U9" s="31">
        <v>1224568</v>
      </c>
      <c r="V9" s="31">
        <v>13012872</v>
      </c>
      <c r="W9" s="32">
        <v>71.945244000000002</v>
      </c>
      <c r="X9" s="32">
        <v>75.319241000000005</v>
      </c>
      <c r="Y9" s="32">
        <v>42.127887000000001</v>
      </c>
      <c r="Z9" s="32">
        <v>49.411659</v>
      </c>
      <c r="AA9" s="32">
        <v>49.554577999999999</v>
      </c>
      <c r="AB9" s="33">
        <v>3598.79</v>
      </c>
      <c r="AC9" s="33">
        <v>1328.79</v>
      </c>
      <c r="AD9" s="33">
        <v>62.445999999999998</v>
      </c>
      <c r="AE9" s="33">
        <v>17.969000000000001</v>
      </c>
      <c r="AG9" s="28">
        <f t="shared" si="6"/>
        <v>31.306785000000001</v>
      </c>
      <c r="AH9" s="29">
        <f t="shared" si="7"/>
        <v>0.14022427070918744</v>
      </c>
      <c r="AI9" s="29">
        <f t="shared" si="8"/>
        <v>2.6135189258442298E-2</v>
      </c>
      <c r="AJ9" s="29">
        <f t="shared" si="9"/>
        <v>1.7103160719324106E-2</v>
      </c>
      <c r="AK9" s="29">
        <f t="shared" si="10"/>
        <v>0.11802770506818221</v>
      </c>
      <c r="AL9" s="26">
        <f t="shared" si="11"/>
        <v>6224001</v>
      </c>
      <c r="AM9" s="29">
        <v>16</v>
      </c>
      <c r="AN9" s="30">
        <v>25145265</v>
      </c>
      <c r="AO9" s="30">
        <v>785789.53125</v>
      </c>
      <c r="AP9" s="30">
        <v>19527.53125</v>
      </c>
      <c r="AQ9" s="31">
        <v>33393904</v>
      </c>
      <c r="AR9" s="31">
        <v>4073056</v>
      </c>
      <c r="AS9" s="31">
        <v>2150945</v>
      </c>
      <c r="AT9" s="31">
        <v>28107872</v>
      </c>
      <c r="AU9" s="32">
        <v>71.242943999999994</v>
      </c>
      <c r="AV9" s="32">
        <v>74.277056000000002</v>
      </c>
      <c r="AW9" s="32">
        <v>42.318418999999999</v>
      </c>
      <c r="AX9" s="32">
        <v>48.764586999999999</v>
      </c>
      <c r="AY9" s="32">
        <v>48.827697000000001</v>
      </c>
      <c r="AZ9" s="33">
        <v>3930.58</v>
      </c>
      <c r="BA9" s="33">
        <v>1263.73</v>
      </c>
      <c r="BB9" s="33">
        <v>71.811000000000007</v>
      </c>
      <c r="BC9" s="33">
        <v>26.103000000000002</v>
      </c>
      <c r="BE9" s="34">
        <f t="shared" si="12"/>
        <v>1.2631881776646283</v>
      </c>
      <c r="BF9" s="35">
        <f t="shared" si="13"/>
        <v>1.1164752101701725E-2</v>
      </c>
      <c r="BG9" s="35">
        <f t="shared" si="14"/>
        <v>-8.8267021360742742E-2</v>
      </c>
      <c r="BH9" s="35"/>
      <c r="BJ9" s="34"/>
      <c r="BK9" s="34"/>
      <c r="BL9" s="34"/>
      <c r="BM9" s="34"/>
      <c r="BN9" s="34"/>
      <c r="BP9" s="34"/>
      <c r="BQ9" s="34"/>
      <c r="BR9" s="34"/>
      <c r="BS9" s="34"/>
      <c r="BT9" s="34"/>
      <c r="BV9" s="58">
        <f t="shared" si="16"/>
        <v>276876</v>
      </c>
      <c r="BW9" s="58">
        <f t="shared" si="15"/>
        <v>8652.375</v>
      </c>
      <c r="BX9" s="58">
        <f t="shared" si="15"/>
        <v>8891.5625</v>
      </c>
      <c r="BY9" s="58">
        <f t="shared" si="15"/>
        <v>15453816</v>
      </c>
      <c r="BZ9" s="58">
        <f t="shared" si="15"/>
        <v>370408</v>
      </c>
      <c r="CA9" s="58">
        <f t="shared" si="15"/>
        <v>926377</v>
      </c>
      <c r="CB9" s="58">
        <f t="shared" si="15"/>
        <v>15095000</v>
      </c>
      <c r="CC9" s="58">
        <f t="shared" si="15"/>
        <v>-0.70230000000000814</v>
      </c>
      <c r="CD9" s="58">
        <f t="shared" si="15"/>
        <v>-1.0421850000000035</v>
      </c>
      <c r="CE9" s="58">
        <f t="shared" si="15"/>
        <v>0.19053199999999748</v>
      </c>
      <c r="CF9" s="58">
        <f t="shared" si="15"/>
        <v>-0.64707200000000142</v>
      </c>
      <c r="CG9" s="58">
        <f t="shared" si="15"/>
        <v>-0.72688099999999878</v>
      </c>
      <c r="CJ9" t="s">
        <v>233</v>
      </c>
    </row>
    <row r="10" spans="1:88" x14ac:dyDescent="0.2">
      <c r="A10" s="17"/>
      <c r="B10" s="17" t="s">
        <v>59</v>
      </c>
      <c r="C10" s="18" t="s">
        <v>232</v>
      </c>
      <c r="D10" s="17">
        <v>218121242</v>
      </c>
      <c r="E10" s="18">
        <v>10</v>
      </c>
      <c r="F10" s="18">
        <v>32</v>
      </c>
      <c r="G10" s="18">
        <v>30</v>
      </c>
      <c r="I10" s="19">
        <f t="shared" si="0"/>
        <v>3.2118150000000001</v>
      </c>
      <c r="J10" s="20">
        <f t="shared" si="1"/>
        <v>1.5706567451142607E-2</v>
      </c>
      <c r="K10" s="20">
        <f t="shared" si="2"/>
        <v>8.1856126603203558E-3</v>
      </c>
      <c r="L10" s="20">
        <f t="shared" si="3"/>
        <v>4.2806284772576161E-3</v>
      </c>
      <c r="M10" s="20">
        <f t="shared" si="4"/>
        <v>7.520954790822253E-3</v>
      </c>
      <c r="N10" s="17">
        <f t="shared" si="5"/>
        <v>1785456</v>
      </c>
      <c r="O10" s="20">
        <v>16</v>
      </c>
      <c r="P10" s="21">
        <v>20666971</v>
      </c>
      <c r="Q10" s="21">
        <v>645842.84375</v>
      </c>
      <c r="R10" s="21">
        <v>18163.46875</v>
      </c>
      <c r="S10" s="22">
        <v>3425936</v>
      </c>
      <c r="T10" s="22">
        <v>933696</v>
      </c>
      <c r="U10" s="22">
        <v>851760</v>
      </c>
      <c r="V10" s="22">
        <v>1640480</v>
      </c>
      <c r="W10" s="23">
        <v>65.904411999999994</v>
      </c>
      <c r="X10" s="23">
        <v>67.822759000000005</v>
      </c>
      <c r="Y10" s="23">
        <v>32.386865999999998</v>
      </c>
      <c r="Z10" s="23">
        <v>39.175778000000001</v>
      </c>
      <c r="AA10" s="23">
        <v>32.086630999999997</v>
      </c>
      <c r="AB10" s="24">
        <v>3521.37</v>
      </c>
      <c r="AC10" s="24">
        <v>1088.5899999999999</v>
      </c>
      <c r="AD10" s="24">
        <v>54.136000000000003</v>
      </c>
      <c r="AE10" s="24">
        <v>15.983000000000001</v>
      </c>
      <c r="AG10" s="19">
        <f t="shared" si="6"/>
        <v>5.8376774999999999</v>
      </c>
      <c r="AH10" s="20">
        <f t="shared" si="7"/>
        <v>2.8547682669072642E-2</v>
      </c>
      <c r="AI10" s="20">
        <f t="shared" si="8"/>
        <v>6.7131655155347044E-3</v>
      </c>
      <c r="AJ10" s="20">
        <f t="shared" si="9"/>
        <v>4.6644150320765184E-3</v>
      </c>
      <c r="AK10" s="20">
        <f t="shared" si="10"/>
        <v>2.0127814969988115E-2</v>
      </c>
      <c r="AL10" s="17">
        <f t="shared" si="11"/>
        <v>1464284</v>
      </c>
      <c r="AM10" s="20">
        <v>16</v>
      </c>
      <c r="AN10" s="21">
        <v>32784516</v>
      </c>
      <c r="AO10" s="21">
        <v>1024516.125</v>
      </c>
      <c r="AP10" s="21">
        <v>54401.875</v>
      </c>
      <c r="AQ10" s="22">
        <v>6226856</v>
      </c>
      <c r="AR10" s="22">
        <v>1017408</v>
      </c>
      <c r="AS10" s="22">
        <v>446876</v>
      </c>
      <c r="AT10" s="22">
        <v>4390304</v>
      </c>
      <c r="AU10" s="23">
        <v>65.484384000000006</v>
      </c>
      <c r="AV10" s="23">
        <v>66.803544000000002</v>
      </c>
      <c r="AW10" s="23">
        <v>32.358547000000002</v>
      </c>
      <c r="AX10" s="23">
        <v>38.518802999999998</v>
      </c>
      <c r="AY10" s="23">
        <v>32.062994000000003</v>
      </c>
      <c r="AZ10" s="24">
        <v>3369.59</v>
      </c>
      <c r="BA10" s="24">
        <v>870.87</v>
      </c>
      <c r="BB10" s="24">
        <v>82.564999999999998</v>
      </c>
      <c r="BC10" s="24">
        <v>17.486999999999998</v>
      </c>
      <c r="BE10" s="49">
        <f t="shared" si="12"/>
        <v>0.82011766181860535</v>
      </c>
      <c r="BF10" s="25">
        <f t="shared" si="13"/>
        <v>2.4976400615558329E-2</v>
      </c>
      <c r="BG10" s="25">
        <f t="shared" si="14"/>
        <v>-0.2860023643049322</v>
      </c>
      <c r="BH10" s="25">
        <f t="array" ref="BH10">AVERAGE(AL10:AL14/AQ10:AQ14) - AVERAGE(N10:N14/S10:S14)</f>
        <v>-0.16670699071942086</v>
      </c>
      <c r="BJ10" s="49">
        <f>IF( OR(ISBLANK(N10:N14),ISBLANK(AL10:AL14), ISBLANK(W10:W14),ISBLANK(AU10:AU14)), "·", bdRateExtend( N10:N14,W10:W14, AL10:AL14,AU10:AU14))</f>
        <v>0.36526672242667879</v>
      </c>
      <c r="BK10" s="49">
        <f>IF( OR(ISBLANK(N10:N14),ISBLANK(AL10:AL14), ISBLANK(X10:X14),ISBLANK(AV10:AV14)), "·", bdRateExtend( N10:N14,X10:X14, AL10:AL14,AV10:AV14))</f>
        <v>0.4525241388340282</v>
      </c>
      <c r="BL10" s="49">
        <f>IF( OR(ISBLANK(V10:V14),ISBLANK(AT10:AT14), ISBLANK(Y10:Y14),ISBLANK(AW10:AW14)), "·", bdRateExtend( V10:V14,Y10:Y14, AT10:AT14,AW10:AW14))</f>
        <v>1.1618437387589156</v>
      </c>
      <c r="BM10" s="49">
        <f>IF( OR(ISBLANK(V10:V14),ISBLANK(AT10:AT14), ISBLANK(Z10:Z14),ISBLANK(AX10:AX14)), "·", bdRateExtend( V10:V14,Z10:Z14, AT10:AT14,AX10:AX14))</f>
        <v>1.6252479243995617</v>
      </c>
      <c r="BN10" s="49">
        <f>IF( OR(ISBLANK(V10:V14),ISBLANK(AT10:AT14), ISBLANK(AA10:AA14),ISBLANK(AY10:AY14)), "·", bdRateExtend( V10:V14,AA10:AA14, AT10:AT14,AY10:AY14))</f>
        <v>1.3029995691528495</v>
      </c>
      <c r="BP10" s="49">
        <f>IF( OR(ISBLANK(S10:S14),ISBLANK(AQ10:AQ14), ISBLANK(W10:W14),ISBLANK(AU10:AU14)), "·", bdRateExtend( S10:S14,W10:W14, AQ10:AQ14,AU10:AU14))</f>
        <v>1.6001813506443878</v>
      </c>
      <c r="BQ10" s="49">
        <f>IF( OR(ISBLANK(S10:S14),ISBLANK(AQ10:AQ14), ISBLANK(X10:X14),ISBLANK(AV10:AV14)), "·", bdRateExtend( S10:S14,X10:X14, AQ10:AQ14,AV10:AV14))</f>
        <v>1.747471696092048</v>
      </c>
      <c r="BR10" s="49">
        <f>IF( OR(ISBLANK(S10:S14),ISBLANK(AQ10:AQ14), ISBLANK(Y10:Y14),ISBLANK(AW10:AW14)), "·", bdRateExtend( S10:S14,Y10:Y14, AQ10:AQ14,AW10:AW14))</f>
        <v>0.73221496856185486</v>
      </c>
      <c r="BS10" s="49">
        <f>IF( OR(ISBLANK(S10:S14),ISBLANK(AQ10:AQ14), ISBLANK(Z10:Z14),ISBLANK(AX10:AX14)), "·", bdRateExtend( S10:S14,Z10:Z14, AQ10:AQ14,AX10:AX14))</f>
        <v>1.0713145331500988</v>
      </c>
      <c r="BT10" s="49">
        <f>IF( OR(ISBLANK(S10:S14),ISBLANK(AQ10:AQ14), ISBLANK(AA10:AA14),ISBLANK(AY10:AY14)), "·", bdRateExtend( S10:S14,AA10:AA14, AQ10:AQ14,AY10:AY14))</f>
        <v>0.82693359468411587</v>
      </c>
      <c r="BV10" s="58">
        <f t="shared" si="16"/>
        <v>12117545</v>
      </c>
      <c r="BW10" s="58">
        <f t="shared" si="15"/>
        <v>378673.28125</v>
      </c>
      <c r="BX10" s="58">
        <f t="shared" si="15"/>
        <v>36238.40625</v>
      </c>
      <c r="BY10" s="58">
        <f t="shared" si="15"/>
        <v>2800920</v>
      </c>
      <c r="BZ10" s="58">
        <f t="shared" si="15"/>
        <v>83712</v>
      </c>
      <c r="CA10" s="58">
        <f t="shared" si="15"/>
        <v>-404884</v>
      </c>
      <c r="CB10" s="58">
        <f t="shared" si="15"/>
        <v>2749824</v>
      </c>
      <c r="CC10" s="58">
        <f t="shared" si="15"/>
        <v>-0.42002799999998786</v>
      </c>
      <c r="CD10" s="58">
        <f t="shared" si="15"/>
        <v>-1.0192150000000026</v>
      </c>
      <c r="CE10" s="58">
        <f t="shared" si="15"/>
        <v>-2.8318999999996208E-2</v>
      </c>
      <c r="CF10" s="58">
        <f t="shared" si="15"/>
        <v>-0.65697500000000275</v>
      </c>
      <c r="CG10" s="58">
        <f t="shared" si="15"/>
        <v>-2.3636999999993691E-2</v>
      </c>
      <c r="CJ10" t="s">
        <v>238</v>
      </c>
    </row>
    <row r="11" spans="1:88" outlineLevel="1" x14ac:dyDescent="0.2">
      <c r="A11" s="52"/>
      <c r="B11" s="52" t="s">
        <v>59</v>
      </c>
      <c r="C11" s="9" t="s">
        <v>234</v>
      </c>
      <c r="D11" s="52">
        <v>218121242</v>
      </c>
      <c r="E11" s="9">
        <v>10</v>
      </c>
      <c r="F11" s="9">
        <v>32</v>
      </c>
      <c r="G11" s="9">
        <v>30</v>
      </c>
      <c r="I11" s="10">
        <f t="shared" si="0"/>
        <v>4.6275075000000001</v>
      </c>
      <c r="J11" s="11">
        <f t="shared" si="1"/>
        <v>2.2629652915693556E-2</v>
      </c>
      <c r="K11" s="11">
        <f t="shared" si="2"/>
        <v>9.9355385111918621E-3</v>
      </c>
      <c r="L11" s="11">
        <f t="shared" si="3"/>
        <v>6.0305543281291233E-3</v>
      </c>
      <c r="M11" s="11">
        <f t="shared" si="4"/>
        <v>1.2694114404501694E-2</v>
      </c>
      <c r="N11" s="52">
        <f t="shared" si="5"/>
        <v>2167152</v>
      </c>
      <c r="O11" s="11">
        <v>16</v>
      </c>
      <c r="P11" s="12">
        <v>22097663</v>
      </c>
      <c r="Q11" s="12">
        <v>690551.96875</v>
      </c>
      <c r="R11" s="12">
        <v>22957.28125</v>
      </c>
      <c r="S11" s="13">
        <v>4936008</v>
      </c>
      <c r="T11" s="13">
        <v>1315392</v>
      </c>
      <c r="U11" s="13">
        <v>851760</v>
      </c>
      <c r="V11" s="13">
        <v>2768856</v>
      </c>
      <c r="W11" s="14">
        <v>67.607918999999995</v>
      </c>
      <c r="X11" s="14">
        <v>69.699944000000002</v>
      </c>
      <c r="Y11" s="14">
        <v>34.247959000000002</v>
      </c>
      <c r="Z11" s="14">
        <v>40.027191000000002</v>
      </c>
      <c r="AA11" s="14">
        <v>33.861477999999998</v>
      </c>
      <c r="AB11" s="15">
        <v>4191.76</v>
      </c>
      <c r="AC11" s="15">
        <v>1465.99</v>
      </c>
      <c r="AD11" s="15">
        <v>60.981000000000002</v>
      </c>
      <c r="AE11" s="15">
        <v>21.838999999999999</v>
      </c>
      <c r="AG11" s="10">
        <f t="shared" si="6"/>
        <v>8.5485000000000007</v>
      </c>
      <c r="AH11" s="11">
        <f t="shared" si="7"/>
        <v>4.1804273239925895E-2</v>
      </c>
      <c r="AI11" s="11">
        <f t="shared" si="8"/>
        <v>9.3795541472297319E-3</v>
      </c>
      <c r="AJ11" s="11">
        <f t="shared" si="9"/>
        <v>6.5486515063947785E-3</v>
      </c>
      <c r="AK11" s="11">
        <f t="shared" si="10"/>
        <v>3.1500169066523101E-2</v>
      </c>
      <c r="AL11" s="52">
        <f t="shared" si="11"/>
        <v>2045880</v>
      </c>
      <c r="AM11" s="11">
        <v>16</v>
      </c>
      <c r="AN11" s="12">
        <v>31758336</v>
      </c>
      <c r="AO11" s="12">
        <v>992448</v>
      </c>
      <c r="AP11" s="12">
        <v>55607.5</v>
      </c>
      <c r="AQ11" s="13">
        <v>9118400</v>
      </c>
      <c r="AR11" s="13">
        <v>1428400</v>
      </c>
      <c r="AS11" s="13">
        <v>617480</v>
      </c>
      <c r="AT11" s="13">
        <v>6870856</v>
      </c>
      <c r="AU11" s="14">
        <v>66.709016000000005</v>
      </c>
      <c r="AV11" s="14">
        <v>68.297258999999997</v>
      </c>
      <c r="AW11" s="14">
        <v>34.366784000000003</v>
      </c>
      <c r="AX11" s="14">
        <v>39.606999999999999</v>
      </c>
      <c r="AY11" s="14">
        <v>33.870469</v>
      </c>
      <c r="AZ11" s="15">
        <v>3272.46</v>
      </c>
      <c r="BA11" s="15">
        <v>863.52</v>
      </c>
      <c r="BB11" s="15">
        <v>78.143000000000001</v>
      </c>
      <c r="BC11" s="15">
        <v>17.167999999999999</v>
      </c>
      <c r="BE11" s="50">
        <f t="shared" si="12"/>
        <v>0.94404084254357801</v>
      </c>
      <c r="BF11" s="16">
        <f t="shared" si="13"/>
        <v>2.2785815674194271E-2</v>
      </c>
      <c r="BG11" s="16">
        <f t="shared" si="14"/>
        <v>-0.21468122129439518</v>
      </c>
      <c r="BH11" s="16"/>
      <c r="BJ11" s="50"/>
      <c r="BK11" s="50"/>
      <c r="BL11" s="50"/>
      <c r="BM11" s="50"/>
      <c r="BN11" s="50"/>
      <c r="BP11" s="50"/>
      <c r="BQ11" s="50"/>
      <c r="BR11" s="50"/>
      <c r="BS11" s="50"/>
      <c r="BT11" s="50"/>
      <c r="BV11" s="58">
        <f t="shared" si="16"/>
        <v>9660673</v>
      </c>
      <c r="BW11" s="58">
        <f t="shared" si="15"/>
        <v>301896.03125</v>
      </c>
      <c r="BX11" s="58">
        <f t="shared" si="15"/>
        <v>32650.21875</v>
      </c>
      <c r="BY11" s="58">
        <f t="shared" si="15"/>
        <v>4182392</v>
      </c>
      <c r="BZ11" s="58">
        <f t="shared" si="15"/>
        <v>113008</v>
      </c>
      <c r="CA11" s="58">
        <f t="shared" si="15"/>
        <v>-234280</v>
      </c>
      <c r="CB11" s="58">
        <f t="shared" si="15"/>
        <v>4102000</v>
      </c>
      <c r="CC11" s="58">
        <f t="shared" si="15"/>
        <v>-0.89890299999999002</v>
      </c>
      <c r="CD11" s="58">
        <f t="shared" si="15"/>
        <v>-1.4026850000000053</v>
      </c>
      <c r="CE11" s="58">
        <f t="shared" si="15"/>
        <v>0.11882500000000107</v>
      </c>
      <c r="CF11" s="58">
        <f t="shared" si="15"/>
        <v>-0.42019100000000265</v>
      </c>
      <c r="CG11" s="58">
        <f t="shared" si="15"/>
        <v>8.9910000000017476E-3</v>
      </c>
      <c r="CJ11" t="s">
        <v>238</v>
      </c>
    </row>
    <row r="12" spans="1:88" outlineLevel="1" x14ac:dyDescent="0.2">
      <c r="A12" s="17"/>
      <c r="B12" s="17" t="s">
        <v>59</v>
      </c>
      <c r="C12" s="18" t="s">
        <v>235</v>
      </c>
      <c r="D12" s="17">
        <v>218121242</v>
      </c>
      <c r="E12" s="18">
        <v>10</v>
      </c>
      <c r="F12" s="18">
        <v>32</v>
      </c>
      <c r="G12" s="18">
        <v>30</v>
      </c>
      <c r="I12" s="19">
        <f t="shared" si="0"/>
        <v>7.1472224999999998</v>
      </c>
      <c r="J12" s="20">
        <f t="shared" si="1"/>
        <v>3.495168068041718E-2</v>
      </c>
      <c r="K12" s="20">
        <f t="shared" si="2"/>
        <v>1.2619110246951556E-2</v>
      </c>
      <c r="L12" s="20">
        <f t="shared" si="3"/>
        <v>8.714126063888817E-3</v>
      </c>
      <c r="M12" s="20">
        <f t="shared" si="4"/>
        <v>2.2332570433465624E-2</v>
      </c>
      <c r="N12" s="17">
        <f t="shared" si="5"/>
        <v>2752496</v>
      </c>
      <c r="O12" s="20">
        <v>16</v>
      </c>
      <c r="P12" s="21">
        <v>22510846</v>
      </c>
      <c r="Q12" s="21">
        <v>703463.9375</v>
      </c>
      <c r="R12" s="21">
        <v>24709.6875</v>
      </c>
      <c r="S12" s="22">
        <v>7623704</v>
      </c>
      <c r="T12" s="22">
        <v>1900736</v>
      </c>
      <c r="U12" s="22">
        <v>851760</v>
      </c>
      <c r="V12" s="22">
        <v>4871208</v>
      </c>
      <c r="W12" s="23">
        <v>68.956063</v>
      </c>
      <c r="X12" s="23">
        <v>71.331965999999994</v>
      </c>
      <c r="Y12" s="23">
        <v>36.351883999999998</v>
      </c>
      <c r="Z12" s="23">
        <v>40.928597000000003</v>
      </c>
      <c r="AA12" s="23">
        <v>35.641469000000001</v>
      </c>
      <c r="AB12" s="24">
        <v>3390.44</v>
      </c>
      <c r="AC12" s="24">
        <v>1110.17</v>
      </c>
      <c r="AD12" s="24">
        <v>54.74</v>
      </c>
      <c r="AE12" s="24">
        <v>16.425999999999998</v>
      </c>
      <c r="AG12" s="19">
        <f t="shared" si="6"/>
        <v>13.1294775</v>
      </c>
      <c r="AH12" s="20">
        <f t="shared" si="7"/>
        <v>6.4206382980342647E-2</v>
      </c>
      <c r="AI12" s="20">
        <f t="shared" si="8"/>
        <v>1.3638162760874064E-2</v>
      </c>
      <c r="AJ12" s="20">
        <f t="shared" si="9"/>
        <v>9.5534757683068752E-3</v>
      </c>
      <c r="AK12" s="20">
        <f t="shared" si="10"/>
        <v>5.0897454545027761E-2</v>
      </c>
      <c r="AL12" s="17">
        <f t="shared" si="11"/>
        <v>2974773</v>
      </c>
      <c r="AM12" s="20">
        <v>16</v>
      </c>
      <c r="AN12" s="21">
        <v>29967749</v>
      </c>
      <c r="AO12" s="21">
        <v>936492.15625</v>
      </c>
      <c r="AP12" s="21">
        <v>54875.09375</v>
      </c>
      <c r="AQ12" s="22">
        <v>14004776</v>
      </c>
      <c r="AR12" s="22">
        <v>2083816</v>
      </c>
      <c r="AS12" s="22">
        <v>890957</v>
      </c>
      <c r="AT12" s="22">
        <v>11101816</v>
      </c>
      <c r="AU12" s="23">
        <v>67.774488000000005</v>
      </c>
      <c r="AV12" s="23">
        <v>69.638816000000006</v>
      </c>
      <c r="AW12" s="23">
        <v>36.601044000000002</v>
      </c>
      <c r="AX12" s="23">
        <v>40.630521999999999</v>
      </c>
      <c r="AY12" s="23">
        <v>35.679752999999998</v>
      </c>
      <c r="AZ12" s="24">
        <v>3549.33</v>
      </c>
      <c r="BA12" s="24">
        <v>951.96</v>
      </c>
      <c r="BB12" s="24">
        <v>76.269000000000005</v>
      </c>
      <c r="BC12" s="24">
        <v>19.664999999999999</v>
      </c>
      <c r="BE12" s="49">
        <f t="shared" si="12"/>
        <v>1.0807547040940295</v>
      </c>
      <c r="BF12" s="25">
        <f t="shared" si="13"/>
        <v>2.3470691943482704E-2</v>
      </c>
      <c r="BG12" s="25">
        <f t="shared" si="14"/>
        <v>-0.14863312457716585</v>
      </c>
      <c r="BH12" s="25"/>
      <c r="BJ12" s="49"/>
      <c r="BK12" s="49"/>
      <c r="BL12" s="49"/>
      <c r="BM12" s="49"/>
      <c r="BN12" s="49"/>
      <c r="BP12" s="49"/>
      <c r="BQ12" s="49"/>
      <c r="BR12" s="49"/>
      <c r="BS12" s="49"/>
      <c r="BT12" s="49"/>
      <c r="BV12" s="58">
        <f t="shared" si="16"/>
        <v>7456903</v>
      </c>
      <c r="BW12" s="58">
        <f t="shared" si="15"/>
        <v>233028.21875</v>
      </c>
      <c r="BX12" s="58">
        <f t="shared" si="15"/>
        <v>30165.40625</v>
      </c>
      <c r="BY12" s="58">
        <f t="shared" si="15"/>
        <v>6381072</v>
      </c>
      <c r="BZ12" s="58">
        <f t="shared" si="15"/>
        <v>183080</v>
      </c>
      <c r="CA12" s="58">
        <f t="shared" si="15"/>
        <v>39197</v>
      </c>
      <c r="CB12" s="58">
        <f t="shared" si="15"/>
        <v>6230608</v>
      </c>
      <c r="CC12" s="58">
        <f t="shared" si="15"/>
        <v>-1.1815749999999952</v>
      </c>
      <c r="CD12" s="58">
        <f t="shared" si="15"/>
        <v>-1.6931499999999886</v>
      </c>
      <c r="CE12" s="58">
        <f t="shared" si="15"/>
        <v>0.24916000000000338</v>
      </c>
      <c r="CF12" s="58">
        <f t="shared" si="15"/>
        <v>-0.29807500000000431</v>
      </c>
      <c r="CG12" s="58">
        <f t="shared" si="15"/>
        <v>3.828399999999732E-2</v>
      </c>
      <c r="CJ12" t="s">
        <v>238</v>
      </c>
    </row>
    <row r="13" spans="1:88" outlineLevel="1" x14ac:dyDescent="0.2">
      <c r="A13" s="52"/>
      <c r="B13" s="52" t="s">
        <v>59</v>
      </c>
      <c r="C13" s="9" t="s">
        <v>236</v>
      </c>
      <c r="D13" s="52">
        <v>218121242</v>
      </c>
      <c r="E13" s="9">
        <v>10</v>
      </c>
      <c r="F13" s="9">
        <v>32</v>
      </c>
      <c r="G13" s="9">
        <v>30</v>
      </c>
      <c r="I13" s="10">
        <f t="shared" si="0"/>
        <v>12.03003</v>
      </c>
      <c r="J13" s="11">
        <f t="shared" si="1"/>
        <v>5.8829813558461216E-2</v>
      </c>
      <c r="K13" s="11">
        <f t="shared" si="2"/>
        <v>1.730054333726928E-2</v>
      </c>
      <c r="L13" s="11">
        <f t="shared" si="3"/>
        <v>1.3395559154206539E-2</v>
      </c>
      <c r="M13" s="11">
        <f t="shared" si="4"/>
        <v>4.152927022119194E-2</v>
      </c>
      <c r="N13" s="52">
        <f t="shared" si="5"/>
        <v>3773616</v>
      </c>
      <c r="O13" s="11">
        <v>16</v>
      </c>
      <c r="P13" s="12">
        <v>23291739</v>
      </c>
      <c r="Q13" s="12">
        <v>727866.84375</v>
      </c>
      <c r="R13" s="12">
        <v>28062.03125</v>
      </c>
      <c r="S13" s="13">
        <v>12832032</v>
      </c>
      <c r="T13" s="13">
        <v>2921856</v>
      </c>
      <c r="U13" s="13">
        <v>851760</v>
      </c>
      <c r="V13" s="13">
        <v>9058416</v>
      </c>
      <c r="W13" s="14">
        <v>70.072275000000005</v>
      </c>
      <c r="X13" s="14">
        <v>72.590205999999995</v>
      </c>
      <c r="Y13" s="14">
        <v>38.665965999999997</v>
      </c>
      <c r="Z13" s="14">
        <v>42.107503000000001</v>
      </c>
      <c r="AA13" s="14">
        <v>37.689275000000002</v>
      </c>
      <c r="AB13" s="15">
        <v>3977.03</v>
      </c>
      <c r="AC13" s="15">
        <v>1399.52</v>
      </c>
      <c r="AD13" s="15">
        <v>62.853000000000002</v>
      </c>
      <c r="AE13" s="15">
        <v>19.303999999999998</v>
      </c>
      <c r="AG13" s="10">
        <f t="shared" si="6"/>
        <v>21.6911475</v>
      </c>
      <c r="AH13" s="11">
        <f t="shared" si="7"/>
        <v>0.10607506076826759</v>
      </c>
      <c r="AI13" s="11">
        <f t="shared" si="8"/>
        <v>2.094210980148371E-2</v>
      </c>
      <c r="AJ13" s="11">
        <f t="shared" si="9"/>
        <v>1.4514899928912013E-2</v>
      </c>
      <c r="AK13" s="11">
        <f t="shared" si="10"/>
        <v>8.7804708172347562E-2</v>
      </c>
      <c r="AL13" s="52">
        <f t="shared" si="11"/>
        <v>4567919</v>
      </c>
      <c r="AM13" s="11">
        <v>16</v>
      </c>
      <c r="AN13" s="12">
        <v>26325238</v>
      </c>
      <c r="AO13" s="12">
        <v>822663.6875</v>
      </c>
      <c r="AP13" s="12">
        <v>49460.28125</v>
      </c>
      <c r="AQ13" s="13">
        <v>23137224</v>
      </c>
      <c r="AR13" s="13">
        <v>3166008</v>
      </c>
      <c r="AS13" s="13">
        <v>1401911</v>
      </c>
      <c r="AT13" s="13">
        <v>19152072</v>
      </c>
      <c r="AU13" s="14">
        <v>69.085547000000005</v>
      </c>
      <c r="AV13" s="14">
        <v>71.353646999999995</v>
      </c>
      <c r="AW13" s="14">
        <v>39.041719000000001</v>
      </c>
      <c r="AX13" s="14">
        <v>41.931047</v>
      </c>
      <c r="AY13" s="14">
        <v>37.738731000000001</v>
      </c>
      <c r="AZ13" s="15">
        <v>3248.43</v>
      </c>
      <c r="BA13" s="15">
        <v>975.73500000000001</v>
      </c>
      <c r="BB13" s="15">
        <v>67.478999999999999</v>
      </c>
      <c r="BC13" s="15">
        <v>19.998000000000001</v>
      </c>
      <c r="BE13" s="50">
        <f t="shared" si="12"/>
        <v>1.2104885605742608</v>
      </c>
      <c r="BF13" s="16">
        <f t="shared" si="13"/>
        <v>2.1568317535538541E-2</v>
      </c>
      <c r="BG13" s="16">
        <f t="shared" si="14"/>
        <v>-9.6650548945168613E-2</v>
      </c>
      <c r="BH13" s="16"/>
      <c r="BJ13" s="50"/>
      <c r="BK13" s="50"/>
      <c r="BL13" s="50"/>
      <c r="BM13" s="50"/>
      <c r="BN13" s="50"/>
      <c r="BP13" s="50"/>
      <c r="BQ13" s="50"/>
      <c r="BR13" s="50"/>
      <c r="BS13" s="50"/>
      <c r="BT13" s="50"/>
      <c r="BV13" s="58">
        <f t="shared" si="16"/>
        <v>3033499</v>
      </c>
      <c r="BW13" s="58">
        <f t="shared" si="15"/>
        <v>94796.84375</v>
      </c>
      <c r="BX13" s="58">
        <f t="shared" si="15"/>
        <v>21398.25</v>
      </c>
      <c r="BY13" s="58">
        <f t="shared" si="15"/>
        <v>10305192</v>
      </c>
      <c r="BZ13" s="58">
        <f t="shared" si="15"/>
        <v>244152</v>
      </c>
      <c r="CA13" s="58">
        <f t="shared" si="15"/>
        <v>550151</v>
      </c>
      <c r="CB13" s="58">
        <f t="shared" si="15"/>
        <v>10093656</v>
      </c>
      <c r="CC13" s="58">
        <f t="shared" si="15"/>
        <v>-0.98672799999999938</v>
      </c>
      <c r="CD13" s="58">
        <f t="shared" si="15"/>
        <v>-1.2365589999999997</v>
      </c>
      <c r="CE13" s="58">
        <f t="shared" si="15"/>
        <v>0.37575300000000311</v>
      </c>
      <c r="CF13" s="58">
        <f t="shared" si="15"/>
        <v>-0.17645600000000172</v>
      </c>
      <c r="CG13" s="58">
        <f t="shared" si="15"/>
        <v>4.9455999999999278E-2</v>
      </c>
      <c r="CJ13" t="s">
        <v>238</v>
      </c>
    </row>
    <row r="14" spans="1:88" ht="16" outlineLevel="1" thickBot="1" x14ac:dyDescent="0.25">
      <c r="A14" s="17"/>
      <c r="B14" s="36" t="s">
        <v>59</v>
      </c>
      <c r="C14" s="37" t="s">
        <v>237</v>
      </c>
      <c r="D14" s="36">
        <v>218121242</v>
      </c>
      <c r="E14" s="37">
        <v>10</v>
      </c>
      <c r="F14" s="37">
        <v>32</v>
      </c>
      <c r="G14" s="37">
        <v>30</v>
      </c>
      <c r="I14" s="38">
        <f t="shared" si="0"/>
        <v>21.587354999999999</v>
      </c>
      <c r="J14" s="39">
        <f t="shared" si="1"/>
        <v>0.10556748984585371</v>
      </c>
      <c r="K14" s="39">
        <f t="shared" si="2"/>
        <v>2.838032620408424E-2</v>
      </c>
      <c r="L14" s="39">
        <f t="shared" si="3"/>
        <v>2.1154363315059429E-2</v>
      </c>
      <c r="M14" s="39">
        <f t="shared" si="4"/>
        <v>7.7187163641769474E-2</v>
      </c>
      <c r="N14" s="36">
        <f t="shared" si="5"/>
        <v>6190352</v>
      </c>
      <c r="O14" s="39">
        <v>16</v>
      </c>
      <c r="P14" s="40">
        <v>22124056</v>
      </c>
      <c r="Q14" s="40">
        <v>691376.75</v>
      </c>
      <c r="R14" s="40">
        <v>13278.71875</v>
      </c>
      <c r="S14" s="41">
        <v>23026512</v>
      </c>
      <c r="T14" s="41">
        <v>4614216</v>
      </c>
      <c r="U14" s="41">
        <v>1576136</v>
      </c>
      <c r="V14" s="41">
        <v>16836160</v>
      </c>
      <c r="W14" s="42">
        <v>70.923046999999997</v>
      </c>
      <c r="X14" s="42">
        <v>74.675602999999995</v>
      </c>
      <c r="Y14" s="42">
        <v>40.962909000000003</v>
      </c>
      <c r="Z14" s="42">
        <v>43.423147</v>
      </c>
      <c r="AA14" s="42">
        <v>39.504384000000002</v>
      </c>
      <c r="AB14" s="43">
        <v>3765.11</v>
      </c>
      <c r="AC14" s="43">
        <v>1415.32</v>
      </c>
      <c r="AD14" s="43">
        <v>55.209000000000003</v>
      </c>
      <c r="AE14" s="43">
        <v>19.117000000000001</v>
      </c>
      <c r="AG14" s="38">
        <f t="shared" si="6"/>
        <v>39.973012500000003</v>
      </c>
      <c r="AH14" s="39">
        <f t="shared" si="7"/>
        <v>0.19547788931075313</v>
      </c>
      <c r="AI14" s="39">
        <f t="shared" si="8"/>
        <v>3.5433917068929947E-2</v>
      </c>
      <c r="AJ14" s="39">
        <f t="shared" si="9"/>
        <v>2.2706270854628639E-2</v>
      </c>
      <c r="AK14" s="39">
        <f t="shared" si="10"/>
        <v>0.16569566388219997</v>
      </c>
      <c r="AL14" s="36">
        <f t="shared" si="11"/>
        <v>7728890</v>
      </c>
      <c r="AM14" s="39">
        <v>16</v>
      </c>
      <c r="AN14" s="40">
        <v>22967344</v>
      </c>
      <c r="AO14" s="40">
        <v>717729.5</v>
      </c>
      <c r="AP14" s="40">
        <v>22822.65625</v>
      </c>
      <c r="AQ14" s="41">
        <v>42637880</v>
      </c>
      <c r="AR14" s="41">
        <v>4952720</v>
      </c>
      <c r="AS14" s="41">
        <v>2776170</v>
      </c>
      <c r="AT14" s="41">
        <v>36141744</v>
      </c>
      <c r="AU14" s="42">
        <v>70.555559000000002</v>
      </c>
      <c r="AV14" s="42">
        <v>73.443369000000004</v>
      </c>
      <c r="AW14" s="42">
        <v>41.291997000000002</v>
      </c>
      <c r="AX14" s="42">
        <v>43.170003000000001</v>
      </c>
      <c r="AY14" s="42">
        <v>39.319634000000001</v>
      </c>
      <c r="AZ14" s="43">
        <v>3195.56</v>
      </c>
      <c r="BA14" s="43">
        <v>987.96799999999996</v>
      </c>
      <c r="BB14" s="43">
        <v>55.506999999999998</v>
      </c>
      <c r="BC14" s="43">
        <v>19.927</v>
      </c>
      <c r="BE14" s="44">
        <f t="shared" si="12"/>
        <v>1.2485380475940624</v>
      </c>
      <c r="BF14" s="45">
        <f t="shared" si="13"/>
        <v>1.259221108477989E-2</v>
      </c>
      <c r="BG14" s="45">
        <f t="shared" si="14"/>
        <v>-8.7567694475442576E-2</v>
      </c>
      <c r="BH14" s="45"/>
      <c r="BJ14" s="44"/>
      <c r="BK14" s="44"/>
      <c r="BL14" s="44"/>
      <c r="BM14" s="44"/>
      <c r="BN14" s="44"/>
      <c r="BP14" s="44"/>
      <c r="BQ14" s="44"/>
      <c r="BR14" s="44"/>
      <c r="BS14" s="44"/>
      <c r="BT14" s="44"/>
      <c r="BV14" s="58">
        <f t="shared" si="16"/>
        <v>843288</v>
      </c>
      <c r="BW14" s="58">
        <f t="shared" si="15"/>
        <v>26352.75</v>
      </c>
      <c r="BX14" s="58">
        <f t="shared" si="15"/>
        <v>9543.9375</v>
      </c>
      <c r="BY14" s="58">
        <f t="shared" si="15"/>
        <v>19611368</v>
      </c>
      <c r="BZ14" s="58">
        <f t="shared" si="15"/>
        <v>338504</v>
      </c>
      <c r="CA14" s="58">
        <f t="shared" si="15"/>
        <v>1200034</v>
      </c>
      <c r="CB14" s="58">
        <f t="shared" si="15"/>
        <v>19305584</v>
      </c>
      <c r="CC14" s="58">
        <f t="shared" si="15"/>
        <v>-0.36748799999999449</v>
      </c>
      <c r="CD14" s="58">
        <f t="shared" si="15"/>
        <v>-1.2322339999999912</v>
      </c>
      <c r="CE14" s="58">
        <f t="shared" si="15"/>
        <v>0.32908799999999871</v>
      </c>
      <c r="CF14" s="58">
        <f t="shared" si="15"/>
        <v>-0.25314399999999893</v>
      </c>
      <c r="CG14" s="58">
        <f t="shared" si="15"/>
        <v>-0.18475000000000108</v>
      </c>
      <c r="CJ14" t="s">
        <v>238</v>
      </c>
    </row>
    <row r="15" spans="1:88" x14ac:dyDescent="0.2">
      <c r="A15" s="52"/>
      <c r="B15" s="52" t="s">
        <v>64</v>
      </c>
      <c r="C15" s="9" t="s">
        <v>232</v>
      </c>
      <c r="D15" s="52">
        <v>322589704</v>
      </c>
      <c r="E15" s="9">
        <v>10</v>
      </c>
      <c r="F15" s="9">
        <v>32</v>
      </c>
      <c r="G15" s="9">
        <v>30</v>
      </c>
      <c r="I15" s="10">
        <f t="shared" si="0"/>
        <v>4.4272425000000002</v>
      </c>
      <c r="J15" s="11">
        <f t="shared" si="1"/>
        <v>1.4639004101631216E-2</v>
      </c>
      <c r="K15" s="11">
        <f t="shared" si="2"/>
        <v>8.3179096131350792E-3</v>
      </c>
      <c r="L15" s="11">
        <f t="shared" si="3"/>
        <v>4.3923534521734149E-3</v>
      </c>
      <c r="M15" s="11">
        <f t="shared" si="4"/>
        <v>6.3210944884961361E-3</v>
      </c>
      <c r="N15" s="52">
        <f t="shared" si="5"/>
        <v>2683272</v>
      </c>
      <c r="O15" s="11">
        <v>16</v>
      </c>
      <c r="P15" s="12">
        <v>31086837</v>
      </c>
      <c r="Q15" s="12">
        <v>971463.65625</v>
      </c>
      <c r="R15" s="12">
        <v>27944.21875</v>
      </c>
      <c r="S15" s="13">
        <v>4722392</v>
      </c>
      <c r="T15" s="13">
        <v>1416928</v>
      </c>
      <c r="U15" s="13">
        <v>1266344</v>
      </c>
      <c r="V15" s="13">
        <v>2039120</v>
      </c>
      <c r="W15" s="14">
        <v>65.923106000000004</v>
      </c>
      <c r="X15" s="14">
        <v>67.661794</v>
      </c>
      <c r="Y15" s="14">
        <v>29.414641</v>
      </c>
      <c r="Z15" s="14">
        <v>43.125697000000002</v>
      </c>
      <c r="AA15" s="14">
        <v>43.263359000000001</v>
      </c>
      <c r="AB15" s="15">
        <v>4770.25</v>
      </c>
      <c r="AC15" s="15">
        <v>1001.59</v>
      </c>
      <c r="AD15" s="15">
        <v>75.224999999999994</v>
      </c>
      <c r="AE15" s="15">
        <v>15.430999999999999</v>
      </c>
      <c r="AG15" s="10">
        <f t="shared" si="6"/>
        <v>8.2137975000000001</v>
      </c>
      <c r="AH15" s="11">
        <f t="shared" si="7"/>
        <v>2.7159527695279451E-2</v>
      </c>
      <c r="AI15" s="11">
        <f t="shared" si="8"/>
        <v>6.7607644415086481E-3</v>
      </c>
      <c r="AJ15" s="11">
        <f t="shared" si="9"/>
        <v>4.7461403169891626E-3</v>
      </c>
      <c r="AK15" s="11">
        <f t="shared" si="10"/>
        <v>1.8636180651320479E-2</v>
      </c>
      <c r="AL15" s="52">
        <f t="shared" si="11"/>
        <v>2180953</v>
      </c>
      <c r="AM15" s="11">
        <v>16</v>
      </c>
      <c r="AN15" s="12">
        <v>48744686</v>
      </c>
      <c r="AO15" s="12">
        <v>1523271.4375</v>
      </c>
      <c r="AP15" s="12">
        <v>79129.84375</v>
      </c>
      <c r="AQ15" s="13">
        <v>8761384</v>
      </c>
      <c r="AR15" s="13">
        <v>1531056</v>
      </c>
      <c r="AS15" s="13">
        <v>649897</v>
      </c>
      <c r="AT15" s="13">
        <v>6011840</v>
      </c>
      <c r="AU15" s="14">
        <v>65.478334000000004</v>
      </c>
      <c r="AV15" s="14">
        <v>66.800365999999997</v>
      </c>
      <c r="AW15" s="14">
        <v>29.521041</v>
      </c>
      <c r="AX15" s="14">
        <v>42.510083999999999</v>
      </c>
      <c r="AY15" s="14">
        <v>42.580269000000001</v>
      </c>
      <c r="AZ15" s="15">
        <v>4803.75</v>
      </c>
      <c r="BA15" s="15">
        <v>855.827</v>
      </c>
      <c r="BB15" s="15">
        <v>120.578</v>
      </c>
      <c r="BC15" s="15">
        <v>16.978999999999999</v>
      </c>
      <c r="BE15" s="50">
        <f t="shared" si="12"/>
        <v>0.81279609372437844</v>
      </c>
      <c r="BF15" s="16">
        <f t="shared" si="13"/>
        <v>2.3182234911517649E-2</v>
      </c>
      <c r="BG15" s="16">
        <f t="shared" si="14"/>
        <v>-0.31927396824708232</v>
      </c>
      <c r="BH15" s="16">
        <f t="array" ref="BH15">AVERAGE(AL15:AL19/AQ15:AQ19) - AVERAGE(N15:N19/S15:S19)</f>
        <v>-0.161340615146883</v>
      </c>
      <c r="BJ15" s="50">
        <f>IF( OR(ISBLANK(N15:N19),ISBLANK(AL15:AL19), ISBLANK(W15:W19),ISBLANK(AU15:AU19)), "·", bdRateExtend( N15:N19,W15:W19, AL15:AL19,AU15:AU19))</f>
        <v>0.37482307508129598</v>
      </c>
      <c r="BK15" s="50">
        <f>IF( OR(ISBLANK(N15:N19),ISBLANK(AL15:AL19), ISBLANK(X15:X19),ISBLANK(AV15:AV19)), "·", bdRateExtend( N15:N19,X15:X19, AL15:AL19,AV15:AV19))</f>
        <v>0.43876508438427364</v>
      </c>
      <c r="BL15" s="50">
        <f>IF( OR(ISBLANK(V15:V19),ISBLANK(AT15:AT19), ISBLANK(Y15:Y19),ISBLANK(AW15:AW19)), "·", bdRateExtend( V15:V19,Y15:Y19, AT15:AT19,AW15:AW19))</f>
        <v>1.0652051438864696</v>
      </c>
      <c r="BM15" s="50">
        <f>IF( OR(ISBLANK(V15:V19),ISBLANK(AT15:AT19), ISBLANK(Z15:Z19),ISBLANK(AX15:AX19)), "·", bdRateExtend( V15:V19,Z15:Z19, AT15:AT19,AX15:AX19))</f>
        <v>1.509228829660894</v>
      </c>
      <c r="BN15" s="50">
        <f>IF( OR(ISBLANK(V15:V19),ISBLANK(AT15:AT19), ISBLANK(AA15:AA19),ISBLANK(AY15:AY19)), "·", bdRateExtend( V15:V19,AA15:AA19, AT15:AT19,AY15:AY19))</f>
        <v>1.6257367195550509</v>
      </c>
      <c r="BP15" s="50">
        <f>IF( OR(ISBLANK(S15:S19),ISBLANK(AQ15:AQ19), ISBLANK(W15:W19),ISBLANK(AU15:AU19)), "·", bdRateExtend( S15:S19,W15:W19, AQ15:AQ19,AU15:AU19))</f>
        <v>1.6595236578800572</v>
      </c>
      <c r="BQ15" s="50">
        <f>IF( OR(ISBLANK(S15:S19),ISBLANK(AQ15:AQ19), ISBLANK(X15:X19),ISBLANK(AV15:AV19)), "·", bdRateExtend( S15:S19,X15:X19, AQ15:AQ19,AV15:AV19))</f>
        <v>1.7901260160772741</v>
      </c>
      <c r="BR15" s="50">
        <f>IF( OR(ISBLANK(S15:S19),ISBLANK(AQ15:AQ19), ISBLANK(Y15:Y19),ISBLANK(AW15:AW19)), "·", bdRateExtend( S15:S19,Y15:Y19, AQ15:AQ19,AW15:AW19))</f>
        <v>0.67389042383907172</v>
      </c>
      <c r="BS15" s="50">
        <f>IF( OR(ISBLANK(S15:S19),ISBLANK(AQ15:AQ19), ISBLANK(Z15:Z19),ISBLANK(AX15:AX19)), "·", bdRateExtend( S15:S19,Z15:Z19, AQ15:AQ19,AX15:AX19))</f>
        <v>1.0255092951278972</v>
      </c>
      <c r="BT15" s="50">
        <f>IF( OR(ISBLANK(S15:S19),ISBLANK(AQ15:AQ19), ISBLANK(AA15:AA19),ISBLANK(AY15:AY19)), "·", bdRateExtend( S15:S19,AA15:AA19, AQ15:AQ19,AY15:AY19))</f>
        <v>1.1003523947258151</v>
      </c>
      <c r="BV15" s="58">
        <f t="shared" si="16"/>
        <v>17657849</v>
      </c>
      <c r="BW15" s="58">
        <f t="shared" si="15"/>
        <v>551807.78125</v>
      </c>
      <c r="BX15" s="58">
        <f t="shared" si="15"/>
        <v>51185.625</v>
      </c>
      <c r="BY15" s="58">
        <f t="shared" si="15"/>
        <v>4038992</v>
      </c>
      <c r="BZ15" s="58">
        <f t="shared" si="15"/>
        <v>114128</v>
      </c>
      <c r="CA15" s="58">
        <f t="shared" si="15"/>
        <v>-616447</v>
      </c>
      <c r="CB15" s="58">
        <f t="shared" si="15"/>
        <v>3972720</v>
      </c>
      <c r="CC15" s="58">
        <f t="shared" si="15"/>
        <v>-0.44477200000000039</v>
      </c>
      <c r="CD15" s="58">
        <f t="shared" si="15"/>
        <v>-0.86142800000000364</v>
      </c>
      <c r="CE15" s="58">
        <f t="shared" si="15"/>
        <v>0.10640000000000072</v>
      </c>
      <c r="CF15" s="58">
        <f t="shared" si="15"/>
        <v>-0.6156130000000033</v>
      </c>
      <c r="CG15" s="58">
        <f t="shared" si="15"/>
        <v>-0.68308999999999997</v>
      </c>
      <c r="CJ15" t="s">
        <v>233</v>
      </c>
    </row>
    <row r="16" spans="1:88" outlineLevel="1" x14ac:dyDescent="0.2">
      <c r="A16" s="17"/>
      <c r="B16" s="17" t="s">
        <v>64</v>
      </c>
      <c r="C16" s="18" t="s">
        <v>234</v>
      </c>
      <c r="D16" s="17">
        <v>322589704</v>
      </c>
      <c r="E16" s="18">
        <v>10</v>
      </c>
      <c r="F16" s="18">
        <v>32</v>
      </c>
      <c r="G16" s="18">
        <v>30</v>
      </c>
      <c r="I16" s="19">
        <f t="shared" si="0"/>
        <v>7.0232849999999996</v>
      </c>
      <c r="J16" s="20">
        <f t="shared" si="1"/>
        <v>2.3223010242137177E-2</v>
      </c>
      <c r="K16" s="20">
        <f t="shared" si="2"/>
        <v>1.0123298913470592E-2</v>
      </c>
      <c r="L16" s="20">
        <f t="shared" si="3"/>
        <v>6.1977427525089267E-3</v>
      </c>
      <c r="M16" s="20">
        <f t="shared" si="4"/>
        <v>1.3099711328666584E-2</v>
      </c>
      <c r="N16" s="17">
        <f t="shared" si="5"/>
        <v>3265672</v>
      </c>
      <c r="O16" s="20">
        <v>16</v>
      </c>
      <c r="P16" s="21">
        <v>33185472</v>
      </c>
      <c r="Q16" s="21">
        <v>1037046</v>
      </c>
      <c r="R16" s="21">
        <v>34748.59375</v>
      </c>
      <c r="S16" s="22">
        <v>7491504</v>
      </c>
      <c r="T16" s="22">
        <v>1999328</v>
      </c>
      <c r="U16" s="22">
        <v>1266344</v>
      </c>
      <c r="V16" s="22">
        <v>4225832</v>
      </c>
      <c r="W16" s="23">
        <v>67.712850000000003</v>
      </c>
      <c r="X16" s="23">
        <v>69.741403000000005</v>
      </c>
      <c r="Y16" s="23">
        <v>31.808309000000001</v>
      </c>
      <c r="Z16" s="23">
        <v>43.976703000000001</v>
      </c>
      <c r="AA16" s="23">
        <v>44.262891000000003</v>
      </c>
      <c r="AB16" s="24">
        <v>4909.97</v>
      </c>
      <c r="AC16" s="24">
        <v>1081.78</v>
      </c>
      <c r="AD16" s="24">
        <v>79.149000000000001</v>
      </c>
      <c r="AE16" s="24">
        <v>15.548999999999999</v>
      </c>
      <c r="AG16" s="19">
        <f t="shared" si="6"/>
        <v>12.979139999999999</v>
      </c>
      <c r="AH16" s="20">
        <f t="shared" si="7"/>
        <v>4.2916484402118427E-2</v>
      </c>
      <c r="AI16" s="20">
        <f t="shared" si="8"/>
        <v>9.6042711890147615E-3</v>
      </c>
      <c r="AJ16" s="20">
        <f t="shared" si="9"/>
        <v>6.699779854102225E-3</v>
      </c>
      <c r="AK16" s="20">
        <f t="shared" si="10"/>
        <v>3.2439522620349964E-2</v>
      </c>
      <c r="AL16" s="17">
        <f t="shared" si="11"/>
        <v>3098239</v>
      </c>
      <c r="AM16" s="20">
        <v>16</v>
      </c>
      <c r="AN16" s="21">
        <v>47586251</v>
      </c>
      <c r="AO16" s="21">
        <v>1487070.34375</v>
      </c>
      <c r="AP16" s="21">
        <v>80641.375</v>
      </c>
      <c r="AQ16" s="22">
        <v>13844416</v>
      </c>
      <c r="AR16" s="22">
        <v>2161280</v>
      </c>
      <c r="AS16" s="22">
        <v>936959</v>
      </c>
      <c r="AT16" s="22">
        <v>10464656</v>
      </c>
      <c r="AU16" s="23">
        <v>66.821556000000001</v>
      </c>
      <c r="AV16" s="23">
        <v>68.447556000000006</v>
      </c>
      <c r="AW16" s="23">
        <v>32.069206000000001</v>
      </c>
      <c r="AX16" s="23">
        <v>43.460915999999997</v>
      </c>
      <c r="AY16" s="23">
        <v>43.623800000000003</v>
      </c>
      <c r="AZ16" s="24">
        <v>5084.01</v>
      </c>
      <c r="BA16" s="24">
        <v>907.673</v>
      </c>
      <c r="BB16" s="24">
        <v>119.526</v>
      </c>
      <c r="BC16" s="24">
        <v>17.613</v>
      </c>
      <c r="BE16" s="49">
        <f t="shared" si="12"/>
        <v>0.94872938862200495</v>
      </c>
      <c r="BF16" s="25">
        <f t="shared" si="13"/>
        <v>2.0721069693101654E-2</v>
      </c>
      <c r="BG16" s="25">
        <f t="shared" si="14"/>
        <v>-0.21212694615498381</v>
      </c>
      <c r="BH16" s="25"/>
      <c r="BJ16" s="49"/>
      <c r="BK16" s="49"/>
      <c r="BL16" s="49"/>
      <c r="BM16" s="49"/>
      <c r="BN16" s="49"/>
      <c r="BP16" s="49"/>
      <c r="BQ16" s="49"/>
      <c r="BR16" s="49"/>
      <c r="BS16" s="49"/>
      <c r="BT16" s="49"/>
      <c r="BV16" s="58">
        <f t="shared" si="16"/>
        <v>14400779</v>
      </c>
      <c r="BW16" s="58">
        <f t="shared" si="15"/>
        <v>450024.34375</v>
      </c>
      <c r="BX16" s="58">
        <f t="shared" si="15"/>
        <v>45892.78125</v>
      </c>
      <c r="BY16" s="58">
        <f t="shared" si="15"/>
        <v>6352912</v>
      </c>
      <c r="BZ16" s="58">
        <f t="shared" si="15"/>
        <v>161952</v>
      </c>
      <c r="CA16" s="58">
        <f t="shared" si="15"/>
        <v>-329385</v>
      </c>
      <c r="CB16" s="58">
        <f t="shared" si="15"/>
        <v>6238824</v>
      </c>
      <c r="CC16" s="58">
        <f t="shared" si="15"/>
        <v>-0.89129400000000203</v>
      </c>
      <c r="CD16" s="58">
        <f t="shared" si="15"/>
        <v>-1.2938469999999995</v>
      </c>
      <c r="CE16" s="58">
        <f t="shared" si="15"/>
        <v>0.26089699999999993</v>
      </c>
      <c r="CF16" s="58">
        <f t="shared" si="15"/>
        <v>-0.5157870000000031</v>
      </c>
      <c r="CG16" s="58">
        <f t="shared" si="15"/>
        <v>-0.63909100000000052</v>
      </c>
      <c r="CJ16" t="s">
        <v>233</v>
      </c>
    </row>
    <row r="17" spans="1:88" outlineLevel="1" x14ac:dyDescent="0.2">
      <c r="A17" s="52"/>
      <c r="B17" s="52" t="s">
        <v>64</v>
      </c>
      <c r="C17" s="9" t="s">
        <v>235</v>
      </c>
      <c r="D17" s="52">
        <v>322589704</v>
      </c>
      <c r="E17" s="9">
        <v>10</v>
      </c>
      <c r="F17" s="9">
        <v>32</v>
      </c>
      <c r="G17" s="9">
        <v>30</v>
      </c>
      <c r="I17" s="10">
        <f t="shared" si="0"/>
        <v>11.709877499999999</v>
      </c>
      <c r="J17" s="11">
        <f t="shared" si="1"/>
        <v>3.8719574261427761E-2</v>
      </c>
      <c r="K17" s="11">
        <f t="shared" si="2"/>
        <v>1.2882643024465529E-2</v>
      </c>
      <c r="L17" s="11">
        <f t="shared" si="3"/>
        <v>8.9570868635038652E-3</v>
      </c>
      <c r="M17" s="11">
        <f t="shared" si="4"/>
        <v>2.5836931236962232E-2</v>
      </c>
      <c r="N17" s="52">
        <f t="shared" si="5"/>
        <v>4155808</v>
      </c>
      <c r="O17" s="11">
        <v>16</v>
      </c>
      <c r="P17" s="12">
        <v>33604345</v>
      </c>
      <c r="Q17" s="12">
        <v>1050135.78125</v>
      </c>
      <c r="R17" s="12">
        <v>36572.96875</v>
      </c>
      <c r="S17" s="13">
        <v>12490536</v>
      </c>
      <c r="T17" s="13">
        <v>2889464</v>
      </c>
      <c r="U17" s="13">
        <v>1266344</v>
      </c>
      <c r="V17" s="13">
        <v>8334728</v>
      </c>
      <c r="W17" s="14">
        <v>69.134438000000003</v>
      </c>
      <c r="X17" s="14">
        <v>71.597097000000005</v>
      </c>
      <c r="Y17" s="14">
        <v>34.352063000000001</v>
      </c>
      <c r="Z17" s="14">
        <v>44.796078000000001</v>
      </c>
      <c r="AA17" s="14">
        <v>45.206769000000001</v>
      </c>
      <c r="AB17" s="15">
        <v>5733.27</v>
      </c>
      <c r="AC17" s="15">
        <v>1514.9</v>
      </c>
      <c r="AD17" s="15">
        <v>88.995999999999995</v>
      </c>
      <c r="AE17" s="15">
        <v>22.116</v>
      </c>
      <c r="AG17" s="10">
        <f t="shared" si="6"/>
        <v>21.191917499999999</v>
      </c>
      <c r="AH17" s="11">
        <f t="shared" si="7"/>
        <v>7.007263939211153E-2</v>
      </c>
      <c r="AI17" s="11">
        <f t="shared" si="8"/>
        <v>1.4072547709086215E-2</v>
      </c>
      <c r="AJ17" s="11">
        <f t="shared" si="9"/>
        <v>9.675572286708815E-3</v>
      </c>
      <c r="AK17" s="11">
        <f t="shared" si="10"/>
        <v>5.6619885177736487E-2</v>
      </c>
      <c r="AL17" s="52">
        <f t="shared" si="11"/>
        <v>4539659</v>
      </c>
      <c r="AM17" s="11">
        <v>16</v>
      </c>
      <c r="AN17" s="12">
        <v>45743507</v>
      </c>
      <c r="AO17" s="12">
        <v>1429484.59375</v>
      </c>
      <c r="AP17" s="12">
        <v>79553.03125</v>
      </c>
      <c r="AQ17" s="13">
        <v>22604712</v>
      </c>
      <c r="AR17" s="13">
        <v>3121240</v>
      </c>
      <c r="AS17" s="13">
        <v>1418419</v>
      </c>
      <c r="AT17" s="13">
        <v>18264992</v>
      </c>
      <c r="AU17" s="14">
        <v>67.888525000000001</v>
      </c>
      <c r="AV17" s="14">
        <v>69.791531000000006</v>
      </c>
      <c r="AW17" s="14">
        <v>34.774262</v>
      </c>
      <c r="AX17" s="14">
        <v>44.510019</v>
      </c>
      <c r="AY17" s="14">
        <v>44.782856000000002</v>
      </c>
      <c r="AZ17" s="15">
        <v>4748.97</v>
      </c>
      <c r="BA17" s="15">
        <v>901.75400000000002</v>
      </c>
      <c r="BB17" s="15">
        <v>113.096</v>
      </c>
      <c r="BC17" s="15">
        <v>18.484000000000002</v>
      </c>
      <c r="BE17" s="50">
        <f t="shared" si="12"/>
        <v>1.092364950450069</v>
      </c>
      <c r="BF17" s="16">
        <f t="shared" si="13"/>
        <v>2.082465338262772E-2</v>
      </c>
      <c r="BG17" s="16">
        <f t="shared" si="14"/>
        <v>-0.13188855084338055</v>
      </c>
      <c r="BH17" s="16"/>
      <c r="BJ17" s="50"/>
      <c r="BK17" s="50"/>
      <c r="BL17" s="50"/>
      <c r="BM17" s="50"/>
      <c r="BN17" s="50"/>
      <c r="BP17" s="50"/>
      <c r="BQ17" s="50"/>
      <c r="BR17" s="50"/>
      <c r="BS17" s="50"/>
      <c r="BT17" s="50"/>
      <c r="BV17" s="58">
        <f t="shared" si="16"/>
        <v>12139162</v>
      </c>
      <c r="BW17" s="58">
        <f t="shared" si="15"/>
        <v>379348.8125</v>
      </c>
      <c r="BX17" s="58">
        <f t="shared" si="15"/>
        <v>42980.0625</v>
      </c>
      <c r="BY17" s="58">
        <f t="shared" si="15"/>
        <v>10114176</v>
      </c>
      <c r="BZ17" s="58">
        <f t="shared" si="15"/>
        <v>231776</v>
      </c>
      <c r="CA17" s="58">
        <f t="shared" si="15"/>
        <v>152075</v>
      </c>
      <c r="CB17" s="58">
        <f t="shared" si="15"/>
        <v>9930264</v>
      </c>
      <c r="CC17" s="58">
        <f t="shared" si="15"/>
        <v>-1.2459130000000016</v>
      </c>
      <c r="CD17" s="58">
        <f t="shared" si="15"/>
        <v>-1.8055659999999989</v>
      </c>
      <c r="CE17" s="58">
        <f t="shared" si="15"/>
        <v>0.4221989999999991</v>
      </c>
      <c r="CF17" s="58">
        <f t="shared" si="15"/>
        <v>-0.28605900000000162</v>
      </c>
      <c r="CG17" s="58">
        <f t="shared" si="15"/>
        <v>-0.42391299999999887</v>
      </c>
      <c r="CJ17" t="s">
        <v>233</v>
      </c>
    </row>
    <row r="18" spans="1:88" outlineLevel="1" x14ac:dyDescent="0.2">
      <c r="A18" s="17"/>
      <c r="B18" s="17" t="s">
        <v>64</v>
      </c>
      <c r="C18" s="18" t="s">
        <v>236</v>
      </c>
      <c r="D18" s="17">
        <v>322589704</v>
      </c>
      <c r="E18" s="18">
        <v>10</v>
      </c>
      <c r="F18" s="18">
        <v>32</v>
      </c>
      <c r="G18" s="18">
        <v>30</v>
      </c>
      <c r="I18" s="19">
        <f t="shared" si="0"/>
        <v>20.196885000000002</v>
      </c>
      <c r="J18" s="20">
        <f t="shared" si="1"/>
        <v>6.6782490987375098E-2</v>
      </c>
      <c r="K18" s="20">
        <f t="shared" si="2"/>
        <v>1.7385626169891647E-2</v>
      </c>
      <c r="L18" s="20">
        <f t="shared" si="3"/>
        <v>1.3460070008929981E-2</v>
      </c>
      <c r="M18" s="20">
        <f t="shared" si="4"/>
        <v>4.9396864817483448E-2</v>
      </c>
      <c r="N18" s="17">
        <f t="shared" si="5"/>
        <v>5608424</v>
      </c>
      <c r="O18" s="20">
        <v>16</v>
      </c>
      <c r="P18" s="21">
        <v>34799418</v>
      </c>
      <c r="Q18" s="21">
        <v>1087481.8125</v>
      </c>
      <c r="R18" s="21">
        <v>40860.15625</v>
      </c>
      <c r="S18" s="22">
        <v>21543344</v>
      </c>
      <c r="T18" s="22">
        <v>4342080</v>
      </c>
      <c r="U18" s="22">
        <v>1266344</v>
      </c>
      <c r="V18" s="22">
        <v>15934920</v>
      </c>
      <c r="W18" s="23">
        <v>70.372874999999993</v>
      </c>
      <c r="X18" s="23">
        <v>72.951280999999994</v>
      </c>
      <c r="Y18" s="23">
        <v>37.033180999999999</v>
      </c>
      <c r="Z18" s="23">
        <v>46.138033999999998</v>
      </c>
      <c r="AA18" s="23">
        <v>46.638800000000003</v>
      </c>
      <c r="AB18" s="24">
        <v>4762.1499999999996</v>
      </c>
      <c r="AC18" s="24">
        <v>1298.02</v>
      </c>
      <c r="AD18" s="24">
        <v>83.063999999999993</v>
      </c>
      <c r="AE18" s="24">
        <v>17.048999999999999</v>
      </c>
      <c r="AG18" s="19">
        <f t="shared" si="6"/>
        <v>35.393227500000002</v>
      </c>
      <c r="AH18" s="20">
        <f t="shared" si="7"/>
        <v>0.11703031910776669</v>
      </c>
      <c r="AI18" s="20">
        <f t="shared" si="8"/>
        <v>2.1425482321035267E-2</v>
      </c>
      <c r="AJ18" s="20">
        <f t="shared" si="9"/>
        <v>1.4412412864856963E-2</v>
      </c>
      <c r="AK18" s="20">
        <f t="shared" si="10"/>
        <v>9.8840724315243489E-2</v>
      </c>
      <c r="AL18" s="17">
        <f t="shared" si="11"/>
        <v>6911640</v>
      </c>
      <c r="AM18" s="20">
        <v>16</v>
      </c>
      <c r="AN18" s="21">
        <v>39822449</v>
      </c>
      <c r="AO18" s="21">
        <v>1244451.53125</v>
      </c>
      <c r="AP18" s="21">
        <v>72249.3125</v>
      </c>
      <c r="AQ18" s="22">
        <v>37752776</v>
      </c>
      <c r="AR18" s="22">
        <v>4649296</v>
      </c>
      <c r="AS18" s="22">
        <v>2262344</v>
      </c>
      <c r="AT18" s="22">
        <v>31885000</v>
      </c>
      <c r="AU18" s="23">
        <v>69.263900000000007</v>
      </c>
      <c r="AV18" s="23">
        <v>71.553409000000002</v>
      </c>
      <c r="AW18" s="23">
        <v>37.540405999999997</v>
      </c>
      <c r="AX18" s="23">
        <v>45.952294000000002</v>
      </c>
      <c r="AY18" s="23">
        <v>46.343468999999999</v>
      </c>
      <c r="AZ18" s="24">
        <v>4729.7</v>
      </c>
      <c r="BA18" s="24">
        <v>961.22400000000005</v>
      </c>
      <c r="BB18" s="24">
        <v>99.429000000000002</v>
      </c>
      <c r="BC18" s="24">
        <v>20.077000000000002</v>
      </c>
      <c r="BE18" s="49">
        <f t="shared" si="12"/>
        <v>1.2323675956026148</v>
      </c>
      <c r="BF18" s="25">
        <f t="shared" si="13"/>
        <v>2.0483966787292363E-2</v>
      </c>
      <c r="BG18" s="25">
        <f t="shared" si="14"/>
        <v>-7.7255762172234843E-2</v>
      </c>
      <c r="BH18" s="25"/>
      <c r="BJ18" s="49"/>
      <c r="BK18" s="49"/>
      <c r="BL18" s="49"/>
      <c r="BM18" s="49"/>
      <c r="BN18" s="49"/>
      <c r="BP18" s="49"/>
      <c r="BQ18" s="49"/>
      <c r="BR18" s="49"/>
      <c r="BS18" s="49"/>
      <c r="BT18" s="49"/>
      <c r="BV18" s="58">
        <f t="shared" si="16"/>
        <v>5023031</v>
      </c>
      <c r="BW18" s="58">
        <f t="shared" si="15"/>
        <v>156969.71875</v>
      </c>
      <c r="BX18" s="58">
        <f t="shared" si="15"/>
        <v>31389.15625</v>
      </c>
      <c r="BY18" s="58">
        <f t="shared" si="15"/>
        <v>16209432</v>
      </c>
      <c r="BZ18" s="58">
        <f t="shared" si="15"/>
        <v>307216</v>
      </c>
      <c r="CA18" s="58">
        <f t="shared" si="15"/>
        <v>996000</v>
      </c>
      <c r="CB18" s="58">
        <f t="shared" si="15"/>
        <v>15950080</v>
      </c>
      <c r="CC18" s="58">
        <f t="shared" si="15"/>
        <v>-1.1089749999999867</v>
      </c>
      <c r="CD18" s="58">
        <f t="shared" si="15"/>
        <v>-1.3978719999999925</v>
      </c>
      <c r="CE18" s="58">
        <f t="shared" si="15"/>
        <v>0.50722499999999826</v>
      </c>
      <c r="CF18" s="58">
        <f t="shared" si="15"/>
        <v>-0.18573999999999558</v>
      </c>
      <c r="CG18" s="58">
        <f t="shared" si="15"/>
        <v>-0.29533100000000445</v>
      </c>
      <c r="CJ18" t="s">
        <v>233</v>
      </c>
    </row>
    <row r="19" spans="1:88" ht="16" outlineLevel="1" thickBot="1" x14ac:dyDescent="0.25">
      <c r="A19" s="52"/>
      <c r="B19" s="26" t="s">
        <v>64</v>
      </c>
      <c r="C19" s="27" t="s">
        <v>237</v>
      </c>
      <c r="D19" s="26">
        <v>322589704</v>
      </c>
      <c r="E19" s="27">
        <v>10</v>
      </c>
      <c r="F19" s="27">
        <v>32</v>
      </c>
      <c r="G19" s="27">
        <v>30</v>
      </c>
      <c r="I19" s="28">
        <f t="shared" si="0"/>
        <v>35.713687499999999</v>
      </c>
      <c r="J19" s="29">
        <f t="shared" si="1"/>
        <v>0.11808994375096361</v>
      </c>
      <c r="K19" s="29">
        <f t="shared" si="2"/>
        <v>2.7855396153623056E-2</v>
      </c>
      <c r="L19" s="29">
        <f t="shared" si="3"/>
        <v>2.0647974555319349E-2</v>
      </c>
      <c r="M19" s="29">
        <f t="shared" si="4"/>
        <v>9.023454759734055E-2</v>
      </c>
      <c r="N19" s="26">
        <f t="shared" si="5"/>
        <v>8985864</v>
      </c>
      <c r="O19" s="29">
        <v>16</v>
      </c>
      <c r="P19" s="30">
        <v>33039030</v>
      </c>
      <c r="Q19" s="30">
        <v>1032469.6875</v>
      </c>
      <c r="R19" s="30">
        <v>17754.53125</v>
      </c>
      <c r="S19" s="31">
        <v>38094600</v>
      </c>
      <c r="T19" s="31">
        <v>6660824</v>
      </c>
      <c r="U19" s="31">
        <v>2325040</v>
      </c>
      <c r="V19" s="31">
        <v>29108736</v>
      </c>
      <c r="W19" s="32">
        <v>71.149227999999994</v>
      </c>
      <c r="X19" s="32">
        <v>75.004366000000005</v>
      </c>
      <c r="Y19" s="32">
        <v>39.539543999999999</v>
      </c>
      <c r="Z19" s="32">
        <v>47.871558999999998</v>
      </c>
      <c r="AA19" s="32">
        <v>48.474975000000001</v>
      </c>
      <c r="AB19" s="33">
        <v>5118.1899999999996</v>
      </c>
      <c r="AC19" s="33">
        <v>1651.37</v>
      </c>
      <c r="AD19" s="33">
        <v>86.103999999999999</v>
      </c>
      <c r="AE19" s="33">
        <v>22.335000000000001</v>
      </c>
      <c r="AG19" s="28">
        <f t="shared" si="6"/>
        <v>63.043365000000001</v>
      </c>
      <c r="AH19" s="29">
        <f t="shared" si="7"/>
        <v>0.2084575396119896</v>
      </c>
      <c r="AI19" s="29">
        <f t="shared" si="8"/>
        <v>3.5380462731693381E-2</v>
      </c>
      <c r="AJ19" s="29">
        <f t="shared" si="9"/>
        <v>2.2026543041807681E-2</v>
      </c>
      <c r="AK19" s="29">
        <f t="shared" si="10"/>
        <v>0.17937192440587008</v>
      </c>
      <c r="AL19" s="26">
        <f t="shared" si="11"/>
        <v>11413373</v>
      </c>
      <c r="AM19" s="29">
        <v>16</v>
      </c>
      <c r="AN19" s="30">
        <v>34572670</v>
      </c>
      <c r="AO19" s="30">
        <v>1080395.9375</v>
      </c>
      <c r="AP19" s="30">
        <v>31800.09375</v>
      </c>
      <c r="AQ19" s="31">
        <v>67246256</v>
      </c>
      <c r="AR19" s="31">
        <v>7105536</v>
      </c>
      <c r="AS19" s="31">
        <v>4307837</v>
      </c>
      <c r="AT19" s="31">
        <v>57863536</v>
      </c>
      <c r="AU19" s="32">
        <v>70.752616000000003</v>
      </c>
      <c r="AV19" s="32">
        <v>73.581311999999997</v>
      </c>
      <c r="AW19" s="32">
        <v>39.916280999999998</v>
      </c>
      <c r="AX19" s="32">
        <v>47.746930999999996</v>
      </c>
      <c r="AY19" s="32">
        <v>48.248215999999999</v>
      </c>
      <c r="AZ19" s="33">
        <v>4696.18</v>
      </c>
      <c r="BA19" s="33">
        <v>1032.99</v>
      </c>
      <c r="BB19" s="33">
        <v>83.730999999999995</v>
      </c>
      <c r="BC19" s="33">
        <v>21.068999999999999</v>
      </c>
      <c r="BE19" s="34">
        <f t="shared" si="12"/>
        <v>1.2701475339488777</v>
      </c>
      <c r="BF19" s="35">
        <f t="shared" si="13"/>
        <v>1.2237563817525398E-2</v>
      </c>
      <c r="BG19" s="35">
        <f t="shared" si="14"/>
        <v>-6.6157848316733076E-2</v>
      </c>
      <c r="BH19" s="35"/>
      <c r="BJ19" s="34"/>
      <c r="BK19" s="34"/>
      <c r="BL19" s="34"/>
      <c r="BM19" s="34"/>
      <c r="BN19" s="34"/>
      <c r="BP19" s="34"/>
      <c r="BQ19" s="34"/>
      <c r="BR19" s="34"/>
      <c r="BS19" s="34"/>
      <c r="BT19" s="34"/>
      <c r="BV19" s="58">
        <f t="shared" si="16"/>
        <v>1533640</v>
      </c>
      <c r="BW19" s="58">
        <f t="shared" si="15"/>
        <v>47926.25</v>
      </c>
      <c r="BX19" s="58">
        <f t="shared" si="15"/>
        <v>14045.5625</v>
      </c>
      <c r="BY19" s="58">
        <f t="shared" si="15"/>
        <v>29151656</v>
      </c>
      <c r="BZ19" s="58">
        <f t="shared" si="15"/>
        <v>444712</v>
      </c>
      <c r="CA19" s="58">
        <f t="shared" si="15"/>
        <v>1982797</v>
      </c>
      <c r="CB19" s="58">
        <f t="shared" si="15"/>
        <v>28754800</v>
      </c>
      <c r="CC19" s="58">
        <f t="shared" si="15"/>
        <v>-0.39661199999999042</v>
      </c>
      <c r="CD19" s="58">
        <f t="shared" si="15"/>
        <v>-1.4230540000000076</v>
      </c>
      <c r="CE19" s="58">
        <f t="shared" si="15"/>
        <v>0.37673699999999855</v>
      </c>
      <c r="CF19" s="58">
        <f t="shared" si="15"/>
        <v>-0.12462800000000129</v>
      </c>
      <c r="CG19" s="58">
        <f t="shared" si="15"/>
        <v>-0.22675900000000127</v>
      </c>
      <c r="CJ19" t="s">
        <v>233</v>
      </c>
    </row>
    <row r="20" spans="1:88" x14ac:dyDescent="0.2">
      <c r="A20" s="17"/>
      <c r="B20" s="17" t="s">
        <v>70</v>
      </c>
      <c r="C20" s="18" t="s">
        <v>232</v>
      </c>
      <c r="D20" s="17">
        <v>250602891</v>
      </c>
      <c r="E20" s="18">
        <v>10</v>
      </c>
      <c r="F20" s="18">
        <v>32</v>
      </c>
      <c r="G20" s="18">
        <v>50</v>
      </c>
      <c r="I20" s="19">
        <f t="shared" si="0"/>
        <v>5.1414875000000002</v>
      </c>
      <c r="J20" s="20">
        <f t="shared" si="1"/>
        <v>1.3130542855549101E-2</v>
      </c>
      <c r="K20" s="20">
        <f t="shared" si="2"/>
        <v>7.7059286598573197E-3</v>
      </c>
      <c r="L20" s="20">
        <f t="shared" si="3"/>
        <v>3.7835477324960308E-3</v>
      </c>
      <c r="M20" s="20">
        <f t="shared" si="4"/>
        <v>5.4246141956917808E-3</v>
      </c>
      <c r="N20" s="17">
        <f t="shared" si="5"/>
        <v>1931128</v>
      </c>
      <c r="O20" s="20">
        <v>16</v>
      </c>
      <c r="P20" s="21">
        <v>30274532</v>
      </c>
      <c r="Q20" s="21">
        <v>946079.125</v>
      </c>
      <c r="R20" s="21">
        <v>27842.25</v>
      </c>
      <c r="S20" s="22">
        <v>3290552</v>
      </c>
      <c r="T20" s="22">
        <v>948168</v>
      </c>
      <c r="U20" s="22">
        <v>982960</v>
      </c>
      <c r="V20" s="22">
        <v>1359424</v>
      </c>
      <c r="W20" s="23">
        <v>67.105800000000002</v>
      </c>
      <c r="X20" s="23">
        <v>68.817099999999996</v>
      </c>
      <c r="Y20" s="23">
        <v>30.700693999999999</v>
      </c>
      <c r="Z20" s="23">
        <v>39.522633999999996</v>
      </c>
      <c r="AA20" s="23">
        <v>38.268194000000001</v>
      </c>
      <c r="AB20" s="24">
        <v>5067.82</v>
      </c>
      <c r="AC20" s="24">
        <v>1520.24</v>
      </c>
      <c r="AD20" s="24">
        <v>86.619</v>
      </c>
      <c r="AE20" s="24">
        <v>22.984999999999999</v>
      </c>
      <c r="AG20" s="19">
        <f t="shared" si="6"/>
        <v>8.9089124999999996</v>
      </c>
      <c r="AH20" s="20">
        <f t="shared" si="7"/>
        <v>2.2751948220740996E-2</v>
      </c>
      <c r="AI20" s="20">
        <f t="shared" si="8"/>
        <v>5.6889128226377886E-3</v>
      </c>
      <c r="AJ20" s="20">
        <f t="shared" si="9"/>
        <v>3.9977830902198173E-3</v>
      </c>
      <c r="AK20" s="20">
        <f t="shared" si="10"/>
        <v>1.4913507123108169E-2</v>
      </c>
      <c r="AL20" s="17">
        <f t="shared" si="11"/>
        <v>1425658</v>
      </c>
      <c r="AM20" s="20">
        <v>16</v>
      </c>
      <c r="AN20" s="21">
        <v>40395970</v>
      </c>
      <c r="AO20" s="21">
        <v>1262374.0625</v>
      </c>
      <c r="AP20" s="21">
        <v>61406.4375</v>
      </c>
      <c r="AQ20" s="22">
        <v>5701704</v>
      </c>
      <c r="AR20" s="22">
        <v>1001856</v>
      </c>
      <c r="AS20" s="22">
        <v>423802</v>
      </c>
      <c r="AT20" s="22">
        <v>3737368</v>
      </c>
      <c r="AU20" s="23">
        <v>66.659165999999999</v>
      </c>
      <c r="AV20" s="23">
        <v>68.277890999999997</v>
      </c>
      <c r="AW20" s="23">
        <v>31.050684</v>
      </c>
      <c r="AX20" s="23">
        <v>38.684341000000003</v>
      </c>
      <c r="AY20" s="23">
        <v>37.626403000000003</v>
      </c>
      <c r="AZ20" s="24">
        <v>5353.61</v>
      </c>
      <c r="BA20" s="24">
        <v>1226</v>
      </c>
      <c r="BB20" s="24">
        <v>118.914</v>
      </c>
      <c r="BC20" s="24">
        <v>25.616</v>
      </c>
      <c r="BE20" s="49">
        <f t="shared" si="12"/>
        <v>0.738251426109507</v>
      </c>
      <c r="BF20" s="25">
        <f t="shared" si="13"/>
        <v>1.9214522283823046E-2</v>
      </c>
      <c r="BG20" s="25">
        <f t="shared" si="14"/>
        <v>-0.33682984155458645</v>
      </c>
      <c r="BH20" s="25">
        <f t="array" ref="BH20">AVERAGE(AL20:AL24/AQ20:AQ24) - AVERAGE(N20:N24/S20:S24)</f>
        <v>-0.1763209870400643</v>
      </c>
      <c r="BJ20" s="49">
        <f>IF( OR(ISBLANK(N20:N24),ISBLANK(AL20:AL24), ISBLANK(W20:W24),ISBLANK(AU20:AU24)), "·", bdRateExtend( N20:N24,W20:W24, AL20:AL24,AU20:AU24))</f>
        <v>0.31023314381438305</v>
      </c>
      <c r="BK20" s="49">
        <f>IF( OR(ISBLANK(N20:N24),ISBLANK(AL20:AL24), ISBLANK(X20:X24),ISBLANK(AV20:AV24)), "·", bdRateExtend( N20:N24,X20:X24, AL20:AL24,AV20:AV24))</f>
        <v>0.29791921917467445</v>
      </c>
      <c r="BL20" s="49">
        <f>IF( OR(ISBLANK(V20:V24),ISBLANK(AT20:AT24), ISBLANK(Y20:Y24),ISBLANK(AW20:AW24)), "·", bdRateExtend( V20:V24,Y20:Y24, AT20:AT24,AW20:AW24))</f>
        <v>1.1418895198359018</v>
      </c>
      <c r="BM20" s="49">
        <f>IF( OR(ISBLANK(V20:V24),ISBLANK(AT20:AT24), ISBLANK(Z20:Z24),ISBLANK(AX20:AX24)), "·", bdRateExtend( V20:V24,Z20:Z24, AT20:AT24,AX20:AX24))</f>
        <v>1.8719153217784337</v>
      </c>
      <c r="BN20" s="49">
        <f>IF( OR(ISBLANK(V20:V24),ISBLANK(AT20:AT24), ISBLANK(AA20:AA24),ISBLANK(AY20:AY24)), "·", bdRateExtend( V20:V24,AA20:AA24, AT20:AT24,AY20:AY24))</f>
        <v>2.0429009590551837</v>
      </c>
      <c r="BP20" s="49">
        <f>IF( OR(ISBLANK(S20:S24),ISBLANK(AQ20:AQ24), ISBLANK(W20:W24),ISBLANK(AU20:AU24)), "·", bdRateExtend( S20:S24,W20:W24, AQ20:AQ24,AU20:AU24))</f>
        <v>1.661721741210179</v>
      </c>
      <c r="BQ20" s="49">
        <f>IF( OR(ISBLANK(S20:S24),ISBLANK(AQ20:AQ24), ISBLANK(X20:X24),ISBLANK(AV20:AV24)), "·", bdRateExtend( S20:S24,X20:X24, AQ20:AQ24,AV20:AV24))</f>
        <v>1.6248601409707746</v>
      </c>
      <c r="BR20" s="49">
        <f>IF( OR(ISBLANK(S20:S24),ISBLANK(AQ20:AQ24), ISBLANK(Y20:Y24),ISBLANK(AW20:AW24)), "·", bdRateExtend( S20:S24,Y20:Y24, AQ20:AQ24,AW20:AW24))</f>
        <v>0.70107099011174046</v>
      </c>
      <c r="BS20" s="49">
        <f>IF( OR(ISBLANK(S20:S24),ISBLANK(AQ20:AQ24), ISBLANK(Z20:Z24),ISBLANK(AX20:AX24)), "·", bdRateExtend( S20:S24,Z20:Z24, AQ20:AQ24,AX20:AX24))</f>
        <v>1.182940934760691</v>
      </c>
      <c r="BT20" s="49">
        <f>IF( OR(ISBLANK(S20:S24),ISBLANK(AQ20:AQ24), ISBLANK(AA20:AA24),ISBLANK(AY20:AY24)), "·", bdRateExtend( S20:S24,AA20:AA24, AQ20:AQ24,AY20:AY24))</f>
        <v>1.262108556945746</v>
      </c>
      <c r="BV20" s="58">
        <f t="shared" si="16"/>
        <v>10121438</v>
      </c>
      <c r="BW20" s="58">
        <f t="shared" si="15"/>
        <v>316294.9375</v>
      </c>
      <c r="BX20" s="58">
        <f t="shared" si="15"/>
        <v>33564.1875</v>
      </c>
      <c r="BY20" s="58">
        <f t="shared" si="15"/>
        <v>2411152</v>
      </c>
      <c r="BZ20" s="58">
        <f t="shared" si="15"/>
        <v>53688</v>
      </c>
      <c r="CA20" s="58">
        <f t="shared" si="15"/>
        <v>-559158</v>
      </c>
      <c r="CB20" s="58">
        <f t="shared" si="15"/>
        <v>2377944</v>
      </c>
      <c r="CC20" s="58">
        <f t="shared" si="15"/>
        <v>-0.44663400000000308</v>
      </c>
      <c r="CD20" s="58">
        <f t="shared" si="15"/>
        <v>-0.53920899999999961</v>
      </c>
      <c r="CE20" s="58">
        <f t="shared" si="15"/>
        <v>0.3499900000000018</v>
      </c>
      <c r="CF20" s="58">
        <f t="shared" si="15"/>
        <v>-0.83829299999999307</v>
      </c>
      <c r="CG20" s="58">
        <f t="shared" si="15"/>
        <v>-0.64179099999999778</v>
      </c>
      <c r="CJ20" t="s">
        <v>239</v>
      </c>
    </row>
    <row r="21" spans="1:88" outlineLevel="1" x14ac:dyDescent="0.2">
      <c r="A21" s="52"/>
      <c r="B21" s="52" t="s">
        <v>70</v>
      </c>
      <c r="C21" s="9" t="s">
        <v>234</v>
      </c>
      <c r="D21" s="52">
        <v>250602891</v>
      </c>
      <c r="E21" s="9">
        <v>10</v>
      </c>
      <c r="F21" s="9">
        <v>32</v>
      </c>
      <c r="G21" s="9">
        <v>50</v>
      </c>
      <c r="I21" s="10">
        <f t="shared" si="0"/>
        <v>7.6273375000000003</v>
      </c>
      <c r="J21" s="11">
        <f t="shared" si="1"/>
        <v>1.9479009122843678E-2</v>
      </c>
      <c r="K21" s="11">
        <f t="shared" si="2"/>
        <v>9.149295887412567E-3</v>
      </c>
      <c r="L21" s="11">
        <f t="shared" si="3"/>
        <v>5.226914960051279E-3</v>
      </c>
      <c r="M21" s="11">
        <f t="shared" si="4"/>
        <v>1.0329713235431111E-2</v>
      </c>
      <c r="N21" s="52">
        <f t="shared" si="5"/>
        <v>2292840</v>
      </c>
      <c r="O21" s="11">
        <v>16</v>
      </c>
      <c r="P21" s="12">
        <v>31505484</v>
      </c>
      <c r="Q21" s="12">
        <v>984546.375</v>
      </c>
      <c r="R21" s="12">
        <v>33029.375</v>
      </c>
      <c r="S21" s="13">
        <v>4881496</v>
      </c>
      <c r="T21" s="13">
        <v>1309880</v>
      </c>
      <c r="U21" s="13">
        <v>982960</v>
      </c>
      <c r="V21" s="13">
        <v>2588656</v>
      </c>
      <c r="W21" s="14">
        <v>68.686527999999996</v>
      </c>
      <c r="X21" s="14">
        <v>70.761815999999996</v>
      </c>
      <c r="Y21" s="14">
        <v>32.514736999999997</v>
      </c>
      <c r="Z21" s="14">
        <v>40.675966000000003</v>
      </c>
      <c r="AA21" s="14">
        <v>39.602231000000003</v>
      </c>
      <c r="AB21" s="15">
        <v>3999.02</v>
      </c>
      <c r="AC21" s="15">
        <v>1143.4100000000001</v>
      </c>
      <c r="AD21" s="15">
        <v>71.858000000000004</v>
      </c>
      <c r="AE21" s="15">
        <v>15.779</v>
      </c>
      <c r="AG21" s="10">
        <f t="shared" si="6"/>
        <v>13.284062499999999</v>
      </c>
      <c r="AH21" s="11">
        <f t="shared" si="7"/>
        <v>3.3925386758606867E-2</v>
      </c>
      <c r="AI21" s="11">
        <f t="shared" si="8"/>
        <v>7.9365684572250197E-3</v>
      </c>
      <c r="AJ21" s="11">
        <f t="shared" si="9"/>
        <v>5.5459216549900055E-3</v>
      </c>
      <c r="AK21" s="11">
        <f t="shared" si="10"/>
        <v>2.453880709620385E-2</v>
      </c>
      <c r="AL21" s="52">
        <f t="shared" si="11"/>
        <v>1988927</v>
      </c>
      <c r="AM21" s="11">
        <v>16</v>
      </c>
      <c r="AN21" s="12">
        <v>39513131</v>
      </c>
      <c r="AO21" s="12">
        <v>1234785.34375</v>
      </c>
      <c r="AP21" s="12">
        <v>62957.4375</v>
      </c>
      <c r="AQ21" s="13">
        <v>8501800</v>
      </c>
      <c r="AR21" s="13">
        <v>1389824</v>
      </c>
      <c r="AS21" s="13">
        <v>599103</v>
      </c>
      <c r="AT21" s="13">
        <v>6149496</v>
      </c>
      <c r="AU21" s="14">
        <v>67.881215999999995</v>
      </c>
      <c r="AV21" s="14">
        <v>69.805965999999998</v>
      </c>
      <c r="AW21" s="14">
        <v>32.628293999999997</v>
      </c>
      <c r="AX21" s="14">
        <v>39.954619000000001</v>
      </c>
      <c r="AY21" s="14">
        <v>38.883136999999998</v>
      </c>
      <c r="AZ21" s="15">
        <v>4389.5600000000004</v>
      </c>
      <c r="BA21" s="15">
        <v>980.32500000000005</v>
      </c>
      <c r="BB21" s="15">
        <v>102.35599999999999</v>
      </c>
      <c r="BC21" s="15">
        <v>18.661000000000001</v>
      </c>
      <c r="BE21" s="50">
        <f t="shared" si="12"/>
        <v>0.8674512831248582</v>
      </c>
      <c r="BF21" s="16">
        <f t="shared" si="13"/>
        <v>1.7438733915004889E-2</v>
      </c>
      <c r="BG21" s="16">
        <f t="shared" si="14"/>
        <v>-0.23575840107846166</v>
      </c>
      <c r="BH21" s="16"/>
      <c r="BJ21" s="50"/>
      <c r="BK21" s="50"/>
      <c r="BL21" s="50"/>
      <c r="BM21" s="50"/>
      <c r="BN21" s="50"/>
      <c r="BP21" s="50"/>
      <c r="BQ21" s="50"/>
      <c r="BR21" s="50"/>
      <c r="BS21" s="50"/>
      <c r="BT21" s="50"/>
      <c r="BV21" s="58">
        <f t="shared" si="16"/>
        <v>8007647</v>
      </c>
      <c r="BW21" s="58">
        <f t="shared" si="16"/>
        <v>250238.96875</v>
      </c>
      <c r="BX21" s="58">
        <f t="shared" si="16"/>
        <v>29928.0625</v>
      </c>
      <c r="BY21" s="58">
        <f t="shared" si="16"/>
        <v>3620304</v>
      </c>
      <c r="BZ21" s="58">
        <f t="shared" si="16"/>
        <v>79944</v>
      </c>
      <c r="CA21" s="58">
        <f t="shared" si="16"/>
        <v>-383857</v>
      </c>
      <c r="CB21" s="58">
        <f t="shared" si="16"/>
        <v>3560840</v>
      </c>
      <c r="CC21" s="58">
        <f t="shared" si="16"/>
        <v>-0.80531200000000069</v>
      </c>
      <c r="CD21" s="58">
        <f t="shared" si="16"/>
        <v>-0.95584999999999809</v>
      </c>
      <c r="CE21" s="58">
        <f t="shared" si="16"/>
        <v>0.11355700000000013</v>
      </c>
      <c r="CF21" s="58">
        <f t="shared" si="16"/>
        <v>-0.72134700000000151</v>
      </c>
      <c r="CG21" s="58">
        <f t="shared" si="16"/>
        <v>-0.71909400000000545</v>
      </c>
      <c r="CJ21" t="s">
        <v>239</v>
      </c>
    </row>
    <row r="22" spans="1:88" outlineLevel="1" x14ac:dyDescent="0.2">
      <c r="A22" s="17"/>
      <c r="B22" s="17" t="s">
        <v>70</v>
      </c>
      <c r="C22" s="18" t="s">
        <v>235</v>
      </c>
      <c r="D22" s="17">
        <v>250602891</v>
      </c>
      <c r="E22" s="18">
        <v>10</v>
      </c>
      <c r="F22" s="18">
        <v>32</v>
      </c>
      <c r="G22" s="18">
        <v>50</v>
      </c>
      <c r="I22" s="19">
        <f t="shared" si="0"/>
        <v>12.386075</v>
      </c>
      <c r="J22" s="20">
        <f t="shared" si="1"/>
        <v>3.1632069240573928E-2</v>
      </c>
      <c r="K22" s="20">
        <f t="shared" si="2"/>
        <v>1.1394345805851058E-2</v>
      </c>
      <c r="L22" s="20">
        <f t="shared" si="3"/>
        <v>7.4719648784897699E-3</v>
      </c>
      <c r="M22" s="20">
        <f t="shared" si="4"/>
        <v>2.0237723434722864E-2</v>
      </c>
      <c r="N22" s="17">
        <f t="shared" si="5"/>
        <v>2855456</v>
      </c>
      <c r="O22" s="20">
        <v>16</v>
      </c>
      <c r="P22" s="21">
        <v>32735750</v>
      </c>
      <c r="Q22" s="21">
        <v>1022992.1875</v>
      </c>
      <c r="R22" s="21">
        <v>35066.4375</v>
      </c>
      <c r="S22" s="22">
        <v>7927088</v>
      </c>
      <c r="T22" s="22">
        <v>1872496</v>
      </c>
      <c r="U22" s="22">
        <v>982960</v>
      </c>
      <c r="V22" s="22">
        <v>5071632</v>
      </c>
      <c r="W22" s="23">
        <v>69.861822000000004</v>
      </c>
      <c r="X22" s="23">
        <v>72.258756000000005</v>
      </c>
      <c r="Y22" s="23">
        <v>34.267000000000003</v>
      </c>
      <c r="Z22" s="23">
        <v>41.728212999999997</v>
      </c>
      <c r="AA22" s="23">
        <v>40.647272000000001</v>
      </c>
      <c r="AB22" s="24">
        <v>5365.97</v>
      </c>
      <c r="AC22" s="24">
        <v>1721.51</v>
      </c>
      <c r="AD22" s="24">
        <v>91.203999999999994</v>
      </c>
      <c r="AE22" s="24">
        <v>24.335000000000001</v>
      </c>
      <c r="AG22" s="19">
        <f t="shared" si="6"/>
        <v>21.167024999999999</v>
      </c>
      <c r="AH22" s="20">
        <f t="shared" si="7"/>
        <v>5.4057221550568628E-2</v>
      </c>
      <c r="AI22" s="20">
        <f t="shared" si="8"/>
        <v>1.1541379225349799E-2</v>
      </c>
      <c r="AJ22" s="20">
        <f t="shared" si="9"/>
        <v>8.0018869375293837E-3</v>
      </c>
      <c r="AK22" s="20">
        <f t="shared" si="10"/>
        <v>4.2214676605626229E-2</v>
      </c>
      <c r="AL22" s="17">
        <f t="shared" si="11"/>
        <v>2892303</v>
      </c>
      <c r="AM22" s="20">
        <v>16</v>
      </c>
      <c r="AN22" s="21">
        <v>38262972</v>
      </c>
      <c r="AO22" s="21">
        <v>1195717.875</v>
      </c>
      <c r="AP22" s="21">
        <v>62353.65625</v>
      </c>
      <c r="AQ22" s="22">
        <v>13546896</v>
      </c>
      <c r="AR22" s="22">
        <v>2005296</v>
      </c>
      <c r="AS22" s="22">
        <v>887007</v>
      </c>
      <c r="AT22" s="22">
        <v>10579120</v>
      </c>
      <c r="AU22" s="23">
        <v>68.818838</v>
      </c>
      <c r="AV22" s="23">
        <v>70.996702999999997</v>
      </c>
      <c r="AW22" s="23">
        <v>34.159421999999999</v>
      </c>
      <c r="AX22" s="23">
        <v>41.123215999999999</v>
      </c>
      <c r="AY22" s="23">
        <v>40.017752999999999</v>
      </c>
      <c r="AZ22" s="24">
        <v>4437.78</v>
      </c>
      <c r="BA22" s="24">
        <v>975.428</v>
      </c>
      <c r="BB22" s="24">
        <v>96.757999999999996</v>
      </c>
      <c r="BC22" s="24">
        <v>19.600000000000001</v>
      </c>
      <c r="BE22" s="49">
        <f t="shared" si="12"/>
        <v>1.0129040685620792</v>
      </c>
      <c r="BF22" s="25">
        <f t="shared" si="13"/>
        <v>1.7869160878262194E-2</v>
      </c>
      <c r="BG22" s="25">
        <f t="shared" si="14"/>
        <v>-0.14671199483195013</v>
      </c>
      <c r="BH22" s="25"/>
      <c r="BJ22" s="49"/>
      <c r="BK22" s="49"/>
      <c r="BL22" s="49"/>
      <c r="BM22" s="49"/>
      <c r="BN22" s="49"/>
      <c r="BP22" s="49"/>
      <c r="BQ22" s="49"/>
      <c r="BR22" s="49"/>
      <c r="BS22" s="49"/>
      <c r="BT22" s="49"/>
      <c r="BV22" s="58">
        <f t="shared" si="16"/>
        <v>5527222</v>
      </c>
      <c r="BW22" s="58">
        <f t="shared" si="16"/>
        <v>172725.6875</v>
      </c>
      <c r="BX22" s="58">
        <f t="shared" si="16"/>
        <v>27287.21875</v>
      </c>
      <c r="BY22" s="58">
        <f t="shared" si="16"/>
        <v>5619808</v>
      </c>
      <c r="BZ22" s="58">
        <f t="shared" si="16"/>
        <v>132800</v>
      </c>
      <c r="CA22" s="58">
        <f t="shared" si="16"/>
        <v>-95953</v>
      </c>
      <c r="CB22" s="58">
        <f t="shared" si="16"/>
        <v>5507488</v>
      </c>
      <c r="CC22" s="58">
        <f t="shared" si="16"/>
        <v>-1.0429840000000041</v>
      </c>
      <c r="CD22" s="58">
        <f t="shared" si="16"/>
        <v>-1.2620530000000088</v>
      </c>
      <c r="CE22" s="58">
        <f t="shared" si="16"/>
        <v>-0.10757800000000373</v>
      </c>
      <c r="CF22" s="58">
        <f t="shared" si="16"/>
        <v>-0.60499699999999734</v>
      </c>
      <c r="CG22" s="58">
        <f t="shared" si="16"/>
        <v>-0.62951900000000194</v>
      </c>
      <c r="CJ22" t="s">
        <v>239</v>
      </c>
    </row>
    <row r="23" spans="1:88" outlineLevel="1" x14ac:dyDescent="0.2">
      <c r="A23" s="52"/>
      <c r="B23" s="52" t="s">
        <v>70</v>
      </c>
      <c r="C23" s="9" t="s">
        <v>236</v>
      </c>
      <c r="D23" s="52">
        <v>250602891</v>
      </c>
      <c r="E23" s="9">
        <v>10</v>
      </c>
      <c r="F23" s="9">
        <v>32</v>
      </c>
      <c r="G23" s="9">
        <v>50</v>
      </c>
      <c r="I23" s="10">
        <f t="shared" si="0"/>
        <v>22.036375</v>
      </c>
      <c r="J23" s="11">
        <f t="shared" si="1"/>
        <v>5.6277403439850979E-2</v>
      </c>
      <c r="K23" s="11">
        <f t="shared" si="2"/>
        <v>1.532240902999E-2</v>
      </c>
      <c r="L23" s="11">
        <f t="shared" si="3"/>
        <v>1.1400028102628712E-2</v>
      </c>
      <c r="M23" s="11">
        <f t="shared" si="4"/>
        <v>4.095499440986098E-2</v>
      </c>
      <c r="N23" s="52">
        <f t="shared" si="5"/>
        <v>3839840</v>
      </c>
      <c r="O23" s="11">
        <v>16</v>
      </c>
      <c r="P23" s="12">
        <v>32798890</v>
      </c>
      <c r="Q23" s="12">
        <v>1024965.3125</v>
      </c>
      <c r="R23" s="12">
        <v>36962.65625</v>
      </c>
      <c r="S23" s="13">
        <v>14103280</v>
      </c>
      <c r="T23" s="13">
        <v>2856880</v>
      </c>
      <c r="U23" s="13">
        <v>982960</v>
      </c>
      <c r="V23" s="13">
        <v>10263440</v>
      </c>
      <c r="W23" s="14">
        <v>70.888133999999994</v>
      </c>
      <c r="X23" s="14">
        <v>73.610840999999994</v>
      </c>
      <c r="Y23" s="14">
        <v>35.678378000000002</v>
      </c>
      <c r="Z23" s="14">
        <v>42.882852999999997</v>
      </c>
      <c r="AA23" s="14">
        <v>41.708516000000003</v>
      </c>
      <c r="AB23" s="15">
        <v>4346.47</v>
      </c>
      <c r="AC23" s="15">
        <v>1394.42</v>
      </c>
      <c r="AD23" s="15">
        <v>81.272999999999996</v>
      </c>
      <c r="AE23" s="15">
        <v>17.853999999999999</v>
      </c>
      <c r="AG23" s="10">
        <f t="shared" si="6"/>
        <v>36.492787499999999</v>
      </c>
      <c r="AH23" s="11">
        <f t="shared" si="7"/>
        <v>9.3196785986000452E-2</v>
      </c>
      <c r="AI23" s="11">
        <f t="shared" si="8"/>
        <v>1.7769184474412149E-2</v>
      </c>
      <c r="AJ23" s="11">
        <f t="shared" si="9"/>
        <v>1.2060802602632386E-2</v>
      </c>
      <c r="AK23" s="11">
        <f t="shared" si="10"/>
        <v>7.7295325375955057E-2</v>
      </c>
      <c r="AL23" s="52">
        <f t="shared" si="11"/>
        <v>4453009</v>
      </c>
      <c r="AM23" s="11">
        <v>16</v>
      </c>
      <c r="AN23" s="12">
        <v>35464000</v>
      </c>
      <c r="AO23" s="12">
        <v>1108250</v>
      </c>
      <c r="AP23" s="12">
        <v>56627.8125</v>
      </c>
      <c r="AQ23" s="13">
        <v>23355384</v>
      </c>
      <c r="AR23" s="13">
        <v>3022472</v>
      </c>
      <c r="AS23" s="13">
        <v>1430537</v>
      </c>
      <c r="AT23" s="13">
        <v>19370432</v>
      </c>
      <c r="AU23" s="14">
        <v>69.700922000000006</v>
      </c>
      <c r="AV23" s="14">
        <v>72.091961999999995</v>
      </c>
      <c r="AW23" s="14">
        <v>35.590049999999998</v>
      </c>
      <c r="AX23" s="14">
        <v>42.408788000000001</v>
      </c>
      <c r="AY23" s="14">
        <v>41.147669</v>
      </c>
      <c r="AZ23" s="15">
        <v>4420.68</v>
      </c>
      <c r="BA23" s="15">
        <v>1024.94</v>
      </c>
      <c r="BB23" s="15">
        <v>90.12</v>
      </c>
      <c r="BC23" s="15">
        <v>20.471</v>
      </c>
      <c r="BE23" s="50">
        <f t="shared" si="12"/>
        <v>1.159686080670028</v>
      </c>
      <c r="BF23" s="16">
        <f t="shared" si="13"/>
        <v>1.5034256556469082E-2</v>
      </c>
      <c r="BG23" s="16">
        <f t="shared" si="14"/>
        <v>-8.1602681620065676E-2</v>
      </c>
      <c r="BH23" s="16"/>
      <c r="BJ23" s="50"/>
      <c r="BK23" s="50"/>
      <c r="BL23" s="50"/>
      <c r="BM23" s="50"/>
      <c r="BN23" s="50"/>
      <c r="BP23" s="50"/>
      <c r="BQ23" s="50"/>
      <c r="BR23" s="50"/>
      <c r="BS23" s="50"/>
      <c r="BT23" s="50"/>
      <c r="BV23" s="58">
        <f t="shared" si="16"/>
        <v>2665110</v>
      </c>
      <c r="BW23" s="58">
        <f t="shared" si="16"/>
        <v>83284.6875</v>
      </c>
      <c r="BX23" s="58">
        <f t="shared" si="16"/>
        <v>19665.15625</v>
      </c>
      <c r="BY23" s="58">
        <f t="shared" si="16"/>
        <v>9252104</v>
      </c>
      <c r="BZ23" s="58">
        <f t="shared" si="16"/>
        <v>165592</v>
      </c>
      <c r="CA23" s="58">
        <f t="shared" si="16"/>
        <v>447577</v>
      </c>
      <c r="CB23" s="58">
        <f t="shared" si="16"/>
        <v>9106992</v>
      </c>
      <c r="CC23" s="58">
        <f t="shared" si="16"/>
        <v>-1.1872119999999882</v>
      </c>
      <c r="CD23" s="58">
        <f t="shared" si="16"/>
        <v>-1.5188789999999983</v>
      </c>
      <c r="CE23" s="58">
        <f t="shared" si="16"/>
        <v>-8.8328000000004181E-2</v>
      </c>
      <c r="CF23" s="58">
        <f t="shared" si="16"/>
        <v>-0.47406499999999596</v>
      </c>
      <c r="CG23" s="58">
        <f t="shared" si="16"/>
        <v>-0.56084700000000254</v>
      </c>
      <c r="CJ23" t="s">
        <v>239</v>
      </c>
    </row>
    <row r="24" spans="1:88" ht="16" outlineLevel="1" thickBot="1" x14ac:dyDescent="0.25">
      <c r="A24" s="36"/>
      <c r="B24" s="36" t="s">
        <v>70</v>
      </c>
      <c r="C24" s="37" t="s">
        <v>237</v>
      </c>
      <c r="D24" s="36">
        <v>250602891</v>
      </c>
      <c r="E24" s="37">
        <v>10</v>
      </c>
      <c r="F24" s="37">
        <v>32</v>
      </c>
      <c r="G24" s="37">
        <v>50</v>
      </c>
      <c r="I24" s="38">
        <f t="shared" si="0"/>
        <v>38.637037499999998</v>
      </c>
      <c r="J24" s="39">
        <f t="shared" si="1"/>
        <v>9.8672860082847175E-2</v>
      </c>
      <c r="K24" s="39">
        <f t="shared" si="2"/>
        <v>2.5344895163240556E-2</v>
      </c>
      <c r="L24" s="39">
        <f t="shared" si="3"/>
        <v>1.7906609066213844E-2</v>
      </c>
      <c r="M24" s="39">
        <f t="shared" si="4"/>
        <v>7.3327964919606609E-2</v>
      </c>
      <c r="N24" s="36">
        <f t="shared" si="5"/>
        <v>6351504</v>
      </c>
      <c r="O24" s="39">
        <v>16</v>
      </c>
      <c r="P24" s="40">
        <v>31426902</v>
      </c>
      <c r="Q24" s="40">
        <v>982090.6875</v>
      </c>
      <c r="R24" s="40">
        <v>18270.09375</v>
      </c>
      <c r="S24" s="41">
        <v>24727704</v>
      </c>
      <c r="T24" s="41">
        <v>4487448</v>
      </c>
      <c r="U24" s="41">
        <v>1864056</v>
      </c>
      <c r="V24" s="41">
        <v>18376200</v>
      </c>
      <c r="W24" s="42">
        <v>71.730802999999995</v>
      </c>
      <c r="X24" s="42">
        <v>75.625753000000003</v>
      </c>
      <c r="Y24" s="42">
        <v>36.930331000000002</v>
      </c>
      <c r="Z24" s="42">
        <v>43.832703000000002</v>
      </c>
      <c r="AA24" s="42">
        <v>42.397630999999997</v>
      </c>
      <c r="AB24" s="43">
        <v>4810.5600000000004</v>
      </c>
      <c r="AC24" s="43">
        <v>1622.41</v>
      </c>
      <c r="AD24" s="43">
        <v>81.781000000000006</v>
      </c>
      <c r="AE24" s="43">
        <v>20.806999999999999</v>
      </c>
      <c r="AG24" s="38">
        <f t="shared" si="6"/>
        <v>66.949950000000001</v>
      </c>
      <c r="AH24" s="39">
        <f t="shared" si="7"/>
        <v>0.17097954388722514</v>
      </c>
      <c r="AI24" s="39">
        <f t="shared" si="8"/>
        <v>3.0119038012215112E-2</v>
      </c>
      <c r="AJ24" s="39">
        <f t="shared" si="9"/>
        <v>1.8882272192143227E-2</v>
      </c>
      <c r="AK24" s="39">
        <f t="shared" si="10"/>
        <v>0.14462326374359344</v>
      </c>
      <c r="AL24" s="36">
        <f t="shared" si="11"/>
        <v>7547918</v>
      </c>
      <c r="AM24" s="39">
        <v>16</v>
      </c>
      <c r="AN24" s="40">
        <v>32454335</v>
      </c>
      <c r="AO24" s="40">
        <v>1014197.96875</v>
      </c>
      <c r="AP24" s="40">
        <v>26976.34375</v>
      </c>
      <c r="AQ24" s="41">
        <v>42847968</v>
      </c>
      <c r="AR24" s="41">
        <v>4731952</v>
      </c>
      <c r="AS24" s="41">
        <v>2815966</v>
      </c>
      <c r="AT24" s="41">
        <v>36243008</v>
      </c>
      <c r="AU24" s="42">
        <v>70.993722000000005</v>
      </c>
      <c r="AV24" s="42">
        <v>73.683618999999993</v>
      </c>
      <c r="AW24" s="42">
        <v>37.172184000000001</v>
      </c>
      <c r="AX24" s="42">
        <v>43.628463000000004</v>
      </c>
      <c r="AY24" s="42">
        <v>42.170416000000003</v>
      </c>
      <c r="AZ24" s="43">
        <v>4266.83</v>
      </c>
      <c r="BA24" s="43">
        <v>1070.69</v>
      </c>
      <c r="BB24" s="43">
        <v>80.093000000000004</v>
      </c>
      <c r="BC24" s="43">
        <v>20.95</v>
      </c>
      <c r="BE24" s="44">
        <f t="shared" si="12"/>
        <v>1.1883670387360221</v>
      </c>
      <c r="BF24" s="45">
        <f t="shared" si="13"/>
        <v>7.99543084690231E-3</v>
      </c>
      <c r="BG24" s="45">
        <f t="shared" si="14"/>
        <v>-8.0702016115257597E-2</v>
      </c>
      <c r="BH24" s="45"/>
      <c r="BJ24" s="44"/>
      <c r="BK24" s="44"/>
      <c r="BL24" s="44"/>
      <c r="BM24" s="44"/>
      <c r="BN24" s="44"/>
      <c r="BP24" s="44"/>
      <c r="BQ24" s="44"/>
      <c r="BR24" s="44"/>
      <c r="BS24" s="44"/>
      <c r="BT24" s="44"/>
      <c r="BV24" s="58">
        <f t="shared" si="16"/>
        <v>1027433</v>
      </c>
      <c r="BW24" s="58">
        <f t="shared" si="16"/>
        <v>32107.28125</v>
      </c>
      <c r="BX24" s="58">
        <f t="shared" si="16"/>
        <v>8706.25</v>
      </c>
      <c r="BY24" s="58">
        <f t="shared" si="16"/>
        <v>18120264</v>
      </c>
      <c r="BZ24" s="58">
        <f t="shared" si="16"/>
        <v>244504</v>
      </c>
      <c r="CA24" s="58">
        <f t="shared" si="16"/>
        <v>951910</v>
      </c>
      <c r="CB24" s="58">
        <f t="shared" si="16"/>
        <v>17866808</v>
      </c>
      <c r="CC24" s="58">
        <f t="shared" si="16"/>
        <v>-0.73708099999998922</v>
      </c>
      <c r="CD24" s="58">
        <f t="shared" si="16"/>
        <v>-1.94213400000001</v>
      </c>
      <c r="CE24" s="58">
        <f t="shared" si="16"/>
        <v>0.24185299999999899</v>
      </c>
      <c r="CF24" s="58">
        <f t="shared" si="16"/>
        <v>-0.20423999999999864</v>
      </c>
      <c r="CG24" s="58">
        <f t="shared" si="16"/>
        <v>-0.22721499999999395</v>
      </c>
      <c r="CJ24" t="s">
        <v>239</v>
      </c>
    </row>
    <row r="25" spans="1:88" x14ac:dyDescent="0.2">
      <c r="A25" s="52" t="s">
        <v>240</v>
      </c>
      <c r="B25" s="52" t="s">
        <v>73</v>
      </c>
      <c r="C25" s="9" t="s">
        <v>232</v>
      </c>
      <c r="D25" s="52">
        <v>250294582</v>
      </c>
      <c r="E25" s="9">
        <v>10</v>
      </c>
      <c r="F25" s="9">
        <v>32</v>
      </c>
      <c r="G25" s="9">
        <v>30</v>
      </c>
      <c r="I25" s="10">
        <f t="shared" si="0"/>
        <v>4.3893674999999996</v>
      </c>
      <c r="J25" s="11">
        <f t="shared" si="1"/>
        <v>1.8705926283294459E-2</v>
      </c>
      <c r="K25" s="11">
        <f t="shared" si="2"/>
        <v>6.5750684127872973E-3</v>
      </c>
      <c r="L25" s="11">
        <f t="shared" si="3"/>
        <v>3.7261054256460093E-3</v>
      </c>
      <c r="M25" s="11">
        <f t="shared" si="4"/>
        <v>1.2130857870507161E-2</v>
      </c>
      <c r="N25" s="52">
        <f t="shared" si="5"/>
        <v>1645704</v>
      </c>
      <c r="O25" s="11">
        <v>16</v>
      </c>
      <c r="P25" s="12">
        <v>23156910</v>
      </c>
      <c r="Q25" s="12">
        <v>723653.4375</v>
      </c>
      <c r="R25" s="12">
        <v>14060.625</v>
      </c>
      <c r="S25" s="13">
        <v>4681992</v>
      </c>
      <c r="T25" s="13">
        <v>932624</v>
      </c>
      <c r="U25" s="13">
        <v>713080</v>
      </c>
      <c r="V25" s="13">
        <v>3036288</v>
      </c>
      <c r="W25" s="14">
        <v>66.208680999999999</v>
      </c>
      <c r="X25" s="14">
        <v>67.982928000000001</v>
      </c>
      <c r="Y25" s="14">
        <v>27.335812000000001</v>
      </c>
      <c r="Z25" s="14">
        <v>33.167050000000003</v>
      </c>
      <c r="AA25" s="14">
        <v>32.594690999999997</v>
      </c>
      <c r="AB25" s="15">
        <v>1557.95</v>
      </c>
      <c r="AC25" s="15">
        <v>1095.81</v>
      </c>
      <c r="AD25" s="15">
        <v>61.21</v>
      </c>
      <c r="AE25" s="15">
        <v>16.762</v>
      </c>
      <c r="AG25" s="10">
        <f t="shared" si="6"/>
        <v>8.209695</v>
      </c>
      <c r="AH25" s="11">
        <f t="shared" si="7"/>
        <v>3.4986806066780944E-2</v>
      </c>
      <c r="AI25" s="11">
        <f t="shared" si="8"/>
        <v>6.4365795980354064E-3</v>
      </c>
      <c r="AJ25" s="11">
        <f t="shared" si="9"/>
        <v>4.0788098241774963E-3</v>
      </c>
      <c r="AK25" s="11">
        <f t="shared" si="10"/>
        <v>2.8156710160030553E-2</v>
      </c>
      <c r="AL25" s="52">
        <f t="shared" si="11"/>
        <v>1611041</v>
      </c>
      <c r="AM25" s="11">
        <v>16</v>
      </c>
      <c r="AN25" s="12">
        <v>35451257</v>
      </c>
      <c r="AO25" s="12">
        <v>1107851.78125</v>
      </c>
      <c r="AP25" s="12">
        <v>41019.78125</v>
      </c>
      <c r="AQ25" s="13">
        <v>8757008</v>
      </c>
      <c r="AR25" s="13">
        <v>1020904</v>
      </c>
      <c r="AS25" s="13">
        <v>590137</v>
      </c>
      <c r="AT25" s="13">
        <v>7047472</v>
      </c>
      <c r="AU25" s="14">
        <v>65.635452999999998</v>
      </c>
      <c r="AV25" s="14">
        <v>66.939312000000001</v>
      </c>
      <c r="AW25" s="14">
        <v>27.472111999999999</v>
      </c>
      <c r="AX25" s="14">
        <v>33.092319000000003</v>
      </c>
      <c r="AY25" s="14">
        <v>32.539512999999999</v>
      </c>
      <c r="AZ25" s="15">
        <v>1457.01</v>
      </c>
      <c r="BA25" s="15">
        <v>813.89200000000005</v>
      </c>
      <c r="BB25" s="15">
        <v>85.417000000000002</v>
      </c>
      <c r="BC25" s="15">
        <v>16.001000000000001</v>
      </c>
      <c r="BE25" s="50">
        <f t="shared" si="12"/>
        <v>0.97893728155245419</v>
      </c>
      <c r="BF25" s="16">
        <f t="shared" si="13"/>
        <v>1.7596362807270748E-2</v>
      </c>
      <c r="BG25" s="16">
        <f t="shared" si="14"/>
        <v>-0.16752491657209415</v>
      </c>
      <c r="BH25" s="16">
        <f t="array" ref="BH25">AVERAGE(AL25:AL29/AQ25:AQ29) - AVERAGE(N25:N29/S25:S29)</f>
        <v>-6.2324029259647279E-2</v>
      </c>
      <c r="BJ25" s="50">
        <f>IF( OR(ISBLANK(N25:N29),ISBLANK(AL25:AL29), ISBLANK(W25:W29),ISBLANK(AU25:AU29)), "·", bdRateExtend( N25:N29,W25:W29, AL25:AL29,AU25:AU29))</f>
        <v>0.81373721964029122</v>
      </c>
      <c r="BK25" s="50">
        <f>IF( OR(ISBLANK(N25:N29),ISBLANK(AL25:AL29), ISBLANK(X25:X29),ISBLANK(AV25:AV29)), "·", bdRateExtend( N25:N29,X25:X29, AL25:AL29,AV25:AV29))</f>
        <v>0.91852359554501817</v>
      </c>
      <c r="BL25" s="50">
        <f>IF( OR(ISBLANK(V25:V29),ISBLANK(AT25:AT29), ISBLANK(Y25:Y29),ISBLANK(AW25:AW29)), "·", bdRateExtend( V25:V29,Y25:Y29, AT25:AT29,AW25:AW29))</f>
        <v>0.82178646321287774</v>
      </c>
      <c r="BM25" s="50">
        <f>IF( OR(ISBLANK(V25:V29),ISBLANK(AT25:AT29), ISBLANK(Z25:Z29),ISBLANK(AX25:AX29)), "·", bdRateExtend( V25:V29,Z25:Z29, AT25:AT29,AX25:AX29))</f>
        <v>0.95879083856309699</v>
      </c>
      <c r="BN25" s="50">
        <f>IF( OR(ISBLANK(V25:V29),ISBLANK(AT25:AT29), ISBLANK(AA25:AA29),ISBLANK(AY25:AY29)), "·", bdRateExtend( V25:V29,AA25:AA29, AT25:AT29,AY25:AY29))</f>
        <v>0.95611072482797854</v>
      </c>
      <c r="BP25" s="50">
        <f>IF( OR(ISBLANK(S25:S29),ISBLANK(AQ25:AQ29), ISBLANK(W25:W29),ISBLANK(AU25:AU29)), "·", bdRateExtend( S25:S29,W25:W29, AQ25:AQ29,AU25:AU29))</f>
        <v>1.8830482078619086</v>
      </c>
      <c r="BQ25" s="50">
        <f>IF( OR(ISBLANK(S25:S29),ISBLANK(AQ25:AQ29), ISBLANK(X25:X29),ISBLANK(AV25:AV29)), "·", bdRateExtend( S25:S29,X25:X29, AQ25:AQ29,AV25:AV29))</f>
        <v>1.9480720882654756</v>
      </c>
      <c r="BR25" s="50">
        <f>IF( OR(ISBLANK(S25:S29),ISBLANK(AQ25:AQ29), ISBLANK(Y25:Y29),ISBLANK(AW25:AW29)), "·", bdRateExtend( S25:S29,Y25:Y29, AQ25:AQ29,AW25:AW29))</f>
        <v>0.65625632799850941</v>
      </c>
      <c r="BS25" s="50">
        <f>IF( OR(ISBLANK(S25:S29),ISBLANK(AQ25:AQ29), ISBLANK(Z25:Z29),ISBLANK(AX25:AX29)), "·", bdRateExtend( S25:S29,Z25:Z29, AQ25:AQ29,AX25:AX29))</f>
        <v>0.78448516189758877</v>
      </c>
      <c r="BT25" s="50">
        <f>IF( OR(ISBLANK(S25:S29),ISBLANK(AQ25:AQ29), ISBLANK(AA25:AA29),ISBLANK(AY25:AY29)), "·", bdRateExtend( S25:S29,AA25:AA29, AQ25:AQ29,AY25:AY29))</f>
        <v>0.77647267522682384</v>
      </c>
      <c r="BV25" s="58">
        <f t="shared" si="16"/>
        <v>12294347</v>
      </c>
      <c r="BW25" s="58">
        <f t="shared" si="16"/>
        <v>384198.34375</v>
      </c>
      <c r="BX25" s="58">
        <f t="shared" si="16"/>
        <v>26959.15625</v>
      </c>
      <c r="BY25" s="58">
        <f t="shared" si="16"/>
        <v>4075016</v>
      </c>
      <c r="BZ25" s="58">
        <f t="shared" si="16"/>
        <v>88280</v>
      </c>
      <c r="CA25" s="58">
        <f t="shared" si="16"/>
        <v>-122943</v>
      </c>
      <c r="CB25" s="58">
        <f t="shared" si="16"/>
        <v>4011184</v>
      </c>
      <c r="CC25" s="58">
        <f t="shared" si="16"/>
        <v>-0.57322800000000029</v>
      </c>
      <c r="CD25" s="58">
        <f t="shared" si="16"/>
        <v>-1.0436160000000001</v>
      </c>
      <c r="CE25" s="58">
        <f t="shared" si="16"/>
        <v>0.13629999999999853</v>
      </c>
      <c r="CF25" s="58">
        <f t="shared" si="16"/>
        <v>-7.4730999999999881E-2</v>
      </c>
      <c r="CG25" s="58">
        <f t="shared" si="16"/>
        <v>-5.5177999999997951E-2</v>
      </c>
      <c r="CJ25" t="s">
        <v>241</v>
      </c>
    </row>
    <row r="26" spans="1:88" outlineLevel="1" x14ac:dyDescent="0.2">
      <c r="A26" s="17"/>
      <c r="B26" s="17" t="s">
        <v>73</v>
      </c>
      <c r="C26" s="18" t="s">
        <v>234</v>
      </c>
      <c r="D26" s="17">
        <v>250294582</v>
      </c>
      <c r="E26" s="18">
        <v>10</v>
      </c>
      <c r="F26" s="18">
        <v>32</v>
      </c>
      <c r="G26" s="18">
        <v>30</v>
      </c>
      <c r="I26" s="19">
        <f t="shared" si="0"/>
        <v>7.5169949999999996</v>
      </c>
      <c r="J26" s="20">
        <f t="shared" si="1"/>
        <v>3.2034764539969146E-2</v>
      </c>
      <c r="K26" s="20">
        <f t="shared" si="2"/>
        <v>8.1015577077093899E-3</v>
      </c>
      <c r="L26" s="20">
        <f t="shared" si="3"/>
        <v>5.2525947205681028E-3</v>
      </c>
      <c r="M26" s="20">
        <f t="shared" si="4"/>
        <v>2.3933206832259756E-2</v>
      </c>
      <c r="N26" s="17">
        <f t="shared" si="5"/>
        <v>2027776</v>
      </c>
      <c r="O26" s="20">
        <v>16</v>
      </c>
      <c r="P26" s="21">
        <v>24564301</v>
      </c>
      <c r="Q26" s="21">
        <v>767634.40625</v>
      </c>
      <c r="R26" s="21">
        <v>17714.59375</v>
      </c>
      <c r="S26" s="22">
        <v>8018128</v>
      </c>
      <c r="T26" s="22">
        <v>1314696</v>
      </c>
      <c r="U26" s="22">
        <v>713080</v>
      </c>
      <c r="V26" s="22">
        <v>5990352</v>
      </c>
      <c r="W26" s="23">
        <v>67.941556000000006</v>
      </c>
      <c r="X26" s="23">
        <v>69.941896999999997</v>
      </c>
      <c r="Y26" s="23">
        <v>29.713653000000001</v>
      </c>
      <c r="Z26" s="23">
        <v>34.339922000000001</v>
      </c>
      <c r="AA26" s="23">
        <v>33.891993999999997</v>
      </c>
      <c r="AB26" s="24">
        <v>1821.78</v>
      </c>
      <c r="AC26" s="24">
        <v>1477.01</v>
      </c>
      <c r="AD26" s="24">
        <v>67.536000000000001</v>
      </c>
      <c r="AE26" s="24">
        <v>22.475999999999999</v>
      </c>
      <c r="AG26" s="19">
        <f t="shared" si="6"/>
        <v>13.901047500000001</v>
      </c>
      <c r="AH26" s="20">
        <f t="shared" si="7"/>
        <v>5.924133028177174E-2</v>
      </c>
      <c r="AI26" s="20">
        <f t="shared" si="8"/>
        <v>9.4513432176490334E-3</v>
      </c>
      <c r="AJ26" s="20">
        <f t="shared" si="9"/>
        <v>5.7194366276773819E-3</v>
      </c>
      <c r="AK26" s="20">
        <f t="shared" si="10"/>
        <v>5.0770639533859345E-2</v>
      </c>
      <c r="AL26" s="17">
        <f t="shared" si="11"/>
        <v>2365620</v>
      </c>
      <c r="AM26" s="20">
        <v>16</v>
      </c>
      <c r="AN26" s="21">
        <v>34529751</v>
      </c>
      <c r="AO26" s="21">
        <v>1079054.71875</v>
      </c>
      <c r="AP26" s="21">
        <v>41428.9375</v>
      </c>
      <c r="AQ26" s="22">
        <v>14827784</v>
      </c>
      <c r="AR26" s="22">
        <v>1431544</v>
      </c>
      <c r="AS26" s="22">
        <v>934076</v>
      </c>
      <c r="AT26" s="22">
        <v>12707616</v>
      </c>
      <c r="AU26" s="23">
        <v>66.886955999999998</v>
      </c>
      <c r="AV26" s="23">
        <v>68.455412999999993</v>
      </c>
      <c r="AW26" s="23">
        <v>30.024322000000002</v>
      </c>
      <c r="AX26" s="23">
        <v>34.304375</v>
      </c>
      <c r="AY26" s="23">
        <v>33.875746999999997</v>
      </c>
      <c r="AZ26" s="24">
        <v>1507.9</v>
      </c>
      <c r="BA26" s="24">
        <v>873.07299999999998</v>
      </c>
      <c r="BB26" s="24">
        <v>84.198999999999998</v>
      </c>
      <c r="BC26" s="24">
        <v>17.082999999999998</v>
      </c>
      <c r="BE26" s="49">
        <f t="shared" si="12"/>
        <v>1.1666081460674156</v>
      </c>
      <c r="BF26" s="25">
        <f t="shared" si="13"/>
        <v>1.5316869189534493E-2</v>
      </c>
      <c r="BG26" s="25">
        <f t="shared" si="14"/>
        <v>-9.3359245254018758E-2</v>
      </c>
      <c r="BH26" s="25"/>
      <c r="BJ26" s="49"/>
      <c r="BK26" s="49"/>
      <c r="BL26" s="49"/>
      <c r="BM26" s="49"/>
      <c r="BN26" s="49"/>
      <c r="BP26" s="49"/>
      <c r="BQ26" s="49"/>
      <c r="BR26" s="49"/>
      <c r="BS26" s="49"/>
      <c r="BT26" s="49"/>
      <c r="BV26" s="58">
        <f t="shared" si="16"/>
        <v>9965450</v>
      </c>
      <c r="BW26" s="58">
        <f t="shared" si="16"/>
        <v>311420.3125</v>
      </c>
      <c r="BX26" s="58">
        <f t="shared" si="16"/>
        <v>23714.34375</v>
      </c>
      <c r="BY26" s="58">
        <f t="shared" si="16"/>
        <v>6809656</v>
      </c>
      <c r="BZ26" s="58">
        <f t="shared" si="16"/>
        <v>116848</v>
      </c>
      <c r="CA26" s="58">
        <f t="shared" si="16"/>
        <v>220996</v>
      </c>
      <c r="CB26" s="58">
        <f t="shared" si="16"/>
        <v>6717264</v>
      </c>
      <c r="CC26" s="58">
        <f t="shared" si="16"/>
        <v>-1.0546000000000078</v>
      </c>
      <c r="CD26" s="58">
        <f t="shared" si="16"/>
        <v>-1.4864840000000044</v>
      </c>
      <c r="CE26" s="58">
        <f t="shared" si="16"/>
        <v>0.31066900000000075</v>
      </c>
      <c r="CF26" s="58">
        <f t="shared" si="16"/>
        <v>-3.5547000000001105E-2</v>
      </c>
      <c r="CG26" s="58">
        <f t="shared" si="16"/>
        <v>-1.62469999999999E-2</v>
      </c>
      <c r="CJ26" t="s">
        <v>241</v>
      </c>
    </row>
    <row r="27" spans="1:88" outlineLevel="1" x14ac:dyDescent="0.2">
      <c r="A27" s="52"/>
      <c r="B27" s="52" t="s">
        <v>73</v>
      </c>
      <c r="C27" s="9" t="s">
        <v>235</v>
      </c>
      <c r="D27" s="52">
        <v>250294582</v>
      </c>
      <c r="E27" s="9">
        <v>10</v>
      </c>
      <c r="F27" s="9">
        <v>32</v>
      </c>
      <c r="G27" s="9">
        <v>30</v>
      </c>
      <c r="I27" s="10">
        <f t="shared" si="0"/>
        <v>13.216447499999999</v>
      </c>
      <c r="J27" s="11">
        <f t="shared" si="1"/>
        <v>5.6323808079872861E-2</v>
      </c>
      <c r="K27" s="11">
        <f t="shared" si="2"/>
        <v>1.0397987759878878E-2</v>
      </c>
      <c r="L27" s="11">
        <f t="shared" si="3"/>
        <v>7.5490247727375897E-3</v>
      </c>
      <c r="M27" s="11">
        <f t="shared" si="4"/>
        <v>4.5925820319993982E-2</v>
      </c>
      <c r="N27" s="52">
        <f t="shared" si="5"/>
        <v>2602560</v>
      </c>
      <c r="O27" s="11">
        <v>16</v>
      </c>
      <c r="P27" s="12">
        <v>24852477</v>
      </c>
      <c r="Q27" s="12">
        <v>776639.90625</v>
      </c>
      <c r="R27" s="12">
        <v>18688.75</v>
      </c>
      <c r="S27" s="13">
        <v>14097544</v>
      </c>
      <c r="T27" s="13">
        <v>1889480</v>
      </c>
      <c r="U27" s="13">
        <v>713080</v>
      </c>
      <c r="V27" s="13">
        <v>11494984</v>
      </c>
      <c r="W27" s="14">
        <v>69.263744000000003</v>
      </c>
      <c r="X27" s="14">
        <v>71.649234000000007</v>
      </c>
      <c r="Y27" s="14">
        <v>32.212888</v>
      </c>
      <c r="Z27" s="14">
        <v>35.580181000000003</v>
      </c>
      <c r="AA27" s="14">
        <v>35.204984000000003</v>
      </c>
      <c r="AB27" s="15">
        <v>1604.67</v>
      </c>
      <c r="AC27" s="15">
        <v>1271.32</v>
      </c>
      <c r="AD27" s="15">
        <v>70.06</v>
      </c>
      <c r="AE27" s="15">
        <v>18.914000000000001</v>
      </c>
      <c r="AG27" s="10">
        <f t="shared" si="6"/>
        <v>23.907517500000001</v>
      </c>
      <c r="AH27" s="11">
        <f t="shared" si="7"/>
        <v>0.10188535363502195</v>
      </c>
      <c r="AI27" s="11">
        <f t="shared" si="8"/>
        <v>1.4453177416361334E-2</v>
      </c>
      <c r="AJ27" s="11">
        <f t="shared" si="9"/>
        <v>8.3083220714701683E-3</v>
      </c>
      <c r="AK27" s="11">
        <f t="shared" si="10"/>
        <v>9.0825777443316769E-2</v>
      </c>
      <c r="AL27" s="52">
        <f t="shared" si="11"/>
        <v>3617552</v>
      </c>
      <c r="AM27" s="11">
        <v>16</v>
      </c>
      <c r="AN27" s="12">
        <v>32612890</v>
      </c>
      <c r="AO27" s="12">
        <v>1019152.8125</v>
      </c>
      <c r="AP27" s="12">
        <v>40601.03125</v>
      </c>
      <c r="AQ27" s="13">
        <v>25501352</v>
      </c>
      <c r="AR27" s="13">
        <v>2079528</v>
      </c>
      <c r="AS27" s="13">
        <v>1538024</v>
      </c>
      <c r="AT27" s="13">
        <v>22733200</v>
      </c>
      <c r="AU27" s="14">
        <v>67.967797000000004</v>
      </c>
      <c r="AV27" s="14">
        <v>69.803415999999999</v>
      </c>
      <c r="AW27" s="14">
        <v>32.730659000000003</v>
      </c>
      <c r="AX27" s="14">
        <v>35.570272000000003</v>
      </c>
      <c r="AY27" s="14">
        <v>35.226818999999999</v>
      </c>
      <c r="AZ27" s="15">
        <v>1613.82</v>
      </c>
      <c r="BA27" s="15">
        <v>1007.07</v>
      </c>
      <c r="BB27" s="15">
        <v>86.128</v>
      </c>
      <c r="BC27" s="15">
        <v>20.361000000000001</v>
      </c>
      <c r="BE27" s="50">
        <f t="shared" si="12"/>
        <v>1.3899975408828231</v>
      </c>
      <c r="BF27" s="16">
        <f t="shared" si="13"/>
        <v>1.5774423738521472E-2</v>
      </c>
      <c r="BG27" s="16">
        <f t="shared" si="14"/>
        <v>-4.2753616641786035E-2</v>
      </c>
      <c r="BH27" s="16"/>
      <c r="BJ27" s="50"/>
      <c r="BK27" s="50"/>
      <c r="BL27" s="50"/>
      <c r="BM27" s="50"/>
      <c r="BN27" s="50"/>
      <c r="BP27" s="50"/>
      <c r="BQ27" s="50"/>
      <c r="BR27" s="50"/>
      <c r="BS27" s="50"/>
      <c r="BT27" s="50"/>
      <c r="BV27" s="58">
        <f t="shared" si="16"/>
        <v>7760413</v>
      </c>
      <c r="BW27" s="58">
        <f t="shared" si="16"/>
        <v>242512.90625</v>
      </c>
      <c r="BX27" s="58">
        <f t="shared" si="16"/>
        <v>21912.28125</v>
      </c>
      <c r="BY27" s="58">
        <f t="shared" si="16"/>
        <v>11403808</v>
      </c>
      <c r="BZ27" s="58">
        <f t="shared" si="16"/>
        <v>190048</v>
      </c>
      <c r="CA27" s="58">
        <f t="shared" si="16"/>
        <v>824944</v>
      </c>
      <c r="CB27" s="58">
        <f t="shared" si="16"/>
        <v>11238216</v>
      </c>
      <c r="CC27" s="58">
        <f t="shared" si="16"/>
        <v>-1.2959469999999982</v>
      </c>
      <c r="CD27" s="58">
        <f t="shared" si="16"/>
        <v>-1.8458180000000084</v>
      </c>
      <c r="CE27" s="58">
        <f t="shared" si="16"/>
        <v>0.51777100000000331</v>
      </c>
      <c r="CF27" s="58">
        <f t="shared" si="16"/>
        <v>-9.9090000000003897E-3</v>
      </c>
      <c r="CG27" s="58">
        <f t="shared" si="16"/>
        <v>2.183499999999583E-2</v>
      </c>
      <c r="CJ27" t="s">
        <v>241</v>
      </c>
    </row>
    <row r="28" spans="1:88" outlineLevel="1" x14ac:dyDescent="0.2">
      <c r="A28" s="17"/>
      <c r="B28" s="17" t="s">
        <v>73</v>
      </c>
      <c r="C28" s="18" t="s">
        <v>236</v>
      </c>
      <c r="D28" s="17">
        <v>250294582</v>
      </c>
      <c r="E28" s="18">
        <v>10</v>
      </c>
      <c r="F28" s="18">
        <v>32</v>
      </c>
      <c r="G28" s="18">
        <v>30</v>
      </c>
      <c r="I28" s="19">
        <f t="shared" si="0"/>
        <v>24.485197500000002</v>
      </c>
      <c r="J28" s="20">
        <f t="shared" si="1"/>
        <v>0.10434722074807037</v>
      </c>
      <c r="K28" s="20">
        <f t="shared" si="2"/>
        <v>1.4255106808504548E-2</v>
      </c>
      <c r="L28" s="20">
        <f t="shared" si="3"/>
        <v>1.1406143821363261E-2</v>
      </c>
      <c r="M28" s="20">
        <f t="shared" si="4"/>
        <v>9.0092113939565815E-2</v>
      </c>
      <c r="N28" s="17">
        <f t="shared" si="5"/>
        <v>3567976</v>
      </c>
      <c r="O28" s="20">
        <v>16</v>
      </c>
      <c r="P28" s="21">
        <v>25521142</v>
      </c>
      <c r="Q28" s="21">
        <v>797535.6875</v>
      </c>
      <c r="R28" s="21">
        <v>20922.53125</v>
      </c>
      <c r="S28" s="22">
        <v>26117544</v>
      </c>
      <c r="T28" s="22">
        <v>2854896</v>
      </c>
      <c r="U28" s="22">
        <v>713080</v>
      </c>
      <c r="V28" s="22">
        <v>22549568</v>
      </c>
      <c r="W28" s="23">
        <v>70.432472000000004</v>
      </c>
      <c r="X28" s="23">
        <v>72.970200000000006</v>
      </c>
      <c r="Y28" s="23">
        <v>34.910972000000001</v>
      </c>
      <c r="Z28" s="23">
        <v>37.373078</v>
      </c>
      <c r="AA28" s="23">
        <v>36.936613000000001</v>
      </c>
      <c r="AB28" s="24">
        <v>1539.49</v>
      </c>
      <c r="AC28" s="24">
        <v>1361.73</v>
      </c>
      <c r="AD28" s="24">
        <v>65.055000000000007</v>
      </c>
      <c r="AE28" s="24">
        <v>18.885000000000002</v>
      </c>
      <c r="AG28" s="19">
        <f t="shared" si="6"/>
        <v>42.450899999999997</v>
      </c>
      <c r="AH28" s="20">
        <f t="shared" si="7"/>
        <v>0.18091066789452118</v>
      </c>
      <c r="AI28" s="20">
        <f t="shared" si="8"/>
        <v>2.3236611649867834E-2</v>
      </c>
      <c r="AJ28" s="20">
        <f t="shared" si="9"/>
        <v>1.2398606374947422E-2</v>
      </c>
      <c r="AK28" s="20">
        <f t="shared" si="10"/>
        <v>0.16576080739933874</v>
      </c>
      <c r="AL28" s="17">
        <f t="shared" si="11"/>
        <v>5815998</v>
      </c>
      <c r="AM28" s="20">
        <v>16</v>
      </c>
      <c r="AN28" s="21">
        <v>28104865</v>
      </c>
      <c r="AO28" s="21">
        <v>878277.03125</v>
      </c>
      <c r="AP28" s="21">
        <v>36755.0625</v>
      </c>
      <c r="AQ28" s="22">
        <v>45280960</v>
      </c>
      <c r="AR28" s="22">
        <v>3103304</v>
      </c>
      <c r="AS28" s="22">
        <v>2712694</v>
      </c>
      <c r="AT28" s="22">
        <v>41489032</v>
      </c>
      <c r="AU28" s="23">
        <v>69.439166</v>
      </c>
      <c r="AV28" s="23">
        <v>71.685305999999997</v>
      </c>
      <c r="AW28" s="23">
        <v>35.341777999999998</v>
      </c>
      <c r="AX28" s="23">
        <v>37.393028000000001</v>
      </c>
      <c r="AY28" s="23">
        <v>36.981278000000003</v>
      </c>
      <c r="AZ28" s="24">
        <v>1476.05</v>
      </c>
      <c r="BA28" s="24">
        <v>972.44399999999996</v>
      </c>
      <c r="BB28" s="24">
        <v>69.069999999999993</v>
      </c>
      <c r="BC28" s="24">
        <v>20.036999999999999</v>
      </c>
      <c r="BE28" s="49">
        <f t="shared" si="12"/>
        <v>1.630055247008388</v>
      </c>
      <c r="BF28" s="25">
        <f t="shared" si="13"/>
        <v>1.5615078582747348E-2</v>
      </c>
      <c r="BG28" s="25">
        <f t="shared" si="14"/>
        <v>-8.1697704075581745E-3</v>
      </c>
      <c r="BH28" s="25"/>
      <c r="BJ28" s="49"/>
      <c r="BK28" s="49"/>
      <c r="BL28" s="49"/>
      <c r="BM28" s="49"/>
      <c r="BN28" s="49"/>
      <c r="BP28" s="49"/>
      <c r="BQ28" s="49"/>
      <c r="BR28" s="49"/>
      <c r="BS28" s="49"/>
      <c r="BT28" s="49"/>
      <c r="BV28" s="58">
        <f t="shared" si="16"/>
        <v>2583723</v>
      </c>
      <c r="BW28" s="58">
        <f t="shared" si="16"/>
        <v>80741.34375</v>
      </c>
      <c r="BX28" s="58">
        <f t="shared" si="16"/>
        <v>15832.53125</v>
      </c>
      <c r="BY28" s="58">
        <f t="shared" si="16"/>
        <v>19163416</v>
      </c>
      <c r="BZ28" s="58">
        <f t="shared" si="16"/>
        <v>248408</v>
      </c>
      <c r="CA28" s="58">
        <f t="shared" si="16"/>
        <v>1999614</v>
      </c>
      <c r="CB28" s="58">
        <f t="shared" si="16"/>
        <v>18939464</v>
      </c>
      <c r="CC28" s="58">
        <f t="shared" si="16"/>
        <v>-0.99330600000000402</v>
      </c>
      <c r="CD28" s="58">
        <f t="shared" si="16"/>
        <v>-1.2848940000000084</v>
      </c>
      <c r="CE28" s="58">
        <f t="shared" si="16"/>
        <v>0.43080599999999691</v>
      </c>
      <c r="CF28" s="58">
        <f t="shared" si="16"/>
        <v>1.9950000000001467E-2</v>
      </c>
      <c r="CG28" s="58">
        <f t="shared" si="16"/>
        <v>4.4665000000001953E-2</v>
      </c>
      <c r="CJ28" t="s">
        <v>241</v>
      </c>
    </row>
    <row r="29" spans="1:88" ht="16" outlineLevel="1" thickBot="1" x14ac:dyDescent="0.25">
      <c r="A29" s="26"/>
      <c r="B29" s="26" t="s">
        <v>73</v>
      </c>
      <c r="C29" s="27" t="s">
        <v>237</v>
      </c>
      <c r="D29" s="26">
        <v>250294582</v>
      </c>
      <c r="E29" s="27">
        <v>10</v>
      </c>
      <c r="F29" s="27">
        <v>32</v>
      </c>
      <c r="G29" s="27">
        <v>30</v>
      </c>
      <c r="I29" s="28">
        <f t="shared" si="0"/>
        <v>44.199554999999997</v>
      </c>
      <c r="J29" s="29">
        <f t="shared" si="1"/>
        <v>0.18836281482113743</v>
      </c>
      <c r="K29" s="29">
        <f t="shared" si="2"/>
        <v>2.2993258399816262E-2</v>
      </c>
      <c r="L29" s="29">
        <f t="shared" si="3"/>
        <v>1.7641772205840237E-2</v>
      </c>
      <c r="M29" s="29">
        <f t="shared" si="4"/>
        <v>0.16536955642132117</v>
      </c>
      <c r="N29" s="26">
        <f t="shared" si="5"/>
        <v>5755088</v>
      </c>
      <c r="O29" s="29">
        <v>16</v>
      </c>
      <c r="P29" s="30">
        <v>24571358</v>
      </c>
      <c r="Q29" s="30">
        <v>767854.9375</v>
      </c>
      <c r="R29" s="30">
        <v>9744.125</v>
      </c>
      <c r="S29" s="31">
        <v>47146192</v>
      </c>
      <c r="T29" s="31">
        <v>4415640</v>
      </c>
      <c r="U29" s="31">
        <v>1339448</v>
      </c>
      <c r="V29" s="31">
        <v>41391104</v>
      </c>
      <c r="W29" s="32">
        <v>71.152737999999999</v>
      </c>
      <c r="X29" s="32">
        <v>74.905512999999999</v>
      </c>
      <c r="Y29" s="32">
        <v>37.369269000000003</v>
      </c>
      <c r="Z29" s="32">
        <v>39.408925000000004</v>
      </c>
      <c r="AA29" s="32">
        <v>38.766097000000002</v>
      </c>
      <c r="AB29" s="33">
        <v>1420.25</v>
      </c>
      <c r="AC29" s="33">
        <v>1494.5</v>
      </c>
      <c r="AD29" s="33">
        <v>58.012999999999998</v>
      </c>
      <c r="AE29" s="33">
        <v>19.001000000000001</v>
      </c>
      <c r="AG29" s="28">
        <f t="shared" si="6"/>
        <v>74.169434999999993</v>
      </c>
      <c r="AH29" s="29">
        <f t="shared" si="7"/>
        <v>0.31608380560151317</v>
      </c>
      <c r="AI29" s="29">
        <f t="shared" si="8"/>
        <v>3.8643265558181358E-2</v>
      </c>
      <c r="AJ29" s="29">
        <f t="shared" si="9"/>
        <v>1.8943310566746505E-2</v>
      </c>
      <c r="AK29" s="29">
        <f t="shared" si="10"/>
        <v>0.29188671770769692</v>
      </c>
      <c r="AL29" s="26">
        <f t="shared" si="11"/>
        <v>9672200</v>
      </c>
      <c r="AM29" s="29">
        <v>16</v>
      </c>
      <c r="AN29" s="30">
        <v>24902517</v>
      </c>
      <c r="AO29" s="30">
        <v>778203.65625</v>
      </c>
      <c r="AP29" s="30">
        <v>16938.71875</v>
      </c>
      <c r="AQ29" s="31">
        <v>79114064</v>
      </c>
      <c r="AR29" s="31">
        <v>4741408</v>
      </c>
      <c r="AS29" s="31">
        <v>4930792</v>
      </c>
      <c r="AT29" s="31">
        <v>73057664</v>
      </c>
      <c r="AU29" s="32">
        <v>70.619602999999998</v>
      </c>
      <c r="AV29" s="32">
        <v>73.772900000000007</v>
      </c>
      <c r="AW29" s="32">
        <v>37.360472000000001</v>
      </c>
      <c r="AX29" s="32">
        <v>39.404927999999998</v>
      </c>
      <c r="AY29" s="32">
        <v>38.756331000000003</v>
      </c>
      <c r="AZ29" s="33">
        <v>1411.49</v>
      </c>
      <c r="BA29" s="33">
        <v>1044.24</v>
      </c>
      <c r="BB29" s="33">
        <v>60.8</v>
      </c>
      <c r="BC29" s="33">
        <v>21.257000000000001</v>
      </c>
      <c r="BE29" s="34">
        <f t="shared" si="12"/>
        <v>1.6806345967255407</v>
      </c>
      <c r="BF29" s="35">
        <f t="shared" si="13"/>
        <v>9.0763745897197972E-3</v>
      </c>
      <c r="BG29" s="35">
        <f t="shared" si="14"/>
        <v>1.8740257722073272E-4</v>
      </c>
      <c r="BH29" s="35"/>
      <c r="BJ29" s="34"/>
      <c r="BK29" s="34"/>
      <c r="BL29" s="34"/>
      <c r="BM29" s="34"/>
      <c r="BN29" s="34"/>
      <c r="BP29" s="34"/>
      <c r="BQ29" s="34"/>
      <c r="BR29" s="34"/>
      <c r="BS29" s="34"/>
      <c r="BT29" s="34"/>
      <c r="BV29" s="58">
        <f t="shared" si="16"/>
        <v>331159</v>
      </c>
      <c r="BW29" s="58">
        <f t="shared" si="16"/>
        <v>10348.71875</v>
      </c>
      <c r="BX29" s="58">
        <f t="shared" si="16"/>
        <v>7194.59375</v>
      </c>
      <c r="BY29" s="58">
        <f t="shared" si="16"/>
        <v>31967872</v>
      </c>
      <c r="BZ29" s="58">
        <f t="shared" si="16"/>
        <v>325768</v>
      </c>
      <c r="CA29" s="58">
        <f t="shared" si="16"/>
        <v>3591344</v>
      </c>
      <c r="CB29" s="58">
        <f t="shared" si="16"/>
        <v>31666560</v>
      </c>
      <c r="CC29" s="58">
        <f t="shared" si="16"/>
        <v>-0.53313500000000147</v>
      </c>
      <c r="CD29" s="58">
        <f t="shared" si="16"/>
        <v>-1.1326129999999921</v>
      </c>
      <c r="CE29" s="58">
        <f t="shared" si="16"/>
        <v>-8.797000000001276E-3</v>
      </c>
      <c r="CF29" s="58">
        <f t="shared" si="16"/>
        <v>-3.9970000000053574E-3</v>
      </c>
      <c r="CG29" s="58">
        <f t="shared" si="16"/>
        <v>-9.7659999999990532E-3</v>
      </c>
      <c r="CJ29" t="s">
        <v>241</v>
      </c>
    </row>
    <row r="30" spans="1:88" x14ac:dyDescent="0.2">
      <c r="A30" s="17" t="s">
        <v>242</v>
      </c>
      <c r="B30" s="17" t="s">
        <v>77</v>
      </c>
      <c r="C30" s="18" t="s">
        <v>232</v>
      </c>
      <c r="D30" s="17">
        <v>375422539</v>
      </c>
      <c r="E30" s="18">
        <v>11</v>
      </c>
      <c r="F30" s="18">
        <v>32</v>
      </c>
      <c r="G30" s="18">
        <v>30</v>
      </c>
      <c r="I30" s="19">
        <f t="shared" si="0"/>
        <v>5.7329774999999996</v>
      </c>
      <c r="J30" s="20">
        <f t="shared" si="1"/>
        <v>1.6288782277933504E-2</v>
      </c>
      <c r="K30" s="20">
        <f t="shared" si="2"/>
        <v>9.9774936528251434E-3</v>
      </c>
      <c r="L30" s="20">
        <f t="shared" si="3"/>
        <v>6.1752286002199775E-3</v>
      </c>
      <c r="M30" s="20">
        <f t="shared" si="4"/>
        <v>6.3112886251083609E-3</v>
      </c>
      <c r="N30" s="17">
        <f t="shared" si="5"/>
        <v>3745776</v>
      </c>
      <c r="O30" s="20">
        <v>16</v>
      </c>
      <c r="P30" s="21">
        <v>84258322</v>
      </c>
      <c r="Q30" s="21">
        <v>2633072.5625</v>
      </c>
      <c r="R30" s="21">
        <v>32425.28125</v>
      </c>
      <c r="S30" s="22">
        <v>6115176</v>
      </c>
      <c r="T30" s="22">
        <v>2318320</v>
      </c>
      <c r="U30" s="22">
        <v>1427456</v>
      </c>
      <c r="V30" s="22">
        <v>2369400</v>
      </c>
      <c r="W30" s="23">
        <v>73.460730999999996</v>
      </c>
      <c r="X30" s="23">
        <v>75.713605999999999</v>
      </c>
      <c r="Y30" s="23">
        <v>34.745108999999999</v>
      </c>
      <c r="Z30" s="23">
        <v>42.167358999999998</v>
      </c>
      <c r="AA30" s="23">
        <v>43.793906</v>
      </c>
      <c r="AB30" s="24">
        <v>4020.87</v>
      </c>
      <c r="AC30" s="24">
        <v>3267.17</v>
      </c>
      <c r="AD30" s="24">
        <v>222.517</v>
      </c>
      <c r="AE30" s="24">
        <v>46.183</v>
      </c>
      <c r="AG30" s="19">
        <f t="shared" si="6"/>
        <v>10.0057125</v>
      </c>
      <c r="AH30" s="20">
        <f t="shared" si="7"/>
        <v>2.8428660752305018E-2</v>
      </c>
      <c r="AI30" s="20">
        <f t="shared" si="8"/>
        <v>8.6984921275597687E-3</v>
      </c>
      <c r="AJ30" s="20">
        <f t="shared" si="9"/>
        <v>6.7758957860545501E-3</v>
      </c>
      <c r="AK30" s="20">
        <f t="shared" si="10"/>
        <v>1.7919840449430235E-2</v>
      </c>
      <c r="AL30" s="17">
        <f t="shared" si="11"/>
        <v>3265610</v>
      </c>
      <c r="AM30" s="20">
        <v>16</v>
      </c>
      <c r="AN30" s="21">
        <v>128871722</v>
      </c>
      <c r="AO30" s="21">
        <v>4027241.3125</v>
      </c>
      <c r="AP30" s="21">
        <v>90744.46875</v>
      </c>
      <c r="AQ30" s="22">
        <v>10672760</v>
      </c>
      <c r="AR30" s="22">
        <v>2543824</v>
      </c>
      <c r="AS30" s="22">
        <v>721786</v>
      </c>
      <c r="AT30" s="22">
        <v>6727512</v>
      </c>
      <c r="AU30" s="23">
        <v>72.658494000000005</v>
      </c>
      <c r="AV30" s="23">
        <v>74.067597000000006</v>
      </c>
      <c r="AW30" s="23">
        <v>34.624572000000001</v>
      </c>
      <c r="AX30" s="23">
        <v>41.693430999999997</v>
      </c>
      <c r="AY30" s="23">
        <v>43.387746999999997</v>
      </c>
      <c r="AZ30" s="24">
        <v>3838.76</v>
      </c>
      <c r="BA30" s="24">
        <v>2617.38</v>
      </c>
      <c r="BB30" s="24">
        <v>339.28300000000002</v>
      </c>
      <c r="BC30" s="24">
        <v>50.515000000000001</v>
      </c>
      <c r="BE30" s="49">
        <f t="shared" si="12"/>
        <v>0.87181134162854379</v>
      </c>
      <c r="BF30" s="25">
        <f t="shared" si="13"/>
        <v>1.0218044941865937E-2</v>
      </c>
      <c r="BG30" s="25">
        <f t="shared" si="14"/>
        <v>-0.30656157719015253</v>
      </c>
      <c r="BH30" s="25">
        <f t="array" ref="BH30">AVERAGE(AL30:AL34/AQ30:AQ34) - AVERAGE(N30:N34/S30:S34)</f>
        <v>-0.18267424587958353</v>
      </c>
      <c r="BJ30" s="49">
        <f>IF( OR(ISBLANK(N30:N34),ISBLANK(AL30:AL34), ISBLANK(W30:W34),ISBLANK(AU30:AU34)), "·", bdRateExtend( N30:N34,W30:W34, AL30:AL34,AU30:AU34))</f>
        <v>0.35446725254535916</v>
      </c>
      <c r="BK30" s="49">
        <f>IF( OR(ISBLANK(N30:N34),ISBLANK(AL30:AL34), ISBLANK(X30:X34),ISBLANK(AV30:AV34)), "·", bdRateExtend( N30:N34,X30:X34, AL30:AL34,AV30:AV34))</f>
        <v>0.41894939926265518</v>
      </c>
      <c r="BL30" s="49">
        <f>IF( OR(ISBLANK(V30:V34),ISBLANK(AT30:AT34), ISBLANK(Y30:Y34),ISBLANK(AW30:AW34)), "·", bdRateExtend( V30:V34,Y30:Y34, AT30:AT34,AW30:AW34))</f>
        <v>1.2686144991239279</v>
      </c>
      <c r="BM30" s="49">
        <f>IF( OR(ISBLANK(V30:V34),ISBLANK(AT30:AT34), ISBLANK(Z30:Z34),ISBLANK(AX30:AX34)), "·", bdRateExtend( V30:V34,Z30:Z34, AT30:AT34,AX30:AX34))</f>
        <v>1.6479962714553333</v>
      </c>
      <c r="BN30" s="49">
        <f>IF( OR(ISBLANK(V30:V34),ISBLANK(AT30:AT34), ISBLANK(AA30:AA34),ISBLANK(AY30:AY34)), "·", bdRateExtend( V30:V34,AA30:AA34, AT30:AT34,AY30:AY34))</f>
        <v>1.5743488227242333</v>
      </c>
      <c r="BP30" s="49">
        <f>IF( OR(ISBLANK(S30:S34),ISBLANK(AQ30:AQ34), ISBLANK(W30:W34),ISBLANK(AU30:AU34)), "·", bdRateExtend( S30:S34,W30:W34, AQ30:AQ34,AU30:AU34))</f>
        <v>1.5433968541478991</v>
      </c>
      <c r="BQ30" s="49">
        <f>IF( OR(ISBLANK(S30:S34),ISBLANK(AQ30:AQ34), ISBLANK(X30:X34),ISBLANK(AV30:AV34)), "·", bdRateExtend( S30:S34,X30:X34, AQ30:AQ34,AV30:AV34))</f>
        <v>1.5944188687055716</v>
      </c>
      <c r="BR30" s="49">
        <f>IF( OR(ISBLANK(S30:S34),ISBLANK(AQ30:AQ34), ISBLANK(Y30:Y34),ISBLANK(AW30:AW34)), "·", bdRateExtend( S30:S34,Y30:Y34, AQ30:AQ34,AW30:AW34))</f>
        <v>0.70273841151938576</v>
      </c>
      <c r="BS30" s="49">
        <f>IF( OR(ISBLANK(S30:S34),ISBLANK(AQ30:AQ34), ISBLANK(Z30:Z34),ISBLANK(AX30:AX34)), "·", bdRateExtend( S30:S34,Z30:Z34, AQ30:AQ34,AX30:AX34))</f>
        <v>0.98793090850729337</v>
      </c>
      <c r="BT30" s="49">
        <f>IF( OR(ISBLANK(S30:S34),ISBLANK(AQ30:AQ34), ISBLANK(AA30:AA34),ISBLANK(AY30:AY34)), "·", bdRateExtend( S30:S34,AA30:AA34, AQ30:AQ34,AY30:AY34))</f>
        <v>0.92390704111057076</v>
      </c>
      <c r="BV30" s="58">
        <f t="shared" si="16"/>
        <v>44613400</v>
      </c>
      <c r="BW30" s="58">
        <f t="shared" si="16"/>
        <v>1394168.75</v>
      </c>
      <c r="BX30" s="58">
        <f t="shared" si="16"/>
        <v>58319.1875</v>
      </c>
      <c r="BY30" s="58">
        <f t="shared" si="16"/>
        <v>4557584</v>
      </c>
      <c r="BZ30" s="58">
        <f t="shared" si="16"/>
        <v>225504</v>
      </c>
      <c r="CA30" s="58">
        <f t="shared" si="16"/>
        <v>-705670</v>
      </c>
      <c r="CB30" s="58">
        <f t="shared" si="16"/>
        <v>4358112</v>
      </c>
      <c r="CC30" s="58">
        <f t="shared" si="16"/>
        <v>-0.80223699999999099</v>
      </c>
      <c r="CD30" s="58">
        <f t="shared" si="16"/>
        <v>-1.6460089999999923</v>
      </c>
      <c r="CE30" s="58">
        <f t="shared" si="16"/>
        <v>-0.12053699999999878</v>
      </c>
      <c r="CF30" s="58">
        <f t="shared" si="16"/>
        <v>-0.47392800000000079</v>
      </c>
      <c r="CG30" s="58">
        <f t="shared" si="16"/>
        <v>-0.40615900000000238</v>
      </c>
      <c r="CJ30" t="s">
        <v>243</v>
      </c>
    </row>
    <row r="31" spans="1:88" outlineLevel="1" x14ac:dyDescent="0.2">
      <c r="A31" s="52"/>
      <c r="B31" s="52" t="s">
        <v>77</v>
      </c>
      <c r="C31" s="9" t="s">
        <v>234</v>
      </c>
      <c r="D31" s="52">
        <v>375422539</v>
      </c>
      <c r="E31" s="9">
        <v>11</v>
      </c>
      <c r="F31" s="9">
        <v>32</v>
      </c>
      <c r="G31" s="9">
        <v>30</v>
      </c>
      <c r="I31" s="10">
        <f t="shared" si="0"/>
        <v>8.1752775</v>
      </c>
      <c r="J31" s="11">
        <f t="shared" si="1"/>
        <v>2.3227950093854116E-2</v>
      </c>
      <c r="K31" s="11">
        <f t="shared" si="2"/>
        <v>1.2273274833933185E-2</v>
      </c>
      <c r="L31" s="11">
        <f t="shared" si="3"/>
        <v>8.4710097813280195E-3</v>
      </c>
      <c r="M31" s="11">
        <f t="shared" si="4"/>
        <v>1.0954675259920929E-2</v>
      </c>
      <c r="N31" s="52">
        <f t="shared" si="5"/>
        <v>4607664</v>
      </c>
      <c r="O31" s="11">
        <v>16</v>
      </c>
      <c r="P31" s="12">
        <v>89857639</v>
      </c>
      <c r="Q31" s="12">
        <v>2808051.21875</v>
      </c>
      <c r="R31" s="12">
        <v>41097.03125</v>
      </c>
      <c r="S31" s="13">
        <v>8720296</v>
      </c>
      <c r="T31" s="13">
        <v>3180208</v>
      </c>
      <c r="U31" s="13">
        <v>1427456</v>
      </c>
      <c r="V31" s="13">
        <v>4112632</v>
      </c>
      <c r="W31" s="14">
        <v>75.170683999999994</v>
      </c>
      <c r="X31" s="14">
        <v>77.575241000000005</v>
      </c>
      <c r="Y31" s="14">
        <v>36.650725000000001</v>
      </c>
      <c r="Z31" s="14">
        <v>42.678502999999999</v>
      </c>
      <c r="AA31" s="14">
        <v>45.052522000000003</v>
      </c>
      <c r="AB31" s="15">
        <v>4002.83</v>
      </c>
      <c r="AC31" s="15">
        <v>3256.13</v>
      </c>
      <c r="AD31" s="15">
        <v>239.76499999999999</v>
      </c>
      <c r="AE31" s="15">
        <v>48.701999999999998</v>
      </c>
      <c r="AG31" s="10">
        <f t="shared" si="6"/>
        <v>14.383642500000001</v>
      </c>
      <c r="AH31" s="11">
        <f t="shared" si="7"/>
        <v>4.0867423785656089E-2</v>
      </c>
      <c r="AI31" s="11">
        <f t="shared" si="8"/>
        <v>1.1813488907228343E-2</v>
      </c>
      <c r="AJ31" s="11">
        <f t="shared" si="9"/>
        <v>9.2163672677095174E-3</v>
      </c>
      <c r="AK31" s="11">
        <f t="shared" si="10"/>
        <v>2.7918132001126337E-2</v>
      </c>
      <c r="AL31" s="52">
        <f t="shared" si="11"/>
        <v>4435050</v>
      </c>
      <c r="AM31" s="11">
        <v>16</v>
      </c>
      <c r="AN31" s="12">
        <v>123862687</v>
      </c>
      <c r="AO31" s="12">
        <v>3870708.96875</v>
      </c>
      <c r="AP31" s="12">
        <v>93318.28125</v>
      </c>
      <c r="AQ31" s="13">
        <v>15342552</v>
      </c>
      <c r="AR31" s="13">
        <v>3460032</v>
      </c>
      <c r="AS31" s="13">
        <v>975018</v>
      </c>
      <c r="AT31" s="13">
        <v>10481096</v>
      </c>
      <c r="AU31" s="14">
        <v>73.811205999999999</v>
      </c>
      <c r="AV31" s="14">
        <v>75.457077999999996</v>
      </c>
      <c r="AW31" s="14">
        <v>36.713734000000002</v>
      </c>
      <c r="AX31" s="14">
        <v>42.365675000000003</v>
      </c>
      <c r="AY31" s="14">
        <v>44.701524999999997</v>
      </c>
      <c r="AZ31" s="15">
        <v>3704.87</v>
      </c>
      <c r="BA31" s="15">
        <v>2633.28</v>
      </c>
      <c r="BB31" s="15">
        <v>323.86900000000003</v>
      </c>
      <c r="BC31" s="15">
        <v>51.927</v>
      </c>
      <c r="BE31" s="50">
        <f t="shared" si="12"/>
        <v>0.9625376329524028</v>
      </c>
      <c r="BF31" s="16">
        <f t="shared" si="13"/>
        <v>9.4734063904767171E-3</v>
      </c>
      <c r="BG31" s="16">
        <f t="shared" si="14"/>
        <v>-0.23931530065936663</v>
      </c>
      <c r="BH31" s="16"/>
      <c r="BJ31" s="50"/>
      <c r="BK31" s="50"/>
      <c r="BL31" s="50"/>
      <c r="BM31" s="50"/>
      <c r="BN31" s="50"/>
      <c r="BP31" s="50"/>
      <c r="BQ31" s="50"/>
      <c r="BR31" s="50"/>
      <c r="BS31" s="50"/>
      <c r="BT31" s="50"/>
      <c r="BV31" s="58">
        <f t="shared" si="16"/>
        <v>34005048</v>
      </c>
      <c r="BW31" s="58">
        <f t="shared" si="16"/>
        <v>1062657.75</v>
      </c>
      <c r="BX31" s="58">
        <f t="shared" si="16"/>
        <v>52221.25</v>
      </c>
      <c r="BY31" s="58">
        <f t="shared" si="16"/>
        <v>6622256</v>
      </c>
      <c r="BZ31" s="58">
        <f t="shared" si="16"/>
        <v>279824</v>
      </c>
      <c r="CA31" s="58">
        <f t="shared" si="16"/>
        <v>-452438</v>
      </c>
      <c r="CB31" s="58">
        <f t="shared" si="16"/>
        <v>6368464</v>
      </c>
      <c r="CC31" s="58">
        <f t="shared" si="16"/>
        <v>-1.3594779999999957</v>
      </c>
      <c r="CD31" s="58">
        <f t="shared" si="16"/>
        <v>-2.1181630000000098</v>
      </c>
      <c r="CE31" s="58">
        <f t="shared" si="16"/>
        <v>6.3009000000000981E-2</v>
      </c>
      <c r="CF31" s="58">
        <f t="shared" si="16"/>
        <v>-0.31282799999999611</v>
      </c>
      <c r="CG31" s="58">
        <f t="shared" si="16"/>
        <v>-0.35099700000000666</v>
      </c>
      <c r="CJ31" t="s">
        <v>243</v>
      </c>
    </row>
    <row r="32" spans="1:88" outlineLevel="1" x14ac:dyDescent="0.2">
      <c r="A32" s="17"/>
      <c r="B32" s="17" t="s">
        <v>77</v>
      </c>
      <c r="C32" s="18" t="s">
        <v>235</v>
      </c>
      <c r="D32" s="17">
        <v>375422539</v>
      </c>
      <c r="E32" s="18">
        <v>11</v>
      </c>
      <c r="F32" s="18">
        <v>32</v>
      </c>
      <c r="G32" s="18">
        <v>30</v>
      </c>
      <c r="I32" s="19">
        <f t="shared" si="0"/>
        <v>12.6639</v>
      </c>
      <c r="J32" s="20">
        <f t="shared" si="1"/>
        <v>3.5981217419660573E-2</v>
      </c>
      <c r="K32" s="20">
        <f t="shared" si="2"/>
        <v>1.5579735877285728E-2</v>
      </c>
      <c r="L32" s="20">
        <f t="shared" si="3"/>
        <v>1.1777470824680562E-2</v>
      </c>
      <c r="M32" s="20">
        <f t="shared" si="4"/>
        <v>2.0401481542374846E-2</v>
      </c>
      <c r="N32" s="17">
        <f t="shared" si="5"/>
        <v>5848984</v>
      </c>
      <c r="O32" s="20">
        <v>16</v>
      </c>
      <c r="P32" s="21">
        <v>91814344</v>
      </c>
      <c r="Q32" s="21">
        <v>2869198.25</v>
      </c>
      <c r="R32" s="21">
        <v>44687.40625</v>
      </c>
      <c r="S32" s="22">
        <v>13508160</v>
      </c>
      <c r="T32" s="22">
        <v>4421528</v>
      </c>
      <c r="U32" s="22">
        <v>1427456</v>
      </c>
      <c r="V32" s="22">
        <v>7659176</v>
      </c>
      <c r="W32" s="23">
        <v>76.466316000000006</v>
      </c>
      <c r="X32" s="23">
        <v>79.123750000000001</v>
      </c>
      <c r="Y32" s="23">
        <v>38.406483999999999</v>
      </c>
      <c r="Z32" s="23">
        <v>43.205109</v>
      </c>
      <c r="AA32" s="23">
        <v>46.226287999999997</v>
      </c>
      <c r="AB32" s="24">
        <v>3779.57</v>
      </c>
      <c r="AC32" s="24">
        <v>3533.51</v>
      </c>
      <c r="AD32" s="24">
        <v>244.81399999999999</v>
      </c>
      <c r="AE32" s="24">
        <v>50.128</v>
      </c>
      <c r="AG32" s="19">
        <f t="shared" si="6"/>
        <v>22.023599999999998</v>
      </c>
      <c r="AH32" s="20">
        <f t="shared" si="7"/>
        <v>6.2574399668635775E-2</v>
      </c>
      <c r="AI32" s="20">
        <f t="shared" si="8"/>
        <v>1.6649509154803302E-2</v>
      </c>
      <c r="AJ32" s="20">
        <f t="shared" si="9"/>
        <v>1.2924402495716966E-2</v>
      </c>
      <c r="AK32" s="20">
        <f t="shared" si="10"/>
        <v>4.5917072656098575E-2</v>
      </c>
      <c r="AL32" s="17">
        <f t="shared" si="11"/>
        <v>6250601</v>
      </c>
      <c r="AM32" s="20">
        <v>16</v>
      </c>
      <c r="AN32" s="21">
        <v>109414870</v>
      </c>
      <c r="AO32" s="21">
        <v>3419214.6875</v>
      </c>
      <c r="AP32" s="21">
        <v>92891.78125</v>
      </c>
      <c r="AQ32" s="22">
        <v>23491840</v>
      </c>
      <c r="AR32" s="22">
        <v>4852112</v>
      </c>
      <c r="AS32" s="22">
        <v>1398489</v>
      </c>
      <c r="AT32" s="22">
        <v>17238304</v>
      </c>
      <c r="AU32" s="23">
        <v>75.234624999999994</v>
      </c>
      <c r="AV32" s="23">
        <v>77.328946999999999</v>
      </c>
      <c r="AW32" s="23">
        <v>38.541558999999999</v>
      </c>
      <c r="AX32" s="23">
        <v>42.983590999999997</v>
      </c>
      <c r="AY32" s="23">
        <v>45.926527999999998</v>
      </c>
      <c r="AZ32" s="24">
        <v>4322.51</v>
      </c>
      <c r="BA32" s="24">
        <v>3595.34</v>
      </c>
      <c r="BB32" s="24">
        <v>326.61799999999999</v>
      </c>
      <c r="BC32" s="24">
        <v>71.983999999999995</v>
      </c>
      <c r="BE32" s="49">
        <f t="shared" si="12"/>
        <v>1.0686644039375042</v>
      </c>
      <c r="BF32" s="25">
        <f t="shared" si="13"/>
        <v>1.1592702110691218E-2</v>
      </c>
      <c r="BG32" s="25">
        <f t="shared" si="14"/>
        <v>-0.16692094011731246</v>
      </c>
      <c r="BH32" s="25"/>
      <c r="BJ32" s="49"/>
      <c r="BK32" s="49"/>
      <c r="BL32" s="49"/>
      <c r="BM32" s="49"/>
      <c r="BN32" s="49"/>
      <c r="BP32" s="49"/>
      <c r="BQ32" s="49"/>
      <c r="BR32" s="49"/>
      <c r="BS32" s="49"/>
      <c r="BT32" s="49"/>
      <c r="BV32" s="58">
        <f t="shared" si="16"/>
        <v>17600526</v>
      </c>
      <c r="BW32" s="58">
        <f t="shared" si="16"/>
        <v>550016.4375</v>
      </c>
      <c r="BX32" s="58">
        <f t="shared" si="16"/>
        <v>48204.375</v>
      </c>
      <c r="BY32" s="58">
        <f t="shared" si="16"/>
        <v>9983680</v>
      </c>
      <c r="BZ32" s="58">
        <f t="shared" si="16"/>
        <v>430584</v>
      </c>
      <c r="CA32" s="58">
        <f t="shared" si="16"/>
        <v>-28967</v>
      </c>
      <c r="CB32" s="58">
        <f t="shared" si="16"/>
        <v>9579128</v>
      </c>
      <c r="CC32" s="58">
        <f t="shared" si="16"/>
        <v>-1.2316910000000121</v>
      </c>
      <c r="CD32" s="58">
        <f t="shared" si="16"/>
        <v>-1.7948030000000017</v>
      </c>
      <c r="CE32" s="58">
        <f t="shared" si="16"/>
        <v>0.1350750000000005</v>
      </c>
      <c r="CF32" s="58">
        <f t="shared" si="16"/>
        <v>-0.22151800000000321</v>
      </c>
      <c r="CG32" s="58">
        <f t="shared" si="16"/>
        <v>-0.29975999999999914</v>
      </c>
      <c r="CJ32" t="s">
        <v>243</v>
      </c>
    </row>
    <row r="33" spans="1:88" outlineLevel="1" x14ac:dyDescent="0.2">
      <c r="A33" s="52"/>
      <c r="B33" s="52" t="s">
        <v>77</v>
      </c>
      <c r="C33" s="9" t="s">
        <v>236</v>
      </c>
      <c r="D33" s="52">
        <v>375422539</v>
      </c>
      <c r="E33" s="9">
        <v>11</v>
      </c>
      <c r="F33" s="9">
        <v>32</v>
      </c>
      <c r="G33" s="9">
        <v>30</v>
      </c>
      <c r="I33" s="10">
        <f t="shared" si="0"/>
        <v>21.163305000000001</v>
      </c>
      <c r="J33" s="11">
        <f t="shared" si="1"/>
        <v>6.0130092508910341E-2</v>
      </c>
      <c r="K33" s="11">
        <f t="shared" si="2"/>
        <v>2.1049370187121344E-2</v>
      </c>
      <c r="L33" s="11">
        <f t="shared" si="3"/>
        <v>1.7247105134516178E-2</v>
      </c>
      <c r="M33" s="11">
        <f t="shared" si="4"/>
        <v>3.9080722321788997E-2</v>
      </c>
      <c r="N33" s="52">
        <f t="shared" si="5"/>
        <v>7902408</v>
      </c>
      <c r="O33" s="11">
        <v>16</v>
      </c>
      <c r="P33" s="12">
        <v>93918250</v>
      </c>
      <c r="Q33" s="12">
        <v>2934945.3125</v>
      </c>
      <c r="R33" s="12">
        <v>49412.375</v>
      </c>
      <c r="S33" s="13">
        <v>22574192</v>
      </c>
      <c r="T33" s="13">
        <v>6474952</v>
      </c>
      <c r="U33" s="13">
        <v>1427456</v>
      </c>
      <c r="V33" s="13">
        <v>14671784</v>
      </c>
      <c r="W33" s="14">
        <v>77.598421999999999</v>
      </c>
      <c r="X33" s="14">
        <v>80.328506000000004</v>
      </c>
      <c r="Y33" s="14">
        <v>40.000678000000001</v>
      </c>
      <c r="Z33" s="14">
        <v>43.908222000000002</v>
      </c>
      <c r="AA33" s="14">
        <v>47.816415999999997</v>
      </c>
      <c r="AB33" s="15">
        <v>4184.0600000000004</v>
      </c>
      <c r="AC33" s="15">
        <v>4723.45</v>
      </c>
      <c r="AD33" s="15">
        <v>269.44099999999997</v>
      </c>
      <c r="AE33" s="15">
        <v>71.043999999999997</v>
      </c>
      <c r="AG33" s="10">
        <f t="shared" si="6"/>
        <v>35.950117499999998</v>
      </c>
      <c r="AH33" s="11">
        <f t="shared" si="7"/>
        <v>0.10214302024098772</v>
      </c>
      <c r="AI33" s="11">
        <f t="shared" si="8"/>
        <v>2.4740211455444874E-2</v>
      </c>
      <c r="AJ33" s="11">
        <f t="shared" si="9"/>
        <v>1.8930562930319961E-2</v>
      </c>
      <c r="AK33" s="11">
        <f t="shared" si="10"/>
        <v>7.9479511484524909E-2</v>
      </c>
      <c r="AL33" s="52">
        <f t="shared" si="11"/>
        <v>9288033</v>
      </c>
      <c r="AM33" s="11">
        <v>16</v>
      </c>
      <c r="AN33" s="12">
        <v>97028338</v>
      </c>
      <c r="AO33" s="12">
        <v>3032135.5625</v>
      </c>
      <c r="AP33" s="12">
        <v>88092.5</v>
      </c>
      <c r="AQ33" s="13">
        <v>38346792</v>
      </c>
      <c r="AR33" s="13">
        <v>7106960</v>
      </c>
      <c r="AS33" s="13">
        <v>2181073</v>
      </c>
      <c r="AT33" s="13">
        <v>29838400</v>
      </c>
      <c r="AU33" s="14">
        <v>76.868043999999998</v>
      </c>
      <c r="AV33" s="14">
        <v>79.501078000000007</v>
      </c>
      <c r="AW33" s="14">
        <v>40.100324999999998</v>
      </c>
      <c r="AX33" s="14">
        <v>43.799199999999999</v>
      </c>
      <c r="AY33" s="14">
        <v>47.540331000000002</v>
      </c>
      <c r="AZ33" s="15">
        <v>3572.9</v>
      </c>
      <c r="BA33" s="15">
        <v>2703.11</v>
      </c>
      <c r="BB33" s="15">
        <v>249.374</v>
      </c>
      <c r="BC33" s="15">
        <v>53.540999999999997</v>
      </c>
      <c r="BE33" s="50">
        <f t="shared" si="12"/>
        <v>1.175342123565374</v>
      </c>
      <c r="BF33" s="16">
        <f t="shared" si="13"/>
        <v>1.2217079761293159E-2</v>
      </c>
      <c r="BG33" s="16">
        <f t="shared" si="14"/>
        <v>-0.10785235144908778</v>
      </c>
      <c r="BH33" s="16"/>
      <c r="BJ33" s="50"/>
      <c r="BK33" s="50"/>
      <c r="BL33" s="50"/>
      <c r="BM33" s="50"/>
      <c r="BN33" s="50"/>
      <c r="BP33" s="50"/>
      <c r="BQ33" s="50"/>
      <c r="BR33" s="50"/>
      <c r="BS33" s="50"/>
      <c r="BT33" s="50"/>
      <c r="BV33" s="58">
        <f t="shared" si="16"/>
        <v>3110088</v>
      </c>
      <c r="BW33" s="58">
        <f t="shared" si="16"/>
        <v>97190.25</v>
      </c>
      <c r="BX33" s="58">
        <f t="shared" si="16"/>
        <v>38680.125</v>
      </c>
      <c r="BY33" s="58">
        <f t="shared" si="16"/>
        <v>15772600</v>
      </c>
      <c r="BZ33" s="58">
        <f t="shared" si="16"/>
        <v>632008</v>
      </c>
      <c r="CA33" s="58">
        <f t="shared" si="16"/>
        <v>753617</v>
      </c>
      <c r="CB33" s="58">
        <f t="shared" si="16"/>
        <v>15166616</v>
      </c>
      <c r="CC33" s="58">
        <f t="shared" si="16"/>
        <v>-0.73037800000000175</v>
      </c>
      <c r="CD33" s="58">
        <f t="shared" si="16"/>
        <v>-0.82742799999999761</v>
      </c>
      <c r="CE33" s="58">
        <f t="shared" si="16"/>
        <v>9.9646999999997377E-2</v>
      </c>
      <c r="CF33" s="58">
        <f t="shared" si="16"/>
        <v>-0.10902200000000306</v>
      </c>
      <c r="CG33" s="58">
        <f t="shared" si="16"/>
        <v>-0.27608499999999481</v>
      </c>
      <c r="CJ33" t="s">
        <v>243</v>
      </c>
    </row>
    <row r="34" spans="1:88" ht="16" outlineLevel="1" thickBot="1" x14ac:dyDescent="0.25">
      <c r="A34" s="17"/>
      <c r="B34" s="36" t="s">
        <v>77</v>
      </c>
      <c r="C34" s="37" t="s">
        <v>237</v>
      </c>
      <c r="D34" s="36">
        <v>375422539</v>
      </c>
      <c r="E34" s="37">
        <v>11</v>
      </c>
      <c r="F34" s="37">
        <v>32</v>
      </c>
      <c r="G34" s="37">
        <v>30</v>
      </c>
      <c r="I34" s="38">
        <f t="shared" si="0"/>
        <v>39.830572500000002</v>
      </c>
      <c r="J34" s="39">
        <f t="shared" si="1"/>
        <v>0.11316833590537301</v>
      </c>
      <c r="K34" s="39">
        <f t="shared" si="2"/>
        <v>3.3717187129246921E-2</v>
      </c>
      <c r="L34" s="39">
        <f t="shared" si="3"/>
        <v>2.6181230424207429E-2</v>
      </c>
      <c r="M34" s="39">
        <f t="shared" si="4"/>
        <v>7.9451148776126093E-2</v>
      </c>
      <c r="N34" s="36">
        <f t="shared" si="5"/>
        <v>12658192</v>
      </c>
      <c r="O34" s="39">
        <v>16</v>
      </c>
      <c r="P34" s="40">
        <v>92079625</v>
      </c>
      <c r="Q34" s="40">
        <v>2877488.28125</v>
      </c>
      <c r="R34" s="40">
        <v>21318.28125</v>
      </c>
      <c r="S34" s="41">
        <v>42485944</v>
      </c>
      <c r="T34" s="41">
        <v>9829024</v>
      </c>
      <c r="U34" s="41">
        <v>2829168</v>
      </c>
      <c r="V34" s="41">
        <v>29827752</v>
      </c>
      <c r="W34" s="42">
        <v>78.535988000000003</v>
      </c>
      <c r="X34" s="42">
        <v>81.998384000000001</v>
      </c>
      <c r="Y34" s="42">
        <v>41.515903000000002</v>
      </c>
      <c r="Z34" s="42">
        <v>44.700215999999998</v>
      </c>
      <c r="AA34" s="42">
        <v>49.230597000000003</v>
      </c>
      <c r="AB34" s="43">
        <v>3523.12</v>
      </c>
      <c r="AC34" s="43">
        <v>3798.45</v>
      </c>
      <c r="AD34" s="43">
        <v>223.96600000000001</v>
      </c>
      <c r="AE34" s="43">
        <v>50.738999999999997</v>
      </c>
      <c r="AG34" s="38">
        <f t="shared" si="6"/>
        <v>70.323127499999998</v>
      </c>
      <c r="AH34" s="39">
        <f t="shared" si="7"/>
        <v>0.19980509481344699</v>
      </c>
      <c r="AI34" s="39">
        <f t="shared" si="8"/>
        <v>4.100345983755653E-2</v>
      </c>
      <c r="AJ34" s="39">
        <f t="shared" si="9"/>
        <v>2.8634807139269813E-2</v>
      </c>
      <c r="AK34" s="39">
        <f t="shared" si="10"/>
        <v>0.16370347972101909</v>
      </c>
      <c r="AL34" s="36">
        <f t="shared" si="11"/>
        <v>15393623</v>
      </c>
      <c r="AM34" s="39">
        <v>16</v>
      </c>
      <c r="AN34" s="40">
        <v>90862988</v>
      </c>
      <c r="AO34" s="40">
        <v>2839468.375</v>
      </c>
      <c r="AP34" s="40">
        <v>37854.8125</v>
      </c>
      <c r="AQ34" s="41">
        <v>75011336</v>
      </c>
      <c r="AR34" s="41">
        <v>10750152</v>
      </c>
      <c r="AS34" s="41">
        <v>4643471</v>
      </c>
      <c r="AT34" s="41">
        <v>61457976</v>
      </c>
      <c r="AU34" s="42">
        <v>77.631409000000005</v>
      </c>
      <c r="AV34" s="42">
        <v>81.230784</v>
      </c>
      <c r="AW34" s="42">
        <v>41.515897000000002</v>
      </c>
      <c r="AX34" s="42">
        <v>44.596505999999998</v>
      </c>
      <c r="AY34" s="42">
        <v>49.026356</v>
      </c>
      <c r="AZ34" s="43">
        <v>3589.86</v>
      </c>
      <c r="BA34" s="43">
        <v>2928.94</v>
      </c>
      <c r="BB34" s="43">
        <v>232.96899999999999</v>
      </c>
      <c r="BC34" s="43">
        <v>58.161000000000001</v>
      </c>
      <c r="BE34" s="44">
        <f t="shared" si="12"/>
        <v>1.2160996609942398</v>
      </c>
      <c r="BF34" s="45">
        <f t="shared" si="13"/>
        <v>5.9230126603284777E-3</v>
      </c>
      <c r="BG34" s="45">
        <f t="shared" si="14"/>
        <v>-9.2721059981998033E-2</v>
      </c>
      <c r="BH34" s="45"/>
      <c r="BJ34" s="44"/>
      <c r="BK34" s="44"/>
      <c r="BL34" s="44"/>
      <c r="BM34" s="44"/>
      <c r="BN34" s="44"/>
      <c r="BP34" s="44"/>
      <c r="BQ34" s="44"/>
      <c r="BR34" s="44"/>
      <c r="BS34" s="44"/>
      <c r="BT34" s="44"/>
      <c r="BV34" s="58">
        <f t="shared" si="16"/>
        <v>-1216637</v>
      </c>
      <c r="BW34" s="58">
        <f t="shared" si="16"/>
        <v>-38019.90625</v>
      </c>
      <c r="BX34" s="58">
        <f t="shared" si="16"/>
        <v>16536.53125</v>
      </c>
      <c r="BY34" s="58">
        <f t="shared" si="16"/>
        <v>32525392</v>
      </c>
      <c r="BZ34" s="58">
        <f t="shared" si="16"/>
        <v>921128</v>
      </c>
      <c r="CA34" s="58">
        <f t="shared" si="16"/>
        <v>1814303</v>
      </c>
      <c r="CB34" s="58">
        <f t="shared" si="16"/>
        <v>31630224</v>
      </c>
      <c r="CC34" s="58">
        <f t="shared" si="16"/>
        <v>-0.90457899999999825</v>
      </c>
      <c r="CD34" s="58">
        <f t="shared" si="16"/>
        <v>-0.76760000000000161</v>
      </c>
      <c r="CE34" s="58">
        <f t="shared" si="16"/>
        <v>-5.999999999062311E-6</v>
      </c>
      <c r="CF34" s="58">
        <f t="shared" si="16"/>
        <v>-0.10370999999999952</v>
      </c>
      <c r="CG34" s="58">
        <f t="shared" si="16"/>
        <v>-0.20424100000000323</v>
      </c>
      <c r="CJ34" t="s">
        <v>243</v>
      </c>
    </row>
    <row r="35" spans="1:88" x14ac:dyDescent="0.2">
      <c r="A35" s="52"/>
      <c r="B35" s="52" t="s">
        <v>82</v>
      </c>
      <c r="C35" s="9" t="s">
        <v>232</v>
      </c>
      <c r="D35" s="52">
        <v>333190689</v>
      </c>
      <c r="E35" s="9">
        <v>11</v>
      </c>
      <c r="F35" s="9">
        <v>32</v>
      </c>
      <c r="G35" s="9">
        <v>30</v>
      </c>
      <c r="I35" s="10">
        <f t="shared" si="0"/>
        <v>6.3759674999999998</v>
      </c>
      <c r="J35" s="11">
        <f t="shared" si="1"/>
        <v>2.0411830896030832E-2</v>
      </c>
      <c r="K35" s="11">
        <f t="shared" si="2"/>
        <v>1.1829190100807409E-2</v>
      </c>
      <c r="L35" s="11">
        <f t="shared" si="3"/>
        <v>7.2102134882886838E-3</v>
      </c>
      <c r="M35" s="11">
        <f t="shared" si="4"/>
        <v>8.5826407952234226E-3</v>
      </c>
      <c r="N35" s="52">
        <f t="shared" si="5"/>
        <v>3941376</v>
      </c>
      <c r="O35" s="11">
        <v>16</v>
      </c>
      <c r="P35" s="12">
        <v>74688855</v>
      </c>
      <c r="Q35" s="12">
        <v>2334026.71875</v>
      </c>
      <c r="R35" s="12">
        <v>31011.90625</v>
      </c>
      <c r="S35" s="13">
        <v>6801032</v>
      </c>
      <c r="T35" s="13">
        <v>2402376</v>
      </c>
      <c r="U35" s="13">
        <v>1539000</v>
      </c>
      <c r="V35" s="13">
        <v>2859656</v>
      </c>
      <c r="W35" s="14">
        <v>73.191281000000004</v>
      </c>
      <c r="X35" s="14">
        <v>75.430569000000006</v>
      </c>
      <c r="Y35" s="14">
        <v>33.996271999999998</v>
      </c>
      <c r="Z35" s="14">
        <v>42.563065999999999</v>
      </c>
      <c r="AA35" s="14">
        <v>44.049106000000002</v>
      </c>
      <c r="AB35" s="15">
        <v>3820.07</v>
      </c>
      <c r="AC35" s="15">
        <v>5094.67</v>
      </c>
      <c r="AD35" s="15">
        <v>220.86799999999999</v>
      </c>
      <c r="AE35" s="15">
        <v>77.695999999999998</v>
      </c>
      <c r="AG35" s="10">
        <f t="shared" si="6"/>
        <v>11.3780175</v>
      </c>
      <c r="AH35" s="11">
        <f t="shared" si="7"/>
        <v>3.642524356375397E-2</v>
      </c>
      <c r="AI35" s="11">
        <f t="shared" si="8"/>
        <v>1.0546600238279767E-2</v>
      </c>
      <c r="AJ35" s="11">
        <f t="shared" si="9"/>
        <v>8.0683166989699399E-3</v>
      </c>
      <c r="AK35" s="11">
        <f t="shared" si="10"/>
        <v>2.3827916751899391E-2</v>
      </c>
      <c r="AL35" s="52">
        <f t="shared" si="11"/>
        <v>3514029</v>
      </c>
      <c r="AM35" s="11">
        <v>16</v>
      </c>
      <c r="AN35" s="12">
        <v>115313802</v>
      </c>
      <c r="AO35" s="12">
        <v>3603556.3125</v>
      </c>
      <c r="AP35" s="12">
        <v>91968.1875</v>
      </c>
      <c r="AQ35" s="13">
        <v>12136552</v>
      </c>
      <c r="AR35" s="13">
        <v>2688288</v>
      </c>
      <c r="AS35" s="13">
        <v>825741</v>
      </c>
      <c r="AT35" s="13">
        <v>7939240</v>
      </c>
      <c r="AU35" s="14">
        <v>72.512341000000006</v>
      </c>
      <c r="AV35" s="14">
        <v>73.918231000000006</v>
      </c>
      <c r="AW35" s="14">
        <v>33.896838000000002</v>
      </c>
      <c r="AX35" s="14">
        <v>42.113950000000003</v>
      </c>
      <c r="AY35" s="14">
        <v>43.531238000000002</v>
      </c>
      <c r="AZ35" s="15">
        <v>3321.86</v>
      </c>
      <c r="BA35" s="15">
        <v>3788.79</v>
      </c>
      <c r="BB35" s="15">
        <v>308.375</v>
      </c>
      <c r="BC35" s="15">
        <v>73.974000000000004</v>
      </c>
      <c r="BE35" s="50">
        <f t="shared" si="12"/>
        <v>0.89157416090218233</v>
      </c>
      <c r="BF35" s="16">
        <f t="shared" si="13"/>
        <v>1.2234638387549153E-2</v>
      </c>
      <c r="BG35" s="16">
        <f t="shared" si="14"/>
        <v>-0.28998519920407578</v>
      </c>
      <c r="BH35" s="16">
        <f t="array" ref="BH35">AVERAGE(AL35:AL39/AQ35:AQ39) - AVERAGE(N35:N39/S35:S39)</f>
        <v>-0.17151118025244005</v>
      </c>
      <c r="BJ35" s="50">
        <f>IF( OR(ISBLANK(N35:N39),ISBLANK(AL35:AL39), ISBLANK(W35:W39),ISBLANK(AU35:AU39)), "·", bdRateExtend( N35:N39,W35:W39, AL35:AL39,AU35:AU39))</f>
        <v>0.37491197813083521</v>
      </c>
      <c r="BK35" s="50">
        <f>IF( OR(ISBLANK(N35:N39),ISBLANK(AL35:AL39), ISBLANK(X35:X39),ISBLANK(AV35:AV39)), "·", bdRateExtend( N35:N39,X35:X39, AL35:AL39,AV35:AV39))</f>
        <v>0.46253943068098091</v>
      </c>
      <c r="BL35" s="50">
        <f>IF( OR(ISBLANK(V35:V39),ISBLANK(AT35:AT39), ISBLANK(Y35:Y39),ISBLANK(AW35:AW39)), "·", bdRateExtend( V35:V39,Y35:Y39, AT35:AT39,AW35:AW39))</f>
        <v>1.216783623521509</v>
      </c>
      <c r="BM35" s="50">
        <f>IF( OR(ISBLANK(V35:V39),ISBLANK(AT35:AT39), ISBLANK(Z35:Z39),ISBLANK(AX35:AX39)), "·", bdRateExtend( V35:V39,Z35:Z39, AT35:AT39,AX35:AX39))</f>
        <v>1.492003089476162</v>
      </c>
      <c r="BN35" s="50">
        <f>IF( OR(ISBLANK(V35:V39),ISBLANK(AT35:AT39), ISBLANK(AA35:AA39),ISBLANK(AY35:AY39)), "·", bdRateExtend( V35:V39,AA35:AA39, AT35:AT39,AY35:AY39))</f>
        <v>1.5425803839830889</v>
      </c>
      <c r="BP35" s="50">
        <f>IF( OR(ISBLANK(S35:S39),ISBLANK(AQ35:AQ39), ISBLANK(W35:W39),ISBLANK(AU35:AU39)), "·", bdRateExtend( S35:S39,W35:W39, AQ35:AQ39,AU35:AU39))</f>
        <v>1.5311751416666008</v>
      </c>
      <c r="BQ35" s="50">
        <f>IF( OR(ISBLANK(S35:S39),ISBLANK(AQ35:AQ39), ISBLANK(X35:X39),ISBLANK(AV35:AV39)), "·", bdRateExtend( S35:S39,X35:X39, AQ35:AQ39,AV35:AV39))</f>
        <v>1.6599819779398244</v>
      </c>
      <c r="BR35" s="50">
        <f>IF( OR(ISBLANK(S35:S39),ISBLANK(AQ35:AQ39), ISBLANK(Y35:Y39),ISBLANK(AW35:AW39)), "·", bdRateExtend( S35:S39,Y35:Y39, AQ35:AQ39,AW35:AW39))</f>
        <v>0.70639269338691513</v>
      </c>
      <c r="BS35" s="50">
        <f>IF( OR(ISBLANK(S35:S39),ISBLANK(AQ35:AQ39), ISBLANK(Z35:Z39),ISBLANK(AX35:AX39)), "·", bdRateExtend( S35:S39,Z35:Z39, AQ35:AQ39,AX35:AX39))</f>
        <v>0.93309716175972746</v>
      </c>
      <c r="BT35" s="50">
        <f>IF( OR(ISBLANK(S35:S39),ISBLANK(AQ35:AQ39), ISBLANK(AA35:AA39),ISBLANK(AY35:AY39)), "·", bdRateExtend( S35:S39,AA35:AA39, AQ35:AQ39,AY35:AY39))</f>
        <v>0.93706807320765062</v>
      </c>
      <c r="BV35" s="58">
        <f t="shared" si="16"/>
        <v>40624947</v>
      </c>
      <c r="BW35" s="58">
        <f t="shared" si="16"/>
        <v>1269529.59375</v>
      </c>
      <c r="BX35" s="58">
        <f t="shared" si="16"/>
        <v>60956.28125</v>
      </c>
      <c r="BY35" s="58">
        <f t="shared" si="16"/>
        <v>5335520</v>
      </c>
      <c r="BZ35" s="58">
        <f t="shared" si="16"/>
        <v>285912</v>
      </c>
      <c r="CA35" s="58">
        <f t="shared" si="16"/>
        <v>-713259</v>
      </c>
      <c r="CB35" s="58">
        <f t="shared" si="16"/>
        <v>5079584</v>
      </c>
      <c r="CC35" s="58">
        <f t="shared" si="16"/>
        <v>-0.67893999999999721</v>
      </c>
      <c r="CD35" s="58">
        <f t="shared" si="16"/>
        <v>-1.5123379999999997</v>
      </c>
      <c r="CE35" s="58">
        <f t="shared" si="16"/>
        <v>-9.9433999999995137E-2</v>
      </c>
      <c r="CF35" s="58">
        <f t="shared" si="16"/>
        <v>-0.44911599999999652</v>
      </c>
      <c r="CG35" s="58">
        <f t="shared" si="16"/>
        <v>-0.51786799999999999</v>
      </c>
      <c r="CJ35" t="s">
        <v>244</v>
      </c>
    </row>
    <row r="36" spans="1:88" outlineLevel="1" x14ac:dyDescent="0.2">
      <c r="A36" s="17"/>
      <c r="B36" s="17" t="s">
        <v>82</v>
      </c>
      <c r="C36" s="18" t="s">
        <v>234</v>
      </c>
      <c r="D36" s="17">
        <v>333190689</v>
      </c>
      <c r="E36" s="18">
        <v>11</v>
      </c>
      <c r="F36" s="18">
        <v>32</v>
      </c>
      <c r="G36" s="18">
        <v>30</v>
      </c>
      <c r="I36" s="19">
        <f t="shared" si="0"/>
        <v>9.0721050000000005</v>
      </c>
      <c r="J36" s="20">
        <f t="shared" si="1"/>
        <v>2.9043164528526184E-2</v>
      </c>
      <c r="K36" s="20">
        <f t="shared" si="2"/>
        <v>1.4424772836314163E-2</v>
      </c>
      <c r="L36" s="20">
        <f t="shared" si="3"/>
        <v>9.8057962237954373E-3</v>
      </c>
      <c r="M36" s="20">
        <f t="shared" si="4"/>
        <v>1.4618391692212023E-2</v>
      </c>
      <c r="N36" s="17">
        <f t="shared" si="5"/>
        <v>4806200</v>
      </c>
      <c r="O36" s="20">
        <v>16</v>
      </c>
      <c r="P36" s="21">
        <v>79945808</v>
      </c>
      <c r="Q36" s="21">
        <v>2498306.5</v>
      </c>
      <c r="R36" s="21">
        <v>39523.15625</v>
      </c>
      <c r="S36" s="22">
        <v>9676912</v>
      </c>
      <c r="T36" s="22">
        <v>3267200</v>
      </c>
      <c r="U36" s="22">
        <v>1539000</v>
      </c>
      <c r="V36" s="22">
        <v>4870712</v>
      </c>
      <c r="W36" s="23">
        <v>74.930581000000004</v>
      </c>
      <c r="X36" s="23">
        <v>77.358816000000004</v>
      </c>
      <c r="Y36" s="23">
        <v>36.098925000000001</v>
      </c>
      <c r="Z36" s="23">
        <v>43.168593999999999</v>
      </c>
      <c r="AA36" s="23">
        <v>45.335743999999998</v>
      </c>
      <c r="AB36" s="24">
        <v>3473.88</v>
      </c>
      <c r="AC36" s="24">
        <v>5003.67</v>
      </c>
      <c r="AD36" s="24">
        <v>204.95400000000001</v>
      </c>
      <c r="AE36" s="24">
        <v>67.701999999999998</v>
      </c>
      <c r="AG36" s="19">
        <f t="shared" si="6"/>
        <v>16.184842499999998</v>
      </c>
      <c r="AH36" s="20">
        <f t="shared" si="7"/>
        <v>5.1813668778721483E-2</v>
      </c>
      <c r="AI36" s="20">
        <f t="shared" si="8"/>
        <v>1.4175011955391106E-2</v>
      </c>
      <c r="AJ36" s="20">
        <f t="shared" si="9"/>
        <v>1.0866234020122933E-2</v>
      </c>
      <c r="AK36" s="20">
        <f t="shared" si="10"/>
        <v>3.6418400635439128E-2</v>
      </c>
      <c r="AL36" s="17">
        <f t="shared" si="11"/>
        <v>4722982</v>
      </c>
      <c r="AM36" s="20">
        <v>16</v>
      </c>
      <c r="AN36" s="21">
        <v>110912029</v>
      </c>
      <c r="AO36" s="21">
        <v>3466000.90625</v>
      </c>
      <c r="AP36" s="21">
        <v>94143.1875</v>
      </c>
      <c r="AQ36" s="22">
        <v>17263832</v>
      </c>
      <c r="AR36" s="22">
        <v>3620528</v>
      </c>
      <c r="AS36" s="22">
        <v>1102454</v>
      </c>
      <c r="AT36" s="22">
        <v>12134272</v>
      </c>
      <c r="AU36" s="23">
        <v>73.714843999999999</v>
      </c>
      <c r="AV36" s="23">
        <v>75.372293999999997</v>
      </c>
      <c r="AW36" s="23">
        <v>36.163006000000003</v>
      </c>
      <c r="AX36" s="23">
        <v>42.881684</v>
      </c>
      <c r="AY36" s="23">
        <v>44.890228</v>
      </c>
      <c r="AZ36" s="24">
        <v>3324.11</v>
      </c>
      <c r="BA36" s="24">
        <v>3826.87</v>
      </c>
      <c r="BB36" s="24">
        <v>287.36900000000003</v>
      </c>
      <c r="BC36" s="24">
        <v>72.605999999999995</v>
      </c>
      <c r="BE36" s="49">
        <f t="shared" si="12"/>
        <v>0.98268528151138113</v>
      </c>
      <c r="BF36" s="25">
        <f t="shared" si="13"/>
        <v>1.1341926090839408E-2</v>
      </c>
      <c r="BG36" s="25">
        <f t="shared" si="14"/>
        <v>-0.2230900161313274</v>
      </c>
      <c r="BH36" s="25"/>
      <c r="BJ36" s="49"/>
      <c r="BK36" s="49"/>
      <c r="BL36" s="49"/>
      <c r="BM36" s="49"/>
      <c r="BN36" s="49"/>
      <c r="BP36" s="49"/>
      <c r="BQ36" s="49"/>
      <c r="BR36" s="49"/>
      <c r="BS36" s="49"/>
      <c r="BT36" s="49"/>
      <c r="BV36" s="58">
        <f t="shared" si="16"/>
        <v>30966221</v>
      </c>
      <c r="BW36" s="58">
        <f t="shared" si="16"/>
        <v>967694.40625</v>
      </c>
      <c r="BX36" s="58">
        <f t="shared" si="16"/>
        <v>54620.03125</v>
      </c>
      <c r="BY36" s="58">
        <f t="shared" si="16"/>
        <v>7586920</v>
      </c>
      <c r="BZ36" s="58">
        <f t="shared" si="16"/>
        <v>353328</v>
      </c>
      <c r="CA36" s="58">
        <f t="shared" si="16"/>
        <v>-436546</v>
      </c>
      <c r="CB36" s="58">
        <f t="shared" si="16"/>
        <v>7263560</v>
      </c>
      <c r="CC36" s="58">
        <f t="shared" si="16"/>
        <v>-1.2157370000000043</v>
      </c>
      <c r="CD36" s="58">
        <f t="shared" si="16"/>
        <v>-1.9865220000000079</v>
      </c>
      <c r="CE36" s="58">
        <f t="shared" si="16"/>
        <v>6.4081000000001609E-2</v>
      </c>
      <c r="CF36" s="58">
        <f t="shared" si="16"/>
        <v>-0.28690999999999889</v>
      </c>
      <c r="CG36" s="58">
        <f t="shared" si="16"/>
        <v>-0.4455159999999978</v>
      </c>
      <c r="CJ36" t="s">
        <v>244</v>
      </c>
    </row>
    <row r="37" spans="1:88" outlineLevel="1" x14ac:dyDescent="0.2">
      <c r="A37" s="52"/>
      <c r="B37" s="52" t="s">
        <v>82</v>
      </c>
      <c r="C37" s="9" t="s">
        <v>235</v>
      </c>
      <c r="D37" s="52">
        <v>333190689</v>
      </c>
      <c r="E37" s="9">
        <v>11</v>
      </c>
      <c r="F37" s="9">
        <v>32</v>
      </c>
      <c r="G37" s="9">
        <v>30</v>
      </c>
      <c r="I37" s="10">
        <f t="shared" si="0"/>
        <v>13.780492499999999</v>
      </c>
      <c r="J37" s="11">
        <f t="shared" si="1"/>
        <v>4.411645488688911E-2</v>
      </c>
      <c r="K37" s="11">
        <f t="shared" si="2"/>
        <v>1.8223870595615595E-2</v>
      </c>
      <c r="L37" s="11">
        <f t="shared" si="3"/>
        <v>1.3604893983096869E-2</v>
      </c>
      <c r="M37" s="11">
        <f t="shared" si="4"/>
        <v>2.5892584291273519E-2</v>
      </c>
      <c r="N37" s="52">
        <f t="shared" si="5"/>
        <v>6072024</v>
      </c>
      <c r="O37" s="11">
        <v>16</v>
      </c>
      <c r="P37" s="12">
        <v>81780101</v>
      </c>
      <c r="Q37" s="12">
        <v>2555628.15625</v>
      </c>
      <c r="R37" s="12">
        <v>43014.71875</v>
      </c>
      <c r="S37" s="13">
        <v>14699192</v>
      </c>
      <c r="T37" s="13">
        <v>4533024</v>
      </c>
      <c r="U37" s="13">
        <v>1539000</v>
      </c>
      <c r="V37" s="13">
        <v>8627168</v>
      </c>
      <c r="W37" s="14">
        <v>76.238812999999993</v>
      </c>
      <c r="X37" s="14">
        <v>78.941209000000001</v>
      </c>
      <c r="Y37" s="14">
        <v>37.928058999999998</v>
      </c>
      <c r="Z37" s="14">
        <v>43.745263000000001</v>
      </c>
      <c r="AA37" s="14">
        <v>46.492668999999999</v>
      </c>
      <c r="AB37" s="15">
        <v>3541.6</v>
      </c>
      <c r="AC37" s="15">
        <v>4886.43</v>
      </c>
      <c r="AD37" s="15">
        <v>228.78299999999999</v>
      </c>
      <c r="AE37" s="15">
        <v>75.295000000000002</v>
      </c>
      <c r="AG37" s="10">
        <f t="shared" si="6"/>
        <v>24.140129999999999</v>
      </c>
      <c r="AH37" s="11">
        <f t="shared" si="7"/>
        <v>7.7281487298704196E-2</v>
      </c>
      <c r="AI37" s="11">
        <f t="shared" si="8"/>
        <v>1.9765690391186173E-2</v>
      </c>
      <c r="AJ37" s="11">
        <f t="shared" si="9"/>
        <v>1.5160495676396287E-2</v>
      </c>
      <c r="AK37" s="11">
        <f t="shared" si="10"/>
        <v>5.7591981509423275E-2</v>
      </c>
      <c r="AL37" s="52">
        <f t="shared" si="11"/>
        <v>6585744</v>
      </c>
      <c r="AM37" s="11">
        <v>16</v>
      </c>
      <c r="AN37" s="12">
        <v>101021201</v>
      </c>
      <c r="AO37" s="12">
        <v>3156912.53125</v>
      </c>
      <c r="AP37" s="12">
        <v>93553.34375</v>
      </c>
      <c r="AQ37" s="13">
        <v>25749472</v>
      </c>
      <c r="AR37" s="13">
        <v>5051336</v>
      </c>
      <c r="AS37" s="13">
        <v>1534408</v>
      </c>
      <c r="AT37" s="13">
        <v>19189112</v>
      </c>
      <c r="AU37" s="14">
        <v>74.964053000000007</v>
      </c>
      <c r="AV37" s="14">
        <v>76.995750000000001</v>
      </c>
      <c r="AW37" s="14">
        <v>38.108041</v>
      </c>
      <c r="AX37" s="14">
        <v>43.543365999999999</v>
      </c>
      <c r="AY37" s="14">
        <v>46.171297000000003</v>
      </c>
      <c r="AZ37" s="15">
        <v>3252.47</v>
      </c>
      <c r="BA37" s="15">
        <v>3838.07</v>
      </c>
      <c r="BB37" s="15">
        <v>257.584</v>
      </c>
      <c r="BC37" s="15">
        <v>73.370999999999995</v>
      </c>
      <c r="BE37" s="50">
        <f t="shared" si="12"/>
        <v>1.0846044086782265</v>
      </c>
      <c r="BF37" s="16">
        <f t="shared" si="13"/>
        <v>1.2803074468449045E-2</v>
      </c>
      <c r="BG37" s="16">
        <f t="shared" si="14"/>
        <v>-0.15732326988602313</v>
      </c>
      <c r="BH37" s="16"/>
      <c r="BJ37" s="50"/>
      <c r="BK37" s="50"/>
      <c r="BL37" s="50"/>
      <c r="BM37" s="50"/>
      <c r="BN37" s="50"/>
      <c r="BP37" s="50"/>
      <c r="BQ37" s="50"/>
      <c r="BR37" s="50"/>
      <c r="BS37" s="50"/>
      <c r="BT37" s="50"/>
      <c r="BV37" s="58">
        <f t="shared" si="16"/>
        <v>19241100</v>
      </c>
      <c r="BW37" s="58">
        <f t="shared" si="16"/>
        <v>601284.375</v>
      </c>
      <c r="BX37" s="58">
        <f t="shared" si="16"/>
        <v>50538.625</v>
      </c>
      <c r="BY37" s="58">
        <f t="shared" si="16"/>
        <v>11050280</v>
      </c>
      <c r="BZ37" s="58">
        <f t="shared" si="16"/>
        <v>518312</v>
      </c>
      <c r="CA37" s="58">
        <f t="shared" si="16"/>
        <v>-4592</v>
      </c>
      <c r="CB37" s="58">
        <f t="shared" si="16"/>
        <v>10561944</v>
      </c>
      <c r="CC37" s="58">
        <f t="shared" si="16"/>
        <v>-1.2747599999999863</v>
      </c>
      <c r="CD37" s="58">
        <f t="shared" si="16"/>
        <v>-1.9454589999999996</v>
      </c>
      <c r="CE37" s="58">
        <f t="shared" si="16"/>
        <v>0.17998200000000253</v>
      </c>
      <c r="CF37" s="58">
        <f t="shared" si="16"/>
        <v>-0.20189700000000244</v>
      </c>
      <c r="CG37" s="58">
        <f t="shared" si="16"/>
        <v>-0.32137199999999666</v>
      </c>
      <c r="CJ37" t="s">
        <v>244</v>
      </c>
    </row>
    <row r="38" spans="1:88" outlineLevel="1" x14ac:dyDescent="0.2">
      <c r="A38" s="17"/>
      <c r="B38" s="17" t="s">
        <v>82</v>
      </c>
      <c r="C38" s="18" t="s">
        <v>236</v>
      </c>
      <c r="D38" s="17">
        <v>333190689</v>
      </c>
      <c r="E38" s="18">
        <v>11</v>
      </c>
      <c r="F38" s="18">
        <v>32</v>
      </c>
      <c r="G38" s="18">
        <v>30</v>
      </c>
      <c r="I38" s="19">
        <f t="shared" si="0"/>
        <v>23.020612499999999</v>
      </c>
      <c r="J38" s="20">
        <f t="shared" si="1"/>
        <v>7.3697497591236713E-2</v>
      </c>
      <c r="K38" s="20">
        <f t="shared" si="2"/>
        <v>2.4418401439783331E-2</v>
      </c>
      <c r="L38" s="20">
        <f t="shared" si="3"/>
        <v>1.9799424827264607E-2</v>
      </c>
      <c r="M38" s="20">
        <f t="shared" si="4"/>
        <v>4.9279096151453379E-2</v>
      </c>
      <c r="N38" s="17">
        <f t="shared" si="5"/>
        <v>8135984</v>
      </c>
      <c r="O38" s="20">
        <v>16</v>
      </c>
      <c r="P38" s="21">
        <v>83963908</v>
      </c>
      <c r="Q38" s="21">
        <v>2623872.125</v>
      </c>
      <c r="R38" s="21">
        <v>48278.125</v>
      </c>
      <c r="S38" s="22">
        <v>24555320</v>
      </c>
      <c r="T38" s="22">
        <v>6596984</v>
      </c>
      <c r="U38" s="22">
        <v>1539000</v>
      </c>
      <c r="V38" s="22">
        <v>16419336</v>
      </c>
      <c r="W38" s="23">
        <v>77.418415999999993</v>
      </c>
      <c r="X38" s="23">
        <v>80.140518999999998</v>
      </c>
      <c r="Y38" s="23">
        <v>39.696711999999998</v>
      </c>
      <c r="Z38" s="23">
        <v>44.531153000000003</v>
      </c>
      <c r="AA38" s="23">
        <v>47.804797000000001</v>
      </c>
      <c r="AB38" s="24">
        <v>3475.08</v>
      </c>
      <c r="AC38" s="24">
        <v>5249.89</v>
      </c>
      <c r="AD38" s="24">
        <v>227.07499999999999</v>
      </c>
      <c r="AE38" s="24">
        <v>74.290999999999997</v>
      </c>
      <c r="AG38" s="19">
        <f t="shared" si="6"/>
        <v>39.012067500000001</v>
      </c>
      <c r="AH38" s="20">
        <f t="shared" si="7"/>
        <v>0.12489206143452586</v>
      </c>
      <c r="AI38" s="20">
        <f t="shared" si="8"/>
        <v>2.9131930514420829E-2</v>
      </c>
      <c r="AJ38" s="20">
        <f t="shared" si="9"/>
        <v>2.2032476423733436E-2</v>
      </c>
      <c r="AK38" s="20">
        <f t="shared" si="10"/>
        <v>9.8330550887632998E-2</v>
      </c>
      <c r="AL38" s="17">
        <f t="shared" si="11"/>
        <v>9706488</v>
      </c>
      <c r="AM38" s="20">
        <v>16</v>
      </c>
      <c r="AN38" s="21">
        <v>88579182</v>
      </c>
      <c r="AO38" s="21">
        <v>2768099.4375</v>
      </c>
      <c r="AP38" s="21">
        <v>87289</v>
      </c>
      <c r="AQ38" s="22">
        <v>41612872</v>
      </c>
      <c r="AR38" s="22">
        <v>7341016</v>
      </c>
      <c r="AS38" s="22">
        <v>2365472</v>
      </c>
      <c r="AT38" s="22">
        <v>32762824</v>
      </c>
      <c r="AU38" s="23">
        <v>76.583550000000002</v>
      </c>
      <c r="AV38" s="23">
        <v>79.142363000000003</v>
      </c>
      <c r="AW38" s="23">
        <v>39.834074999999999</v>
      </c>
      <c r="AX38" s="23">
        <v>44.437888000000001</v>
      </c>
      <c r="AY38" s="23">
        <v>47.643303000000003</v>
      </c>
      <c r="AZ38" s="24">
        <v>3330.56</v>
      </c>
      <c r="BA38" s="24">
        <v>4038.33</v>
      </c>
      <c r="BB38" s="24">
        <v>238.16900000000001</v>
      </c>
      <c r="BC38" s="24">
        <v>78.662000000000006</v>
      </c>
      <c r="BE38" s="49">
        <f t="shared" si="12"/>
        <v>1.193031844703726</v>
      </c>
      <c r="BF38" s="25">
        <f t="shared" si="13"/>
        <v>1.3134338180316858E-2</v>
      </c>
      <c r="BG38" s="25">
        <f t="shared" si="14"/>
        <v>-9.8075980149729125E-2</v>
      </c>
      <c r="BH38" s="25"/>
      <c r="BJ38" s="49"/>
      <c r="BK38" s="49"/>
      <c r="BL38" s="49"/>
      <c r="BM38" s="49"/>
      <c r="BN38" s="49"/>
      <c r="BP38" s="49"/>
      <c r="BQ38" s="49"/>
      <c r="BR38" s="49"/>
      <c r="BS38" s="49"/>
      <c r="BT38" s="49"/>
      <c r="BV38" s="58">
        <f t="shared" si="16"/>
        <v>4615274</v>
      </c>
      <c r="BW38" s="58">
        <f t="shared" si="16"/>
        <v>144227.3125</v>
      </c>
      <c r="BX38" s="58">
        <f t="shared" si="16"/>
        <v>39010.875</v>
      </c>
      <c r="BY38" s="58">
        <f t="shared" si="16"/>
        <v>17057552</v>
      </c>
      <c r="BZ38" s="58">
        <f t="shared" si="16"/>
        <v>744032</v>
      </c>
      <c r="CA38" s="58">
        <f t="shared" si="16"/>
        <v>826472</v>
      </c>
      <c r="CB38" s="58">
        <f t="shared" si="16"/>
        <v>16343488</v>
      </c>
      <c r="CC38" s="58">
        <f t="shared" si="16"/>
        <v>-0.834865999999991</v>
      </c>
      <c r="CD38" s="58">
        <f t="shared" si="16"/>
        <v>-0.99815599999999449</v>
      </c>
      <c r="CE38" s="58">
        <f t="shared" si="16"/>
        <v>0.13736300000000057</v>
      </c>
      <c r="CF38" s="58">
        <f t="shared" si="16"/>
        <v>-9.3265000000002374E-2</v>
      </c>
      <c r="CG38" s="58">
        <f t="shared" si="16"/>
        <v>-0.16149399999999758</v>
      </c>
      <c r="CJ38" t="s">
        <v>244</v>
      </c>
    </row>
    <row r="39" spans="1:88" ht="16" outlineLevel="1" thickBot="1" x14ac:dyDescent="0.25">
      <c r="A39" s="26"/>
      <c r="B39" s="26" t="s">
        <v>82</v>
      </c>
      <c r="C39" s="27" t="s">
        <v>237</v>
      </c>
      <c r="D39" s="26">
        <v>333190689</v>
      </c>
      <c r="E39" s="27">
        <v>11</v>
      </c>
      <c r="F39" s="27">
        <v>32</v>
      </c>
      <c r="G39" s="27">
        <v>30</v>
      </c>
      <c r="I39" s="28">
        <f t="shared" si="0"/>
        <v>42.391522500000001</v>
      </c>
      <c r="J39" s="29">
        <f t="shared" si="1"/>
        <v>0.13571094719276505</v>
      </c>
      <c r="K39" s="29">
        <f t="shared" si="2"/>
        <v>3.9490059099460607E-2</v>
      </c>
      <c r="L39" s="29">
        <f t="shared" si="3"/>
        <v>3.0117168130109423E-2</v>
      </c>
      <c r="M39" s="29">
        <f t="shared" si="4"/>
        <v>9.6220888093304438E-2</v>
      </c>
      <c r="N39" s="26">
        <f t="shared" si="5"/>
        <v>13157720</v>
      </c>
      <c r="O39" s="29">
        <v>16</v>
      </c>
      <c r="P39" s="30">
        <v>82025858</v>
      </c>
      <c r="Q39" s="30">
        <v>2563308.0625</v>
      </c>
      <c r="R39" s="30">
        <v>19366.5625</v>
      </c>
      <c r="S39" s="31">
        <v>45217624</v>
      </c>
      <c r="T39" s="31">
        <v>10034760</v>
      </c>
      <c r="U39" s="31">
        <v>3122960</v>
      </c>
      <c r="V39" s="31">
        <v>32059904</v>
      </c>
      <c r="W39" s="32">
        <v>78.318230999999997</v>
      </c>
      <c r="X39" s="32">
        <v>81.877509000000003</v>
      </c>
      <c r="Y39" s="32">
        <v>41.297905999999998</v>
      </c>
      <c r="Z39" s="32">
        <v>45.537005999999998</v>
      </c>
      <c r="AA39" s="32">
        <v>49.137197</v>
      </c>
      <c r="AB39" s="33">
        <v>3873.53</v>
      </c>
      <c r="AC39" s="33">
        <v>7507.14</v>
      </c>
      <c r="AD39" s="33">
        <v>243.928</v>
      </c>
      <c r="AE39" s="33">
        <v>110.042</v>
      </c>
      <c r="AG39" s="28">
        <f t="shared" si="6"/>
        <v>74.278972499999995</v>
      </c>
      <c r="AH39" s="29">
        <f t="shared" si="7"/>
        <v>0.23779447210182994</v>
      </c>
      <c r="AI39" s="29">
        <f t="shared" si="8"/>
        <v>4.8011917884055878E-2</v>
      </c>
      <c r="AJ39" s="29">
        <f t="shared" si="9"/>
        <v>3.3272934586716499E-2</v>
      </c>
      <c r="AK39" s="29">
        <f t="shared" si="10"/>
        <v>0.19523858903512156</v>
      </c>
      <c r="AL39" s="26">
        <f t="shared" si="11"/>
        <v>15997124</v>
      </c>
      <c r="AM39" s="29">
        <v>16</v>
      </c>
      <c r="AN39" s="30">
        <v>82057771</v>
      </c>
      <c r="AO39" s="30">
        <v>2564305.34375</v>
      </c>
      <c r="AP39" s="30">
        <v>35391.75</v>
      </c>
      <c r="AQ39" s="31">
        <v>79230904</v>
      </c>
      <c r="AR39" s="31">
        <v>11086232</v>
      </c>
      <c r="AS39" s="31">
        <v>4910892</v>
      </c>
      <c r="AT39" s="31">
        <v>65051680</v>
      </c>
      <c r="AU39" s="32">
        <v>77.559252999999998</v>
      </c>
      <c r="AV39" s="32">
        <v>80.925343999999996</v>
      </c>
      <c r="AW39" s="32">
        <v>41.332996999999999</v>
      </c>
      <c r="AX39" s="32">
        <v>45.431446999999999</v>
      </c>
      <c r="AY39" s="32">
        <v>48.923240999999997</v>
      </c>
      <c r="AZ39" s="33">
        <v>3235.27</v>
      </c>
      <c r="BA39" s="33">
        <v>4332.33</v>
      </c>
      <c r="BB39" s="33">
        <v>221.72399999999999</v>
      </c>
      <c r="BC39" s="33">
        <v>86.45</v>
      </c>
      <c r="BE39" s="34">
        <f t="shared" si="12"/>
        <v>1.2157975697917269</v>
      </c>
      <c r="BF39" s="35">
        <f t="shared" si="13"/>
        <v>6.2463905788698853E-3</v>
      </c>
      <c r="BG39" s="35">
        <f t="shared" si="14"/>
        <v>-8.908143589104503E-2</v>
      </c>
      <c r="BH39" s="35"/>
      <c r="BJ39" s="34"/>
      <c r="BK39" s="34"/>
      <c r="BL39" s="34"/>
      <c r="BM39" s="34"/>
      <c r="BN39" s="34"/>
      <c r="BP39" s="34"/>
      <c r="BQ39" s="34"/>
      <c r="BR39" s="34"/>
      <c r="BS39" s="34"/>
      <c r="BT39" s="34"/>
      <c r="BV39" s="58">
        <f t="shared" si="16"/>
        <v>31913</v>
      </c>
      <c r="BW39" s="58">
        <f t="shared" si="16"/>
        <v>997.28125</v>
      </c>
      <c r="BX39" s="58">
        <f t="shared" si="16"/>
        <v>16025.1875</v>
      </c>
      <c r="BY39" s="58">
        <f t="shared" si="16"/>
        <v>34013280</v>
      </c>
      <c r="BZ39" s="58">
        <f t="shared" si="16"/>
        <v>1051472</v>
      </c>
      <c r="CA39" s="58">
        <f t="shared" si="16"/>
        <v>1787932</v>
      </c>
      <c r="CB39" s="58">
        <f t="shared" si="16"/>
        <v>32991776</v>
      </c>
      <c r="CC39" s="58">
        <f t="shared" si="16"/>
        <v>-0.75897799999999904</v>
      </c>
      <c r="CD39" s="58">
        <f t="shared" si="16"/>
        <v>-0.95216500000000792</v>
      </c>
      <c r="CE39" s="58">
        <f t="shared" si="16"/>
        <v>3.5091000000001316E-2</v>
      </c>
      <c r="CF39" s="58">
        <f t="shared" si="16"/>
        <v>-0.10555899999999951</v>
      </c>
      <c r="CG39" s="58">
        <f t="shared" si="16"/>
        <v>-0.21395600000000314</v>
      </c>
      <c r="CJ39" t="s">
        <v>244</v>
      </c>
    </row>
    <row r="40" spans="1:88" ht="16" x14ac:dyDescent="0.2">
      <c r="B40" s="46" t="s">
        <v>16</v>
      </c>
      <c r="J40" s="47">
        <f>AVERAGE(J5:J24)</f>
        <v>4.4297813858881062E-2</v>
      </c>
      <c r="K40" s="47">
        <f>AVERAGE(K5:K24)</f>
        <v>1.3934320314145566E-2</v>
      </c>
      <c r="L40" s="47">
        <f>AVERAGE(L5:L24)</f>
        <v>9.696269410246797E-3</v>
      </c>
      <c r="M40" s="47">
        <f>AVERAGE(M5:M24)</f>
        <v>3.0363493544735498E-2</v>
      </c>
      <c r="AH40" s="47">
        <f>AVERAGE(AH5:AH24)</f>
        <v>7.9286900994830531E-2</v>
      </c>
      <c r="AI40" s="47">
        <f>AVERAGE(AI5:AI24)</f>
        <v>1.5565270622135193E-2</v>
      </c>
      <c r="AJ40" s="47">
        <f>AVERAGE(AJ5:AJ24)</f>
        <v>1.0461211348603824E-2</v>
      </c>
      <c r="AK40" s="47">
        <f>AVERAGE(AK5:AK24)</f>
        <v>6.4688860657264036E-2</v>
      </c>
      <c r="BE40" s="51">
        <f t="shared" si="12"/>
        <v>1.1170455588231276</v>
      </c>
      <c r="BH40" s="55">
        <f>AVERAGE(BH5:BH24)</f>
        <v>-0.17205393456773302</v>
      </c>
      <c r="BJ40" s="51">
        <f>AVERAGE(BJ5:BJ24)</f>
        <v>0.36271751922655404</v>
      </c>
      <c r="BK40" s="51">
        <f>AVERAGE(BK5:BK24)</f>
        <v>0.41989611872356725</v>
      </c>
      <c r="BL40" s="51">
        <f>AVERAGE(BL5:BL24)</f>
        <v>1.1651440049030755</v>
      </c>
      <c r="BM40" s="51">
        <f>AVERAGE(BM5:BM24)</f>
        <v>1.9202027665305281</v>
      </c>
      <c r="BN40" s="51">
        <f>AVERAGE(BN5:BN24)</f>
        <v>1.8993518486780099</v>
      </c>
      <c r="BP40" s="51">
        <f>AVERAGE(BP5:BP24)</f>
        <v>1.6721821421162582</v>
      </c>
      <c r="BQ40" s="51">
        <f>AVERAGE(BQ5:BQ24)</f>
        <v>1.7713753159961643</v>
      </c>
      <c r="BR40" s="51">
        <f>AVERAGE(BR5:BR24)</f>
        <v>0.71976401396811007</v>
      </c>
      <c r="BS40" s="51">
        <f>AVERAGE(BS5:BS24)</f>
        <v>1.2299851883874799</v>
      </c>
      <c r="BT40" s="51">
        <f>AVERAGE(BT5:BT24)</f>
        <v>1.1991499798860934</v>
      </c>
    </row>
    <row r="41" spans="1:88" ht="16" x14ac:dyDescent="0.2">
      <c r="B41" s="46" t="s">
        <v>17</v>
      </c>
      <c r="J41" s="47">
        <f>AVERAGE(J25:J29)</f>
        <v>7.9954906894468852E-2</v>
      </c>
      <c r="K41" s="47">
        <f>AVERAGE(K25:K29)</f>
        <v>1.2464595817739278E-2</v>
      </c>
      <c r="L41" s="47">
        <f>AVERAGE(L25:L29)</f>
        <v>9.1151281892310389E-3</v>
      </c>
      <c r="M41" s="47">
        <f>AVERAGE(M25:M29)</f>
        <v>6.7490311076729578E-2</v>
      </c>
      <c r="AH41" s="47">
        <f>AVERAGE(AH25:AH29)</f>
        <v>0.13862159269592181</v>
      </c>
      <c r="AI41" s="47">
        <f>AVERAGE(AI25:AI29)</f>
        <v>1.8444195488018993E-2</v>
      </c>
      <c r="AJ41" s="47">
        <f>AVERAGE(AJ25:AJ29)</f>
        <v>9.8896970930037933E-3</v>
      </c>
      <c r="AK41" s="47">
        <f>AVERAGE(AK25:AK29)</f>
        <v>0.12548013044884848</v>
      </c>
      <c r="BE41" s="51">
        <f t="shared" si="12"/>
        <v>1.4797267202013651</v>
      </c>
      <c r="BH41" s="55">
        <f>AVERAGE(BH25:BH29)</f>
        <v>-6.2324029259647279E-2</v>
      </c>
      <c r="BJ41" s="51">
        <f>AVERAGE(BJ25:BJ29)</f>
        <v>0.81373721964029122</v>
      </c>
      <c r="BK41" s="51">
        <f>AVERAGE(BK25:BK29)</f>
        <v>0.91852359554501817</v>
      </c>
      <c r="BL41" s="51">
        <f>AVERAGE(BL25:BL29)</f>
        <v>0.82178646321287774</v>
      </c>
      <c r="BM41" s="51">
        <f>AVERAGE(BM25:BM29)</f>
        <v>0.95879083856309699</v>
      </c>
      <c r="BN41" s="51">
        <f>AVERAGE(BN25:BN29)</f>
        <v>0.95611072482797854</v>
      </c>
      <c r="BP41" s="51">
        <f>AVERAGE(BP25:BP29)</f>
        <v>1.8830482078619086</v>
      </c>
      <c r="BQ41" s="51">
        <f>AVERAGE(BQ25:BQ29)</f>
        <v>1.9480720882654756</v>
      </c>
      <c r="BR41" s="51">
        <f>AVERAGE(BR25:BR29)</f>
        <v>0.65625632799850941</v>
      </c>
      <c r="BS41" s="51">
        <f>AVERAGE(BS25:BS29)</f>
        <v>0.78448516189758877</v>
      </c>
      <c r="BT41" s="51">
        <f>AVERAGE(BT25:BT29)</f>
        <v>0.77647267522682384</v>
      </c>
    </row>
    <row r="42" spans="1:88" ht="16" x14ac:dyDescent="0.2">
      <c r="B42" s="46" t="s">
        <v>18</v>
      </c>
      <c r="J42" s="47">
        <f>AVERAGE(J30:J39)</f>
        <v>5.517762733011794E-2</v>
      </c>
      <c r="K42" s="47">
        <f>AVERAGE(K30:K39)</f>
        <v>2.0098335575239341E-2</v>
      </c>
      <c r="L42" s="47">
        <f>AVERAGE(L30:L39)</f>
        <v>1.5038954141750719E-2</v>
      </c>
      <c r="M42" s="47">
        <f>AVERAGE(M30:M39)</f>
        <v>3.5079291754878603E-2</v>
      </c>
      <c r="AH42" s="47">
        <f>AVERAGE(AH30:AH39)</f>
        <v>9.6202553243856695E-2</v>
      </c>
      <c r="AI42" s="47">
        <f>AVERAGE(AI30:AI39)</f>
        <v>2.2453631246592658E-2</v>
      </c>
      <c r="AJ42" s="47">
        <f>AVERAGE(AJ30:AJ39)</f>
        <v>1.6588249302500989E-2</v>
      </c>
      <c r="AK42" s="47">
        <f>AVERAGE(AK30:AK39)</f>
        <v>7.4634547513171542E-2</v>
      </c>
      <c r="BE42" s="51">
        <f t="shared" si="12"/>
        <v>1.1171885931815659</v>
      </c>
      <c r="BH42" s="55">
        <f>AVERAGE(BH30:BH39)</f>
        <v>-0.17709271306601179</v>
      </c>
      <c r="BJ42" s="51">
        <f>AVERAGE(BJ30:BJ39)</f>
        <v>0.36468961533809718</v>
      </c>
      <c r="BK42" s="51">
        <f>AVERAGE(BK30:BK39)</f>
        <v>0.44074441497181804</v>
      </c>
      <c r="BL42" s="51">
        <f>AVERAGE(BL30:BL39)</f>
        <v>1.2426990613227185</v>
      </c>
      <c r="BM42" s="51">
        <f>AVERAGE(BM30:BM39)</f>
        <v>1.5699996804657477</v>
      </c>
      <c r="BN42" s="51">
        <f>AVERAGE(BN30:BN39)</f>
        <v>1.5584646033536611</v>
      </c>
      <c r="BP42" s="51">
        <f>AVERAGE(BP30:BP39)</f>
        <v>1.53728599790725</v>
      </c>
      <c r="BQ42" s="51">
        <f>AVERAGE(BQ30:BQ39)</f>
        <v>1.627200423322698</v>
      </c>
      <c r="BR42" s="51">
        <f>AVERAGE(BR30:BR39)</f>
        <v>0.70456555245315045</v>
      </c>
      <c r="BS42" s="51">
        <f>AVERAGE(BS30:BS39)</f>
        <v>0.96051403513351041</v>
      </c>
      <c r="BT42" s="51">
        <f>AVERAGE(BT30:BT39)</f>
        <v>0.93048755715911069</v>
      </c>
    </row>
    <row r="43" spans="1:88" ht="16" x14ac:dyDescent="0.2">
      <c r="B43" s="46" t="s">
        <v>19</v>
      </c>
      <c r="J43" s="47">
        <f>AVERAGE(J5:J39)</f>
        <v>5.2500202427175569E-2</v>
      </c>
      <c r="K43" s="47">
        <f>AVERAGE(K5:K39)</f>
        <v>1.5485506889257174E-2</v>
      </c>
      <c r="L43" s="47">
        <f>AVERAGE(L5:L39)</f>
        <v>1.1139730587674238E-2</v>
      </c>
      <c r="M43" s="47">
        <f>AVERAGE(M5:M39)</f>
        <v>3.7014695537918391E-2</v>
      </c>
      <c r="AH43" s="47">
        <f>AVERAGE(AH5:AH39)</f>
        <v>9.2596329023279619E-2</v>
      </c>
      <c r="AI43" s="47">
        <f>AVERAGE(AI5:AI39)</f>
        <v>1.794464863853501E-2</v>
      </c>
      <c r="AJ43" s="47">
        <f>AVERAGE(AJ5:AJ39)</f>
        <v>1.2130148727488724E-2</v>
      </c>
      <c r="AK43" s="47">
        <f>AVERAGE(AK5:AK39)</f>
        <v>7.6214952586321119E-2</v>
      </c>
      <c r="BE43" s="51">
        <f t="shared" si="12"/>
        <v>1.1588027932740017</v>
      </c>
      <c r="BH43" s="55">
        <f>AVERAGE(BH5:BH39)</f>
        <v>-0.15781788480894329</v>
      </c>
      <c r="BJ43" s="51">
        <f>AVERAGE(BJ5:BJ39)</f>
        <v>0.42771236103181448</v>
      </c>
      <c r="BK43" s="51">
        <f>AVERAGE(BK5:BK39)</f>
        <v>0.4970852714832748</v>
      </c>
      <c r="BL43" s="51">
        <f>AVERAGE(BL5:BL39)</f>
        <v>1.1382515150672308</v>
      </c>
      <c r="BM43" s="51">
        <f>AVERAGE(BM5:BM39)</f>
        <v>1.6828001808023865</v>
      </c>
      <c r="BN43" s="51">
        <f>AVERAGE(BN5:BN39)</f>
        <v>1.6672067608924774</v>
      </c>
      <c r="BP43" s="51">
        <f>AVERAGE(BP5:BP39)</f>
        <v>1.6637641103059202</v>
      </c>
      <c r="BQ43" s="51">
        <f>AVERAGE(BQ5:BQ39)</f>
        <v>1.7554248855565042</v>
      </c>
      <c r="BR43" s="51">
        <f>AVERAGE(BR5:BR39)</f>
        <v>0.70634906982532153</v>
      </c>
      <c r="BS43" s="51">
        <f>AVERAGE(BS5:BS39)</f>
        <v>1.0893505693877898</v>
      </c>
      <c r="BT43" s="51">
        <f>AVERAGE(BT5:BT39)</f>
        <v>1.0620068155842026</v>
      </c>
    </row>
    <row r="44" spans="1:88" ht="16" hidden="1" outlineLevel="2" x14ac:dyDescent="0.2">
      <c r="A44" s="46" t="s">
        <v>245</v>
      </c>
      <c r="B44" s="46" t="s">
        <v>246</v>
      </c>
      <c r="AB44" s="48">
        <f>SUM(AB5:AB24,AB25:AB29,AB30:AB39)</f>
        <v>131766.84000000003</v>
      </c>
      <c r="AC44" s="48">
        <f>SUM(AC5:AC24,AC25:AC29,AC30:AC39)</f>
        <v>79714.382999999987</v>
      </c>
      <c r="AD44" s="48">
        <f>SUM(AD5:AD24,AD25:AD29,AD30:AD39)</f>
        <v>4074.9609999999989</v>
      </c>
      <c r="AE44" s="48">
        <f>SUM(AE5:AE24,AE25:AE29,AE30:AE39)</f>
        <v>1146.5519999999999</v>
      </c>
      <c r="AZ44" s="48">
        <f>SUM(AZ5:AZ24,AZ25:AZ29,AZ30:AZ39)</f>
        <v>124219</v>
      </c>
      <c r="BA44" s="48">
        <f>SUM(BA5:BA24,BA25:BA29,BA30:BA39)</f>
        <v>58529.875000000007</v>
      </c>
      <c r="BB44" s="48">
        <f>SUM(BB5:BB24,BB25:BB29,BB30:BB39)</f>
        <v>4975.0789999999997</v>
      </c>
      <c r="BC44" s="48">
        <f>SUM(BC5:BC24,BC25:BC29,BC30:BC39)</f>
        <v>1158.4260000000002</v>
      </c>
    </row>
    <row r="45" spans="1:88" ht="16" hidden="1" outlineLevel="2" x14ac:dyDescent="0.2">
      <c r="B45" s="46" t="s">
        <v>247</v>
      </c>
      <c r="AZ45" s="55">
        <f>AZ44/AB44</f>
        <v>0.94271821347464946</v>
      </c>
      <c r="BA45" s="55">
        <f>BA44/AC44</f>
        <v>0.7342448476330804</v>
      </c>
      <c r="BB45" s="55">
        <f>BB44/AD44</f>
        <v>1.2208899667996824</v>
      </c>
      <c r="BC45" s="55">
        <f>BC44/AE44</f>
        <v>1.0103562681849583</v>
      </c>
    </row>
    <row r="46" spans="1:88" ht="16" hidden="1" outlineLevel="2" x14ac:dyDescent="0.2">
      <c r="B46" s="46" t="s">
        <v>248</v>
      </c>
      <c r="AB46" s="48">
        <f>GEOMEAN(AB5:AB24,AB25:AB29,AB30:AB39)</f>
        <v>3564.4494943737118</v>
      </c>
      <c r="AC46" s="48">
        <f>GEOMEAN(AC5:AC24,AC25:AC29,AC30:AC39)</f>
        <v>1870.7600014454886</v>
      </c>
      <c r="AD46" s="48">
        <f>GEOMEAN(AD5:AD24,AD25:AD29,AD30:AD39)</f>
        <v>97.566352872757079</v>
      </c>
      <c r="AE46" s="48">
        <f>GEOMEAN(AE5:AE24,AE25:AE29,AE30:AE39)</f>
        <v>26.752910588983756</v>
      </c>
      <c r="AZ46" s="48">
        <f>GEOMEAN(AZ5:AZ24,AZ25:AZ29,AZ30:AZ39)</f>
        <v>3355.9238483451359</v>
      </c>
      <c r="BA46" s="48">
        <f>GEOMEAN(BA5:BA24,BA25:BA29,BA30:BA39)</f>
        <v>1377.9322382514135</v>
      </c>
      <c r="BB46" s="48">
        <f>GEOMEAN(BB5:BB24,BB25:BB29,BB30:BB39)</f>
        <v>119.78229406816824</v>
      </c>
      <c r="BC46" s="48">
        <f>GEOMEAN(BC5:BC24,BC25:BC29,BC30:BC39)</f>
        <v>27.468714903590865</v>
      </c>
    </row>
    <row r="47" spans="1:88" ht="16" outlineLevel="2" collapsed="1" x14ac:dyDescent="0.2">
      <c r="B47" s="46" t="s">
        <v>249</v>
      </c>
      <c r="AZ47" s="55">
        <f>AZ46/AB46</f>
        <v>0.9414984988964713</v>
      </c>
      <c r="BA47" s="55">
        <f>BA46/AC46</f>
        <v>0.73656280719425282</v>
      </c>
      <c r="BB47" s="55">
        <f>BB46/AD46</f>
        <v>1.2277008470777264</v>
      </c>
      <c r="BC47" s="55">
        <f>BC46/AE46</f>
        <v>1.0267561285425841</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D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1.0426424999999999</v>
      </c>
      <c r="J5" s="11">
        <f t="shared" ref="J5:J39" si="1">IF(ISBLANK(S5),"·",S5/D5)</f>
        <v>4.6700350793894667E-3</v>
      </c>
      <c r="K5" s="11">
        <f t="shared" ref="K5:K39" si="2">IF(N5="","·",N5/D5)</f>
        <v>4.0576386479860621E-3</v>
      </c>
      <c r="L5" s="11">
        <f t="shared" ref="L5:L39" si="3">IF(T5="","·",T5/D5)</f>
        <v>2.5510359298285567E-3</v>
      </c>
      <c r="M5" s="11">
        <f t="shared" ref="M5:M39" si="4">IF(ISBLANK(V5),"·",V5/D5)</f>
        <v>6.1239643140340516E-4</v>
      </c>
      <c r="N5" s="52">
        <f t="shared" ref="N5:N39" si="5">IF(OR(ISBLANK(T5),ISBLANK(U5)),"",T5+U5)</f>
        <v>966312</v>
      </c>
      <c r="O5" s="11">
        <v>16</v>
      </c>
      <c r="P5" s="12">
        <v>23582209</v>
      </c>
      <c r="Q5" s="12">
        <v>736944.03125</v>
      </c>
      <c r="R5" s="12">
        <v>16984.9375</v>
      </c>
      <c r="S5" s="13">
        <v>1112152</v>
      </c>
      <c r="T5" s="13">
        <v>607520</v>
      </c>
      <c r="U5" s="13">
        <v>358792</v>
      </c>
      <c r="V5" s="13">
        <v>145840</v>
      </c>
      <c r="W5" s="14">
        <v>66.845706000000007</v>
      </c>
      <c r="X5" s="14">
        <v>68.619974999999997</v>
      </c>
      <c r="Y5" s="14">
        <v>31.719308999999999</v>
      </c>
      <c r="Z5" s="14">
        <v>44.569031000000003</v>
      </c>
      <c r="AA5" s="14">
        <v>44.236403000000003</v>
      </c>
      <c r="AB5" s="15">
        <v>3280.25</v>
      </c>
      <c r="AC5" s="15">
        <v>2800.14</v>
      </c>
      <c r="AD5" s="15">
        <v>57.094000000000001</v>
      </c>
      <c r="AE5" s="15">
        <v>13.789</v>
      </c>
      <c r="AG5" s="10">
        <f t="shared" ref="AG5:AG39" si="6">IF(OR(ISBLANK(AQ5),ISBLANK(G5)),"·",AQ5*G5/F5/1000000)</f>
        <v>1.3717950000000001</v>
      </c>
      <c r="AH5" s="11">
        <f t="shared" ref="AH5:AH39" si="7">IF(ISBLANK(AQ5),"·",AQ5/D5)</f>
        <v>6.1443215404427438E-3</v>
      </c>
      <c r="AI5" s="11">
        <f t="shared" ref="AI5:AI39" si="8">IF(AL5="","·",AL5/D5)</f>
        <v>2.8736148262687717E-3</v>
      </c>
      <c r="AJ5" s="11">
        <f t="shared" ref="AJ5:AJ39" si="9">IF(AR5="","·",AR5/D5)</f>
        <v>2.4710515138564497E-3</v>
      </c>
      <c r="AK5" s="11">
        <f t="shared" ref="AK5:AK39" si="10">IF(ISBLANK(AT5),"·",AT5/D5)</f>
        <v>2.1689180248799151E-3</v>
      </c>
      <c r="AL5" s="52">
        <f t="shared" ref="AL5:AL39" si="11">IF(OR(ISBLANK(AR5),ISBLANK(AS5)),"",AR5+AS5)</f>
        <v>684341</v>
      </c>
      <c r="AM5" s="11">
        <v>16</v>
      </c>
      <c r="AN5" s="12">
        <v>37080174</v>
      </c>
      <c r="AO5" s="12">
        <v>1158755.4375</v>
      </c>
      <c r="AP5" s="12">
        <v>47481.1875</v>
      </c>
      <c r="AQ5" s="13">
        <v>1463248</v>
      </c>
      <c r="AR5" s="13">
        <v>588472</v>
      </c>
      <c r="AS5" s="13">
        <v>95869</v>
      </c>
      <c r="AT5" s="13">
        <v>516520</v>
      </c>
      <c r="AU5" s="14">
        <v>65.949749999999995</v>
      </c>
      <c r="AV5" s="14">
        <v>67.244777999999997</v>
      </c>
      <c r="AW5" s="14">
        <v>31.112162000000001</v>
      </c>
      <c r="AX5" s="14">
        <v>43.163938000000002</v>
      </c>
      <c r="AY5" s="14">
        <v>42.691122</v>
      </c>
      <c r="AZ5" s="15">
        <v>3301.53</v>
      </c>
      <c r="BA5" s="15">
        <v>4553.01</v>
      </c>
      <c r="BB5" s="15">
        <v>99.700999999999993</v>
      </c>
      <c r="BC5" s="15">
        <v>16.07</v>
      </c>
      <c r="BE5" s="50">
        <f t="shared" ref="BE5:BE43" si="12">AI5/K5</f>
        <v>0.7081988012153424</v>
      </c>
      <c r="BF5" s="16">
        <f t="shared" ref="BF5:BF39" si="13">(AP5/AO5) - (R5/Q5)</f>
        <v>1.7928222861534254E-2</v>
      </c>
      <c r="BG5" s="16">
        <f t="shared" ref="BG5:BG39" si="14">(AL5/AQ5) - (N5/S5)</f>
        <v>-0.40118057499575976</v>
      </c>
      <c r="BH5" s="16">
        <f t="array" ref="BH5">AVERAGE(AL5:AL9/AQ5:AQ9) - AVERAGE(N5:N9/S5:S9)</f>
        <v>-0.27152829028858882</v>
      </c>
      <c r="BJ5" s="50">
        <f>IF( OR(ISBLANK(N5:N9),ISBLANK(AL5:AL9), ISBLANK(W5:W9),ISBLANK(AU5:AU9)), "·", bdRateExtend( N5:N9,W5:W9, AL5:AL9,AU5:AU9))</f>
        <v>0.23385476967346674</v>
      </c>
      <c r="BK5" s="50">
        <f>IF( OR(ISBLANK(N5:N9),ISBLANK(AL5:AL9), ISBLANK(X5:X9),ISBLANK(AV5:AV9)), "·", bdRateExtend( N5:N9,X5:X9, AL5:AL9,AV5:AV9))</f>
        <v>0.24999315634784303</v>
      </c>
      <c r="BL5" s="50">
        <f>IF( OR(ISBLANK(V5:V9),ISBLANK(AT5:AT9), ISBLANK(Y5:Y9),ISBLANK(AW5:AW9)), "·", bdRateExtend( V5:V9,Y5:Y9, AT5:AT9,AW5:AW9))</f>
        <v>1.7109072365699913</v>
      </c>
      <c r="BM5" s="50">
        <f>IF( OR(ISBLANK(V5:V9),ISBLANK(AT5:AT9), ISBLANK(Z5:Z9),ISBLANK(AX5:AX9)), "·", bdRateExtend( V5:V9,Z5:Z9, AT5:AT9,AX5:AX9))</f>
        <v>2.6333179648329472</v>
      </c>
      <c r="BN5" s="50">
        <f>IF( OR(ISBLANK(V5:V9),ISBLANK(AT5:AT9), ISBLANK(AA5:AA9),ISBLANK(AY5:AY9)), "·", bdRateExtend( V5:V9,AA5:AA9, AT5:AT9,AY5:AY9))</f>
        <v>2.5930828332572502</v>
      </c>
      <c r="BP5" s="50">
        <f>IF( OR(ISBLANK(S5:S9),ISBLANK(AQ5:AQ9), ISBLANK(W5:W9),ISBLANK(AU5:AU9)), "·", bdRateExtend( S5:S9,W5:W9, AQ5:AQ9,AU5:AU9))</f>
        <v>1.0759913736170796</v>
      </c>
      <c r="BQ5" s="50">
        <f>IF( OR(ISBLANK(S5:S9),ISBLANK(AQ5:AQ9), ISBLANK(X5:X9),ISBLANK(AV5:AV9)), "·", bdRateExtend( S5:S9,X5:X9, AQ5:AQ9,AV5:AV9))</f>
        <v>1.0793640270674372</v>
      </c>
      <c r="BR5" s="50">
        <f>IF( OR(ISBLANK(S5:S9),ISBLANK(AQ5:AQ9), ISBLANK(Y5:Y9),ISBLANK(AW5:AW9)), "·", bdRateExtend( S5:S9,Y5:Y9, AQ5:AQ9,AW5:AW9))</f>
        <v>0.50084947141747316</v>
      </c>
      <c r="BS5" s="50">
        <f>IF( OR(ISBLANK(S5:S9),ISBLANK(AQ5:AQ9), ISBLANK(Z5:Z9),ISBLANK(AX5:AX9)), "·", bdRateExtend( S5:S9,Z5:Z9, AQ5:AQ9,AX5:AX9))</f>
        <v>0.86780451456692687</v>
      </c>
      <c r="BT5" s="50">
        <f>IF( OR(ISBLANK(S5:S9),ISBLANK(AQ5:AQ9), ISBLANK(AA5:AA9),ISBLANK(AY5:AY9)), "·", bdRateExtend( S5:S9,AA5:AA9, AQ5:AQ9,AY5:AY9))</f>
        <v>0.85641474954413876</v>
      </c>
      <c r="BV5" s="58">
        <f>AN5-P5</f>
        <v>13497965</v>
      </c>
      <c r="BW5" s="58">
        <f t="shared" ref="BW5:CG20" si="15">AO5-Q5</f>
        <v>421811.40625</v>
      </c>
      <c r="BX5" s="58">
        <f t="shared" si="15"/>
        <v>30496.25</v>
      </c>
      <c r="BY5" s="58">
        <f t="shared" si="15"/>
        <v>351096</v>
      </c>
      <c r="BZ5" s="58">
        <f t="shared" si="15"/>
        <v>-19048</v>
      </c>
      <c r="CA5" s="58">
        <f t="shared" si="15"/>
        <v>-262923</v>
      </c>
      <c r="CB5" s="58">
        <f t="shared" si="15"/>
        <v>370680</v>
      </c>
      <c r="CC5" s="58">
        <f t="shared" si="15"/>
        <v>-0.89595600000001241</v>
      </c>
      <c r="CD5" s="58">
        <f t="shared" si="15"/>
        <v>-1.375197</v>
      </c>
      <c r="CE5" s="58">
        <f t="shared" si="15"/>
        <v>-0.60714699999999766</v>
      </c>
      <c r="CF5" s="58">
        <f t="shared" si="15"/>
        <v>-1.4050930000000008</v>
      </c>
      <c r="CG5" s="58">
        <f t="shared" si="15"/>
        <v>-1.5452810000000028</v>
      </c>
      <c r="CJ5" t="s">
        <v>233</v>
      </c>
    </row>
    <row r="6" spans="1:88" outlineLevel="1" x14ac:dyDescent="0.2">
      <c r="A6" s="17"/>
      <c r="B6" s="17" t="s">
        <v>51</v>
      </c>
      <c r="C6" s="18" t="s">
        <v>234</v>
      </c>
      <c r="D6" s="17">
        <v>238146391</v>
      </c>
      <c r="E6" s="18">
        <v>10</v>
      </c>
      <c r="F6" s="18">
        <v>32</v>
      </c>
      <c r="G6" s="18">
        <v>30</v>
      </c>
      <c r="I6" s="19">
        <f t="shared" si="0"/>
        <v>1.3552575</v>
      </c>
      <c r="J6" s="20">
        <f t="shared" si="1"/>
        <v>6.0702494542526995E-3</v>
      </c>
      <c r="K6" s="20">
        <f t="shared" si="2"/>
        <v>4.9478809863635516E-3</v>
      </c>
      <c r="L6" s="20">
        <f t="shared" si="3"/>
        <v>3.4412782682060462E-3</v>
      </c>
      <c r="M6" s="20">
        <f t="shared" si="4"/>
        <v>1.1223684678891481E-3</v>
      </c>
      <c r="N6" s="17">
        <f t="shared" si="5"/>
        <v>1178320</v>
      </c>
      <c r="O6" s="20">
        <v>16</v>
      </c>
      <c r="P6" s="21">
        <v>24777501</v>
      </c>
      <c r="Q6" s="21">
        <v>774296.90625</v>
      </c>
      <c r="R6" s="21">
        <v>19924.3125</v>
      </c>
      <c r="S6" s="22">
        <v>1445608</v>
      </c>
      <c r="T6" s="22">
        <v>819528</v>
      </c>
      <c r="U6" s="22">
        <v>358792</v>
      </c>
      <c r="V6" s="22">
        <v>267288</v>
      </c>
      <c r="W6" s="23">
        <v>68.552897000000002</v>
      </c>
      <c r="X6" s="23">
        <v>70.622062</v>
      </c>
      <c r="Y6" s="23">
        <v>33.797455999999997</v>
      </c>
      <c r="Z6" s="23">
        <v>45.493313000000001</v>
      </c>
      <c r="AA6" s="23">
        <v>45.153953000000001</v>
      </c>
      <c r="AB6" s="24">
        <v>3365.99</v>
      </c>
      <c r="AC6" s="24">
        <v>2929.39</v>
      </c>
      <c r="AD6" s="24">
        <v>60.829000000000001</v>
      </c>
      <c r="AE6" s="24">
        <v>13.981</v>
      </c>
      <c r="AG6" s="19">
        <f t="shared" si="6"/>
        <v>1.8764400000000001</v>
      </c>
      <c r="AH6" s="20">
        <f t="shared" si="7"/>
        <v>8.4046455274646593E-3</v>
      </c>
      <c r="AI6" s="20">
        <f t="shared" si="8"/>
        <v>3.9482731443114755E-3</v>
      </c>
      <c r="AJ6" s="20">
        <f t="shared" si="9"/>
        <v>3.4376838404408154E-3</v>
      </c>
      <c r="AK6" s="20">
        <f t="shared" si="10"/>
        <v>3.4623745358374966E-3</v>
      </c>
      <c r="AL6" s="17">
        <f t="shared" si="11"/>
        <v>940267</v>
      </c>
      <c r="AM6" s="20">
        <v>16</v>
      </c>
      <c r="AN6" s="21">
        <v>35971730</v>
      </c>
      <c r="AO6" s="21">
        <v>1124116.5625</v>
      </c>
      <c r="AP6" s="21">
        <v>49256.53125</v>
      </c>
      <c r="AQ6" s="22">
        <v>2001536</v>
      </c>
      <c r="AR6" s="22">
        <v>818672</v>
      </c>
      <c r="AS6" s="22">
        <v>121595</v>
      </c>
      <c r="AT6" s="22">
        <v>824552</v>
      </c>
      <c r="AU6" s="23">
        <v>67.177921999999995</v>
      </c>
      <c r="AV6" s="23">
        <v>68.744743999999997</v>
      </c>
      <c r="AW6" s="23">
        <v>33.350805999999999</v>
      </c>
      <c r="AX6" s="23">
        <v>44.287922000000002</v>
      </c>
      <c r="AY6" s="23">
        <v>44.006881</v>
      </c>
      <c r="AZ6" s="24">
        <v>3618.3</v>
      </c>
      <c r="BA6" s="24">
        <v>5173.72</v>
      </c>
      <c r="BB6" s="24">
        <v>92.382999999999996</v>
      </c>
      <c r="BC6" s="24">
        <v>14.864000000000001</v>
      </c>
      <c r="BE6" s="49">
        <f t="shared" si="12"/>
        <v>0.79797253717156635</v>
      </c>
      <c r="BF6" s="25">
        <f t="shared" si="13"/>
        <v>1.8085857657246792E-2</v>
      </c>
      <c r="BG6" s="25">
        <f t="shared" si="14"/>
        <v>-0.34533068830364472</v>
      </c>
      <c r="BH6" s="25"/>
      <c r="BJ6" s="49"/>
      <c r="BK6" s="49"/>
      <c r="BL6" s="49"/>
      <c r="BM6" s="49"/>
      <c r="BN6" s="49"/>
      <c r="BP6" s="49"/>
      <c r="BQ6" s="49"/>
      <c r="BR6" s="49"/>
      <c r="BS6" s="49"/>
      <c r="BT6" s="49"/>
      <c r="BV6" s="58">
        <f t="shared" ref="BV6:CG39" si="16">AN6-P6</f>
        <v>11194229</v>
      </c>
      <c r="BW6" s="58">
        <f t="shared" si="15"/>
        <v>349819.65625</v>
      </c>
      <c r="BX6" s="58">
        <f t="shared" si="15"/>
        <v>29332.21875</v>
      </c>
      <c r="BY6" s="58">
        <f t="shared" si="15"/>
        <v>555928</v>
      </c>
      <c r="BZ6" s="58">
        <f t="shared" si="15"/>
        <v>-856</v>
      </c>
      <c r="CA6" s="58">
        <f t="shared" si="15"/>
        <v>-237197</v>
      </c>
      <c r="CB6" s="58">
        <f t="shared" si="15"/>
        <v>557264</v>
      </c>
      <c r="CC6" s="58">
        <f t="shared" si="15"/>
        <v>-1.3749750000000063</v>
      </c>
      <c r="CD6" s="58">
        <f t="shared" si="15"/>
        <v>-1.8773180000000025</v>
      </c>
      <c r="CE6" s="58">
        <f t="shared" si="15"/>
        <v>-0.44664999999999822</v>
      </c>
      <c r="CF6" s="58">
        <f t="shared" si="15"/>
        <v>-1.2053909999999988</v>
      </c>
      <c r="CG6" s="58">
        <f t="shared" si="15"/>
        <v>-1.1470720000000014</v>
      </c>
      <c r="CJ6" t="s">
        <v>233</v>
      </c>
    </row>
    <row r="7" spans="1:88" outlineLevel="1" x14ac:dyDescent="0.2">
      <c r="A7" s="52"/>
      <c r="B7" s="52" t="s">
        <v>51</v>
      </c>
      <c r="C7" s="9" t="s">
        <v>235</v>
      </c>
      <c r="D7" s="52">
        <v>238146391</v>
      </c>
      <c r="E7" s="9">
        <v>10</v>
      </c>
      <c r="F7" s="9">
        <v>32</v>
      </c>
      <c r="G7" s="9">
        <v>30</v>
      </c>
      <c r="I7" s="10">
        <f t="shared" si="0"/>
        <v>1.8754875</v>
      </c>
      <c r="J7" s="11">
        <f t="shared" si="1"/>
        <v>8.4003792440423761E-3</v>
      </c>
      <c r="K7" s="11">
        <f t="shared" si="2"/>
        <v>6.1465050713281648E-3</v>
      </c>
      <c r="L7" s="11">
        <f t="shared" si="3"/>
        <v>4.6399023531706598E-3</v>
      </c>
      <c r="M7" s="11">
        <f t="shared" si="4"/>
        <v>2.2538741727142109E-3</v>
      </c>
      <c r="N7" s="52">
        <f t="shared" si="5"/>
        <v>1463768</v>
      </c>
      <c r="O7" s="11">
        <v>16</v>
      </c>
      <c r="P7" s="12">
        <v>24923704</v>
      </c>
      <c r="Q7" s="12">
        <v>778865.75</v>
      </c>
      <c r="R7" s="12">
        <v>21104.875</v>
      </c>
      <c r="S7" s="13">
        <v>2000520</v>
      </c>
      <c r="T7" s="13">
        <v>1104976</v>
      </c>
      <c r="U7" s="13">
        <v>358792</v>
      </c>
      <c r="V7" s="13">
        <v>536752</v>
      </c>
      <c r="W7" s="14">
        <v>69.837434000000002</v>
      </c>
      <c r="X7" s="14">
        <v>72.274171999999993</v>
      </c>
      <c r="Y7" s="14">
        <v>36.189746999999997</v>
      </c>
      <c r="Z7" s="14">
        <v>46.884202999999999</v>
      </c>
      <c r="AA7" s="14">
        <v>46.664577999999999</v>
      </c>
      <c r="AB7" s="15">
        <v>4014.4</v>
      </c>
      <c r="AC7" s="15">
        <v>4172.47</v>
      </c>
      <c r="AD7" s="15">
        <v>68.725999999999999</v>
      </c>
      <c r="AE7" s="15">
        <v>20.311</v>
      </c>
      <c r="AG7" s="10">
        <f t="shared" si="6"/>
        <v>2.6661225000000002</v>
      </c>
      <c r="AH7" s="11">
        <f t="shared" si="7"/>
        <v>1.1941663226800694E-2</v>
      </c>
      <c r="AI7" s="11">
        <f t="shared" si="8"/>
        <v>5.6416769297167307E-3</v>
      </c>
      <c r="AJ7" s="11">
        <f t="shared" si="9"/>
        <v>4.998370938991051E-3</v>
      </c>
      <c r="AK7" s="11">
        <f t="shared" si="10"/>
        <v>5.4387051366232963E-3</v>
      </c>
      <c r="AL7" s="52">
        <f t="shared" si="11"/>
        <v>1343545</v>
      </c>
      <c r="AM7" s="11">
        <v>16</v>
      </c>
      <c r="AN7" s="12">
        <v>32260910</v>
      </c>
      <c r="AO7" s="12">
        <v>1008153.4375</v>
      </c>
      <c r="AP7" s="12">
        <v>48974.4375</v>
      </c>
      <c r="AQ7" s="13">
        <v>2843864</v>
      </c>
      <c r="AR7" s="13">
        <v>1190344</v>
      </c>
      <c r="AS7" s="13">
        <v>153201</v>
      </c>
      <c r="AT7" s="13">
        <v>1295208</v>
      </c>
      <c r="AU7" s="14">
        <v>68.438197000000002</v>
      </c>
      <c r="AV7" s="14">
        <v>70.380628000000002</v>
      </c>
      <c r="AW7" s="14">
        <v>35.786090999999999</v>
      </c>
      <c r="AX7" s="14">
        <v>45.959372000000002</v>
      </c>
      <c r="AY7" s="14">
        <v>45.759244000000002</v>
      </c>
      <c r="AZ7" s="15">
        <v>3395.03</v>
      </c>
      <c r="BA7" s="15">
        <v>5111.8599999999997</v>
      </c>
      <c r="BB7" s="15">
        <v>81.19</v>
      </c>
      <c r="BC7" s="15">
        <v>14.465999999999999</v>
      </c>
      <c r="BE7" s="50">
        <f t="shared" si="12"/>
        <v>0.91786744893999594</v>
      </c>
      <c r="BF7" s="16">
        <f t="shared" si="13"/>
        <v>2.1481421391465635E-2</v>
      </c>
      <c r="BG7" s="16">
        <f t="shared" si="14"/>
        <v>-0.25925731399781288</v>
      </c>
      <c r="BH7" s="16"/>
      <c r="BJ7" s="50"/>
      <c r="BK7" s="50"/>
      <c r="BL7" s="50"/>
      <c r="BM7" s="50"/>
      <c r="BN7" s="50"/>
      <c r="BP7" s="50"/>
      <c r="BQ7" s="50"/>
      <c r="BR7" s="50"/>
      <c r="BS7" s="50"/>
      <c r="BT7" s="50"/>
      <c r="BV7" s="58">
        <f t="shared" si="16"/>
        <v>7337206</v>
      </c>
      <c r="BW7" s="58">
        <f t="shared" si="15"/>
        <v>229287.6875</v>
      </c>
      <c r="BX7" s="58">
        <f t="shared" si="15"/>
        <v>27869.5625</v>
      </c>
      <c r="BY7" s="58">
        <f t="shared" si="15"/>
        <v>843344</v>
      </c>
      <c r="BZ7" s="58">
        <f t="shared" si="15"/>
        <v>85368</v>
      </c>
      <c r="CA7" s="58">
        <f t="shared" si="15"/>
        <v>-205591</v>
      </c>
      <c r="CB7" s="58">
        <f t="shared" si="15"/>
        <v>758456</v>
      </c>
      <c r="CC7" s="58">
        <f t="shared" si="15"/>
        <v>-1.3992369999999994</v>
      </c>
      <c r="CD7" s="58">
        <f t="shared" si="15"/>
        <v>-1.8935439999999915</v>
      </c>
      <c r="CE7" s="58">
        <f t="shared" si="15"/>
        <v>-0.40365599999999802</v>
      </c>
      <c r="CF7" s="58">
        <f t="shared" si="15"/>
        <v>-0.92483099999999752</v>
      </c>
      <c r="CG7" s="58">
        <f t="shared" si="15"/>
        <v>-0.90533399999999631</v>
      </c>
      <c r="CJ7" t="s">
        <v>233</v>
      </c>
    </row>
    <row r="8" spans="1:88" outlineLevel="1" x14ac:dyDescent="0.2">
      <c r="A8" s="17"/>
      <c r="B8" s="17" t="s">
        <v>51</v>
      </c>
      <c r="C8" s="18" t="s">
        <v>236</v>
      </c>
      <c r="D8" s="17">
        <v>238146391</v>
      </c>
      <c r="E8" s="18">
        <v>10</v>
      </c>
      <c r="F8" s="18">
        <v>32</v>
      </c>
      <c r="G8" s="18">
        <v>30</v>
      </c>
      <c r="I8" s="19">
        <f t="shared" si="0"/>
        <v>3.0929700000000002</v>
      </c>
      <c r="J8" s="20">
        <f t="shared" si="1"/>
        <v>1.3853529277292302E-2</v>
      </c>
      <c r="K8" s="20">
        <f t="shared" si="2"/>
        <v>8.8610034825176084E-3</v>
      </c>
      <c r="L8" s="20">
        <f t="shared" si="3"/>
        <v>7.3544007643601035E-3</v>
      </c>
      <c r="M8" s="20">
        <f t="shared" si="4"/>
        <v>4.9925257947746942E-3</v>
      </c>
      <c r="N8" s="17">
        <f t="shared" si="5"/>
        <v>2110216</v>
      </c>
      <c r="O8" s="20">
        <v>16</v>
      </c>
      <c r="P8" s="21">
        <v>25894561</v>
      </c>
      <c r="Q8" s="21">
        <v>809205.03125</v>
      </c>
      <c r="R8" s="21">
        <v>24362.65625</v>
      </c>
      <c r="S8" s="22">
        <v>3299168</v>
      </c>
      <c r="T8" s="22">
        <v>1751424</v>
      </c>
      <c r="U8" s="22">
        <v>358792</v>
      </c>
      <c r="V8" s="22">
        <v>1188952</v>
      </c>
      <c r="W8" s="23">
        <v>70.899381000000005</v>
      </c>
      <c r="X8" s="23">
        <v>73.460274999999996</v>
      </c>
      <c r="Y8" s="23">
        <v>38.671903</v>
      </c>
      <c r="Z8" s="23">
        <v>48.122497000000003</v>
      </c>
      <c r="AA8" s="23">
        <v>48.141522000000002</v>
      </c>
      <c r="AB8" s="24">
        <v>3727.54</v>
      </c>
      <c r="AC8" s="24">
        <v>3812.47</v>
      </c>
      <c r="AD8" s="24">
        <v>69.572999999999993</v>
      </c>
      <c r="AE8" s="24">
        <v>16.606000000000002</v>
      </c>
      <c r="AG8" s="19">
        <f t="shared" si="6"/>
        <v>4.2337350000000002</v>
      </c>
      <c r="AH8" s="20">
        <f t="shared" si="7"/>
        <v>1.8963058734742699E-2</v>
      </c>
      <c r="AI8" s="20">
        <f t="shared" si="8"/>
        <v>8.7514490194394758E-3</v>
      </c>
      <c r="AJ8" s="20">
        <f t="shared" si="9"/>
        <v>7.8396149198834593E-3</v>
      </c>
      <c r="AK8" s="20">
        <f t="shared" si="10"/>
        <v>9.6188902564557453E-3</v>
      </c>
      <c r="AL8" s="17">
        <f t="shared" si="11"/>
        <v>2084126</v>
      </c>
      <c r="AM8" s="20">
        <v>16</v>
      </c>
      <c r="AN8" s="21">
        <v>28434470</v>
      </c>
      <c r="AO8" s="21">
        <v>888577.1875</v>
      </c>
      <c r="AP8" s="21">
        <v>45886.1875</v>
      </c>
      <c r="AQ8" s="22">
        <v>4515984</v>
      </c>
      <c r="AR8" s="22">
        <v>1866976</v>
      </c>
      <c r="AS8" s="22">
        <v>217150</v>
      </c>
      <c r="AT8" s="22">
        <v>2290704</v>
      </c>
      <c r="AU8" s="23">
        <v>69.856399999999994</v>
      </c>
      <c r="AV8" s="23">
        <v>72.249180999999993</v>
      </c>
      <c r="AW8" s="23">
        <v>38.299066000000003</v>
      </c>
      <c r="AX8" s="23">
        <v>47.390497000000003</v>
      </c>
      <c r="AY8" s="23">
        <v>47.296886999999998</v>
      </c>
      <c r="AZ8" s="24">
        <v>3254.57</v>
      </c>
      <c r="BA8" s="24">
        <v>5211.8599999999997</v>
      </c>
      <c r="BB8" s="24">
        <v>69.162999999999997</v>
      </c>
      <c r="BC8" s="24">
        <v>14.968999999999999</v>
      </c>
      <c r="BE8" s="49">
        <f t="shared" si="12"/>
        <v>0.98763633675415219</v>
      </c>
      <c r="BF8" s="25">
        <f t="shared" si="13"/>
        <v>2.1533167654057248E-2</v>
      </c>
      <c r="BG8" s="25">
        <f t="shared" si="14"/>
        <v>-0.17812079227883126</v>
      </c>
      <c r="BH8" s="25"/>
      <c r="BJ8" s="49"/>
      <c r="BK8" s="49"/>
      <c r="BL8" s="49"/>
      <c r="BM8" s="49"/>
      <c r="BN8" s="49"/>
      <c r="BP8" s="49"/>
      <c r="BQ8" s="49"/>
      <c r="BR8" s="49"/>
      <c r="BS8" s="49"/>
      <c r="BT8" s="49"/>
      <c r="BV8" s="58">
        <f t="shared" si="16"/>
        <v>2539909</v>
      </c>
      <c r="BW8" s="58">
        <f t="shared" si="15"/>
        <v>79372.15625</v>
      </c>
      <c r="BX8" s="58">
        <f t="shared" si="15"/>
        <v>21523.53125</v>
      </c>
      <c r="BY8" s="58">
        <f t="shared" si="15"/>
        <v>1216816</v>
      </c>
      <c r="BZ8" s="58">
        <f t="shared" si="15"/>
        <v>115552</v>
      </c>
      <c r="CA8" s="58">
        <f t="shared" si="15"/>
        <v>-141642</v>
      </c>
      <c r="CB8" s="58">
        <f t="shared" si="15"/>
        <v>1101752</v>
      </c>
      <c r="CC8" s="58">
        <f t="shared" si="15"/>
        <v>-1.0429810000000117</v>
      </c>
      <c r="CD8" s="58">
        <f t="shared" si="15"/>
        <v>-1.2110940000000028</v>
      </c>
      <c r="CE8" s="58">
        <f t="shared" si="15"/>
        <v>-0.37283699999999698</v>
      </c>
      <c r="CF8" s="58">
        <f t="shared" si="15"/>
        <v>-0.73199999999999932</v>
      </c>
      <c r="CG8" s="58">
        <f t="shared" si="15"/>
        <v>-0.8446350000000038</v>
      </c>
      <c r="CJ8" t="s">
        <v>233</v>
      </c>
    </row>
    <row r="9" spans="1:88" ht="16" outlineLevel="1" thickBot="1" x14ac:dyDescent="0.25">
      <c r="A9" s="52"/>
      <c r="B9" s="26" t="s">
        <v>51</v>
      </c>
      <c r="C9" s="27" t="s">
        <v>237</v>
      </c>
      <c r="D9" s="26">
        <v>238146391</v>
      </c>
      <c r="E9" s="27">
        <v>10</v>
      </c>
      <c r="F9" s="27">
        <v>32</v>
      </c>
      <c r="G9" s="27">
        <v>30</v>
      </c>
      <c r="I9" s="28">
        <f t="shared" si="0"/>
        <v>6.3083549999999997</v>
      </c>
      <c r="J9" s="29">
        <f t="shared" si="1"/>
        <v>2.8255359956305195E-2</v>
      </c>
      <c r="K9" s="29">
        <f t="shared" si="2"/>
        <v>1.5570053295495878E-2</v>
      </c>
      <c r="L9" s="29">
        <f t="shared" si="3"/>
        <v>1.2147654171253009E-2</v>
      </c>
      <c r="M9" s="29">
        <f t="shared" si="4"/>
        <v>1.2685306660809317E-2</v>
      </c>
      <c r="N9" s="26">
        <f t="shared" si="5"/>
        <v>3707952</v>
      </c>
      <c r="O9" s="29">
        <v>16</v>
      </c>
      <c r="P9" s="30">
        <v>24903158</v>
      </c>
      <c r="Q9" s="30">
        <v>778223.6875</v>
      </c>
      <c r="R9" s="30">
        <v>10582.96875</v>
      </c>
      <c r="S9" s="31">
        <v>6728912</v>
      </c>
      <c r="T9" s="31">
        <v>2892920</v>
      </c>
      <c r="U9" s="31">
        <v>815032</v>
      </c>
      <c r="V9" s="31">
        <v>3020960</v>
      </c>
      <c r="W9" s="32">
        <v>71.932044000000005</v>
      </c>
      <c r="X9" s="32">
        <v>75.246166000000002</v>
      </c>
      <c r="Y9" s="32">
        <v>41.135641</v>
      </c>
      <c r="Z9" s="32">
        <v>49.545462000000001</v>
      </c>
      <c r="AA9" s="32">
        <v>49.686588</v>
      </c>
      <c r="AB9" s="33">
        <v>3406.56</v>
      </c>
      <c r="AC9" s="33">
        <v>3796.83</v>
      </c>
      <c r="AD9" s="33">
        <v>60.694000000000003</v>
      </c>
      <c r="AE9" s="33">
        <v>16.239999999999998</v>
      </c>
      <c r="AG9" s="28">
        <f t="shared" si="6"/>
        <v>9.1238700000000001</v>
      </c>
      <c r="AH9" s="29">
        <f t="shared" si="7"/>
        <v>4.0866157824747382E-2</v>
      </c>
      <c r="AI9" s="29">
        <f t="shared" si="8"/>
        <v>1.5418625428591945E-2</v>
      </c>
      <c r="AJ9" s="29">
        <f t="shared" si="9"/>
        <v>1.3106459379432712E-2</v>
      </c>
      <c r="AK9" s="29">
        <f t="shared" si="10"/>
        <v>2.4339314888042959E-2</v>
      </c>
      <c r="AL9" s="26">
        <f t="shared" si="11"/>
        <v>3671890</v>
      </c>
      <c r="AM9" s="29">
        <v>16</v>
      </c>
      <c r="AN9" s="30">
        <v>25165306</v>
      </c>
      <c r="AO9" s="30">
        <v>786415.8125</v>
      </c>
      <c r="AP9" s="30">
        <v>19593.4375</v>
      </c>
      <c r="AQ9" s="31">
        <v>9732128</v>
      </c>
      <c r="AR9" s="31">
        <v>3121256</v>
      </c>
      <c r="AS9" s="31">
        <v>550634</v>
      </c>
      <c r="AT9" s="31">
        <v>5796320</v>
      </c>
      <c r="AU9" s="32">
        <v>71.234899999999996</v>
      </c>
      <c r="AV9" s="32">
        <v>74.254818999999998</v>
      </c>
      <c r="AW9" s="32">
        <v>40.790469000000002</v>
      </c>
      <c r="AX9" s="32">
        <v>48.840519</v>
      </c>
      <c r="AY9" s="32">
        <v>48.779888</v>
      </c>
      <c r="AZ9" s="33">
        <v>3442.1</v>
      </c>
      <c r="BA9" s="33">
        <v>6221.01</v>
      </c>
      <c r="BB9" s="33">
        <v>70.144999999999996</v>
      </c>
      <c r="BC9" s="33">
        <v>18.494</v>
      </c>
      <c r="BE9" s="34">
        <f t="shared" si="12"/>
        <v>0.99027441563429086</v>
      </c>
      <c r="BF9" s="35">
        <f t="shared" si="13"/>
        <v>1.1315979285471463E-2</v>
      </c>
      <c r="BG9" s="35">
        <f t="shared" si="14"/>
        <v>-0.17375208186689578</v>
      </c>
      <c r="BH9" s="35"/>
      <c r="BJ9" s="34"/>
      <c r="BK9" s="34"/>
      <c r="BL9" s="34"/>
      <c r="BM9" s="34"/>
      <c r="BN9" s="34"/>
      <c r="BP9" s="34"/>
      <c r="BQ9" s="34"/>
      <c r="BR9" s="34"/>
      <c r="BS9" s="34"/>
      <c r="BT9" s="34"/>
      <c r="BV9" s="58">
        <f t="shared" si="16"/>
        <v>262148</v>
      </c>
      <c r="BW9" s="58">
        <f t="shared" si="15"/>
        <v>8192.125</v>
      </c>
      <c r="BX9" s="58">
        <f t="shared" si="15"/>
        <v>9010.46875</v>
      </c>
      <c r="BY9" s="58">
        <f t="shared" si="15"/>
        <v>3003216</v>
      </c>
      <c r="BZ9" s="58">
        <f t="shared" si="15"/>
        <v>228336</v>
      </c>
      <c r="CA9" s="58">
        <f t="shared" si="15"/>
        <v>-264398</v>
      </c>
      <c r="CB9" s="58">
        <f t="shared" si="15"/>
        <v>2775360</v>
      </c>
      <c r="CC9" s="58">
        <f t="shared" si="15"/>
        <v>-0.69714400000000865</v>
      </c>
      <c r="CD9" s="58">
        <f t="shared" si="15"/>
        <v>-0.99134700000000464</v>
      </c>
      <c r="CE9" s="58">
        <f t="shared" si="15"/>
        <v>-0.34517199999999804</v>
      </c>
      <c r="CF9" s="58">
        <f t="shared" si="15"/>
        <v>-0.7049430000000001</v>
      </c>
      <c r="CG9" s="58">
        <f t="shared" si="15"/>
        <v>-0.90670000000000073</v>
      </c>
      <c r="CJ9" t="s">
        <v>233</v>
      </c>
    </row>
    <row r="10" spans="1:88" x14ac:dyDescent="0.2">
      <c r="A10" s="17"/>
      <c r="B10" s="17" t="s">
        <v>59</v>
      </c>
      <c r="C10" s="18" t="s">
        <v>232</v>
      </c>
      <c r="D10" s="17">
        <v>218121242</v>
      </c>
      <c r="E10" s="18">
        <v>10</v>
      </c>
      <c r="F10" s="18">
        <v>32</v>
      </c>
      <c r="G10" s="18">
        <v>30</v>
      </c>
      <c r="I10" s="19">
        <f t="shared" si="0"/>
        <v>1.9765725000000001</v>
      </c>
      <c r="J10" s="20">
        <f t="shared" si="1"/>
        <v>9.6659269893575976E-3</v>
      </c>
      <c r="K10" s="20">
        <f t="shared" si="2"/>
        <v>7.2509765004914106E-3</v>
      </c>
      <c r="L10" s="20">
        <f t="shared" si="3"/>
        <v>4.1104845716952226E-3</v>
      </c>
      <c r="M10" s="20">
        <f t="shared" si="4"/>
        <v>2.4149504888661875E-3</v>
      </c>
      <c r="N10" s="17">
        <f t="shared" si="5"/>
        <v>1581592</v>
      </c>
      <c r="O10" s="20">
        <v>16</v>
      </c>
      <c r="P10" s="21">
        <v>20942558</v>
      </c>
      <c r="Q10" s="21">
        <v>654454.9375</v>
      </c>
      <c r="R10" s="21">
        <v>18943.59375</v>
      </c>
      <c r="S10" s="22">
        <v>2108344</v>
      </c>
      <c r="T10" s="22">
        <v>896584</v>
      </c>
      <c r="U10" s="22">
        <v>685008</v>
      </c>
      <c r="V10" s="22">
        <v>526752</v>
      </c>
      <c r="W10" s="23">
        <v>65.984049999999996</v>
      </c>
      <c r="X10" s="23">
        <v>67.859694000000005</v>
      </c>
      <c r="Y10" s="23">
        <v>31.012543999999998</v>
      </c>
      <c r="Z10" s="23">
        <v>38.769036999999997</v>
      </c>
      <c r="AA10" s="23">
        <v>30.066780999999999</v>
      </c>
      <c r="AB10" s="24">
        <v>3792.86</v>
      </c>
      <c r="AC10" s="24">
        <v>3624.36</v>
      </c>
      <c r="AD10" s="24">
        <v>53.113</v>
      </c>
      <c r="AE10" s="24">
        <v>15.522</v>
      </c>
      <c r="AG10" s="19">
        <f t="shared" si="6"/>
        <v>2.8030050000000002</v>
      </c>
      <c r="AH10" s="20">
        <f t="shared" si="7"/>
        <v>1.3707385729996897E-2</v>
      </c>
      <c r="AI10" s="20">
        <f t="shared" si="8"/>
        <v>5.3822039029101073E-3</v>
      </c>
      <c r="AJ10" s="20">
        <f t="shared" si="9"/>
        <v>4.4736587370064577E-3</v>
      </c>
      <c r="AK10" s="20">
        <f t="shared" si="10"/>
        <v>6.1948299377462745E-3</v>
      </c>
      <c r="AL10" s="17">
        <f t="shared" si="11"/>
        <v>1173973</v>
      </c>
      <c r="AM10" s="20">
        <v>16</v>
      </c>
      <c r="AN10" s="21">
        <v>32920383</v>
      </c>
      <c r="AO10" s="21">
        <v>1028761.96875</v>
      </c>
      <c r="AP10" s="21">
        <v>54271.0625</v>
      </c>
      <c r="AQ10" s="22">
        <v>2989872</v>
      </c>
      <c r="AR10" s="22">
        <v>975800</v>
      </c>
      <c r="AS10" s="22">
        <v>198173</v>
      </c>
      <c r="AT10" s="22">
        <v>1351224</v>
      </c>
      <c r="AU10" s="23">
        <v>65.458419000000006</v>
      </c>
      <c r="AV10" s="23">
        <v>66.769103000000001</v>
      </c>
      <c r="AW10" s="23">
        <v>29.977809000000001</v>
      </c>
      <c r="AX10" s="23">
        <v>37.502046999999997</v>
      </c>
      <c r="AY10" s="23">
        <v>29.167659</v>
      </c>
      <c r="AZ10" s="24">
        <v>3327.91</v>
      </c>
      <c r="BA10" s="24">
        <v>6524.64</v>
      </c>
      <c r="BB10" s="24">
        <v>82.873000000000005</v>
      </c>
      <c r="BC10" s="24">
        <v>15.779</v>
      </c>
      <c r="BE10" s="49">
        <f t="shared" si="12"/>
        <v>0.742272975584095</v>
      </c>
      <c r="BF10" s="25">
        <f t="shared" si="13"/>
        <v>2.3808156041231023E-2</v>
      </c>
      <c r="BG10" s="25">
        <f t="shared" si="14"/>
        <v>-0.3575084987094137</v>
      </c>
      <c r="BH10" s="25">
        <f t="array" ref="BH10">AVERAGE(AL10:AL14/AQ10:AQ14) - AVERAGE(N10:N14/S10:S14)</f>
        <v>-0.23815579958484118</v>
      </c>
      <c r="BJ10" s="49">
        <f>IF( OR(ISBLANK(N10:N14),ISBLANK(AL10:AL14), ISBLANK(W10:W14),ISBLANK(AU10:AU14)), "·", bdRateExtend( N10:N14,W10:W14, AL10:AL14,AU10:AU14))</f>
        <v>0.22383817495483282</v>
      </c>
      <c r="BK10" s="49">
        <f>IF( OR(ISBLANK(N10:N14),ISBLANK(AL10:AL14), ISBLANK(X10:X14),ISBLANK(AV10:AV14)), "·", bdRateExtend( N10:N14,X10:X14, AL10:AL14,AV10:AV14))</f>
        <v>0.28969720795137444</v>
      </c>
      <c r="BL10" s="49">
        <f>IF( OR(ISBLANK(V10:V14),ISBLANK(AT10:AT14), ISBLANK(Y10:Y14),ISBLANK(AW10:AW14)), "·", bdRateExtend( V10:V14,Y10:Y14, AT10:AT14,AW10:AW14))</f>
        <v>1.5560408128362444</v>
      </c>
      <c r="BM10" s="49">
        <f>IF( OR(ISBLANK(V10:V14),ISBLANK(AT10:AT14), ISBLANK(Z10:Z14),ISBLANK(AX10:AX14)), "·", bdRateExtend( V10:V14,Z10:Z14, AT10:AT14,AX10:AX14))</f>
        <v>2.2721796819422648</v>
      </c>
      <c r="BN10" s="49">
        <f>IF( OR(ISBLANK(V10:V14),ISBLANK(AT10:AT14), ISBLANK(AA10:AA14),ISBLANK(AY10:AY14)), "·", bdRateExtend( V10:V14,AA10:AA14, AT10:AT14,AY10:AY14))</f>
        <v>1.6860527775466823</v>
      </c>
      <c r="BP10" s="49">
        <f>IF( OR(ISBLANK(S10:S14),ISBLANK(AQ10:AQ14), ISBLANK(W10:W14),ISBLANK(AU10:AU14)), "·", bdRateExtend( S10:S14,W10:W14, AQ10:AQ14,AU10:AU14))</f>
        <v>1.1333226904071165</v>
      </c>
      <c r="BQ10" s="49">
        <f>IF( OR(ISBLANK(S10:S14),ISBLANK(AQ10:AQ14), ISBLANK(X10:X14),ISBLANK(AV10:AV14)), "·", bdRateExtend( S10:S14,X10:X14, AQ10:AQ14,AV10:AV14))</f>
        <v>1.2318343474172466</v>
      </c>
      <c r="BR10" s="49">
        <f>IF( OR(ISBLANK(S10:S14),ISBLANK(AQ10:AQ14), ISBLANK(Y10:Y14),ISBLANK(AW10:AW14)), "·", bdRateExtend( S10:S14,Y10:Y14, AQ10:AQ14,AW10:AW14))</f>
        <v>0.70129672902515972</v>
      </c>
      <c r="BS10" s="49">
        <f>IF( OR(ISBLANK(S10:S14),ISBLANK(AQ10:AQ14), ISBLANK(Z10:Z14),ISBLANK(AX10:AX14)), "·", bdRateExtend( S10:S14,Z10:Z14, AQ10:AQ14,AX10:AX14))</f>
        <v>1.0563094483761355</v>
      </c>
      <c r="BT10" s="49">
        <f>IF( OR(ISBLANK(S10:S14),ISBLANK(AQ10:AQ14), ISBLANK(AA10:AA14),ISBLANK(AY10:AY14)), "·", bdRateExtend( S10:S14,AA10:AA14, AQ10:AQ14,AY10:AY14))</f>
        <v>0.74276336182141933</v>
      </c>
      <c r="BV10" s="58">
        <f t="shared" si="16"/>
        <v>11977825</v>
      </c>
      <c r="BW10" s="58">
        <f t="shared" si="15"/>
        <v>374307.03125</v>
      </c>
      <c r="BX10" s="58">
        <f t="shared" si="15"/>
        <v>35327.46875</v>
      </c>
      <c r="BY10" s="58">
        <f t="shared" si="15"/>
        <v>881528</v>
      </c>
      <c r="BZ10" s="58">
        <f t="shared" si="15"/>
        <v>79216</v>
      </c>
      <c r="CA10" s="58">
        <f t="shared" si="15"/>
        <v>-486835</v>
      </c>
      <c r="CB10" s="58">
        <f t="shared" si="15"/>
        <v>824472</v>
      </c>
      <c r="CC10" s="58">
        <f t="shared" si="15"/>
        <v>-0.52563099999998997</v>
      </c>
      <c r="CD10" s="58">
        <f t="shared" si="15"/>
        <v>-1.0905910000000034</v>
      </c>
      <c r="CE10" s="58">
        <f t="shared" si="15"/>
        <v>-1.0347349999999977</v>
      </c>
      <c r="CF10" s="58">
        <f t="shared" si="15"/>
        <v>-1.2669899999999998</v>
      </c>
      <c r="CG10" s="58">
        <f t="shared" si="15"/>
        <v>-0.89912199999999842</v>
      </c>
      <c r="CJ10" t="s">
        <v>587</v>
      </c>
    </row>
    <row r="11" spans="1:88" outlineLevel="1" x14ac:dyDescent="0.2">
      <c r="A11" s="52"/>
      <c r="B11" s="52" t="s">
        <v>59</v>
      </c>
      <c r="C11" s="9" t="s">
        <v>234</v>
      </c>
      <c r="D11" s="52">
        <v>218121242</v>
      </c>
      <c r="E11" s="9">
        <v>10</v>
      </c>
      <c r="F11" s="9">
        <v>32</v>
      </c>
      <c r="G11" s="9">
        <v>30</v>
      </c>
      <c r="I11" s="10">
        <f t="shared" si="0"/>
        <v>2.6997675000000001</v>
      </c>
      <c r="J11" s="11">
        <f t="shared" si="1"/>
        <v>1.3202528894457699E-2</v>
      </c>
      <c r="K11" s="11">
        <f t="shared" si="2"/>
        <v>8.8998576305557627E-3</v>
      </c>
      <c r="L11" s="11">
        <f t="shared" si="3"/>
        <v>5.7593657017595747E-3</v>
      </c>
      <c r="M11" s="11">
        <f t="shared" si="4"/>
        <v>4.302671263901936E-3</v>
      </c>
      <c r="N11" s="52">
        <f t="shared" si="5"/>
        <v>1941248</v>
      </c>
      <c r="O11" s="11">
        <v>16</v>
      </c>
      <c r="P11" s="12">
        <v>22233167</v>
      </c>
      <c r="Q11" s="12">
        <v>694786.46875</v>
      </c>
      <c r="R11" s="12">
        <v>23204.09375</v>
      </c>
      <c r="S11" s="13">
        <v>2879752</v>
      </c>
      <c r="T11" s="13">
        <v>1256240</v>
      </c>
      <c r="U11" s="13">
        <v>685008</v>
      </c>
      <c r="V11" s="13">
        <v>938504</v>
      </c>
      <c r="W11" s="14">
        <v>67.674730999999994</v>
      </c>
      <c r="X11" s="14">
        <v>69.753456</v>
      </c>
      <c r="Y11" s="14">
        <v>32.861966000000002</v>
      </c>
      <c r="Z11" s="14">
        <v>39.685718999999999</v>
      </c>
      <c r="AA11" s="14">
        <v>32.241593999999999</v>
      </c>
      <c r="AB11" s="15">
        <v>3972.02</v>
      </c>
      <c r="AC11" s="15">
        <v>4753.7700000000004</v>
      </c>
      <c r="AD11" s="15">
        <v>62.247</v>
      </c>
      <c r="AE11" s="15">
        <v>19.843</v>
      </c>
      <c r="AG11" s="10">
        <f t="shared" si="6"/>
        <v>4.0895549999999998</v>
      </c>
      <c r="AH11" s="11">
        <f t="shared" si="7"/>
        <v>1.999893252029071E-2</v>
      </c>
      <c r="AI11" s="11">
        <f t="shared" si="8"/>
        <v>7.5254201972680861E-3</v>
      </c>
      <c r="AJ11" s="11">
        <f t="shared" si="9"/>
        <v>6.2808004733440866E-3</v>
      </c>
      <c r="AK11" s="11">
        <f t="shared" si="10"/>
        <v>1.0679271668552117E-2</v>
      </c>
      <c r="AL11" s="52">
        <f t="shared" si="11"/>
        <v>1641454</v>
      </c>
      <c r="AM11" s="11">
        <v>16</v>
      </c>
      <c r="AN11" s="12">
        <v>31904581</v>
      </c>
      <c r="AO11" s="12">
        <v>997018.15625</v>
      </c>
      <c r="AP11" s="12">
        <v>55369.28125</v>
      </c>
      <c r="AQ11" s="13">
        <v>4362192</v>
      </c>
      <c r="AR11" s="13">
        <v>1369976</v>
      </c>
      <c r="AS11" s="13">
        <v>271478</v>
      </c>
      <c r="AT11" s="13">
        <v>2329376</v>
      </c>
      <c r="AU11" s="14">
        <v>66.720578000000003</v>
      </c>
      <c r="AV11" s="14">
        <v>68.303966000000003</v>
      </c>
      <c r="AW11" s="14">
        <v>32.175134</v>
      </c>
      <c r="AX11" s="14">
        <v>38.786031000000001</v>
      </c>
      <c r="AY11" s="14">
        <v>31.543877999999999</v>
      </c>
      <c r="AZ11" s="15">
        <v>4068.67</v>
      </c>
      <c r="BA11" s="15">
        <v>9518.7199999999993</v>
      </c>
      <c r="BB11" s="15">
        <v>95.835999999999999</v>
      </c>
      <c r="BC11" s="15">
        <v>25.638999999999999</v>
      </c>
      <c r="BE11" s="50">
        <f t="shared" si="12"/>
        <v>0.84556635731240926</v>
      </c>
      <c r="BF11" s="16">
        <f t="shared" si="13"/>
        <v>2.213743132085496E-2</v>
      </c>
      <c r="BG11" s="16">
        <f t="shared" si="14"/>
        <v>-0.29781139814026014</v>
      </c>
      <c r="BH11" s="16"/>
      <c r="BJ11" s="50"/>
      <c r="BK11" s="50"/>
      <c r="BL11" s="50"/>
      <c r="BM11" s="50"/>
      <c r="BN11" s="50"/>
      <c r="BP11" s="50"/>
      <c r="BQ11" s="50"/>
      <c r="BR11" s="50"/>
      <c r="BS11" s="50"/>
      <c r="BT11" s="50"/>
      <c r="BV11" s="58">
        <f t="shared" si="16"/>
        <v>9671414</v>
      </c>
      <c r="BW11" s="58">
        <f t="shared" si="15"/>
        <v>302231.6875</v>
      </c>
      <c r="BX11" s="58">
        <f t="shared" si="15"/>
        <v>32165.1875</v>
      </c>
      <c r="BY11" s="58">
        <f t="shared" si="15"/>
        <v>1482440</v>
      </c>
      <c r="BZ11" s="58">
        <f t="shared" si="15"/>
        <v>113736</v>
      </c>
      <c r="CA11" s="58">
        <f t="shared" si="15"/>
        <v>-413530</v>
      </c>
      <c r="CB11" s="58">
        <f t="shared" si="15"/>
        <v>1390872</v>
      </c>
      <c r="CC11" s="58">
        <f t="shared" si="15"/>
        <v>-0.95415299999999093</v>
      </c>
      <c r="CD11" s="58">
        <f t="shared" si="15"/>
        <v>-1.4494899999999973</v>
      </c>
      <c r="CE11" s="58">
        <f t="shared" si="15"/>
        <v>-0.68683200000000255</v>
      </c>
      <c r="CF11" s="58">
        <f t="shared" si="15"/>
        <v>-0.8996879999999976</v>
      </c>
      <c r="CG11" s="58">
        <f t="shared" si="15"/>
        <v>-0.69771599999999978</v>
      </c>
      <c r="CJ11" t="s">
        <v>587</v>
      </c>
    </row>
    <row r="12" spans="1:88" outlineLevel="1" x14ac:dyDescent="0.2">
      <c r="A12" s="17"/>
      <c r="B12" s="17" t="s">
        <v>59</v>
      </c>
      <c r="C12" s="18" t="s">
        <v>235</v>
      </c>
      <c r="D12" s="17">
        <v>218121242</v>
      </c>
      <c r="E12" s="18">
        <v>10</v>
      </c>
      <c r="F12" s="18">
        <v>32</v>
      </c>
      <c r="G12" s="18">
        <v>30</v>
      </c>
      <c r="I12" s="19">
        <f t="shared" si="0"/>
        <v>3.8493075000000001</v>
      </c>
      <c r="J12" s="20">
        <f t="shared" si="1"/>
        <v>1.8824062995203374E-2</v>
      </c>
      <c r="K12" s="20">
        <f t="shared" si="2"/>
        <v>1.141757665216302E-2</v>
      </c>
      <c r="L12" s="20">
        <f t="shared" si="3"/>
        <v>8.2770847233668322E-3</v>
      </c>
      <c r="M12" s="20">
        <f t="shared" si="4"/>
        <v>7.4064863430403534E-3</v>
      </c>
      <c r="N12" s="17">
        <f t="shared" si="5"/>
        <v>2490416</v>
      </c>
      <c r="O12" s="20">
        <v>16</v>
      </c>
      <c r="P12" s="21">
        <v>22569901</v>
      </c>
      <c r="Q12" s="21">
        <v>705309.40625</v>
      </c>
      <c r="R12" s="21">
        <v>24721.9375</v>
      </c>
      <c r="S12" s="22">
        <v>4105928</v>
      </c>
      <c r="T12" s="22">
        <v>1805408</v>
      </c>
      <c r="U12" s="22">
        <v>685008</v>
      </c>
      <c r="V12" s="22">
        <v>1615512</v>
      </c>
      <c r="W12" s="23">
        <v>69.009450000000001</v>
      </c>
      <c r="X12" s="23">
        <v>71.379971999999995</v>
      </c>
      <c r="Y12" s="23">
        <v>34.860587000000002</v>
      </c>
      <c r="Z12" s="23">
        <v>40.655971999999998</v>
      </c>
      <c r="AA12" s="23">
        <v>34.140081000000002</v>
      </c>
      <c r="AB12" s="24">
        <v>3414.9</v>
      </c>
      <c r="AC12" s="24">
        <v>3946.13</v>
      </c>
      <c r="AD12" s="24">
        <v>57.033000000000001</v>
      </c>
      <c r="AE12" s="24">
        <v>15.938000000000001</v>
      </c>
      <c r="AG12" s="19">
        <f t="shared" si="6"/>
        <v>5.9352524999999998</v>
      </c>
      <c r="AH12" s="20">
        <f t="shared" si="7"/>
        <v>2.9024848483120227E-2</v>
      </c>
      <c r="AI12" s="20">
        <f t="shared" si="8"/>
        <v>1.0827047280429478E-2</v>
      </c>
      <c r="AJ12" s="20">
        <f t="shared" si="9"/>
        <v>9.1866339180298635E-3</v>
      </c>
      <c r="AK12" s="20">
        <f t="shared" si="10"/>
        <v>1.6799354186695856E-2</v>
      </c>
      <c r="AL12" s="17">
        <f t="shared" si="11"/>
        <v>2361609</v>
      </c>
      <c r="AM12" s="20">
        <v>16</v>
      </c>
      <c r="AN12" s="21">
        <v>29979806</v>
      </c>
      <c r="AO12" s="21">
        <v>936868.9375</v>
      </c>
      <c r="AP12" s="21">
        <v>54683</v>
      </c>
      <c r="AQ12" s="22">
        <v>6330936</v>
      </c>
      <c r="AR12" s="22">
        <v>2003800</v>
      </c>
      <c r="AS12" s="22">
        <v>357809</v>
      </c>
      <c r="AT12" s="22">
        <v>3664296</v>
      </c>
      <c r="AU12" s="23">
        <v>67.774178000000006</v>
      </c>
      <c r="AV12" s="23">
        <v>69.634468999999996</v>
      </c>
      <c r="AW12" s="23">
        <v>34.265875000000001</v>
      </c>
      <c r="AX12" s="23">
        <v>39.925331</v>
      </c>
      <c r="AY12" s="23">
        <v>33.588977999999997</v>
      </c>
      <c r="AZ12" s="24">
        <v>3997.03</v>
      </c>
      <c r="BA12" s="24">
        <v>9961.26</v>
      </c>
      <c r="BB12" s="24">
        <v>87.445999999999998</v>
      </c>
      <c r="BC12" s="24">
        <v>24.196999999999999</v>
      </c>
      <c r="BE12" s="49">
        <f t="shared" si="12"/>
        <v>0.94827892207566933</v>
      </c>
      <c r="BF12" s="25">
        <f t="shared" si="13"/>
        <v>2.3316627708286554E-2</v>
      </c>
      <c r="BG12" s="25">
        <f t="shared" si="14"/>
        <v>-0.23351473419138485</v>
      </c>
      <c r="BH12" s="25"/>
      <c r="BJ12" s="49"/>
      <c r="BK12" s="49"/>
      <c r="BL12" s="49"/>
      <c r="BM12" s="49"/>
      <c r="BN12" s="49"/>
      <c r="BP12" s="49"/>
      <c r="BQ12" s="49"/>
      <c r="BR12" s="49"/>
      <c r="BS12" s="49"/>
      <c r="BT12" s="49"/>
      <c r="BV12" s="58">
        <f t="shared" si="16"/>
        <v>7409905</v>
      </c>
      <c r="BW12" s="58">
        <f t="shared" si="15"/>
        <v>231559.53125</v>
      </c>
      <c r="BX12" s="58">
        <f t="shared" si="15"/>
        <v>29961.0625</v>
      </c>
      <c r="BY12" s="58">
        <f t="shared" si="15"/>
        <v>2225008</v>
      </c>
      <c r="BZ12" s="58">
        <f t="shared" si="15"/>
        <v>198392</v>
      </c>
      <c r="CA12" s="58">
        <f t="shared" si="15"/>
        <v>-327199</v>
      </c>
      <c r="CB12" s="58">
        <f t="shared" si="15"/>
        <v>2048784</v>
      </c>
      <c r="CC12" s="58">
        <f t="shared" si="15"/>
        <v>-1.2352719999999948</v>
      </c>
      <c r="CD12" s="58">
        <f t="shared" si="15"/>
        <v>-1.7455029999999994</v>
      </c>
      <c r="CE12" s="58">
        <f t="shared" si="15"/>
        <v>-0.59471200000000124</v>
      </c>
      <c r="CF12" s="58">
        <f t="shared" si="15"/>
        <v>-0.73064099999999854</v>
      </c>
      <c r="CG12" s="58">
        <f t="shared" si="15"/>
        <v>-0.55110300000000478</v>
      </c>
      <c r="CJ12" t="s">
        <v>587</v>
      </c>
    </row>
    <row r="13" spans="1:88" outlineLevel="1" x14ac:dyDescent="0.2">
      <c r="A13" s="52"/>
      <c r="B13" s="52" t="s">
        <v>59</v>
      </c>
      <c r="C13" s="9" t="s">
        <v>236</v>
      </c>
      <c r="D13" s="52">
        <v>218121242</v>
      </c>
      <c r="E13" s="9">
        <v>10</v>
      </c>
      <c r="F13" s="9">
        <v>32</v>
      </c>
      <c r="G13" s="9">
        <v>30</v>
      </c>
      <c r="I13" s="10">
        <f t="shared" si="0"/>
        <v>6.2049824999999998</v>
      </c>
      <c r="J13" s="11">
        <f t="shared" si="1"/>
        <v>3.0343894704212258E-2</v>
      </c>
      <c r="K13" s="11">
        <f t="shared" si="2"/>
        <v>1.5919990039301168E-2</v>
      </c>
      <c r="L13" s="11">
        <f t="shared" si="3"/>
        <v>1.2779498110504982E-2</v>
      </c>
      <c r="M13" s="11">
        <f t="shared" si="4"/>
        <v>1.4423904664911086E-2</v>
      </c>
      <c r="N13" s="52">
        <f t="shared" si="5"/>
        <v>3472488</v>
      </c>
      <c r="O13" s="11">
        <v>16</v>
      </c>
      <c r="P13" s="12">
        <v>23308443</v>
      </c>
      <c r="Q13" s="12">
        <v>728388.84375</v>
      </c>
      <c r="R13" s="12">
        <v>27991.21875</v>
      </c>
      <c r="S13" s="13">
        <v>6618648</v>
      </c>
      <c r="T13" s="13">
        <v>2787480</v>
      </c>
      <c r="U13" s="13">
        <v>685008</v>
      </c>
      <c r="V13" s="13">
        <v>3146160</v>
      </c>
      <c r="W13" s="14">
        <v>70.060288</v>
      </c>
      <c r="X13" s="14">
        <v>72.567171999999999</v>
      </c>
      <c r="Y13" s="14">
        <v>37.050668999999999</v>
      </c>
      <c r="Z13" s="14">
        <v>41.679997</v>
      </c>
      <c r="AA13" s="14">
        <v>36.076627999999999</v>
      </c>
      <c r="AB13" s="15">
        <v>4169.99</v>
      </c>
      <c r="AC13" s="15">
        <v>5687.17</v>
      </c>
      <c r="AD13" s="15">
        <v>66.706000000000003</v>
      </c>
      <c r="AE13" s="15">
        <v>23.655000000000001</v>
      </c>
      <c r="AG13" s="10">
        <f t="shared" si="6"/>
        <v>9.1258575000000004</v>
      </c>
      <c r="AH13" s="11">
        <f t="shared" si="7"/>
        <v>4.4627693803430665E-2</v>
      </c>
      <c r="AI13" s="11">
        <f t="shared" si="8"/>
        <v>1.6427955237848867E-2</v>
      </c>
      <c r="AJ13" s="11">
        <f t="shared" si="9"/>
        <v>1.4125428462396157E-2</v>
      </c>
      <c r="AK13" s="11">
        <f t="shared" si="10"/>
        <v>2.7463368285790341E-2</v>
      </c>
      <c r="AL13" s="52">
        <f t="shared" si="11"/>
        <v>3583286</v>
      </c>
      <c r="AM13" s="11">
        <v>16</v>
      </c>
      <c r="AN13" s="12">
        <v>26445379</v>
      </c>
      <c r="AO13" s="12">
        <v>826418.09375</v>
      </c>
      <c r="AP13" s="12">
        <v>49709</v>
      </c>
      <c r="AQ13" s="13">
        <v>9734248</v>
      </c>
      <c r="AR13" s="13">
        <v>3081056</v>
      </c>
      <c r="AS13" s="13">
        <v>502230</v>
      </c>
      <c r="AT13" s="13">
        <v>5990344</v>
      </c>
      <c r="AU13" s="14">
        <v>69.035409000000001</v>
      </c>
      <c r="AV13" s="14">
        <v>71.283040999999997</v>
      </c>
      <c r="AW13" s="14">
        <v>36.508609</v>
      </c>
      <c r="AX13" s="14">
        <v>41.024237999999997</v>
      </c>
      <c r="AY13" s="14">
        <v>35.409458999999998</v>
      </c>
      <c r="AZ13" s="15">
        <v>3176.16</v>
      </c>
      <c r="BA13" s="15">
        <v>7290.09</v>
      </c>
      <c r="BB13" s="15">
        <v>66.275999999999996</v>
      </c>
      <c r="BC13" s="15">
        <v>17.12</v>
      </c>
      <c r="BE13" s="50">
        <f t="shared" si="12"/>
        <v>1.0319073816813766</v>
      </c>
      <c r="BF13" s="16">
        <f t="shared" si="13"/>
        <v>2.17209911055182E-2</v>
      </c>
      <c r="BG13" s="16">
        <f t="shared" si="14"/>
        <v>-0.15654093506379202</v>
      </c>
      <c r="BH13" s="16"/>
      <c r="BJ13" s="50"/>
      <c r="BK13" s="50"/>
      <c r="BL13" s="50"/>
      <c r="BM13" s="50"/>
      <c r="BN13" s="50"/>
      <c r="BP13" s="50"/>
      <c r="BQ13" s="50"/>
      <c r="BR13" s="50"/>
      <c r="BS13" s="50"/>
      <c r="BT13" s="50"/>
      <c r="BV13" s="58">
        <f t="shared" si="16"/>
        <v>3136936</v>
      </c>
      <c r="BW13" s="58">
        <f t="shared" si="15"/>
        <v>98029.25</v>
      </c>
      <c r="BX13" s="58">
        <f t="shared" si="15"/>
        <v>21717.78125</v>
      </c>
      <c r="BY13" s="58">
        <f t="shared" si="15"/>
        <v>3115600</v>
      </c>
      <c r="BZ13" s="58">
        <f t="shared" si="15"/>
        <v>293576</v>
      </c>
      <c r="CA13" s="58">
        <f t="shared" si="15"/>
        <v>-182778</v>
      </c>
      <c r="CB13" s="58">
        <f t="shared" si="15"/>
        <v>2844184</v>
      </c>
      <c r="CC13" s="58">
        <f t="shared" si="15"/>
        <v>-1.0248789999999985</v>
      </c>
      <c r="CD13" s="58">
        <f t="shared" si="15"/>
        <v>-1.2841310000000021</v>
      </c>
      <c r="CE13" s="58">
        <f t="shared" si="15"/>
        <v>-0.54205999999999932</v>
      </c>
      <c r="CF13" s="58">
        <f t="shared" si="15"/>
        <v>-0.65575900000000331</v>
      </c>
      <c r="CG13" s="58">
        <f t="shared" si="15"/>
        <v>-0.66716900000000123</v>
      </c>
      <c r="CJ13" t="s">
        <v>587</v>
      </c>
    </row>
    <row r="14" spans="1:88" ht="16" outlineLevel="1" thickBot="1" x14ac:dyDescent="0.25">
      <c r="A14" s="17"/>
      <c r="B14" s="36" t="s">
        <v>59</v>
      </c>
      <c r="C14" s="37" t="s">
        <v>237</v>
      </c>
      <c r="D14" s="36">
        <v>218121242</v>
      </c>
      <c r="E14" s="37">
        <v>10</v>
      </c>
      <c r="F14" s="37">
        <v>32</v>
      </c>
      <c r="G14" s="37">
        <v>30</v>
      </c>
      <c r="I14" s="38">
        <f t="shared" si="0"/>
        <v>12.240539999999999</v>
      </c>
      <c r="J14" s="39">
        <f t="shared" si="1"/>
        <v>5.9859259374655492E-2</v>
      </c>
      <c r="K14" s="39">
        <f t="shared" si="2"/>
        <v>2.6824237503654046E-2</v>
      </c>
      <c r="L14" s="39">
        <f t="shared" si="3"/>
        <v>2.0741492018461916E-2</v>
      </c>
      <c r="M14" s="39">
        <f t="shared" si="4"/>
        <v>3.3035021871001449E-2</v>
      </c>
      <c r="N14" s="36">
        <f t="shared" si="5"/>
        <v>5850936</v>
      </c>
      <c r="O14" s="39">
        <v>16</v>
      </c>
      <c r="P14" s="40">
        <v>22150010</v>
      </c>
      <c r="Q14" s="40">
        <v>692187.8125</v>
      </c>
      <c r="R14" s="40">
        <v>13331.5625</v>
      </c>
      <c r="S14" s="41">
        <v>13056576</v>
      </c>
      <c r="T14" s="41">
        <v>4524160</v>
      </c>
      <c r="U14" s="41">
        <v>1326776</v>
      </c>
      <c r="V14" s="41">
        <v>7205640</v>
      </c>
      <c r="W14" s="42">
        <v>70.920671999999996</v>
      </c>
      <c r="X14" s="42">
        <v>74.632659000000004</v>
      </c>
      <c r="Y14" s="42">
        <v>39.477800000000002</v>
      </c>
      <c r="Z14" s="42">
        <v>42.980525</v>
      </c>
      <c r="AA14" s="42">
        <v>38.260322000000002</v>
      </c>
      <c r="AB14" s="43">
        <v>3579.18</v>
      </c>
      <c r="AC14" s="43">
        <v>4973.7</v>
      </c>
      <c r="AD14" s="43">
        <v>59.003999999999998</v>
      </c>
      <c r="AE14" s="43">
        <v>19.795000000000002</v>
      </c>
      <c r="AG14" s="38">
        <f t="shared" si="6"/>
        <v>18.984847500000001</v>
      </c>
      <c r="AH14" s="39">
        <f t="shared" si="7"/>
        <v>9.2840586337757977E-2</v>
      </c>
      <c r="AI14" s="39">
        <f t="shared" si="8"/>
        <v>2.8104548386901265E-2</v>
      </c>
      <c r="AJ14" s="39">
        <f t="shared" si="9"/>
        <v>2.2636218071782298E-2</v>
      </c>
      <c r="AK14" s="39">
        <f t="shared" si="10"/>
        <v>6.4223657776531454E-2</v>
      </c>
      <c r="AL14" s="36">
        <f t="shared" si="11"/>
        <v>6130199</v>
      </c>
      <c r="AM14" s="39">
        <v>16</v>
      </c>
      <c r="AN14" s="40">
        <v>22902848</v>
      </c>
      <c r="AO14" s="40">
        <v>715714</v>
      </c>
      <c r="AP14" s="40">
        <v>22567.25</v>
      </c>
      <c r="AQ14" s="41">
        <v>20250504</v>
      </c>
      <c r="AR14" s="41">
        <v>4937440</v>
      </c>
      <c r="AS14" s="41">
        <v>1192759</v>
      </c>
      <c r="AT14" s="41">
        <v>14008544</v>
      </c>
      <c r="AU14" s="42">
        <v>70.526574999999994</v>
      </c>
      <c r="AV14" s="42">
        <v>73.421836999999996</v>
      </c>
      <c r="AW14" s="42">
        <v>39.105831000000002</v>
      </c>
      <c r="AX14" s="42">
        <v>42.257058999999998</v>
      </c>
      <c r="AY14" s="42">
        <v>37.576794</v>
      </c>
      <c r="AZ14" s="43">
        <v>3236.5</v>
      </c>
      <c r="BA14" s="43">
        <v>7900.92</v>
      </c>
      <c r="BB14" s="43">
        <v>56.905999999999999</v>
      </c>
      <c r="BC14" s="43">
        <v>21.050999999999998</v>
      </c>
      <c r="BE14" s="44">
        <f t="shared" si="12"/>
        <v>1.0477296282167503</v>
      </c>
      <c r="BF14" s="45">
        <f t="shared" si="13"/>
        <v>1.2271063960166115E-2</v>
      </c>
      <c r="BG14" s="45">
        <f t="shared" si="14"/>
        <v>-0.14540343181935489</v>
      </c>
      <c r="BH14" s="45"/>
      <c r="BJ14" s="44"/>
      <c r="BK14" s="44"/>
      <c r="BL14" s="44"/>
      <c r="BM14" s="44"/>
      <c r="BN14" s="44"/>
      <c r="BP14" s="44"/>
      <c r="BQ14" s="44"/>
      <c r="BR14" s="44"/>
      <c r="BS14" s="44"/>
      <c r="BT14" s="44"/>
      <c r="BV14" s="58">
        <f t="shared" si="16"/>
        <v>752838</v>
      </c>
      <c r="BW14" s="58">
        <f t="shared" si="15"/>
        <v>23526.1875</v>
      </c>
      <c r="BX14" s="58">
        <f t="shared" si="15"/>
        <v>9235.6875</v>
      </c>
      <c r="BY14" s="58">
        <f t="shared" si="15"/>
        <v>7193928</v>
      </c>
      <c r="BZ14" s="58">
        <f t="shared" si="15"/>
        <v>413280</v>
      </c>
      <c r="CA14" s="58">
        <f t="shared" si="15"/>
        <v>-134017</v>
      </c>
      <c r="CB14" s="58">
        <f t="shared" si="15"/>
        <v>6802904</v>
      </c>
      <c r="CC14" s="58">
        <f t="shared" si="15"/>
        <v>-0.39409700000000214</v>
      </c>
      <c r="CD14" s="58">
        <f t="shared" si="15"/>
        <v>-1.2108220000000074</v>
      </c>
      <c r="CE14" s="58">
        <f t="shared" si="15"/>
        <v>-0.37196899999999999</v>
      </c>
      <c r="CF14" s="58">
        <f t="shared" si="15"/>
        <v>-0.72346600000000194</v>
      </c>
      <c r="CG14" s="58">
        <f t="shared" si="15"/>
        <v>-0.68352800000000258</v>
      </c>
      <c r="CJ14" t="s">
        <v>587</v>
      </c>
    </row>
    <row r="15" spans="1:88" x14ac:dyDescent="0.2">
      <c r="A15" s="52"/>
      <c r="B15" s="52" t="s">
        <v>64</v>
      </c>
      <c r="C15" s="9" t="s">
        <v>232</v>
      </c>
      <c r="D15" s="52">
        <v>322589704</v>
      </c>
      <c r="E15" s="9">
        <v>10</v>
      </c>
      <c r="F15" s="9">
        <v>32</v>
      </c>
      <c r="G15" s="9">
        <v>30</v>
      </c>
      <c r="I15" s="10">
        <f t="shared" si="0"/>
        <v>1.6267125</v>
      </c>
      <c r="J15" s="11">
        <f t="shared" si="1"/>
        <v>5.3788449491246008E-3</v>
      </c>
      <c r="K15" s="11">
        <f t="shared" si="2"/>
        <v>4.5265920824305046E-3</v>
      </c>
      <c r="L15" s="11">
        <f t="shared" si="3"/>
        <v>2.3656551667253461E-3</v>
      </c>
      <c r="M15" s="11">
        <f t="shared" si="4"/>
        <v>8.5225286669409633E-4</v>
      </c>
      <c r="N15" s="52">
        <f t="shared" si="5"/>
        <v>1460232</v>
      </c>
      <c r="O15" s="11">
        <v>16</v>
      </c>
      <c r="P15" s="12">
        <v>32415907</v>
      </c>
      <c r="Q15" s="12">
        <v>1012997.09375</v>
      </c>
      <c r="R15" s="12">
        <v>32038.09375</v>
      </c>
      <c r="S15" s="13">
        <v>1735160</v>
      </c>
      <c r="T15" s="13">
        <v>763136</v>
      </c>
      <c r="U15" s="13">
        <v>697096</v>
      </c>
      <c r="V15" s="13">
        <v>274928</v>
      </c>
      <c r="W15" s="14">
        <v>66.298768999999993</v>
      </c>
      <c r="X15" s="14">
        <v>67.850190999999995</v>
      </c>
      <c r="Y15" s="14">
        <v>29.251728</v>
      </c>
      <c r="Z15" s="14">
        <v>43.488112000000001</v>
      </c>
      <c r="AA15" s="14">
        <v>43.716256000000001</v>
      </c>
      <c r="AB15" s="15">
        <v>5689.56</v>
      </c>
      <c r="AC15" s="15">
        <v>3628.67</v>
      </c>
      <c r="AD15" s="15">
        <v>91.161000000000001</v>
      </c>
      <c r="AE15" s="15">
        <v>19.015999999999998</v>
      </c>
      <c r="AG15" s="10">
        <f t="shared" si="6"/>
        <v>2.3081700000000001</v>
      </c>
      <c r="AH15" s="11">
        <f t="shared" si="7"/>
        <v>7.632134471346922E-3</v>
      </c>
      <c r="AI15" s="11">
        <f t="shared" si="8"/>
        <v>2.7379175127052414E-3</v>
      </c>
      <c r="AJ15" s="11">
        <f t="shared" si="9"/>
        <v>2.1462557279881443E-3</v>
      </c>
      <c r="AK15" s="11">
        <f t="shared" si="10"/>
        <v>3.3737220577876844E-3</v>
      </c>
      <c r="AL15" s="52">
        <f t="shared" si="11"/>
        <v>883224</v>
      </c>
      <c r="AM15" s="11">
        <v>16</v>
      </c>
      <c r="AN15" s="12">
        <v>48640862</v>
      </c>
      <c r="AO15" s="12">
        <v>1520026.9375</v>
      </c>
      <c r="AP15" s="12">
        <v>78142.46875</v>
      </c>
      <c r="AQ15" s="13">
        <v>2462048</v>
      </c>
      <c r="AR15" s="13">
        <v>692360</v>
      </c>
      <c r="AS15" s="13">
        <v>190864</v>
      </c>
      <c r="AT15" s="13">
        <v>1088328</v>
      </c>
      <c r="AU15" s="14">
        <v>65.601383999999996</v>
      </c>
      <c r="AV15" s="14">
        <v>66.941838000000004</v>
      </c>
      <c r="AW15" s="14">
        <v>28.609950000000001</v>
      </c>
      <c r="AX15" s="14">
        <v>42.4465</v>
      </c>
      <c r="AY15" s="14">
        <v>42.257886999999997</v>
      </c>
      <c r="AZ15" s="15">
        <v>5755.59</v>
      </c>
      <c r="BA15" s="15">
        <v>5556.52</v>
      </c>
      <c r="BB15" s="15">
        <v>138.226</v>
      </c>
      <c r="BC15" s="15">
        <v>20.443999999999999</v>
      </c>
      <c r="BE15" s="50">
        <f t="shared" si="12"/>
        <v>0.60485183176371971</v>
      </c>
      <c r="BF15" s="16">
        <f t="shared" si="13"/>
        <v>1.9781573627903393E-2</v>
      </c>
      <c r="BG15" s="16">
        <f t="shared" si="14"/>
        <v>-0.48281917755682779</v>
      </c>
      <c r="BH15" s="16">
        <f t="array" ref="BH15">AVERAGE(AL15:AL19/AQ15:AQ19) - AVERAGE(N15:N19/S15:S19)</f>
        <v>-0.31401698254539423</v>
      </c>
      <c r="BJ15" s="50">
        <f>IF( OR(ISBLANK(N15:N19),ISBLANK(AL15:AL19), ISBLANK(W15:W19),ISBLANK(AU15:AU19)), "·", bdRateExtend( N15:N19,W15:W19, AL15:AL19,AU15:AU19))</f>
        <v>8.3390568542327292E-2</v>
      </c>
      <c r="BK15" s="50">
        <f>IF( OR(ISBLANK(N15:N19),ISBLANK(AL15:AL19), ISBLANK(X15:X19),ISBLANK(AV15:AV19)), "·", bdRateExtend( N15:N19,X15:X19, AL15:AL19,AV15:AV19))</f>
        <v>9.7608069598962732E-2</v>
      </c>
      <c r="BL15" s="50">
        <f>IF( OR(ISBLANK(V15:V19),ISBLANK(AT15:AT19), ISBLANK(Y15:Y19),ISBLANK(AW15:AW19)), "·", bdRateExtend( V15:V19,Y15:Y19, AT15:AT19,AW15:AW19))</f>
        <v>1.7850030797445129</v>
      </c>
      <c r="BM15" s="50">
        <f>IF( OR(ISBLANK(V15:V19),ISBLANK(AT15:AT19), ISBLANK(Z15:Z19),ISBLANK(AX15:AX19)), "·", bdRateExtend( V15:V19,Z15:Z19, AT15:AT19,AX15:AX19))</f>
        <v>2.2128311125102083</v>
      </c>
      <c r="BN15" s="50">
        <f>IF( OR(ISBLANK(V15:V19),ISBLANK(AT15:AT19), ISBLANK(AA15:AA19),ISBLANK(AY15:AY19)), "·", bdRateExtend( V15:V19,AA15:AA19, AT15:AT19,AY15:AY19))</f>
        <v>2.5741451021499469</v>
      </c>
      <c r="BP15" s="50">
        <f>IF( OR(ISBLANK(S15:S19),ISBLANK(AQ15:AQ19), ISBLANK(W15:W19),ISBLANK(AU15:AU19)), "·", bdRateExtend( S15:S19,W15:W19, AQ15:AQ19,AU15:AU19))</f>
        <v>1.190319529781815</v>
      </c>
      <c r="BQ15" s="50">
        <f>IF( OR(ISBLANK(S15:S19),ISBLANK(AQ15:AQ19), ISBLANK(X15:X19),ISBLANK(AV15:AV19)), "·", bdRateExtend( S15:S19,X15:X19, AQ15:AQ19,AV15:AV19))</f>
        <v>1.1892317588884631</v>
      </c>
      <c r="BR15" s="50">
        <f>IF( OR(ISBLANK(S15:S19),ISBLANK(AQ15:AQ19), ISBLANK(Y15:Y19),ISBLANK(AW15:AW19)), "·", bdRateExtend( S15:S19,Y15:Y19, AQ15:AQ19,AW15:AW19))</f>
        <v>0.54512255105700724</v>
      </c>
      <c r="BS15" s="50">
        <f>IF( OR(ISBLANK(S15:S19),ISBLANK(AQ15:AQ19), ISBLANK(Z15:Z19),ISBLANK(AX15:AX19)), "·", bdRateExtend( S15:S19,Z15:Z19, AQ15:AQ19,AX15:AX19))</f>
        <v>0.84342318427934027</v>
      </c>
      <c r="BT15" s="50">
        <f>IF( OR(ISBLANK(S15:S19),ISBLANK(AQ15:AQ19), ISBLANK(AA15:AA19),ISBLANK(AY15:AY19)), "·", bdRateExtend( S15:S19,AA15:AA19, AQ15:AQ19,AY15:AY19))</f>
        <v>0.98319124986307815</v>
      </c>
      <c r="BV15" s="58">
        <f t="shared" si="16"/>
        <v>16224955</v>
      </c>
      <c r="BW15" s="58">
        <f t="shared" si="15"/>
        <v>507029.84375</v>
      </c>
      <c r="BX15" s="58">
        <f t="shared" si="15"/>
        <v>46104.375</v>
      </c>
      <c r="BY15" s="58">
        <f t="shared" si="15"/>
        <v>726888</v>
      </c>
      <c r="BZ15" s="58">
        <f t="shared" si="15"/>
        <v>-70776</v>
      </c>
      <c r="CA15" s="58">
        <f t="shared" si="15"/>
        <v>-506232</v>
      </c>
      <c r="CB15" s="58">
        <f t="shared" si="15"/>
        <v>813400</v>
      </c>
      <c r="CC15" s="58">
        <f t="shared" si="15"/>
        <v>-0.69738499999999704</v>
      </c>
      <c r="CD15" s="58">
        <f t="shared" si="15"/>
        <v>-0.90835299999999108</v>
      </c>
      <c r="CE15" s="58">
        <f t="shared" si="15"/>
        <v>-0.64177799999999863</v>
      </c>
      <c r="CF15" s="58">
        <f t="shared" si="15"/>
        <v>-1.0416120000000006</v>
      </c>
      <c r="CG15" s="58">
        <f t="shared" si="15"/>
        <v>-1.4583690000000047</v>
      </c>
      <c r="CJ15" t="s">
        <v>233</v>
      </c>
    </row>
    <row r="16" spans="1:88" outlineLevel="1" x14ac:dyDescent="0.2">
      <c r="A16" s="17"/>
      <c r="B16" s="17" t="s">
        <v>64</v>
      </c>
      <c r="C16" s="18" t="s">
        <v>234</v>
      </c>
      <c r="D16" s="17">
        <v>322589704</v>
      </c>
      <c r="E16" s="18">
        <v>10</v>
      </c>
      <c r="F16" s="18">
        <v>32</v>
      </c>
      <c r="G16" s="18">
        <v>30</v>
      </c>
      <c r="I16" s="19">
        <f t="shared" si="0"/>
        <v>2.1293625</v>
      </c>
      <c r="J16" s="20">
        <f t="shared" si="1"/>
        <v>7.040894274790618E-3</v>
      </c>
      <c r="K16" s="20">
        <f t="shared" si="2"/>
        <v>5.4569131567819657E-3</v>
      </c>
      <c r="L16" s="20">
        <f t="shared" si="3"/>
        <v>3.2959762410768078E-3</v>
      </c>
      <c r="M16" s="20">
        <f t="shared" si="4"/>
        <v>1.5839811180086516E-3</v>
      </c>
      <c r="N16" s="17">
        <f t="shared" si="5"/>
        <v>1760344</v>
      </c>
      <c r="O16" s="20">
        <v>16</v>
      </c>
      <c r="P16" s="21">
        <v>33874164</v>
      </c>
      <c r="Q16" s="21">
        <v>1058567.625</v>
      </c>
      <c r="R16" s="21">
        <v>36864.21875</v>
      </c>
      <c r="S16" s="22">
        <v>2271320</v>
      </c>
      <c r="T16" s="22">
        <v>1063248</v>
      </c>
      <c r="U16" s="22">
        <v>697096</v>
      </c>
      <c r="V16" s="22">
        <v>510976</v>
      </c>
      <c r="W16" s="23">
        <v>68.029634000000001</v>
      </c>
      <c r="X16" s="23">
        <v>70.006816000000001</v>
      </c>
      <c r="Y16" s="23">
        <v>31.568781000000001</v>
      </c>
      <c r="Z16" s="23">
        <v>44.070134000000003</v>
      </c>
      <c r="AA16" s="23">
        <v>44.423062999999999</v>
      </c>
      <c r="AB16" s="24">
        <v>5092.1099999999997</v>
      </c>
      <c r="AC16" s="24">
        <v>3105.25</v>
      </c>
      <c r="AD16" s="24">
        <v>86.966999999999999</v>
      </c>
      <c r="AE16" s="24">
        <v>14.962</v>
      </c>
      <c r="AG16" s="19">
        <f t="shared" si="6"/>
        <v>3.1291500000000001</v>
      </c>
      <c r="AH16" s="20">
        <f t="shared" si="7"/>
        <v>1.0346765437994263E-2</v>
      </c>
      <c r="AI16" s="20">
        <f t="shared" si="8"/>
        <v>3.8052051407071567E-3</v>
      </c>
      <c r="AJ16" s="20">
        <f t="shared" si="9"/>
        <v>3.0839173961981132E-3</v>
      </c>
      <c r="AK16" s="20">
        <f t="shared" si="10"/>
        <v>5.1507161555286339E-3</v>
      </c>
      <c r="AL16" s="17">
        <f t="shared" si="11"/>
        <v>1227520</v>
      </c>
      <c r="AM16" s="20">
        <v>16</v>
      </c>
      <c r="AN16" s="21">
        <v>47437081</v>
      </c>
      <c r="AO16" s="21">
        <v>1482408.78125</v>
      </c>
      <c r="AP16" s="21">
        <v>80056.8125</v>
      </c>
      <c r="AQ16" s="22">
        <v>3337760</v>
      </c>
      <c r="AR16" s="22">
        <v>994840</v>
      </c>
      <c r="AS16" s="22">
        <v>232680</v>
      </c>
      <c r="AT16" s="22">
        <v>1661568</v>
      </c>
      <c r="AU16" s="23">
        <v>66.957288000000005</v>
      </c>
      <c r="AV16" s="23">
        <v>68.611296999999993</v>
      </c>
      <c r="AW16" s="23">
        <v>31.053837999999999</v>
      </c>
      <c r="AX16" s="23">
        <v>43.191606</v>
      </c>
      <c r="AY16" s="23">
        <v>43.233344000000002</v>
      </c>
      <c r="AZ16" s="24">
        <v>4819.63</v>
      </c>
      <c r="BA16" s="24">
        <v>4365.76</v>
      </c>
      <c r="BB16" s="24">
        <v>115.91800000000001</v>
      </c>
      <c r="BC16" s="24">
        <v>14.087999999999999</v>
      </c>
      <c r="BE16" s="49">
        <f t="shared" si="12"/>
        <v>0.69731825143267456</v>
      </c>
      <c r="BF16" s="25">
        <f t="shared" si="13"/>
        <v>1.9179922242415277E-2</v>
      </c>
      <c r="BG16" s="25">
        <f t="shared" si="14"/>
        <v>-0.40726365473472986</v>
      </c>
      <c r="BH16" s="25"/>
      <c r="BJ16" s="49"/>
      <c r="BK16" s="49"/>
      <c r="BL16" s="49"/>
      <c r="BM16" s="49"/>
      <c r="BN16" s="49"/>
      <c r="BP16" s="49"/>
      <c r="BQ16" s="49"/>
      <c r="BR16" s="49"/>
      <c r="BS16" s="49"/>
      <c r="BT16" s="49"/>
      <c r="BV16" s="58">
        <f t="shared" si="16"/>
        <v>13562917</v>
      </c>
      <c r="BW16" s="58">
        <f t="shared" si="15"/>
        <v>423841.15625</v>
      </c>
      <c r="BX16" s="58">
        <f t="shared" si="15"/>
        <v>43192.59375</v>
      </c>
      <c r="BY16" s="58">
        <f t="shared" si="15"/>
        <v>1066440</v>
      </c>
      <c r="BZ16" s="58">
        <f t="shared" si="15"/>
        <v>-68408</v>
      </c>
      <c r="CA16" s="58">
        <f t="shared" si="15"/>
        <v>-464416</v>
      </c>
      <c r="CB16" s="58">
        <f t="shared" si="15"/>
        <v>1150592</v>
      </c>
      <c r="CC16" s="58">
        <f t="shared" si="15"/>
        <v>-1.072345999999996</v>
      </c>
      <c r="CD16" s="58">
        <f t="shared" si="15"/>
        <v>-1.3955190000000073</v>
      </c>
      <c r="CE16" s="58">
        <f t="shared" si="15"/>
        <v>-0.51494300000000237</v>
      </c>
      <c r="CF16" s="58">
        <f t="shared" si="15"/>
        <v>-0.87852800000000286</v>
      </c>
      <c r="CG16" s="58">
        <f t="shared" si="15"/>
        <v>-1.1897189999999966</v>
      </c>
      <c r="CJ16" t="s">
        <v>233</v>
      </c>
    </row>
    <row r="17" spans="1:88" outlineLevel="1" x14ac:dyDescent="0.2">
      <c r="A17" s="52"/>
      <c r="B17" s="52" t="s">
        <v>64</v>
      </c>
      <c r="C17" s="9" t="s">
        <v>235</v>
      </c>
      <c r="D17" s="52">
        <v>322589704</v>
      </c>
      <c r="E17" s="9">
        <v>10</v>
      </c>
      <c r="F17" s="9">
        <v>32</v>
      </c>
      <c r="G17" s="9">
        <v>30</v>
      </c>
      <c r="I17" s="10">
        <f t="shared" si="0"/>
        <v>2.9996174999999998</v>
      </c>
      <c r="J17" s="11">
        <f t="shared" si="1"/>
        <v>9.9184566659325252E-3</v>
      </c>
      <c r="K17" s="11">
        <f t="shared" si="2"/>
        <v>6.6616633245058562E-3</v>
      </c>
      <c r="L17" s="11">
        <f t="shared" si="3"/>
        <v>4.5007264088006973E-3</v>
      </c>
      <c r="M17" s="11">
        <f t="shared" si="4"/>
        <v>3.2567933414266686E-3</v>
      </c>
      <c r="N17" s="52">
        <f t="shared" si="5"/>
        <v>2148984</v>
      </c>
      <c r="O17" s="11">
        <v>16</v>
      </c>
      <c r="P17" s="12">
        <v>33778649</v>
      </c>
      <c r="Q17" s="12">
        <v>1055582.78125</v>
      </c>
      <c r="R17" s="12">
        <v>37421.1875</v>
      </c>
      <c r="S17" s="13">
        <v>3199592</v>
      </c>
      <c r="T17" s="13">
        <v>1451888</v>
      </c>
      <c r="U17" s="13">
        <v>697096</v>
      </c>
      <c r="V17" s="13">
        <v>1050608</v>
      </c>
      <c r="W17" s="14">
        <v>69.351502999999994</v>
      </c>
      <c r="X17" s="14">
        <v>71.840316000000001</v>
      </c>
      <c r="Y17" s="14">
        <v>33.951681000000001</v>
      </c>
      <c r="Z17" s="14">
        <v>45.159981000000002</v>
      </c>
      <c r="AA17" s="14">
        <v>45.538837999999998</v>
      </c>
      <c r="AB17" s="15">
        <v>5075.76</v>
      </c>
      <c r="AC17" s="15">
        <v>3375.22</v>
      </c>
      <c r="AD17" s="15">
        <v>86.203000000000003</v>
      </c>
      <c r="AE17" s="15">
        <v>14.545</v>
      </c>
      <c r="AG17" s="10">
        <f t="shared" si="6"/>
        <v>4.5288225000000004</v>
      </c>
      <c r="AH17" s="11">
        <f t="shared" si="7"/>
        <v>1.4974885869265065E-2</v>
      </c>
      <c r="AI17" s="11">
        <f t="shared" si="8"/>
        <v>5.4555026963910786E-3</v>
      </c>
      <c r="AJ17" s="11">
        <f t="shared" si="9"/>
        <v>4.5261456949661355E-3</v>
      </c>
      <c r="AK17" s="11">
        <f t="shared" si="10"/>
        <v>8.3366082880314118E-3</v>
      </c>
      <c r="AL17" s="52">
        <f t="shared" si="11"/>
        <v>1759889</v>
      </c>
      <c r="AM17" s="11">
        <v>16</v>
      </c>
      <c r="AN17" s="12">
        <v>44842963</v>
      </c>
      <c r="AO17" s="12">
        <v>1401342.59375</v>
      </c>
      <c r="AP17" s="12">
        <v>79137.03125</v>
      </c>
      <c r="AQ17" s="13">
        <v>4830744</v>
      </c>
      <c r="AR17" s="13">
        <v>1460088</v>
      </c>
      <c r="AS17" s="13">
        <v>299801</v>
      </c>
      <c r="AT17" s="13">
        <v>2689304</v>
      </c>
      <c r="AU17" s="14">
        <v>68.076037999999997</v>
      </c>
      <c r="AV17" s="14">
        <v>70.037075000000002</v>
      </c>
      <c r="AW17" s="14">
        <v>33.622388000000001</v>
      </c>
      <c r="AX17" s="14">
        <v>44.469462</v>
      </c>
      <c r="AY17" s="14">
        <v>44.639477999999997</v>
      </c>
      <c r="AZ17" s="15">
        <v>4867.6899999999996</v>
      </c>
      <c r="BA17" s="15">
        <v>4641.26</v>
      </c>
      <c r="BB17" s="15">
        <v>113.197</v>
      </c>
      <c r="BC17" s="15">
        <v>15.116</v>
      </c>
      <c r="BE17" s="50">
        <f t="shared" si="12"/>
        <v>0.81894002002806898</v>
      </c>
      <c r="BF17" s="16">
        <f t="shared" si="13"/>
        <v>2.1021557271485865E-2</v>
      </c>
      <c r="BG17" s="16">
        <f t="shared" si="14"/>
        <v>-0.30733299924926083</v>
      </c>
      <c r="BH17" s="16"/>
      <c r="BJ17" s="50"/>
      <c r="BK17" s="50"/>
      <c r="BL17" s="50"/>
      <c r="BM17" s="50"/>
      <c r="BN17" s="50"/>
      <c r="BP17" s="50"/>
      <c r="BQ17" s="50"/>
      <c r="BR17" s="50"/>
      <c r="BS17" s="50"/>
      <c r="BT17" s="50"/>
      <c r="BV17" s="58">
        <f t="shared" si="16"/>
        <v>11064314</v>
      </c>
      <c r="BW17" s="58">
        <f t="shared" si="15"/>
        <v>345759.8125</v>
      </c>
      <c r="BX17" s="58">
        <f t="shared" si="15"/>
        <v>41715.84375</v>
      </c>
      <c r="BY17" s="58">
        <f t="shared" si="15"/>
        <v>1631152</v>
      </c>
      <c r="BZ17" s="58">
        <f t="shared" si="15"/>
        <v>8200</v>
      </c>
      <c r="CA17" s="58">
        <f t="shared" si="15"/>
        <v>-397295</v>
      </c>
      <c r="CB17" s="58">
        <f t="shared" si="15"/>
        <v>1638696</v>
      </c>
      <c r="CC17" s="58">
        <f t="shared" si="15"/>
        <v>-1.275464999999997</v>
      </c>
      <c r="CD17" s="58">
        <f t="shared" si="15"/>
        <v>-1.8032409999999999</v>
      </c>
      <c r="CE17" s="58">
        <f t="shared" si="15"/>
        <v>-0.32929299999999984</v>
      </c>
      <c r="CF17" s="58">
        <f t="shared" si="15"/>
        <v>-0.69051900000000188</v>
      </c>
      <c r="CG17" s="58">
        <f t="shared" si="15"/>
        <v>-0.89936000000000149</v>
      </c>
      <c r="CJ17" t="s">
        <v>233</v>
      </c>
    </row>
    <row r="18" spans="1:88" outlineLevel="1" x14ac:dyDescent="0.2">
      <c r="A18" s="17"/>
      <c r="B18" s="17" t="s">
        <v>64</v>
      </c>
      <c r="C18" s="18" t="s">
        <v>236</v>
      </c>
      <c r="D18" s="17">
        <v>322589704</v>
      </c>
      <c r="E18" s="18">
        <v>10</v>
      </c>
      <c r="F18" s="18">
        <v>32</v>
      </c>
      <c r="G18" s="18">
        <v>30</v>
      </c>
      <c r="I18" s="19">
        <f t="shared" si="0"/>
        <v>5.2765500000000003</v>
      </c>
      <c r="J18" s="20">
        <f t="shared" si="1"/>
        <v>1.7447302037885252E-2</v>
      </c>
      <c r="K18" s="20">
        <f t="shared" si="2"/>
        <v>9.9237637168977967E-3</v>
      </c>
      <c r="L18" s="20">
        <f t="shared" si="3"/>
        <v>7.7628268011926379E-3</v>
      </c>
      <c r="M18" s="20">
        <f t="shared" si="4"/>
        <v>7.5235383209874551E-3</v>
      </c>
      <c r="N18" s="17">
        <f t="shared" si="5"/>
        <v>3201304</v>
      </c>
      <c r="O18" s="20">
        <v>16</v>
      </c>
      <c r="P18" s="21">
        <v>34914325</v>
      </c>
      <c r="Q18" s="21">
        <v>1091072.65625</v>
      </c>
      <c r="R18" s="21">
        <v>41603.21875</v>
      </c>
      <c r="S18" s="22">
        <v>5628320</v>
      </c>
      <c r="T18" s="22">
        <v>2504208</v>
      </c>
      <c r="U18" s="22">
        <v>697096</v>
      </c>
      <c r="V18" s="22">
        <v>2427016</v>
      </c>
      <c r="W18" s="23">
        <v>70.529849999999996</v>
      </c>
      <c r="X18" s="23">
        <v>73.133384000000007</v>
      </c>
      <c r="Y18" s="23">
        <v>36.284100000000002</v>
      </c>
      <c r="Z18" s="23">
        <v>46.412683999999999</v>
      </c>
      <c r="AA18" s="23">
        <v>47.006613000000002</v>
      </c>
      <c r="AB18" s="24">
        <v>5332.38</v>
      </c>
      <c r="AC18" s="24">
        <v>3802.59</v>
      </c>
      <c r="AD18" s="24">
        <v>91.251999999999995</v>
      </c>
      <c r="AE18" s="24">
        <v>16.547999999999998</v>
      </c>
      <c r="AG18" s="19">
        <f t="shared" si="6"/>
        <v>7.489935</v>
      </c>
      <c r="AH18" s="20">
        <f t="shared" si="7"/>
        <v>2.4766022910638213E-2</v>
      </c>
      <c r="AI18" s="20">
        <f t="shared" si="8"/>
        <v>8.9764458198579086E-3</v>
      </c>
      <c r="AJ18" s="20">
        <f t="shared" si="9"/>
        <v>7.6254634586849675E-3</v>
      </c>
      <c r="AK18" s="20">
        <f t="shared" si="10"/>
        <v>1.5028402766382154E-2</v>
      </c>
      <c r="AL18" s="17">
        <f t="shared" si="11"/>
        <v>2895709</v>
      </c>
      <c r="AM18" s="20">
        <v>16</v>
      </c>
      <c r="AN18" s="21">
        <v>39551255</v>
      </c>
      <c r="AO18" s="21">
        <v>1235976.71875</v>
      </c>
      <c r="AP18" s="21">
        <v>72542.75</v>
      </c>
      <c r="AQ18" s="22">
        <v>7989264</v>
      </c>
      <c r="AR18" s="22">
        <v>2459896</v>
      </c>
      <c r="AS18" s="22">
        <v>435813</v>
      </c>
      <c r="AT18" s="22">
        <v>4848008</v>
      </c>
      <c r="AU18" s="23">
        <v>69.399544000000006</v>
      </c>
      <c r="AV18" s="23">
        <v>71.733521999999994</v>
      </c>
      <c r="AW18" s="23">
        <v>36.141196999999998</v>
      </c>
      <c r="AX18" s="23">
        <v>45.869765999999998</v>
      </c>
      <c r="AY18" s="23">
        <v>46.184694</v>
      </c>
      <c r="AZ18" s="24">
        <v>4735.4399999999996</v>
      </c>
      <c r="BA18" s="24">
        <v>4982.1000000000004</v>
      </c>
      <c r="BB18" s="24">
        <v>101.441</v>
      </c>
      <c r="BC18" s="24">
        <v>16.812999999999999</v>
      </c>
      <c r="BE18" s="49">
        <f t="shared" si="12"/>
        <v>0.90454046226162843</v>
      </c>
      <c r="BF18" s="25">
        <f t="shared" si="13"/>
        <v>2.0562084088417532E-2</v>
      </c>
      <c r="BG18" s="25">
        <f t="shared" si="14"/>
        <v>-0.2063349686193105</v>
      </c>
      <c r="BH18" s="25"/>
      <c r="BJ18" s="49"/>
      <c r="BK18" s="49"/>
      <c r="BL18" s="49"/>
      <c r="BM18" s="49"/>
      <c r="BN18" s="49"/>
      <c r="BP18" s="49"/>
      <c r="BQ18" s="49"/>
      <c r="BR18" s="49"/>
      <c r="BS18" s="49"/>
      <c r="BT18" s="49"/>
      <c r="BV18" s="58">
        <f t="shared" si="16"/>
        <v>4636930</v>
      </c>
      <c r="BW18" s="58">
        <f t="shared" si="15"/>
        <v>144904.0625</v>
      </c>
      <c r="BX18" s="58">
        <f t="shared" si="15"/>
        <v>30939.53125</v>
      </c>
      <c r="BY18" s="58">
        <f t="shared" si="15"/>
        <v>2360944</v>
      </c>
      <c r="BZ18" s="58">
        <f t="shared" si="15"/>
        <v>-44312</v>
      </c>
      <c r="CA18" s="58">
        <f t="shared" si="15"/>
        <v>-261283</v>
      </c>
      <c r="CB18" s="58">
        <f t="shared" si="15"/>
        <v>2420992</v>
      </c>
      <c r="CC18" s="58">
        <f t="shared" si="15"/>
        <v>-1.1303059999999903</v>
      </c>
      <c r="CD18" s="58">
        <f t="shared" si="15"/>
        <v>-1.399862000000013</v>
      </c>
      <c r="CE18" s="58">
        <f t="shared" si="15"/>
        <v>-0.142903000000004</v>
      </c>
      <c r="CF18" s="58">
        <f t="shared" si="15"/>
        <v>-0.54291800000000023</v>
      </c>
      <c r="CG18" s="58">
        <f t="shared" si="15"/>
        <v>-0.82191900000000118</v>
      </c>
      <c r="CJ18" t="s">
        <v>233</v>
      </c>
    </row>
    <row r="19" spans="1:88" ht="16" outlineLevel="1" thickBot="1" x14ac:dyDescent="0.25">
      <c r="A19" s="52"/>
      <c r="B19" s="26" t="s">
        <v>64</v>
      </c>
      <c r="C19" s="27" t="s">
        <v>237</v>
      </c>
      <c r="D19" s="26">
        <v>322589704</v>
      </c>
      <c r="E19" s="27">
        <v>10</v>
      </c>
      <c r="F19" s="27">
        <v>32</v>
      </c>
      <c r="G19" s="27">
        <v>30</v>
      </c>
      <c r="I19" s="28">
        <f t="shared" si="0"/>
        <v>11.4147675</v>
      </c>
      <c r="J19" s="29">
        <f t="shared" si="1"/>
        <v>3.7743771264317848E-2</v>
      </c>
      <c r="K19" s="29">
        <f t="shared" si="2"/>
        <v>1.7450451549439409E-2</v>
      </c>
      <c r="L19" s="29">
        <f t="shared" si="3"/>
        <v>1.2811841012755943E-2</v>
      </c>
      <c r="M19" s="29">
        <f t="shared" si="4"/>
        <v>2.0293319714878438E-2</v>
      </c>
      <c r="N19" s="26">
        <f t="shared" si="5"/>
        <v>5629336</v>
      </c>
      <c r="O19" s="29">
        <v>16</v>
      </c>
      <c r="P19" s="30">
        <v>33019287</v>
      </c>
      <c r="Q19" s="30">
        <v>1031852.71875</v>
      </c>
      <c r="R19" s="30">
        <v>17790.15625</v>
      </c>
      <c r="S19" s="31">
        <v>12175752</v>
      </c>
      <c r="T19" s="31">
        <v>4132968</v>
      </c>
      <c r="U19" s="31">
        <v>1496368</v>
      </c>
      <c r="V19" s="31">
        <v>6546416</v>
      </c>
      <c r="W19" s="32">
        <v>71.185569000000001</v>
      </c>
      <c r="X19" s="32">
        <v>75.071019000000007</v>
      </c>
      <c r="Y19" s="32">
        <v>38.708165999999999</v>
      </c>
      <c r="Z19" s="32">
        <v>48.191471999999997</v>
      </c>
      <c r="AA19" s="32">
        <v>48.813738000000001</v>
      </c>
      <c r="AB19" s="33">
        <v>5222.8900000000003</v>
      </c>
      <c r="AC19" s="33">
        <v>4186.43</v>
      </c>
      <c r="AD19" s="33">
        <v>85.254000000000005</v>
      </c>
      <c r="AE19" s="33">
        <v>18.634</v>
      </c>
      <c r="AG19" s="28">
        <f t="shared" si="6"/>
        <v>16.841677499999999</v>
      </c>
      <c r="AH19" s="29">
        <f t="shared" si="7"/>
        <v>5.5688249740295494E-2</v>
      </c>
      <c r="AI19" s="29">
        <f t="shared" si="8"/>
        <v>1.6484044388471866E-2</v>
      </c>
      <c r="AJ19" s="29">
        <f t="shared" si="9"/>
        <v>1.2971697323607079E-2</v>
      </c>
      <c r="AK19" s="29">
        <f t="shared" si="10"/>
        <v>3.8126722110139011E-2</v>
      </c>
      <c r="AL19" s="26">
        <f t="shared" si="11"/>
        <v>5317583</v>
      </c>
      <c r="AM19" s="29">
        <v>16</v>
      </c>
      <c r="AN19" s="30">
        <v>34059325</v>
      </c>
      <c r="AO19" s="30">
        <v>1064353.90625</v>
      </c>
      <c r="AP19" s="30">
        <v>31450.96875</v>
      </c>
      <c r="AQ19" s="31">
        <v>17964456</v>
      </c>
      <c r="AR19" s="31">
        <v>4184536</v>
      </c>
      <c r="AS19" s="31">
        <v>1133047</v>
      </c>
      <c r="AT19" s="31">
        <v>12299288</v>
      </c>
      <c r="AU19" s="32">
        <v>70.740021999999996</v>
      </c>
      <c r="AV19" s="32">
        <v>73.843922000000006</v>
      </c>
      <c r="AW19" s="32">
        <v>38.540208999999997</v>
      </c>
      <c r="AX19" s="32">
        <v>47.760378000000003</v>
      </c>
      <c r="AY19" s="32">
        <v>48.180947000000003</v>
      </c>
      <c r="AZ19" s="33">
        <v>5617.92</v>
      </c>
      <c r="BA19" s="33">
        <v>7347.63</v>
      </c>
      <c r="BB19" s="33">
        <v>97.459000000000003</v>
      </c>
      <c r="BC19" s="33">
        <v>24.177</v>
      </c>
      <c r="BE19" s="34">
        <f t="shared" si="12"/>
        <v>0.94461993386076082</v>
      </c>
      <c r="BF19" s="35">
        <f t="shared" si="13"/>
        <v>1.2308368455530173E-2</v>
      </c>
      <c r="BG19" s="35">
        <f t="shared" si="14"/>
        <v>-0.16633411256684155</v>
      </c>
      <c r="BH19" s="35"/>
      <c r="BJ19" s="34"/>
      <c r="BK19" s="34"/>
      <c r="BL19" s="34"/>
      <c r="BM19" s="34"/>
      <c r="BN19" s="34"/>
      <c r="BP19" s="34"/>
      <c r="BQ19" s="34"/>
      <c r="BR19" s="34"/>
      <c r="BS19" s="34"/>
      <c r="BT19" s="34"/>
      <c r="BV19" s="58">
        <f t="shared" si="16"/>
        <v>1040038</v>
      </c>
      <c r="BW19" s="58">
        <f t="shared" si="15"/>
        <v>32501.1875</v>
      </c>
      <c r="BX19" s="58">
        <f t="shared" si="15"/>
        <v>13660.8125</v>
      </c>
      <c r="BY19" s="58">
        <f t="shared" si="15"/>
        <v>5788704</v>
      </c>
      <c r="BZ19" s="58">
        <f t="shared" si="15"/>
        <v>51568</v>
      </c>
      <c r="CA19" s="58">
        <f t="shared" si="15"/>
        <v>-363321</v>
      </c>
      <c r="CB19" s="58">
        <f t="shared" si="15"/>
        <v>5752872</v>
      </c>
      <c r="CC19" s="58">
        <f t="shared" si="15"/>
        <v>-0.4455470000000048</v>
      </c>
      <c r="CD19" s="58">
        <f t="shared" si="15"/>
        <v>-1.2270970000000005</v>
      </c>
      <c r="CE19" s="58">
        <f t="shared" si="15"/>
        <v>-0.16795700000000124</v>
      </c>
      <c r="CF19" s="58">
        <f t="shared" si="15"/>
        <v>-0.43109399999999454</v>
      </c>
      <c r="CG19" s="58">
        <f t="shared" si="15"/>
        <v>-0.63279099999999744</v>
      </c>
      <c r="CJ19" t="s">
        <v>233</v>
      </c>
    </row>
    <row r="20" spans="1:88" x14ac:dyDescent="0.2">
      <c r="A20" s="17"/>
      <c r="B20" s="17" t="s">
        <v>70</v>
      </c>
      <c r="C20" s="18" t="s">
        <v>232</v>
      </c>
      <c r="D20" s="17">
        <v>250602891</v>
      </c>
      <c r="E20" s="18">
        <v>10</v>
      </c>
      <c r="F20" s="18">
        <v>32</v>
      </c>
      <c r="G20" s="18">
        <v>50</v>
      </c>
      <c r="I20" s="19">
        <f t="shared" si="0"/>
        <v>1.9836125</v>
      </c>
      <c r="J20" s="20">
        <f t="shared" si="1"/>
        <v>5.0658314233094784E-3</v>
      </c>
      <c r="K20" s="20">
        <f t="shared" si="2"/>
        <v>3.9497708747502037E-3</v>
      </c>
      <c r="L20" s="20">
        <f t="shared" si="3"/>
        <v>2.2980102013268476E-3</v>
      </c>
      <c r="M20" s="20">
        <f t="shared" si="4"/>
        <v>1.1160605485592743E-3</v>
      </c>
      <c r="N20" s="17">
        <f t="shared" si="5"/>
        <v>989824</v>
      </c>
      <c r="O20" s="20">
        <v>16</v>
      </c>
      <c r="P20" s="21">
        <v>30379563</v>
      </c>
      <c r="Q20" s="21">
        <v>949361.34375</v>
      </c>
      <c r="R20" s="21">
        <v>28806.71875</v>
      </c>
      <c r="S20" s="22">
        <v>1269512</v>
      </c>
      <c r="T20" s="22">
        <v>575888</v>
      </c>
      <c r="U20" s="22">
        <v>413936</v>
      </c>
      <c r="V20" s="22">
        <v>279688</v>
      </c>
      <c r="W20" s="23">
        <v>67.248238000000001</v>
      </c>
      <c r="X20" s="23">
        <v>68.985433999999998</v>
      </c>
      <c r="Y20" s="23">
        <v>30.074031000000002</v>
      </c>
      <c r="Z20" s="23">
        <v>39.563031000000002</v>
      </c>
      <c r="AA20" s="23">
        <v>38.099803000000001</v>
      </c>
      <c r="AB20" s="24">
        <v>4876.4799999999996</v>
      </c>
      <c r="AC20" s="24">
        <v>3051.46</v>
      </c>
      <c r="AD20" s="24">
        <v>79.087999999999994</v>
      </c>
      <c r="AE20" s="24">
        <v>15.356</v>
      </c>
      <c r="AG20" s="19">
        <f t="shared" si="6"/>
        <v>2.5026250000000001</v>
      </c>
      <c r="AH20" s="20">
        <f t="shared" si="7"/>
        <v>6.3913069542362146E-3</v>
      </c>
      <c r="AI20" s="20">
        <f t="shared" si="8"/>
        <v>2.4000201976919731E-3</v>
      </c>
      <c r="AJ20" s="20">
        <f t="shared" si="9"/>
        <v>1.9521243272488825E-3</v>
      </c>
      <c r="AK20" s="20">
        <f t="shared" si="10"/>
        <v>2.7332805190982412E-3</v>
      </c>
      <c r="AL20" s="17">
        <f t="shared" si="11"/>
        <v>601452</v>
      </c>
      <c r="AM20" s="20">
        <v>16</v>
      </c>
      <c r="AN20" s="21">
        <v>40333192</v>
      </c>
      <c r="AO20" s="21">
        <v>1260412.25</v>
      </c>
      <c r="AP20" s="21">
        <v>60673.28125</v>
      </c>
      <c r="AQ20" s="22">
        <v>1601680</v>
      </c>
      <c r="AR20" s="22">
        <v>489208</v>
      </c>
      <c r="AS20" s="22">
        <v>112244</v>
      </c>
      <c r="AT20" s="22">
        <v>684968</v>
      </c>
      <c r="AU20" s="23">
        <v>66.713031000000001</v>
      </c>
      <c r="AV20" s="23">
        <v>68.335481000000001</v>
      </c>
      <c r="AW20" s="23">
        <v>29.993741</v>
      </c>
      <c r="AX20" s="23">
        <v>38.49315</v>
      </c>
      <c r="AY20" s="23">
        <v>37.160553</v>
      </c>
      <c r="AZ20" s="24">
        <v>4493.22</v>
      </c>
      <c r="BA20" s="24">
        <v>4025.28</v>
      </c>
      <c r="BB20" s="24">
        <v>101.318</v>
      </c>
      <c r="BC20" s="24">
        <v>15.331</v>
      </c>
      <c r="BE20" s="49">
        <f t="shared" si="12"/>
        <v>0.6076352967800337</v>
      </c>
      <c r="BF20" s="25">
        <f t="shared" si="13"/>
        <v>1.7794387321537316E-2</v>
      </c>
      <c r="BG20" s="25">
        <f t="shared" si="14"/>
        <v>-0.40417536211872773</v>
      </c>
      <c r="BH20" s="25">
        <f t="array" ref="BH20">AVERAGE(AL20:AL24/AQ20:AQ24) - AVERAGE(N20:N24/S20:S24)</f>
        <v>-0.22893220848753015</v>
      </c>
      <c r="BJ20" s="49">
        <f>IF( OR(ISBLANK(N20:N24),ISBLANK(AL20:AL24), ISBLANK(W20:W24),ISBLANK(AU20:AU24)), "·", bdRateExtend( N20:N24,W20:W24, AL20:AL24,AU20:AU24))</f>
        <v>7.3250427873283286E-2</v>
      </c>
      <c r="BK20" s="49">
        <f>IF( OR(ISBLANK(N20:N24),ISBLANK(AL20:AL24), ISBLANK(X20:X24),ISBLANK(AV20:AV24)), "·", bdRateExtend( N20:N24,X20:X24, AL20:AL24,AV20:AV24))</f>
        <v>7.4780201141153801E-2</v>
      </c>
      <c r="BL20" s="49">
        <f>IF( OR(ISBLANK(V20:V24),ISBLANK(AT20:AT24), ISBLANK(Y20:Y24),ISBLANK(AW20:AW24)), "·", bdRateExtend( V20:V24,Y20:Y24, AT20:AT24,AW20:AW24))</f>
        <v>0.81727971198642169</v>
      </c>
      <c r="BM20" s="49">
        <f>IF( OR(ISBLANK(V20:V24),ISBLANK(AT20:AT24), ISBLANK(Z20:Z24),ISBLANK(AX20:AX24)), "·", bdRateExtend( V20:V24,Z20:Z24, AT20:AT24,AX20:AX24))</f>
        <v>1.643093899505832</v>
      </c>
      <c r="BN20" s="49">
        <f>IF( OR(ISBLANK(V20:V24),ISBLANK(AT20:AT24), ISBLANK(AA20:AA24),ISBLANK(AY20:AY24)), "·", bdRateExtend( V20:V24,AA20:AA24, AT20:AT24,AY20:AY24))</f>
        <v>1.741375538668454</v>
      </c>
      <c r="BP20" s="49">
        <f>IF( OR(ISBLANK(S20:S24),ISBLANK(AQ20:AQ24), ISBLANK(W20:W24),ISBLANK(AU20:AU24)), "·", bdRateExtend( S20:S24,W20:W24, AQ20:AQ24,AU20:AU24))</f>
        <v>1.0720365297792385</v>
      </c>
      <c r="BQ20" s="49">
        <f>IF( OR(ISBLANK(S20:S24),ISBLANK(AQ20:AQ24), ISBLANK(X20:X24),ISBLANK(AV20:AV24)), "·", bdRateExtend( S20:S24,X20:X24, AQ20:AQ24,AV20:AV24))</f>
        <v>1.0450289581912084</v>
      </c>
      <c r="BR20" s="49">
        <f>IF( OR(ISBLANK(S20:S24),ISBLANK(AQ20:AQ24), ISBLANK(Y20:Y24),ISBLANK(AW20:AW24)), "·", bdRateExtend( S20:S24,Y20:Y24, AQ20:AQ24,AW20:AW24))</f>
        <v>0.31595949242125654</v>
      </c>
      <c r="BS20" s="49">
        <f>IF( OR(ISBLANK(S20:S24),ISBLANK(AQ20:AQ24), ISBLANK(Z20:Z24),ISBLANK(AX20:AX24)), "·", bdRateExtend( S20:S24,Z20:Z24, AQ20:AQ24,AX20:AX24))</f>
        <v>0.72990137890873963</v>
      </c>
      <c r="BT20" s="49">
        <f>IF( OR(ISBLANK(S20:S24),ISBLANK(AQ20:AQ24), ISBLANK(AA20:AA24),ISBLANK(AY20:AY24)), "·", bdRateExtend( S20:S24,AA20:AA24, AQ20:AQ24,AY20:AY24))</f>
        <v>0.74777049468415302</v>
      </c>
      <c r="BV20" s="58">
        <f t="shared" si="16"/>
        <v>9953629</v>
      </c>
      <c r="BW20" s="58">
        <f t="shared" si="15"/>
        <v>311050.90625</v>
      </c>
      <c r="BX20" s="58">
        <f t="shared" si="15"/>
        <v>31866.5625</v>
      </c>
      <c r="BY20" s="58">
        <f t="shared" si="15"/>
        <v>332168</v>
      </c>
      <c r="BZ20" s="58">
        <f t="shared" si="15"/>
        <v>-86680</v>
      </c>
      <c r="CA20" s="58">
        <f t="shared" si="15"/>
        <v>-301692</v>
      </c>
      <c r="CB20" s="58">
        <f t="shared" si="15"/>
        <v>405280</v>
      </c>
      <c r="CC20" s="58">
        <f t="shared" si="15"/>
        <v>-0.53520699999999977</v>
      </c>
      <c r="CD20" s="58">
        <f t="shared" si="15"/>
        <v>-0.64995299999999645</v>
      </c>
      <c r="CE20" s="58">
        <f t="shared" si="15"/>
        <v>-8.0290000000001527E-2</v>
      </c>
      <c r="CF20" s="58">
        <f t="shared" si="15"/>
        <v>-1.0698810000000023</v>
      </c>
      <c r="CG20" s="58">
        <f t="shared" si="15"/>
        <v>-0.93925000000000125</v>
      </c>
      <c r="CJ20" t="s">
        <v>239</v>
      </c>
    </row>
    <row r="21" spans="1:88" outlineLevel="1" x14ac:dyDescent="0.2">
      <c r="A21" s="52"/>
      <c r="B21" s="52" t="s">
        <v>70</v>
      </c>
      <c r="C21" s="9" t="s">
        <v>234</v>
      </c>
      <c r="D21" s="52">
        <v>250602891</v>
      </c>
      <c r="E21" s="9">
        <v>10</v>
      </c>
      <c r="F21" s="9">
        <v>32</v>
      </c>
      <c r="G21" s="9">
        <v>50</v>
      </c>
      <c r="I21" s="10">
        <f t="shared" si="0"/>
        <v>2.6581250000000001</v>
      </c>
      <c r="J21" s="11">
        <f t="shared" si="1"/>
        <v>6.7884292683598772E-3</v>
      </c>
      <c r="K21" s="11">
        <f t="shared" si="2"/>
        <v>4.6939921375448142E-3</v>
      </c>
      <c r="L21" s="11">
        <f t="shared" si="3"/>
        <v>3.0422314641214573E-3</v>
      </c>
      <c r="M21" s="11">
        <f t="shared" si="4"/>
        <v>2.094437130815063E-3</v>
      </c>
      <c r="N21" s="52">
        <f t="shared" si="5"/>
        <v>1176328</v>
      </c>
      <c r="O21" s="11">
        <v>16</v>
      </c>
      <c r="P21" s="12">
        <v>31696812</v>
      </c>
      <c r="Q21" s="12">
        <v>990525.375</v>
      </c>
      <c r="R21" s="12">
        <v>33593.15625</v>
      </c>
      <c r="S21" s="13">
        <v>1701200</v>
      </c>
      <c r="T21" s="13">
        <v>762392</v>
      </c>
      <c r="U21" s="13">
        <v>413936</v>
      </c>
      <c r="V21" s="13">
        <v>524872</v>
      </c>
      <c r="W21" s="14">
        <v>68.873231000000004</v>
      </c>
      <c r="X21" s="14">
        <v>70.998266000000001</v>
      </c>
      <c r="Y21" s="14">
        <v>31.559334</v>
      </c>
      <c r="Z21" s="14">
        <v>40.555562999999999</v>
      </c>
      <c r="AA21" s="14">
        <v>39.276837</v>
      </c>
      <c r="AB21" s="15">
        <v>4807.49</v>
      </c>
      <c r="AC21" s="15">
        <v>3310.84</v>
      </c>
      <c r="AD21" s="15">
        <v>84.971999999999994</v>
      </c>
      <c r="AE21" s="15">
        <v>16.805</v>
      </c>
      <c r="AG21" s="10">
        <f t="shared" si="6"/>
        <v>3.4685625</v>
      </c>
      <c r="AH21" s="11">
        <f t="shared" si="7"/>
        <v>8.8581579850968272E-3</v>
      </c>
      <c r="AI21" s="11">
        <f t="shared" si="8"/>
        <v>3.2606926310359283E-3</v>
      </c>
      <c r="AJ21" s="11">
        <f t="shared" si="9"/>
        <v>2.6875986837677783E-3</v>
      </c>
      <c r="AK21" s="11">
        <f t="shared" si="10"/>
        <v>4.4644018093151208E-3</v>
      </c>
      <c r="AL21" s="52">
        <f t="shared" si="11"/>
        <v>817139</v>
      </c>
      <c r="AM21" s="11">
        <v>16</v>
      </c>
      <c r="AN21" s="12">
        <v>39169939</v>
      </c>
      <c r="AO21" s="12">
        <v>1224060.59375</v>
      </c>
      <c r="AP21" s="12">
        <v>62006.6875</v>
      </c>
      <c r="AQ21" s="13">
        <v>2219880</v>
      </c>
      <c r="AR21" s="13">
        <v>673520</v>
      </c>
      <c r="AS21" s="13">
        <v>143619</v>
      </c>
      <c r="AT21" s="13">
        <v>1118792</v>
      </c>
      <c r="AU21" s="14">
        <v>67.995553000000001</v>
      </c>
      <c r="AV21" s="14">
        <v>69.936396999999999</v>
      </c>
      <c r="AW21" s="14">
        <v>31.650838</v>
      </c>
      <c r="AX21" s="14">
        <v>39.765763</v>
      </c>
      <c r="AY21" s="14">
        <v>38.479658999999998</v>
      </c>
      <c r="AZ21" s="15">
        <v>5207.17</v>
      </c>
      <c r="BA21" s="15">
        <v>5592.42</v>
      </c>
      <c r="BB21" s="15">
        <v>113.623</v>
      </c>
      <c r="BC21" s="15">
        <v>21.114000000000001</v>
      </c>
      <c r="BE21" s="50">
        <f t="shared" si="12"/>
        <v>0.69465234186383384</v>
      </c>
      <c r="BF21" s="16">
        <f t="shared" si="13"/>
        <v>1.6742067416837793E-2</v>
      </c>
      <c r="BG21" s="16">
        <f t="shared" si="14"/>
        <v>-0.32336902294877717</v>
      </c>
      <c r="BH21" s="16"/>
      <c r="BJ21" s="50"/>
      <c r="BK21" s="50"/>
      <c r="BL21" s="50"/>
      <c r="BM21" s="50"/>
      <c r="BN21" s="50"/>
      <c r="BP21" s="50"/>
      <c r="BQ21" s="50"/>
      <c r="BR21" s="50"/>
      <c r="BS21" s="50"/>
      <c r="BT21" s="50"/>
      <c r="BV21" s="58">
        <f t="shared" si="16"/>
        <v>7473127</v>
      </c>
      <c r="BW21" s="58">
        <f t="shared" si="16"/>
        <v>233535.21875</v>
      </c>
      <c r="BX21" s="58">
        <f t="shared" si="16"/>
        <v>28413.53125</v>
      </c>
      <c r="BY21" s="58">
        <f t="shared" si="16"/>
        <v>518680</v>
      </c>
      <c r="BZ21" s="58">
        <f t="shared" si="16"/>
        <v>-88872</v>
      </c>
      <c r="CA21" s="58">
        <f t="shared" si="16"/>
        <v>-270317</v>
      </c>
      <c r="CB21" s="58">
        <f t="shared" si="16"/>
        <v>593920</v>
      </c>
      <c r="CC21" s="58">
        <f t="shared" si="16"/>
        <v>-0.87767800000000307</v>
      </c>
      <c r="CD21" s="58">
        <f t="shared" si="16"/>
        <v>-1.0618690000000015</v>
      </c>
      <c r="CE21" s="58">
        <f t="shared" si="16"/>
        <v>9.1504000000000474E-2</v>
      </c>
      <c r="CF21" s="58">
        <f t="shared" si="16"/>
        <v>-0.78979999999999961</v>
      </c>
      <c r="CG21" s="58">
        <f t="shared" si="16"/>
        <v>-0.79717800000000238</v>
      </c>
      <c r="CJ21" t="s">
        <v>239</v>
      </c>
    </row>
    <row r="22" spans="1:88" outlineLevel="1" x14ac:dyDescent="0.2">
      <c r="A22" s="17"/>
      <c r="B22" s="17" t="s">
        <v>70</v>
      </c>
      <c r="C22" s="18" t="s">
        <v>235</v>
      </c>
      <c r="D22" s="17">
        <v>250602891</v>
      </c>
      <c r="E22" s="18">
        <v>10</v>
      </c>
      <c r="F22" s="18">
        <v>32</v>
      </c>
      <c r="G22" s="18">
        <v>50</v>
      </c>
      <c r="I22" s="19">
        <f t="shared" si="0"/>
        <v>4.0633625000000002</v>
      </c>
      <c r="J22" s="20">
        <f t="shared" si="1"/>
        <v>1.0377182759635442E-2</v>
      </c>
      <c r="K22" s="20">
        <f t="shared" si="2"/>
        <v>5.5723219888951722E-3</v>
      </c>
      <c r="L22" s="20">
        <f t="shared" si="3"/>
        <v>3.9205613154718157E-3</v>
      </c>
      <c r="M22" s="20">
        <f t="shared" si="4"/>
        <v>4.8048607707402704E-3</v>
      </c>
      <c r="N22" s="17">
        <f t="shared" si="5"/>
        <v>1396440</v>
      </c>
      <c r="O22" s="20">
        <v>16</v>
      </c>
      <c r="P22" s="21">
        <v>32604849</v>
      </c>
      <c r="Q22" s="21">
        <v>1018901.53125</v>
      </c>
      <c r="R22" s="21">
        <v>35090.5625</v>
      </c>
      <c r="S22" s="22">
        <v>2600552</v>
      </c>
      <c r="T22" s="22">
        <v>982504</v>
      </c>
      <c r="U22" s="22">
        <v>413936</v>
      </c>
      <c r="V22" s="22">
        <v>1204112</v>
      </c>
      <c r="W22" s="23">
        <v>70.092033999999998</v>
      </c>
      <c r="X22" s="23">
        <v>72.552463000000003</v>
      </c>
      <c r="Y22" s="23">
        <v>33.366719000000003</v>
      </c>
      <c r="Z22" s="23">
        <v>41.756605999999998</v>
      </c>
      <c r="AA22" s="23">
        <v>40.520646999999997</v>
      </c>
      <c r="AB22" s="24">
        <v>4683.8100000000004</v>
      </c>
      <c r="AC22" s="24">
        <v>3363.45</v>
      </c>
      <c r="AD22" s="24">
        <v>84.230999999999995</v>
      </c>
      <c r="AE22" s="24">
        <v>16.602</v>
      </c>
      <c r="AG22" s="19">
        <f t="shared" si="6"/>
        <v>5.2940874999999998</v>
      </c>
      <c r="AH22" s="20">
        <f t="shared" si="7"/>
        <v>1.352025903005245E-2</v>
      </c>
      <c r="AI22" s="20">
        <f t="shared" si="8"/>
        <v>4.5640574832793929E-3</v>
      </c>
      <c r="AJ22" s="20">
        <f t="shared" si="9"/>
        <v>3.7548170184517147E-3</v>
      </c>
      <c r="AK22" s="20">
        <f t="shared" si="10"/>
        <v>8.0592845195868075E-3</v>
      </c>
      <c r="AL22" s="17">
        <f t="shared" si="11"/>
        <v>1143766</v>
      </c>
      <c r="AM22" s="20">
        <v>16</v>
      </c>
      <c r="AN22" s="21">
        <v>37665597</v>
      </c>
      <c r="AO22" s="21">
        <v>1177049.90625</v>
      </c>
      <c r="AP22" s="21">
        <v>61693.90625</v>
      </c>
      <c r="AQ22" s="22">
        <v>3388216</v>
      </c>
      <c r="AR22" s="22">
        <v>940968</v>
      </c>
      <c r="AS22" s="22">
        <v>202798</v>
      </c>
      <c r="AT22" s="22">
        <v>2019680</v>
      </c>
      <c r="AU22" s="23">
        <v>68.981083999999996</v>
      </c>
      <c r="AV22" s="23">
        <v>71.197916000000006</v>
      </c>
      <c r="AW22" s="23">
        <v>33.243330999999998</v>
      </c>
      <c r="AX22" s="23">
        <v>41.016925000000001</v>
      </c>
      <c r="AY22" s="23">
        <v>39.774518999999998</v>
      </c>
      <c r="AZ22" s="24">
        <v>4062.05</v>
      </c>
      <c r="BA22" s="24">
        <v>4403.43</v>
      </c>
      <c r="BB22" s="24">
        <v>99.826999999999998</v>
      </c>
      <c r="BC22" s="24">
        <v>16.731999999999999</v>
      </c>
      <c r="BE22" s="49">
        <f t="shared" si="12"/>
        <v>0.81905846294864082</v>
      </c>
      <c r="BF22" s="25">
        <f t="shared" si="13"/>
        <v>1.7974409289231975E-2</v>
      </c>
      <c r="BG22" s="25">
        <f t="shared" si="14"/>
        <v>-0.19940655439550631</v>
      </c>
      <c r="BH22" s="25"/>
      <c r="BJ22" s="49"/>
      <c r="BK22" s="49"/>
      <c r="BL22" s="49"/>
      <c r="BM22" s="49"/>
      <c r="BN22" s="49"/>
      <c r="BP22" s="49"/>
      <c r="BQ22" s="49"/>
      <c r="BR22" s="49"/>
      <c r="BS22" s="49"/>
      <c r="BT22" s="49"/>
      <c r="BV22" s="58">
        <f t="shared" si="16"/>
        <v>5060748</v>
      </c>
      <c r="BW22" s="58">
        <f t="shared" si="16"/>
        <v>158148.375</v>
      </c>
      <c r="BX22" s="58">
        <f t="shared" si="16"/>
        <v>26603.34375</v>
      </c>
      <c r="BY22" s="58">
        <f t="shared" si="16"/>
        <v>787664</v>
      </c>
      <c r="BZ22" s="58">
        <f t="shared" si="16"/>
        <v>-41536</v>
      </c>
      <c r="CA22" s="58">
        <f t="shared" si="16"/>
        <v>-211138</v>
      </c>
      <c r="CB22" s="58">
        <f t="shared" si="16"/>
        <v>815568</v>
      </c>
      <c r="CC22" s="58">
        <f t="shared" si="16"/>
        <v>-1.1109500000000025</v>
      </c>
      <c r="CD22" s="58">
        <f t="shared" si="16"/>
        <v>-1.3545469999999966</v>
      </c>
      <c r="CE22" s="58">
        <f t="shared" si="16"/>
        <v>-0.1233880000000056</v>
      </c>
      <c r="CF22" s="58">
        <f t="shared" si="16"/>
        <v>-0.73968099999999737</v>
      </c>
      <c r="CG22" s="58">
        <f t="shared" si="16"/>
        <v>-0.74612799999999879</v>
      </c>
      <c r="CJ22" t="s">
        <v>239</v>
      </c>
    </row>
    <row r="23" spans="1:88" outlineLevel="1" x14ac:dyDescent="0.2">
      <c r="A23" s="52"/>
      <c r="B23" s="52" t="s">
        <v>70</v>
      </c>
      <c r="C23" s="9" t="s">
        <v>236</v>
      </c>
      <c r="D23" s="52">
        <v>250602891</v>
      </c>
      <c r="E23" s="9">
        <v>10</v>
      </c>
      <c r="F23" s="9">
        <v>32</v>
      </c>
      <c r="G23" s="9">
        <v>50</v>
      </c>
      <c r="I23" s="10">
        <f t="shared" si="0"/>
        <v>7.6368124999999996</v>
      </c>
      <c r="J23" s="11">
        <f t="shared" si="1"/>
        <v>1.9503206768672114E-2</v>
      </c>
      <c r="K23" s="11">
        <f t="shared" si="2"/>
        <v>8.2705829598749524E-3</v>
      </c>
      <c r="L23" s="11">
        <f t="shared" si="3"/>
        <v>6.6188222864515959E-3</v>
      </c>
      <c r="M23" s="11">
        <f t="shared" si="4"/>
        <v>1.1232623808797162E-2</v>
      </c>
      <c r="N23" s="52">
        <f t="shared" si="5"/>
        <v>2072632</v>
      </c>
      <c r="O23" s="11">
        <v>16</v>
      </c>
      <c r="P23" s="12">
        <v>32813316</v>
      </c>
      <c r="Q23" s="12">
        <v>1025416.125</v>
      </c>
      <c r="R23" s="12">
        <v>37028.40625</v>
      </c>
      <c r="S23" s="13">
        <v>4887560</v>
      </c>
      <c r="T23" s="13">
        <v>1658696</v>
      </c>
      <c r="U23" s="13">
        <v>413936</v>
      </c>
      <c r="V23" s="13">
        <v>2814928</v>
      </c>
      <c r="W23" s="14">
        <v>71.045558999999997</v>
      </c>
      <c r="X23" s="14">
        <v>73.797391000000005</v>
      </c>
      <c r="Y23" s="14">
        <v>35.144280999999999</v>
      </c>
      <c r="Z23" s="14">
        <v>42.778806000000003</v>
      </c>
      <c r="AA23" s="14">
        <v>41.512503000000002</v>
      </c>
      <c r="AB23" s="15">
        <v>5061.55</v>
      </c>
      <c r="AC23" s="15">
        <v>3762.9</v>
      </c>
      <c r="AD23" s="15">
        <v>86.265000000000001</v>
      </c>
      <c r="AE23" s="15">
        <v>17.387</v>
      </c>
      <c r="AG23" s="10">
        <f t="shared" si="6"/>
        <v>9.3655749999999998</v>
      </c>
      <c r="AH23" s="11">
        <f t="shared" si="7"/>
        <v>2.3918191749831012E-2</v>
      </c>
      <c r="AI23" s="11">
        <f t="shared" si="8"/>
        <v>7.4162352739976971E-3</v>
      </c>
      <c r="AJ23" s="11">
        <f t="shared" si="9"/>
        <v>6.1164817128945255E-3</v>
      </c>
      <c r="AK23" s="11">
        <f t="shared" si="10"/>
        <v>1.6095552544922558E-2</v>
      </c>
      <c r="AL23" s="52">
        <f t="shared" si="11"/>
        <v>1858530</v>
      </c>
      <c r="AM23" s="11">
        <v>16</v>
      </c>
      <c r="AN23" s="12">
        <v>35337760</v>
      </c>
      <c r="AO23" s="12">
        <v>1104305</v>
      </c>
      <c r="AP23" s="12">
        <v>56099.40625</v>
      </c>
      <c r="AQ23" s="13">
        <v>5993968</v>
      </c>
      <c r="AR23" s="13">
        <v>1532808</v>
      </c>
      <c r="AS23" s="13">
        <v>325722</v>
      </c>
      <c r="AT23" s="13">
        <v>4033592</v>
      </c>
      <c r="AU23" s="14">
        <v>69.806937000000005</v>
      </c>
      <c r="AV23" s="14">
        <v>72.207525000000004</v>
      </c>
      <c r="AW23" s="14">
        <v>34.842480999999999</v>
      </c>
      <c r="AX23" s="14">
        <v>42.173856000000001</v>
      </c>
      <c r="AY23" s="14">
        <v>40.874828000000001</v>
      </c>
      <c r="AZ23" s="15">
        <v>5334.89</v>
      </c>
      <c r="BA23" s="15">
        <v>6220.98</v>
      </c>
      <c r="BB23" s="15">
        <v>104.35899999999999</v>
      </c>
      <c r="BC23" s="15">
        <v>23.87</v>
      </c>
      <c r="BE23" s="50">
        <f t="shared" si="12"/>
        <v>0.89670042728279786</v>
      </c>
      <c r="BF23" s="16">
        <f t="shared" si="13"/>
        <v>1.4690030614239458E-2</v>
      </c>
      <c r="BG23" s="16">
        <f t="shared" si="14"/>
        <v>-0.11399600209407723</v>
      </c>
      <c r="BH23" s="16"/>
      <c r="BJ23" s="50"/>
      <c r="BK23" s="50"/>
      <c r="BL23" s="50"/>
      <c r="BM23" s="50"/>
      <c r="BN23" s="50"/>
      <c r="BP23" s="50"/>
      <c r="BQ23" s="50"/>
      <c r="BR23" s="50"/>
      <c r="BS23" s="50"/>
      <c r="BT23" s="50"/>
      <c r="BV23" s="58">
        <f t="shared" si="16"/>
        <v>2524444</v>
      </c>
      <c r="BW23" s="58">
        <f t="shared" si="16"/>
        <v>78888.875</v>
      </c>
      <c r="BX23" s="58">
        <f t="shared" si="16"/>
        <v>19071</v>
      </c>
      <c r="BY23" s="58">
        <f t="shared" si="16"/>
        <v>1106408</v>
      </c>
      <c r="BZ23" s="58">
        <f t="shared" si="16"/>
        <v>-125888</v>
      </c>
      <c r="CA23" s="58">
        <f t="shared" si="16"/>
        <v>-88214</v>
      </c>
      <c r="CB23" s="58">
        <f t="shared" si="16"/>
        <v>1218664</v>
      </c>
      <c r="CC23" s="58">
        <f t="shared" si="16"/>
        <v>-1.2386219999999923</v>
      </c>
      <c r="CD23" s="58">
        <f t="shared" si="16"/>
        <v>-1.5898660000000007</v>
      </c>
      <c r="CE23" s="58">
        <f t="shared" si="16"/>
        <v>-0.30180000000000007</v>
      </c>
      <c r="CF23" s="58">
        <f t="shared" si="16"/>
        <v>-0.60495000000000232</v>
      </c>
      <c r="CG23" s="58">
        <f t="shared" si="16"/>
        <v>-0.63767500000000155</v>
      </c>
      <c r="CJ23" t="s">
        <v>239</v>
      </c>
    </row>
    <row r="24" spans="1:88" ht="16" outlineLevel="1" thickBot="1" x14ac:dyDescent="0.25">
      <c r="A24" s="36"/>
      <c r="B24" s="36" t="s">
        <v>70</v>
      </c>
      <c r="C24" s="37" t="s">
        <v>237</v>
      </c>
      <c r="D24" s="36">
        <v>250602891</v>
      </c>
      <c r="E24" s="37">
        <v>10</v>
      </c>
      <c r="F24" s="37">
        <v>32</v>
      </c>
      <c r="G24" s="37">
        <v>50</v>
      </c>
      <c r="I24" s="38">
        <f t="shared" si="0"/>
        <v>15.560762499999999</v>
      </c>
      <c r="J24" s="39">
        <f t="shared" si="1"/>
        <v>3.9739717128801998E-2</v>
      </c>
      <c r="K24" s="39">
        <f t="shared" si="2"/>
        <v>1.4241814951767656E-2</v>
      </c>
      <c r="L24" s="39">
        <f t="shared" si="3"/>
        <v>1.0614817687797545E-2</v>
      </c>
      <c r="M24" s="39">
        <f t="shared" si="4"/>
        <v>2.5497902177034341E-2</v>
      </c>
      <c r="N24" s="36">
        <f t="shared" si="5"/>
        <v>3569040</v>
      </c>
      <c r="O24" s="39">
        <v>16</v>
      </c>
      <c r="P24" s="40">
        <v>31274990</v>
      </c>
      <c r="Q24" s="40">
        <v>977343.4375</v>
      </c>
      <c r="R24" s="40">
        <v>17914.71875</v>
      </c>
      <c r="S24" s="41">
        <v>9958888</v>
      </c>
      <c r="T24" s="41">
        <v>2660104</v>
      </c>
      <c r="U24" s="41">
        <v>908936</v>
      </c>
      <c r="V24" s="41">
        <v>6389848</v>
      </c>
      <c r="W24" s="42">
        <v>71.767975000000007</v>
      </c>
      <c r="X24" s="42">
        <v>75.810796999999994</v>
      </c>
      <c r="Y24" s="42">
        <v>36.616746999999997</v>
      </c>
      <c r="Z24" s="42">
        <v>43.678193999999998</v>
      </c>
      <c r="AA24" s="42">
        <v>42.226711999999999</v>
      </c>
      <c r="AB24" s="43">
        <v>4642.8500000000004</v>
      </c>
      <c r="AC24" s="43">
        <v>4142.54</v>
      </c>
      <c r="AD24" s="43">
        <v>79.427000000000007</v>
      </c>
      <c r="AE24" s="43">
        <v>18.762</v>
      </c>
      <c r="AG24" s="38">
        <f t="shared" si="6"/>
        <v>19.89555</v>
      </c>
      <c r="AH24" s="39">
        <f t="shared" si="7"/>
        <v>5.0810076249279981E-2</v>
      </c>
      <c r="AI24" s="39">
        <f t="shared" si="8"/>
        <v>1.2939459664892693E-2</v>
      </c>
      <c r="AJ24" s="39">
        <f t="shared" si="9"/>
        <v>9.8688725821602756E-3</v>
      </c>
      <c r="AK24" s="39">
        <f t="shared" si="10"/>
        <v>3.7187663569292186E-2</v>
      </c>
      <c r="AL24" s="36">
        <f t="shared" si="11"/>
        <v>3242666</v>
      </c>
      <c r="AM24" s="39">
        <v>16</v>
      </c>
      <c r="AN24" s="40">
        <v>32039830</v>
      </c>
      <c r="AO24" s="40">
        <v>1001244.6875</v>
      </c>
      <c r="AP24" s="40">
        <v>26132.9375</v>
      </c>
      <c r="AQ24" s="41">
        <v>12733152</v>
      </c>
      <c r="AR24" s="41">
        <v>2473168</v>
      </c>
      <c r="AS24" s="41">
        <v>769498</v>
      </c>
      <c r="AT24" s="41">
        <v>9319336</v>
      </c>
      <c r="AU24" s="42">
        <v>70.999319</v>
      </c>
      <c r="AV24" s="42">
        <v>73.924434000000005</v>
      </c>
      <c r="AW24" s="42">
        <v>36.824480999999999</v>
      </c>
      <c r="AX24" s="42">
        <v>43.414222000000002</v>
      </c>
      <c r="AY24" s="42">
        <v>41.984341000000001</v>
      </c>
      <c r="AZ24" s="43">
        <v>4299.63</v>
      </c>
      <c r="BA24" s="43">
        <v>4861.3999999999996</v>
      </c>
      <c r="BB24" s="43">
        <v>82.616</v>
      </c>
      <c r="BC24" s="43">
        <v>18.417000000000002</v>
      </c>
      <c r="BE24" s="44">
        <f t="shared" si="12"/>
        <v>0.90855412099612221</v>
      </c>
      <c r="BF24" s="45">
        <f t="shared" si="13"/>
        <v>7.7704367408787216E-3</v>
      </c>
      <c r="BG24" s="45">
        <f t="shared" si="14"/>
        <v>-0.1037141008805621</v>
      </c>
      <c r="BH24" s="45"/>
      <c r="BJ24" s="44"/>
      <c r="BK24" s="44"/>
      <c r="BL24" s="44"/>
      <c r="BM24" s="44"/>
      <c r="BN24" s="44"/>
      <c r="BP24" s="44"/>
      <c r="BQ24" s="44"/>
      <c r="BR24" s="44"/>
      <c r="BS24" s="44"/>
      <c r="BT24" s="44"/>
      <c r="BV24" s="58">
        <f t="shared" si="16"/>
        <v>764840</v>
      </c>
      <c r="BW24" s="58">
        <f t="shared" si="16"/>
        <v>23901.25</v>
      </c>
      <c r="BX24" s="58">
        <f t="shared" si="16"/>
        <v>8218.21875</v>
      </c>
      <c r="BY24" s="58">
        <f t="shared" si="16"/>
        <v>2774264</v>
      </c>
      <c r="BZ24" s="58">
        <f t="shared" si="16"/>
        <v>-186936</v>
      </c>
      <c r="CA24" s="58">
        <f t="shared" si="16"/>
        <v>-139438</v>
      </c>
      <c r="CB24" s="58">
        <f t="shared" si="16"/>
        <v>2929488</v>
      </c>
      <c r="CC24" s="58">
        <f t="shared" si="16"/>
        <v>-0.76865600000000711</v>
      </c>
      <c r="CD24" s="58">
        <f t="shared" si="16"/>
        <v>-1.8863629999999887</v>
      </c>
      <c r="CE24" s="58">
        <f t="shared" si="16"/>
        <v>0.20773400000000208</v>
      </c>
      <c r="CF24" s="58">
        <f t="shared" si="16"/>
        <v>-0.26397199999999543</v>
      </c>
      <c r="CG24" s="58">
        <f t="shared" si="16"/>
        <v>-0.24237099999999856</v>
      </c>
      <c r="CJ24" t="s">
        <v>239</v>
      </c>
    </row>
    <row r="25" spans="1:88" x14ac:dyDescent="0.2">
      <c r="A25" s="52" t="s">
        <v>240</v>
      </c>
      <c r="B25" s="52" t="s">
        <v>73</v>
      </c>
      <c r="C25" s="9" t="s">
        <v>232</v>
      </c>
      <c r="D25" s="52">
        <v>250294582</v>
      </c>
      <c r="E25" s="9">
        <v>10</v>
      </c>
      <c r="F25" s="9">
        <v>32</v>
      </c>
      <c r="G25" s="9">
        <v>30</v>
      </c>
      <c r="I25" s="10">
        <f t="shared" si="0"/>
        <v>2.0607825000000002</v>
      </c>
      <c r="J25" s="11">
        <f t="shared" si="1"/>
        <v>8.7823235422650903E-3</v>
      </c>
      <c r="K25" s="11">
        <f t="shared" si="2"/>
        <v>5.7151217120632678E-3</v>
      </c>
      <c r="L25" s="11">
        <f t="shared" si="3"/>
        <v>3.5055013695821828E-3</v>
      </c>
      <c r="M25" s="11">
        <f t="shared" si="4"/>
        <v>3.0672018302018221E-3</v>
      </c>
      <c r="N25" s="52">
        <f t="shared" si="5"/>
        <v>1430464</v>
      </c>
      <c r="O25" s="11">
        <v>16</v>
      </c>
      <c r="P25" s="12">
        <v>23423729</v>
      </c>
      <c r="Q25" s="12">
        <v>731991.53125</v>
      </c>
      <c r="R25" s="12">
        <v>14601.28125</v>
      </c>
      <c r="S25" s="13">
        <v>2198168</v>
      </c>
      <c r="T25" s="13">
        <v>877408</v>
      </c>
      <c r="U25" s="13">
        <v>553056</v>
      </c>
      <c r="V25" s="13">
        <v>767704</v>
      </c>
      <c r="W25" s="14">
        <v>66.249555999999998</v>
      </c>
      <c r="X25" s="14">
        <v>68.002122</v>
      </c>
      <c r="Y25" s="14">
        <v>25.914252999999999</v>
      </c>
      <c r="Z25" s="14">
        <v>32.457703000000002</v>
      </c>
      <c r="AA25" s="14">
        <v>31.662741</v>
      </c>
      <c r="AB25" s="15">
        <v>1489.4</v>
      </c>
      <c r="AC25" s="15">
        <v>3716.85</v>
      </c>
      <c r="AD25" s="15">
        <v>57.301000000000002</v>
      </c>
      <c r="AE25" s="15">
        <v>15.395</v>
      </c>
      <c r="AG25" s="10">
        <f t="shared" si="6"/>
        <v>3.06894</v>
      </c>
      <c r="AH25" s="11">
        <f t="shared" si="7"/>
        <v>1.3078732962745475E-2</v>
      </c>
      <c r="AI25" s="11">
        <f t="shared" si="8"/>
        <v>4.6670646670250336E-3</v>
      </c>
      <c r="AJ25" s="11">
        <f t="shared" si="9"/>
        <v>3.8126913989692352E-3</v>
      </c>
      <c r="AK25" s="11">
        <f t="shared" si="10"/>
        <v>7.1149762242955781E-3</v>
      </c>
      <c r="AL25" s="52">
        <f t="shared" si="11"/>
        <v>1168141</v>
      </c>
      <c r="AM25" s="11">
        <v>16</v>
      </c>
      <c r="AN25" s="12">
        <v>35384548</v>
      </c>
      <c r="AO25" s="12">
        <v>1105767.125</v>
      </c>
      <c r="AP25" s="12">
        <v>40916.78125</v>
      </c>
      <c r="AQ25" s="13">
        <v>3273536</v>
      </c>
      <c r="AR25" s="13">
        <v>954296</v>
      </c>
      <c r="AS25" s="13">
        <v>213845</v>
      </c>
      <c r="AT25" s="13">
        <v>1780840</v>
      </c>
      <c r="AU25" s="14">
        <v>65.618808999999999</v>
      </c>
      <c r="AV25" s="14">
        <v>66.916972000000001</v>
      </c>
      <c r="AW25" s="14">
        <v>25.327663000000001</v>
      </c>
      <c r="AX25" s="14">
        <v>31.828424999999999</v>
      </c>
      <c r="AY25" s="14">
        <v>30.984016</v>
      </c>
      <c r="AZ25" s="15">
        <v>1830.54</v>
      </c>
      <c r="BA25" s="15">
        <v>8978.11</v>
      </c>
      <c r="BB25" s="15">
        <v>104.706</v>
      </c>
      <c r="BC25" s="15">
        <v>24.021000000000001</v>
      </c>
      <c r="BE25" s="50">
        <f t="shared" si="12"/>
        <v>0.81661684600241602</v>
      </c>
      <c r="BF25" s="16">
        <f t="shared" si="13"/>
        <v>1.7055736330518718E-2</v>
      </c>
      <c r="BG25" s="16">
        <f t="shared" si="14"/>
        <v>-0.29390901654627011</v>
      </c>
      <c r="BH25" s="16">
        <f t="array" ref="BH25">AVERAGE(AL25:AL29/AQ25:AQ29) - AVERAGE(N25:N29/S25:S29)</f>
        <v>-0.13997759992411118</v>
      </c>
      <c r="BJ25" s="50">
        <f>IF( OR(ISBLANK(N25:N29),ISBLANK(AL25:AL29), ISBLANK(W25:W29),ISBLANK(AU25:AU29)), "·", bdRateExtend( N25:N29,W25:W29, AL25:AL29,AU25:AU29))</f>
        <v>0.38954923931476371</v>
      </c>
      <c r="BK25" s="50">
        <f>IF( OR(ISBLANK(N25:N29),ISBLANK(AL25:AL29), ISBLANK(X25:X29),ISBLANK(AV25:AV29)), "·", bdRateExtend( N25:N29,X25:X29, AL25:AL29,AV25:AV29))</f>
        <v>0.45495705752223747</v>
      </c>
      <c r="BL25" s="50">
        <f>IF( OR(ISBLANK(V25:V29),ISBLANK(AT25:AT29), ISBLANK(Y25:Y29),ISBLANK(AW25:AW29)), "·", bdRateExtend( V25:V29,Y25:Y29, AT25:AT29,AW25:AW29))</f>
        <v>1.0430555430256914</v>
      </c>
      <c r="BM25" s="50">
        <f>IF( OR(ISBLANK(V25:V29),ISBLANK(AT25:AT29), ISBLANK(Z25:Z29),ISBLANK(AX25:AX29)), "·", bdRateExtend( V25:V29,Z25:Z29, AT25:AT29,AX25:AX29))</f>
        <v>1.1921218170577537</v>
      </c>
      <c r="BN25" s="50">
        <f>IF( OR(ISBLANK(V25:V29),ISBLANK(AT25:AT29), ISBLANK(AA25:AA29),ISBLANK(AY25:AY29)), "·", bdRateExtend( V25:V29,AA25:AA29, AT25:AT29,AY25:AY29))</f>
        <v>1.1973770025881034</v>
      </c>
      <c r="BP25" s="50">
        <f>IF( OR(ISBLANK(S25:S29),ISBLANK(AQ25:AQ29), ISBLANK(W25:W29),ISBLANK(AU25:AU29)), "·", bdRateExtend( S25:S29,W25:W29, AQ25:AQ29,AU25:AU29))</f>
        <v>1.4269188537209851</v>
      </c>
      <c r="BQ25" s="50">
        <f>IF( OR(ISBLANK(S25:S29),ISBLANK(AQ25:AQ29), ISBLANK(X25:X29),ISBLANK(AV25:AV29)), "·", bdRateExtend( S25:S29,X25:X29, AQ25:AQ29,AV25:AV29))</f>
        <v>1.4922985683827314</v>
      </c>
      <c r="BR25" s="50">
        <f>IF( OR(ISBLANK(S25:S29),ISBLANK(AQ25:AQ29), ISBLANK(Y25:Y29),ISBLANK(AW25:AW29)), "·", bdRateExtend( S25:S29,Y25:Y29, AQ25:AQ29,AW25:AW29))</f>
        <v>0.64849778806618397</v>
      </c>
      <c r="BS25" s="50">
        <f>IF( OR(ISBLANK(S25:S29),ISBLANK(AQ25:AQ29), ISBLANK(Z25:Z29),ISBLANK(AX25:AX29)), "·", bdRateExtend( S25:S29,Z25:Z29, AQ25:AQ29,AX25:AX29))</f>
        <v>0.74760067944623021</v>
      </c>
      <c r="BT25" s="50">
        <f>IF( OR(ISBLANK(S25:S29),ISBLANK(AQ25:AQ29), ISBLANK(AA25:AA29),ISBLANK(AY25:AY29)), "·", bdRateExtend( S25:S29,AA25:AA29, AQ25:AQ29,AY25:AY29))</f>
        <v>0.74133402149630445</v>
      </c>
      <c r="BV25" s="58">
        <f t="shared" si="16"/>
        <v>11960819</v>
      </c>
      <c r="BW25" s="58">
        <f t="shared" si="16"/>
        <v>373775.59375</v>
      </c>
      <c r="BX25" s="58">
        <f t="shared" si="16"/>
        <v>26315.5</v>
      </c>
      <c r="BY25" s="58">
        <f t="shared" si="16"/>
        <v>1075368</v>
      </c>
      <c r="BZ25" s="58">
        <f t="shared" si="16"/>
        <v>76888</v>
      </c>
      <c r="CA25" s="58">
        <f t="shared" si="16"/>
        <v>-339211</v>
      </c>
      <c r="CB25" s="58">
        <f t="shared" si="16"/>
        <v>1013136</v>
      </c>
      <c r="CC25" s="58">
        <f t="shared" si="16"/>
        <v>-0.6307469999999995</v>
      </c>
      <c r="CD25" s="58">
        <f t="shared" si="16"/>
        <v>-1.0851499999999987</v>
      </c>
      <c r="CE25" s="58">
        <f t="shared" si="16"/>
        <v>-0.5865899999999975</v>
      </c>
      <c r="CF25" s="58">
        <f t="shared" si="16"/>
        <v>-0.62927800000000289</v>
      </c>
      <c r="CG25" s="58">
        <f t="shared" si="16"/>
        <v>-0.67872500000000002</v>
      </c>
      <c r="CJ25" t="s">
        <v>579</v>
      </c>
    </row>
    <row r="26" spans="1:88" outlineLevel="1" x14ac:dyDescent="0.2">
      <c r="A26" s="17"/>
      <c r="B26" s="17" t="s">
        <v>73</v>
      </c>
      <c r="C26" s="18" t="s">
        <v>234</v>
      </c>
      <c r="D26" s="17">
        <v>250294582</v>
      </c>
      <c r="E26" s="18">
        <v>10</v>
      </c>
      <c r="F26" s="18">
        <v>32</v>
      </c>
      <c r="G26" s="18">
        <v>30</v>
      </c>
      <c r="I26" s="19">
        <f t="shared" si="0"/>
        <v>3.1715550000000001</v>
      </c>
      <c r="J26" s="20">
        <f t="shared" si="1"/>
        <v>1.3516041669651483E-2</v>
      </c>
      <c r="K26" s="20">
        <f t="shared" si="2"/>
        <v>7.1894484715614021E-3</v>
      </c>
      <c r="L26" s="20">
        <f t="shared" si="3"/>
        <v>4.9798281290803171E-3</v>
      </c>
      <c r="M26" s="20">
        <f t="shared" si="4"/>
        <v>6.3265931980900809E-3</v>
      </c>
      <c r="N26" s="17">
        <f t="shared" si="5"/>
        <v>1799480</v>
      </c>
      <c r="O26" s="20">
        <v>16</v>
      </c>
      <c r="P26" s="21">
        <v>24642332</v>
      </c>
      <c r="Q26" s="21">
        <v>770072.875</v>
      </c>
      <c r="R26" s="21">
        <v>17838.375</v>
      </c>
      <c r="S26" s="22">
        <v>3382992</v>
      </c>
      <c r="T26" s="22">
        <v>1246424</v>
      </c>
      <c r="U26" s="22">
        <v>553056</v>
      </c>
      <c r="V26" s="22">
        <v>1583512</v>
      </c>
      <c r="W26" s="23">
        <v>68.005358999999999</v>
      </c>
      <c r="X26" s="23">
        <v>70.016609000000003</v>
      </c>
      <c r="Y26" s="23">
        <v>27.918291</v>
      </c>
      <c r="Z26" s="23">
        <v>33.668056</v>
      </c>
      <c r="AA26" s="23">
        <v>33.040233999999998</v>
      </c>
      <c r="AB26" s="24">
        <v>1417.61</v>
      </c>
      <c r="AC26" s="24">
        <v>3809.92</v>
      </c>
      <c r="AD26" s="24">
        <v>58.838999999999999</v>
      </c>
      <c r="AE26" s="24">
        <v>15.72</v>
      </c>
      <c r="AG26" s="19">
        <f t="shared" si="6"/>
        <v>4.7523074999999997</v>
      </c>
      <c r="AH26" s="20">
        <f t="shared" si="7"/>
        <v>2.0252647738096066E-2</v>
      </c>
      <c r="AI26" s="20">
        <f t="shared" si="8"/>
        <v>6.622300757592907E-3</v>
      </c>
      <c r="AJ26" s="20">
        <f t="shared" si="9"/>
        <v>5.4134931294677405E-3</v>
      </c>
      <c r="AK26" s="20">
        <f t="shared" si="10"/>
        <v>1.2688089269147664E-2</v>
      </c>
      <c r="AL26" s="17">
        <f t="shared" si="11"/>
        <v>1657526</v>
      </c>
      <c r="AM26" s="20">
        <v>16</v>
      </c>
      <c r="AN26" s="21">
        <v>34513778</v>
      </c>
      <c r="AO26" s="21">
        <v>1078555.5625</v>
      </c>
      <c r="AP26" s="21">
        <v>41485.09375</v>
      </c>
      <c r="AQ26" s="22">
        <v>5069128</v>
      </c>
      <c r="AR26" s="22">
        <v>1354968</v>
      </c>
      <c r="AS26" s="22">
        <v>302558</v>
      </c>
      <c r="AT26" s="22">
        <v>3175760</v>
      </c>
      <c r="AU26" s="23">
        <v>66.914124999999999</v>
      </c>
      <c r="AV26" s="23">
        <v>68.487763000000001</v>
      </c>
      <c r="AW26" s="23">
        <v>27.358008999999999</v>
      </c>
      <c r="AX26" s="23">
        <v>33.237287000000002</v>
      </c>
      <c r="AY26" s="23">
        <v>32.591847000000001</v>
      </c>
      <c r="AZ26" s="24">
        <v>1491.83</v>
      </c>
      <c r="BA26" s="24">
        <v>7251.43</v>
      </c>
      <c r="BB26" s="24">
        <v>88.486999999999995</v>
      </c>
      <c r="BC26" s="24">
        <v>17.75</v>
      </c>
      <c r="BE26" s="49">
        <f t="shared" si="12"/>
        <v>0.92111387734234329</v>
      </c>
      <c r="BF26" s="25">
        <f t="shared" si="13"/>
        <v>1.5299038215002277E-2</v>
      </c>
      <c r="BG26" s="25">
        <f t="shared" si="14"/>
        <v>-0.20493522959968419</v>
      </c>
      <c r="BH26" s="25"/>
      <c r="BJ26" s="49"/>
      <c r="BK26" s="49"/>
      <c r="BL26" s="49"/>
      <c r="BM26" s="49"/>
      <c r="BN26" s="49"/>
      <c r="BP26" s="49"/>
      <c r="BQ26" s="49"/>
      <c r="BR26" s="49"/>
      <c r="BS26" s="49"/>
      <c r="BT26" s="49"/>
      <c r="BV26" s="58">
        <f t="shared" si="16"/>
        <v>9871446</v>
      </c>
      <c r="BW26" s="58">
        <f t="shared" si="16"/>
        <v>308482.6875</v>
      </c>
      <c r="BX26" s="58">
        <f t="shared" si="16"/>
        <v>23646.71875</v>
      </c>
      <c r="BY26" s="58">
        <f t="shared" si="16"/>
        <v>1686136</v>
      </c>
      <c r="BZ26" s="58">
        <f t="shared" si="16"/>
        <v>108544</v>
      </c>
      <c r="CA26" s="58">
        <f t="shared" si="16"/>
        <v>-250498</v>
      </c>
      <c r="CB26" s="58">
        <f t="shared" si="16"/>
        <v>1592248</v>
      </c>
      <c r="CC26" s="58">
        <f t="shared" si="16"/>
        <v>-1.091234</v>
      </c>
      <c r="CD26" s="58">
        <f t="shared" si="16"/>
        <v>-1.5288460000000015</v>
      </c>
      <c r="CE26" s="58">
        <f t="shared" si="16"/>
        <v>-0.56028200000000083</v>
      </c>
      <c r="CF26" s="58">
        <f t="shared" si="16"/>
        <v>-0.43076899999999796</v>
      </c>
      <c r="CG26" s="58">
        <f t="shared" si="16"/>
        <v>-0.44838699999999676</v>
      </c>
      <c r="CJ26" t="s">
        <v>579</v>
      </c>
    </row>
    <row r="27" spans="1:88" outlineLevel="1" x14ac:dyDescent="0.2">
      <c r="A27" s="52"/>
      <c r="B27" s="52" t="s">
        <v>73</v>
      </c>
      <c r="C27" s="9" t="s">
        <v>235</v>
      </c>
      <c r="D27" s="52">
        <v>250294582</v>
      </c>
      <c r="E27" s="9">
        <v>10</v>
      </c>
      <c r="F27" s="9">
        <v>32</v>
      </c>
      <c r="G27" s="9">
        <v>30</v>
      </c>
      <c r="I27" s="10">
        <f t="shared" si="0"/>
        <v>5.3551425000000004</v>
      </c>
      <c r="J27" s="11">
        <f t="shared" si="1"/>
        <v>2.2821716532401809E-2</v>
      </c>
      <c r="K27" s="11">
        <f t="shared" si="2"/>
        <v>9.3524357630721706E-3</v>
      </c>
      <c r="L27" s="11">
        <f t="shared" si="3"/>
        <v>7.1428154205910857E-3</v>
      </c>
      <c r="M27" s="11">
        <f t="shared" si="4"/>
        <v>1.3469280769329637E-2</v>
      </c>
      <c r="N27" s="52">
        <f t="shared" si="5"/>
        <v>2340864</v>
      </c>
      <c r="O27" s="11">
        <v>16</v>
      </c>
      <c r="P27" s="12">
        <v>24875407</v>
      </c>
      <c r="Q27" s="12">
        <v>777356.46875</v>
      </c>
      <c r="R27" s="12">
        <v>18687.4375</v>
      </c>
      <c r="S27" s="13">
        <v>5712152</v>
      </c>
      <c r="T27" s="13">
        <v>1787808</v>
      </c>
      <c r="U27" s="13">
        <v>553056</v>
      </c>
      <c r="V27" s="13">
        <v>3371288</v>
      </c>
      <c r="W27" s="14">
        <v>69.301755999999997</v>
      </c>
      <c r="X27" s="14">
        <v>71.690518999999995</v>
      </c>
      <c r="Y27" s="14">
        <v>30.205874999999999</v>
      </c>
      <c r="Z27" s="14">
        <v>34.909818999999999</v>
      </c>
      <c r="AA27" s="14">
        <v>34.350633999999999</v>
      </c>
      <c r="AB27" s="15">
        <v>1811.11</v>
      </c>
      <c r="AC27" s="15">
        <v>5598.79</v>
      </c>
      <c r="AD27" s="15">
        <v>70.149000000000001</v>
      </c>
      <c r="AE27" s="15">
        <v>23.367999999999999</v>
      </c>
      <c r="AG27" s="10">
        <f t="shared" si="6"/>
        <v>7.9461899999999996</v>
      </c>
      <c r="AH27" s="11">
        <f t="shared" si="7"/>
        <v>3.3863841287623236E-2</v>
      </c>
      <c r="AI27" s="11">
        <f t="shared" si="8"/>
        <v>9.7438585386558623E-3</v>
      </c>
      <c r="AJ27" s="11">
        <f t="shared" si="9"/>
        <v>7.8571417099232294E-3</v>
      </c>
      <c r="AK27" s="11">
        <f t="shared" si="10"/>
        <v>2.3855634238219348E-2</v>
      </c>
      <c r="AL27" s="52">
        <f t="shared" si="11"/>
        <v>2438835</v>
      </c>
      <c r="AM27" s="11">
        <v>16</v>
      </c>
      <c r="AN27" s="12">
        <v>32316872</v>
      </c>
      <c r="AO27" s="12">
        <v>1009902.25</v>
      </c>
      <c r="AP27" s="12">
        <v>40552.90625</v>
      </c>
      <c r="AQ27" s="13">
        <v>8475936</v>
      </c>
      <c r="AR27" s="13">
        <v>1966600</v>
      </c>
      <c r="AS27" s="13">
        <v>472235</v>
      </c>
      <c r="AT27" s="13">
        <v>5970936</v>
      </c>
      <c r="AU27" s="14">
        <v>68.009741000000005</v>
      </c>
      <c r="AV27" s="14">
        <v>69.857622000000006</v>
      </c>
      <c r="AW27" s="14">
        <v>29.683944</v>
      </c>
      <c r="AX27" s="14">
        <v>34.571818999999998</v>
      </c>
      <c r="AY27" s="14">
        <v>34.009653</v>
      </c>
      <c r="AZ27" s="15">
        <v>1507.88</v>
      </c>
      <c r="BA27" s="15">
        <v>7688.8</v>
      </c>
      <c r="BB27" s="15">
        <v>82.703000000000003</v>
      </c>
      <c r="BC27" s="15">
        <v>18.581</v>
      </c>
      <c r="BE27" s="50">
        <f t="shared" si="12"/>
        <v>1.0418524954888451</v>
      </c>
      <c r="BF27" s="16">
        <f t="shared" si="13"/>
        <v>1.6115551372478606E-2</v>
      </c>
      <c r="BG27" s="16">
        <f t="shared" si="14"/>
        <v>-0.12206785762009748</v>
      </c>
      <c r="BH27" s="16"/>
      <c r="BJ27" s="50"/>
      <c r="BK27" s="50"/>
      <c r="BL27" s="50"/>
      <c r="BM27" s="50"/>
      <c r="BN27" s="50"/>
      <c r="BP27" s="50"/>
      <c r="BQ27" s="50"/>
      <c r="BR27" s="50"/>
      <c r="BS27" s="50"/>
      <c r="BT27" s="50"/>
      <c r="BV27" s="58">
        <f t="shared" si="16"/>
        <v>7441465</v>
      </c>
      <c r="BW27" s="58">
        <f t="shared" si="16"/>
        <v>232545.78125</v>
      </c>
      <c r="BX27" s="58">
        <f t="shared" si="16"/>
        <v>21865.46875</v>
      </c>
      <c r="BY27" s="58">
        <f t="shared" si="16"/>
        <v>2763784</v>
      </c>
      <c r="BZ27" s="58">
        <f t="shared" si="16"/>
        <v>178792</v>
      </c>
      <c r="CA27" s="58">
        <f t="shared" si="16"/>
        <v>-80821</v>
      </c>
      <c r="CB27" s="58">
        <f t="shared" si="16"/>
        <v>2599648</v>
      </c>
      <c r="CC27" s="58">
        <f t="shared" si="16"/>
        <v>-1.2920149999999921</v>
      </c>
      <c r="CD27" s="58">
        <f t="shared" si="16"/>
        <v>-1.8328969999999885</v>
      </c>
      <c r="CE27" s="58">
        <f t="shared" si="16"/>
        <v>-0.52193099999999859</v>
      </c>
      <c r="CF27" s="58">
        <f t="shared" si="16"/>
        <v>-0.33800000000000097</v>
      </c>
      <c r="CG27" s="58">
        <f t="shared" si="16"/>
        <v>-0.34098099999999931</v>
      </c>
      <c r="CJ27" t="s">
        <v>579</v>
      </c>
    </row>
    <row r="28" spans="1:88" outlineLevel="1" x14ac:dyDescent="0.2">
      <c r="A28" s="17"/>
      <c r="B28" s="17" t="s">
        <v>73</v>
      </c>
      <c r="C28" s="18" t="s">
        <v>236</v>
      </c>
      <c r="D28" s="17">
        <v>250294582</v>
      </c>
      <c r="E28" s="18">
        <v>10</v>
      </c>
      <c r="F28" s="18">
        <v>32</v>
      </c>
      <c r="G28" s="18">
        <v>30</v>
      </c>
      <c r="I28" s="19">
        <f t="shared" si="0"/>
        <v>10.3389975</v>
      </c>
      <c r="J28" s="20">
        <f t="shared" si="1"/>
        <v>4.4061137527938977E-2</v>
      </c>
      <c r="K28" s="20">
        <f t="shared" si="2"/>
        <v>1.318660585309833E-2</v>
      </c>
      <c r="L28" s="20">
        <f t="shared" si="3"/>
        <v>1.0976985510617245E-2</v>
      </c>
      <c r="M28" s="20">
        <f t="shared" si="4"/>
        <v>3.0874531674840649E-2</v>
      </c>
      <c r="N28" s="17">
        <f t="shared" si="5"/>
        <v>3300536</v>
      </c>
      <c r="O28" s="20">
        <v>16</v>
      </c>
      <c r="P28" s="21">
        <v>25558634</v>
      </c>
      <c r="Q28" s="21">
        <v>798707.3125</v>
      </c>
      <c r="R28" s="21">
        <v>21108.9375</v>
      </c>
      <c r="S28" s="22">
        <v>11028264</v>
      </c>
      <c r="T28" s="22">
        <v>2747480</v>
      </c>
      <c r="U28" s="22">
        <v>553056</v>
      </c>
      <c r="V28" s="22">
        <v>7727728</v>
      </c>
      <c r="W28" s="23">
        <v>70.462115999999995</v>
      </c>
      <c r="X28" s="23">
        <v>72.993594000000002</v>
      </c>
      <c r="Y28" s="23">
        <v>32.704628</v>
      </c>
      <c r="Z28" s="23">
        <v>36.413840999999998</v>
      </c>
      <c r="AA28" s="23">
        <v>35.864955999999999</v>
      </c>
      <c r="AB28" s="24">
        <v>1631.93</v>
      </c>
      <c r="AC28" s="24">
        <v>4853.5200000000004</v>
      </c>
      <c r="AD28" s="24">
        <v>62.817</v>
      </c>
      <c r="AE28" s="24">
        <v>18.484000000000002</v>
      </c>
      <c r="AG28" s="19">
        <f t="shared" si="6"/>
        <v>14.660655</v>
      </c>
      <c r="AH28" s="20">
        <f t="shared" si="7"/>
        <v>6.2478507824831782E-2</v>
      </c>
      <c r="AI28" s="20">
        <f t="shared" si="8"/>
        <v>1.5334183302457581E-2</v>
      </c>
      <c r="AJ28" s="20">
        <f t="shared" si="9"/>
        <v>1.1940681960107311E-2</v>
      </c>
      <c r="AK28" s="20">
        <f t="shared" si="10"/>
        <v>4.8386760525243808E-2</v>
      </c>
      <c r="AL28" s="17">
        <f t="shared" si="11"/>
        <v>3838063</v>
      </c>
      <c r="AM28" s="20">
        <v>16</v>
      </c>
      <c r="AN28" s="21">
        <v>28176715</v>
      </c>
      <c r="AO28" s="21">
        <v>880522.34375</v>
      </c>
      <c r="AP28" s="21">
        <v>36989.625</v>
      </c>
      <c r="AQ28" s="22">
        <v>15638032</v>
      </c>
      <c r="AR28" s="22">
        <v>2988688</v>
      </c>
      <c r="AS28" s="22">
        <v>849375</v>
      </c>
      <c r="AT28" s="22">
        <v>12110944</v>
      </c>
      <c r="AU28" s="23">
        <v>69.429934000000003</v>
      </c>
      <c r="AV28" s="23">
        <v>71.665272000000002</v>
      </c>
      <c r="AW28" s="23">
        <v>32.247725000000003</v>
      </c>
      <c r="AX28" s="23">
        <v>35.951334000000003</v>
      </c>
      <c r="AY28" s="23">
        <v>35.403036999999998</v>
      </c>
      <c r="AZ28" s="24">
        <v>1479.56</v>
      </c>
      <c r="BA28" s="24">
        <v>8585.84</v>
      </c>
      <c r="BB28" s="24">
        <v>72.721999999999994</v>
      </c>
      <c r="BC28" s="24">
        <v>21.384</v>
      </c>
      <c r="BE28" s="49">
        <f t="shared" si="12"/>
        <v>1.1628605172008424</v>
      </c>
      <c r="BF28" s="25">
        <f t="shared" si="13"/>
        <v>1.5579852324461033E-2</v>
      </c>
      <c r="BG28" s="25">
        <f t="shared" si="14"/>
        <v>-5.3848411090693382E-2</v>
      </c>
      <c r="BH28" s="25"/>
      <c r="BJ28" s="49"/>
      <c r="BK28" s="49"/>
      <c r="BL28" s="49"/>
      <c r="BM28" s="49"/>
      <c r="BN28" s="49"/>
      <c r="BP28" s="49"/>
      <c r="BQ28" s="49"/>
      <c r="BR28" s="49"/>
      <c r="BS28" s="49"/>
      <c r="BT28" s="49"/>
      <c r="BV28" s="58">
        <f t="shared" si="16"/>
        <v>2618081</v>
      </c>
      <c r="BW28" s="58">
        <f t="shared" si="16"/>
        <v>81815.03125</v>
      </c>
      <c r="BX28" s="58">
        <f t="shared" si="16"/>
        <v>15880.6875</v>
      </c>
      <c r="BY28" s="58">
        <f t="shared" si="16"/>
        <v>4609768</v>
      </c>
      <c r="BZ28" s="58">
        <f t="shared" si="16"/>
        <v>241208</v>
      </c>
      <c r="CA28" s="58">
        <f t="shared" si="16"/>
        <v>296319</v>
      </c>
      <c r="CB28" s="58">
        <f t="shared" si="16"/>
        <v>4383216</v>
      </c>
      <c r="CC28" s="58">
        <f t="shared" si="16"/>
        <v>-1.0321819999999917</v>
      </c>
      <c r="CD28" s="58">
        <f t="shared" si="16"/>
        <v>-1.328322</v>
      </c>
      <c r="CE28" s="58">
        <f t="shared" si="16"/>
        <v>-0.45690299999999695</v>
      </c>
      <c r="CF28" s="58">
        <f t="shared" si="16"/>
        <v>-0.46250699999999512</v>
      </c>
      <c r="CG28" s="58">
        <f t="shared" si="16"/>
        <v>-0.46191900000000174</v>
      </c>
      <c r="CJ28" t="s">
        <v>579</v>
      </c>
    </row>
    <row r="29" spans="1:88" ht="16" outlineLevel="1" thickBot="1" x14ac:dyDescent="0.25">
      <c r="A29" s="26"/>
      <c r="B29" s="26" t="s">
        <v>73</v>
      </c>
      <c r="C29" s="27" t="s">
        <v>237</v>
      </c>
      <c r="D29" s="26">
        <v>250294582</v>
      </c>
      <c r="E29" s="27">
        <v>10</v>
      </c>
      <c r="F29" s="27">
        <v>32</v>
      </c>
      <c r="G29" s="27">
        <v>30</v>
      </c>
      <c r="I29" s="28">
        <f t="shared" si="0"/>
        <v>23.8660575</v>
      </c>
      <c r="J29" s="29">
        <f t="shared" si="1"/>
        <v>0.10170866583120844</v>
      </c>
      <c r="K29" s="29">
        <f t="shared" si="2"/>
        <v>2.1642817661950031E-2</v>
      </c>
      <c r="L29" s="29">
        <f t="shared" si="3"/>
        <v>1.7231247938079619E-2</v>
      </c>
      <c r="M29" s="29">
        <f t="shared" si="4"/>
        <v>8.0065848169258408E-2</v>
      </c>
      <c r="N29" s="26">
        <f t="shared" si="5"/>
        <v>5417080</v>
      </c>
      <c r="O29" s="29">
        <v>16</v>
      </c>
      <c r="P29" s="30">
        <v>24591050</v>
      </c>
      <c r="Q29" s="30">
        <v>768470.3125</v>
      </c>
      <c r="R29" s="30">
        <v>9839.84375</v>
      </c>
      <c r="S29" s="31">
        <v>25457128</v>
      </c>
      <c r="T29" s="31">
        <v>4312888</v>
      </c>
      <c r="U29" s="31">
        <v>1104192</v>
      </c>
      <c r="V29" s="31">
        <v>20040048</v>
      </c>
      <c r="W29" s="32">
        <v>71.138030999999998</v>
      </c>
      <c r="X29" s="32">
        <v>74.865933999999996</v>
      </c>
      <c r="Y29" s="32">
        <v>35.755878000000003</v>
      </c>
      <c r="Z29" s="32">
        <v>38.367171999999997</v>
      </c>
      <c r="AA29" s="32">
        <v>37.762050000000002</v>
      </c>
      <c r="AB29" s="33">
        <v>1811.35</v>
      </c>
      <c r="AC29" s="33">
        <v>6975.87</v>
      </c>
      <c r="AD29" s="33">
        <v>69.799000000000007</v>
      </c>
      <c r="AE29" s="33">
        <v>29.370999999999999</v>
      </c>
      <c r="AG29" s="28">
        <f t="shared" si="6"/>
        <v>33.876922499999999</v>
      </c>
      <c r="AH29" s="29">
        <f t="shared" si="7"/>
        <v>0.14437141911445769</v>
      </c>
      <c r="AI29" s="29">
        <f t="shared" si="8"/>
        <v>2.7093431051575859E-2</v>
      </c>
      <c r="AJ29" s="29">
        <f t="shared" si="9"/>
        <v>1.8462053645252299E-2</v>
      </c>
      <c r="AK29" s="29">
        <f t="shared" si="10"/>
        <v>0.12156216789382999</v>
      </c>
      <c r="AL29" s="26">
        <f t="shared" si="11"/>
        <v>6781339</v>
      </c>
      <c r="AM29" s="29">
        <v>16</v>
      </c>
      <c r="AN29" s="30">
        <v>24830221</v>
      </c>
      <c r="AO29" s="30">
        <v>775944.40625</v>
      </c>
      <c r="AP29" s="30">
        <v>16848.78125</v>
      </c>
      <c r="AQ29" s="31">
        <v>36135384</v>
      </c>
      <c r="AR29" s="31">
        <v>4620952</v>
      </c>
      <c r="AS29" s="31">
        <v>2160387</v>
      </c>
      <c r="AT29" s="31">
        <v>30426352</v>
      </c>
      <c r="AU29" s="32">
        <v>70.577765999999997</v>
      </c>
      <c r="AV29" s="32">
        <v>73.736438000000007</v>
      </c>
      <c r="AW29" s="32">
        <v>35.282153000000001</v>
      </c>
      <c r="AX29" s="32">
        <v>37.816194000000003</v>
      </c>
      <c r="AY29" s="32">
        <v>37.242415999999999</v>
      </c>
      <c r="AZ29" s="33">
        <v>1432.21</v>
      </c>
      <c r="BA29" s="33">
        <v>8659.0499999999993</v>
      </c>
      <c r="BB29" s="33">
        <v>60.898000000000003</v>
      </c>
      <c r="BC29" s="33">
        <v>21.442</v>
      </c>
      <c r="BE29" s="34">
        <f t="shared" si="12"/>
        <v>1.2518439823668839</v>
      </c>
      <c r="BF29" s="35">
        <f t="shared" si="13"/>
        <v>8.9094473072291996E-3</v>
      </c>
      <c r="BG29" s="35">
        <f t="shared" si="14"/>
        <v>-2.5127484763810937E-2</v>
      </c>
      <c r="BH29" s="35"/>
      <c r="BJ29" s="34"/>
      <c r="BK29" s="34"/>
      <c r="BL29" s="34"/>
      <c r="BM29" s="34"/>
      <c r="BN29" s="34"/>
      <c r="BP29" s="34"/>
      <c r="BQ29" s="34"/>
      <c r="BR29" s="34"/>
      <c r="BS29" s="34"/>
      <c r="BT29" s="34"/>
      <c r="BV29" s="58">
        <f t="shared" si="16"/>
        <v>239171</v>
      </c>
      <c r="BW29" s="58">
        <f t="shared" si="16"/>
        <v>7474.09375</v>
      </c>
      <c r="BX29" s="58">
        <f t="shared" si="16"/>
        <v>7008.9375</v>
      </c>
      <c r="BY29" s="58">
        <f t="shared" si="16"/>
        <v>10678256</v>
      </c>
      <c r="BZ29" s="58">
        <f t="shared" si="16"/>
        <v>308064</v>
      </c>
      <c r="CA29" s="58">
        <f t="shared" si="16"/>
        <v>1056195</v>
      </c>
      <c r="CB29" s="58">
        <f t="shared" si="16"/>
        <v>10386304</v>
      </c>
      <c r="CC29" s="58">
        <f t="shared" si="16"/>
        <v>-0.56026500000000112</v>
      </c>
      <c r="CD29" s="58">
        <f t="shared" si="16"/>
        <v>-1.129495999999989</v>
      </c>
      <c r="CE29" s="58">
        <f t="shared" si="16"/>
        <v>-0.47372500000000173</v>
      </c>
      <c r="CF29" s="58">
        <f t="shared" si="16"/>
        <v>-0.55097799999999353</v>
      </c>
      <c r="CG29" s="58">
        <f t="shared" si="16"/>
        <v>-0.51963400000000348</v>
      </c>
      <c r="CJ29" t="s">
        <v>579</v>
      </c>
    </row>
    <row r="30" spans="1:88" x14ac:dyDescent="0.2">
      <c r="A30" s="17" t="s">
        <v>242</v>
      </c>
      <c r="B30" s="17" t="s">
        <v>77</v>
      </c>
      <c r="C30" s="18" t="s">
        <v>232</v>
      </c>
      <c r="D30" s="17">
        <v>375422539</v>
      </c>
      <c r="E30" s="18">
        <v>11</v>
      </c>
      <c r="F30" s="18">
        <v>32</v>
      </c>
      <c r="G30" s="18">
        <v>30</v>
      </c>
      <c r="I30" s="19">
        <f t="shared" si="0"/>
        <v>3.7191225000000001</v>
      </c>
      <c r="J30" s="20">
        <f t="shared" si="1"/>
        <v>1.0566930825642303E-2</v>
      </c>
      <c r="K30" s="20">
        <f t="shared" si="2"/>
        <v>8.3820433594158812E-3</v>
      </c>
      <c r="L30" s="20">
        <f t="shared" si="3"/>
        <v>5.2756768554058494E-3</v>
      </c>
      <c r="M30" s="20">
        <f t="shared" si="4"/>
        <v>2.1848874662264216E-3</v>
      </c>
      <c r="N30" s="17">
        <f t="shared" si="5"/>
        <v>3146808</v>
      </c>
      <c r="O30" s="20">
        <v>16</v>
      </c>
      <c r="P30" s="21">
        <v>86243398</v>
      </c>
      <c r="Q30" s="21">
        <v>2695106.1875</v>
      </c>
      <c r="R30" s="21">
        <v>33846.0625</v>
      </c>
      <c r="S30" s="22">
        <v>3967064</v>
      </c>
      <c r="T30" s="22">
        <v>1980608</v>
      </c>
      <c r="U30" s="22">
        <v>1166200</v>
      </c>
      <c r="V30" s="22">
        <v>820256</v>
      </c>
      <c r="W30" s="23">
        <v>73.637074999999996</v>
      </c>
      <c r="X30" s="23">
        <v>75.742599999999996</v>
      </c>
      <c r="Y30" s="23">
        <v>33.230944000000001</v>
      </c>
      <c r="Z30" s="23">
        <v>41.929219000000003</v>
      </c>
      <c r="AA30" s="23">
        <v>43.316119</v>
      </c>
      <c r="AB30" s="24">
        <v>4169.28</v>
      </c>
      <c r="AC30" s="24">
        <v>17780.8</v>
      </c>
      <c r="AD30" s="24">
        <v>242.79</v>
      </c>
      <c r="AE30" s="24">
        <v>79.113</v>
      </c>
      <c r="AG30" s="19">
        <f t="shared" si="6"/>
        <v>5.3481975000000004</v>
      </c>
      <c r="AH30" s="20">
        <f t="shared" si="7"/>
        <v>1.5195528790560974E-2</v>
      </c>
      <c r="AI30" s="20">
        <f t="shared" si="8"/>
        <v>6.6766422886506555E-3</v>
      </c>
      <c r="AJ30" s="20">
        <f t="shared" si="9"/>
        <v>5.7315898127256555E-3</v>
      </c>
      <c r="AK30" s="20">
        <f t="shared" si="10"/>
        <v>6.4276588359016987E-3</v>
      </c>
      <c r="AL30" s="17">
        <f t="shared" si="11"/>
        <v>2506562</v>
      </c>
      <c r="AM30" s="20">
        <v>16</v>
      </c>
      <c r="AN30" s="21">
        <v>128291165</v>
      </c>
      <c r="AO30" s="21">
        <v>4009098.90625</v>
      </c>
      <c r="AP30" s="21">
        <v>90077.03125</v>
      </c>
      <c r="AQ30" s="22">
        <v>5704744</v>
      </c>
      <c r="AR30" s="22">
        <v>2151768</v>
      </c>
      <c r="AS30" s="22">
        <v>354794</v>
      </c>
      <c r="AT30" s="22">
        <v>2413088</v>
      </c>
      <c r="AU30" s="23">
        <v>72.654533999999998</v>
      </c>
      <c r="AV30" s="23">
        <v>74.058800000000005</v>
      </c>
      <c r="AW30" s="23">
        <v>32.109777999999999</v>
      </c>
      <c r="AX30" s="23">
        <v>40.906658999999998</v>
      </c>
      <c r="AY30" s="23">
        <v>41.985571999999998</v>
      </c>
      <c r="AZ30" s="24">
        <v>4477.1499999999996</v>
      </c>
      <c r="BA30" s="24">
        <v>36517.1</v>
      </c>
      <c r="BB30" s="24">
        <v>390.55399999999997</v>
      </c>
      <c r="BC30" s="24">
        <v>104.596</v>
      </c>
      <c r="BE30" s="49">
        <f t="shared" si="12"/>
        <v>0.79654112993229975</v>
      </c>
      <c r="BF30" s="25">
        <f t="shared" si="13"/>
        <v>9.9098079299017178E-3</v>
      </c>
      <c r="BG30" s="25">
        <f t="shared" si="14"/>
        <v>-0.35385145439758331</v>
      </c>
      <c r="BH30" s="25">
        <f t="array" ref="BH30">AVERAGE(AL30:AL34/AQ30:AQ34) - AVERAGE(N30:N34/S30:S34)</f>
        <v>-0.22360372631137909</v>
      </c>
      <c r="BJ30" s="49">
        <f>IF( OR(ISBLANK(N30:N34),ISBLANK(AL30:AL34), ISBLANK(W30:W34),ISBLANK(AU30:AU34)), "·", bdRateExtend( N30:N34,W30:W34, AL30:AL34,AU30:AU34))</f>
        <v>0.26918678551837849</v>
      </c>
      <c r="BK30" s="49">
        <f>IF( OR(ISBLANK(N30:N34),ISBLANK(AL30:AL34), ISBLANK(X30:X34),ISBLANK(AV30:AV34)), "·", bdRateExtend( N30:N34,X30:X34, AL30:AL34,AV30:AV34))</f>
        <v>0.30290373747063115</v>
      </c>
      <c r="BL30" s="49">
        <f>IF( OR(ISBLANK(V30:V34),ISBLANK(AT30:AT34), ISBLANK(Y30:Y34),ISBLANK(AW30:AW34)), "·", bdRateExtend( V30:V34,Y30:Y34, AT30:AT34,AW30:AW34))</f>
        <v>1.6241981659495801</v>
      </c>
      <c r="BM30" s="49">
        <f>IF( OR(ISBLANK(V30:V34),ISBLANK(AT30:AT34), ISBLANK(Z30:Z34),ISBLANK(AX30:AX34)), "·", bdRateExtend( V30:V34,Z30:Z34, AT30:AT34,AX30:AX34))</f>
        <v>2.4369810033124688</v>
      </c>
      <c r="BN30" s="49">
        <f>IF( OR(ISBLANK(V30:V34),ISBLANK(AT30:AT34), ISBLANK(AA30:AA34),ISBLANK(AY30:AY34)), "·", bdRateExtend( V30:V34,AA30:AA34, AT30:AT34,AY30:AY34))</f>
        <v>2.3114648316209094</v>
      </c>
      <c r="BP30" s="49">
        <f>IF( OR(ISBLANK(S30:S34),ISBLANK(AQ30:AQ34), ISBLANK(W30:W34),ISBLANK(AU30:AU34)), "·", bdRateExtend( S30:S34,W30:W34, AQ30:AQ34,AU30:AU34))</f>
        <v>1.1020554760092089</v>
      </c>
      <c r="BQ30" s="49">
        <f>IF( OR(ISBLANK(S30:S34),ISBLANK(AQ30:AQ34), ISBLANK(X30:X34),ISBLANK(AV30:AV34)), "·", bdRateExtend( S30:S34,X30:X34, AQ30:AQ34,AV30:AV34))</f>
        <v>1.1016446345506208</v>
      </c>
      <c r="BR30" s="49">
        <f>IF( OR(ISBLANK(S30:S34),ISBLANK(AQ30:AQ34), ISBLANK(Y30:Y34),ISBLANK(AW30:AW34)), "·", bdRateExtend( S30:S34,Y30:Y34, AQ30:AQ34,AW30:AW34))</f>
        <v>0.65841303592713651</v>
      </c>
      <c r="BS30" s="49">
        <f>IF( OR(ISBLANK(S30:S34),ISBLANK(AQ30:AQ34), ISBLANK(Z30:Z34),ISBLANK(AX30:AX34)), "·", bdRateExtend( S30:S34,Z30:Z34, AQ30:AQ34,AX30:AX34))</f>
        <v>1.0369745994833863</v>
      </c>
      <c r="BT30" s="49">
        <f>IF( OR(ISBLANK(S30:S34),ISBLANK(AQ30:AQ34), ISBLANK(AA30:AA34),ISBLANK(AY30:AY34)), "·", bdRateExtend( S30:S34,AA30:AA34, AQ30:AQ34,AY30:AY34))</f>
        <v>0.99375187984197644</v>
      </c>
      <c r="BV30" s="58">
        <f t="shared" si="16"/>
        <v>42047767</v>
      </c>
      <c r="BW30" s="58">
        <f t="shared" si="16"/>
        <v>1313992.71875</v>
      </c>
      <c r="BX30" s="58">
        <f t="shared" si="16"/>
        <v>56230.96875</v>
      </c>
      <c r="BY30" s="58">
        <f t="shared" si="16"/>
        <v>1737680</v>
      </c>
      <c r="BZ30" s="58">
        <f t="shared" si="16"/>
        <v>171160</v>
      </c>
      <c r="CA30" s="58">
        <f t="shared" si="16"/>
        <v>-811406</v>
      </c>
      <c r="CB30" s="58">
        <f t="shared" si="16"/>
        <v>1592832</v>
      </c>
      <c r="CC30" s="58">
        <f t="shared" si="16"/>
        <v>-0.98254099999999767</v>
      </c>
      <c r="CD30" s="58">
        <f t="shared" si="16"/>
        <v>-1.6837999999999909</v>
      </c>
      <c r="CE30" s="58">
        <f t="shared" si="16"/>
        <v>-1.1211660000000023</v>
      </c>
      <c r="CF30" s="58">
        <f t="shared" si="16"/>
        <v>-1.0225600000000057</v>
      </c>
      <c r="CG30" s="58">
        <f t="shared" si="16"/>
        <v>-1.3305470000000028</v>
      </c>
      <c r="CJ30" t="s">
        <v>588</v>
      </c>
    </row>
    <row r="31" spans="1:88" outlineLevel="1" x14ac:dyDescent="0.2">
      <c r="A31" s="52"/>
      <c r="B31" s="52" t="s">
        <v>77</v>
      </c>
      <c r="C31" s="9" t="s">
        <v>234</v>
      </c>
      <c r="D31" s="52">
        <v>375422539</v>
      </c>
      <c r="E31" s="9">
        <v>11</v>
      </c>
      <c r="F31" s="9">
        <v>32</v>
      </c>
      <c r="G31" s="9">
        <v>30</v>
      </c>
      <c r="I31" s="10">
        <f t="shared" si="0"/>
        <v>4.9565625000000004</v>
      </c>
      <c r="J31" s="11">
        <f t="shared" si="1"/>
        <v>1.4082798582319533E-2</v>
      </c>
      <c r="K31" s="11">
        <f t="shared" si="2"/>
        <v>1.0321894924907532E-2</v>
      </c>
      <c r="L31" s="11">
        <f t="shared" si="3"/>
        <v>7.2155284208974997E-3</v>
      </c>
      <c r="M31" s="11">
        <f t="shared" si="4"/>
        <v>3.7609036574120019E-3</v>
      </c>
      <c r="N31" s="52">
        <f t="shared" si="5"/>
        <v>3875072</v>
      </c>
      <c r="O31" s="11">
        <v>16</v>
      </c>
      <c r="P31" s="12">
        <v>90541792</v>
      </c>
      <c r="Q31" s="12">
        <v>2829431</v>
      </c>
      <c r="R31" s="12">
        <v>41460.6875</v>
      </c>
      <c r="S31" s="13">
        <v>5287000</v>
      </c>
      <c r="T31" s="13">
        <v>2708872</v>
      </c>
      <c r="U31" s="13">
        <v>1166200</v>
      </c>
      <c r="V31" s="13">
        <v>1411928</v>
      </c>
      <c r="W31" s="14">
        <v>75.252650000000003</v>
      </c>
      <c r="X31" s="14">
        <v>77.584663000000006</v>
      </c>
      <c r="Y31" s="14">
        <v>35.168300000000002</v>
      </c>
      <c r="Z31" s="14">
        <v>42.577666000000001</v>
      </c>
      <c r="AA31" s="14">
        <v>44.702897</v>
      </c>
      <c r="AB31" s="15">
        <v>4444.84</v>
      </c>
      <c r="AC31" s="15">
        <v>23155.200000000001</v>
      </c>
      <c r="AD31" s="15">
        <v>274.03800000000001</v>
      </c>
      <c r="AE31" s="15">
        <v>104.39</v>
      </c>
      <c r="AG31" s="10">
        <f t="shared" si="6"/>
        <v>7.3090349999999997</v>
      </c>
      <c r="AH31" s="11">
        <f t="shared" si="7"/>
        <v>2.076674464129603E-2</v>
      </c>
      <c r="AI31" s="11">
        <f t="shared" si="8"/>
        <v>9.1306931361411943E-3</v>
      </c>
      <c r="AJ31" s="11">
        <f t="shared" si="9"/>
        <v>7.948824830679652E-3</v>
      </c>
      <c r="AK31" s="11">
        <f t="shared" si="10"/>
        <v>9.7816396686827584E-3</v>
      </c>
      <c r="AL31" s="52">
        <f t="shared" si="11"/>
        <v>3427868</v>
      </c>
      <c r="AM31" s="11">
        <v>16</v>
      </c>
      <c r="AN31" s="12">
        <v>122199448</v>
      </c>
      <c r="AO31" s="12">
        <v>3818732.75</v>
      </c>
      <c r="AP31" s="12">
        <v>93030.65625</v>
      </c>
      <c r="AQ31" s="13">
        <v>7796304</v>
      </c>
      <c r="AR31" s="13">
        <v>2984168</v>
      </c>
      <c r="AS31" s="13">
        <v>443700</v>
      </c>
      <c r="AT31" s="13">
        <v>3672248</v>
      </c>
      <c r="AU31" s="14">
        <v>73.855697000000006</v>
      </c>
      <c r="AV31" s="14">
        <v>75.518333999999996</v>
      </c>
      <c r="AW31" s="14">
        <v>34.401640999999998</v>
      </c>
      <c r="AX31" s="14">
        <v>41.844641000000003</v>
      </c>
      <c r="AY31" s="14">
        <v>43.489322000000001</v>
      </c>
      <c r="AZ31" s="15">
        <v>3776.88</v>
      </c>
      <c r="BA31" s="15">
        <v>29443.9</v>
      </c>
      <c r="BB31" s="15">
        <v>320.79399999999998</v>
      </c>
      <c r="BC31" s="15">
        <v>79.680999999999997</v>
      </c>
      <c r="BE31" s="50">
        <f t="shared" si="12"/>
        <v>0.88459466043469637</v>
      </c>
      <c r="BF31" s="16">
        <f t="shared" si="13"/>
        <v>9.708290872878925E-3</v>
      </c>
      <c r="BG31" s="16">
        <f t="shared" si="14"/>
        <v>-0.29326484976666545</v>
      </c>
      <c r="BH31" s="16"/>
      <c r="BJ31" s="50"/>
      <c r="BK31" s="50"/>
      <c r="BL31" s="50"/>
      <c r="BM31" s="50"/>
      <c r="BN31" s="50"/>
      <c r="BP31" s="50"/>
      <c r="BQ31" s="50"/>
      <c r="BR31" s="50"/>
      <c r="BS31" s="50"/>
      <c r="BT31" s="50"/>
      <c r="BV31" s="58">
        <f t="shared" si="16"/>
        <v>31657656</v>
      </c>
      <c r="BW31" s="58">
        <f t="shared" si="16"/>
        <v>989301.75</v>
      </c>
      <c r="BX31" s="58">
        <f t="shared" si="16"/>
        <v>51569.96875</v>
      </c>
      <c r="BY31" s="58">
        <f t="shared" si="16"/>
        <v>2509304</v>
      </c>
      <c r="BZ31" s="58">
        <f t="shared" si="16"/>
        <v>275296</v>
      </c>
      <c r="CA31" s="58">
        <f t="shared" si="16"/>
        <v>-722500</v>
      </c>
      <c r="CB31" s="58">
        <f t="shared" si="16"/>
        <v>2260320</v>
      </c>
      <c r="CC31" s="58">
        <f t="shared" si="16"/>
        <v>-1.3969529999999963</v>
      </c>
      <c r="CD31" s="58">
        <f t="shared" si="16"/>
        <v>-2.0663290000000103</v>
      </c>
      <c r="CE31" s="58">
        <f t="shared" si="16"/>
        <v>-0.7666590000000042</v>
      </c>
      <c r="CF31" s="58">
        <f t="shared" si="16"/>
        <v>-0.73302499999999782</v>
      </c>
      <c r="CG31" s="58">
        <f t="shared" si="16"/>
        <v>-1.2135749999999987</v>
      </c>
      <c r="CJ31" t="s">
        <v>588</v>
      </c>
    </row>
    <row r="32" spans="1:88" outlineLevel="1" x14ac:dyDescent="0.2">
      <c r="A32" s="17"/>
      <c r="B32" s="17" t="s">
        <v>77</v>
      </c>
      <c r="C32" s="18" t="s">
        <v>235</v>
      </c>
      <c r="D32" s="17">
        <v>375422539</v>
      </c>
      <c r="E32" s="18">
        <v>11</v>
      </c>
      <c r="F32" s="18">
        <v>32</v>
      </c>
      <c r="G32" s="18">
        <v>30</v>
      </c>
      <c r="I32" s="19">
        <f t="shared" si="0"/>
        <v>7.1605800000000004</v>
      </c>
      <c r="J32" s="20">
        <f t="shared" si="1"/>
        <v>2.0344947909480736E-2</v>
      </c>
      <c r="K32" s="20">
        <f t="shared" si="2"/>
        <v>1.3213229054422862E-2</v>
      </c>
      <c r="L32" s="20">
        <f t="shared" si="3"/>
        <v>1.0106862550412829E-2</v>
      </c>
      <c r="M32" s="20">
        <f t="shared" si="4"/>
        <v>7.1317188550578739E-3</v>
      </c>
      <c r="N32" s="17">
        <f t="shared" si="5"/>
        <v>4960544</v>
      </c>
      <c r="O32" s="20">
        <v>16</v>
      </c>
      <c r="P32" s="21">
        <v>91787366</v>
      </c>
      <c r="Q32" s="21">
        <v>2868355.1875</v>
      </c>
      <c r="R32" s="21">
        <v>44534.90625</v>
      </c>
      <c r="S32" s="22">
        <v>7637952</v>
      </c>
      <c r="T32" s="22">
        <v>3794344</v>
      </c>
      <c r="U32" s="22">
        <v>1166200</v>
      </c>
      <c r="V32" s="22">
        <v>2677408</v>
      </c>
      <c r="W32" s="23">
        <v>76.469399999999993</v>
      </c>
      <c r="X32" s="23">
        <v>79.114191000000005</v>
      </c>
      <c r="Y32" s="23">
        <v>36.951524999999997</v>
      </c>
      <c r="Z32" s="23">
        <v>43.104759000000001</v>
      </c>
      <c r="AA32" s="23">
        <v>45.735422</v>
      </c>
      <c r="AB32" s="24">
        <v>4380.97</v>
      </c>
      <c r="AC32" s="24">
        <v>23571.7</v>
      </c>
      <c r="AD32" s="24">
        <v>272.99400000000003</v>
      </c>
      <c r="AE32" s="24">
        <v>105.072</v>
      </c>
      <c r="AG32" s="19">
        <f t="shared" si="6"/>
        <v>10.518262500000001</v>
      </c>
      <c r="AH32" s="20">
        <f t="shared" si="7"/>
        <v>2.9884939859724298E-2</v>
      </c>
      <c r="AI32" s="20">
        <f t="shared" si="8"/>
        <v>1.2943314519536613E-2</v>
      </c>
      <c r="AJ32" s="20">
        <f t="shared" si="9"/>
        <v>1.1407136106977318E-2</v>
      </c>
      <c r="AK32" s="20">
        <f t="shared" si="10"/>
        <v>1.5441523610813362E-2</v>
      </c>
      <c r="AL32" s="17">
        <f t="shared" si="11"/>
        <v>4859212</v>
      </c>
      <c r="AM32" s="20">
        <v>16</v>
      </c>
      <c r="AN32" s="21">
        <v>108157286</v>
      </c>
      <c r="AO32" s="21">
        <v>3379915.1875</v>
      </c>
      <c r="AP32" s="21">
        <v>93129.6875</v>
      </c>
      <c r="AQ32" s="22">
        <v>11219480</v>
      </c>
      <c r="AR32" s="22">
        <v>4282496</v>
      </c>
      <c r="AS32" s="22">
        <v>576716</v>
      </c>
      <c r="AT32" s="22">
        <v>5797096</v>
      </c>
      <c r="AU32" s="23">
        <v>75.278541000000004</v>
      </c>
      <c r="AV32" s="23">
        <v>77.383540999999994</v>
      </c>
      <c r="AW32" s="23">
        <v>36.416797000000003</v>
      </c>
      <c r="AX32" s="23">
        <v>42.655465999999997</v>
      </c>
      <c r="AY32" s="23">
        <v>44.870880999999997</v>
      </c>
      <c r="AZ32" s="24">
        <v>4310.09</v>
      </c>
      <c r="BA32" s="24">
        <v>39139.9</v>
      </c>
      <c r="BB32" s="24">
        <v>322.38299999999998</v>
      </c>
      <c r="BC32" s="24">
        <v>107.218</v>
      </c>
      <c r="BE32" s="49">
        <f t="shared" si="12"/>
        <v>0.97957240173658378</v>
      </c>
      <c r="BF32" s="25">
        <f t="shared" si="13"/>
        <v>1.2027566239798747E-2</v>
      </c>
      <c r="BG32" s="25">
        <f t="shared" si="14"/>
        <v>-0.21635503886369201</v>
      </c>
      <c r="BH32" s="25"/>
      <c r="BJ32" s="49"/>
      <c r="BK32" s="49"/>
      <c r="BL32" s="49"/>
      <c r="BM32" s="49"/>
      <c r="BN32" s="49"/>
      <c r="BP32" s="49"/>
      <c r="BQ32" s="49"/>
      <c r="BR32" s="49"/>
      <c r="BS32" s="49"/>
      <c r="BT32" s="49"/>
      <c r="BV32" s="58">
        <f t="shared" si="16"/>
        <v>16369920</v>
      </c>
      <c r="BW32" s="58">
        <f t="shared" si="16"/>
        <v>511560</v>
      </c>
      <c r="BX32" s="58">
        <f t="shared" si="16"/>
        <v>48594.78125</v>
      </c>
      <c r="BY32" s="58">
        <f t="shared" si="16"/>
        <v>3581528</v>
      </c>
      <c r="BZ32" s="58">
        <f t="shared" si="16"/>
        <v>488152</v>
      </c>
      <c r="CA32" s="58">
        <f t="shared" si="16"/>
        <v>-589484</v>
      </c>
      <c r="CB32" s="58">
        <f t="shared" si="16"/>
        <v>3119688</v>
      </c>
      <c r="CC32" s="58">
        <f t="shared" si="16"/>
        <v>-1.190858999999989</v>
      </c>
      <c r="CD32" s="58">
        <f t="shared" si="16"/>
        <v>-1.7306500000000113</v>
      </c>
      <c r="CE32" s="58">
        <f t="shared" si="16"/>
        <v>-0.5347279999999941</v>
      </c>
      <c r="CF32" s="58">
        <f t="shared" si="16"/>
        <v>-0.44929300000000438</v>
      </c>
      <c r="CG32" s="58">
        <f t="shared" si="16"/>
        <v>-0.86454100000000267</v>
      </c>
      <c r="CJ32" t="s">
        <v>588</v>
      </c>
    </row>
    <row r="33" spans="1:88" outlineLevel="1" x14ac:dyDescent="0.2">
      <c r="A33" s="52"/>
      <c r="B33" s="52" t="s">
        <v>77</v>
      </c>
      <c r="C33" s="9" t="s">
        <v>236</v>
      </c>
      <c r="D33" s="52">
        <v>375422539</v>
      </c>
      <c r="E33" s="9">
        <v>11</v>
      </c>
      <c r="F33" s="9">
        <v>32</v>
      </c>
      <c r="G33" s="9">
        <v>30</v>
      </c>
      <c r="I33" s="10">
        <f t="shared" si="0"/>
        <v>11.997142500000001</v>
      </c>
      <c r="J33" s="11">
        <f t="shared" si="1"/>
        <v>3.4086797329981301E-2</v>
      </c>
      <c r="K33" s="11">
        <f t="shared" si="2"/>
        <v>1.8543265991816223E-2</v>
      </c>
      <c r="L33" s="11">
        <f t="shared" si="3"/>
        <v>1.5436899487806192E-2</v>
      </c>
      <c r="M33" s="11">
        <f t="shared" si="4"/>
        <v>1.5543531338165075E-2</v>
      </c>
      <c r="N33" s="52">
        <f t="shared" si="5"/>
        <v>6961560</v>
      </c>
      <c r="O33" s="11">
        <v>16</v>
      </c>
      <c r="P33" s="12">
        <v>94114766</v>
      </c>
      <c r="Q33" s="12">
        <v>2941086.4375</v>
      </c>
      <c r="R33" s="12">
        <v>49715.25</v>
      </c>
      <c r="S33" s="13">
        <v>12796952</v>
      </c>
      <c r="T33" s="13">
        <v>5795360</v>
      </c>
      <c r="U33" s="13">
        <v>1166200</v>
      </c>
      <c r="V33" s="13">
        <v>5835392</v>
      </c>
      <c r="W33" s="14">
        <v>77.566353000000007</v>
      </c>
      <c r="X33" s="14">
        <v>80.266603000000003</v>
      </c>
      <c r="Y33" s="14">
        <v>38.717027999999999</v>
      </c>
      <c r="Z33" s="14">
        <v>43.694291</v>
      </c>
      <c r="AA33" s="14">
        <v>47.348472000000001</v>
      </c>
      <c r="AB33" s="15">
        <v>4336.6899999999996</v>
      </c>
      <c r="AC33" s="15">
        <v>20323</v>
      </c>
      <c r="AD33" s="15">
        <v>258.65499999999997</v>
      </c>
      <c r="AE33" s="15">
        <v>83.308999999999997</v>
      </c>
      <c r="AG33" s="10">
        <f t="shared" si="6"/>
        <v>16.7150775</v>
      </c>
      <c r="AH33" s="11">
        <f t="shared" si="7"/>
        <v>4.7491597194701196E-2</v>
      </c>
      <c r="AI33" s="11">
        <f t="shared" si="8"/>
        <v>1.9441635069225291E-2</v>
      </c>
      <c r="AJ33" s="11">
        <f t="shared" si="9"/>
        <v>1.7219594799021909E-2</v>
      </c>
      <c r="AK33" s="11">
        <f t="shared" si="10"/>
        <v>2.7235700944423052E-2</v>
      </c>
      <c r="AL33" s="52">
        <f t="shared" si="11"/>
        <v>7298828</v>
      </c>
      <c r="AM33" s="11">
        <v>16</v>
      </c>
      <c r="AN33" s="12">
        <v>97103812</v>
      </c>
      <c r="AO33" s="12">
        <v>3034494.125</v>
      </c>
      <c r="AP33" s="12">
        <v>88259.46875</v>
      </c>
      <c r="AQ33" s="13">
        <v>17829416</v>
      </c>
      <c r="AR33" s="13">
        <v>6464624</v>
      </c>
      <c r="AS33" s="13">
        <v>834204</v>
      </c>
      <c r="AT33" s="13">
        <v>10224896</v>
      </c>
      <c r="AU33" s="14">
        <v>76.797959000000006</v>
      </c>
      <c r="AV33" s="14">
        <v>79.400374999999997</v>
      </c>
      <c r="AW33" s="14">
        <v>38.264291</v>
      </c>
      <c r="AX33" s="14">
        <v>43.293790999999999</v>
      </c>
      <c r="AY33" s="14">
        <v>46.375433999999998</v>
      </c>
      <c r="AZ33" s="15">
        <v>3822.71</v>
      </c>
      <c r="BA33" s="15">
        <v>32315.4</v>
      </c>
      <c r="BB33" s="15">
        <v>275.31599999999997</v>
      </c>
      <c r="BC33" s="15">
        <v>89.808999999999997</v>
      </c>
      <c r="BE33" s="50">
        <f t="shared" si="12"/>
        <v>1.048447187124725</v>
      </c>
      <c r="BF33" s="16">
        <f t="shared" si="13"/>
        <v>1.218169535739937E-2</v>
      </c>
      <c r="BG33" s="16">
        <f t="shared" si="14"/>
        <v>-0.13463141690297864</v>
      </c>
      <c r="BH33" s="16"/>
      <c r="BJ33" s="50"/>
      <c r="BK33" s="50"/>
      <c r="BL33" s="50"/>
      <c r="BM33" s="50"/>
      <c r="BN33" s="50"/>
      <c r="BP33" s="50"/>
      <c r="BQ33" s="50"/>
      <c r="BR33" s="50"/>
      <c r="BS33" s="50"/>
      <c r="BT33" s="50"/>
      <c r="BV33" s="58">
        <f t="shared" si="16"/>
        <v>2989046</v>
      </c>
      <c r="BW33" s="58">
        <f t="shared" si="16"/>
        <v>93407.6875</v>
      </c>
      <c r="BX33" s="58">
        <f t="shared" si="16"/>
        <v>38544.21875</v>
      </c>
      <c r="BY33" s="58">
        <f t="shared" si="16"/>
        <v>5032464</v>
      </c>
      <c r="BZ33" s="58">
        <f t="shared" si="16"/>
        <v>669264</v>
      </c>
      <c r="CA33" s="58">
        <f t="shared" si="16"/>
        <v>-331996</v>
      </c>
      <c r="CB33" s="58">
        <f t="shared" si="16"/>
        <v>4389504</v>
      </c>
      <c r="CC33" s="58">
        <f t="shared" si="16"/>
        <v>-0.76839400000000069</v>
      </c>
      <c r="CD33" s="58">
        <f t="shared" si="16"/>
        <v>-0.86622800000000666</v>
      </c>
      <c r="CE33" s="58">
        <f t="shared" si="16"/>
        <v>-0.45273699999999906</v>
      </c>
      <c r="CF33" s="58">
        <f t="shared" si="16"/>
        <v>-0.40050000000000097</v>
      </c>
      <c r="CG33" s="58">
        <f t="shared" si="16"/>
        <v>-0.97303800000000251</v>
      </c>
      <c r="CJ33" t="s">
        <v>588</v>
      </c>
    </row>
    <row r="34" spans="1:88" ht="16" outlineLevel="1" thickBot="1" x14ac:dyDescent="0.25">
      <c r="A34" s="17"/>
      <c r="B34" s="36" t="s">
        <v>77</v>
      </c>
      <c r="C34" s="37" t="s">
        <v>237</v>
      </c>
      <c r="D34" s="36">
        <v>375422539</v>
      </c>
      <c r="E34" s="37">
        <v>11</v>
      </c>
      <c r="F34" s="37">
        <v>32</v>
      </c>
      <c r="G34" s="37">
        <v>30</v>
      </c>
      <c r="I34" s="38">
        <f t="shared" si="0"/>
        <v>24.630690000000001</v>
      </c>
      <c r="J34" s="39">
        <f t="shared" si="1"/>
        <v>6.9981775921024281E-2</v>
      </c>
      <c r="K34" s="39">
        <f t="shared" si="2"/>
        <v>3.0977404902160124E-2</v>
      </c>
      <c r="L34" s="39">
        <f t="shared" si="3"/>
        <v>2.459758549552615E-2</v>
      </c>
      <c r="M34" s="39">
        <f t="shared" si="4"/>
        <v>3.9004371018864163E-2</v>
      </c>
      <c r="N34" s="36">
        <f t="shared" si="5"/>
        <v>11629616</v>
      </c>
      <c r="O34" s="39">
        <v>16</v>
      </c>
      <c r="P34" s="40">
        <v>92205535</v>
      </c>
      <c r="Q34" s="40">
        <v>2881422.96875</v>
      </c>
      <c r="R34" s="40">
        <v>21180.46875</v>
      </c>
      <c r="S34" s="41">
        <v>26272736</v>
      </c>
      <c r="T34" s="41">
        <v>9234488</v>
      </c>
      <c r="U34" s="41">
        <v>2395128</v>
      </c>
      <c r="V34" s="41">
        <v>14643120</v>
      </c>
      <c r="W34" s="42">
        <v>78.500297000000003</v>
      </c>
      <c r="X34" s="42">
        <v>81.895680999999996</v>
      </c>
      <c r="Y34" s="42">
        <v>40.507772000000003</v>
      </c>
      <c r="Z34" s="42">
        <v>44.376384000000002</v>
      </c>
      <c r="AA34" s="42">
        <v>48.811852999999999</v>
      </c>
      <c r="AB34" s="43">
        <v>4487.8999999999996</v>
      </c>
      <c r="AC34" s="43">
        <v>27290.400000000001</v>
      </c>
      <c r="AD34" s="43">
        <v>280.37</v>
      </c>
      <c r="AE34" s="43">
        <v>122.88800000000001</v>
      </c>
      <c r="AG34" s="38">
        <f t="shared" si="6"/>
        <v>35.905455000000003</v>
      </c>
      <c r="AH34" s="39">
        <f t="shared" si="7"/>
        <v>0.10201612322482322</v>
      </c>
      <c r="AI34" s="39">
        <f t="shared" si="8"/>
        <v>3.2924043486904232E-2</v>
      </c>
      <c r="AJ34" s="39">
        <f t="shared" si="9"/>
        <v>2.7310134408312654E-2</v>
      </c>
      <c r="AK34" s="39">
        <f t="shared" si="10"/>
        <v>6.8410170759619734E-2</v>
      </c>
      <c r="AL34" s="36">
        <f t="shared" si="11"/>
        <v>12360428</v>
      </c>
      <c r="AM34" s="39">
        <v>16</v>
      </c>
      <c r="AN34" s="40">
        <v>90642271</v>
      </c>
      <c r="AO34" s="40">
        <v>2832570.96875</v>
      </c>
      <c r="AP34" s="40">
        <v>37450.21875</v>
      </c>
      <c r="AQ34" s="41">
        <v>38299152</v>
      </c>
      <c r="AR34" s="41">
        <v>10252840</v>
      </c>
      <c r="AS34" s="41">
        <v>2107588</v>
      </c>
      <c r="AT34" s="41">
        <v>25682720</v>
      </c>
      <c r="AU34" s="42">
        <v>77.574343999999996</v>
      </c>
      <c r="AV34" s="42">
        <v>81.183565999999999</v>
      </c>
      <c r="AW34" s="42">
        <v>40.115081000000004</v>
      </c>
      <c r="AX34" s="42">
        <v>44.017105999999998</v>
      </c>
      <c r="AY34" s="42">
        <v>48.023640999999998</v>
      </c>
      <c r="AZ34" s="43">
        <v>3707.78</v>
      </c>
      <c r="BA34" s="43">
        <v>33481.9</v>
      </c>
      <c r="BB34" s="43">
        <v>243.709</v>
      </c>
      <c r="BC34" s="43">
        <v>89.379000000000005</v>
      </c>
      <c r="BE34" s="44">
        <f t="shared" si="12"/>
        <v>1.0628405959405709</v>
      </c>
      <c r="BF34" s="45">
        <f t="shared" si="13"/>
        <v>5.8705841654282621E-3</v>
      </c>
      <c r="BG34" s="45">
        <f t="shared" si="14"/>
        <v>-0.119915871625976</v>
      </c>
      <c r="BH34" s="45"/>
      <c r="BJ34" s="44"/>
      <c r="BK34" s="44"/>
      <c r="BL34" s="44"/>
      <c r="BM34" s="44"/>
      <c r="BN34" s="44"/>
      <c r="BP34" s="44"/>
      <c r="BQ34" s="44"/>
      <c r="BR34" s="44"/>
      <c r="BS34" s="44"/>
      <c r="BT34" s="44"/>
      <c r="BV34" s="58">
        <f t="shared" si="16"/>
        <v>-1563264</v>
      </c>
      <c r="BW34" s="58">
        <f t="shared" si="16"/>
        <v>-48852</v>
      </c>
      <c r="BX34" s="58">
        <f t="shared" si="16"/>
        <v>16269.75</v>
      </c>
      <c r="BY34" s="58">
        <f t="shared" si="16"/>
        <v>12026416</v>
      </c>
      <c r="BZ34" s="58">
        <f t="shared" si="16"/>
        <v>1018352</v>
      </c>
      <c r="CA34" s="58">
        <f t="shared" si="16"/>
        <v>-287540</v>
      </c>
      <c r="CB34" s="58">
        <f t="shared" si="16"/>
        <v>11039600</v>
      </c>
      <c r="CC34" s="58">
        <f t="shared" si="16"/>
        <v>-0.92595300000000691</v>
      </c>
      <c r="CD34" s="58">
        <f t="shared" si="16"/>
        <v>-0.71211499999999717</v>
      </c>
      <c r="CE34" s="58">
        <f t="shared" si="16"/>
        <v>-0.39269099999999924</v>
      </c>
      <c r="CF34" s="58">
        <f t="shared" si="16"/>
        <v>-0.35927800000000332</v>
      </c>
      <c r="CG34" s="58">
        <f t="shared" si="16"/>
        <v>-0.78821200000000147</v>
      </c>
      <c r="CJ34" t="s">
        <v>588</v>
      </c>
    </row>
    <row r="35" spans="1:88" x14ac:dyDescent="0.2">
      <c r="A35" s="52"/>
      <c r="B35" s="52" t="s">
        <v>82</v>
      </c>
      <c r="C35" s="9" t="s">
        <v>232</v>
      </c>
      <c r="D35" s="52">
        <v>333190689</v>
      </c>
      <c r="E35" s="9">
        <v>11</v>
      </c>
      <c r="F35" s="9">
        <v>32</v>
      </c>
      <c r="G35" s="9">
        <v>30</v>
      </c>
      <c r="I35" s="10">
        <f t="shared" si="0"/>
        <v>4.6538174999999997</v>
      </c>
      <c r="J35" s="11">
        <f t="shared" si="1"/>
        <v>1.4898591598998734E-2</v>
      </c>
      <c r="K35" s="11">
        <f t="shared" si="2"/>
        <v>1.1175390318305084E-2</v>
      </c>
      <c r="L35" s="11">
        <f t="shared" si="3"/>
        <v>7.155662143968255E-3</v>
      </c>
      <c r="M35" s="11">
        <f t="shared" si="4"/>
        <v>3.7232012806936512E-3</v>
      </c>
      <c r="N35" s="52">
        <f t="shared" si="5"/>
        <v>3723536</v>
      </c>
      <c r="O35" s="11">
        <v>16</v>
      </c>
      <c r="P35" s="12">
        <v>74793925</v>
      </c>
      <c r="Q35" s="12">
        <v>2337310.15625</v>
      </c>
      <c r="R35" s="12">
        <v>30824.78125</v>
      </c>
      <c r="S35" s="13">
        <v>4964072</v>
      </c>
      <c r="T35" s="13">
        <v>2384200</v>
      </c>
      <c r="U35" s="13">
        <v>1339336</v>
      </c>
      <c r="V35" s="13">
        <v>1240536</v>
      </c>
      <c r="W35" s="14">
        <v>73.186065999999997</v>
      </c>
      <c r="X35" s="14">
        <v>75.395090999999994</v>
      </c>
      <c r="Y35" s="14">
        <v>31.779947</v>
      </c>
      <c r="Z35" s="14">
        <v>42.169849999999997</v>
      </c>
      <c r="AA35" s="14">
        <v>43.305712</v>
      </c>
      <c r="AB35" s="15">
        <v>3769.29</v>
      </c>
      <c r="AC35" s="15">
        <v>19235.7</v>
      </c>
      <c r="AD35" s="15">
        <v>206.47499999999999</v>
      </c>
      <c r="AE35" s="15">
        <v>83.474999999999994</v>
      </c>
      <c r="AG35" s="10">
        <f t="shared" si="6"/>
        <v>6.8004524999999996</v>
      </c>
      <c r="AH35" s="11">
        <f t="shared" si="7"/>
        <v>2.1770764428534196E-2</v>
      </c>
      <c r="AI35" s="11">
        <f t="shared" si="8"/>
        <v>9.3759732883772155E-3</v>
      </c>
      <c r="AJ35" s="11">
        <f t="shared" si="9"/>
        <v>8.063610685111312E-3</v>
      </c>
      <c r="AK35" s="11">
        <f t="shared" si="10"/>
        <v>9.7776081611932446E-3</v>
      </c>
      <c r="AL35" s="52">
        <f t="shared" si="11"/>
        <v>3123987</v>
      </c>
      <c r="AM35" s="11">
        <v>16</v>
      </c>
      <c r="AN35" s="12">
        <v>114803766</v>
      </c>
      <c r="AO35" s="12">
        <v>3587617.6875</v>
      </c>
      <c r="AP35" s="12">
        <v>91849.09375</v>
      </c>
      <c r="AQ35" s="13">
        <v>7253816</v>
      </c>
      <c r="AR35" s="13">
        <v>2686720</v>
      </c>
      <c r="AS35" s="13">
        <v>437267</v>
      </c>
      <c r="AT35" s="13">
        <v>3257808</v>
      </c>
      <c r="AU35" s="14">
        <v>72.469159000000005</v>
      </c>
      <c r="AV35" s="14">
        <v>73.866033999999999</v>
      </c>
      <c r="AW35" s="14">
        <v>30.572199999999999</v>
      </c>
      <c r="AX35" s="14">
        <v>41.030137000000003</v>
      </c>
      <c r="AY35" s="14">
        <v>41.775153000000003</v>
      </c>
      <c r="AZ35" s="15">
        <v>3391.41</v>
      </c>
      <c r="BA35" s="15">
        <v>33317</v>
      </c>
      <c r="BB35" s="15">
        <v>311.858</v>
      </c>
      <c r="BC35" s="15">
        <v>81.238</v>
      </c>
      <c r="BE35" s="50">
        <f t="shared" si="12"/>
        <v>0.83898396577876511</v>
      </c>
      <c r="BF35" s="16">
        <f t="shared" si="13"/>
        <v>1.2413551694348464E-2</v>
      </c>
      <c r="BG35" s="16">
        <f t="shared" si="14"/>
        <v>-0.31942901900021425</v>
      </c>
      <c r="BH35" s="16">
        <f t="array" ref="BH35">AVERAGE(AL35:AL39/AQ35:AQ39) - AVERAGE(N35:N39/S35:S39)</f>
        <v>-0.20593834922203402</v>
      </c>
      <c r="BJ35" s="50">
        <f>IF( OR(ISBLANK(N35:N39),ISBLANK(AL35:AL39), ISBLANK(W35:W39),ISBLANK(AU35:AU39)), "·", bdRateExtend( N35:N39,W35:W39, AL35:AL39,AU35:AU39))</f>
        <v>0.27061196990044145</v>
      </c>
      <c r="BK35" s="50">
        <f>IF( OR(ISBLANK(N35:N39),ISBLANK(AL35:AL39), ISBLANK(X35:X39),ISBLANK(AV35:AV39)), "·", bdRateExtend( N35:N39,X35:X39, AL35:AL39,AV35:AV39))</f>
        <v>0.34394191402217866</v>
      </c>
      <c r="BL35" s="50">
        <f>IF( OR(ISBLANK(V35:V39),ISBLANK(AT35:AT39), ISBLANK(Y35:Y39),ISBLANK(AW35:AW39)), "·", bdRateExtend( V35:V39,Y35:Y39, AT35:AT39,AW35:AW39))</f>
        <v>1.497145268937488</v>
      </c>
      <c r="BM35" s="50">
        <f>IF( OR(ISBLANK(V35:V39),ISBLANK(AT35:AT39), ISBLANK(Z35:Z39),ISBLANK(AX35:AX39)), "·", bdRateExtend( V35:V39,Z35:Z39, AT35:AT39,AX35:AX39))</f>
        <v>2.1622327865458657</v>
      </c>
      <c r="BN35" s="50">
        <f>IF( OR(ISBLANK(V35:V39),ISBLANK(AT35:AT39), ISBLANK(AA35:AA39),ISBLANK(AY35:AY39)), "·", bdRateExtend( V35:V39,AA35:AA39, AT35:AT39,AY35:AY39))</f>
        <v>2.1346600068545443</v>
      </c>
      <c r="BP35" s="50">
        <f>IF( OR(ISBLANK(S35:S39),ISBLANK(AQ35:AQ39), ISBLANK(W35:W39),ISBLANK(AU35:AU39)), "·", bdRateExtend( S35:S39,W35:W39, AQ35:AQ39,AU35:AU39))</f>
        <v>1.0875396606802763</v>
      </c>
      <c r="BQ35" s="50">
        <f>IF( OR(ISBLANK(S35:S39),ISBLANK(AQ35:AQ39), ISBLANK(X35:X39),ISBLANK(AV35:AV39)), "·", bdRateExtend( S35:S39,X35:X39, AQ35:AQ39,AV35:AV39))</f>
        <v>1.1846661202854118</v>
      </c>
      <c r="BR35" s="50">
        <f>IF( OR(ISBLANK(S35:S39),ISBLANK(AQ35:AQ39), ISBLANK(Y35:Y39),ISBLANK(AW35:AW39)), "·", bdRateExtend( S35:S39,Y35:Y39, AQ35:AQ39,AW35:AW39))</f>
        <v>0.67257719365753355</v>
      </c>
      <c r="BS35" s="50">
        <f>IF( OR(ISBLANK(S35:S39),ISBLANK(AQ35:AQ39), ISBLANK(Z35:Z39),ISBLANK(AX35:AX39)), "·", bdRateExtend( S35:S39,Z35:Z39, AQ35:AQ39,AX35:AX39))</f>
        <v>1.0127265299125954</v>
      </c>
      <c r="BT35" s="50">
        <f>IF( OR(ISBLANK(S35:S39),ISBLANK(AQ35:AQ39), ISBLANK(AA35:AA39),ISBLANK(AY35:AY39)), "·", bdRateExtend( S35:S39,AA35:AA39, AQ35:AQ39,AY35:AY39))</f>
        <v>0.97407770291666118</v>
      </c>
      <c r="BV35" s="58">
        <f t="shared" si="16"/>
        <v>40009841</v>
      </c>
      <c r="BW35" s="58">
        <f t="shared" si="16"/>
        <v>1250307.53125</v>
      </c>
      <c r="BX35" s="58">
        <f t="shared" si="16"/>
        <v>61024.3125</v>
      </c>
      <c r="BY35" s="58">
        <f t="shared" si="16"/>
        <v>2289744</v>
      </c>
      <c r="BZ35" s="58">
        <f t="shared" si="16"/>
        <v>302520</v>
      </c>
      <c r="CA35" s="58">
        <f t="shared" si="16"/>
        <v>-902069</v>
      </c>
      <c r="CB35" s="58">
        <f t="shared" si="16"/>
        <v>2017272</v>
      </c>
      <c r="CC35" s="58">
        <f t="shared" si="16"/>
        <v>-0.71690699999999197</v>
      </c>
      <c r="CD35" s="58">
        <f t="shared" si="16"/>
        <v>-1.5290569999999946</v>
      </c>
      <c r="CE35" s="58">
        <f t="shared" si="16"/>
        <v>-1.2077470000000012</v>
      </c>
      <c r="CF35" s="58">
        <f t="shared" si="16"/>
        <v>-1.1397129999999933</v>
      </c>
      <c r="CG35" s="58">
        <f t="shared" si="16"/>
        <v>-1.5305589999999967</v>
      </c>
      <c r="CJ35" t="s">
        <v>589</v>
      </c>
    </row>
    <row r="36" spans="1:88" outlineLevel="1" x14ac:dyDescent="0.2">
      <c r="A36" s="17"/>
      <c r="B36" s="17" t="s">
        <v>82</v>
      </c>
      <c r="C36" s="18" t="s">
        <v>234</v>
      </c>
      <c r="D36" s="17">
        <v>333190689</v>
      </c>
      <c r="E36" s="18">
        <v>11</v>
      </c>
      <c r="F36" s="18">
        <v>32</v>
      </c>
      <c r="G36" s="18">
        <v>30</v>
      </c>
      <c r="I36" s="19">
        <f t="shared" si="0"/>
        <v>6.2390774999999996</v>
      </c>
      <c r="J36" s="20">
        <f t="shared" si="1"/>
        <v>1.9973595360583442E-2</v>
      </c>
      <c r="K36" s="20">
        <f t="shared" si="2"/>
        <v>1.3755462416298193E-2</v>
      </c>
      <c r="L36" s="20">
        <f t="shared" si="3"/>
        <v>9.7357342419613652E-3</v>
      </c>
      <c r="M36" s="20">
        <f t="shared" si="4"/>
        <v>6.2181329442852467E-3</v>
      </c>
      <c r="N36" s="17">
        <f t="shared" si="5"/>
        <v>4583192</v>
      </c>
      <c r="O36" s="20">
        <v>16</v>
      </c>
      <c r="P36" s="21">
        <v>79976742</v>
      </c>
      <c r="Q36" s="21">
        <v>2499273.1875</v>
      </c>
      <c r="R36" s="21">
        <v>39105.5</v>
      </c>
      <c r="S36" s="22">
        <v>6655016</v>
      </c>
      <c r="T36" s="22">
        <v>3243856</v>
      </c>
      <c r="U36" s="22">
        <v>1339336</v>
      </c>
      <c r="V36" s="22">
        <v>2071824</v>
      </c>
      <c r="W36" s="23">
        <v>74.938500000000005</v>
      </c>
      <c r="X36" s="23">
        <v>77.355886999999996</v>
      </c>
      <c r="Y36" s="23">
        <v>34.034599999999998</v>
      </c>
      <c r="Z36" s="23">
        <v>42.972333999999996</v>
      </c>
      <c r="AA36" s="23">
        <v>44.820352999999997</v>
      </c>
      <c r="AB36" s="24">
        <v>3295.68</v>
      </c>
      <c r="AC36" s="24">
        <v>20083.599999999999</v>
      </c>
      <c r="AD36" s="24">
        <v>216.45500000000001</v>
      </c>
      <c r="AE36" s="24">
        <v>79.415999999999997</v>
      </c>
      <c r="AG36" s="19">
        <f t="shared" si="6"/>
        <v>9.3614025000000005</v>
      </c>
      <c r="AH36" s="20">
        <f t="shared" si="7"/>
        <v>2.9969312857959247E-2</v>
      </c>
      <c r="AI36" s="20">
        <f t="shared" si="8"/>
        <v>1.2611465862420903E-2</v>
      </c>
      <c r="AJ36" s="20">
        <f t="shared" si="9"/>
        <v>1.0917664028720802E-2</v>
      </c>
      <c r="AK36" s="20">
        <f t="shared" si="10"/>
        <v>1.5122103247008802E-2</v>
      </c>
      <c r="AL36" s="17">
        <f t="shared" si="11"/>
        <v>4202023</v>
      </c>
      <c r="AM36" s="20">
        <v>16</v>
      </c>
      <c r="AN36" s="21">
        <v>110728444</v>
      </c>
      <c r="AO36" s="21">
        <v>3460263.875</v>
      </c>
      <c r="AP36" s="21">
        <v>94354.34375</v>
      </c>
      <c r="AQ36" s="22">
        <v>9985496</v>
      </c>
      <c r="AR36" s="22">
        <v>3637664</v>
      </c>
      <c r="AS36" s="22">
        <v>564359</v>
      </c>
      <c r="AT36" s="22">
        <v>5038544</v>
      </c>
      <c r="AU36" s="23">
        <v>73.7042</v>
      </c>
      <c r="AV36" s="23">
        <v>75.359290999999999</v>
      </c>
      <c r="AW36" s="23">
        <v>33.164825</v>
      </c>
      <c r="AX36" s="23">
        <v>42.249197000000002</v>
      </c>
      <c r="AY36" s="23">
        <v>43.713475000000003</v>
      </c>
      <c r="AZ36" s="24">
        <v>3441.75</v>
      </c>
      <c r="BA36" s="24">
        <v>36881.300000000003</v>
      </c>
      <c r="BB36" s="24">
        <v>315.91399999999999</v>
      </c>
      <c r="BC36" s="24">
        <v>88.216999999999999</v>
      </c>
      <c r="BE36" s="49">
        <f t="shared" si="12"/>
        <v>0.91683328998654212</v>
      </c>
      <c r="BF36" s="25">
        <f t="shared" si="13"/>
        <v>1.1621213069022595E-2</v>
      </c>
      <c r="BG36" s="25">
        <f t="shared" si="14"/>
        <v>-0.26786969459686566</v>
      </c>
      <c r="BH36" s="25"/>
      <c r="BJ36" s="49"/>
      <c r="BK36" s="49"/>
      <c r="BL36" s="49"/>
      <c r="BM36" s="49"/>
      <c r="BN36" s="49"/>
      <c r="BP36" s="49"/>
      <c r="BQ36" s="49"/>
      <c r="BR36" s="49"/>
      <c r="BS36" s="49"/>
      <c r="BT36" s="49"/>
      <c r="BV36" s="58">
        <f t="shared" si="16"/>
        <v>30751702</v>
      </c>
      <c r="BW36" s="58">
        <f t="shared" si="16"/>
        <v>960990.6875</v>
      </c>
      <c r="BX36" s="58">
        <f t="shared" si="16"/>
        <v>55248.84375</v>
      </c>
      <c r="BY36" s="58">
        <f t="shared" si="16"/>
        <v>3330480</v>
      </c>
      <c r="BZ36" s="58">
        <f t="shared" si="16"/>
        <v>393808</v>
      </c>
      <c r="CA36" s="58">
        <f t="shared" si="16"/>
        <v>-774977</v>
      </c>
      <c r="CB36" s="58">
        <f t="shared" si="16"/>
        <v>2966720</v>
      </c>
      <c r="CC36" s="58">
        <f t="shared" si="16"/>
        <v>-1.2343000000000046</v>
      </c>
      <c r="CD36" s="58">
        <f t="shared" si="16"/>
        <v>-1.9965959999999967</v>
      </c>
      <c r="CE36" s="58">
        <f t="shared" si="16"/>
        <v>-0.86977499999999708</v>
      </c>
      <c r="CF36" s="58">
        <f t="shared" si="16"/>
        <v>-0.72313699999999415</v>
      </c>
      <c r="CG36" s="58">
        <f t="shared" si="16"/>
        <v>-1.1068779999999947</v>
      </c>
      <c r="CJ36" t="s">
        <v>589</v>
      </c>
    </row>
    <row r="37" spans="1:88" outlineLevel="1" x14ac:dyDescent="0.2">
      <c r="A37" s="52"/>
      <c r="B37" s="52" t="s">
        <v>82</v>
      </c>
      <c r="C37" s="9" t="s">
        <v>235</v>
      </c>
      <c r="D37" s="52">
        <v>333190689</v>
      </c>
      <c r="E37" s="9">
        <v>11</v>
      </c>
      <c r="F37" s="9">
        <v>32</v>
      </c>
      <c r="G37" s="9">
        <v>30</v>
      </c>
      <c r="I37" s="10">
        <f t="shared" si="0"/>
        <v>8.9012700000000002</v>
      </c>
      <c r="J37" s="11">
        <f t="shared" si="1"/>
        <v>2.8496258489384137E-2</v>
      </c>
      <c r="K37" s="11">
        <f t="shared" si="2"/>
        <v>1.7446345867125956E-2</v>
      </c>
      <c r="L37" s="11">
        <f t="shared" si="3"/>
        <v>1.3426617692789128E-2</v>
      </c>
      <c r="M37" s="11">
        <f t="shared" si="4"/>
        <v>1.1049912622258181E-2</v>
      </c>
      <c r="N37" s="52">
        <f t="shared" si="5"/>
        <v>5812960</v>
      </c>
      <c r="O37" s="11">
        <v>16</v>
      </c>
      <c r="P37" s="12">
        <v>81787481</v>
      </c>
      <c r="Q37" s="12">
        <v>2555858.78125</v>
      </c>
      <c r="R37" s="12">
        <v>42911.78125</v>
      </c>
      <c r="S37" s="13">
        <v>9494688</v>
      </c>
      <c r="T37" s="13">
        <v>4473624</v>
      </c>
      <c r="U37" s="13">
        <v>1339336</v>
      </c>
      <c r="V37" s="13">
        <v>3681728</v>
      </c>
      <c r="W37" s="14">
        <v>76.246069000000006</v>
      </c>
      <c r="X37" s="14">
        <v>78.937634000000003</v>
      </c>
      <c r="Y37" s="14">
        <v>36.127488</v>
      </c>
      <c r="Z37" s="14">
        <v>43.536346999999999</v>
      </c>
      <c r="AA37" s="14">
        <v>46.109228000000002</v>
      </c>
      <c r="AB37" s="15">
        <v>3257.52</v>
      </c>
      <c r="AC37" s="15">
        <v>21025.8</v>
      </c>
      <c r="AD37" s="15">
        <v>213.167</v>
      </c>
      <c r="AE37" s="15">
        <v>81.680000000000007</v>
      </c>
      <c r="AG37" s="10">
        <f t="shared" si="6"/>
        <v>13.247475</v>
      </c>
      <c r="AH37" s="11">
        <f t="shared" si="7"/>
        <v>4.2410068667915267E-2</v>
      </c>
      <c r="AI37" s="11">
        <f t="shared" si="8"/>
        <v>1.7447033161241788E-2</v>
      </c>
      <c r="AJ37" s="11">
        <f t="shared" si="9"/>
        <v>1.5257977392039308E-2</v>
      </c>
      <c r="AK37" s="11">
        <f t="shared" si="10"/>
        <v>2.3222569703921107E-2</v>
      </c>
      <c r="AL37" s="52">
        <f t="shared" si="11"/>
        <v>5813189</v>
      </c>
      <c r="AM37" s="11">
        <v>16</v>
      </c>
      <c r="AN37" s="12">
        <v>100500759</v>
      </c>
      <c r="AO37" s="12">
        <v>3140648.71875</v>
      </c>
      <c r="AP37" s="12">
        <v>93088.375</v>
      </c>
      <c r="AQ37" s="13">
        <v>14130640</v>
      </c>
      <c r="AR37" s="13">
        <v>5083816</v>
      </c>
      <c r="AS37" s="13">
        <v>729373</v>
      </c>
      <c r="AT37" s="13">
        <v>7737544</v>
      </c>
      <c r="AU37" s="14">
        <v>74.976247000000001</v>
      </c>
      <c r="AV37" s="14">
        <v>77.002609000000007</v>
      </c>
      <c r="AW37" s="14">
        <v>35.494334000000002</v>
      </c>
      <c r="AX37" s="14">
        <v>43.068171999999997</v>
      </c>
      <c r="AY37" s="14">
        <v>45.239603000000002</v>
      </c>
      <c r="AZ37" s="15">
        <v>3332.18</v>
      </c>
      <c r="BA37" s="15">
        <v>37272.400000000001</v>
      </c>
      <c r="BB37" s="15">
        <v>265.08</v>
      </c>
      <c r="BC37" s="15">
        <v>83.638999999999996</v>
      </c>
      <c r="BE37" s="50">
        <f t="shared" si="12"/>
        <v>1.0000393947317716</v>
      </c>
      <c r="BF37" s="16">
        <f t="shared" si="13"/>
        <v>1.2850281320951822E-2</v>
      </c>
      <c r="BG37" s="16">
        <f t="shared" si="14"/>
        <v>-0.20084392194057649</v>
      </c>
      <c r="BH37" s="16"/>
      <c r="BJ37" s="50"/>
      <c r="BK37" s="50"/>
      <c r="BL37" s="50"/>
      <c r="BM37" s="50"/>
      <c r="BN37" s="50"/>
      <c r="BP37" s="50"/>
      <c r="BQ37" s="50"/>
      <c r="BR37" s="50"/>
      <c r="BS37" s="50"/>
      <c r="BT37" s="50"/>
      <c r="BV37" s="58">
        <f t="shared" si="16"/>
        <v>18713278</v>
      </c>
      <c r="BW37" s="58">
        <f t="shared" si="16"/>
        <v>584789.9375</v>
      </c>
      <c r="BX37" s="58">
        <f t="shared" si="16"/>
        <v>50176.59375</v>
      </c>
      <c r="BY37" s="58">
        <f t="shared" si="16"/>
        <v>4635952</v>
      </c>
      <c r="BZ37" s="58">
        <f t="shared" si="16"/>
        <v>610192</v>
      </c>
      <c r="CA37" s="58">
        <f t="shared" si="16"/>
        <v>-609963</v>
      </c>
      <c r="CB37" s="58">
        <f t="shared" si="16"/>
        <v>4055816</v>
      </c>
      <c r="CC37" s="58">
        <f t="shared" si="16"/>
        <v>-1.2698220000000049</v>
      </c>
      <c r="CD37" s="58">
        <f t="shared" si="16"/>
        <v>-1.935024999999996</v>
      </c>
      <c r="CE37" s="58">
        <f t="shared" si="16"/>
        <v>-0.63315399999999755</v>
      </c>
      <c r="CF37" s="58">
        <f t="shared" si="16"/>
        <v>-0.46817500000000223</v>
      </c>
      <c r="CG37" s="58">
        <f t="shared" si="16"/>
        <v>-0.8696249999999992</v>
      </c>
      <c r="CJ37" t="s">
        <v>589</v>
      </c>
    </row>
    <row r="38" spans="1:88" outlineLevel="1" x14ac:dyDescent="0.2">
      <c r="A38" s="17"/>
      <c r="B38" s="17" t="s">
        <v>82</v>
      </c>
      <c r="C38" s="18" t="s">
        <v>236</v>
      </c>
      <c r="D38" s="17">
        <v>333190689</v>
      </c>
      <c r="E38" s="18">
        <v>11</v>
      </c>
      <c r="F38" s="18">
        <v>32</v>
      </c>
      <c r="G38" s="18">
        <v>30</v>
      </c>
      <c r="I38" s="19">
        <f t="shared" si="0"/>
        <v>14.406495</v>
      </c>
      <c r="J38" s="20">
        <f t="shared" si="1"/>
        <v>4.6120520492696E-2</v>
      </c>
      <c r="K38" s="20">
        <f t="shared" si="2"/>
        <v>2.3715596686436816E-2</v>
      </c>
      <c r="L38" s="20">
        <f t="shared" si="3"/>
        <v>1.9695868512099989E-2</v>
      </c>
      <c r="M38" s="20">
        <f t="shared" si="4"/>
        <v>2.2404923806259185E-2</v>
      </c>
      <c r="N38" s="17">
        <f t="shared" si="5"/>
        <v>7901816</v>
      </c>
      <c r="O38" s="20">
        <v>16</v>
      </c>
      <c r="P38" s="21">
        <v>83859347</v>
      </c>
      <c r="Q38" s="21">
        <v>2620604.59375</v>
      </c>
      <c r="R38" s="21">
        <v>48103.65625</v>
      </c>
      <c r="S38" s="22">
        <v>15366928</v>
      </c>
      <c r="T38" s="22">
        <v>6562480</v>
      </c>
      <c r="U38" s="22">
        <v>1339336</v>
      </c>
      <c r="V38" s="22">
        <v>7465112</v>
      </c>
      <c r="W38" s="23">
        <v>77.415709000000007</v>
      </c>
      <c r="X38" s="23">
        <v>80.131399999999999</v>
      </c>
      <c r="Y38" s="23">
        <v>38.083593999999998</v>
      </c>
      <c r="Z38" s="23">
        <v>44.197806</v>
      </c>
      <c r="AA38" s="23">
        <v>47.240555999999998</v>
      </c>
      <c r="AB38" s="24">
        <v>4048.21</v>
      </c>
      <c r="AC38" s="24">
        <v>29308.799999999999</v>
      </c>
      <c r="AD38" s="24">
        <v>256.78199999999998</v>
      </c>
      <c r="AE38" s="24">
        <v>110.514</v>
      </c>
      <c r="AG38" s="19">
        <f t="shared" si="6"/>
        <v>20.3707125</v>
      </c>
      <c r="AH38" s="20">
        <f t="shared" si="7"/>
        <v>6.5214187302815058E-2</v>
      </c>
      <c r="AI38" s="20">
        <f t="shared" si="8"/>
        <v>2.5215398501126782E-2</v>
      </c>
      <c r="AJ38" s="20">
        <f t="shared" si="9"/>
        <v>2.2097736350609725E-2</v>
      </c>
      <c r="AK38" s="20">
        <f t="shared" si="10"/>
        <v>3.9186929380250479E-2</v>
      </c>
      <c r="AL38" s="17">
        <f t="shared" si="11"/>
        <v>8401536</v>
      </c>
      <c r="AM38" s="20">
        <v>16</v>
      </c>
      <c r="AN38" s="21">
        <v>88854999</v>
      </c>
      <c r="AO38" s="21">
        <v>2776718.71875</v>
      </c>
      <c r="AP38" s="21">
        <v>87232</v>
      </c>
      <c r="AQ38" s="22">
        <v>21728760</v>
      </c>
      <c r="AR38" s="22">
        <v>7362760</v>
      </c>
      <c r="AS38" s="22">
        <v>1038776</v>
      </c>
      <c r="AT38" s="22">
        <v>13056720</v>
      </c>
      <c r="AU38" s="23">
        <v>76.521621999999994</v>
      </c>
      <c r="AV38" s="23">
        <v>79.049599999999998</v>
      </c>
      <c r="AW38" s="23">
        <v>37.576706000000001</v>
      </c>
      <c r="AX38" s="23">
        <v>43.725465999999997</v>
      </c>
      <c r="AY38" s="23">
        <v>46.428080999999999</v>
      </c>
      <c r="AZ38" s="24">
        <v>3376.74</v>
      </c>
      <c r="BA38" s="24">
        <v>39066.800000000003</v>
      </c>
      <c r="BB38" s="24">
        <v>234.322</v>
      </c>
      <c r="BC38" s="24">
        <v>83.238</v>
      </c>
      <c r="BE38" s="49">
        <f t="shared" si="12"/>
        <v>1.0632411587412312</v>
      </c>
      <c r="BF38" s="25">
        <f t="shared" si="13"/>
        <v>1.3059559204818612E-2</v>
      </c>
      <c r="BG38" s="25">
        <f t="shared" si="14"/>
        <v>-0.12755411009976692</v>
      </c>
      <c r="BH38" s="25"/>
      <c r="BJ38" s="49"/>
      <c r="BK38" s="49"/>
      <c r="BL38" s="49"/>
      <c r="BM38" s="49"/>
      <c r="BN38" s="49"/>
      <c r="BP38" s="49"/>
      <c r="BQ38" s="49"/>
      <c r="BR38" s="49"/>
      <c r="BS38" s="49"/>
      <c r="BT38" s="49"/>
      <c r="BV38" s="58">
        <f t="shared" si="16"/>
        <v>4995652</v>
      </c>
      <c r="BW38" s="58">
        <f t="shared" si="16"/>
        <v>156114.125</v>
      </c>
      <c r="BX38" s="58">
        <f t="shared" si="16"/>
        <v>39128.34375</v>
      </c>
      <c r="BY38" s="58">
        <f t="shared" si="16"/>
        <v>6361832</v>
      </c>
      <c r="BZ38" s="58">
        <f t="shared" si="16"/>
        <v>800280</v>
      </c>
      <c r="CA38" s="58">
        <f t="shared" si="16"/>
        <v>-300560</v>
      </c>
      <c r="CB38" s="58">
        <f t="shared" si="16"/>
        <v>5591608</v>
      </c>
      <c r="CC38" s="58">
        <f t="shared" si="16"/>
        <v>-0.89408700000001318</v>
      </c>
      <c r="CD38" s="58">
        <f t="shared" si="16"/>
        <v>-1.0818000000000012</v>
      </c>
      <c r="CE38" s="58">
        <f t="shared" si="16"/>
        <v>-0.50688799999999645</v>
      </c>
      <c r="CF38" s="58">
        <f t="shared" si="16"/>
        <v>-0.47234000000000265</v>
      </c>
      <c r="CG38" s="58">
        <f t="shared" si="16"/>
        <v>-0.81247499999999917</v>
      </c>
      <c r="CJ38" t="s">
        <v>589</v>
      </c>
    </row>
    <row r="39" spans="1:88" ht="16" outlineLevel="1" thickBot="1" x14ac:dyDescent="0.25">
      <c r="A39" s="26"/>
      <c r="B39" s="26" t="s">
        <v>82</v>
      </c>
      <c r="C39" s="27" t="s">
        <v>237</v>
      </c>
      <c r="D39" s="26">
        <v>333190689</v>
      </c>
      <c r="E39" s="27">
        <v>11</v>
      </c>
      <c r="F39" s="27">
        <v>32</v>
      </c>
      <c r="G39" s="27">
        <v>30</v>
      </c>
      <c r="I39" s="28">
        <f t="shared" si="0"/>
        <v>28.640317499999998</v>
      </c>
      <c r="J39" s="29">
        <f t="shared" si="1"/>
        <v>9.168825242892667E-2</v>
      </c>
      <c r="K39" s="29">
        <f t="shared" si="2"/>
        <v>3.8473536095722051E-2</v>
      </c>
      <c r="L39" s="29">
        <f t="shared" si="3"/>
        <v>3.036807550165365E-2</v>
      </c>
      <c r="M39" s="29">
        <f t="shared" si="4"/>
        <v>5.3214716333204619E-2</v>
      </c>
      <c r="N39" s="26">
        <f t="shared" si="5"/>
        <v>12819024</v>
      </c>
      <c r="O39" s="29">
        <v>16</v>
      </c>
      <c r="P39" s="30">
        <v>82067544</v>
      </c>
      <c r="Q39" s="30">
        <v>2564610.75</v>
      </c>
      <c r="R39" s="30">
        <v>19264.46875</v>
      </c>
      <c r="S39" s="31">
        <v>30549672</v>
      </c>
      <c r="T39" s="31">
        <v>10118360</v>
      </c>
      <c r="U39" s="31">
        <v>2700664</v>
      </c>
      <c r="V39" s="31">
        <v>17730648</v>
      </c>
      <c r="W39" s="32">
        <v>78.311515999999997</v>
      </c>
      <c r="X39" s="32">
        <v>81.848194000000007</v>
      </c>
      <c r="Y39" s="32">
        <v>40.159621999999999</v>
      </c>
      <c r="Z39" s="32">
        <v>45.117593999999997</v>
      </c>
      <c r="AA39" s="32">
        <v>48.624606</v>
      </c>
      <c r="AB39" s="33">
        <v>3473.81</v>
      </c>
      <c r="AC39" s="33">
        <v>24146.7</v>
      </c>
      <c r="AD39" s="33">
        <v>217.06800000000001</v>
      </c>
      <c r="AE39" s="33">
        <v>91.518000000000001</v>
      </c>
      <c r="AG39" s="28">
        <f t="shared" si="6"/>
        <v>42.496792499999998</v>
      </c>
      <c r="AH39" s="29">
        <f t="shared" si="7"/>
        <v>0.13604795540970235</v>
      </c>
      <c r="AI39" s="29">
        <f t="shared" si="8"/>
        <v>4.1578634869955805E-2</v>
      </c>
      <c r="AJ39" s="29">
        <f t="shared" si="9"/>
        <v>3.393768305452257E-2</v>
      </c>
      <c r="AK39" s="29">
        <f t="shared" si="10"/>
        <v>9.4095018363493349E-2</v>
      </c>
      <c r="AL39" s="26">
        <f t="shared" si="11"/>
        <v>13853614</v>
      </c>
      <c r="AM39" s="29">
        <v>16</v>
      </c>
      <c r="AN39" s="30">
        <v>81879127</v>
      </c>
      <c r="AO39" s="30">
        <v>2558722.71875</v>
      </c>
      <c r="AP39" s="30">
        <v>35073.1875</v>
      </c>
      <c r="AQ39" s="31">
        <v>45329912</v>
      </c>
      <c r="AR39" s="31">
        <v>11307720</v>
      </c>
      <c r="AS39" s="31">
        <v>2545894</v>
      </c>
      <c r="AT39" s="31">
        <v>31351584</v>
      </c>
      <c r="AU39" s="32">
        <v>77.521193999999994</v>
      </c>
      <c r="AV39" s="32">
        <v>80.892487000000003</v>
      </c>
      <c r="AW39" s="32">
        <v>39.739384000000001</v>
      </c>
      <c r="AX39" s="32">
        <v>44.659219</v>
      </c>
      <c r="AY39" s="32">
        <v>47.848503000000001</v>
      </c>
      <c r="AZ39" s="33">
        <v>3271.46</v>
      </c>
      <c r="BA39" s="33">
        <v>40513.800000000003</v>
      </c>
      <c r="BB39" s="33">
        <v>211.32400000000001</v>
      </c>
      <c r="BC39" s="33">
        <v>89.248999999999995</v>
      </c>
      <c r="BE39" s="34">
        <f t="shared" si="12"/>
        <v>1.0807073923880632</v>
      </c>
      <c r="BF39" s="35">
        <f t="shared" si="13"/>
        <v>6.1956489023488864E-3</v>
      </c>
      <c r="BG39" s="35">
        <f t="shared" si="14"/>
        <v>-0.11399500047274685</v>
      </c>
      <c r="BH39" s="35"/>
      <c r="BJ39" s="34"/>
      <c r="BK39" s="34"/>
      <c r="BL39" s="34"/>
      <c r="BM39" s="34"/>
      <c r="BN39" s="34"/>
      <c r="BP39" s="34"/>
      <c r="BQ39" s="34"/>
      <c r="BR39" s="34"/>
      <c r="BS39" s="34"/>
      <c r="BT39" s="34"/>
      <c r="BV39" s="58">
        <f t="shared" si="16"/>
        <v>-188417</v>
      </c>
      <c r="BW39" s="58">
        <f t="shared" si="16"/>
        <v>-5888.03125</v>
      </c>
      <c r="BX39" s="58">
        <f t="shared" si="16"/>
        <v>15808.71875</v>
      </c>
      <c r="BY39" s="58">
        <f t="shared" si="16"/>
        <v>14780240</v>
      </c>
      <c r="BZ39" s="58">
        <f t="shared" si="16"/>
        <v>1189360</v>
      </c>
      <c r="CA39" s="58">
        <f t="shared" si="16"/>
        <v>-154770</v>
      </c>
      <c r="CB39" s="58">
        <f t="shared" si="16"/>
        <v>13620936</v>
      </c>
      <c r="CC39" s="58">
        <f t="shared" si="16"/>
        <v>-0.7903220000000033</v>
      </c>
      <c r="CD39" s="58">
        <f t="shared" si="16"/>
        <v>-0.95570700000000386</v>
      </c>
      <c r="CE39" s="58">
        <f t="shared" si="16"/>
        <v>-0.42023799999999767</v>
      </c>
      <c r="CF39" s="58">
        <f t="shared" si="16"/>
        <v>-0.45837499999999665</v>
      </c>
      <c r="CG39" s="58">
        <f t="shared" si="16"/>
        <v>-0.7761029999999991</v>
      </c>
      <c r="CJ39" t="s">
        <v>589</v>
      </c>
    </row>
    <row r="40" spans="1:88" ht="16" x14ac:dyDescent="0.2">
      <c r="B40" s="46" t="s">
        <v>16</v>
      </c>
      <c r="J40" s="47">
        <f>AVERAGE(J5:J24)</f>
        <v>1.7607443125499909E-2</v>
      </c>
      <c r="K40" s="47">
        <f>AVERAGE(K5:K24)</f>
        <v>9.5321793276372524E-3</v>
      </c>
      <c r="L40" s="47">
        <f>AVERAGE(L5:L24)</f>
        <v>6.9516832599163803E-3</v>
      </c>
      <c r="M40" s="47">
        <f>AVERAGE(M5:M24)</f>
        <v>8.0752637978626605E-3</v>
      </c>
      <c r="AH40" s="47">
        <f>AVERAGE(AH5:AH24)</f>
        <v>2.5171267206341559E-2</v>
      </c>
      <c r="AI40" s="47">
        <f>AVERAGE(AI5:AI24)</f>
        <v>8.6470197581358585E-3</v>
      </c>
      <c r="AJ40" s="47">
        <f>AVERAGE(AJ5:AJ24)</f>
        <v>7.1644647090565476E-3</v>
      </c>
      <c r="AK40" s="47">
        <f>AVERAGE(AK5:AK24)</f>
        <v>1.5447251951861965E-2</v>
      </c>
      <c r="BE40" s="51">
        <f t="shared" si="12"/>
        <v>0.90713985342942571</v>
      </c>
      <c r="BH40" s="55">
        <f>AVERAGE(BH5:BH24)</f>
        <v>-0.26315832022658858</v>
      </c>
      <c r="BJ40" s="51">
        <f>AVERAGE(BJ5:BJ24)</f>
        <v>0.15358348526097754</v>
      </c>
      <c r="BK40" s="51">
        <f>AVERAGE(BK5:BK24)</f>
        <v>0.1780196587598335</v>
      </c>
      <c r="BL40" s="51">
        <f>AVERAGE(BL5:BL24)</f>
        <v>1.4673077102842926</v>
      </c>
      <c r="BM40" s="51">
        <f>AVERAGE(BM5:BM24)</f>
        <v>2.1903556646978131</v>
      </c>
      <c r="BN40" s="51">
        <f>AVERAGE(BN5:BN24)</f>
        <v>2.1486640629055831</v>
      </c>
      <c r="BP40" s="51">
        <f>AVERAGE(BP5:BP24)</f>
        <v>1.1179175308963125</v>
      </c>
      <c r="BQ40" s="51">
        <f>AVERAGE(BQ5:BQ24)</f>
        <v>1.1363647728910888</v>
      </c>
      <c r="BR40" s="51">
        <f>AVERAGE(BR5:BR24)</f>
        <v>0.51580706098022411</v>
      </c>
      <c r="BS40" s="51">
        <f>AVERAGE(BS5:BS24)</f>
        <v>0.87435963153278551</v>
      </c>
      <c r="BT40" s="51">
        <f>AVERAGE(BT5:BT24)</f>
        <v>0.83253496397819737</v>
      </c>
    </row>
    <row r="41" spans="1:88" ht="16" x14ac:dyDescent="0.2">
      <c r="B41" s="46" t="s">
        <v>17</v>
      </c>
      <c r="J41" s="47">
        <f>AVERAGE(J25:J29)</f>
        <v>3.8177977020693157E-2</v>
      </c>
      <c r="K41" s="47">
        <f>AVERAGE(K25:K29)</f>
        <v>1.1417285892349041E-2</v>
      </c>
      <c r="L41" s="47">
        <f>AVERAGE(L25:L29)</f>
        <v>8.7672756735900897E-3</v>
      </c>
      <c r="M41" s="47">
        <f>AVERAGE(M25:M29)</f>
        <v>2.6760691128344116E-2</v>
      </c>
      <c r="AH41" s="47">
        <f>AVERAGE(AH25:AH29)</f>
        <v>5.4809029785550842E-2</v>
      </c>
      <c r="AI41" s="47">
        <f>AVERAGE(AI25:AI29)</f>
        <v>1.2692167663461448E-2</v>
      </c>
      <c r="AJ41" s="47">
        <f>AVERAGE(AJ25:AJ29)</f>
        <v>9.4972123687439621E-3</v>
      </c>
      <c r="AK41" s="47">
        <f>AVERAGE(AK25:AK29)</f>
        <v>4.2721525630147278E-2</v>
      </c>
      <c r="BE41" s="51">
        <f t="shared" si="12"/>
        <v>1.1116624198721985</v>
      </c>
      <c r="BH41" s="55">
        <f>AVERAGE(BH25:BH29)</f>
        <v>-0.13997759992411118</v>
      </c>
      <c r="BJ41" s="51">
        <f>AVERAGE(BJ25:BJ29)</f>
        <v>0.38954923931476371</v>
      </c>
      <c r="BK41" s="51">
        <f>AVERAGE(BK25:BK29)</f>
        <v>0.45495705752223747</v>
      </c>
      <c r="BL41" s="51">
        <f>AVERAGE(BL25:BL29)</f>
        <v>1.0430555430256914</v>
      </c>
      <c r="BM41" s="51">
        <f>AVERAGE(BM25:BM29)</f>
        <v>1.1921218170577537</v>
      </c>
      <c r="BN41" s="51">
        <f>AVERAGE(BN25:BN29)</f>
        <v>1.1973770025881034</v>
      </c>
      <c r="BP41" s="51">
        <f>AVERAGE(BP25:BP29)</f>
        <v>1.4269188537209851</v>
      </c>
      <c r="BQ41" s="51">
        <f>AVERAGE(BQ25:BQ29)</f>
        <v>1.4922985683827314</v>
      </c>
      <c r="BR41" s="51">
        <f>AVERAGE(BR25:BR29)</f>
        <v>0.64849778806618397</v>
      </c>
      <c r="BS41" s="51">
        <f>AVERAGE(BS25:BS29)</f>
        <v>0.74760067944623021</v>
      </c>
      <c r="BT41" s="51">
        <f>AVERAGE(BT25:BT29)</f>
        <v>0.74133402149630445</v>
      </c>
    </row>
    <row r="42" spans="1:88" ht="16" x14ac:dyDescent="0.2">
      <c r="B42" s="46" t="s">
        <v>18</v>
      </c>
      <c r="J42" s="47">
        <f>AVERAGE(J30:J39)</f>
        <v>3.5024046893903718E-2</v>
      </c>
      <c r="K42" s="47">
        <f>AVERAGE(K30:K39)</f>
        <v>1.8600416961661072E-2</v>
      </c>
      <c r="L42" s="47">
        <f>AVERAGE(L30:L39)</f>
        <v>1.4301451090252094E-2</v>
      </c>
      <c r="M42" s="47">
        <f>AVERAGE(M30:M39)</f>
        <v>1.6423629932242643E-2</v>
      </c>
      <c r="AH42" s="47">
        <f>AVERAGE(AH30:AH39)</f>
        <v>5.1076722237803185E-2</v>
      </c>
      <c r="AI42" s="47">
        <f>AVERAGE(AI30:AI39)</f>
        <v>1.8734483418358049E-2</v>
      </c>
      <c r="AJ42" s="47">
        <f>AVERAGE(AJ30:AJ39)</f>
        <v>1.5989195146872089E-2</v>
      </c>
      <c r="AK42" s="47">
        <f>AVERAGE(AK30:AK39)</f>
        <v>3.0870092267530756E-2</v>
      </c>
      <c r="BE42" s="51">
        <f t="shared" si="12"/>
        <v>1.0072077124385606</v>
      </c>
      <c r="BH42" s="55">
        <f>AVERAGE(BH30:BH39)</f>
        <v>-0.21477103776670656</v>
      </c>
      <c r="BJ42" s="51">
        <f>AVERAGE(BJ30:BJ39)</f>
        <v>0.26989937770940997</v>
      </c>
      <c r="BK42" s="51">
        <f>AVERAGE(BK30:BK39)</f>
        <v>0.32342282574640491</v>
      </c>
      <c r="BL42" s="51">
        <f>AVERAGE(BL30:BL39)</f>
        <v>1.5606717174435341</v>
      </c>
      <c r="BM42" s="51">
        <f>AVERAGE(BM30:BM39)</f>
        <v>2.299606894929167</v>
      </c>
      <c r="BN42" s="51">
        <f>AVERAGE(BN30:BN39)</f>
        <v>2.2230624192377268</v>
      </c>
      <c r="BP42" s="51">
        <f>AVERAGE(BP30:BP39)</f>
        <v>1.0947975683447426</v>
      </c>
      <c r="BQ42" s="51">
        <f>AVERAGE(BQ30:BQ39)</f>
        <v>1.1431553774180163</v>
      </c>
      <c r="BR42" s="51">
        <f>AVERAGE(BR30:BR39)</f>
        <v>0.66549511479233503</v>
      </c>
      <c r="BS42" s="51">
        <f>AVERAGE(BS30:BS39)</f>
        <v>1.0248505646979909</v>
      </c>
      <c r="BT42" s="51">
        <f>AVERAGE(BT30:BT39)</f>
        <v>0.98391479137931881</v>
      </c>
    </row>
    <row r="43" spans="1:88" ht="16" x14ac:dyDescent="0.2">
      <c r="B43" s="46" t="s">
        <v>19</v>
      </c>
      <c r="J43" s="47">
        <f>AVERAGE(J5:J39)</f>
        <v>2.552226333007146E-2</v>
      </c>
      <c r="K43" s="47">
        <f>AVERAGE(K5:K39)</f>
        <v>1.2392405303745741E-2</v>
      </c>
      <c r="L43" s="47">
        <f>AVERAGE(L5:L39)</f>
        <v>9.3109872705371133E-3</v>
      </c>
      <c r="M43" s="47">
        <f>AVERAGE(M5:M39)</f>
        <v>1.3129858026325721E-2</v>
      </c>
      <c r="AH43" s="47">
        <f>AVERAGE(AH5:AH39)</f>
        <v>3.6806791869503343E-2</v>
      </c>
      <c r="AI43" s="47">
        <f>AVERAGE(AI5:AI39)</f>
        <v>1.2107030504674425E-2</v>
      </c>
      <c r="AJ43" s="47">
        <f>AVERAGE(AJ5:AJ39)</f>
        <v>1.0019065928387761E-2</v>
      </c>
      <c r="AK43" s="47">
        <f>AVERAGE(AK5:AK39)</f>
        <v>2.3750102567522378E-2</v>
      </c>
      <c r="BE43" s="51">
        <f t="shared" si="12"/>
        <v>0.97697179909173415</v>
      </c>
      <c r="BH43" s="55">
        <f>AVERAGE(BH5:BH39)</f>
        <v>-0.23173613662341122</v>
      </c>
      <c r="BJ43" s="51">
        <f>AVERAGE(BJ5:BJ39)</f>
        <v>0.22052599082535626</v>
      </c>
      <c r="BK43" s="51">
        <f>AVERAGE(BK5:BK39)</f>
        <v>0.25912590629348303</v>
      </c>
      <c r="BL43" s="51">
        <f>AVERAGE(BL5:BL39)</f>
        <v>1.4333756884357041</v>
      </c>
      <c r="BM43" s="51">
        <f>AVERAGE(BM5:BM39)</f>
        <v>2.07896546652962</v>
      </c>
      <c r="BN43" s="51">
        <f>AVERAGE(BN5:BN39)</f>
        <v>2.0340225846694127</v>
      </c>
      <c r="BP43" s="51">
        <f>AVERAGE(BP5:BP39)</f>
        <v>1.1554548734279599</v>
      </c>
      <c r="BQ43" s="51">
        <f>AVERAGE(BQ5:BQ39)</f>
        <v>1.1891526306833027</v>
      </c>
      <c r="BR43" s="51">
        <f>AVERAGE(BR5:BR39)</f>
        <v>0.57753089451024997</v>
      </c>
      <c r="BS43" s="51">
        <f>AVERAGE(BS5:BS39)</f>
        <v>0.89924861928190769</v>
      </c>
      <c r="BT43" s="51">
        <f>AVERAGE(BT5:BT39)</f>
        <v>0.86275763716681886</v>
      </c>
    </row>
    <row r="44" spans="1:88" ht="16" hidden="1" outlineLevel="2" x14ac:dyDescent="0.2">
      <c r="A44" s="46" t="s">
        <v>245</v>
      </c>
      <c r="B44" s="46" t="s">
        <v>246</v>
      </c>
      <c r="AB44" s="48">
        <f>SUM(AB5:AB24,AB25:AB29,AB30:AB39)</f>
        <v>135034.15999999997</v>
      </c>
      <c r="AC44" s="48">
        <f>SUM(AC5:AC24,AC25:AC29,AC30:AC39)</f>
        <v>327102.43</v>
      </c>
      <c r="AD44" s="48">
        <f>SUM(AD5:AD24,AD25:AD29,AD30:AD39)</f>
        <v>4227.5379999999996</v>
      </c>
      <c r="AE44" s="48">
        <f>SUM(AE5:AE24,AE25:AE29,AE30:AE39)</f>
        <v>1388.0099999999998</v>
      </c>
      <c r="AZ44" s="48">
        <f>SUM(AZ5:AZ24,AZ25:AZ29,AZ30:AZ39)</f>
        <v>128661.20000000003</v>
      </c>
      <c r="BA44" s="48">
        <f>SUM(BA5:BA24,BA25:BA29,BA30:BA39)</f>
        <v>518576.6</v>
      </c>
      <c r="BB44" s="48">
        <f>SUM(BB5:BB24,BB25:BB29,BB30:BB39)</f>
        <v>5170.6729999999989</v>
      </c>
      <c r="BC44" s="48">
        <f>SUM(BC5:BC24,BC25:BC29,BC30:BC39)</f>
        <v>1368.1930000000002</v>
      </c>
    </row>
    <row r="45" spans="1:88" ht="16" hidden="1" outlineLevel="2" x14ac:dyDescent="0.2">
      <c r="B45" s="46" t="s">
        <v>247</v>
      </c>
      <c r="AZ45" s="55">
        <f>AZ44/AB44</f>
        <v>0.95280483101461177</v>
      </c>
      <c r="BA45" s="55">
        <f>BA44/AC44</f>
        <v>1.5853645599636785</v>
      </c>
      <c r="BB45" s="55">
        <f>BB44/AD44</f>
        <v>1.2230932046027734</v>
      </c>
      <c r="BC45" s="55">
        <f>BC44/AE44</f>
        <v>0.9857227253405958</v>
      </c>
    </row>
    <row r="46" spans="1:88" ht="16" hidden="1" outlineLevel="2" x14ac:dyDescent="0.2">
      <c r="B46" s="46" t="s">
        <v>248</v>
      </c>
      <c r="AB46" s="48">
        <f>GEOMEAN(AB5:AB24,AB25:AB29,AB30:AB39)</f>
        <v>3646.7529472135416</v>
      </c>
      <c r="AC46" s="48">
        <f>GEOMEAN(AC5:AC24,AC25:AC29,AC30:AC39)</f>
        <v>6479.7210171863253</v>
      </c>
      <c r="AD46" s="48">
        <f>GEOMEAN(AD5:AD24,AD25:AD29,AD30:AD39)</f>
        <v>100.32118411466705</v>
      </c>
      <c r="AE46" s="48">
        <f>GEOMEAN(AE5:AE24,AE25:AE29,AE30:AE39)</f>
        <v>28.296496280109611</v>
      </c>
      <c r="AZ46" s="48">
        <f>GEOMEAN(AZ5:AZ24,AZ25:AZ29,AZ30:AZ39)</f>
        <v>3463.8532578435761</v>
      </c>
      <c r="BA46" s="48">
        <f>GEOMEAN(BA5:BA24,BA25:BA29,BA30:BA39)</f>
        <v>10215.831994164164</v>
      </c>
      <c r="BB46" s="48">
        <f>GEOMEAN(BB5:BB24,BB25:BB29,BB30:BB39)</f>
        <v>124.26946413913808</v>
      </c>
      <c r="BC46" s="48">
        <f>GEOMEAN(BC5:BC24,BC25:BC29,BC30:BC39)</f>
        <v>29.064028047057281</v>
      </c>
    </row>
    <row r="47" spans="1:88" ht="16" outlineLevel="2" collapsed="1" x14ac:dyDescent="0.2">
      <c r="B47" s="46" t="s">
        <v>249</v>
      </c>
      <c r="AZ47" s="55">
        <f>AZ46/AB46</f>
        <v>0.94984587878108995</v>
      </c>
      <c r="BA47" s="55">
        <f>BA46/AC46</f>
        <v>1.5765851596185172</v>
      </c>
      <c r="BB47" s="55">
        <f>BB46/AD46</f>
        <v>1.238716082109818</v>
      </c>
      <c r="BC47" s="55">
        <f>BC46/AE46</f>
        <v>1.0271246220503698</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2019-12-04T16:56:46Z</dcterms:modified>
</cp:coreProperties>
</file>