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ThisWorkbook1" defaultThemeVersion="124226"/>
  <mc:AlternateContent xmlns:mc="http://schemas.openxmlformats.org/markup-compatibility/2006">
    <mc:Choice Requires="x15">
      <x15ac:absPath xmlns:x15ac="http://schemas.microsoft.com/office/spreadsheetml/2010/11/ac" url="/Users/jricard/dev/vpcc/tm2v22/test/"/>
    </mc:Choice>
  </mc:AlternateContent>
  <xr:revisionPtr revIDLastSave="0" documentId="13_ncr:1_{E8DE7DB7-CB31-FC4C-AD19-9C5EC14115D1}" xr6:coauthVersionLast="47" xr6:coauthVersionMax="47" xr10:uidLastSave="{00000000-0000-0000-0000-000000000000}"/>
  <bookViews>
    <workbookView xWindow="-39940" yWindow="-8460" windowWidth="42180" windowHeight="2250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46" i="7" l="1"/>
  <c r="BB46" i="7"/>
  <c r="BA46" i="7"/>
  <c r="AZ46" i="7"/>
  <c r="AE46" i="7"/>
  <c r="AD46" i="7"/>
  <c r="AC46" i="7"/>
  <c r="AB46" i="7"/>
  <c r="AZ47" i="7" s="1"/>
  <c r="BC44" i="7"/>
  <c r="BB44" i="7"/>
  <c r="BA44" i="7"/>
  <c r="AZ44" i="7"/>
  <c r="AE44" i="7"/>
  <c r="AD44" i="7"/>
  <c r="AC44" i="7"/>
  <c r="AB44" i="7"/>
  <c r="AZ45" i="7" s="1"/>
  <c r="BF39" i="7"/>
  <c r="AL39" i="7"/>
  <c r="AK39" i="7"/>
  <c r="AJ39" i="7"/>
  <c r="AH39" i="7"/>
  <c r="AG39" i="7"/>
  <c r="N39" i="7"/>
  <c r="K39" i="7" s="1"/>
  <c r="M39" i="7"/>
  <c r="L39" i="7"/>
  <c r="J39" i="7"/>
  <c r="I39" i="7"/>
  <c r="BF38" i="7"/>
  <c r="AL38" i="7"/>
  <c r="AI38" i="7" s="1"/>
  <c r="AK38" i="7"/>
  <c r="AJ38" i="7"/>
  <c r="AH38" i="7"/>
  <c r="AG38" i="7"/>
  <c r="N38" i="7"/>
  <c r="M38" i="7"/>
  <c r="L38" i="7"/>
  <c r="J38" i="7"/>
  <c r="I38" i="7"/>
  <c r="BF37" i="7"/>
  <c r="AL37" i="7"/>
  <c r="AK37" i="7"/>
  <c r="AJ37" i="7"/>
  <c r="AH37" i="7"/>
  <c r="AG37" i="7"/>
  <c r="N37" i="7"/>
  <c r="K37" i="7" s="1"/>
  <c r="M37" i="7"/>
  <c r="L37" i="7"/>
  <c r="J37" i="7"/>
  <c r="I37" i="7"/>
  <c r="BF36" i="7"/>
  <c r="AL36" i="7"/>
  <c r="AI36" i="7" s="1"/>
  <c r="AK36" i="7"/>
  <c r="AJ36" i="7"/>
  <c r="AH36" i="7"/>
  <c r="AG36" i="7"/>
  <c r="N36" i="7"/>
  <c r="K36" i="7" s="1"/>
  <c r="M36" i="7"/>
  <c r="L36" i="7"/>
  <c r="J36" i="7"/>
  <c r="I36" i="7"/>
  <c r="BF35" i="7"/>
  <c r="AL35" i="7"/>
  <c r="AK35" i="7"/>
  <c r="AJ35" i="7"/>
  <c r="AH35" i="7"/>
  <c r="AG35" i="7"/>
  <c r="N35" i="7"/>
  <c r="M35" i="7"/>
  <c r="L35" i="7"/>
  <c r="J35" i="7"/>
  <c r="I35" i="7"/>
  <c r="BF34" i="7"/>
  <c r="AL34" i="7"/>
  <c r="AI34" i="7" s="1"/>
  <c r="AK34" i="7"/>
  <c r="AJ34" i="7"/>
  <c r="AH34" i="7"/>
  <c r="AG34" i="7"/>
  <c r="N34" i="7"/>
  <c r="K34" i="7" s="1"/>
  <c r="M34" i="7"/>
  <c r="L34" i="7"/>
  <c r="J34" i="7"/>
  <c r="I34" i="7"/>
  <c r="BF33" i="7"/>
  <c r="AL33" i="7"/>
  <c r="AK33" i="7"/>
  <c r="AJ33" i="7"/>
  <c r="AH33" i="7"/>
  <c r="AG33" i="7"/>
  <c r="N33" i="7"/>
  <c r="K33" i="7" s="1"/>
  <c r="M33" i="7"/>
  <c r="L33" i="7"/>
  <c r="J33" i="7"/>
  <c r="I33" i="7"/>
  <c r="BF32" i="7"/>
  <c r="AL32" i="7"/>
  <c r="AI32" i="7" s="1"/>
  <c r="AK32" i="7"/>
  <c r="AJ32" i="7"/>
  <c r="AH32" i="7"/>
  <c r="AG32" i="7"/>
  <c r="N32" i="7"/>
  <c r="K32" i="7" s="1"/>
  <c r="M32" i="7"/>
  <c r="L32" i="7"/>
  <c r="J32" i="7"/>
  <c r="I32" i="7"/>
  <c r="BF31" i="7"/>
  <c r="AL31" i="7"/>
  <c r="AK31" i="7"/>
  <c r="AJ31" i="7"/>
  <c r="AH31" i="7"/>
  <c r="AG31" i="7"/>
  <c r="N31" i="7"/>
  <c r="K31" i="7" s="1"/>
  <c r="M31" i="7"/>
  <c r="L31" i="7"/>
  <c r="J31" i="7"/>
  <c r="I31" i="7"/>
  <c r="BF30" i="7"/>
  <c r="AL30" i="7"/>
  <c r="AI30" i="7" s="1"/>
  <c r="AK30" i="7"/>
  <c r="AJ30" i="7"/>
  <c r="AH30" i="7"/>
  <c r="AG30" i="7"/>
  <c r="N30" i="7"/>
  <c r="K30" i="7" s="1"/>
  <c r="M30" i="7"/>
  <c r="L30" i="7"/>
  <c r="J30" i="7"/>
  <c r="I30" i="7"/>
  <c r="BF29" i="7"/>
  <c r="AL29" i="7"/>
  <c r="AK29" i="7"/>
  <c r="AJ29" i="7"/>
  <c r="AH29" i="7"/>
  <c r="AG29" i="7"/>
  <c r="N29" i="7"/>
  <c r="K29" i="7" s="1"/>
  <c r="M29" i="7"/>
  <c r="L29" i="7"/>
  <c r="J29" i="7"/>
  <c r="I29" i="7"/>
  <c r="BF28" i="7"/>
  <c r="AL28" i="7"/>
  <c r="AI28" i="7" s="1"/>
  <c r="AK28" i="7"/>
  <c r="AJ28" i="7"/>
  <c r="AH28" i="7"/>
  <c r="AG28" i="7"/>
  <c r="N28" i="7"/>
  <c r="K28" i="7" s="1"/>
  <c r="M28" i="7"/>
  <c r="L28" i="7"/>
  <c r="J28" i="7"/>
  <c r="I28" i="7"/>
  <c r="BF27" i="7"/>
  <c r="AL27" i="7"/>
  <c r="AK27" i="7"/>
  <c r="AJ27" i="7"/>
  <c r="AH27" i="7"/>
  <c r="AG27" i="7"/>
  <c r="N27" i="7"/>
  <c r="K27" i="7" s="1"/>
  <c r="M27" i="7"/>
  <c r="L27" i="7"/>
  <c r="J27" i="7"/>
  <c r="I27" i="7"/>
  <c r="BF26" i="7"/>
  <c r="AL26" i="7"/>
  <c r="AI26" i="7" s="1"/>
  <c r="AK26" i="7"/>
  <c r="AJ26" i="7"/>
  <c r="AH26" i="7"/>
  <c r="AG26" i="7"/>
  <c r="N26" i="7"/>
  <c r="K26" i="7" s="1"/>
  <c r="M26" i="7"/>
  <c r="L26" i="7"/>
  <c r="J26" i="7"/>
  <c r="I26" i="7"/>
  <c r="BF25" i="7"/>
  <c r="AL25" i="7"/>
  <c r="AK25" i="7"/>
  <c r="AJ25" i="7"/>
  <c r="AH25" i="7"/>
  <c r="AG25" i="7"/>
  <c r="N25" i="7"/>
  <c r="M25" i="7"/>
  <c r="L25" i="7"/>
  <c r="J25" i="7"/>
  <c r="I25" i="7"/>
  <c r="BF24" i="7"/>
  <c r="AL24" i="7"/>
  <c r="AI24" i="7" s="1"/>
  <c r="AK24" i="7"/>
  <c r="AJ24" i="7"/>
  <c r="AH24" i="7"/>
  <c r="AG24" i="7"/>
  <c r="N24" i="7"/>
  <c r="K24" i="7" s="1"/>
  <c r="M24" i="7"/>
  <c r="L24" i="7"/>
  <c r="J24" i="7"/>
  <c r="I24" i="7"/>
  <c r="BF23" i="7"/>
  <c r="AL23" i="7"/>
  <c r="AK23" i="7"/>
  <c r="AJ23" i="7"/>
  <c r="AH23" i="7"/>
  <c r="AG23" i="7"/>
  <c r="N23" i="7"/>
  <c r="K23" i="7" s="1"/>
  <c r="M23" i="7"/>
  <c r="L23" i="7"/>
  <c r="J23" i="7"/>
  <c r="I23" i="7"/>
  <c r="BF22" i="7"/>
  <c r="AL22" i="7"/>
  <c r="AI22" i="7" s="1"/>
  <c r="AK22" i="7"/>
  <c r="AJ22" i="7"/>
  <c r="AH22" i="7"/>
  <c r="AG22" i="7"/>
  <c r="N22" i="7"/>
  <c r="M22" i="7"/>
  <c r="L22" i="7"/>
  <c r="K22" i="7"/>
  <c r="J22" i="7"/>
  <c r="I22" i="7"/>
  <c r="BF21" i="7"/>
  <c r="AL21" i="7"/>
  <c r="AK21" i="7"/>
  <c r="AJ21" i="7"/>
  <c r="AH21" i="7"/>
  <c r="AG21" i="7"/>
  <c r="N21" i="7"/>
  <c r="K21" i="7" s="1"/>
  <c r="M21" i="7"/>
  <c r="L21" i="7"/>
  <c r="J21" i="7"/>
  <c r="I21" i="7"/>
  <c r="BF20" i="7"/>
  <c r="AL20" i="7"/>
  <c r="AK20" i="7"/>
  <c r="AJ20" i="7"/>
  <c r="AH20" i="7"/>
  <c r="AG20" i="7"/>
  <c r="N20" i="7"/>
  <c r="K20" i="7" s="1"/>
  <c r="M20" i="7"/>
  <c r="L20" i="7"/>
  <c r="J20" i="7"/>
  <c r="I20" i="7"/>
  <c r="BF19" i="7"/>
  <c r="AL19" i="7"/>
  <c r="AK19" i="7"/>
  <c r="AJ19" i="7"/>
  <c r="AH19" i="7"/>
  <c r="AG19" i="7"/>
  <c r="N19" i="7"/>
  <c r="K19" i="7" s="1"/>
  <c r="M19" i="7"/>
  <c r="L19" i="7"/>
  <c r="J19" i="7"/>
  <c r="I19" i="7"/>
  <c r="BF18" i="7"/>
  <c r="AL18" i="7"/>
  <c r="AI18" i="7" s="1"/>
  <c r="AK18" i="7"/>
  <c r="AJ18" i="7"/>
  <c r="AH18" i="7"/>
  <c r="AG18" i="7"/>
  <c r="N18" i="7"/>
  <c r="K18" i="7" s="1"/>
  <c r="M18" i="7"/>
  <c r="L18" i="7"/>
  <c r="J18" i="7"/>
  <c r="I18" i="7"/>
  <c r="BF17" i="7"/>
  <c r="AL17" i="7"/>
  <c r="AK17" i="7"/>
  <c r="AJ17" i="7"/>
  <c r="AH17" i="7"/>
  <c r="AG17" i="7"/>
  <c r="N17" i="7"/>
  <c r="K17" i="7" s="1"/>
  <c r="M17" i="7"/>
  <c r="L17" i="7"/>
  <c r="J17" i="7"/>
  <c r="I17" i="7"/>
  <c r="BF16" i="7"/>
  <c r="AL16" i="7"/>
  <c r="AI16" i="7" s="1"/>
  <c r="AK16" i="7"/>
  <c r="AJ16" i="7"/>
  <c r="AH16" i="7"/>
  <c r="AG16" i="7"/>
  <c r="N16" i="7"/>
  <c r="K16" i="7" s="1"/>
  <c r="M16" i="7"/>
  <c r="L16" i="7"/>
  <c r="J16" i="7"/>
  <c r="I16" i="7"/>
  <c r="BF15" i="7"/>
  <c r="AL15" i="7"/>
  <c r="AK15" i="7"/>
  <c r="AJ15" i="7"/>
  <c r="AH15" i="7"/>
  <c r="AG15" i="7"/>
  <c r="N15" i="7"/>
  <c r="M15" i="7"/>
  <c r="L15" i="7"/>
  <c r="J15" i="7"/>
  <c r="I15" i="7"/>
  <c r="BF14" i="7"/>
  <c r="AL14" i="7"/>
  <c r="AI14" i="7" s="1"/>
  <c r="AK14" i="7"/>
  <c r="AJ14" i="7"/>
  <c r="AH14" i="7"/>
  <c r="AG14" i="7"/>
  <c r="N14" i="7"/>
  <c r="K14" i="7" s="1"/>
  <c r="M14" i="7"/>
  <c r="L14" i="7"/>
  <c r="J14" i="7"/>
  <c r="I14" i="7"/>
  <c r="BF13" i="7"/>
  <c r="AL13" i="7"/>
  <c r="AK13" i="7"/>
  <c r="AJ13" i="7"/>
  <c r="AH13" i="7"/>
  <c r="AG13" i="7"/>
  <c r="N13" i="7"/>
  <c r="K13" i="7" s="1"/>
  <c r="M13" i="7"/>
  <c r="L13" i="7"/>
  <c r="J13" i="7"/>
  <c r="I13" i="7"/>
  <c r="BF12" i="7"/>
  <c r="AL12" i="7"/>
  <c r="AI12" i="7" s="1"/>
  <c r="AK12" i="7"/>
  <c r="AJ12" i="7"/>
  <c r="AH12" i="7"/>
  <c r="AG12" i="7"/>
  <c r="N12" i="7"/>
  <c r="K12" i="7" s="1"/>
  <c r="M12" i="7"/>
  <c r="L12" i="7"/>
  <c r="J12" i="7"/>
  <c r="I12" i="7"/>
  <c r="BF11" i="7"/>
  <c r="AL11" i="7"/>
  <c r="AK11" i="7"/>
  <c r="AJ11" i="7"/>
  <c r="AH11" i="7"/>
  <c r="AG11" i="7"/>
  <c r="N11" i="7"/>
  <c r="K11" i="7" s="1"/>
  <c r="M11" i="7"/>
  <c r="L11" i="7"/>
  <c r="J11" i="7"/>
  <c r="I11" i="7"/>
  <c r="BF10" i="7"/>
  <c r="AL10" i="7"/>
  <c r="AI10" i="7" s="1"/>
  <c r="AK10" i="7"/>
  <c r="AJ10" i="7"/>
  <c r="AH10" i="7"/>
  <c r="AG10" i="7"/>
  <c r="N10" i="7"/>
  <c r="K10" i="7" s="1"/>
  <c r="M10" i="7"/>
  <c r="L10" i="7"/>
  <c r="J10" i="7"/>
  <c r="I10" i="7"/>
  <c r="BF9" i="7"/>
  <c r="AL9" i="7"/>
  <c r="AK9" i="7"/>
  <c r="AJ9" i="7"/>
  <c r="AH9" i="7"/>
  <c r="AG9" i="7"/>
  <c r="N9" i="7"/>
  <c r="K9" i="7" s="1"/>
  <c r="M9" i="7"/>
  <c r="L9" i="7"/>
  <c r="J9" i="7"/>
  <c r="I9" i="7"/>
  <c r="BF8" i="7"/>
  <c r="AL8" i="7"/>
  <c r="AI8" i="7" s="1"/>
  <c r="AK8" i="7"/>
  <c r="AJ8" i="7"/>
  <c r="AH8" i="7"/>
  <c r="AG8" i="7"/>
  <c r="N8" i="7"/>
  <c r="K8" i="7" s="1"/>
  <c r="M8" i="7"/>
  <c r="L8" i="7"/>
  <c r="J8" i="7"/>
  <c r="I8" i="7"/>
  <c r="BF7" i="7"/>
  <c r="AL7" i="7"/>
  <c r="AK7" i="7"/>
  <c r="AJ7" i="7"/>
  <c r="AH7" i="7"/>
  <c r="AG7" i="7"/>
  <c r="N7" i="7"/>
  <c r="K7" i="7" s="1"/>
  <c r="M7" i="7"/>
  <c r="L7" i="7"/>
  <c r="J7" i="7"/>
  <c r="I7" i="7"/>
  <c r="BF6" i="7"/>
  <c r="AL6" i="7"/>
  <c r="AI6" i="7" s="1"/>
  <c r="AK6" i="7"/>
  <c r="AJ6" i="7"/>
  <c r="AH6" i="7"/>
  <c r="AG6" i="7"/>
  <c r="N6" i="7"/>
  <c r="K6" i="7" s="1"/>
  <c r="M6" i="7"/>
  <c r="L6" i="7"/>
  <c r="J6" i="7"/>
  <c r="I6" i="7"/>
  <c r="BF5" i="7"/>
  <c r="AL5" i="7"/>
  <c r="AK5" i="7"/>
  <c r="AJ5" i="7"/>
  <c r="AH5" i="7"/>
  <c r="AG5" i="7"/>
  <c r="N5" i="7"/>
  <c r="M5" i="7"/>
  <c r="L5" i="7"/>
  <c r="J5" i="7"/>
  <c r="I5" i="7"/>
  <c r="AG1" i="7"/>
  <c r="I1" i="7"/>
  <c r="AZ18" i="6"/>
  <c r="AY18" i="6"/>
  <c r="AX18" i="6"/>
  <c r="AX19" i="6" s="1"/>
  <c r="AW18" i="6"/>
  <c r="AC18" i="6"/>
  <c r="AB18" i="6"/>
  <c r="AA18" i="6"/>
  <c r="Z18" i="6"/>
  <c r="AZ16" i="6"/>
  <c r="AY16" i="6"/>
  <c r="AX16" i="6"/>
  <c r="AW16" i="6"/>
  <c r="AC16" i="6"/>
  <c r="AB16" i="6"/>
  <c r="AA16" i="6"/>
  <c r="Z16" i="6"/>
  <c r="AL11" i="6"/>
  <c r="AK11" i="6"/>
  <c r="BG11" i="6" s="1" a="1"/>
  <c r="AJ11" i="6"/>
  <c r="AI11" i="6"/>
  <c r="AG11" i="6"/>
  <c r="AF11" i="6"/>
  <c r="AE11" i="6"/>
  <c r="O11" i="6"/>
  <c r="N11" i="6"/>
  <c r="K11" i="6" s="1"/>
  <c r="M11" i="6"/>
  <c r="L11" i="6"/>
  <c r="J11" i="6"/>
  <c r="I11" i="6"/>
  <c r="H11" i="6"/>
  <c r="AL10" i="6"/>
  <c r="AK10" i="6"/>
  <c r="AH10" i="6" s="1"/>
  <c r="AJ10" i="6"/>
  <c r="AI10" i="6"/>
  <c r="AG10" i="6"/>
  <c r="AF10" i="6"/>
  <c r="AE10" i="6"/>
  <c r="O10" i="6"/>
  <c r="N10" i="6"/>
  <c r="M10" i="6"/>
  <c r="L10" i="6"/>
  <c r="K10" i="6"/>
  <c r="J10" i="6"/>
  <c r="J14" i="6" s="1"/>
  <c r="I10" i="6"/>
  <c r="H10" i="6"/>
  <c r="AL9" i="6"/>
  <c r="AK9" i="6"/>
  <c r="BF9" i="6" s="1"/>
  <c r="AJ9" i="6"/>
  <c r="AJ13" i="6" s="1"/>
  <c r="AI9" i="6"/>
  <c r="AI13" i="6" s="1"/>
  <c r="AG9" i="6"/>
  <c r="AG13" i="6" s="1"/>
  <c r="AF9" i="6"/>
  <c r="AE9" i="6"/>
  <c r="O9" i="6"/>
  <c r="N9" i="6"/>
  <c r="K9" i="6" s="1"/>
  <c r="K13" i="6" s="1"/>
  <c r="M9" i="6"/>
  <c r="L9" i="6"/>
  <c r="L13" i="6" s="1"/>
  <c r="J9" i="6"/>
  <c r="I9" i="6"/>
  <c r="H9" i="6"/>
  <c r="AL8" i="6"/>
  <c r="AK8" i="6"/>
  <c r="AH8" i="6" s="1"/>
  <c r="AJ8" i="6"/>
  <c r="AI8" i="6"/>
  <c r="AG8" i="6"/>
  <c r="AF8" i="6"/>
  <c r="AE8" i="6"/>
  <c r="O8" i="6"/>
  <c r="N8" i="6"/>
  <c r="M8" i="6"/>
  <c r="L8" i="6"/>
  <c r="J8" i="6"/>
  <c r="I8" i="6"/>
  <c r="H8" i="6"/>
  <c r="AL7" i="6"/>
  <c r="AK7" i="6"/>
  <c r="AH7" i="6" s="1"/>
  <c r="AJ7" i="6"/>
  <c r="AI7" i="6"/>
  <c r="AG7" i="6"/>
  <c r="AF7" i="6"/>
  <c r="AE7" i="6"/>
  <c r="O7" i="6"/>
  <c r="N7" i="6"/>
  <c r="K7" i="6" s="1"/>
  <c r="M7" i="6"/>
  <c r="L7" i="6"/>
  <c r="J7" i="6"/>
  <c r="I7" i="6"/>
  <c r="H7" i="6"/>
  <c r="AL6" i="6"/>
  <c r="AK6" i="6"/>
  <c r="BG6" i="6" s="1" a="1"/>
  <c r="AJ6" i="6"/>
  <c r="AI6" i="6"/>
  <c r="AG6" i="6"/>
  <c r="AF6" i="6"/>
  <c r="AE6" i="6"/>
  <c r="O6" i="6"/>
  <c r="N6" i="6"/>
  <c r="K6" i="6" s="1"/>
  <c r="M6" i="6"/>
  <c r="L6" i="6"/>
  <c r="J6" i="6"/>
  <c r="I6" i="6"/>
  <c r="H6" i="6"/>
  <c r="AL5" i="6"/>
  <c r="AK5" i="6"/>
  <c r="AJ5" i="6"/>
  <c r="AI5" i="6"/>
  <c r="AG5" i="6"/>
  <c r="AF5" i="6"/>
  <c r="AE5" i="6"/>
  <c r="O5" i="6"/>
  <c r="N5" i="6"/>
  <c r="K5" i="6" s="1"/>
  <c r="M5" i="6"/>
  <c r="L5" i="6"/>
  <c r="J5" i="6"/>
  <c r="I5" i="6"/>
  <c r="H5" i="6"/>
  <c r="AE1" i="6"/>
  <c r="H1" i="6"/>
  <c r="AZ18" i="5"/>
  <c r="AY18" i="5"/>
  <c r="AX18" i="5"/>
  <c r="AW18" i="5"/>
  <c r="AC18" i="5"/>
  <c r="AB18" i="5"/>
  <c r="AA18" i="5"/>
  <c r="Z18" i="5"/>
  <c r="AZ16" i="5"/>
  <c r="AY16" i="5"/>
  <c r="AX16" i="5"/>
  <c r="AW16" i="5"/>
  <c r="AC16" i="5"/>
  <c r="AB16" i="5"/>
  <c r="AA16" i="5"/>
  <c r="Z16" i="5"/>
  <c r="AL11" i="5"/>
  <c r="AK11" i="5"/>
  <c r="AH11" i="5" s="1"/>
  <c r="AJ11" i="5"/>
  <c r="AI11" i="5"/>
  <c r="AG11" i="5"/>
  <c r="AF11" i="5"/>
  <c r="AE11" i="5"/>
  <c r="O11" i="5"/>
  <c r="N11" i="5"/>
  <c r="K11" i="5" s="1"/>
  <c r="M11" i="5"/>
  <c r="L11" i="5"/>
  <c r="J11" i="5"/>
  <c r="I11" i="5"/>
  <c r="H11" i="5"/>
  <c r="AL10" i="5"/>
  <c r="AK10" i="5"/>
  <c r="AJ10" i="5"/>
  <c r="BE10" i="5" s="1"/>
  <c r="AI10" i="5"/>
  <c r="AG10" i="5"/>
  <c r="AF10" i="5"/>
  <c r="AE10" i="5"/>
  <c r="O10" i="5"/>
  <c r="N10" i="5"/>
  <c r="K10" i="5" s="1"/>
  <c r="M10" i="5"/>
  <c r="L10" i="5"/>
  <c r="J10" i="5"/>
  <c r="I10" i="5"/>
  <c r="H10" i="5"/>
  <c r="AL9" i="5"/>
  <c r="AK9" i="5"/>
  <c r="AH9" i="5" s="1"/>
  <c r="AJ9" i="5"/>
  <c r="AJ13" i="5" s="1"/>
  <c r="AI9" i="5"/>
  <c r="AI13" i="5" s="1"/>
  <c r="AG9" i="5"/>
  <c r="AF9" i="5"/>
  <c r="AE9" i="5"/>
  <c r="O9" i="5"/>
  <c r="N9" i="5"/>
  <c r="K9" i="5" s="1"/>
  <c r="K13" i="5" s="1"/>
  <c r="M9" i="5"/>
  <c r="M13" i="5" s="1"/>
  <c r="L9" i="5"/>
  <c r="L13" i="5" s="1"/>
  <c r="J9" i="5"/>
  <c r="J13" i="5" s="1"/>
  <c r="I9" i="5"/>
  <c r="H9" i="5"/>
  <c r="AL8" i="5"/>
  <c r="AK8" i="5"/>
  <c r="AH8" i="5" s="1"/>
  <c r="AJ8" i="5"/>
  <c r="AI8" i="5"/>
  <c r="AG8" i="5"/>
  <c r="AF8" i="5"/>
  <c r="AE8" i="5"/>
  <c r="O8" i="5"/>
  <c r="N8" i="5"/>
  <c r="K8" i="5" s="1"/>
  <c r="M8" i="5"/>
  <c r="L8" i="5"/>
  <c r="J8" i="5"/>
  <c r="I8" i="5"/>
  <c r="H8" i="5"/>
  <c r="BG7" i="5" a="1"/>
  <c r="AL7" i="5"/>
  <c r="AK7" i="5"/>
  <c r="AH7" i="5" s="1"/>
  <c r="AJ7" i="5"/>
  <c r="AI7" i="5"/>
  <c r="AG7" i="5"/>
  <c r="AF7" i="5"/>
  <c r="AE7" i="5"/>
  <c r="O7" i="5"/>
  <c r="N7" i="5"/>
  <c r="M7" i="5"/>
  <c r="L7" i="5"/>
  <c r="J7" i="5"/>
  <c r="I7" i="5"/>
  <c r="H7" i="5"/>
  <c r="AL6" i="5"/>
  <c r="AK6" i="5"/>
  <c r="AJ6" i="5"/>
  <c r="AI6" i="5"/>
  <c r="AG6" i="5"/>
  <c r="AF6" i="5"/>
  <c r="AE6" i="5"/>
  <c r="O6" i="5"/>
  <c r="N6" i="5"/>
  <c r="K6" i="5" s="1"/>
  <c r="M6" i="5"/>
  <c r="L6" i="5"/>
  <c r="J6" i="5"/>
  <c r="I6" i="5"/>
  <c r="H6" i="5"/>
  <c r="AL5" i="5"/>
  <c r="AK5" i="5"/>
  <c r="AJ5" i="5"/>
  <c r="AI5" i="5"/>
  <c r="AG5" i="5"/>
  <c r="AF5" i="5"/>
  <c r="AE5" i="5"/>
  <c r="O5" i="5"/>
  <c r="N5" i="5"/>
  <c r="M5" i="5"/>
  <c r="L5" i="5"/>
  <c r="J5" i="5"/>
  <c r="I5" i="5"/>
  <c r="H5" i="5"/>
  <c r="AE1" i="5"/>
  <c r="H1" i="5"/>
  <c r="BC46" i="3"/>
  <c r="BB46" i="3"/>
  <c r="BA46" i="3"/>
  <c r="AZ46" i="3"/>
  <c r="AE46" i="3"/>
  <c r="AD46" i="3"/>
  <c r="AC46" i="3"/>
  <c r="AB46" i="3"/>
  <c r="BC44" i="3"/>
  <c r="BB44" i="3"/>
  <c r="BA44" i="3"/>
  <c r="AZ44" i="3"/>
  <c r="AE44" i="3"/>
  <c r="AD44" i="3"/>
  <c r="AC44" i="3"/>
  <c r="AB44" i="3"/>
  <c r="BF39" i="3"/>
  <c r="AL39" i="3"/>
  <c r="AI39" i="3" s="1"/>
  <c r="AK39" i="3"/>
  <c r="AJ39" i="3"/>
  <c r="AH39" i="3"/>
  <c r="AG39" i="3"/>
  <c r="N39" i="3"/>
  <c r="K39" i="3" s="1"/>
  <c r="M39" i="3"/>
  <c r="L39" i="3"/>
  <c r="J39" i="3"/>
  <c r="I39" i="3"/>
  <c r="BF38" i="3"/>
  <c r="AL38" i="3"/>
  <c r="AI38" i="3" s="1"/>
  <c r="AK38" i="3"/>
  <c r="AJ38" i="3"/>
  <c r="AH38" i="3"/>
  <c r="AG38" i="3"/>
  <c r="N38" i="3"/>
  <c r="M38" i="3"/>
  <c r="L38" i="3"/>
  <c r="J38" i="3"/>
  <c r="I38" i="3"/>
  <c r="BF37" i="3"/>
  <c r="AL37" i="3"/>
  <c r="AK37" i="3"/>
  <c r="AJ37" i="3"/>
  <c r="AH37" i="3"/>
  <c r="AG37" i="3"/>
  <c r="N37" i="3"/>
  <c r="K37" i="3" s="1"/>
  <c r="M37" i="3"/>
  <c r="L37" i="3"/>
  <c r="J37" i="3"/>
  <c r="I37" i="3"/>
  <c r="BF36" i="3"/>
  <c r="AL36" i="3"/>
  <c r="AK36" i="3"/>
  <c r="AJ36" i="3"/>
  <c r="AH36" i="3"/>
  <c r="AG36" i="3"/>
  <c r="N36" i="3"/>
  <c r="K36" i="3" s="1"/>
  <c r="M36" i="3"/>
  <c r="L36" i="3"/>
  <c r="J36" i="3"/>
  <c r="I36" i="3"/>
  <c r="BH35" i="3" a="1"/>
  <c r="BF35" i="3"/>
  <c r="AL35" i="3"/>
  <c r="AI35" i="3" s="1"/>
  <c r="AK35" i="3"/>
  <c r="AJ35" i="3"/>
  <c r="AH35" i="3"/>
  <c r="AG35" i="3"/>
  <c r="N35" i="3"/>
  <c r="K35" i="3" s="1"/>
  <c r="M35" i="3"/>
  <c r="L35" i="3"/>
  <c r="J35" i="3"/>
  <c r="I35" i="3"/>
  <c r="BF34" i="3"/>
  <c r="AL34" i="3"/>
  <c r="AI34" i="3" s="1"/>
  <c r="AK34" i="3"/>
  <c r="AJ34" i="3"/>
  <c r="AH34" i="3"/>
  <c r="AG34" i="3"/>
  <c r="N34" i="3"/>
  <c r="M34" i="3"/>
  <c r="L34" i="3"/>
  <c r="J34" i="3"/>
  <c r="I34" i="3"/>
  <c r="BF33" i="3"/>
  <c r="AL33" i="3"/>
  <c r="AI33" i="3" s="1"/>
  <c r="AK33" i="3"/>
  <c r="AJ33" i="3"/>
  <c r="AH33" i="3"/>
  <c r="AG33" i="3"/>
  <c r="N33" i="3"/>
  <c r="K33" i="3" s="1"/>
  <c r="M33" i="3"/>
  <c r="L33" i="3"/>
  <c r="J33" i="3"/>
  <c r="I33" i="3"/>
  <c r="BF32" i="3"/>
  <c r="AL32" i="3"/>
  <c r="AK32" i="3"/>
  <c r="AJ32" i="3"/>
  <c r="AH32" i="3"/>
  <c r="AG32" i="3"/>
  <c r="N32" i="3"/>
  <c r="K32" i="3" s="1"/>
  <c r="M32" i="3"/>
  <c r="L32" i="3"/>
  <c r="J32" i="3"/>
  <c r="I32" i="3"/>
  <c r="BF31" i="3"/>
  <c r="AL31" i="3"/>
  <c r="AI31" i="3" s="1"/>
  <c r="AK31" i="3"/>
  <c r="AJ31" i="3"/>
  <c r="AH31" i="3"/>
  <c r="AG31" i="3"/>
  <c r="N31" i="3"/>
  <c r="K31" i="3" s="1"/>
  <c r="M31" i="3"/>
  <c r="L31" i="3"/>
  <c r="J31" i="3"/>
  <c r="I31" i="3"/>
  <c r="BF30" i="3"/>
  <c r="AL30" i="3"/>
  <c r="AI30" i="3" s="1"/>
  <c r="AK30" i="3"/>
  <c r="AJ30" i="3"/>
  <c r="AH30" i="3"/>
  <c r="AG30" i="3"/>
  <c r="N30" i="3"/>
  <c r="M30" i="3"/>
  <c r="L30" i="3"/>
  <c r="J30" i="3"/>
  <c r="I30" i="3"/>
  <c r="BF29" i="3"/>
  <c r="AL29" i="3"/>
  <c r="AI29" i="3" s="1"/>
  <c r="AK29" i="3"/>
  <c r="AJ29" i="3"/>
  <c r="AH29" i="3"/>
  <c r="AG29" i="3"/>
  <c r="N29" i="3"/>
  <c r="K29" i="3" s="1"/>
  <c r="M29" i="3"/>
  <c r="L29" i="3"/>
  <c r="J29" i="3"/>
  <c r="I29" i="3"/>
  <c r="BF28" i="3"/>
  <c r="AL28" i="3"/>
  <c r="AK28" i="3"/>
  <c r="AJ28" i="3"/>
  <c r="AH28" i="3"/>
  <c r="AG28" i="3"/>
  <c r="N28" i="3"/>
  <c r="K28" i="3" s="1"/>
  <c r="M28" i="3"/>
  <c r="L28" i="3"/>
  <c r="J28" i="3"/>
  <c r="I28" i="3"/>
  <c r="BF27" i="3"/>
  <c r="AL27" i="3"/>
  <c r="AI27" i="3" s="1"/>
  <c r="AK27" i="3"/>
  <c r="AJ27" i="3"/>
  <c r="AH27" i="3"/>
  <c r="AG27" i="3"/>
  <c r="N27" i="3"/>
  <c r="K27" i="3" s="1"/>
  <c r="M27" i="3"/>
  <c r="L27" i="3"/>
  <c r="J27" i="3"/>
  <c r="I27" i="3"/>
  <c r="BF26" i="3"/>
  <c r="AL26" i="3"/>
  <c r="AI26" i="3" s="1"/>
  <c r="AK26" i="3"/>
  <c r="AJ26" i="3"/>
  <c r="AH26" i="3"/>
  <c r="AG26" i="3"/>
  <c r="N26" i="3"/>
  <c r="M26" i="3"/>
  <c r="L26" i="3"/>
  <c r="J26" i="3"/>
  <c r="I26" i="3"/>
  <c r="BF25" i="3"/>
  <c r="AL25" i="3"/>
  <c r="AI25" i="3" s="1"/>
  <c r="AK25" i="3"/>
  <c r="AJ25" i="3"/>
  <c r="AH25" i="3"/>
  <c r="AG25" i="3"/>
  <c r="N25" i="3"/>
  <c r="K25" i="3" s="1"/>
  <c r="M25" i="3"/>
  <c r="L25" i="3"/>
  <c r="J25" i="3"/>
  <c r="I25" i="3"/>
  <c r="BF24" i="3"/>
  <c r="AL24" i="3"/>
  <c r="AK24" i="3"/>
  <c r="AJ24" i="3"/>
  <c r="AH24" i="3"/>
  <c r="AG24" i="3"/>
  <c r="N24" i="3"/>
  <c r="K24" i="3" s="1"/>
  <c r="M24" i="3"/>
  <c r="L24" i="3"/>
  <c r="J24" i="3"/>
  <c r="I24" i="3"/>
  <c r="BF23" i="3"/>
  <c r="AL23" i="3"/>
  <c r="AI23" i="3" s="1"/>
  <c r="AK23" i="3"/>
  <c r="AJ23" i="3"/>
  <c r="AH23" i="3"/>
  <c r="AG23" i="3"/>
  <c r="N23" i="3"/>
  <c r="K23" i="3" s="1"/>
  <c r="M23" i="3"/>
  <c r="L23" i="3"/>
  <c r="J23" i="3"/>
  <c r="I23" i="3"/>
  <c r="BF22" i="3"/>
  <c r="AL22" i="3"/>
  <c r="AK22" i="3"/>
  <c r="AJ22" i="3"/>
  <c r="AH22" i="3"/>
  <c r="AG22" i="3"/>
  <c r="N22" i="3"/>
  <c r="K22" i="3" s="1"/>
  <c r="M22" i="3"/>
  <c r="L22" i="3"/>
  <c r="J22" i="3"/>
  <c r="I22" i="3"/>
  <c r="BF21" i="3"/>
  <c r="AL21" i="3"/>
  <c r="AK21" i="3"/>
  <c r="AJ21" i="3"/>
  <c r="AH21" i="3"/>
  <c r="AG21" i="3"/>
  <c r="N21" i="3"/>
  <c r="K21" i="3" s="1"/>
  <c r="M21" i="3"/>
  <c r="L21" i="3"/>
  <c r="J21" i="3"/>
  <c r="I21" i="3"/>
  <c r="BF20" i="3"/>
  <c r="AL20" i="3"/>
  <c r="AI20" i="3" s="1"/>
  <c r="AK20" i="3"/>
  <c r="AJ20" i="3"/>
  <c r="AH20" i="3"/>
  <c r="AG20" i="3"/>
  <c r="N20" i="3"/>
  <c r="K20" i="3" s="1"/>
  <c r="M20" i="3"/>
  <c r="L20" i="3"/>
  <c r="J20" i="3"/>
  <c r="I20" i="3"/>
  <c r="BF19" i="3"/>
  <c r="AL19" i="3"/>
  <c r="AI19" i="3" s="1"/>
  <c r="AK19" i="3"/>
  <c r="AJ19" i="3"/>
  <c r="AH19" i="3"/>
  <c r="AG19" i="3"/>
  <c r="N19" i="3"/>
  <c r="K19" i="3" s="1"/>
  <c r="M19" i="3"/>
  <c r="L19" i="3"/>
  <c r="J19" i="3"/>
  <c r="I19" i="3"/>
  <c r="BF18" i="3"/>
  <c r="AL18" i="3"/>
  <c r="AK18" i="3"/>
  <c r="AJ18" i="3"/>
  <c r="AH18" i="3"/>
  <c r="AG18" i="3"/>
  <c r="N18" i="3"/>
  <c r="K18" i="3" s="1"/>
  <c r="M18" i="3"/>
  <c r="L18" i="3"/>
  <c r="J18" i="3"/>
  <c r="I18" i="3"/>
  <c r="BG17" i="3"/>
  <c r="BF17" i="3"/>
  <c r="AL17" i="3"/>
  <c r="AI17" i="3" s="1"/>
  <c r="AK17" i="3"/>
  <c r="AJ17" i="3"/>
  <c r="AH17" i="3"/>
  <c r="AG17" i="3"/>
  <c r="N17" i="3"/>
  <c r="K17" i="3" s="1"/>
  <c r="M17" i="3"/>
  <c r="L17" i="3"/>
  <c r="J17" i="3"/>
  <c r="I17" i="3"/>
  <c r="BF16" i="3"/>
  <c r="AL16" i="3"/>
  <c r="AI16" i="3" s="1"/>
  <c r="AK16" i="3"/>
  <c r="AJ16" i="3"/>
  <c r="AH16" i="3"/>
  <c r="AG16" i="3"/>
  <c r="N16" i="3"/>
  <c r="M16" i="3"/>
  <c r="L16" i="3"/>
  <c r="J16" i="3"/>
  <c r="I16" i="3"/>
  <c r="BF15" i="3"/>
  <c r="AL15" i="3"/>
  <c r="AI15" i="3" s="1"/>
  <c r="AK15" i="3"/>
  <c r="AJ15" i="3"/>
  <c r="AH15" i="3"/>
  <c r="AG15" i="3"/>
  <c r="N15" i="3"/>
  <c r="M15" i="3"/>
  <c r="L15" i="3"/>
  <c r="J15" i="3"/>
  <c r="I15" i="3"/>
  <c r="BF14" i="3"/>
  <c r="AL14" i="3"/>
  <c r="AK14" i="3"/>
  <c r="AJ14" i="3"/>
  <c r="AH14" i="3"/>
  <c r="AG14" i="3"/>
  <c r="N14" i="3"/>
  <c r="K14" i="3" s="1"/>
  <c r="M14" i="3"/>
  <c r="L14" i="3"/>
  <c r="J14" i="3"/>
  <c r="I14" i="3"/>
  <c r="BF13" i="3"/>
  <c r="AL13" i="3"/>
  <c r="AI13" i="3" s="1"/>
  <c r="AK13" i="3"/>
  <c r="AJ13" i="3"/>
  <c r="AH13" i="3"/>
  <c r="AG13" i="3"/>
  <c r="N13" i="3"/>
  <c r="K13" i="3" s="1"/>
  <c r="M13" i="3"/>
  <c r="L13" i="3"/>
  <c r="J13" i="3"/>
  <c r="I13" i="3"/>
  <c r="BF12" i="3"/>
  <c r="AL12" i="3"/>
  <c r="AI12" i="3" s="1"/>
  <c r="AK12" i="3"/>
  <c r="AJ12" i="3"/>
  <c r="AH12" i="3"/>
  <c r="AG12" i="3"/>
  <c r="N12" i="3"/>
  <c r="M12" i="3"/>
  <c r="L12" i="3"/>
  <c r="J12" i="3"/>
  <c r="I12" i="3"/>
  <c r="BF11" i="3"/>
  <c r="AL11" i="3"/>
  <c r="AI11" i="3" s="1"/>
  <c r="AK11" i="3"/>
  <c r="AJ11" i="3"/>
  <c r="AH11" i="3"/>
  <c r="AG11" i="3"/>
  <c r="N11" i="3"/>
  <c r="M11" i="3"/>
  <c r="L11" i="3"/>
  <c r="J11" i="3"/>
  <c r="I11" i="3"/>
  <c r="BF10" i="3"/>
  <c r="AL10" i="3"/>
  <c r="AK10" i="3"/>
  <c r="AJ10" i="3"/>
  <c r="AH10" i="3"/>
  <c r="AG10" i="3"/>
  <c r="N10" i="3"/>
  <c r="M10" i="3"/>
  <c r="L10" i="3"/>
  <c r="J10" i="3"/>
  <c r="I10" i="3"/>
  <c r="BF9" i="3"/>
  <c r="AL9" i="3"/>
  <c r="AI9" i="3" s="1"/>
  <c r="AK9" i="3"/>
  <c r="AJ9" i="3"/>
  <c r="AH9" i="3"/>
  <c r="AG9" i="3"/>
  <c r="N9" i="3"/>
  <c r="K9" i="3" s="1"/>
  <c r="M9" i="3"/>
  <c r="L9" i="3"/>
  <c r="J9" i="3"/>
  <c r="I9" i="3"/>
  <c r="BF8" i="3"/>
  <c r="AL8" i="3"/>
  <c r="AI8" i="3" s="1"/>
  <c r="AK8" i="3"/>
  <c r="AJ8" i="3"/>
  <c r="AH8" i="3"/>
  <c r="AG8" i="3"/>
  <c r="N8" i="3"/>
  <c r="M8" i="3"/>
  <c r="L8" i="3"/>
  <c r="J8" i="3"/>
  <c r="I8" i="3"/>
  <c r="BF7" i="3"/>
  <c r="AL7" i="3"/>
  <c r="AI7" i="3" s="1"/>
  <c r="AK7" i="3"/>
  <c r="AJ7" i="3"/>
  <c r="AH7" i="3"/>
  <c r="AG7" i="3"/>
  <c r="N7" i="3"/>
  <c r="M7" i="3"/>
  <c r="L7" i="3"/>
  <c r="J7" i="3"/>
  <c r="I7" i="3"/>
  <c r="BF6" i="3"/>
  <c r="AL6" i="3"/>
  <c r="BG6" i="3" s="1"/>
  <c r="AK6" i="3"/>
  <c r="AJ6" i="3"/>
  <c r="AH6" i="3"/>
  <c r="AG6" i="3"/>
  <c r="N6" i="3"/>
  <c r="K6" i="3" s="1"/>
  <c r="M6" i="3"/>
  <c r="L6" i="3"/>
  <c r="J6" i="3"/>
  <c r="I6" i="3"/>
  <c r="BF5" i="3"/>
  <c r="AL5" i="3"/>
  <c r="AI5" i="3" s="1"/>
  <c r="AK5" i="3"/>
  <c r="AJ5" i="3"/>
  <c r="AH5" i="3"/>
  <c r="AG5" i="3"/>
  <c r="N5" i="3"/>
  <c r="K5" i="3" s="1"/>
  <c r="M5" i="3"/>
  <c r="L5" i="3"/>
  <c r="J5" i="3"/>
  <c r="I5" i="3"/>
  <c r="AG1" i="3"/>
  <c r="I1" i="3"/>
  <c r="B2" i="2"/>
  <c r="B1" i="2"/>
  <c r="BM10" i="3"/>
  <c r="BS15" i="3"/>
  <c r="BP15" i="7"/>
  <c r="BQ5" i="7"/>
  <c r="BM5" i="7"/>
  <c r="BM20" i="3"/>
  <c r="BT20" i="7"/>
  <c r="BJ25" i="3"/>
  <c r="BS25" i="7"/>
  <c r="BT30" i="3"/>
  <c r="BS10" i="7"/>
  <c r="BQ5" i="3"/>
  <c r="BK10" i="3"/>
  <c r="BS5" i="3"/>
  <c r="BQ30" i="7"/>
  <c r="BK35" i="3"/>
  <c r="BR20" i="7"/>
  <c r="BR10" i="7"/>
  <c r="BS20" i="3"/>
  <c r="BR10" i="3"/>
  <c r="BK10" i="7"/>
  <c r="BP35" i="3"/>
  <c r="BL5" i="3"/>
  <c r="BK20" i="7"/>
  <c r="BP10" i="7"/>
  <c r="BJ5" i="3"/>
  <c r="BT25" i="7"/>
  <c r="BM15" i="3"/>
  <c r="BL25" i="3"/>
  <c r="BK30" i="3"/>
  <c r="BQ15" i="7"/>
  <c r="BN25" i="3"/>
  <c r="BK30" i="7"/>
  <c r="BP15" i="3"/>
  <c r="BP20" i="7"/>
  <c r="BL15" i="3"/>
  <c r="BR20" i="3"/>
  <c r="BR35" i="3"/>
  <c r="BL15" i="7"/>
  <c r="BP5" i="7"/>
  <c r="BS35" i="3"/>
  <c r="BT30" i="7"/>
  <c r="BQ20" i="3"/>
  <c r="BT15" i="7"/>
  <c r="BJ30" i="3"/>
  <c r="BQ30" i="3"/>
  <c r="BN5" i="7"/>
  <c r="BP25" i="7"/>
  <c r="BT10" i="3"/>
  <c r="BQ35" i="3"/>
  <c r="BS25" i="3"/>
  <c r="BR25" i="7"/>
  <c r="BP5" i="3"/>
  <c r="BL5" i="7"/>
  <c r="BM5" i="3"/>
  <c r="BT5" i="7"/>
  <c r="BP10" i="3"/>
  <c r="BQ15" i="3"/>
  <c r="BN10" i="7"/>
  <c r="BL10" i="3"/>
  <c r="BR30" i="3"/>
  <c r="BS5" i="7"/>
  <c r="BR15" i="7"/>
  <c r="BN20" i="7"/>
  <c r="BJ10" i="3"/>
  <c r="BM25" i="7"/>
  <c r="BR5" i="7"/>
  <c r="BR15" i="3"/>
  <c r="BN10" i="3"/>
  <c r="BS35" i="7"/>
  <c r="BP25" i="3"/>
  <c r="BQ10" i="3"/>
  <c r="BT15" i="3"/>
  <c r="BM10" i="7"/>
  <c r="BQ25" i="7"/>
  <c r="BN20" i="3"/>
  <c r="BM35" i="7"/>
  <c r="BQ25" i="3"/>
  <c r="BN35" i="3"/>
  <c r="BL20" i="7"/>
  <c r="BN30" i="3"/>
  <c r="BK25" i="3"/>
  <c r="BP30" i="7"/>
  <c r="BP35" i="7"/>
  <c r="BM35" i="3"/>
  <c r="BM25" i="3"/>
  <c r="BL20" i="3"/>
  <c r="BL35" i="3"/>
  <c r="BR25" i="3"/>
  <c r="BT25" i="3"/>
  <c r="BJ35" i="3"/>
  <c r="BM20" i="7"/>
  <c r="BS20" i="7"/>
  <c r="BN30" i="7"/>
  <c r="BN35" i="7"/>
  <c r="BS30" i="7"/>
  <c r="BN5" i="3"/>
  <c r="BT20" i="3"/>
  <c r="BQ20" i="7"/>
  <c r="BR30" i="7"/>
  <c r="BL25" i="7"/>
  <c r="BM15" i="7"/>
  <c r="BN25" i="7"/>
  <c r="BS15" i="7"/>
  <c r="BL30" i="3"/>
  <c r="BL10" i="7"/>
  <c r="BL35" i="7"/>
  <c r="BT5" i="3"/>
  <c r="BQ35" i="7"/>
  <c r="BT35" i="7"/>
  <c r="BN15" i="7"/>
  <c r="BM30" i="7"/>
  <c r="BR5" i="3"/>
  <c r="BK20" i="3"/>
  <c r="BT35" i="3"/>
  <c r="BP20" i="3"/>
  <c r="BL30" i="7"/>
  <c r="BN15" i="3"/>
  <c r="BR35" i="7"/>
  <c r="BJ20" i="7"/>
  <c r="BS10" i="3"/>
  <c r="BM30" i="3"/>
  <c r="BP30" i="3"/>
  <c r="BS30" i="3"/>
  <c r="BT10" i="7"/>
  <c r="BQ10" i="7"/>
  <c r="BG13" i="3" l="1"/>
  <c r="BG16" i="3"/>
  <c r="BG36" i="3"/>
  <c r="BG31" i="7"/>
  <c r="AI14" i="6"/>
  <c r="AH6" i="6"/>
  <c r="BB11" i="6"/>
  <c r="BC8" i="5"/>
  <c r="BG32" i="3"/>
  <c r="BG20" i="3"/>
  <c r="BH10" i="3" a="1"/>
  <c r="BH25" i="3" a="1"/>
  <c r="BH30" i="3" a="1"/>
  <c r="BE8" i="5"/>
  <c r="BE8" i="6"/>
  <c r="BE12" i="7"/>
  <c r="BG20" i="7"/>
  <c r="BE6" i="5"/>
  <c r="AZ47" i="3"/>
  <c r="BF6" i="5"/>
  <c r="BE36" i="7"/>
  <c r="BH15" i="3" a="1"/>
  <c r="BH15" i="3" s="1"/>
  <c r="BG11" i="6"/>
  <c r="BG38" i="7"/>
  <c r="BG22" i="3"/>
  <c r="BB45" i="3"/>
  <c r="BG6" i="5" a="1"/>
  <c r="BG10" i="5" a="1"/>
  <c r="BG5" i="6" a="1"/>
  <c r="M42" i="7"/>
  <c r="BB7" i="6"/>
  <c r="BF6" i="6"/>
  <c r="BE10" i="6"/>
  <c r="AG14" i="6"/>
  <c r="BB14" i="6" s="1"/>
  <c r="E33" i="1" s="1"/>
  <c r="BD5" i="5"/>
  <c r="BD10" i="5"/>
  <c r="AG14" i="5"/>
  <c r="BF5" i="5"/>
  <c r="AZ19" i="5"/>
  <c r="BB47" i="3"/>
  <c r="C14" i="1" s="1"/>
  <c r="AI20" i="7"/>
  <c r="BE20" i="7" s="1"/>
  <c r="AJ15" i="6"/>
  <c r="BF10" i="6"/>
  <c r="AJ14" i="5"/>
  <c r="BE11" i="5"/>
  <c r="AG15" i="5"/>
  <c r="BF7" i="5"/>
  <c r="BB8" i="5"/>
  <c r="BB11" i="5"/>
  <c r="BG35" i="3"/>
  <c r="BG8" i="3"/>
  <c r="AH41" i="3"/>
  <c r="K38" i="7"/>
  <c r="BE38" i="7" s="1"/>
  <c r="BB47" i="7"/>
  <c r="C48" i="1" s="1"/>
  <c r="M41" i="7"/>
  <c r="BE26" i="7"/>
  <c r="BC45" i="7"/>
  <c r="L41" i="7"/>
  <c r="BE28" i="7"/>
  <c r="L42" i="7"/>
  <c r="L43" i="7"/>
  <c r="J41" i="7"/>
  <c r="BG5" i="6"/>
  <c r="BC7" i="6"/>
  <c r="AW19" i="6"/>
  <c r="K5" i="5"/>
  <c r="BG6" i="5"/>
  <c r="M14" i="5"/>
  <c r="BE14" i="5" s="1"/>
  <c r="D21" i="1" s="1"/>
  <c r="BE5" i="5"/>
  <c r="AZ17" i="5"/>
  <c r="AX19" i="5"/>
  <c r="BG14" i="3"/>
  <c r="BG18" i="3"/>
  <c r="BG21" i="3"/>
  <c r="BC45" i="3"/>
  <c r="BG33" i="3"/>
  <c r="BG37" i="3"/>
  <c r="BE39" i="3"/>
  <c r="BC47" i="3"/>
  <c r="AK42" i="7"/>
  <c r="BA47" i="7"/>
  <c r="AJ42" i="7"/>
  <c r="BG24" i="7"/>
  <c r="BG26" i="7"/>
  <c r="BG14" i="7"/>
  <c r="BA45" i="7"/>
  <c r="BC47" i="7"/>
  <c r="AJ43" i="7"/>
  <c r="AJ41" i="7"/>
  <c r="BE5" i="6"/>
  <c r="BB6" i="6"/>
  <c r="BD13" i="6"/>
  <c r="BD8" i="6"/>
  <c r="AJ14" i="6"/>
  <c r="BC6" i="6"/>
  <c r="BE9" i="6"/>
  <c r="AH11" i="6"/>
  <c r="AH14" i="6" s="1"/>
  <c r="BG7" i="5"/>
  <c r="BE9" i="5"/>
  <c r="BF11" i="5"/>
  <c r="BB7" i="5"/>
  <c r="BH35" i="3"/>
  <c r="BG39" i="3"/>
  <c r="AK40" i="3"/>
  <c r="BG7" i="3"/>
  <c r="BG9" i="3"/>
  <c r="BG38" i="3"/>
  <c r="AJ40" i="3"/>
  <c r="BH10" i="3"/>
  <c r="AY19" i="6"/>
  <c r="C36" i="1" s="1"/>
  <c r="AZ19" i="6"/>
  <c r="AW17" i="6"/>
  <c r="M13" i="6"/>
  <c r="BE13" i="6" s="1"/>
  <c r="D32" i="1" s="1"/>
  <c r="AY17" i="6"/>
  <c r="L15" i="6"/>
  <c r="AZ17" i="6"/>
  <c r="BD5" i="6"/>
  <c r="BD7" i="6"/>
  <c r="BG6" i="6"/>
  <c r="BE7" i="6"/>
  <c r="M14" i="6"/>
  <c r="BF5" i="6"/>
  <c r="BB8" i="6"/>
  <c r="BD9" i="5"/>
  <c r="K7" i="5"/>
  <c r="BC7" i="5" s="1"/>
  <c r="BG10" i="5"/>
  <c r="L12" i="5"/>
  <c r="BD6" i="5"/>
  <c r="AY19" i="5"/>
  <c r="C24" i="1" s="1"/>
  <c r="BD8" i="5"/>
  <c r="AX17" i="5"/>
  <c r="BD13" i="5"/>
  <c r="AY17" i="5"/>
  <c r="BE13" i="5"/>
  <c r="D20" i="1" s="1"/>
  <c r="L14" i="5"/>
  <c r="BG5" i="3"/>
  <c r="BG15" i="3"/>
  <c r="BE31" i="3"/>
  <c r="BG11" i="3"/>
  <c r="BG12" i="3"/>
  <c r="BH30" i="3"/>
  <c r="BG34" i="3"/>
  <c r="BE23" i="3"/>
  <c r="BG26" i="3"/>
  <c r="BG31" i="3"/>
  <c r="AH40" i="3"/>
  <c r="AH43" i="3"/>
  <c r="AI21" i="3"/>
  <c r="BE21" i="3" s="1"/>
  <c r="AI22" i="3"/>
  <c r="BE22" i="3" s="1"/>
  <c r="AI37" i="3"/>
  <c r="BE37" i="3" s="1"/>
  <c r="AK41" i="3"/>
  <c r="BG23" i="3"/>
  <c r="BG25" i="3"/>
  <c r="BE29" i="3"/>
  <c r="M42" i="3"/>
  <c r="BA47" i="3"/>
  <c r="BH25" i="3"/>
  <c r="BH41" i="3" s="1"/>
  <c r="BE27" i="3"/>
  <c r="AZ45" i="3"/>
  <c r="BG28" i="3"/>
  <c r="BG29" i="3"/>
  <c r="BA45" i="3"/>
  <c r="BG27" i="3"/>
  <c r="BE13" i="3"/>
  <c r="BE20" i="3"/>
  <c r="BE35" i="3"/>
  <c r="J43" i="3"/>
  <c r="BE9" i="3"/>
  <c r="BE17" i="3"/>
  <c r="J42" i="3"/>
  <c r="L42" i="3"/>
  <c r="AK43" i="7"/>
  <c r="BG28" i="7"/>
  <c r="BG22" i="7"/>
  <c r="BG36" i="7"/>
  <c r="BG12" i="7"/>
  <c r="AH42" i="7"/>
  <c r="AK41" i="7"/>
  <c r="BE14" i="7"/>
  <c r="BG6" i="7"/>
  <c r="BE16" i="7"/>
  <c r="BG30" i="7"/>
  <c r="C47" i="1"/>
  <c r="J43" i="7"/>
  <c r="BG8" i="7"/>
  <c r="BE18" i="7"/>
  <c r="BG32" i="7"/>
  <c r="BG10" i="7"/>
  <c r="BG34" i="7"/>
  <c r="BG39" i="7"/>
  <c r="BB45" i="7"/>
  <c r="BE22" i="7"/>
  <c r="BE24" i="7"/>
  <c r="L40" i="7"/>
  <c r="BG16" i="7"/>
  <c r="BG18" i="7"/>
  <c r="BE34" i="7"/>
  <c r="BE6" i="7"/>
  <c r="BE8" i="7"/>
  <c r="BE32" i="7"/>
  <c r="BQ41" i="3"/>
  <c r="BQ42" i="7"/>
  <c r="BR41" i="3"/>
  <c r="BL43" i="7"/>
  <c r="E46" i="1" s="1"/>
  <c r="BR41" i="7"/>
  <c r="BR42" i="7"/>
  <c r="BS41" i="3"/>
  <c r="BM43" i="7"/>
  <c r="F46" i="1" s="1"/>
  <c r="BS41" i="7"/>
  <c r="K44" i="1" s="1"/>
  <c r="BT41" i="3"/>
  <c r="BT42" i="3"/>
  <c r="BN40" i="7"/>
  <c r="G43" i="1" s="1"/>
  <c r="BN43" i="7"/>
  <c r="G46" i="1" s="1"/>
  <c r="BK41" i="3"/>
  <c r="D10" i="1" s="1"/>
  <c r="BK42" i="3"/>
  <c r="D11" i="1" s="1"/>
  <c r="BL43" i="3"/>
  <c r="E12" i="1" s="1"/>
  <c r="BL40" i="3"/>
  <c r="E9" i="1" s="1"/>
  <c r="BL41" i="3"/>
  <c r="E10" i="1" s="1"/>
  <c r="BL42" i="3"/>
  <c r="E11" i="1" s="1"/>
  <c r="BT40" i="7"/>
  <c r="BT43" i="7"/>
  <c r="BL41" i="7"/>
  <c r="E44" i="1" s="1"/>
  <c r="BL42" i="7"/>
  <c r="E45" i="1" s="1"/>
  <c r="BJ41" i="3"/>
  <c r="C10" i="1" s="1"/>
  <c r="BM41" i="3"/>
  <c r="F10" i="1" s="1"/>
  <c r="BJ42" i="3"/>
  <c r="C11" i="1" s="1"/>
  <c r="BM42" i="3"/>
  <c r="F11" i="1" s="1"/>
  <c r="BM41" i="7"/>
  <c r="F44" i="1" s="1"/>
  <c r="BM42" i="7"/>
  <c r="F45" i="1" s="1"/>
  <c r="BM40" i="3"/>
  <c r="F9" i="1" s="1"/>
  <c r="BM43" i="3"/>
  <c r="F12" i="1" s="1"/>
  <c r="BN41" i="3"/>
  <c r="G10" i="1" s="1"/>
  <c r="BN42" i="3"/>
  <c r="G11" i="1" s="1"/>
  <c r="BN41" i="7"/>
  <c r="G44" i="1" s="1"/>
  <c r="BN42" i="7"/>
  <c r="G45" i="1" s="1"/>
  <c r="BT42" i="7"/>
  <c r="BP41" i="7"/>
  <c r="H44" i="1" s="1"/>
  <c r="BP42" i="7"/>
  <c r="BE5" i="3"/>
  <c r="C13" i="1"/>
  <c r="BE19" i="3"/>
  <c r="L14" i="6"/>
  <c r="BD14" i="6" s="1"/>
  <c r="BD11" i="6"/>
  <c r="BG8" i="6" a="1"/>
  <c r="BG8" i="6" s="1"/>
  <c r="BF8" i="6"/>
  <c r="K8" i="6"/>
  <c r="BC8" i="6" s="1"/>
  <c r="AI6" i="3"/>
  <c r="BE6" i="3" s="1"/>
  <c r="K8" i="3"/>
  <c r="BE8" i="3" s="1"/>
  <c r="AI10" i="3"/>
  <c r="K12" i="3"/>
  <c r="BE12" i="3" s="1"/>
  <c r="AI14" i="3"/>
  <c r="BE14" i="3" s="1"/>
  <c r="K16" i="3"/>
  <c r="BE16" i="3" s="1"/>
  <c r="AI18" i="3"/>
  <c r="BE18" i="3" s="1"/>
  <c r="BH20" i="3" a="1"/>
  <c r="BH20" i="3" s="1"/>
  <c r="AJ43" i="3"/>
  <c r="J13" i="6"/>
  <c r="BB9" i="6"/>
  <c r="M43" i="7"/>
  <c r="M40" i="7"/>
  <c r="K15" i="7"/>
  <c r="BQ41" i="7"/>
  <c r="BP43" i="3"/>
  <c r="BP40" i="3"/>
  <c r="C35" i="1"/>
  <c r="BR43" i="3"/>
  <c r="BR40" i="3"/>
  <c r="BP41" i="3"/>
  <c r="BQ40" i="3"/>
  <c r="AK43" i="3"/>
  <c r="M12" i="5"/>
  <c r="M15" i="5"/>
  <c r="AH10" i="5"/>
  <c r="AG12" i="5"/>
  <c r="K5" i="7"/>
  <c r="AH41" i="7"/>
  <c r="AI37" i="7"/>
  <c r="BE37" i="7" s="1"/>
  <c r="BG37" i="7"/>
  <c r="AG12" i="6"/>
  <c r="AG15" i="6"/>
  <c r="K25" i="7"/>
  <c r="K41" i="7" s="1"/>
  <c r="BG24" i="3"/>
  <c r="AI24" i="3"/>
  <c r="BE24" i="3" s="1"/>
  <c r="AJ41" i="3"/>
  <c r="BS40" i="3"/>
  <c r="BG9" i="5" a="1"/>
  <c r="BG9" i="5" s="1"/>
  <c r="BG13" i="5" s="1"/>
  <c r="AI15" i="5"/>
  <c r="J15" i="6"/>
  <c r="BQ43" i="7"/>
  <c r="BQ40" i="7"/>
  <c r="AI21" i="7"/>
  <c r="BE21" i="7" s="1"/>
  <c r="BG21" i="7"/>
  <c r="BH20" i="7" a="1"/>
  <c r="BH20" i="7" s="1"/>
  <c r="BE30" i="7"/>
  <c r="BS42" i="7"/>
  <c r="AI33" i="7"/>
  <c r="BE33" i="7" s="1"/>
  <c r="BG33" i="7"/>
  <c r="BT40" i="3"/>
  <c r="L43" i="3"/>
  <c r="L40" i="3"/>
  <c r="AH42" i="3"/>
  <c r="BQ43" i="3"/>
  <c r="BB6" i="5"/>
  <c r="L12" i="6"/>
  <c r="BE10" i="7"/>
  <c r="AI13" i="7"/>
  <c r="BE13" i="7" s="1"/>
  <c r="BG13" i="7"/>
  <c r="BG19" i="7"/>
  <c r="AI19" i="7"/>
  <c r="BE19" i="7" s="1"/>
  <c r="AI25" i="7"/>
  <c r="BG25" i="7"/>
  <c r="AI29" i="7"/>
  <c r="BE29" i="7" s="1"/>
  <c r="BG29" i="7"/>
  <c r="BC9" i="5"/>
  <c r="AH13" i="5"/>
  <c r="BC13" i="5" s="1"/>
  <c r="K35" i="7"/>
  <c r="BG11" i="7"/>
  <c r="AI11" i="7"/>
  <c r="BE11" i="7" s="1"/>
  <c r="AI17" i="7"/>
  <c r="BE17" i="7" s="1"/>
  <c r="BG17" i="7"/>
  <c r="M43" i="3"/>
  <c r="M40" i="3"/>
  <c r="BH5" i="3" a="1"/>
  <c r="BH5" i="3" s="1"/>
  <c r="BE25" i="3"/>
  <c r="J40" i="3"/>
  <c r="BS43" i="3"/>
  <c r="BB5" i="5"/>
  <c r="BG8" i="5" a="1"/>
  <c r="BG8" i="5" s="1"/>
  <c r="J14" i="5"/>
  <c r="BB10" i="5"/>
  <c r="AW19" i="5"/>
  <c r="M12" i="6"/>
  <c r="K14" i="6"/>
  <c r="BB13" i="6"/>
  <c r="BG7" i="7"/>
  <c r="AI7" i="7"/>
  <c r="BE7" i="7" s="1"/>
  <c r="BH15" i="7" a="1"/>
  <c r="BH15" i="7" s="1"/>
  <c r="BG15" i="7"/>
  <c r="AI15" i="7"/>
  <c r="BH30" i="7" a="1"/>
  <c r="BH30" i="7" s="1"/>
  <c r="AK40" i="7"/>
  <c r="AH9" i="6"/>
  <c r="BG9" i="6" a="1"/>
  <c r="BG9" i="6" s="1"/>
  <c r="BG13" i="6" s="1"/>
  <c r="AJ15" i="5"/>
  <c r="BB5" i="6"/>
  <c r="BC10" i="6"/>
  <c r="AH43" i="7"/>
  <c r="BG27" i="7"/>
  <c r="K10" i="3"/>
  <c r="BG10" i="3"/>
  <c r="J41" i="3"/>
  <c r="AJ42" i="3"/>
  <c r="BT43" i="3"/>
  <c r="BD6" i="6"/>
  <c r="AI5" i="7"/>
  <c r="BG5" i="7"/>
  <c r="AI9" i="7"/>
  <c r="BE9" i="7" s="1"/>
  <c r="BG9" i="7"/>
  <c r="BH25" i="7" a="1"/>
  <c r="BH25" i="7" s="1"/>
  <c r="BH41" i="7" s="1"/>
  <c r="BH35" i="7" a="1"/>
  <c r="BH35" i="7" s="1"/>
  <c r="AK42" i="3"/>
  <c r="BR42" i="3"/>
  <c r="BE33" i="3"/>
  <c r="BB9" i="5"/>
  <c r="AG13" i="5"/>
  <c r="BB13" i="5" s="1"/>
  <c r="BF10" i="5"/>
  <c r="AI14" i="5"/>
  <c r="BD11" i="5"/>
  <c r="BE6" i="6"/>
  <c r="BH10" i="7" a="1"/>
  <c r="BH10" i="7" s="1"/>
  <c r="J42" i="7"/>
  <c r="BG23" i="7"/>
  <c r="AI23" i="7"/>
  <c r="BE23" i="7" s="1"/>
  <c r="BG19" i="3"/>
  <c r="L41" i="3"/>
  <c r="BS42" i="3"/>
  <c r="BP42" i="3"/>
  <c r="AH5" i="5"/>
  <c r="BG5" i="5" a="1"/>
  <c r="BG5" i="5" s="1"/>
  <c r="BD7" i="5"/>
  <c r="K14" i="5"/>
  <c r="AW17" i="5"/>
  <c r="AX17" i="6"/>
  <c r="BH5" i="7" a="1"/>
  <c r="BH5" i="7" s="1"/>
  <c r="BN43" i="3"/>
  <c r="G12" i="1" s="1"/>
  <c r="BN40" i="3"/>
  <c r="G9" i="1" s="1"/>
  <c r="K7" i="3"/>
  <c r="K11" i="3"/>
  <c r="BE11" i="3" s="1"/>
  <c r="K15" i="3"/>
  <c r="BE15" i="3" s="1"/>
  <c r="M41" i="3"/>
  <c r="J15" i="5"/>
  <c r="BB15" i="5" s="1"/>
  <c r="J12" i="5"/>
  <c r="BE7" i="5"/>
  <c r="BC11" i="5"/>
  <c r="K26" i="3"/>
  <c r="AI28" i="3"/>
  <c r="BE28" i="3" s="1"/>
  <c r="K30" i="3"/>
  <c r="BG30" i="3"/>
  <c r="AI32" i="3"/>
  <c r="BE32" i="3" s="1"/>
  <c r="K34" i="3"/>
  <c r="BE34" i="3" s="1"/>
  <c r="AI36" i="3"/>
  <c r="BE36" i="3" s="1"/>
  <c r="K38" i="3"/>
  <c r="BE38" i="3" s="1"/>
  <c r="BQ42" i="3"/>
  <c r="AH6" i="5"/>
  <c r="BC6" i="5" s="1"/>
  <c r="L15" i="5"/>
  <c r="AH5" i="6"/>
  <c r="BB10" i="6"/>
  <c r="AI12" i="6"/>
  <c r="BD12" i="6" s="1"/>
  <c r="M15" i="6"/>
  <c r="BE15" i="6" s="1"/>
  <c r="BP40" i="7"/>
  <c r="BT41" i="7"/>
  <c r="BP43" i="7"/>
  <c r="AI12" i="5"/>
  <c r="AJ12" i="6"/>
  <c r="AH40" i="7"/>
  <c r="AJ12" i="5"/>
  <c r="BD10" i="6"/>
  <c r="BE11" i="6"/>
  <c r="AI27" i="7"/>
  <c r="BE27" i="7" s="1"/>
  <c r="AI31" i="7"/>
  <c r="BE31" i="7" s="1"/>
  <c r="AI35" i="7"/>
  <c r="BE35" i="7" s="1"/>
  <c r="AI39" i="7"/>
  <c r="BE39" i="7" s="1"/>
  <c r="BR40" i="7"/>
  <c r="BR43" i="7"/>
  <c r="BD9" i="6"/>
  <c r="BF11" i="6"/>
  <c r="AI15" i="6"/>
  <c r="BD15" i="6" s="1"/>
  <c r="AJ40" i="7"/>
  <c r="BS40" i="7"/>
  <c r="BS43" i="7"/>
  <c r="BF9" i="5"/>
  <c r="BG11" i="5" a="1"/>
  <c r="BG11" i="5" s="1"/>
  <c r="BG10" i="6" a="1"/>
  <c r="BG10" i="6" s="1"/>
  <c r="J12" i="6"/>
  <c r="BF8" i="5"/>
  <c r="BF7" i="6"/>
  <c r="BG35" i="7"/>
  <c r="BG7" i="6" a="1"/>
  <c r="BG7" i="6" s="1"/>
  <c r="J40" i="7"/>
  <c r="BL40" i="7"/>
  <c r="E43" i="1" s="1"/>
  <c r="BM40" i="7"/>
  <c r="F43" i="1" s="1"/>
  <c r="BK15" i="3"/>
  <c r="BJ20" i="3"/>
  <c r="BJ35" i="7"/>
  <c r="BJ5" i="7"/>
  <c r="BJ25" i="7"/>
  <c r="BK5" i="7"/>
  <c r="BK25" i="7"/>
  <c r="BK35" i="7"/>
  <c r="BJ30" i="7"/>
  <c r="BJ15" i="3"/>
  <c r="BK15" i="7"/>
  <c r="BK5" i="3"/>
  <c r="BJ10" i="7"/>
  <c r="BJ15" i="7"/>
  <c r="K42" i="7" l="1"/>
  <c r="BD12" i="5"/>
  <c r="BG14" i="6"/>
  <c r="BB14" i="5"/>
  <c r="K12" i="5"/>
  <c r="BE12" i="5"/>
  <c r="BE14" i="6"/>
  <c r="AI41" i="3"/>
  <c r="BG15" i="6"/>
  <c r="BG12" i="6"/>
  <c r="BG14" i="5"/>
  <c r="BD14" i="5"/>
  <c r="BB12" i="5"/>
  <c r="E19" i="1" s="1"/>
  <c r="BH42" i="3"/>
  <c r="BC11" i="6"/>
  <c r="BB15" i="6"/>
  <c r="E34" i="1" s="1"/>
  <c r="BE15" i="5"/>
  <c r="D22" i="1" s="1"/>
  <c r="K15" i="5"/>
  <c r="AI42" i="3"/>
  <c r="K43" i="3"/>
  <c r="BE15" i="7"/>
  <c r="BJ41" i="7"/>
  <c r="C44" i="1" s="1"/>
  <c r="BK41" i="7"/>
  <c r="D44" i="1" s="1"/>
  <c r="BJ43" i="3"/>
  <c r="C12" i="1" s="1"/>
  <c r="BJ40" i="3"/>
  <c r="C9" i="1" s="1"/>
  <c r="BJ42" i="7"/>
  <c r="C45" i="1" s="1"/>
  <c r="BK42" i="7"/>
  <c r="D45" i="1" s="1"/>
  <c r="L11" i="1"/>
  <c r="L43" i="1"/>
  <c r="K10" i="1"/>
  <c r="I45" i="1"/>
  <c r="L46" i="1"/>
  <c r="H45" i="1"/>
  <c r="J45" i="1"/>
  <c r="I10" i="1"/>
  <c r="J44" i="1"/>
  <c r="L10" i="1"/>
  <c r="J10" i="1"/>
  <c r="L45" i="1"/>
  <c r="D34" i="1"/>
  <c r="E22" i="1"/>
  <c r="C20" i="1"/>
  <c r="BC5" i="5"/>
  <c r="AH15" i="5"/>
  <c r="AH12" i="5"/>
  <c r="BC12" i="5" s="1"/>
  <c r="L12" i="1"/>
  <c r="I12" i="1"/>
  <c r="J9" i="1"/>
  <c r="K42" i="3"/>
  <c r="BE30" i="3"/>
  <c r="E32" i="1"/>
  <c r="AI42" i="7"/>
  <c r="BE42" i="7" s="1"/>
  <c r="K46" i="1"/>
  <c r="BE26" i="3"/>
  <c r="K41" i="3"/>
  <c r="H11" i="1"/>
  <c r="BH43" i="3"/>
  <c r="BH40" i="3"/>
  <c r="J12" i="1"/>
  <c r="BJ43" i="7"/>
  <c r="C46" i="1" s="1"/>
  <c r="BJ40" i="7"/>
  <c r="C43" i="1" s="1"/>
  <c r="K11" i="1"/>
  <c r="D33" i="1"/>
  <c r="I43" i="1"/>
  <c r="AH14" i="5"/>
  <c r="BC14" i="5" s="1"/>
  <c r="BC10" i="5"/>
  <c r="AI41" i="7"/>
  <c r="BE41" i="7" s="1"/>
  <c r="BE25" i="7"/>
  <c r="I46" i="1"/>
  <c r="H9" i="1"/>
  <c r="AI40" i="3"/>
  <c r="J11" i="1"/>
  <c r="I11" i="1"/>
  <c r="BH42" i="7"/>
  <c r="C23" i="1"/>
  <c r="L9" i="1"/>
  <c r="BB12" i="6"/>
  <c r="H12" i="1"/>
  <c r="AI43" i="3"/>
  <c r="BE12" i="6"/>
  <c r="BH43" i="7"/>
  <c r="BH40" i="7"/>
  <c r="BE7" i="3"/>
  <c r="BK43" i="3"/>
  <c r="D12" i="1" s="1"/>
  <c r="BK40" i="3"/>
  <c r="D9" i="1" s="1"/>
  <c r="D19" i="1"/>
  <c r="E21" i="1"/>
  <c r="BD15" i="5"/>
  <c r="I9" i="1"/>
  <c r="I44" i="1"/>
  <c r="K40" i="3"/>
  <c r="J46" i="1"/>
  <c r="H46" i="1"/>
  <c r="E20" i="1"/>
  <c r="BG15" i="5"/>
  <c r="BG12" i="5"/>
  <c r="K43" i="1"/>
  <c r="BC5" i="6"/>
  <c r="AH15" i="6"/>
  <c r="AH12" i="6"/>
  <c r="BC9" i="6"/>
  <c r="AH13" i="6"/>
  <c r="BC13" i="6" s="1"/>
  <c r="J43" i="1"/>
  <c r="L44" i="1"/>
  <c r="K12" i="6"/>
  <c r="AI43" i="7"/>
  <c r="AI40" i="7"/>
  <c r="BE5" i="7"/>
  <c r="K45" i="1"/>
  <c r="K9" i="1"/>
  <c r="K43" i="7"/>
  <c r="K40" i="7"/>
  <c r="H10" i="1"/>
  <c r="BE10" i="3"/>
  <c r="H43" i="1"/>
  <c r="K15" i="6"/>
  <c r="BC14" i="6"/>
  <c r="K12" i="1"/>
  <c r="BK43" i="7"/>
  <c r="D46" i="1" s="1"/>
  <c r="BK40" i="7"/>
  <c r="D43" i="1" s="1"/>
  <c r="BE41" i="3" l="1"/>
  <c r="BE40" i="7"/>
  <c r="BE42" i="3"/>
  <c r="BC15" i="6"/>
  <c r="C34" i="1" s="1"/>
  <c r="BC15" i="5"/>
  <c r="C22" i="1" s="1"/>
  <c r="BE43" i="3"/>
  <c r="BE43" i="7"/>
  <c r="C33" i="1"/>
  <c r="BC12" i="6"/>
  <c r="C19" i="1"/>
  <c r="D31" i="1"/>
  <c r="C21" i="1"/>
  <c r="BE40" i="3"/>
  <c r="C32" i="1"/>
  <c r="E31" i="1"/>
  <c r="C31" i="1" l="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<sst xmlns="http://schemas.openxmlformats.org/spreadsheetml/2006/main" count="1459" uniqueCount="575">
  <si>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</si>
  <si>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</si>
  <si>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</si>
  <si>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</si>
  <si>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</si>
  <si>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</si>
  <si>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</si>
  <si>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</si>
  <si>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</si>
  <si>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</si>
  <si>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</si>
  <si>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</si>
  <si>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</si>
  <si>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</si>
  <si>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</si>
  <si>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</si>
  <si>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</si>
  <si>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</si>
  <si>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</si>
  <si>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</si>
  <si>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</si>
  <si>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</si>
  <si>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</si>
  <si>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</si>
  <si>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</si>
  <si>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</si>
  <si>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</si>
  <si>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</si>
  <si>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</si>
  <si>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</si>
  <si>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</si>
  <si>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</si>
  <si>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</si>
  <si>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</si>
  <si>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</si>
  <si>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</si>
  <si>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</si>
  <si>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</si>
  <si>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</si>
  <si>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</si>
  <si>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</si>
  <si>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</si>
  <si>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</si>
  <si>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</si>
  <si>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</si>
  <si>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</si>
  <si>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</si>
  <si>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</si>
  <si>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</si>
  <si>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</si>
  <si>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</si>
  <si>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</si>
  <si>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</si>
  <si>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</si>
  <si>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</si>
  <si>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</si>
  <si>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</si>
  <si>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</si>
  <si>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</si>
  <si>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</si>
  <si>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</si>
  <si>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</si>
  <si>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</si>
  <si>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</si>
  <si>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</si>
  <si>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</si>
  <si>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</si>
  <si>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</si>
  <si>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</si>
  <si>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</si>
  <si>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</si>
  <si>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</si>
  <si>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</si>
  <si>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</si>
  <si>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</si>
  <si>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</si>
  <si>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</si>
  <si>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</si>
  <si>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</si>
  <si>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</si>
  <si>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</si>
  <si>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</si>
  <si>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</si>
  <si>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</si>
  <si>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</si>
  <si>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</si>
  <si>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</si>
  <si>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</si>
  <si>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</si>
  <si>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</si>
  <si>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</si>
  <si>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</si>
  <si>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</si>
  <si>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</si>
  <si>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</si>
  <si>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</si>
  <si>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</si>
  <si>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</si>
  <si>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</si>
  <si>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</si>
  <si>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</si>
  <si>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</si>
  <si>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</si>
  <si>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</si>
  <si>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</si>
  <si>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</si>
  <si>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</si>
  <si>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</si>
  <si>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</si>
  <si>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</si>
  <si>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</si>
  <si>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</si>
  <si>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</si>
  <si>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</si>
  <si>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</si>
  <si>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</si>
  <si>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</si>
  <si>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</si>
  <si>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</si>
  <si>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</si>
  <si>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</si>
  <si>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</si>
  <si>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</si>
  <si>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</si>
  <si>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</si>
  <si>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</si>
  <si>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</si>
  <si>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</si>
  <si>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</si>
  <si>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</si>
  <si>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</si>
  <si>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</si>
  <si>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</si>
  <si>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</si>
  <si>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</si>
  <si>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</si>
  <si>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</si>
  <si>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</si>
  <si>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</si>
  <si>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</si>
  <si>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</si>
  <si>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</si>
  <si>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</si>
  <si>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</si>
  <si>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</si>
  <si>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</si>
  <si>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</si>
  <si>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</si>
  <si>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</si>
  <si>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</si>
  <si>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</si>
  <si>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</si>
  <si>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</si>
  <si>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</si>
  <si>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</si>
  <si>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</si>
  <si>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</si>
  <si>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</si>
  <si>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</si>
  <si>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</si>
  <si>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</si>
  <si>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</si>
  <si>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</si>
  <si>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</si>
  <si>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</si>
  <si>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</si>
  <si>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</si>
  <si>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</si>
  <si>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</si>
  <si>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</si>
  <si>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</si>
  <si>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</si>
  <si>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</si>
  <si>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</si>
  <si>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</si>
  <si>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</si>
  <si>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</si>
  <si>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</si>
  <si>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</si>
  <si>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</si>
  <si>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</si>
  <si>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</si>
  <si>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</si>
  <si>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</si>
  <si>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</si>
  <si>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</si>
  <si>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</si>
  <si>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</si>
  <si>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</si>
  <si>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</si>
  <si>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</si>
  <si>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</si>
  <si>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</si>
  <si>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</si>
  <si>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</si>
  <si>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</si>
  <si>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</si>
  <si>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</si>
  <si>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</si>
  <si>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</si>
  <si>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</si>
  <si>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</si>
  <si>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</si>
  <si>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</si>
  <si>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</si>
  <si>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</si>
  <si>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</si>
  <si>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</si>
  <si>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</si>
  <si>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</si>
  <si>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</si>
  <si>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</si>
  <si>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</si>
  <si>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</si>
  <si>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</si>
  <si>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</si>
  <si>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</si>
  <si>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</si>
  <si>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</si>
  <si>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</si>
  <si>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</si>
  <si>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</si>
  <si>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</si>
  <si>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</si>
  <si>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</si>
  <si>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</si>
  <si>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</si>
  <si>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</si>
  <si>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</si>
  <si>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</si>
  <si>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</si>
  <si>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</si>
  <si>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</si>
  <si>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</si>
  <si>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</si>
  <si>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</si>
  <si>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</si>
  <si>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</si>
  <si>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</si>
  <si>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</si>
  <si>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</si>
  <si>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</si>
  <si>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</si>
  <si>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</si>
  <si>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</si>
  <si>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</si>
  <si>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</si>
  <si>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</si>
  <si>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</si>
  <si>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</si>
  <si>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</si>
  <si>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</si>
  <si>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</si>
  <si>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</si>
  <si>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</si>
  <si>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</si>
  <si>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</si>
  <si>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</si>
  <si>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</si>
  <si>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</si>
  <si>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</si>
  <si>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</si>
  <si>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</si>
  <si>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</si>
  <si>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</si>
  <si>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</si>
  <si>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</si>
  <si>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</si>
  <si>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</si>
  <si>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</si>
  <si>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</si>
  <si>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</si>
  <si>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</si>
  <si>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</si>
  <si>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</si>
  <si>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</si>
  <si>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</si>
  <si>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</si>
  <si>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</si>
  <si>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</si>
  <si>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</si>
  <si>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</si>
  <si>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</si>
  <si>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</si>
  <si>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</si>
  <si>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</si>
  <si>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</si>
  <si>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</si>
  <si>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</si>
  <si>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</si>
  <si>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</si>
  <si>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</si>
  <si>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</si>
  <si>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</si>
  <si>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</si>
  <si>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</si>
  <si>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</si>
  <si>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</si>
  <si>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</si>
  <si>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</si>
  <si>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</si>
  <si>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</si>
  <si>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</si>
  <si>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</si>
  <si>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</si>
  <si>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</si>
  <si>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</si>
  <si>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</si>
  <si>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</si>
  <si>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</si>
  <si>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</si>
  <si>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</si>
  <si>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</si>
  <si>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</si>
  <si>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</si>
  <si>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</si>
  <si>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</si>
  <si>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</si>
  <si>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</si>
  <si>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</si>
  <si>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</si>
  <si>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</si>
  <si>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</si>
  <si>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</si>
  <si>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</si>
  <si>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</si>
  <si>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</si>
  <si>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</si>
  <si>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</si>
  <si>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</si>
  <si>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</si>
  <si>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</si>
  <si>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</si>
  <si>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</si>
  <si>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</si>
  <si>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</si>
  <si>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</si>
  <si>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</si>
  <si>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</si>
  <si>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</si>
  <si>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</si>
  <si>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</si>
  <si>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</si>
  <si>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</si>
  <si>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</si>
  <si>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</si>
  <si>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</si>
  <si>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</si>
  <si>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</si>
  <si>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</si>
  <si>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</si>
  <si>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</si>
  <si>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</si>
  <si>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</si>
  <si>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</si>
  <si>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</si>
  <si>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</si>
  <si>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</si>
  <si>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</si>
  <si>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</si>
  <si>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</si>
  <si>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</si>
  <si>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</si>
  <si>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</si>
  <si>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</si>
  <si>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</si>
  <si>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</si>
  <si>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</si>
  <si>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</si>
  <si>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</si>
  <si>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</si>
  <si>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</si>
  <si>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</si>
  <si>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</si>
  <si>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</si>
  <si>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</si>
  <si>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</si>
  <si>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</si>
  <si>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</si>
  <si>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</si>
  <si>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</si>
  <si>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</si>
  <si>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</si>
  <si>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</si>
  <si>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</si>
  <si>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</si>
  <si>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</si>
  <si>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</si>
  <si>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</si>
  <si>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</si>
  <si>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</si>
  <si>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</si>
  <si>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</si>
  <si>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</si>
  <si>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</si>
  <si>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</si>
  <si>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</si>
  <si>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</si>
  <si>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</si>
  <si>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</si>
  <si>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</si>
  <si>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</si>
  <si>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</si>
  <si>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</si>
  <si>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</si>
  <si>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</si>
  <si>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</si>
  <si>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</si>
  <si>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</si>
  <si>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</si>
  <si>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</si>
  <si>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</si>
  <si>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</si>
  <si>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</si>
  <si>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</si>
  <si>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</si>
  <si>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</si>
  <si>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</si>
  <si>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</si>
  <si>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</si>
  <si>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</si>
  <si>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</si>
  <si>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</si>
  <si>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</si>
  <si>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</si>
  <si>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</si>
  <si>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</si>
  <si>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</si>
  <si>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</si>
  <si>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</si>
  <si>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</si>
  <si>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</si>
  <si>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</si>
  <si>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</si>
  <si>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</si>
  <si>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</si>
  <si>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</si>
  <si>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</si>
  <si>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</si>
  <si>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</si>
  <si>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</si>
  <si>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</si>
  <si>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</si>
  <si>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</si>
  <si>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</si>
  <si>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</si>
  <si>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</si>
  <si>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</si>
  <si>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</si>
  <si>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</si>
  <si>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</si>
  <si>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</si>
  <si>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</si>
  <si>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</si>
  <si>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</si>
  <si>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</si>
  <si>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</si>
  <si>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</si>
  <si>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</si>
  <si>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</si>
  <si>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</si>
  <si>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</si>
  <si>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</si>
  <si>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</si>
  <si>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</si>
  <si>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</si>
  <si>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</si>
  <si>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</si>
  <si>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</si>
  <si>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</si>
  <si>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</si>
  <si>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</si>
  <si>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</si>
  <si>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</si>
  <si>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</si>
  <si>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</si>
  <si>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</si>
  <si>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</si>
  <si>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</si>
  <si>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</si>
  <si>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</si>
  <si>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</si>
  <si>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</si>
  <si>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</si>
  <si>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</si>
  <si>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</si>
  <si>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</si>
  <si>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</si>
  <si>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</si>
  <si>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</si>
  <si>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</si>
  <si>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</si>
  <si>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</si>
  <si>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</si>
  <si>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</si>
  <si>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</si>
  <si>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</si>
  <si>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</si>
  <si>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</si>
  <si>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</si>
  <si>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</si>
  <si>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</si>
  <si>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</si>
  <si>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</si>
  <si>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</si>
  <si>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</si>
  <si>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</si>
  <si>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</si>
  <si>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</si>
  <si>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</si>
  <si>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</si>
  <si>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</si>
  <si>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</si>
  <si>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</si>
  <si>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</si>
  <si>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</si>
  <si>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</si>
  <si>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</si>
  <si>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</si>
  <si>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</si>
  <si>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</si>
  <si>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</si>
  <si>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</si>
  <si>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</si>
  <si>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</si>
  <si>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</si>
  <si>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</si>
  <si>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</si>
  <si>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</si>
  <si>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</si>
  <si>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</si>
  <si>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</si>
  <si>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</si>
  <si>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</si>
  <si>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</si>
  <si>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</si>
  <si>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</si>
  <si>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</si>
  <si>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</si>
  <si>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</si>
  <si>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</si>
  <si>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</si>
  <si>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</si>
  <si>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</si>
  <si>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</si>
  <si>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</si>
  <si>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</si>
  <si>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</si>
  <si>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</si>
  <si>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</si>
  <si>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</si>
  <si>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</si>
  <si>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</si>
  <si>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</si>
  <si>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</si>
  <si>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</si>
  <si>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</si>
  <si>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</si>
  <si>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</si>
  <si>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</si>
  <si>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</si>
  <si>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</si>
  <si>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</si>
  <si>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</si>
  <si>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</si>
  <si>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</si>
  <si>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</si>
  <si>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</si>
  <si>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</si>
  <si>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</si>
  <si>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</si>
  <si>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CW_ld — lossless geometry, lossless attributes [inter, low delay]</t>
  </si>
  <si>
    <t>C2_ra — lossy geometry, lossy attributes [inter, random access]</t>
  </si>
  <si>
    <t>Inf</t>
  </si>
  <si>
    <t>CTC_master+r220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</si>
</sst>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3">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lang="ja-JP"/>
          </a:pPr>
          <a:endParaRPr lang="en-FR"/>
        </a:p>
      </c:txPr>
    </c:title>
    <c:autoTitleDeleted val="0"/>
    <c:plotArea>
      <c:layout/>
      <c:scatterChart>
        <c:scatterStyle val="smoothMarker"/>
        <c:varyColors val="0"/>
        <c:ser>
          <c:idx val="0"/>
          <c:order val="0"/>
          <c:tx>
            <c:strRef>
              <c:f>Graphs!graph_a_A_title</c:f>
              <c:strCache>
                <c:ptCount val="1"/>
                <c:pt idx="0">
                  <c:v>CTC_master+r220</c:v>
                </c:pt>
              </c:strCache>
            </c:strRef>
          </c:tx>
          <c:spPr>
            <a:ln>
              <a:prstDash val="solid"/>
            </a:ln>
          </c:spPr>
          <c:marker>
            <c:symbol val="none"/>
          </c:marker>
          <c:xVal>
            <c:numRef>
              <c:f>Graphs!graph_a_x_range_A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Graphs!graph_a_y_range_A</c:f>
              <c:numCache>
                <c:formatCode>0.00</c:formatCode>
                <c:ptCount val="5"/>
                <c:pt idx="0">
                  <c:v>66.355977337499993</c:v>
                </c:pt>
                <c:pt idx="1">
                  <c:v>68.241942565624996</c:v>
                </c:pt>
                <c:pt idx="2">
                  <c:v>69.679034993749994</c:v>
                </c:pt>
                <c:pt idx="3">
                  <c:v>70.829491784374994</c:v>
                </c:pt>
                <c:pt idx="4">
                  <c:v>71.945091559375001</c:v>
                </c:pt>
              </c:numCache>
            </c:numRef>
          </c:yVal>
          <c:smooth val="1"/>
          <c:extLst>
            <c:ext xmlns:c16="http://schemas.microsoft.com/office/drawing/2014/chart" uri="{C3380CC4-5D6E-409C-BE32-E72D297353CC}">
              <c16:uniqueId val="{00000000-88A8-47C9-8EBD-ADA125DB5256}"/>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88A8-47C9-8EBD-ADA125DB5256}"/>
            </c:ext>
          </c:extLst>
        </c:ser>
        <c:dLbls>
          <c:showLegendKey val="0"/>
          <c:showVal val="0"/>
          <c:showCatName val="0"/>
          <c:showSerName val="0"/>
          <c:showPercent val="0"/>
          <c:showBubbleSize val="0"/>
        </c:dLbls>
        <c:axId val="192569728"/>
        <c:axId val="192572032"/>
      </c:scatterChart>
      <c:valAx>
        <c:axId val="192569728"/>
        <c:scaling>
          <c:orientation val="minMax"/>
        </c:scaling>
        <c:delete val="0"/>
        <c:axPos val="b"/>
        <c:title>
          <c:tx>
            <c:strRef>
              <c:f>Graphs!graph_a_x_title</c:f>
              <c:strCache>
                <c:ptCount val="1"/>
                <c:pt idx="0">
                  <c:v>Geometry Bits per input point</c:v>
                </c:pt>
              </c:strCache>
            </c:strRef>
          </c:tx>
          <c:overlay val="0"/>
          <c:txPr>
            <a:bodyPr/>
            <a:lstStyle/>
            <a:p>
              <a:pPr>
                <a:defRPr lang="ja-JP"/>
              </a:pPr>
              <a:endParaRPr lang="en-FR"/>
            </a:p>
          </c:txPr>
        </c:title>
        <c:numFmt formatCode="0.00" sourceLinked="1"/>
        <c:majorTickMark val="out"/>
        <c:minorTickMark val="none"/>
        <c:tickLblPos val="nextTo"/>
        <c:txPr>
          <a:bodyPr/>
          <a:lstStyle/>
          <a:p>
            <a:pPr>
              <a:defRPr lang="ja-JP"/>
            </a:pPr>
            <a:endParaRPr lang="en-FR"/>
          </a:p>
        </c:txPr>
        <c:crossAx val="192572032"/>
        <c:crosses val="autoZero"/>
        <c:crossBetween val="midCat"/>
      </c:valAx>
      <c:valAx>
        <c:axId val="19257203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lang="ja-JP"/>
              </a:pPr>
              <a:endParaRPr lang="en-FR"/>
            </a:p>
          </c:txPr>
        </c:title>
        <c:numFmt formatCode="0.00" sourceLinked="1"/>
        <c:majorTickMark val="out"/>
        <c:minorTickMark val="none"/>
        <c:tickLblPos val="nextTo"/>
        <c:txPr>
          <a:bodyPr/>
          <a:lstStyle/>
          <a:p>
            <a:pPr>
              <a:defRPr lang="ja-JP"/>
            </a:pPr>
            <a:endParaRPr lang="en-FR"/>
          </a:p>
        </c:txPr>
        <c:crossAx val="192569728"/>
        <c:crosses val="autoZero"/>
        <c:crossBetween val="midCat"/>
      </c:valAx>
    </c:plotArea>
    <c:legend>
      <c:legendPos val="b"/>
      <c:overlay val="0"/>
      <c:txPr>
        <a:bodyPr/>
        <a:lstStyle/>
        <a:p>
          <a:pPr>
            <a:defRPr lang="ja-JP"/>
          </a:pPr>
          <a:endParaRPr lang="en-F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lang="ja-JP"/>
          </a:pPr>
          <a:endParaRPr lang="en-FR"/>
        </a:p>
      </c:txPr>
    </c:title>
    <c:autoTitleDeleted val="0"/>
    <c:plotArea>
      <c:layout/>
      <c:scatterChart>
        <c:scatterStyle val="smoothMarker"/>
        <c:varyColors val="0"/>
        <c:ser>
          <c:idx val="0"/>
          <c:order val="0"/>
          <c:tx>
            <c:strRef>
              <c:f>Graphs!graph_b_A_title</c:f>
              <c:strCache>
                <c:ptCount val="1"/>
                <c:pt idx="0">
                  <c:v>CTC_master+r220</c:v>
                </c:pt>
              </c:strCache>
            </c:strRef>
          </c:tx>
          <c:spPr>
            <a:ln>
              <a:prstDash val="solid"/>
            </a:ln>
          </c:spPr>
          <c:marker>
            <c:symbol val="none"/>
          </c:marker>
          <c:xVal>
            <c:numRef>
              <c:f>Graphs!graph_b_x_range_A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Graphs!graph_b_y_range_A</c:f>
              <c:numCache>
                <c:formatCode>0.00</c:formatCode>
                <c:ptCount val="5"/>
                <c:pt idx="0">
                  <c:v>68.483331537500007</c:v>
                </c:pt>
                <c:pt idx="1">
                  <c:v>70.429972587500004</c:v>
                </c:pt>
                <c:pt idx="2">
                  <c:v>72.128628734374999</c:v>
                </c:pt>
                <c:pt idx="3">
                  <c:v>73.399411681250001</c:v>
                </c:pt>
                <c:pt idx="4">
                  <c:v>75.324078890625003</c:v>
                </c:pt>
              </c:numCache>
            </c:numRef>
          </c:yVal>
          <c:smooth val="1"/>
          <c:extLst>
            <c:ext xmlns:c16="http://schemas.microsoft.com/office/drawing/2014/chart" uri="{C3380CC4-5D6E-409C-BE32-E72D297353CC}">
              <c16:uniqueId val="{00000000-283F-4948-8390-3D0BFA738328}"/>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283F-4948-8390-3D0BFA738328}"/>
            </c:ext>
          </c:extLst>
        </c:ser>
        <c:dLbls>
          <c:showLegendKey val="0"/>
          <c:showVal val="0"/>
          <c:showCatName val="0"/>
          <c:showSerName val="0"/>
          <c:showPercent val="0"/>
          <c:showBubbleSize val="0"/>
        </c:dLbls>
        <c:axId val="192889216"/>
        <c:axId val="192891136"/>
      </c:scatterChart>
      <c:valAx>
        <c:axId val="192889216"/>
        <c:scaling>
          <c:orientation val="minMax"/>
        </c:scaling>
        <c:delete val="0"/>
        <c:axPos val="b"/>
        <c:title>
          <c:tx>
            <c:strRef>
              <c:f>Graphs!graph_b_x_title</c:f>
              <c:strCache>
                <c:ptCount val="1"/>
                <c:pt idx="0">
                  <c:v>Geometry Bits per input point</c:v>
                </c:pt>
              </c:strCache>
            </c:strRef>
          </c:tx>
          <c:overlay val="0"/>
          <c:txPr>
            <a:bodyPr/>
            <a:lstStyle/>
            <a:p>
              <a:pPr>
                <a:defRPr lang="ja-JP"/>
              </a:pPr>
              <a:endParaRPr lang="en-FR"/>
            </a:p>
          </c:txPr>
        </c:title>
        <c:numFmt formatCode="0.00" sourceLinked="1"/>
        <c:majorTickMark val="out"/>
        <c:minorTickMark val="none"/>
        <c:tickLblPos val="nextTo"/>
        <c:txPr>
          <a:bodyPr/>
          <a:lstStyle/>
          <a:p>
            <a:pPr>
              <a:defRPr lang="ja-JP"/>
            </a:pPr>
            <a:endParaRPr lang="en-FR"/>
          </a:p>
        </c:txPr>
        <c:crossAx val="192891136"/>
        <c:crosses val="autoZero"/>
        <c:crossBetween val="midCat"/>
      </c:valAx>
      <c:valAx>
        <c:axId val="192891136"/>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lang="ja-JP"/>
              </a:pPr>
              <a:endParaRPr lang="en-FR"/>
            </a:p>
          </c:txPr>
        </c:title>
        <c:numFmt formatCode="0.00" sourceLinked="1"/>
        <c:majorTickMark val="out"/>
        <c:minorTickMark val="none"/>
        <c:tickLblPos val="nextTo"/>
        <c:txPr>
          <a:bodyPr/>
          <a:lstStyle/>
          <a:p>
            <a:pPr>
              <a:defRPr lang="ja-JP"/>
            </a:pPr>
            <a:endParaRPr lang="en-FR"/>
          </a:p>
        </c:txPr>
        <c:crossAx val="192889216"/>
        <c:crosses val="autoZero"/>
        <c:crossBetween val="midCat"/>
      </c:valAx>
    </c:plotArea>
    <c:legend>
      <c:legendPos val="b"/>
      <c:overlay val="0"/>
      <c:txPr>
        <a:bodyPr/>
        <a:lstStyle/>
        <a:p>
          <a:pPr>
            <a:defRPr lang="ja-JP"/>
          </a:pPr>
          <a:endParaRPr lang="en-F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lang="ja-JP"/>
          </a:pPr>
          <a:endParaRPr lang="en-FR"/>
        </a:p>
      </c:txPr>
    </c:title>
    <c:autoTitleDeleted val="0"/>
    <c:plotArea>
      <c:layout/>
      <c:scatterChart>
        <c:scatterStyle val="smoothMarker"/>
        <c:varyColors val="0"/>
        <c:ser>
          <c:idx val="0"/>
          <c:order val="0"/>
          <c:tx>
            <c:strRef>
              <c:f>Graphs!graph_c_A_title</c:f>
              <c:strCache>
                <c:ptCount val="1"/>
                <c:pt idx="0">
                  <c:v>CTC_master+r220</c:v>
                </c:pt>
              </c:strCache>
            </c:strRef>
          </c:tx>
          <c:spPr>
            <a:ln>
              <a:prstDash val="solid"/>
            </a:ln>
          </c:spPr>
          <c:marker>
            <c:symbol val="none"/>
          </c:marker>
          <c:xVal>
            <c:numRef>
              <c:f>Graphs!graph_c_x_range_A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Graphs!graph_c_y_range_A</c:f>
              <c:numCache>
                <c:formatCode>0.00</c:formatCode>
                <c:ptCount val="5"/>
                <c:pt idx="0">
                  <c:v>32.113044665624997</c:v>
                </c:pt>
                <c:pt idx="1">
                  <c:v>34.357659115624998</c:v>
                </c:pt>
                <c:pt idx="2">
                  <c:v>36.894058506249998</c:v>
                </c:pt>
                <c:pt idx="3">
                  <c:v>39.521589024999997</c:v>
                </c:pt>
                <c:pt idx="4">
                  <c:v>42.094299859374999</c:v>
                </c:pt>
              </c:numCache>
            </c:numRef>
          </c:yVal>
          <c:smooth val="1"/>
          <c:extLst>
            <c:ext xmlns:c16="http://schemas.microsoft.com/office/drawing/2014/chart" uri="{C3380CC4-5D6E-409C-BE32-E72D297353CC}">
              <c16:uniqueId val="{00000000-CB42-488B-8818-2A5BFAB30A09}"/>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CB42-488B-8818-2A5BFAB30A09}"/>
            </c:ext>
          </c:extLst>
        </c:ser>
        <c:dLbls>
          <c:showLegendKey val="0"/>
          <c:showVal val="0"/>
          <c:showCatName val="0"/>
          <c:showSerName val="0"/>
          <c:showPercent val="0"/>
          <c:showBubbleSize val="0"/>
        </c:dLbls>
        <c:axId val="192217088"/>
        <c:axId val="192219008"/>
      </c:scatterChart>
      <c:valAx>
        <c:axId val="192217088"/>
        <c:scaling>
          <c:orientation val="minMax"/>
        </c:scaling>
        <c:delete val="0"/>
        <c:axPos val="b"/>
        <c:title>
          <c:tx>
            <c:strRef>
              <c:f>Graphs!graph_c_x_title</c:f>
              <c:strCache>
                <c:ptCount val="1"/>
                <c:pt idx="0">
                  <c:v>Colour  Bits per input point</c:v>
                </c:pt>
              </c:strCache>
            </c:strRef>
          </c:tx>
          <c:overlay val="0"/>
          <c:txPr>
            <a:bodyPr/>
            <a:lstStyle/>
            <a:p>
              <a:pPr>
                <a:defRPr lang="ja-JP"/>
              </a:pPr>
              <a:endParaRPr lang="en-FR"/>
            </a:p>
          </c:txPr>
        </c:title>
        <c:numFmt formatCode="0.00" sourceLinked="1"/>
        <c:majorTickMark val="out"/>
        <c:minorTickMark val="none"/>
        <c:tickLblPos val="nextTo"/>
        <c:txPr>
          <a:bodyPr/>
          <a:lstStyle/>
          <a:p>
            <a:pPr>
              <a:defRPr lang="ja-JP"/>
            </a:pPr>
            <a:endParaRPr lang="en-FR"/>
          </a:p>
        </c:txPr>
        <c:crossAx val="192219008"/>
        <c:crosses val="autoZero"/>
        <c:crossBetween val="midCat"/>
      </c:valAx>
      <c:valAx>
        <c:axId val="192219008"/>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lang="ja-JP"/>
              </a:pPr>
              <a:endParaRPr lang="en-FR"/>
            </a:p>
          </c:txPr>
        </c:title>
        <c:numFmt formatCode="0.00" sourceLinked="1"/>
        <c:majorTickMark val="out"/>
        <c:minorTickMark val="none"/>
        <c:tickLblPos val="nextTo"/>
        <c:txPr>
          <a:bodyPr/>
          <a:lstStyle/>
          <a:p>
            <a:pPr>
              <a:defRPr lang="ja-JP"/>
            </a:pPr>
            <a:endParaRPr lang="en-FR"/>
          </a:p>
        </c:txPr>
        <c:crossAx val="192217088"/>
        <c:crosses val="autoZero"/>
        <c:crossBetween val="midCat"/>
      </c:valAx>
    </c:plotArea>
    <c:legend>
      <c:legendPos val="b"/>
      <c:overlay val="0"/>
      <c:txPr>
        <a:bodyPr/>
        <a:lstStyle/>
        <a:p>
          <a:pPr>
            <a:defRPr lang="ja-JP"/>
          </a:pPr>
          <a:endParaRPr lang="en-F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lang="ja-JP"/>
          </a:pPr>
          <a:endParaRPr lang="en-FR"/>
        </a:p>
      </c:txPr>
    </c:title>
    <c:autoTitleDeleted val="0"/>
    <c:plotArea>
      <c:layout/>
      <c:scatterChart>
        <c:scatterStyle val="smoothMarker"/>
        <c:varyColors val="0"/>
        <c:ser>
          <c:idx val="0"/>
          <c:order val="0"/>
          <c:tx>
            <c:strRef>
              <c:f>Graphs!graph_d_A_title</c:f>
              <c:strCache>
                <c:ptCount val="1"/>
                <c:pt idx="0">
                  <c:v>CTC_master+r220</c:v>
                </c:pt>
              </c:strCache>
            </c:strRef>
          </c:tx>
          <c:spPr>
            <a:ln>
              <a:prstDash val="solid"/>
            </a:ln>
          </c:spPr>
          <c:marker>
            <c:symbol val="none"/>
          </c:marker>
          <c:xVal>
            <c:numRef>
              <c:f>Graphs!graph_d_x_range_A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Graphs!graph_d_y_range_A</c:f>
              <c:numCache>
                <c:formatCode>0.00</c:formatCode>
                <c:ptCount val="5"/>
                <c:pt idx="0">
                  <c:v>44.188544737500003</c:v>
                </c:pt>
                <c:pt idx="1">
                  <c:v>45.471752378124997</c:v>
                </c:pt>
                <c:pt idx="2">
                  <c:v>46.603401721875002</c:v>
                </c:pt>
                <c:pt idx="3">
                  <c:v>47.923747646875</c:v>
                </c:pt>
                <c:pt idx="4">
                  <c:v>49.417623165625002</c:v>
                </c:pt>
              </c:numCache>
            </c:numRef>
          </c:yVal>
          <c:smooth val="1"/>
          <c:extLst>
            <c:ext xmlns:c16="http://schemas.microsoft.com/office/drawing/2014/chart" uri="{C3380CC4-5D6E-409C-BE32-E72D297353CC}">
              <c16:uniqueId val="{00000000-0981-4629-B109-7F5365D3441E}"/>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0981-4629-B109-7F5365D3441E}"/>
            </c:ext>
          </c:extLst>
        </c:ser>
        <c:dLbls>
          <c:showLegendKey val="0"/>
          <c:showVal val="0"/>
          <c:showCatName val="0"/>
          <c:showSerName val="0"/>
          <c:showPercent val="0"/>
          <c:showBubbleSize val="0"/>
        </c:dLbls>
        <c:axId val="192253312"/>
        <c:axId val="192263680"/>
      </c:scatterChart>
      <c:valAx>
        <c:axId val="192253312"/>
        <c:scaling>
          <c:orientation val="minMax"/>
        </c:scaling>
        <c:delete val="0"/>
        <c:axPos val="b"/>
        <c:title>
          <c:tx>
            <c:strRef>
              <c:f>Graphs!graph_d_x_title</c:f>
              <c:strCache>
                <c:ptCount val="1"/>
                <c:pt idx="0">
                  <c:v>Colour  Bits per input point</c:v>
                </c:pt>
              </c:strCache>
            </c:strRef>
          </c:tx>
          <c:overlay val="0"/>
          <c:txPr>
            <a:bodyPr/>
            <a:lstStyle/>
            <a:p>
              <a:pPr>
                <a:defRPr lang="ja-JP"/>
              </a:pPr>
              <a:endParaRPr lang="en-FR"/>
            </a:p>
          </c:txPr>
        </c:title>
        <c:numFmt formatCode="0.00" sourceLinked="1"/>
        <c:majorTickMark val="out"/>
        <c:minorTickMark val="none"/>
        <c:tickLblPos val="nextTo"/>
        <c:txPr>
          <a:bodyPr/>
          <a:lstStyle/>
          <a:p>
            <a:pPr>
              <a:defRPr lang="ja-JP"/>
            </a:pPr>
            <a:endParaRPr lang="en-FR"/>
          </a:p>
        </c:txPr>
        <c:crossAx val="192263680"/>
        <c:crosses val="autoZero"/>
        <c:crossBetween val="midCat"/>
      </c:valAx>
      <c:valAx>
        <c:axId val="192263680"/>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lang="ja-JP"/>
              </a:pPr>
              <a:endParaRPr lang="en-FR"/>
            </a:p>
          </c:txPr>
        </c:title>
        <c:numFmt formatCode="0.00" sourceLinked="1"/>
        <c:majorTickMark val="out"/>
        <c:minorTickMark val="none"/>
        <c:tickLblPos val="nextTo"/>
        <c:txPr>
          <a:bodyPr/>
          <a:lstStyle/>
          <a:p>
            <a:pPr>
              <a:defRPr lang="ja-JP"/>
            </a:pPr>
            <a:endParaRPr lang="en-FR"/>
          </a:p>
        </c:txPr>
        <c:crossAx val="192253312"/>
        <c:crosses val="autoZero"/>
        <c:crossBetween val="midCat"/>
      </c:valAx>
    </c:plotArea>
    <c:legend>
      <c:legendPos val="b"/>
      <c:overlay val="0"/>
      <c:txPr>
        <a:bodyPr/>
        <a:lstStyle/>
        <a:p>
          <a:pPr>
            <a:defRPr lang="ja-JP"/>
          </a:pPr>
          <a:endParaRPr lang="en-F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lang="ja-JP"/>
          </a:pPr>
          <a:endParaRPr lang="en-FR"/>
        </a:p>
      </c:txPr>
    </c:title>
    <c:autoTitleDeleted val="0"/>
    <c:plotArea>
      <c:layout/>
      <c:scatterChart>
        <c:scatterStyle val="smoothMarker"/>
        <c:varyColors val="0"/>
        <c:ser>
          <c:idx val="0"/>
          <c:order val="0"/>
          <c:tx>
            <c:strRef>
              <c:f>Graphs!graph_e_A_title</c:f>
              <c:strCache>
                <c:ptCount val="1"/>
                <c:pt idx="0">
                  <c:v>CTC_master+r220</c:v>
                </c:pt>
              </c:strCache>
            </c:strRef>
          </c:tx>
          <c:spPr>
            <a:ln>
              <a:prstDash val="solid"/>
            </a:ln>
          </c:spPr>
          <c:marker>
            <c:symbol val="none"/>
          </c:marker>
          <c:xVal>
            <c:numRef>
              <c:f>Graphs!graph_e_x_range_A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Graphs!graph_e_y_range_A</c:f>
              <c:numCache>
                <c:formatCode>0.00</c:formatCode>
                <c:ptCount val="5"/>
                <c:pt idx="0">
                  <c:v>43.811181259374997</c:v>
                </c:pt>
                <c:pt idx="1">
                  <c:v>45.224113549999998</c:v>
                </c:pt>
                <c:pt idx="2">
                  <c:v>46.480723728125</c:v>
                </c:pt>
                <c:pt idx="3">
                  <c:v>47.942940284374998</c:v>
                </c:pt>
                <c:pt idx="4">
                  <c:v>49.5544017</c:v>
                </c:pt>
              </c:numCache>
            </c:numRef>
          </c:yVal>
          <c:smooth val="1"/>
          <c:extLst>
            <c:ext xmlns:c16="http://schemas.microsoft.com/office/drawing/2014/chart" uri="{C3380CC4-5D6E-409C-BE32-E72D297353CC}">
              <c16:uniqueId val="{00000000-2B65-49D5-B5C9-FED49F7F366D}"/>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2B65-49D5-B5C9-FED49F7F366D}"/>
            </c:ext>
          </c:extLst>
        </c:ser>
        <c:dLbls>
          <c:showLegendKey val="0"/>
          <c:showVal val="0"/>
          <c:showCatName val="0"/>
          <c:showSerName val="0"/>
          <c:showPercent val="0"/>
          <c:showBubbleSize val="0"/>
        </c:dLbls>
        <c:axId val="193080320"/>
        <c:axId val="193094784"/>
      </c:scatterChart>
      <c:valAx>
        <c:axId val="193080320"/>
        <c:scaling>
          <c:orientation val="minMax"/>
        </c:scaling>
        <c:delete val="0"/>
        <c:axPos val="b"/>
        <c:title>
          <c:tx>
            <c:strRef>
              <c:f>Graphs!graph_e_x_title</c:f>
              <c:strCache>
                <c:ptCount val="1"/>
                <c:pt idx="0">
                  <c:v>Colour  Bits per input point</c:v>
                </c:pt>
              </c:strCache>
            </c:strRef>
          </c:tx>
          <c:overlay val="0"/>
          <c:txPr>
            <a:bodyPr/>
            <a:lstStyle/>
            <a:p>
              <a:pPr>
                <a:defRPr lang="ja-JP"/>
              </a:pPr>
              <a:endParaRPr lang="en-FR"/>
            </a:p>
          </c:txPr>
        </c:title>
        <c:numFmt formatCode="0.00" sourceLinked="1"/>
        <c:majorTickMark val="out"/>
        <c:minorTickMark val="none"/>
        <c:tickLblPos val="nextTo"/>
        <c:txPr>
          <a:bodyPr/>
          <a:lstStyle/>
          <a:p>
            <a:pPr>
              <a:defRPr lang="ja-JP"/>
            </a:pPr>
            <a:endParaRPr lang="en-FR"/>
          </a:p>
        </c:txPr>
        <c:crossAx val="193094784"/>
        <c:crosses val="autoZero"/>
        <c:crossBetween val="midCat"/>
      </c:valAx>
      <c:valAx>
        <c:axId val="193094784"/>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lang="ja-JP"/>
              </a:pPr>
              <a:endParaRPr lang="en-FR"/>
            </a:p>
          </c:txPr>
        </c:title>
        <c:numFmt formatCode="0.00" sourceLinked="1"/>
        <c:majorTickMark val="out"/>
        <c:minorTickMark val="none"/>
        <c:tickLblPos val="nextTo"/>
        <c:txPr>
          <a:bodyPr/>
          <a:lstStyle/>
          <a:p>
            <a:pPr>
              <a:defRPr lang="ja-JP"/>
            </a:pPr>
            <a:endParaRPr lang="en-FR"/>
          </a:p>
        </c:txPr>
        <c:crossAx val="193080320"/>
        <c:crosses val="autoZero"/>
        <c:crossBetween val="midCat"/>
      </c:valAx>
    </c:plotArea>
    <c:legend>
      <c:legendPos val="b"/>
      <c:overlay val="0"/>
      <c:txPr>
        <a:bodyPr/>
        <a:lstStyle/>
        <a:p>
          <a:pPr>
            <a:defRPr lang="ja-JP"/>
          </a:pPr>
          <a:endParaRPr lang="en-F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lang="ja-JP"/>
          </a:pPr>
          <a:endParaRPr lang="en-FR"/>
        </a:p>
      </c:txPr>
    </c:title>
    <c:autoTitleDeleted val="0"/>
    <c:plotArea>
      <c:layout/>
      <c:scatterChart>
        <c:scatterStyle val="smoothMarker"/>
        <c:varyColors val="0"/>
        <c:ser>
          <c:idx val="0"/>
          <c:order val="0"/>
          <c:tx>
            <c:strRef>
              <c:f>Graphs!graph_f_A_title</c:f>
              <c:strCache>
                <c:ptCount val="1"/>
                <c:pt idx="0">
                  <c:v>CTC_master+r220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4D0C-4E64-BF16-CBF0A674370A}"/>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4D0C-4E64-BF16-CBF0A674370A}"/>
            </c:ext>
          </c:extLst>
        </c:ser>
        <c:dLbls>
          <c:showLegendKey val="0"/>
          <c:showVal val="0"/>
          <c:showCatName val="0"/>
          <c:showSerName val="0"/>
          <c:showPercent val="0"/>
          <c:showBubbleSize val="0"/>
        </c:dLbls>
        <c:axId val="193133184"/>
        <c:axId val="193008384"/>
      </c:scatterChart>
      <c:valAx>
        <c:axId val="193133184"/>
        <c:scaling>
          <c:orientation val="minMax"/>
        </c:scaling>
        <c:delete val="0"/>
        <c:axPos val="b"/>
        <c:title>
          <c:tx>
            <c:strRef>
              <c:f>Graphs!graph_f_x_title</c:f>
              <c:strCache>
                <c:ptCount val="1"/>
                <c:pt idx="0">
                  <c:v>Reflectance Bits per input point</c:v>
                </c:pt>
              </c:strCache>
            </c:strRef>
          </c:tx>
          <c:overlay val="0"/>
          <c:txPr>
            <a:bodyPr/>
            <a:lstStyle/>
            <a:p>
              <a:pPr>
                <a:defRPr lang="ja-JP"/>
              </a:pPr>
              <a:endParaRPr lang="en-FR"/>
            </a:p>
          </c:txPr>
        </c:title>
        <c:numFmt formatCode="General" sourceLinked="1"/>
        <c:majorTickMark val="out"/>
        <c:minorTickMark val="none"/>
        <c:tickLblPos val="nextTo"/>
        <c:txPr>
          <a:bodyPr/>
          <a:lstStyle/>
          <a:p>
            <a:pPr>
              <a:defRPr lang="ja-JP"/>
            </a:pPr>
            <a:endParaRPr lang="en-FR"/>
          </a:p>
        </c:txPr>
        <c:crossAx val="193008384"/>
        <c:crosses val="autoZero"/>
        <c:crossBetween val="midCat"/>
      </c:valAx>
      <c:valAx>
        <c:axId val="193008384"/>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lang="ja-JP"/>
              </a:pPr>
              <a:endParaRPr lang="en-FR"/>
            </a:p>
          </c:txPr>
        </c:title>
        <c:numFmt formatCode="General" sourceLinked="1"/>
        <c:majorTickMark val="out"/>
        <c:minorTickMark val="none"/>
        <c:tickLblPos val="nextTo"/>
        <c:txPr>
          <a:bodyPr/>
          <a:lstStyle/>
          <a:p>
            <a:pPr>
              <a:defRPr lang="ja-JP"/>
            </a:pPr>
            <a:endParaRPr lang="en-FR"/>
          </a:p>
        </c:txPr>
        <c:crossAx val="193133184"/>
        <c:crosses val="autoZero"/>
        <c:crossBetween val="midCat"/>
      </c:valAx>
    </c:plotArea>
    <c:legend>
      <c:legendPos val="b"/>
      <c:overlay val="0"/>
      <c:txPr>
        <a:bodyPr/>
        <a:lstStyle/>
        <a:p>
          <a:pPr>
            <a:defRPr lang="ja-JP"/>
          </a:pPr>
          <a:endParaRPr lang="en-F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G4" sqref="G4"/>
    </sheetView>
  </sheetViews>
  <sheetFormatPr baseColWidth="10" defaultColWidth="8.83203125" defaultRowHeight="15" x14ac:dyDescent="0.2"/>
  <cols>
    <col min="2" max="2" width="16.6640625" customWidth="1"/>
    <col min="3" max="12" width="24.6640625" customWidth="1"/>
  </cols>
  <sheetData>
    <row r="1" spans="2:12" x14ac:dyDescent="0.2">
      <c r="B1" t="s">
        <v>0</v>
      </c>
      <c r="C1" s="57" t="s">
        <v>574</v>
      </c>
      <c r="D1" s="58"/>
      <c r="E1" s="58"/>
    </row>
    <row r="2" spans="2:12" x14ac:dyDescent="0.2">
      <c r="B2" t="s">
        <v>1</v>
      </c>
      <c r="C2" s="59"/>
      <c r="D2" s="58"/>
      <c r="E2" s="58"/>
    </row>
    <row r="4" spans="2:12" s="1" customFormat="1" x14ac:dyDescent="0.2">
      <c r="B4" s="1" t="s">
        <v>2</v>
      </c>
    </row>
    <row r="6" spans="2:12" x14ac:dyDescent="0.2">
      <c r="B6" s="60" t="s">
        <v>3</v>
      </c>
      <c r="C6" s="62" t="s">
        <v>4</v>
      </c>
      <c r="D6" s="63"/>
      <c r="E6" s="63"/>
      <c r="F6" s="63"/>
      <c r="G6" s="63"/>
      <c r="H6" s="63"/>
      <c r="I6" s="63"/>
      <c r="J6" s="63"/>
      <c r="K6" s="63"/>
      <c r="L6" s="63"/>
    </row>
    <row r="7" spans="2:12" x14ac:dyDescent="0.2">
      <c r="B7" s="58"/>
      <c r="C7" s="64" t="s">
        <v>5</v>
      </c>
      <c r="D7" s="58"/>
      <c r="E7" s="65" t="s">
        <v>6</v>
      </c>
      <c r="F7" s="58"/>
      <c r="G7" s="58"/>
      <c r="H7" s="64" t="s">
        <v>7</v>
      </c>
      <c r="I7" s="58"/>
      <c r="J7" s="65" t="s">
        <v>8</v>
      </c>
      <c r="K7" s="58"/>
      <c r="L7" s="58"/>
    </row>
    <row r="8" spans="2:12" ht="16" x14ac:dyDescent="0.2">
      <c r="B8" s="61"/>
      <c r="C8" s="2" t="s">
        <v>9</v>
      </c>
      <c r="D8" s="2" t="s">
        <v>10</v>
      </c>
      <c r="E8" s="3" t="s">
        <v>11</v>
      </c>
      <c r="F8" s="3" t="s">
        <v>12</v>
      </c>
      <c r="G8" s="3" t="s">
        <v>13</v>
      </c>
      <c r="H8" s="2" t="s">
        <v>9</v>
      </c>
      <c r="I8" s="2" t="s">
        <v>10</v>
      </c>
      <c r="J8" s="3" t="s">
        <v>11</v>
      </c>
      <c r="K8" s="3" t="s">
        <v>12</v>
      </c>
      <c r="L8" s="3" t="s">
        <v>13</v>
      </c>
    </row>
    <row r="9" spans="2:12" x14ac:dyDescent="0.2">
      <c r="B9" t="s">
        <v>14</v>
      </c>
      <c r="C9" s="4" t="e">
        <f>'C2 lossyG,lossyA,intra'!$BJ$40:$BJ$40</f>
        <v>#DIV/0!</v>
      </c>
      <c r="D9" s="4" t="e">
        <f>'C2 lossyG,lossyA,intra'!$BK$40:$BK$40</f>
        <v>#DIV/0!</v>
      </c>
      <c r="E9" s="4" t="e">
        <f>'C2 lossyG,lossyA,intra'!$BL$40:$BL$40</f>
        <v>#DIV/0!</v>
      </c>
      <c r="F9" s="4" t="e">
        <f>'C2 lossyG,lossyA,intra'!$BM$40:$BM$40</f>
        <v>#DIV/0!</v>
      </c>
      <c r="G9" s="4" t="e">
        <f>'C2 lossyG,lossyA,intra'!$BN$40:$BN$40</f>
        <v>#DIV/0!</v>
      </c>
      <c r="H9" s="4" t="e">
        <f>'C2 lossyG,lossyA,intra'!$BP$40:$BP$40</f>
        <v>#DIV/0!</v>
      </c>
      <c r="I9" s="4" t="e">
        <f>'C2 lossyG,lossyA,intra'!$BQ$40:$BQ$40</f>
        <v>#DIV/0!</v>
      </c>
      <c r="J9" s="4" t="e">
        <f>'C2 lossyG,lossyA,intra'!$BR$40:$BR$40</f>
        <v>#DIV/0!</v>
      </c>
      <c r="K9" s="4" t="e">
        <f>'C2 lossyG,lossyA,intra'!$BS$40:$BS$40</f>
        <v>#DIV/0!</v>
      </c>
      <c r="L9" s="4" t="e">
        <f>'C2 lossyG,lossyA,intra'!$BT$40:$BT$40</f>
        <v>#DIV/0!</v>
      </c>
    </row>
    <row r="10" spans="2:12" x14ac:dyDescent="0.2">
      <c r="B10" t="s">
        <v>15</v>
      </c>
      <c r="C10" s="4" t="e">
        <f>'C2 lossyG,lossyA,intra'!$BJ$41:$BJ$41</f>
        <v>#DIV/0!</v>
      </c>
      <c r="D10" s="4" t="e">
        <f>'C2 lossyG,lossyA,intra'!$BK$41:$BK$41</f>
        <v>#DIV/0!</v>
      </c>
      <c r="E10" s="4" t="e">
        <f>'C2 lossyG,lossyA,intra'!$BL$41:$BL$41</f>
        <v>#DIV/0!</v>
      </c>
      <c r="F10" s="4" t="e">
        <f>'C2 lossyG,lossyA,intra'!$BM$41:$BM$41</f>
        <v>#DIV/0!</v>
      </c>
      <c r="G10" s="4" t="e">
        <f>'C2 lossyG,lossyA,intra'!$BN$41:$BN$41</f>
        <v>#DIV/0!</v>
      </c>
      <c r="H10" s="4" t="e">
        <f>'C2 lossyG,lossyA,intra'!$BP$41:$BP$41</f>
        <v>#DIV/0!</v>
      </c>
      <c r="I10" s="4" t="e">
        <f>'C2 lossyG,lossyA,intra'!$BQ$41:$BQ$41</f>
        <v>#DIV/0!</v>
      </c>
      <c r="J10" s="4" t="e">
        <f>'C2 lossyG,lossyA,intra'!$BR$41:$BR$41</f>
        <v>#DIV/0!</v>
      </c>
      <c r="K10" s="4" t="e">
        <f>'C2 lossyG,lossyA,intra'!$BS$41:$BS$41</f>
        <v>#DIV/0!</v>
      </c>
      <c r="L10" s="4" t="e">
        <f>'C2 lossyG,lossyA,intra'!$BT$41:$BT$41</f>
        <v>#DIV/0!</v>
      </c>
    </row>
    <row r="11" spans="2:12" x14ac:dyDescent="0.2">
      <c r="B11" t="s">
        <v>16</v>
      </c>
      <c r="C11" s="4" t="e">
        <f>'C2 lossyG,lossyA,intra'!$BJ$42:$BJ$42</f>
        <v>#DIV/0!</v>
      </c>
      <c r="D11" s="4" t="e">
        <f>'C2 lossyG,lossyA,intra'!$BK$42:$BK$42</f>
        <v>#DIV/0!</v>
      </c>
      <c r="E11" s="4" t="e">
        <f>'C2 lossyG,lossyA,intra'!$BL$42:$BL$42</f>
        <v>#DIV/0!</v>
      </c>
      <c r="F11" s="4" t="e">
        <f>'C2 lossyG,lossyA,intra'!$BM$42:$BM$42</f>
        <v>#DIV/0!</v>
      </c>
      <c r="G11" s="4" t="e">
        <f>'C2 lossyG,lossyA,intra'!$BN$42:$BN$42</f>
        <v>#DIV/0!</v>
      </c>
      <c r="H11" s="4" t="e">
        <f>'C2 lossyG,lossyA,intra'!$BP$42:$BP$42</f>
        <v>#DIV/0!</v>
      </c>
      <c r="I11" s="4" t="e">
        <f>'C2 lossyG,lossyA,intra'!$BQ$42:$BQ$42</f>
        <v>#DIV/0!</v>
      </c>
      <c r="J11" s="4" t="e">
        <f>'C2 lossyG,lossyA,intra'!$BR$42:$BR$42</f>
        <v>#DIV/0!</v>
      </c>
      <c r="K11" s="4" t="e">
        <f>'C2 lossyG,lossyA,intra'!$BS$42:$BS$42</f>
        <v>#DIV/0!</v>
      </c>
      <c r="L11" s="4" t="e">
        <f>'C2 lossyG,lossyA,intra'!$BT$42:$BT$42</f>
        <v>#DIV/0!</v>
      </c>
    </row>
    <row r="12" spans="2:12" x14ac:dyDescent="0.2">
      <c r="B12" s="5" t="s">
        <v>17</v>
      </c>
      <c r="C12" s="6" t="e">
        <f>'C2 lossyG,lossyA,intra'!$BJ$43:$BJ$43</f>
        <v>#DIV/0!</v>
      </c>
      <c r="D12" s="6" t="e">
        <f>'C2 lossyG,lossyA,intra'!$BK$43:$BK$43</f>
        <v>#DIV/0!</v>
      </c>
      <c r="E12" s="6" t="e">
        <f>'C2 lossyG,lossyA,intra'!$BL$43:$BL$43</f>
        <v>#DIV/0!</v>
      </c>
      <c r="F12" s="6" t="e">
        <f>'C2 lossyG,lossyA,intra'!$BM$43:$BM$43</f>
        <v>#DIV/0!</v>
      </c>
      <c r="G12" s="6" t="e">
        <f>'C2 lossyG,lossyA,intra'!$BN$43:$BN$43</f>
        <v>#DIV/0!</v>
      </c>
      <c r="H12" s="6" t="e">
        <f>'C2 lossyG,lossyA,intra'!$BP$43:$BP$43</f>
        <v>#DIV/0!</v>
      </c>
      <c r="I12" s="6" t="e">
        <f>'C2 lossyG,lossyA,intra'!$BQ$43:$BQ$43</f>
        <v>#DIV/0!</v>
      </c>
      <c r="J12" s="6" t="e">
        <f>'C2 lossyG,lossyA,intra'!$BR$43:$BR$43</f>
        <v>#DIV/0!</v>
      </c>
      <c r="K12" s="6" t="e">
        <f>'C2 lossyG,lossyA,intra'!$BS$43:$BS$43</f>
        <v>#DIV/0!</v>
      </c>
      <c r="L12" s="6" t="e">
        <f>'C2 lossyG,lossyA,intra'!$BT$43:$BT$43</f>
        <v>#DIV/0!</v>
      </c>
    </row>
    <row r="13" spans="2:12" x14ac:dyDescent="0.2">
      <c r="B13" t="s">
        <v>18</v>
      </c>
      <c r="C13" s="66" t="e">
        <f>'C2 lossyG,lossyA,intra'!AZ47</f>
        <v>#NUM!</v>
      </c>
      <c r="D13" s="58"/>
      <c r="E13" s="58"/>
      <c r="F13" s="58"/>
      <c r="G13" s="58"/>
      <c r="H13" s="58"/>
      <c r="I13" s="58"/>
      <c r="J13" s="58"/>
      <c r="K13" s="58"/>
      <c r="L13" s="58"/>
    </row>
    <row r="14" spans="2:12" x14ac:dyDescent="0.2">
      <c r="B14" s="8" t="s">
        <v>19</v>
      </c>
      <c r="C14" s="67" t="e">
        <f>'C2 lossyG,lossyA,intra'!BB47</f>
        <v>#NUM!</v>
      </c>
      <c r="D14" s="61"/>
      <c r="E14" s="61"/>
      <c r="F14" s="61"/>
      <c r="G14" s="61"/>
      <c r="H14" s="61"/>
      <c r="I14" s="61"/>
      <c r="J14" s="61"/>
      <c r="K14" s="61"/>
      <c r="L14" s="61"/>
    </row>
    <row r="16" spans="2:12" x14ac:dyDescent="0.2">
      <c r="B16" s="60" t="s">
        <v>20</v>
      </c>
      <c r="C16" s="62" t="s">
        <v>21</v>
      </c>
      <c r="D16" s="63"/>
      <c r="E16" s="63"/>
    </row>
    <row r="17" spans="2:5" x14ac:dyDescent="0.2">
      <c r="B17" s="58"/>
      <c r="C17" s="64" t="s">
        <v>22</v>
      </c>
      <c r="D17" s="58"/>
      <c r="E17" s="58"/>
    </row>
    <row r="18" spans="2:5" ht="16" x14ac:dyDescent="0.2">
      <c r="B18" s="61"/>
      <c r="C18" s="2" t="s">
        <v>23</v>
      </c>
      <c r="D18" s="2" t="s">
        <v>24</v>
      </c>
      <c r="E18" s="2" t="s">
        <v>25</v>
      </c>
    </row>
    <row r="19" spans="2:5" x14ac:dyDescent="0.2">
      <c r="B19" t="s">
        <v>14</v>
      </c>
      <c r="C19" s="4" t="e">
        <f>'CW losslG,losslA,intra'!BC12</f>
        <v>#DIV/0!</v>
      </c>
      <c r="D19" s="4" t="e">
        <f>'CW losslG,losslA,intra'!BE12</f>
        <v>#DIV/0!</v>
      </c>
      <c r="E19" s="4" t="e">
        <f>'CW losslG,losslA,intra'!BB12</f>
        <v>#DIV/0!</v>
      </c>
    </row>
    <row r="20" spans="2:5" x14ac:dyDescent="0.2">
      <c r="B20" t="s">
        <v>15</v>
      </c>
      <c r="C20" s="4" t="e">
        <f>'CW losslG,losslA,intra'!BC13</f>
        <v>#DIV/0!</v>
      </c>
      <c r="D20" s="4" t="e">
        <f>'CW losslG,losslA,intra'!BE13</f>
        <v>#DIV/0!</v>
      </c>
      <c r="E20" s="4" t="e">
        <f>'CW losslG,losslA,intra'!BB13</f>
        <v>#DIV/0!</v>
      </c>
    </row>
    <row r="21" spans="2:5" x14ac:dyDescent="0.2">
      <c r="B21" t="s">
        <v>16</v>
      </c>
      <c r="C21" s="4" t="e">
        <f>'CW losslG,losslA,intra'!BC14</f>
        <v>#DIV/0!</v>
      </c>
      <c r="D21" s="4" t="e">
        <f>'CW losslG,losslA,intra'!BE14</f>
        <v>#DIV/0!</v>
      </c>
      <c r="E21" s="4" t="e">
        <f>'CW losslG,losslA,intra'!BB14</f>
        <v>#DIV/0!</v>
      </c>
    </row>
    <row r="22" spans="2:5" x14ac:dyDescent="0.2">
      <c r="B22" s="5" t="s">
        <v>17</v>
      </c>
      <c r="C22" s="6" t="e">
        <f>'CW losslG,losslA,intra'!BC15</f>
        <v>#DIV/0!</v>
      </c>
      <c r="D22" s="6" t="e">
        <f>'CW losslG,losslA,intra'!BE15</f>
        <v>#DIV/0!</v>
      </c>
      <c r="E22" s="6" t="e">
        <f>'CW losslG,losslA,intra'!BB15</f>
        <v>#DIV/0!</v>
      </c>
    </row>
    <row r="23" spans="2:5" x14ac:dyDescent="0.2">
      <c r="B23" t="s">
        <v>18</v>
      </c>
      <c r="C23" s="66" t="e">
        <f>'CW losslG,losslA,intra'!AW19</f>
        <v>#NUM!</v>
      </c>
      <c r="D23" s="58"/>
      <c r="E23" s="58"/>
    </row>
    <row r="24" spans="2:5" x14ac:dyDescent="0.2">
      <c r="B24" s="8" t="s">
        <v>19</v>
      </c>
      <c r="C24" s="67" t="e">
        <f>'CW losslG,losslA,intra'!AY19</f>
        <v>#NUM!</v>
      </c>
      <c r="D24" s="61"/>
      <c r="E24" s="61"/>
    </row>
    <row r="26" spans="2:5" s="1" customFormat="1" x14ac:dyDescent="0.2">
      <c r="B26" s="1" t="s">
        <v>26</v>
      </c>
    </row>
    <row r="28" spans="2:5" x14ac:dyDescent="0.2">
      <c r="B28" s="60" t="s">
        <v>27</v>
      </c>
      <c r="C28" s="62" t="s">
        <v>28</v>
      </c>
      <c r="D28" s="63"/>
      <c r="E28" s="63"/>
    </row>
    <row r="29" spans="2:5" x14ac:dyDescent="0.2">
      <c r="B29" s="58"/>
      <c r="C29" s="64" t="s">
        <v>22</v>
      </c>
      <c r="D29" s="58"/>
      <c r="E29" s="58"/>
    </row>
    <row r="30" spans="2:5" ht="16" x14ac:dyDescent="0.2">
      <c r="B30" s="61"/>
      <c r="C30" s="2" t="s">
        <v>23</v>
      </c>
      <c r="D30" s="2" t="s">
        <v>24</v>
      </c>
      <c r="E30" s="2" t="s">
        <v>25</v>
      </c>
    </row>
    <row r="31" spans="2:5" x14ac:dyDescent="0.2">
      <c r="B31" t="s">
        <v>14</v>
      </c>
      <c r="C31" s="4" t="e">
        <f>'CW losslG,losslA,interLD'!BC12</f>
        <v>#DIV/0!</v>
      </c>
      <c r="D31" s="4" t="e">
        <f>'CW losslG,losslA,interLD'!BE12</f>
        <v>#DIV/0!</v>
      </c>
      <c r="E31" s="4" t="e">
        <f>'CW losslG,losslA,interLD'!BB12</f>
        <v>#DIV/0!</v>
      </c>
    </row>
    <row r="32" spans="2:5" x14ac:dyDescent="0.2">
      <c r="B32" t="s">
        <v>15</v>
      </c>
      <c r="C32" s="4" t="e">
        <f>'CW losslG,losslA,interLD'!BC13</f>
        <v>#DIV/0!</v>
      </c>
      <c r="D32" s="4" t="e">
        <f>'CW losslG,losslA,interLD'!BE13</f>
        <v>#DIV/0!</v>
      </c>
      <c r="E32" s="4" t="e">
        <f>'CW losslG,losslA,interLD'!BB13</f>
        <v>#DIV/0!</v>
      </c>
    </row>
    <row r="33" spans="2:12" x14ac:dyDescent="0.2">
      <c r="B33" t="s">
        <v>16</v>
      </c>
      <c r="C33" s="4" t="e">
        <f>'CW losslG,losslA,interLD'!BC14</f>
        <v>#DIV/0!</v>
      </c>
      <c r="D33" s="4" t="e">
        <f>'CW losslG,losslA,interLD'!BE14</f>
        <v>#DIV/0!</v>
      </c>
      <c r="E33" s="4" t="e">
        <f>'CW losslG,losslA,interLD'!BB14</f>
        <v>#DIV/0!</v>
      </c>
    </row>
    <row r="34" spans="2:12" x14ac:dyDescent="0.2">
      <c r="B34" s="5" t="s">
        <v>17</v>
      </c>
      <c r="C34" s="6" t="e">
        <f>'CW losslG,losslA,interLD'!BC15</f>
        <v>#DIV/0!</v>
      </c>
      <c r="D34" s="6" t="e">
        <f>'CW losslG,losslA,interLD'!BE15</f>
        <v>#DIV/0!</v>
      </c>
      <c r="E34" s="6" t="e">
        <f>'CW losslG,losslA,interLD'!BB15</f>
        <v>#DIV/0!</v>
      </c>
    </row>
    <row r="35" spans="2:12" x14ac:dyDescent="0.2">
      <c r="B35" t="s">
        <v>18</v>
      </c>
      <c r="C35" s="66" t="e">
        <f>'CW losslG,losslA,interLD'!AW19</f>
        <v>#NUM!</v>
      </c>
      <c r="D35" s="58"/>
      <c r="E35" s="58"/>
    </row>
    <row r="36" spans="2:12" x14ac:dyDescent="0.2">
      <c r="B36" s="8" t="s">
        <v>19</v>
      </c>
      <c r="C36" s="67" t="e">
        <f>'CW losslG,losslA,interLD'!AY19</f>
        <v>#NUM!</v>
      </c>
      <c r="D36" s="61"/>
      <c r="E36" s="61"/>
    </row>
    <row r="38" spans="2:12" s="1" customFormat="1" x14ac:dyDescent="0.2">
      <c r="B38" s="1" t="s">
        <v>29</v>
      </c>
    </row>
    <row r="40" spans="2:12" x14ac:dyDescent="0.2">
      <c r="B40" s="60" t="s">
        <v>30</v>
      </c>
      <c r="C40" s="62" t="s">
        <v>31</v>
      </c>
      <c r="D40" s="63"/>
      <c r="E40" s="63"/>
      <c r="F40" s="63"/>
      <c r="G40" s="63"/>
      <c r="H40" s="63"/>
      <c r="I40" s="63"/>
      <c r="J40" s="63"/>
      <c r="K40" s="63"/>
      <c r="L40" s="63"/>
    </row>
    <row r="41" spans="2:12" x14ac:dyDescent="0.2">
      <c r="B41" s="58"/>
      <c r="C41" s="64" t="s">
        <v>5</v>
      </c>
      <c r="D41" s="58"/>
      <c r="E41" s="65" t="s">
        <v>6</v>
      </c>
      <c r="F41" s="58"/>
      <c r="G41" s="58"/>
      <c r="H41" s="64" t="s">
        <v>7</v>
      </c>
      <c r="I41" s="58"/>
      <c r="J41" s="65" t="s">
        <v>8</v>
      </c>
      <c r="K41" s="58"/>
      <c r="L41" s="58"/>
    </row>
    <row r="42" spans="2:12" ht="16" x14ac:dyDescent="0.2">
      <c r="B42" s="61"/>
      <c r="C42" s="2" t="s">
        <v>9</v>
      </c>
      <c r="D42" s="2" t="s">
        <v>10</v>
      </c>
      <c r="E42" s="3" t="s">
        <v>11</v>
      </c>
      <c r="F42" s="3" t="s">
        <v>12</v>
      </c>
      <c r="G42" s="3" t="s">
        <v>13</v>
      </c>
      <c r="H42" s="2" t="s">
        <v>9</v>
      </c>
      <c r="I42" s="2" t="s">
        <v>10</v>
      </c>
      <c r="J42" s="3" t="s">
        <v>11</v>
      </c>
      <c r="K42" s="3" t="s">
        <v>12</v>
      </c>
      <c r="L42" s="3" t="s">
        <v>13</v>
      </c>
    </row>
    <row r="43" spans="2:12" x14ac:dyDescent="0.2">
      <c r="B43" t="s">
        <v>14</v>
      </c>
      <c r="C43" s="4" t="e">
        <f>'C2 lossyG,lossyA,interRA'!$BJ$40:$BJ$40</f>
        <v>#DIV/0!</v>
      </c>
      <c r="D43" s="4" t="e">
        <f>'C2 lossyG,lossyA,interRA'!$BK$40:$BK$40</f>
        <v>#DIV/0!</v>
      </c>
      <c r="E43" s="4" t="e">
        <f>'C2 lossyG,lossyA,interRA'!$BL$40:$BL$40</f>
        <v>#DIV/0!</v>
      </c>
      <c r="F43" s="4" t="e">
        <f>'C2 lossyG,lossyA,interRA'!$BM$40:$BM$40</f>
        <v>#DIV/0!</v>
      </c>
      <c r="G43" s="4" t="e">
        <f>'C2 lossyG,lossyA,interRA'!$BN$40:$BN$40</f>
        <v>#DIV/0!</v>
      </c>
      <c r="H43" s="4" t="e">
        <f>'C2 lossyG,lossyA,interRA'!$BP$40:$BP$40</f>
        <v>#DIV/0!</v>
      </c>
      <c r="I43" s="4" t="e">
        <f>'C2 lossyG,lossyA,interRA'!$BQ$40:$BQ$40</f>
        <v>#DIV/0!</v>
      </c>
      <c r="J43" s="4" t="e">
        <f>'C2 lossyG,lossyA,interRA'!$BR$40:$BR$40</f>
        <v>#DIV/0!</v>
      </c>
      <c r="K43" s="4" t="e">
        <f>'C2 lossyG,lossyA,interRA'!$BS$40:$BS$40</f>
        <v>#DIV/0!</v>
      </c>
      <c r="L43" s="4" t="e">
        <f>'C2 lossyG,lossyA,interRA'!$BT$40:$BT$40</f>
        <v>#DIV/0!</v>
      </c>
    </row>
    <row r="44" spans="2:12" x14ac:dyDescent="0.2">
      <c r="B44" t="s">
        <v>15</v>
      </c>
      <c r="C44" s="4" t="e">
        <f>'C2 lossyG,lossyA,interRA'!$BJ$41:$BJ$41</f>
        <v>#DIV/0!</v>
      </c>
      <c r="D44" s="4" t="e">
        <f>'C2 lossyG,lossyA,interRA'!$BK$41:$BK$41</f>
        <v>#DIV/0!</v>
      </c>
      <c r="E44" s="4" t="e">
        <f>'C2 lossyG,lossyA,interRA'!$BL$41:$BL$41</f>
        <v>#DIV/0!</v>
      </c>
      <c r="F44" s="4" t="e">
        <f>'C2 lossyG,lossyA,interRA'!$BM$41:$BM$41</f>
        <v>#DIV/0!</v>
      </c>
      <c r="G44" s="4" t="e">
        <f>'C2 lossyG,lossyA,interRA'!$BN$41:$BN$41</f>
        <v>#DIV/0!</v>
      </c>
      <c r="H44" s="4" t="e">
        <f>'C2 lossyG,lossyA,interRA'!$BP$41:$BP$41</f>
        <v>#DIV/0!</v>
      </c>
      <c r="I44" s="4" t="e">
        <f>'C2 lossyG,lossyA,interRA'!$BQ$41:$BQ$41</f>
        <v>#DIV/0!</v>
      </c>
      <c r="J44" s="4" t="e">
        <f>'C2 lossyG,lossyA,interRA'!$BR$41:$BR$41</f>
        <v>#DIV/0!</v>
      </c>
      <c r="K44" s="4" t="e">
        <f>'C2 lossyG,lossyA,interRA'!$BS$41:$BS$41</f>
        <v>#DIV/0!</v>
      </c>
      <c r="L44" s="4" t="e">
        <f>'C2 lossyG,lossyA,interRA'!$BT$41:$BT$41</f>
        <v>#DIV/0!</v>
      </c>
    </row>
    <row r="45" spans="2:12" x14ac:dyDescent="0.2">
      <c r="B45" t="s">
        <v>16</v>
      </c>
      <c r="C45" s="4" t="e">
        <f>'C2 lossyG,lossyA,interRA'!$BJ$42:$BJ$42</f>
        <v>#DIV/0!</v>
      </c>
      <c r="D45" s="4" t="e">
        <f>'C2 lossyG,lossyA,interRA'!$BK$42:$BK$42</f>
        <v>#DIV/0!</v>
      </c>
      <c r="E45" s="4" t="e">
        <f>'C2 lossyG,lossyA,interRA'!$BL$42:$BL$42</f>
        <v>#DIV/0!</v>
      </c>
      <c r="F45" s="4" t="e">
        <f>'C2 lossyG,lossyA,interRA'!$BM$42:$BM$42</f>
        <v>#DIV/0!</v>
      </c>
      <c r="G45" s="4" t="e">
        <f>'C2 lossyG,lossyA,interRA'!$BN$42:$BN$42</f>
        <v>#DIV/0!</v>
      </c>
      <c r="H45" s="4" t="e">
        <f>'C2 lossyG,lossyA,interRA'!$BP$42:$BP$42</f>
        <v>#DIV/0!</v>
      </c>
      <c r="I45" s="4" t="e">
        <f>'C2 lossyG,lossyA,interRA'!$BQ$42:$BQ$42</f>
        <v>#DIV/0!</v>
      </c>
      <c r="J45" s="4" t="e">
        <f>'C2 lossyG,lossyA,interRA'!$BR$42:$BR$42</f>
        <v>#DIV/0!</v>
      </c>
      <c r="K45" s="4" t="e">
        <f>'C2 lossyG,lossyA,interRA'!$BS$42:$BS$42</f>
        <v>#DIV/0!</v>
      </c>
      <c r="L45" s="4" t="e">
        <f>'C2 lossyG,lossyA,interRA'!$BT$42:$BT$42</f>
        <v>#DIV/0!</v>
      </c>
    </row>
    <row r="46" spans="2:12" x14ac:dyDescent="0.2">
      <c r="B46" s="5" t="s">
        <v>17</v>
      </c>
      <c r="C46" s="6" t="e">
        <f>'C2 lossyG,lossyA,interRA'!$BJ$43:$BJ$43</f>
        <v>#DIV/0!</v>
      </c>
      <c r="D46" s="6" t="e">
        <f>'C2 lossyG,lossyA,interRA'!$BK$43:$BK$43</f>
        <v>#DIV/0!</v>
      </c>
      <c r="E46" s="6" t="e">
        <f>'C2 lossyG,lossyA,interRA'!$BL$43:$BL$43</f>
        <v>#DIV/0!</v>
      </c>
      <c r="F46" s="6" t="e">
        <f>'C2 lossyG,lossyA,interRA'!$BM$43:$BM$43</f>
        <v>#DIV/0!</v>
      </c>
      <c r="G46" s="6" t="e">
        <f>'C2 lossyG,lossyA,interRA'!$BN$43:$BN$43</f>
        <v>#DIV/0!</v>
      </c>
      <c r="H46" s="6" t="e">
        <f>'C2 lossyG,lossyA,interRA'!$BP$43:$BP$43</f>
        <v>#DIV/0!</v>
      </c>
      <c r="I46" s="6" t="e">
        <f>'C2 lossyG,lossyA,interRA'!$BQ$43:$BQ$43</f>
        <v>#DIV/0!</v>
      </c>
      <c r="J46" s="6" t="e">
        <f>'C2 lossyG,lossyA,interRA'!$BR$43:$BR$43</f>
        <v>#DIV/0!</v>
      </c>
      <c r="K46" s="6" t="e">
        <f>'C2 lossyG,lossyA,interRA'!$BS$43:$BS$43</f>
        <v>#DIV/0!</v>
      </c>
      <c r="L46" s="6" t="e">
        <f>'C2 lossyG,lossyA,interRA'!$BT$43:$BT$43</f>
        <v>#DIV/0!</v>
      </c>
    </row>
    <row r="47" spans="2:12" x14ac:dyDescent="0.2">
      <c r="B47" t="s">
        <v>18</v>
      </c>
      <c r="C47" s="66" t="e">
        <f>'C2 lossyG,lossyA,interRA'!AZ47</f>
        <v>#NUM!</v>
      </c>
      <c r="D47" s="58"/>
      <c r="E47" s="58"/>
      <c r="F47" s="58"/>
      <c r="G47" s="58"/>
      <c r="H47" s="58"/>
      <c r="I47" s="58"/>
      <c r="J47" s="58"/>
      <c r="K47" s="58"/>
      <c r="L47" s="58"/>
    </row>
    <row r="48" spans="2:12" x14ac:dyDescent="0.2">
      <c r="B48" s="8" t="s">
        <v>19</v>
      </c>
      <c r="C48" s="67" t="e">
        <f>'C2 lossyG,lossyA,interRA'!BB47</f>
        <v>#NUM!</v>
      </c>
      <c r="D48" s="61"/>
      <c r="E48" s="61"/>
      <c r="F48" s="61"/>
      <c r="G48" s="61"/>
      <c r="H48" s="61"/>
      <c r="I48" s="61"/>
      <c r="J48" s="61"/>
      <c r="K48" s="61"/>
      <c r="L48" s="61"/>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customWidth="1"/>
    <col min="2" max="2" width="24.6640625" customWidth="1"/>
    <col min="4" max="4" width="24.6640625" customWidth="1"/>
    <col min="9" max="9" width="16.6640625" customWidth="1"/>
  </cols>
  <sheetData>
    <row r="1" spans="1:16" x14ac:dyDescent="0.2">
      <c r="A1" t="s">
        <v>32</v>
      </c>
      <c r="B1" s="9" t="str">
        <f>M1</f>
        <v>C2 lossyG,lossyA,intra</v>
      </c>
      <c r="C1" t="s">
        <v>33</v>
      </c>
      <c r="I1" t="s">
        <v>34</v>
      </c>
      <c r="M1" t="s">
        <v>35</v>
      </c>
      <c r="N1" t="s">
        <v>36</v>
      </c>
      <c r="O1" t="s">
        <v>37</v>
      </c>
      <c r="P1" t="s">
        <v>38</v>
      </c>
    </row>
    <row r="2" spans="1:16" x14ac:dyDescent="0.2">
      <c r="A2" t="s">
        <v>39</v>
      </c>
      <c r="B2" s="9" t="str">
        <f>HLOOKUP(B1,M1:ZZ3,3,0)</f>
        <v>8ivfbv2_loot_vox10</v>
      </c>
      <c r="C2" t="s">
        <v>40</v>
      </c>
      <c r="I2" t="s">
        <v>41</v>
      </c>
      <c r="J2" t="s">
        <v>42</v>
      </c>
      <c r="M2" t="s">
        <v>43</v>
      </c>
      <c r="N2" t="s">
        <v>44</v>
      </c>
      <c r="O2" t="s">
        <v>45</v>
      </c>
      <c r="P2" t="s">
        <v>46</v>
      </c>
    </row>
    <row r="3" spans="1:16" x14ac:dyDescent="0.2">
      <c r="I3" t="s">
        <v>47</v>
      </c>
      <c r="J3" t="s">
        <v>48</v>
      </c>
      <c r="M3" t="s">
        <v>49</v>
      </c>
      <c r="N3" t="s">
        <v>49</v>
      </c>
      <c r="O3" t="s">
        <v>49</v>
      </c>
      <c r="P3" t="s">
        <v>49</v>
      </c>
    </row>
    <row r="4" spans="1:16" x14ac:dyDescent="0.2">
      <c r="A4" t="s">
        <v>50</v>
      </c>
      <c r="B4" s="9" t="s">
        <v>51</v>
      </c>
      <c r="C4" t="s">
        <v>52</v>
      </c>
      <c r="D4" s="9" t="s">
        <v>53</v>
      </c>
      <c r="E4" t="s">
        <v>54</v>
      </c>
      <c r="I4" t="s">
        <v>55</v>
      </c>
      <c r="J4" t="s">
        <v>56</v>
      </c>
      <c r="M4" t="s">
        <v>57</v>
      </c>
      <c r="N4" t="s">
        <v>57</v>
      </c>
      <c r="O4" t="s">
        <v>57</v>
      </c>
      <c r="P4" t="s">
        <v>57</v>
      </c>
    </row>
    <row r="5" spans="1:16" x14ac:dyDescent="0.2">
      <c r="A5" t="s">
        <v>50</v>
      </c>
      <c r="B5" s="9" t="s">
        <v>51</v>
      </c>
      <c r="C5" t="s">
        <v>52</v>
      </c>
      <c r="D5" s="9" t="s">
        <v>58</v>
      </c>
      <c r="E5" t="s">
        <v>59</v>
      </c>
      <c r="I5" t="s">
        <v>60</v>
      </c>
      <c r="J5" t="s">
        <v>61</v>
      </c>
      <c r="M5" t="s">
        <v>62</v>
      </c>
      <c r="N5" t="s">
        <v>62</v>
      </c>
      <c r="O5" t="s">
        <v>62</v>
      </c>
      <c r="P5" t="s">
        <v>62</v>
      </c>
    </row>
    <row r="6" spans="1:16" x14ac:dyDescent="0.2">
      <c r="A6" t="s">
        <v>50</v>
      </c>
      <c r="B6" s="9" t="s">
        <v>63</v>
      </c>
      <c r="C6" t="s">
        <v>52</v>
      </c>
      <c r="D6" s="9" t="s">
        <v>64</v>
      </c>
      <c r="E6" t="s">
        <v>65</v>
      </c>
      <c r="I6" t="s">
        <v>66</v>
      </c>
      <c r="J6" t="s">
        <v>67</v>
      </c>
      <c r="M6" t="s">
        <v>68</v>
      </c>
      <c r="N6" t="s">
        <v>68</v>
      </c>
      <c r="O6" t="s">
        <v>68</v>
      </c>
      <c r="P6" t="s">
        <v>68</v>
      </c>
    </row>
    <row r="7" spans="1:16" x14ac:dyDescent="0.2">
      <c r="A7" t="s">
        <v>50</v>
      </c>
      <c r="B7" s="9" t="s">
        <v>63</v>
      </c>
      <c r="C7" t="s">
        <v>52</v>
      </c>
      <c r="D7" s="9" t="s">
        <v>47</v>
      </c>
      <c r="E7" t="s">
        <v>69</v>
      </c>
      <c r="I7" t="s">
        <v>53</v>
      </c>
      <c r="J7" t="s">
        <v>70</v>
      </c>
      <c r="M7" t="s">
        <v>71</v>
      </c>
      <c r="N7" t="s">
        <v>71</v>
      </c>
      <c r="O7" t="s">
        <v>71</v>
      </c>
      <c r="P7" t="s">
        <v>71</v>
      </c>
    </row>
    <row r="8" spans="1:16" x14ac:dyDescent="0.2">
      <c r="A8" t="s">
        <v>50</v>
      </c>
      <c r="B8" s="9" t="s">
        <v>63</v>
      </c>
      <c r="C8" t="s">
        <v>52</v>
      </c>
      <c r="D8" s="9" t="s">
        <v>60</v>
      </c>
      <c r="E8" t="s">
        <v>72</v>
      </c>
      <c r="I8" t="s">
        <v>73</v>
      </c>
      <c r="J8" t="s">
        <v>74</v>
      </c>
      <c r="M8" t="s">
        <v>75</v>
      </c>
      <c r="N8" t="s">
        <v>75</v>
      </c>
      <c r="O8" t="s">
        <v>75</v>
      </c>
      <c r="P8" t="s">
        <v>75</v>
      </c>
    </row>
    <row r="9" spans="1:16" x14ac:dyDescent="0.2">
      <c r="A9" t="s">
        <v>50</v>
      </c>
      <c r="B9" s="9" t="s">
        <v>76</v>
      </c>
      <c r="C9" t="s">
        <v>52</v>
      </c>
      <c r="D9" s="9" t="s">
        <v>77</v>
      </c>
      <c r="E9" t="s">
        <v>78</v>
      </c>
      <c r="I9" t="s">
        <v>58</v>
      </c>
      <c r="J9" t="s">
        <v>79</v>
      </c>
      <c r="M9" t="s">
        <v>80</v>
      </c>
      <c r="N9" t="s">
        <v>80</v>
      </c>
      <c r="O9" t="s">
        <v>80</v>
      </c>
      <c r="P9" t="s">
        <v>80</v>
      </c>
    </row>
    <row r="10" spans="1:16" x14ac:dyDescent="0.2">
      <c r="I10" t="s">
        <v>81</v>
      </c>
      <c r="J10" t="s">
        <v>82</v>
      </c>
    </row>
    <row r="11" spans="1:16" x14ac:dyDescent="0.2">
      <c r="I11" t="s">
        <v>83</v>
      </c>
      <c r="J11" t="s">
        <v>84</v>
      </c>
    </row>
    <row r="12" spans="1:16" x14ac:dyDescent="0.2">
      <c r="I12" t="s">
        <v>85</v>
      </c>
      <c r="J12" t="s">
        <v>86</v>
      </c>
    </row>
    <row r="13" spans="1:16" x14ac:dyDescent="0.2">
      <c r="I13" t="s">
        <v>87</v>
      </c>
      <c r="J13" t="s">
        <v>88</v>
      </c>
    </row>
    <row r="14" spans="1:16" x14ac:dyDescent="0.2">
      <c r="I14" t="s">
        <v>89</v>
      </c>
      <c r="J14" t="s">
        <v>90</v>
      </c>
    </row>
    <row r="15" spans="1:16" x14ac:dyDescent="0.2">
      <c r="I15" t="s">
        <v>91</v>
      </c>
      <c r="J15" t="s">
        <v>92</v>
      </c>
    </row>
    <row r="16" spans="1:16" x14ac:dyDescent="0.2">
      <c r="I16" t="s">
        <v>93</v>
      </c>
      <c r="J16" t="s">
        <v>94</v>
      </c>
    </row>
    <row r="17" spans="9:10" x14ac:dyDescent="0.2">
      <c r="I17" t="s">
        <v>77</v>
      </c>
      <c r="J17" t="s">
        <v>95</v>
      </c>
    </row>
    <row r="18" spans="9:10" x14ac:dyDescent="0.2">
      <c r="I18" t="s">
        <v>96</v>
      </c>
      <c r="J18" t="s">
        <v>97</v>
      </c>
    </row>
    <row r="19" spans="9:10" x14ac:dyDescent="0.2">
      <c r="I19" t="s">
        <v>98</v>
      </c>
      <c r="J19" t="s">
        <v>99</v>
      </c>
    </row>
    <row r="20" spans="9:10" x14ac:dyDescent="0.2">
      <c r="I20" t="s">
        <v>100</v>
      </c>
      <c r="J20" t="s">
        <v>101</v>
      </c>
    </row>
    <row r="21" spans="9:10" x14ac:dyDescent="0.2">
      <c r="I21" t="s">
        <v>102</v>
      </c>
      <c r="J21" t="s">
        <v>103</v>
      </c>
    </row>
    <row r="22" spans="9:10" x14ac:dyDescent="0.2">
      <c r="I22" t="s">
        <v>64</v>
      </c>
      <c r="J22" t="s">
        <v>104</v>
      </c>
    </row>
    <row r="23" spans="9:10" x14ac:dyDescent="0.2">
      <c r="I23" t="s">
        <v>105</v>
      </c>
      <c r="J23" t="s">
        <v>106</v>
      </c>
    </row>
    <row r="24" spans="9:10" x14ac:dyDescent="0.2">
      <c r="I24" t="s">
        <v>107</v>
      </c>
      <c r="J24" t="s">
        <v>108</v>
      </c>
    </row>
    <row r="25" spans="9:10" x14ac:dyDescent="0.2">
      <c r="I25" t="s">
        <v>109</v>
      </c>
      <c r="J25" t="s">
        <v>110</v>
      </c>
    </row>
    <row r="26" spans="9:10" x14ac:dyDescent="0.2">
      <c r="I26" t="s">
        <v>111</v>
      </c>
      <c r="J26" t="s">
        <v>112</v>
      </c>
    </row>
    <row r="27" spans="9:10" x14ac:dyDescent="0.2">
      <c r="I27" t="s">
        <v>113</v>
      </c>
      <c r="J27" t="s">
        <v>114</v>
      </c>
    </row>
    <row r="28" spans="9:10" x14ac:dyDescent="0.2">
      <c r="I28" t="s">
        <v>115</v>
      </c>
      <c r="J28" t="s">
        <v>116</v>
      </c>
    </row>
    <row r="29" spans="9:10" x14ac:dyDescent="0.2">
      <c r="I29" t="s">
        <v>117</v>
      </c>
      <c r="J29" t="s">
        <v>118</v>
      </c>
    </row>
    <row r="30" spans="9:10" x14ac:dyDescent="0.2">
      <c r="I30" t="s">
        <v>119</v>
      </c>
      <c r="J30" t="s">
        <v>120</v>
      </c>
    </row>
    <row r="31" spans="9:10" x14ac:dyDescent="0.2">
      <c r="I31" t="s">
        <v>121</v>
      </c>
      <c r="J31" t="s">
        <v>122</v>
      </c>
    </row>
    <row r="32" spans="9:10" x14ac:dyDescent="0.2">
      <c r="I32" t="s">
        <v>123</v>
      </c>
      <c r="J32" t="s">
        <v>124</v>
      </c>
    </row>
    <row r="33" spans="9:10" x14ac:dyDescent="0.2">
      <c r="I33" t="s">
        <v>125</v>
      </c>
      <c r="J33" t="s">
        <v>126</v>
      </c>
    </row>
    <row r="34" spans="9:10" x14ac:dyDescent="0.2">
      <c r="I34" t="s">
        <v>127</v>
      </c>
      <c r="J34" t="s">
        <v>128</v>
      </c>
    </row>
    <row r="35" spans="9:10" x14ac:dyDescent="0.2">
      <c r="I35" t="s">
        <v>63</v>
      </c>
      <c r="J35" t="s">
        <v>129</v>
      </c>
    </row>
    <row r="36" spans="9:10" x14ac:dyDescent="0.2">
      <c r="I36" t="s">
        <v>51</v>
      </c>
      <c r="J36" t="s">
        <v>130</v>
      </c>
    </row>
    <row r="37" spans="9:10" x14ac:dyDescent="0.2">
      <c r="I37" t="s">
        <v>131</v>
      </c>
      <c r="J37" t="s">
        <v>132</v>
      </c>
    </row>
    <row r="38" spans="9:10" x14ac:dyDescent="0.2">
      <c r="I38" t="s">
        <v>76</v>
      </c>
      <c r="J38" t="s">
        <v>133</v>
      </c>
    </row>
    <row r="39" spans="9:10" x14ac:dyDescent="0.2">
      <c r="I39" t="s">
        <v>134</v>
      </c>
      <c r="J39" t="s">
        <v>135</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T47"/>
  <sheetViews>
    <sheetView zoomScale="55" zoomScaleNormal="55" workbookViewId="0">
      <pane xSplit="2" ySplit="4" topLeftCell="O5" activePane="bottomRight" state="frozen"/>
      <selection pane="topRight" activeCell="C1" sqref="C1"/>
      <selection pane="bottomLeft" activeCell="A5" sqref="A5"/>
      <selection pane="bottomRight" activeCell="AN78" sqref="AN78"/>
    </sheetView>
  </sheetViews>
  <sheetFormatPr baseColWidth="10" defaultColWidth="8.83203125" defaultRowHeight="15" outlineLevelRow="2" x14ac:dyDescent="0.2"/>
  <cols>
    <col min="2" max="2" width="24.6640625" customWidth="1"/>
    <col min="4" max="5" width="10.6640625" customWidth="1"/>
    <col min="8" max="8" width="1.6640625" customWidth="1"/>
    <col min="10" max="13" width="10.6640625" customWidth="1"/>
    <col min="14" max="14" width="24.6640625" hidden="1" customWidth="1"/>
    <col min="15" max="15" width="12.6640625" customWidth="1"/>
    <col min="16" max="16" width="10.6640625" customWidth="1"/>
    <col min="19" max="22" width="12.6640625" customWidth="1"/>
    <col min="23" max="27" width="11.6640625" customWidth="1"/>
    <col min="32" max="32" width="1.6640625" customWidth="1"/>
    <col min="34" max="37" width="10.6640625" customWidth="1"/>
    <col min="38" max="38" width="24.6640625" hidden="1" customWidth="1"/>
    <col min="39" max="39" width="12.6640625" customWidth="1"/>
    <col min="40" max="40" width="10.6640625" customWidth="1"/>
    <col min="43" max="46" width="12.6640625" customWidth="1"/>
    <col min="47" max="51" width="11.6640625" customWidth="1"/>
    <col min="56" max="56" width="1.6640625" customWidth="1"/>
    <col min="61" max="61" width="1.6640625" customWidth="1"/>
    <col min="64" max="66" width="11.6640625" customWidth="1"/>
    <col min="67" max="67" width="1.6640625" customWidth="1"/>
    <col min="70" max="72" width="11.6640625" customWidth="1"/>
    <col min="73" max="73" width="1.6640625" customWidth="1"/>
  </cols>
  <sheetData>
    <row r="1" spans="1:72" x14ac:dyDescent="0.2">
      <c r="A1" s="72" t="s">
        <v>136</v>
      </c>
      <c r="B1" s="58"/>
      <c r="C1" s="58"/>
      <c r="D1" s="58"/>
      <c r="E1" s="58"/>
      <c r="F1" s="58"/>
      <c r="G1" s="58"/>
      <c r="I1" s="57" t="str">
        <f>Summary!$C$1</f>
        <v>CTC_master+r220</v>
      </c>
      <c r="J1" s="58"/>
      <c r="K1" s="58"/>
      <c r="L1" s="58"/>
      <c r="M1" s="58"/>
      <c r="N1" s="58"/>
      <c r="O1" s="58"/>
      <c r="P1" s="58"/>
      <c r="Q1" s="58"/>
      <c r="R1" s="58"/>
      <c r="S1" s="58"/>
      <c r="T1" s="58"/>
      <c r="U1" s="58"/>
      <c r="V1" s="58"/>
      <c r="W1" s="58"/>
      <c r="X1" s="58"/>
      <c r="Y1" s="58"/>
      <c r="Z1" s="58"/>
      <c r="AA1" s="58"/>
      <c r="AB1" s="58"/>
      <c r="AC1" s="58"/>
      <c r="AD1" s="58"/>
      <c r="AE1" s="58"/>
      <c r="AG1" s="59">
        <f>Summary!$C$2</f>
        <v>0</v>
      </c>
      <c r="AH1" s="58"/>
      <c r="AI1" s="58"/>
      <c r="AJ1" s="58"/>
      <c r="AK1" s="58"/>
      <c r="AL1" s="58"/>
      <c r="AM1" s="58"/>
      <c r="AN1" s="58"/>
      <c r="AO1" s="58"/>
      <c r="AP1" s="58"/>
      <c r="AQ1" s="58"/>
      <c r="AR1" s="58"/>
      <c r="AS1" s="58"/>
      <c r="AT1" s="58"/>
      <c r="AU1" s="58"/>
      <c r="AV1" s="58"/>
      <c r="AW1" s="58"/>
      <c r="AX1" s="58"/>
      <c r="AY1" s="58"/>
      <c r="AZ1" s="58"/>
      <c r="BA1" s="58"/>
      <c r="BB1" s="58"/>
      <c r="BC1" s="58"/>
    </row>
    <row r="2" spans="1:72" ht="30" customHeight="1" x14ac:dyDescent="0.2">
      <c r="A2" s="68" t="s">
        <v>137</v>
      </c>
      <c r="B2" s="69" t="s">
        <v>138</v>
      </c>
      <c r="C2" s="68" t="s">
        <v>139</v>
      </c>
      <c r="D2" s="69" t="s">
        <v>140</v>
      </c>
      <c r="E2" s="68" t="s">
        <v>141</v>
      </c>
      <c r="F2" s="69" t="s">
        <v>142</v>
      </c>
      <c r="G2" s="68" t="s">
        <v>143</v>
      </c>
      <c r="I2" s="69" t="s">
        <v>144</v>
      </c>
      <c r="J2" s="70" t="s">
        <v>145</v>
      </c>
      <c r="K2" s="58"/>
      <c r="L2" s="58"/>
      <c r="M2" s="58"/>
      <c r="N2" s="68" t="s">
        <v>146</v>
      </c>
      <c r="O2" s="69" t="s">
        <v>147</v>
      </c>
      <c r="P2" s="68" t="s">
        <v>84</v>
      </c>
      <c r="Q2" s="69" t="s">
        <v>86</v>
      </c>
      <c r="R2" s="68" t="s">
        <v>82</v>
      </c>
      <c r="S2" s="71" t="s">
        <v>148</v>
      </c>
      <c r="T2" s="58"/>
      <c r="U2" s="58"/>
      <c r="V2" s="58"/>
      <c r="W2" s="70" t="s">
        <v>149</v>
      </c>
      <c r="X2" s="58"/>
      <c r="Y2" s="71" t="s">
        <v>150</v>
      </c>
      <c r="Z2" s="58"/>
      <c r="AA2" s="58"/>
      <c r="AB2" s="70" t="s">
        <v>151</v>
      </c>
      <c r="AC2" s="58"/>
      <c r="AD2" s="71" t="s">
        <v>152</v>
      </c>
      <c r="AE2" s="58"/>
      <c r="AG2" s="68" t="s">
        <v>144</v>
      </c>
      <c r="AH2" s="71" t="s">
        <v>145</v>
      </c>
      <c r="AI2" s="58"/>
      <c r="AJ2" s="58"/>
      <c r="AK2" s="58"/>
      <c r="AL2" s="69" t="s">
        <v>153</v>
      </c>
      <c r="AM2" s="68" t="s">
        <v>147</v>
      </c>
      <c r="AN2" s="69" t="s">
        <v>84</v>
      </c>
      <c r="AO2" s="68" t="s">
        <v>86</v>
      </c>
      <c r="AP2" s="69" t="s">
        <v>82</v>
      </c>
      <c r="AQ2" s="70" t="s">
        <v>148</v>
      </c>
      <c r="AR2" s="58"/>
      <c r="AS2" s="58"/>
      <c r="AT2" s="58"/>
      <c r="AU2" s="71" t="s">
        <v>149</v>
      </c>
      <c r="AV2" s="58"/>
      <c r="AW2" s="70" t="s">
        <v>150</v>
      </c>
      <c r="AX2" s="58"/>
      <c r="AY2" s="58"/>
      <c r="AZ2" s="71" t="s">
        <v>151</v>
      </c>
      <c r="BA2" s="58"/>
      <c r="BB2" s="70" t="s">
        <v>152</v>
      </c>
      <c r="BC2" s="58"/>
      <c r="BE2" s="69" t="s">
        <v>154</v>
      </c>
      <c r="BF2" s="68" t="s">
        <v>155</v>
      </c>
      <c r="BG2" s="69" t="s">
        <v>156</v>
      </c>
      <c r="BH2" s="68" t="s">
        <v>156</v>
      </c>
      <c r="BJ2" s="71" t="s">
        <v>5</v>
      </c>
      <c r="BK2" s="58"/>
      <c r="BL2" s="70" t="s">
        <v>6</v>
      </c>
      <c r="BM2" s="58"/>
      <c r="BN2" s="58"/>
      <c r="BP2" s="71" t="s">
        <v>7</v>
      </c>
      <c r="BQ2" s="58"/>
      <c r="BR2" s="70" t="s">
        <v>8</v>
      </c>
      <c r="BS2" s="58"/>
      <c r="BT2" s="58"/>
    </row>
    <row r="3" spans="1:72" ht="16" x14ac:dyDescent="0.2">
      <c r="A3" s="61"/>
      <c r="B3" s="61"/>
      <c r="C3" s="61"/>
      <c r="D3" s="61"/>
      <c r="E3" s="61"/>
      <c r="F3" s="61"/>
      <c r="G3" s="61"/>
      <c r="I3" s="61"/>
      <c r="J3" s="10" t="s">
        <v>25</v>
      </c>
      <c r="K3" s="10" t="s">
        <v>23</v>
      </c>
      <c r="L3" s="10" t="s">
        <v>157</v>
      </c>
      <c r="M3" s="10" t="s">
        <v>158</v>
      </c>
      <c r="N3" s="61"/>
      <c r="O3" s="61"/>
      <c r="P3" s="61"/>
      <c r="Q3" s="61"/>
      <c r="R3" s="61"/>
      <c r="S3" s="11" t="s">
        <v>25</v>
      </c>
      <c r="T3" s="11" t="s">
        <v>157</v>
      </c>
      <c r="U3" s="11" t="s">
        <v>159</v>
      </c>
      <c r="V3" s="11" t="s">
        <v>24</v>
      </c>
      <c r="W3" s="10" t="s">
        <v>9</v>
      </c>
      <c r="X3" s="10" t="s">
        <v>10</v>
      </c>
      <c r="Y3" s="11" t="s">
        <v>11</v>
      </c>
      <c r="Z3" s="11" t="s">
        <v>12</v>
      </c>
      <c r="AA3" s="11" t="s">
        <v>13</v>
      </c>
      <c r="AB3" s="10" t="s">
        <v>160</v>
      </c>
      <c r="AC3" s="10" t="s">
        <v>161</v>
      </c>
      <c r="AD3" s="11" t="s">
        <v>160</v>
      </c>
      <c r="AE3" s="11" t="s">
        <v>161</v>
      </c>
      <c r="AG3" s="61"/>
      <c r="AH3" s="11" t="s">
        <v>25</v>
      </c>
      <c r="AI3" s="11" t="s">
        <v>23</v>
      </c>
      <c r="AJ3" s="11" t="s">
        <v>157</v>
      </c>
      <c r="AK3" s="11" t="s">
        <v>158</v>
      </c>
      <c r="AL3" s="61"/>
      <c r="AM3" s="61"/>
      <c r="AN3" s="61"/>
      <c r="AO3" s="61"/>
      <c r="AP3" s="61"/>
      <c r="AQ3" s="10" t="s">
        <v>25</v>
      </c>
      <c r="AR3" s="10" t="s">
        <v>157</v>
      </c>
      <c r="AS3" s="10" t="s">
        <v>159</v>
      </c>
      <c r="AT3" s="10" t="s">
        <v>24</v>
      </c>
      <c r="AU3" s="11" t="s">
        <v>9</v>
      </c>
      <c r="AV3" s="11" t="s">
        <v>10</v>
      </c>
      <c r="AW3" s="10" t="s">
        <v>11</v>
      </c>
      <c r="AX3" s="10" t="s">
        <v>12</v>
      </c>
      <c r="AY3" s="10" t="s">
        <v>13</v>
      </c>
      <c r="AZ3" s="11" t="s">
        <v>160</v>
      </c>
      <c r="BA3" s="11" t="s">
        <v>161</v>
      </c>
      <c r="BB3" s="10" t="s">
        <v>160</v>
      </c>
      <c r="BC3" s="10" t="s">
        <v>161</v>
      </c>
      <c r="BE3" s="61"/>
      <c r="BF3" s="61"/>
      <c r="BG3" s="61"/>
      <c r="BH3" s="61"/>
      <c r="BJ3" s="11" t="s">
        <v>9</v>
      </c>
      <c r="BK3" s="11" t="s">
        <v>10</v>
      </c>
      <c r="BL3" s="10" t="s">
        <v>11</v>
      </c>
      <c r="BM3" s="10" t="s">
        <v>12</v>
      </c>
      <c r="BN3" s="10" t="s">
        <v>13</v>
      </c>
      <c r="BP3" s="11" t="s">
        <v>9</v>
      </c>
      <c r="BQ3" s="11" t="s">
        <v>10</v>
      </c>
      <c r="BR3" s="10" t="s">
        <v>11</v>
      </c>
      <c r="BS3" s="10" t="s">
        <v>12</v>
      </c>
      <c r="BT3" s="10" t="s">
        <v>13</v>
      </c>
    </row>
    <row r="4" spans="1:72" ht="123" hidden="1" customHeight="1" x14ac:dyDescent="0.2">
      <c r="A4" s="12" t="s">
        <v>162</v>
      </c>
      <c r="B4" s="13" t="s">
        <v>163</v>
      </c>
      <c r="C4" s="12" t="s">
        <v>164</v>
      </c>
      <c r="D4" s="13" t="s">
        <v>165</v>
      </c>
      <c r="E4" s="12" t="s">
        <v>166</v>
      </c>
      <c r="F4" s="13" t="s">
        <v>167</v>
      </c>
      <c r="G4" s="12" t="s">
        <v>168</v>
      </c>
      <c r="I4" s="13" t="s">
        <v>169</v>
      </c>
      <c r="J4" s="12" t="s">
        <v>170</v>
      </c>
      <c r="K4" s="12" t="s">
        <v>171</v>
      </c>
      <c r="L4" s="12" t="s">
        <v>172</v>
      </c>
      <c r="M4" s="12" t="s">
        <v>173</v>
      </c>
      <c r="N4" s="12" t="s">
        <v>174</v>
      </c>
      <c r="O4" s="13" t="s">
        <v>175</v>
      </c>
      <c r="P4" s="12" t="s">
        <v>176</v>
      </c>
      <c r="Q4" s="13" t="s">
        <v>177</v>
      </c>
      <c r="R4" s="12" t="s">
        <v>178</v>
      </c>
      <c r="S4" s="13" t="s">
        <v>179</v>
      </c>
      <c r="T4" s="13" t="s">
        <v>180</v>
      </c>
      <c r="U4" s="13" t="s">
        <v>181</v>
      </c>
      <c r="V4" s="13" t="s">
        <v>182</v>
      </c>
      <c r="W4" s="12" t="s">
        <v>183</v>
      </c>
      <c r="X4" s="12" t="s">
        <v>184</v>
      </c>
      <c r="Y4" s="13" t="s">
        <v>185</v>
      </c>
      <c r="Z4" s="13" t="s">
        <v>186</v>
      </c>
      <c r="AA4" s="13" t="s">
        <v>187</v>
      </c>
      <c r="AB4" s="12" t="s">
        <v>188</v>
      </c>
      <c r="AC4" s="12" t="s">
        <v>189</v>
      </c>
      <c r="AD4" s="13" t="s">
        <v>190</v>
      </c>
      <c r="AE4" s="13" t="s">
        <v>191</v>
      </c>
      <c r="AG4" s="12" t="s">
        <v>192</v>
      </c>
      <c r="AH4" s="13" t="s">
        <v>193</v>
      </c>
      <c r="AI4" s="13" t="s">
        <v>194</v>
      </c>
      <c r="AJ4" s="13" t="s">
        <v>195</v>
      </c>
      <c r="AK4" s="13" t="s">
        <v>196</v>
      </c>
      <c r="AL4" s="13" t="s">
        <v>197</v>
      </c>
      <c r="AM4" s="12" t="s">
        <v>198</v>
      </c>
      <c r="AN4" s="13" t="s">
        <v>199</v>
      </c>
      <c r="AO4" s="12" t="s">
        <v>200</v>
      </c>
      <c r="AP4" s="13" t="s">
        <v>201</v>
      </c>
      <c r="AQ4" s="12" t="s">
        <v>202</v>
      </c>
      <c r="AR4" s="12" t="s">
        <v>203</v>
      </c>
      <c r="AS4" s="12" t="s">
        <v>204</v>
      </c>
      <c r="AT4" s="12" t="s">
        <v>205</v>
      </c>
      <c r="AU4" s="13" t="s">
        <v>206</v>
      </c>
      <c r="AV4" s="13" t="s">
        <v>207</v>
      </c>
      <c r="AW4" s="12" t="s">
        <v>208</v>
      </c>
      <c r="AX4" s="12" t="s">
        <v>209</v>
      </c>
      <c r="AY4" s="12" t="s">
        <v>210</v>
      </c>
      <c r="AZ4" s="13" t="s">
        <v>211</v>
      </c>
      <c r="BA4" s="13" t="s">
        <v>212</v>
      </c>
      <c r="BB4" s="12" t="s">
        <v>213</v>
      </c>
      <c r="BC4" s="12" t="s">
        <v>214</v>
      </c>
      <c r="BE4" s="13" t="s">
        <v>215</v>
      </c>
      <c r="BF4" s="12" t="s">
        <v>216</v>
      </c>
      <c r="BG4" s="13" t="s">
        <v>217</v>
      </c>
      <c r="BH4" s="12" t="s">
        <v>218</v>
      </c>
      <c r="BJ4" s="13" t="s">
        <v>219</v>
      </c>
      <c r="BK4" s="13" t="s">
        <v>220</v>
      </c>
      <c r="BL4" s="12" t="s">
        <v>221</v>
      </c>
      <c r="BM4" s="12" t="s">
        <v>222</v>
      </c>
      <c r="BN4" s="12" t="s">
        <v>223</v>
      </c>
      <c r="BP4" s="13" t="s">
        <v>224</v>
      </c>
      <c r="BQ4" s="13" t="s">
        <v>225</v>
      </c>
      <c r="BR4" s="12" t="s">
        <v>226</v>
      </c>
      <c r="BS4" s="12" t="s">
        <v>227</v>
      </c>
      <c r="BT4" s="12" t="s">
        <v>228</v>
      </c>
    </row>
    <row r="5" spans="1:72" x14ac:dyDescent="0.2">
      <c r="A5" s="14" t="s">
        <v>229</v>
      </c>
      <c r="B5" s="14" t="s">
        <v>49</v>
      </c>
      <c r="C5" s="15" t="s">
        <v>230</v>
      </c>
      <c r="D5" s="14">
        <v>238146391</v>
      </c>
      <c r="E5" s="15">
        <v>10</v>
      </c>
      <c r="F5" s="15">
        <v>32</v>
      </c>
      <c r="G5" s="15">
        <v>30</v>
      </c>
      <c r="I5" s="16">
        <f t="shared" ref="I5:I39" si="0">IF(OR(ISBLANK(S5),ISBLANK(G5)),"·",S5*G5/F5/1000000)</f>
        <v>2.1818249999999999</v>
      </c>
      <c r="J5" s="17">
        <f t="shared" ref="J5:J39" si="1">IF(ISBLANK(S5),"·",S5/D5)</f>
        <v>9.7724764596579597E-3</v>
      </c>
      <c r="K5" s="17">
        <f t="shared" ref="K5:K39" si="2">IF(N5="","·",N5/D5)</f>
        <v>6.183961024208845E-3</v>
      </c>
      <c r="L5" s="17">
        <f t="shared" ref="L5:L39" si="3">IF(T5="","·",T5/D5)</f>
        <v>3.5270742356116581E-3</v>
      </c>
      <c r="M5" s="17">
        <f t="shared" ref="M5:M39" si="4">IF(ISBLANK(V5),"·",V5/D5)</f>
        <v>3.5885154354491143E-3</v>
      </c>
      <c r="N5" s="14">
        <f t="shared" ref="N5:N39" si="5">IF(OR(ISBLANK(T5),ISBLANK(U5)),"",T5+U5)</f>
        <v>1472688</v>
      </c>
      <c r="O5" s="17">
        <v>32</v>
      </c>
      <c r="P5" s="18">
        <v>21771728</v>
      </c>
      <c r="Q5" s="18">
        <v>680366.5</v>
      </c>
      <c r="R5" s="18">
        <v>13458.65625</v>
      </c>
      <c r="S5" s="19">
        <v>2327280</v>
      </c>
      <c r="T5" s="19">
        <v>839960</v>
      </c>
      <c r="U5" s="19">
        <v>632728</v>
      </c>
      <c r="V5" s="19">
        <v>854592</v>
      </c>
      <c r="W5" s="20">
        <v>66.355977337499993</v>
      </c>
      <c r="X5" s="20">
        <v>68.483331537500007</v>
      </c>
      <c r="Y5" s="20">
        <v>32.113044665624997</v>
      </c>
      <c r="Z5" s="20">
        <v>44.188544737500003</v>
      </c>
      <c r="AA5" s="20">
        <v>43.811181259374997</v>
      </c>
      <c r="AB5" s="21">
        <v>2572.4769999999999</v>
      </c>
      <c r="AC5" s="21">
        <v>0</v>
      </c>
      <c r="AD5" s="21">
        <v>69.001999999999995</v>
      </c>
      <c r="AE5" s="21">
        <v>0</v>
      </c>
      <c r="AG5" s="16" t="str">
        <f t="shared" ref="AG5:AG39" si="6">IF(OR(ISBLANK(AQ5),ISBLANK(G5)),"·",AQ5*G5/F5/1000000)</f>
        <v>·</v>
      </c>
      <c r="AH5" s="17" t="str">
        <f t="shared" ref="AH5:AH39" si="7">IF(ISBLANK(AQ5),"·",AQ5/D5)</f>
        <v>·</v>
      </c>
      <c r="AI5" s="17" t="str">
        <f t="shared" ref="AI5:AI39" si="8">IF(AL5="","·",AL5/D5)</f>
        <v>·</v>
      </c>
      <c r="AJ5" s="17" t="str">
        <f t="shared" ref="AJ5:AJ39" si="9">IF(AR5="","·",AR5/D5)</f>
        <v>·</v>
      </c>
      <c r="AK5" s="17" t="str">
        <f t="shared" ref="AK5:AK39" si="10">IF(ISBLANK(AT5),"·",AT5/D5)</f>
        <v>·</v>
      </c>
      <c r="AL5" s="14" t="str">
        <f t="shared" ref="AL5:AL39" si="11">IF(OR(ISBLANK(AR5),ISBLANK(AS5)),"",AR5+AS5)</f>
        <v/>
      </c>
      <c r="AM5" s="17">
        <v>32</v>
      </c>
      <c r="AN5" s="18"/>
      <c r="AO5" s="18"/>
      <c r="AP5" s="18"/>
      <c r="AQ5" s="19"/>
      <c r="AR5" s="19"/>
      <c r="AS5" s="19"/>
      <c r="AT5" s="19"/>
      <c r="AU5" s="20"/>
      <c r="AV5" s="20"/>
      <c r="AW5" s="20"/>
      <c r="AX5" s="20"/>
      <c r="AY5" s="20"/>
      <c r="AZ5" s="21"/>
      <c r="BA5" s="21"/>
      <c r="BB5" s="21"/>
      <c r="BC5" s="21"/>
      <c r="BE5" s="22" t="e">
        <f t="shared" ref="BE5:BE43" si="12">AI5/K5</f>
        <v>#VALUE!</v>
      </c>
      <c r="BF5" s="23" t="e">
        <f t="shared" ref="BF5:BF39" si="13">(AP5/AO5) - (R5/Q5)</f>
        <v>#DIV/0!</v>
      </c>
      <c r="BG5" s="23" t="e">
        <f t="shared" ref="BG5:BG39" si="14">(AL5/AQ5) - (N5/S5)</f>
        <v>#VALUE!</v>
      </c>
      <c r="BH5" s="23" t="e">
        <f t="array" ref="BH5">AVERAGE(AL5:AL9/AQ5:AQ9) - AVERAGE(N5:N9/S5:S9)</f>
        <v>#VALUE!</v>
      </c>
      <c r="BJ5" s="22" t="str">
        <f>IF( OR(ISBLANK(N5:N9),ISBLANK(AL5:AL9), ISBLANK(W5:W9),ISBLANK(AU5:AU9)), "·", bdRateExtend( N5:N9,W5:W9, AL5:AL9,AU5:AU9))</f>
        <v>·</v>
      </c>
      <c r="BK5" s="22" t="str">
        <f>IF( OR(ISBLANK(N5:N9),ISBLANK(AL5:AL9), ISBLANK(X5:X9),ISBLANK(AV5:AV9)), "·", bdRateExtend( N5:N9,X5:X9, AL5:AL9,AV5:AV9))</f>
        <v>·</v>
      </c>
      <c r="BL5" s="22" t="str">
        <f>IF( OR(ISBLANK(V5:V9),ISBLANK(AT5:AT9), ISBLANK(Y5:Y9),ISBLANK(AW5:AW9)), "·", bdRateExtend( V5:V9,Y5:Y9, AT5:AT9,AW5:AW9))</f>
        <v>·</v>
      </c>
      <c r="BM5" s="22" t="str">
        <f>IF( OR(ISBLANK(V5:V9),ISBLANK(AT5:AT9), ISBLANK(Z5:Z9),ISBLANK(AX5:AX9)), "·", bdRateExtend( V5:V9,Z5:Z9, AT5:AT9,AX5:AX9))</f>
        <v>·</v>
      </c>
      <c r="BN5" s="22" t="str">
        <f>IF( OR(ISBLANK(V5:V9),ISBLANK(AT5:AT9), ISBLANK(AA5:AA9),ISBLANK(AY5:AY9)), "·", bdRateExtend( V5:V9,AA5:AA9, AT5:AT9,AY5:AY9))</f>
        <v>·</v>
      </c>
      <c r="BP5" s="22" t="str">
        <f>IF( OR(ISBLANK(S5:S9),ISBLANK(AQ5:AQ9), ISBLANK(W5:W9),ISBLANK(AU5:AU9)), "·", bdRateExtend( S5:S9,W5:W9, AQ5:AQ9,AU5:AU9))</f>
        <v>·</v>
      </c>
      <c r="BQ5" s="22" t="str">
        <f>IF( OR(ISBLANK(S5:S9),ISBLANK(AQ5:AQ9), ISBLANK(X5:X9),ISBLANK(AV5:AV9)), "·", bdRateExtend( S5:S9,X5:X9, AQ5:AQ9,AV5:AV9))</f>
        <v>·</v>
      </c>
      <c r="BR5" s="22" t="str">
        <f>IF( OR(ISBLANK(S5:S9),ISBLANK(AQ5:AQ9), ISBLANK(Y5:Y9),ISBLANK(AW5:AW9)), "·", bdRateExtend( S5:S9,Y5:Y9, AQ5:AQ9,AW5:AW9))</f>
        <v>·</v>
      </c>
      <c r="BS5" s="22" t="str">
        <f>IF( OR(ISBLANK(S5:S9),ISBLANK(AQ5:AQ9), ISBLANK(Z5:Z9),ISBLANK(AX5:AX9)), "·", bdRateExtend( S5:S9,Z5:Z9, AQ5:AQ9,AX5:AX9))</f>
        <v>·</v>
      </c>
      <c r="BT5" s="22" t="str">
        <f>IF( OR(ISBLANK(S5:S9),ISBLANK(AQ5:AQ9), ISBLANK(AA5:AA9),ISBLANK(AY5:AY9)), "·", bdRateExtend( S5:S9,AA5:AA9, AQ5:AQ9,AY5:AY9))</f>
        <v>·</v>
      </c>
    </row>
    <row r="6" spans="1:72" outlineLevel="1" x14ac:dyDescent="0.2">
      <c r="A6" s="24"/>
      <c r="B6" s="24" t="s">
        <v>49</v>
      </c>
      <c r="C6" s="25" t="s">
        <v>231</v>
      </c>
      <c r="D6" s="24">
        <v>238146391</v>
      </c>
      <c r="E6" s="25">
        <v>10</v>
      </c>
      <c r="F6" s="25">
        <v>32</v>
      </c>
      <c r="G6" s="25">
        <v>30</v>
      </c>
      <c r="I6" s="26">
        <f t="shared" si="0"/>
        <v>3.3915000000000002</v>
      </c>
      <c r="J6" s="27">
        <f t="shared" si="1"/>
        <v>1.51906564059583E-2</v>
      </c>
      <c r="K6" s="27">
        <f t="shared" si="2"/>
        <v>7.5331479619189356E-3</v>
      </c>
      <c r="L6" s="27">
        <f t="shared" si="3"/>
        <v>4.8762611733217491E-3</v>
      </c>
      <c r="M6" s="27">
        <f t="shared" si="4"/>
        <v>7.6575084440393638E-3</v>
      </c>
      <c r="N6" s="24">
        <f t="shared" si="5"/>
        <v>1793992</v>
      </c>
      <c r="O6" s="27">
        <v>32</v>
      </c>
      <c r="P6" s="28">
        <v>24147688</v>
      </c>
      <c r="Q6" s="28">
        <v>754615.25</v>
      </c>
      <c r="R6" s="28">
        <v>19012.03125</v>
      </c>
      <c r="S6" s="29">
        <v>3617600</v>
      </c>
      <c r="T6" s="29">
        <v>1161264</v>
      </c>
      <c r="U6" s="29">
        <v>632728</v>
      </c>
      <c r="V6" s="29">
        <v>1823608</v>
      </c>
      <c r="W6" s="30">
        <v>68.241942565624996</v>
      </c>
      <c r="X6" s="30">
        <v>70.429972587500004</v>
      </c>
      <c r="Y6" s="30">
        <v>34.357659115624998</v>
      </c>
      <c r="Z6" s="30">
        <v>45.471752378124997</v>
      </c>
      <c r="AA6" s="30">
        <v>45.224113549999998</v>
      </c>
      <c r="AB6" s="31">
        <v>2680.2150000000001</v>
      </c>
      <c r="AC6" s="31">
        <v>0</v>
      </c>
      <c r="AD6" s="31">
        <v>74.92</v>
      </c>
      <c r="AE6" s="31">
        <v>0</v>
      </c>
      <c r="AG6" s="26" t="str">
        <f t="shared" si="6"/>
        <v>·</v>
      </c>
      <c r="AH6" s="27" t="str">
        <f t="shared" si="7"/>
        <v>·</v>
      </c>
      <c r="AI6" s="27" t="str">
        <f t="shared" si="8"/>
        <v>·</v>
      </c>
      <c r="AJ6" s="27" t="str">
        <f t="shared" si="9"/>
        <v>·</v>
      </c>
      <c r="AK6" s="27" t="str">
        <f t="shared" si="10"/>
        <v>·</v>
      </c>
      <c r="AL6" s="24" t="str">
        <f t="shared" si="11"/>
        <v/>
      </c>
      <c r="AM6" s="27">
        <v>32</v>
      </c>
      <c r="AN6" s="28"/>
      <c r="AO6" s="28"/>
      <c r="AP6" s="28"/>
      <c r="AQ6" s="29"/>
      <c r="AR6" s="29"/>
      <c r="AS6" s="29"/>
      <c r="AT6" s="29"/>
      <c r="AU6" s="30"/>
      <c r="AV6" s="30"/>
      <c r="AW6" s="30"/>
      <c r="AX6" s="30"/>
      <c r="AY6" s="30"/>
      <c r="AZ6" s="31"/>
      <c r="BA6" s="31"/>
      <c r="BB6" s="31"/>
      <c r="BC6" s="31"/>
      <c r="BE6" s="32" t="e">
        <f t="shared" si="12"/>
        <v>#VALUE!</v>
      </c>
      <c r="BF6" s="33" t="e">
        <f t="shared" si="13"/>
        <v>#DIV/0!</v>
      </c>
      <c r="BG6" s="33" t="e">
        <f t="shared" si="14"/>
        <v>#VALUE!</v>
      </c>
      <c r="BH6" s="33"/>
      <c r="BJ6" s="32"/>
      <c r="BK6" s="32"/>
      <c r="BL6" s="32"/>
      <c r="BM6" s="32"/>
      <c r="BN6" s="32"/>
      <c r="BP6" s="32"/>
      <c r="BQ6" s="32"/>
      <c r="BR6" s="32"/>
      <c r="BS6" s="32"/>
      <c r="BT6" s="32"/>
    </row>
    <row r="7" spans="1:72" outlineLevel="1" x14ac:dyDescent="0.2">
      <c r="A7" s="14"/>
      <c r="B7" s="14" t="s">
        <v>49</v>
      </c>
      <c r="C7" s="15" t="s">
        <v>232</v>
      </c>
      <c r="D7" s="14">
        <v>238146391</v>
      </c>
      <c r="E7" s="15">
        <v>10</v>
      </c>
      <c r="F7" s="15">
        <v>32</v>
      </c>
      <c r="G7" s="15">
        <v>30</v>
      </c>
      <c r="I7" s="16">
        <f t="shared" si="0"/>
        <v>5.5650225000000004</v>
      </c>
      <c r="J7" s="17">
        <f t="shared" si="1"/>
        <v>2.4925945654998401E-2</v>
      </c>
      <c r="K7" s="17">
        <f t="shared" si="2"/>
        <v>9.4776661973432971E-3</v>
      </c>
      <c r="L7" s="17">
        <f t="shared" si="3"/>
        <v>6.8207794087461106E-3</v>
      </c>
      <c r="M7" s="17">
        <f t="shared" si="4"/>
        <v>1.5448279457655102E-2</v>
      </c>
      <c r="N7" s="14">
        <f t="shared" si="5"/>
        <v>2257072</v>
      </c>
      <c r="O7" s="17">
        <v>32</v>
      </c>
      <c r="P7" s="18">
        <v>24798303</v>
      </c>
      <c r="Q7" s="18">
        <v>774946.96875</v>
      </c>
      <c r="R7" s="18">
        <v>20946</v>
      </c>
      <c r="S7" s="19">
        <v>5936024</v>
      </c>
      <c r="T7" s="19">
        <v>1624344</v>
      </c>
      <c r="U7" s="19">
        <v>632728</v>
      </c>
      <c r="V7" s="19">
        <v>3678952</v>
      </c>
      <c r="W7" s="20">
        <v>69.679034993749994</v>
      </c>
      <c r="X7" s="20">
        <v>72.128628734374999</v>
      </c>
      <c r="Y7" s="20">
        <v>36.894058506249998</v>
      </c>
      <c r="Z7" s="20">
        <v>46.603401721875002</v>
      </c>
      <c r="AA7" s="20">
        <v>46.480723728125</v>
      </c>
      <c r="AB7" s="21">
        <v>2790.2139999999999</v>
      </c>
      <c r="AC7" s="21">
        <v>0</v>
      </c>
      <c r="AD7" s="21">
        <v>76.950999999999993</v>
      </c>
      <c r="AE7" s="21">
        <v>0</v>
      </c>
      <c r="AG7" s="16" t="str">
        <f t="shared" si="6"/>
        <v>·</v>
      </c>
      <c r="AH7" s="17" t="str">
        <f t="shared" si="7"/>
        <v>·</v>
      </c>
      <c r="AI7" s="17" t="str">
        <f t="shared" si="8"/>
        <v>·</v>
      </c>
      <c r="AJ7" s="17" t="str">
        <f t="shared" si="9"/>
        <v>·</v>
      </c>
      <c r="AK7" s="17" t="str">
        <f t="shared" si="10"/>
        <v>·</v>
      </c>
      <c r="AL7" s="14" t="str">
        <f t="shared" si="11"/>
        <v/>
      </c>
      <c r="AM7" s="17">
        <v>32</v>
      </c>
      <c r="AN7" s="18"/>
      <c r="AO7" s="18"/>
      <c r="AP7" s="18"/>
      <c r="AQ7" s="19"/>
      <c r="AR7" s="19"/>
      <c r="AS7" s="19"/>
      <c r="AT7" s="19"/>
      <c r="AU7" s="20"/>
      <c r="AV7" s="20"/>
      <c r="AW7" s="20"/>
      <c r="AX7" s="20"/>
      <c r="AY7" s="20"/>
      <c r="AZ7" s="21"/>
      <c r="BA7" s="21"/>
      <c r="BB7" s="21"/>
      <c r="BC7" s="21"/>
      <c r="BE7" s="22" t="e">
        <f t="shared" si="12"/>
        <v>#VALUE!</v>
      </c>
      <c r="BF7" s="23" t="e">
        <f t="shared" si="13"/>
        <v>#DIV/0!</v>
      </c>
      <c r="BG7" s="23" t="e">
        <f t="shared" si="14"/>
        <v>#VALUE!</v>
      </c>
      <c r="BH7" s="23"/>
      <c r="BJ7" s="22"/>
      <c r="BK7" s="22"/>
      <c r="BL7" s="22"/>
      <c r="BM7" s="22"/>
      <c r="BN7" s="22"/>
      <c r="BP7" s="22"/>
      <c r="BQ7" s="22"/>
      <c r="BR7" s="22"/>
      <c r="BS7" s="22"/>
      <c r="BT7" s="22"/>
    </row>
    <row r="8" spans="1:72" outlineLevel="1" x14ac:dyDescent="0.2">
      <c r="A8" s="24"/>
      <c r="B8" s="24" t="s">
        <v>49</v>
      </c>
      <c r="C8" s="25" t="s">
        <v>233</v>
      </c>
      <c r="D8" s="24">
        <v>238146391</v>
      </c>
      <c r="E8" s="25">
        <v>10</v>
      </c>
      <c r="F8" s="25">
        <v>32</v>
      </c>
      <c r="G8" s="25">
        <v>30</v>
      </c>
      <c r="I8" s="26">
        <f t="shared" si="0"/>
        <v>9.4296000000000006</v>
      </c>
      <c r="J8" s="27">
        <f t="shared" si="1"/>
        <v>4.2235534024951907E-2</v>
      </c>
      <c r="K8" s="27">
        <f t="shared" si="2"/>
        <v>1.2742380798875932E-2</v>
      </c>
      <c r="L8" s="27">
        <f t="shared" si="3"/>
        <v>1.0085494010278745E-2</v>
      </c>
      <c r="M8" s="27">
        <f t="shared" si="4"/>
        <v>2.9493153226075972E-2</v>
      </c>
      <c r="N8" s="24">
        <f t="shared" si="5"/>
        <v>3034552</v>
      </c>
      <c r="O8" s="27">
        <v>32</v>
      </c>
      <c r="P8" s="28">
        <v>25806958</v>
      </c>
      <c r="Q8" s="28">
        <v>806467.4375</v>
      </c>
      <c r="R8" s="28">
        <v>24305.84375</v>
      </c>
      <c r="S8" s="29">
        <v>10058240</v>
      </c>
      <c r="T8" s="29">
        <v>2401824</v>
      </c>
      <c r="U8" s="29">
        <v>632728</v>
      </c>
      <c r="V8" s="29">
        <v>7023688</v>
      </c>
      <c r="W8" s="30">
        <v>70.829491784374994</v>
      </c>
      <c r="X8" s="30">
        <v>73.399411681250001</v>
      </c>
      <c r="Y8" s="30">
        <v>39.521589024999997</v>
      </c>
      <c r="Z8" s="30">
        <v>47.923747646875</v>
      </c>
      <c r="AA8" s="30">
        <v>47.942940284374998</v>
      </c>
      <c r="AB8" s="31">
        <v>2900.7660000000001</v>
      </c>
      <c r="AC8" s="31">
        <v>0</v>
      </c>
      <c r="AD8" s="31">
        <v>80.703999999999994</v>
      </c>
      <c r="AE8" s="31">
        <v>0</v>
      </c>
      <c r="AG8" s="26" t="str">
        <f t="shared" si="6"/>
        <v>·</v>
      </c>
      <c r="AH8" s="27" t="str">
        <f t="shared" si="7"/>
        <v>·</v>
      </c>
      <c r="AI8" s="27" t="str">
        <f t="shared" si="8"/>
        <v>·</v>
      </c>
      <c r="AJ8" s="27" t="str">
        <f t="shared" si="9"/>
        <v>·</v>
      </c>
      <c r="AK8" s="27" t="str">
        <f t="shared" si="10"/>
        <v>·</v>
      </c>
      <c r="AL8" s="24" t="str">
        <f t="shared" si="11"/>
        <v/>
      </c>
      <c r="AM8" s="27">
        <v>32</v>
      </c>
      <c r="AN8" s="28"/>
      <c r="AO8" s="28"/>
      <c r="AP8" s="28"/>
      <c r="AQ8" s="29"/>
      <c r="AR8" s="29"/>
      <c r="AS8" s="29"/>
      <c r="AT8" s="29"/>
      <c r="AU8" s="30"/>
      <c r="AV8" s="30"/>
      <c r="AW8" s="30"/>
      <c r="AX8" s="30"/>
      <c r="AY8" s="30"/>
      <c r="AZ8" s="31"/>
      <c r="BA8" s="31"/>
      <c r="BB8" s="31"/>
      <c r="BC8" s="31"/>
      <c r="BE8" s="32" t="e">
        <f t="shared" si="12"/>
        <v>#VALUE!</v>
      </c>
      <c r="BF8" s="33" t="e">
        <f t="shared" si="13"/>
        <v>#DIV/0!</v>
      </c>
      <c r="BG8" s="33" t="e">
        <f t="shared" si="14"/>
        <v>#VALUE!</v>
      </c>
      <c r="BH8" s="33"/>
      <c r="BJ8" s="32"/>
      <c r="BK8" s="32"/>
      <c r="BL8" s="32"/>
      <c r="BM8" s="32"/>
      <c r="BN8" s="32"/>
      <c r="BP8" s="32"/>
      <c r="BQ8" s="32"/>
      <c r="BR8" s="32"/>
      <c r="BS8" s="32"/>
      <c r="BT8" s="32"/>
    </row>
    <row r="9" spans="1:72" outlineLevel="1" x14ac:dyDescent="0.2">
      <c r="A9" s="14"/>
      <c r="B9" s="34" t="s">
        <v>49</v>
      </c>
      <c r="C9" s="35" t="s">
        <v>234</v>
      </c>
      <c r="D9" s="34">
        <v>238146391</v>
      </c>
      <c r="E9" s="35">
        <v>10</v>
      </c>
      <c r="F9" s="35">
        <v>32</v>
      </c>
      <c r="G9" s="35">
        <v>30</v>
      </c>
      <c r="I9" s="36">
        <f t="shared" si="0"/>
        <v>16.808362500000001</v>
      </c>
      <c r="J9" s="37">
        <f t="shared" si="1"/>
        <v>7.5285289542766989E-2</v>
      </c>
      <c r="K9" s="37">
        <f t="shared" si="2"/>
        <v>2.0671050186101707E-2</v>
      </c>
      <c r="L9" s="37">
        <f t="shared" si="3"/>
        <v>1.5548050022727408E-2</v>
      </c>
      <c r="M9" s="37">
        <f t="shared" si="4"/>
        <v>5.461423935666529E-2</v>
      </c>
      <c r="N9" s="34">
        <f t="shared" si="5"/>
        <v>4922736</v>
      </c>
      <c r="O9" s="37">
        <v>32</v>
      </c>
      <c r="P9" s="38">
        <v>24863702</v>
      </c>
      <c r="Q9" s="38">
        <v>776990.6875</v>
      </c>
      <c r="R9" s="38">
        <v>10657.0625</v>
      </c>
      <c r="S9" s="39">
        <v>17928920</v>
      </c>
      <c r="T9" s="39">
        <v>3702712</v>
      </c>
      <c r="U9" s="39">
        <v>1220024</v>
      </c>
      <c r="V9" s="39">
        <v>13006184</v>
      </c>
      <c r="W9" s="40">
        <v>71.945091559375001</v>
      </c>
      <c r="X9" s="40">
        <v>75.324078890625003</v>
      </c>
      <c r="Y9" s="40">
        <v>42.094299859374999</v>
      </c>
      <c r="Z9" s="40">
        <v>49.417623165625002</v>
      </c>
      <c r="AA9" s="40">
        <v>49.5544017</v>
      </c>
      <c r="AB9" s="41">
        <v>3195.34</v>
      </c>
      <c r="AC9" s="41">
        <v>0</v>
      </c>
      <c r="AD9" s="41">
        <v>78.528999999999996</v>
      </c>
      <c r="AE9" s="41">
        <v>0</v>
      </c>
      <c r="AG9" s="36" t="str">
        <f t="shared" si="6"/>
        <v>·</v>
      </c>
      <c r="AH9" s="37" t="str">
        <f t="shared" si="7"/>
        <v>·</v>
      </c>
      <c r="AI9" s="37" t="str">
        <f t="shared" si="8"/>
        <v>·</v>
      </c>
      <c r="AJ9" s="37" t="str">
        <f t="shared" si="9"/>
        <v>·</v>
      </c>
      <c r="AK9" s="37" t="str">
        <f t="shared" si="10"/>
        <v>·</v>
      </c>
      <c r="AL9" s="34" t="str">
        <f t="shared" si="11"/>
        <v/>
      </c>
      <c r="AM9" s="37">
        <v>32</v>
      </c>
      <c r="AN9" s="38"/>
      <c r="AO9" s="38"/>
      <c r="AP9" s="38"/>
      <c r="AQ9" s="39"/>
      <c r="AR9" s="39"/>
      <c r="AS9" s="39"/>
      <c r="AT9" s="39"/>
      <c r="AU9" s="40"/>
      <c r="AV9" s="40"/>
      <c r="AW9" s="40"/>
      <c r="AX9" s="40"/>
      <c r="AY9" s="40"/>
      <c r="AZ9" s="41"/>
      <c r="BA9" s="41"/>
      <c r="BB9" s="41"/>
      <c r="BC9" s="41"/>
      <c r="BE9" s="42" t="e">
        <f t="shared" si="12"/>
        <v>#VALUE!</v>
      </c>
      <c r="BF9" s="43" t="e">
        <f t="shared" si="13"/>
        <v>#DIV/0!</v>
      </c>
      <c r="BG9" s="43" t="e">
        <f t="shared" si="14"/>
        <v>#VALUE!</v>
      </c>
      <c r="BH9" s="43"/>
      <c r="BJ9" s="42"/>
      <c r="BK9" s="42"/>
      <c r="BL9" s="42"/>
      <c r="BM9" s="42"/>
      <c r="BN9" s="42"/>
      <c r="BP9" s="42"/>
      <c r="BQ9" s="42"/>
      <c r="BR9" s="42"/>
      <c r="BS9" s="42"/>
      <c r="BT9" s="42"/>
    </row>
    <row r="10" spans="1:72" x14ac:dyDescent="0.2">
      <c r="A10" s="24"/>
      <c r="B10" s="24" t="s">
        <v>57</v>
      </c>
      <c r="C10" s="25" t="s">
        <v>230</v>
      </c>
      <c r="D10" s="24">
        <v>218121242</v>
      </c>
      <c r="E10" s="25">
        <v>10</v>
      </c>
      <c r="F10" s="25">
        <v>32</v>
      </c>
      <c r="G10" s="25">
        <v>30</v>
      </c>
      <c r="I10" s="26">
        <f t="shared" si="0"/>
        <v>3.1886174999999999</v>
      </c>
      <c r="J10" s="27">
        <f t="shared" si="1"/>
        <v>1.5593125955151126E-2</v>
      </c>
      <c r="K10" s="27">
        <f t="shared" si="2"/>
        <v>8.0792864731624812E-3</v>
      </c>
      <c r="L10" s="27">
        <f t="shared" si="3"/>
        <v>4.2751636266586089E-3</v>
      </c>
      <c r="M10" s="27">
        <f t="shared" si="4"/>
        <v>7.5138394819886456E-3</v>
      </c>
      <c r="N10" s="24">
        <f t="shared" si="5"/>
        <v>1762264</v>
      </c>
      <c r="O10" s="27">
        <v>32</v>
      </c>
      <c r="P10" s="28">
        <v>20646708</v>
      </c>
      <c r="Q10" s="28">
        <v>645209.625</v>
      </c>
      <c r="R10" s="28">
        <v>18054.21875</v>
      </c>
      <c r="S10" s="29">
        <v>3401192</v>
      </c>
      <c r="T10" s="29">
        <v>932504</v>
      </c>
      <c r="U10" s="29">
        <v>829760</v>
      </c>
      <c r="V10" s="29">
        <v>1638928</v>
      </c>
      <c r="W10" s="30">
        <v>65.886566462499999</v>
      </c>
      <c r="X10" s="30">
        <v>67.829281878125002</v>
      </c>
      <c r="Y10" s="30">
        <v>32.394368550000003</v>
      </c>
      <c r="Z10" s="30">
        <v>39.164606531250001</v>
      </c>
      <c r="AA10" s="30">
        <v>32.094333075000002</v>
      </c>
      <c r="AB10" s="31">
        <v>2682.6610000000001</v>
      </c>
      <c r="AC10" s="31">
        <v>0</v>
      </c>
      <c r="AD10" s="31">
        <v>69.212999999999994</v>
      </c>
      <c r="AE10" s="31">
        <v>0</v>
      </c>
      <c r="AG10" s="26" t="str">
        <f t="shared" si="6"/>
        <v>·</v>
      </c>
      <c r="AH10" s="27" t="str">
        <f t="shared" si="7"/>
        <v>·</v>
      </c>
      <c r="AI10" s="27" t="str">
        <f t="shared" si="8"/>
        <v>·</v>
      </c>
      <c r="AJ10" s="27" t="str">
        <f t="shared" si="9"/>
        <v>·</v>
      </c>
      <c r="AK10" s="27" t="str">
        <f t="shared" si="10"/>
        <v>·</v>
      </c>
      <c r="AL10" s="24" t="str">
        <f t="shared" si="11"/>
        <v/>
      </c>
      <c r="AM10" s="27">
        <v>32</v>
      </c>
      <c r="AN10" s="28"/>
      <c r="AO10" s="28"/>
      <c r="AP10" s="28"/>
      <c r="AQ10" s="29"/>
      <c r="AR10" s="29"/>
      <c r="AS10" s="29"/>
      <c r="AT10" s="29"/>
      <c r="AU10" s="30"/>
      <c r="AV10" s="30"/>
      <c r="AW10" s="30"/>
      <c r="AX10" s="30"/>
      <c r="AY10" s="30"/>
      <c r="AZ10" s="31"/>
      <c r="BA10" s="31"/>
      <c r="BB10" s="31"/>
      <c r="BC10" s="31"/>
      <c r="BE10" s="32" t="e">
        <f t="shared" si="12"/>
        <v>#VALUE!</v>
      </c>
      <c r="BF10" s="33" t="e">
        <f t="shared" si="13"/>
        <v>#DIV/0!</v>
      </c>
      <c r="BG10" s="33" t="e">
        <f t="shared" si="14"/>
        <v>#VALUE!</v>
      </c>
      <c r="BH10" s="33" t="e">
        <f t="array" ref="BH10">AVERAGE(AL10:AL14/AQ10:AQ14) - AVERAGE(N10:N14/S10:S14)</f>
        <v>#VALUE!</v>
      </c>
      <c r="BJ10" s="32" t="str">
        <f>IF( OR(ISBLANK(N10:N14),ISBLANK(AL10:AL14), ISBLANK(W10:W14),ISBLANK(AU10:AU14)), "·", bdRateExtend( N10:N14,W10:W14, AL10:AL14,AU10:AU14))</f>
        <v>·</v>
      </c>
      <c r="BK10" s="32" t="str">
        <f>IF( OR(ISBLANK(N10:N14),ISBLANK(AL10:AL14), ISBLANK(X10:X14),ISBLANK(AV10:AV14)), "·", bdRateExtend( N10:N14,X10:X14, AL10:AL14,AV10:AV14))</f>
        <v>·</v>
      </c>
      <c r="BL10" s="32" t="str">
        <f>IF( OR(ISBLANK(V10:V14),ISBLANK(AT10:AT14), ISBLANK(Y10:Y14),ISBLANK(AW10:AW14)), "·", bdRateExtend( V10:V14,Y10:Y14, AT10:AT14,AW10:AW14))</f>
        <v>·</v>
      </c>
      <c r="BM10" s="32" t="str">
        <f>IF( OR(ISBLANK(V10:V14),ISBLANK(AT10:AT14), ISBLANK(Z10:Z14),ISBLANK(AX10:AX14)), "·", bdRateExtend( V10:V14,Z10:Z14, AT10:AT14,AX10:AX14))</f>
        <v>·</v>
      </c>
      <c r="BN10" s="32" t="str">
        <f>IF( OR(ISBLANK(V10:V14),ISBLANK(AT10:AT14), ISBLANK(AA10:AA14),ISBLANK(AY10:AY14)), "·", bdRateExtend( V10:V14,AA10:AA14, AT10:AT14,AY10:AY14))</f>
        <v>·</v>
      </c>
      <c r="BP10" s="32" t="str">
        <f>IF( OR(ISBLANK(S10:S14),ISBLANK(AQ10:AQ14), ISBLANK(W10:W14),ISBLANK(AU10:AU14)), "·", bdRateExtend( S10:S14,W10:W14, AQ10:AQ14,AU10:AU14))</f>
        <v>·</v>
      </c>
      <c r="BQ10" s="32" t="str">
        <f>IF( OR(ISBLANK(S10:S14),ISBLANK(AQ10:AQ14), ISBLANK(X10:X14),ISBLANK(AV10:AV14)), "·", bdRateExtend( S10:S14,X10:X14, AQ10:AQ14,AV10:AV14))</f>
        <v>·</v>
      </c>
      <c r="BR10" s="32" t="str">
        <f>IF( OR(ISBLANK(S10:S14),ISBLANK(AQ10:AQ14), ISBLANK(Y10:Y14),ISBLANK(AW10:AW14)), "·", bdRateExtend( S10:S14,Y10:Y14, AQ10:AQ14,AW10:AW14))</f>
        <v>·</v>
      </c>
      <c r="BS10" s="32" t="str">
        <f>IF( OR(ISBLANK(S10:S14),ISBLANK(AQ10:AQ14), ISBLANK(Z10:Z14),ISBLANK(AX10:AX14)), "·", bdRateExtend( S10:S14,Z10:Z14, AQ10:AQ14,AX10:AX14))</f>
        <v>·</v>
      </c>
      <c r="BT10" s="32" t="str">
        <f>IF( OR(ISBLANK(S10:S14),ISBLANK(AQ10:AQ14), ISBLANK(AA10:AA14),ISBLANK(AY10:AY14)), "·", bdRateExtend( S10:S14,AA10:AA14, AQ10:AQ14,AY10:AY14))</f>
        <v>·</v>
      </c>
    </row>
    <row r="11" spans="1:72" outlineLevel="1" x14ac:dyDescent="0.2">
      <c r="A11" s="14"/>
      <c r="B11" s="14" t="s">
        <v>57</v>
      </c>
      <c r="C11" s="15" t="s">
        <v>231</v>
      </c>
      <c r="D11" s="14">
        <v>218121242</v>
      </c>
      <c r="E11" s="15">
        <v>10</v>
      </c>
      <c r="F11" s="15">
        <v>32</v>
      </c>
      <c r="G11" s="15">
        <v>30</v>
      </c>
      <c r="I11" s="16">
        <f t="shared" si="0"/>
        <v>4.6057275000000004</v>
      </c>
      <c r="J11" s="17">
        <f t="shared" si="1"/>
        <v>2.2523143344287393E-2</v>
      </c>
      <c r="K11" s="17">
        <f t="shared" si="2"/>
        <v>9.8285888175898058E-3</v>
      </c>
      <c r="L11" s="17">
        <f t="shared" si="3"/>
        <v>6.0244659710859336E-3</v>
      </c>
      <c r="M11" s="17">
        <f t="shared" si="4"/>
        <v>1.2694554526697589E-2</v>
      </c>
      <c r="N11" s="14">
        <f t="shared" si="5"/>
        <v>2143824</v>
      </c>
      <c r="O11" s="17">
        <v>32</v>
      </c>
      <c r="P11" s="18">
        <v>22133832</v>
      </c>
      <c r="Q11" s="18">
        <v>691682.25</v>
      </c>
      <c r="R11" s="18">
        <v>23047.09375</v>
      </c>
      <c r="S11" s="19">
        <v>4912776</v>
      </c>
      <c r="T11" s="19">
        <v>1314064</v>
      </c>
      <c r="U11" s="19">
        <v>829760</v>
      </c>
      <c r="V11" s="19">
        <v>2768952</v>
      </c>
      <c r="W11" s="20">
        <v>67.609460493750007</v>
      </c>
      <c r="X11" s="20">
        <v>69.693131915625003</v>
      </c>
      <c r="Y11" s="20">
        <v>34.251916096875</v>
      </c>
      <c r="Z11" s="20">
        <v>40.012210546874996</v>
      </c>
      <c r="AA11" s="20">
        <v>33.863570959374997</v>
      </c>
      <c r="AB11" s="21">
        <v>2733.672</v>
      </c>
      <c r="AC11" s="21">
        <v>0</v>
      </c>
      <c r="AD11" s="21">
        <v>73.852000000000004</v>
      </c>
      <c r="AE11" s="21">
        <v>0</v>
      </c>
      <c r="AG11" s="16" t="str">
        <f t="shared" si="6"/>
        <v>·</v>
      </c>
      <c r="AH11" s="17" t="str">
        <f t="shared" si="7"/>
        <v>·</v>
      </c>
      <c r="AI11" s="17" t="str">
        <f t="shared" si="8"/>
        <v>·</v>
      </c>
      <c r="AJ11" s="17" t="str">
        <f t="shared" si="9"/>
        <v>·</v>
      </c>
      <c r="AK11" s="17" t="str">
        <f t="shared" si="10"/>
        <v>·</v>
      </c>
      <c r="AL11" s="14" t="str">
        <f t="shared" si="11"/>
        <v/>
      </c>
      <c r="AM11" s="17">
        <v>32</v>
      </c>
      <c r="AN11" s="18"/>
      <c r="AO11" s="18"/>
      <c r="AP11" s="18"/>
      <c r="AQ11" s="19"/>
      <c r="AR11" s="19"/>
      <c r="AS11" s="19"/>
      <c r="AT11" s="19"/>
      <c r="AU11" s="20"/>
      <c r="AV11" s="20"/>
      <c r="AW11" s="20"/>
      <c r="AX11" s="20"/>
      <c r="AY11" s="20"/>
      <c r="AZ11" s="21"/>
      <c r="BA11" s="21"/>
      <c r="BB11" s="21"/>
      <c r="BC11" s="21"/>
      <c r="BE11" s="22" t="e">
        <f t="shared" si="12"/>
        <v>#VALUE!</v>
      </c>
      <c r="BF11" s="23" t="e">
        <f t="shared" si="13"/>
        <v>#DIV/0!</v>
      </c>
      <c r="BG11" s="23" t="e">
        <f t="shared" si="14"/>
        <v>#VALUE!</v>
      </c>
      <c r="BH11" s="23"/>
      <c r="BJ11" s="22"/>
      <c r="BK11" s="22"/>
      <c r="BL11" s="22"/>
      <c r="BM11" s="22"/>
      <c r="BN11" s="22"/>
      <c r="BP11" s="22"/>
      <c r="BQ11" s="22"/>
      <c r="BR11" s="22"/>
      <c r="BS11" s="22"/>
      <c r="BT11" s="22"/>
    </row>
    <row r="12" spans="1:72" outlineLevel="1" x14ac:dyDescent="0.2">
      <c r="A12" s="24"/>
      <c r="B12" s="24" t="s">
        <v>57</v>
      </c>
      <c r="C12" s="25" t="s">
        <v>232</v>
      </c>
      <c r="D12" s="24">
        <v>218121242</v>
      </c>
      <c r="E12" s="25">
        <v>10</v>
      </c>
      <c r="F12" s="25">
        <v>32</v>
      </c>
      <c r="G12" s="25">
        <v>30</v>
      </c>
      <c r="I12" s="26">
        <f t="shared" si="0"/>
        <v>7.1221649999999999</v>
      </c>
      <c r="J12" s="27">
        <f t="shared" si="1"/>
        <v>3.482914332571057E-2</v>
      </c>
      <c r="K12" s="27">
        <f t="shared" si="2"/>
        <v>1.2527564830205761E-2</v>
      </c>
      <c r="L12" s="27">
        <f t="shared" si="3"/>
        <v>8.7234419837018892E-3</v>
      </c>
      <c r="M12" s="27">
        <f t="shared" si="4"/>
        <v>2.2301578495504806E-2</v>
      </c>
      <c r="N12" s="24">
        <f t="shared" si="5"/>
        <v>2732528</v>
      </c>
      <c r="O12" s="27">
        <v>32</v>
      </c>
      <c r="P12" s="28">
        <v>22504730</v>
      </c>
      <c r="Q12" s="28">
        <v>703272.8125</v>
      </c>
      <c r="R12" s="28">
        <v>24737.1875</v>
      </c>
      <c r="S12" s="29">
        <v>7596976</v>
      </c>
      <c r="T12" s="29">
        <v>1902768</v>
      </c>
      <c r="U12" s="29">
        <v>829760</v>
      </c>
      <c r="V12" s="29">
        <v>4864448</v>
      </c>
      <c r="W12" s="30">
        <v>68.953256503125004</v>
      </c>
      <c r="X12" s="30">
        <v>71.331494806250006</v>
      </c>
      <c r="Y12" s="30">
        <v>36.335389546875</v>
      </c>
      <c r="Z12" s="30">
        <v>40.939155903124998</v>
      </c>
      <c r="AA12" s="30">
        <v>35.640268525000003</v>
      </c>
      <c r="AB12" s="31">
        <v>2836.1860000000001</v>
      </c>
      <c r="AC12" s="31">
        <v>0</v>
      </c>
      <c r="AD12" s="31">
        <v>74.319000000000003</v>
      </c>
      <c r="AE12" s="31">
        <v>0</v>
      </c>
      <c r="AG12" s="26" t="str">
        <f t="shared" si="6"/>
        <v>·</v>
      </c>
      <c r="AH12" s="27" t="str">
        <f t="shared" si="7"/>
        <v>·</v>
      </c>
      <c r="AI12" s="27" t="str">
        <f t="shared" si="8"/>
        <v>·</v>
      </c>
      <c r="AJ12" s="27" t="str">
        <f t="shared" si="9"/>
        <v>·</v>
      </c>
      <c r="AK12" s="27" t="str">
        <f t="shared" si="10"/>
        <v>·</v>
      </c>
      <c r="AL12" s="24" t="str">
        <f t="shared" si="11"/>
        <v/>
      </c>
      <c r="AM12" s="27">
        <v>32</v>
      </c>
      <c r="AN12" s="28"/>
      <c r="AO12" s="28"/>
      <c r="AP12" s="28"/>
      <c r="AQ12" s="29"/>
      <c r="AR12" s="29"/>
      <c r="AS12" s="29"/>
      <c r="AT12" s="29"/>
      <c r="AU12" s="30"/>
      <c r="AV12" s="30"/>
      <c r="AW12" s="30"/>
      <c r="AX12" s="30"/>
      <c r="AY12" s="30"/>
      <c r="AZ12" s="31"/>
      <c r="BA12" s="31"/>
      <c r="BB12" s="31"/>
      <c r="BC12" s="31"/>
      <c r="BE12" s="32" t="e">
        <f t="shared" si="12"/>
        <v>#VALUE!</v>
      </c>
      <c r="BF12" s="33" t="e">
        <f t="shared" si="13"/>
        <v>#DIV/0!</v>
      </c>
      <c r="BG12" s="33" t="e">
        <f t="shared" si="14"/>
        <v>#VALUE!</v>
      </c>
      <c r="BH12" s="33"/>
      <c r="BJ12" s="32"/>
      <c r="BK12" s="32"/>
      <c r="BL12" s="32"/>
      <c r="BM12" s="32"/>
      <c r="BN12" s="32"/>
      <c r="BP12" s="32"/>
      <c r="BQ12" s="32"/>
      <c r="BR12" s="32"/>
      <c r="BS12" s="32"/>
      <c r="BT12" s="32"/>
    </row>
    <row r="13" spans="1:72" outlineLevel="1" x14ac:dyDescent="0.2">
      <c r="A13" s="14"/>
      <c r="B13" s="14" t="s">
        <v>57</v>
      </c>
      <c r="C13" s="15" t="s">
        <v>233</v>
      </c>
      <c r="D13" s="14">
        <v>218121242</v>
      </c>
      <c r="E13" s="15">
        <v>10</v>
      </c>
      <c r="F13" s="15">
        <v>32</v>
      </c>
      <c r="G13" s="15">
        <v>30</v>
      </c>
      <c r="I13" s="16">
        <f t="shared" si="0"/>
        <v>12.0188775</v>
      </c>
      <c r="J13" s="17">
        <f t="shared" si="1"/>
        <v>5.8775275083020113E-2</v>
      </c>
      <c r="K13" s="17">
        <f t="shared" si="2"/>
        <v>1.7203789807872082E-2</v>
      </c>
      <c r="L13" s="17">
        <f t="shared" si="3"/>
        <v>1.339966696136821E-2</v>
      </c>
      <c r="M13" s="17">
        <f t="shared" si="4"/>
        <v>4.1571485275148028E-2</v>
      </c>
      <c r="N13" s="14">
        <f t="shared" si="5"/>
        <v>3752512</v>
      </c>
      <c r="O13" s="17">
        <v>32</v>
      </c>
      <c r="P13" s="18">
        <v>23275134</v>
      </c>
      <c r="Q13" s="18">
        <v>727347.9375</v>
      </c>
      <c r="R13" s="18">
        <v>27993.34375</v>
      </c>
      <c r="S13" s="19">
        <v>12820136</v>
      </c>
      <c r="T13" s="19">
        <v>2922752</v>
      </c>
      <c r="U13" s="19">
        <v>829760</v>
      </c>
      <c r="V13" s="19">
        <v>9067624</v>
      </c>
      <c r="W13" s="20">
        <v>70.078081803125002</v>
      </c>
      <c r="X13" s="20">
        <v>72.60127589375</v>
      </c>
      <c r="Y13" s="20">
        <v>38.662816453124996</v>
      </c>
      <c r="Z13" s="20">
        <v>42.108211790624999</v>
      </c>
      <c r="AA13" s="20">
        <v>37.696200043749997</v>
      </c>
      <c r="AB13" s="21">
        <v>2998.25</v>
      </c>
      <c r="AC13" s="21">
        <v>0</v>
      </c>
      <c r="AD13" s="21">
        <v>78.043999999999997</v>
      </c>
      <c r="AE13" s="21">
        <v>0</v>
      </c>
      <c r="AG13" s="16" t="str">
        <f t="shared" si="6"/>
        <v>·</v>
      </c>
      <c r="AH13" s="17" t="str">
        <f t="shared" si="7"/>
        <v>·</v>
      </c>
      <c r="AI13" s="17" t="str">
        <f t="shared" si="8"/>
        <v>·</v>
      </c>
      <c r="AJ13" s="17" t="str">
        <f t="shared" si="9"/>
        <v>·</v>
      </c>
      <c r="AK13" s="17" t="str">
        <f t="shared" si="10"/>
        <v>·</v>
      </c>
      <c r="AL13" s="14" t="str">
        <f t="shared" si="11"/>
        <v/>
      </c>
      <c r="AM13" s="17">
        <v>32</v>
      </c>
      <c r="AN13" s="18"/>
      <c r="AO13" s="18"/>
      <c r="AP13" s="18"/>
      <c r="AQ13" s="19"/>
      <c r="AR13" s="19"/>
      <c r="AS13" s="19"/>
      <c r="AT13" s="19"/>
      <c r="AU13" s="20"/>
      <c r="AV13" s="20"/>
      <c r="AW13" s="20"/>
      <c r="AX13" s="20"/>
      <c r="AY13" s="20"/>
      <c r="AZ13" s="21"/>
      <c r="BA13" s="21"/>
      <c r="BB13" s="21"/>
      <c r="BC13" s="21"/>
      <c r="BE13" s="22" t="e">
        <f t="shared" si="12"/>
        <v>#VALUE!</v>
      </c>
      <c r="BF13" s="23" t="e">
        <f t="shared" si="13"/>
        <v>#DIV/0!</v>
      </c>
      <c r="BG13" s="23" t="e">
        <f t="shared" si="14"/>
        <v>#VALUE!</v>
      </c>
      <c r="BH13" s="23"/>
      <c r="BJ13" s="22"/>
      <c r="BK13" s="22"/>
      <c r="BL13" s="22"/>
      <c r="BM13" s="22"/>
      <c r="BN13" s="22"/>
      <c r="BP13" s="22"/>
      <c r="BQ13" s="22"/>
      <c r="BR13" s="22"/>
      <c r="BS13" s="22"/>
      <c r="BT13" s="22"/>
    </row>
    <row r="14" spans="1:72" outlineLevel="1" x14ac:dyDescent="0.2">
      <c r="A14" s="24"/>
      <c r="B14" s="44" t="s">
        <v>57</v>
      </c>
      <c r="C14" s="45" t="s">
        <v>234</v>
      </c>
      <c r="D14" s="44">
        <v>218121242</v>
      </c>
      <c r="E14" s="45">
        <v>10</v>
      </c>
      <c r="F14" s="45">
        <v>32</v>
      </c>
      <c r="G14" s="45">
        <v>30</v>
      </c>
      <c r="I14" s="46">
        <f t="shared" si="0"/>
        <v>21.5702775</v>
      </c>
      <c r="J14" s="47">
        <f t="shared" si="1"/>
        <v>0.10548397665918297</v>
      </c>
      <c r="K14" s="47">
        <f t="shared" si="2"/>
        <v>2.830469854008992E-2</v>
      </c>
      <c r="L14" s="47">
        <f t="shared" si="3"/>
        <v>2.1175159088815385E-2</v>
      </c>
      <c r="M14" s="47">
        <f t="shared" si="4"/>
        <v>7.7179278119093045E-2</v>
      </c>
      <c r="N14" s="44">
        <f t="shared" si="5"/>
        <v>6173856</v>
      </c>
      <c r="O14" s="47">
        <v>32</v>
      </c>
      <c r="P14" s="48">
        <v>22108568</v>
      </c>
      <c r="Q14" s="48">
        <v>690892.75</v>
      </c>
      <c r="R14" s="48">
        <v>13255.34375</v>
      </c>
      <c r="S14" s="49">
        <v>23008296</v>
      </c>
      <c r="T14" s="49">
        <v>4618752</v>
      </c>
      <c r="U14" s="49">
        <v>1555104</v>
      </c>
      <c r="V14" s="49">
        <v>16834440</v>
      </c>
      <c r="W14" s="50">
        <v>70.921375765625001</v>
      </c>
      <c r="X14" s="50">
        <v>74.71325354375</v>
      </c>
      <c r="Y14" s="50">
        <v>40.916125975</v>
      </c>
      <c r="Z14" s="50">
        <v>43.428545615624998</v>
      </c>
      <c r="AA14" s="50">
        <v>39.494595349999997</v>
      </c>
      <c r="AB14" s="51">
        <v>3239.1030000000001</v>
      </c>
      <c r="AC14" s="51">
        <v>0</v>
      </c>
      <c r="AD14" s="51">
        <v>75.644000000000005</v>
      </c>
      <c r="AE14" s="51">
        <v>0</v>
      </c>
      <c r="AG14" s="46" t="str">
        <f t="shared" si="6"/>
        <v>·</v>
      </c>
      <c r="AH14" s="47" t="str">
        <f t="shared" si="7"/>
        <v>·</v>
      </c>
      <c r="AI14" s="47" t="str">
        <f t="shared" si="8"/>
        <v>·</v>
      </c>
      <c r="AJ14" s="47" t="str">
        <f t="shared" si="9"/>
        <v>·</v>
      </c>
      <c r="AK14" s="47" t="str">
        <f t="shared" si="10"/>
        <v>·</v>
      </c>
      <c r="AL14" s="44" t="str">
        <f t="shared" si="11"/>
        <v/>
      </c>
      <c r="AM14" s="47">
        <v>32</v>
      </c>
      <c r="AN14" s="48"/>
      <c r="AO14" s="48"/>
      <c r="AP14" s="48"/>
      <c r="AQ14" s="49"/>
      <c r="AR14" s="49"/>
      <c r="AS14" s="49"/>
      <c r="AT14" s="49"/>
      <c r="AU14" s="50"/>
      <c r="AV14" s="50"/>
      <c r="AW14" s="50"/>
      <c r="AX14" s="50"/>
      <c r="AY14" s="50"/>
      <c r="AZ14" s="51"/>
      <c r="BA14" s="51"/>
      <c r="BB14" s="51"/>
      <c r="BC14" s="51"/>
      <c r="BE14" s="52" t="e">
        <f t="shared" si="12"/>
        <v>#VALUE!</v>
      </c>
      <c r="BF14" s="53" t="e">
        <f t="shared" si="13"/>
        <v>#DIV/0!</v>
      </c>
      <c r="BG14" s="53" t="e">
        <f t="shared" si="14"/>
        <v>#VALUE!</v>
      </c>
      <c r="BH14" s="53"/>
      <c r="BJ14" s="52"/>
      <c r="BK14" s="52"/>
      <c r="BL14" s="52"/>
      <c r="BM14" s="52"/>
      <c r="BN14" s="52"/>
      <c r="BP14" s="52"/>
      <c r="BQ14" s="52"/>
      <c r="BR14" s="52"/>
      <c r="BS14" s="52"/>
      <c r="BT14" s="52"/>
    </row>
    <row r="15" spans="1:72" x14ac:dyDescent="0.2">
      <c r="A15" s="14"/>
      <c r="B15" s="14" t="s">
        <v>62</v>
      </c>
      <c r="C15" s="15" t="s">
        <v>230</v>
      </c>
      <c r="D15" s="14">
        <v>322589704</v>
      </c>
      <c r="E15" s="15">
        <v>10</v>
      </c>
      <c r="F15" s="15">
        <v>32</v>
      </c>
      <c r="G15" s="15">
        <v>30</v>
      </c>
      <c r="I15" s="16">
        <f t="shared" si="0"/>
        <v>4.4161799999999998</v>
      </c>
      <c r="J15" s="17">
        <f t="shared" si="1"/>
        <v>1.4602425128856561E-2</v>
      </c>
      <c r="K15" s="17">
        <f t="shared" si="2"/>
        <v>8.2663518610004982E-3</v>
      </c>
      <c r="L15" s="17">
        <f t="shared" si="3"/>
        <v>4.3908902932624288E-3</v>
      </c>
      <c r="M15" s="17">
        <f t="shared" si="4"/>
        <v>6.3360732678560631E-3</v>
      </c>
      <c r="N15" s="14">
        <f t="shared" si="5"/>
        <v>2666640</v>
      </c>
      <c r="O15" s="17">
        <v>32</v>
      </c>
      <c r="P15" s="18">
        <v>30898742</v>
      </c>
      <c r="Q15" s="18">
        <v>965585.6875</v>
      </c>
      <c r="R15" s="18">
        <v>27935.75</v>
      </c>
      <c r="S15" s="19">
        <v>4710592</v>
      </c>
      <c r="T15" s="19">
        <v>1416456</v>
      </c>
      <c r="U15" s="19">
        <v>1250184</v>
      </c>
      <c r="V15" s="19">
        <v>2043952</v>
      </c>
      <c r="W15" s="20">
        <v>65.895413956249996</v>
      </c>
      <c r="X15" s="20">
        <v>67.664490275000006</v>
      </c>
      <c r="Y15" s="20">
        <v>29.4212047625</v>
      </c>
      <c r="Z15" s="20">
        <v>43.104718159374997</v>
      </c>
      <c r="AA15" s="20">
        <v>43.299262056250001</v>
      </c>
      <c r="AB15" s="21">
        <v>3073.9549999999999</v>
      </c>
      <c r="AC15" s="21">
        <v>0</v>
      </c>
      <c r="AD15" s="21">
        <v>94.096000000000004</v>
      </c>
      <c r="AE15" s="21">
        <v>0</v>
      </c>
      <c r="AG15" s="16" t="str">
        <f t="shared" si="6"/>
        <v>·</v>
      </c>
      <c r="AH15" s="17" t="str">
        <f t="shared" si="7"/>
        <v>·</v>
      </c>
      <c r="AI15" s="17" t="str">
        <f t="shared" si="8"/>
        <v>·</v>
      </c>
      <c r="AJ15" s="17" t="str">
        <f t="shared" si="9"/>
        <v>·</v>
      </c>
      <c r="AK15" s="17" t="str">
        <f t="shared" si="10"/>
        <v>·</v>
      </c>
      <c r="AL15" s="14" t="str">
        <f t="shared" si="11"/>
        <v/>
      </c>
      <c r="AM15" s="17">
        <v>32</v>
      </c>
      <c r="AN15" s="18"/>
      <c r="AO15" s="18"/>
      <c r="AP15" s="18"/>
      <c r="AQ15" s="19"/>
      <c r="AR15" s="19"/>
      <c r="AS15" s="19"/>
      <c r="AT15" s="19"/>
      <c r="AU15" s="20"/>
      <c r="AV15" s="20"/>
      <c r="AW15" s="20"/>
      <c r="AX15" s="20"/>
      <c r="AY15" s="20"/>
      <c r="AZ15" s="21"/>
      <c r="BA15" s="21"/>
      <c r="BB15" s="21"/>
      <c r="BC15" s="21"/>
      <c r="BE15" s="22" t="e">
        <f t="shared" si="12"/>
        <v>#VALUE!</v>
      </c>
      <c r="BF15" s="23" t="e">
        <f t="shared" si="13"/>
        <v>#DIV/0!</v>
      </c>
      <c r="BG15" s="23" t="e">
        <f t="shared" si="14"/>
        <v>#VALUE!</v>
      </c>
      <c r="BH15" s="23" t="e">
        <f t="array" ref="BH15">AVERAGE(AL15:AL19/AQ15:AQ19) - AVERAGE(N15:N19/S15:S19)</f>
        <v>#VALUE!</v>
      </c>
      <c r="BJ15" s="22" t="str">
        <f>IF( OR(ISBLANK(N15:N19),ISBLANK(AL15:AL19), ISBLANK(W15:W19),ISBLANK(AU15:AU19)), "·", bdRateExtend( N15:N19,W15:W19, AL15:AL19,AU15:AU19))</f>
        <v>·</v>
      </c>
      <c r="BK15" s="22" t="str">
        <f>IF( OR(ISBLANK(N15:N19),ISBLANK(AL15:AL19), ISBLANK(X15:X19),ISBLANK(AV15:AV19)), "·", bdRateExtend( N15:N19,X15:X19, AL15:AL19,AV15:AV19))</f>
        <v>·</v>
      </c>
      <c r="BL15" s="22" t="str">
        <f>IF( OR(ISBLANK(V15:V19),ISBLANK(AT15:AT19), ISBLANK(Y15:Y19),ISBLANK(AW15:AW19)), "·", bdRateExtend( V15:V19,Y15:Y19, AT15:AT19,AW15:AW19))</f>
        <v>·</v>
      </c>
      <c r="BM15" s="22" t="str">
        <f>IF( OR(ISBLANK(V15:V19),ISBLANK(AT15:AT19), ISBLANK(Z15:Z19),ISBLANK(AX15:AX19)), "·", bdRateExtend( V15:V19,Z15:Z19, AT15:AT19,AX15:AX19))</f>
        <v>·</v>
      </c>
      <c r="BN15" s="22" t="str">
        <f>IF( OR(ISBLANK(V15:V19),ISBLANK(AT15:AT19), ISBLANK(AA15:AA19),ISBLANK(AY15:AY19)), "·", bdRateExtend( V15:V19,AA15:AA19, AT15:AT19,AY15:AY19))</f>
        <v>·</v>
      </c>
      <c r="BP15" s="22" t="str">
        <f>IF( OR(ISBLANK(S15:S19),ISBLANK(AQ15:AQ19), ISBLANK(W15:W19),ISBLANK(AU15:AU19)), "·", bdRateExtend( S15:S19,W15:W19, AQ15:AQ19,AU15:AU19))</f>
        <v>·</v>
      </c>
      <c r="BQ15" s="22" t="str">
        <f>IF( OR(ISBLANK(S15:S19),ISBLANK(AQ15:AQ19), ISBLANK(X15:X19),ISBLANK(AV15:AV19)), "·", bdRateExtend( S15:S19,X15:X19, AQ15:AQ19,AV15:AV19))</f>
        <v>·</v>
      </c>
      <c r="BR15" s="22" t="str">
        <f>IF( OR(ISBLANK(S15:S19),ISBLANK(AQ15:AQ19), ISBLANK(Y15:Y19),ISBLANK(AW15:AW19)), "·", bdRateExtend( S15:S19,Y15:Y19, AQ15:AQ19,AW15:AW19))</f>
        <v>·</v>
      </c>
      <c r="BS15" s="22" t="str">
        <f>IF( OR(ISBLANK(S15:S19),ISBLANK(AQ15:AQ19), ISBLANK(Z15:Z19),ISBLANK(AX15:AX19)), "·", bdRateExtend( S15:S19,Z15:Z19, AQ15:AQ19,AX15:AX19))</f>
        <v>·</v>
      </c>
      <c r="BT15" s="22" t="str">
        <f>IF( OR(ISBLANK(S15:S19),ISBLANK(AQ15:AQ19), ISBLANK(AA15:AA19),ISBLANK(AY15:AY19)), "·", bdRateExtend( S15:S19,AA15:AA19, AQ15:AQ19,AY15:AY19))</f>
        <v>·</v>
      </c>
    </row>
    <row r="16" spans="1:72" outlineLevel="1" x14ac:dyDescent="0.2">
      <c r="A16" s="24"/>
      <c r="B16" s="24" t="s">
        <v>62</v>
      </c>
      <c r="C16" s="25" t="s">
        <v>231</v>
      </c>
      <c r="D16" s="24">
        <v>322589704</v>
      </c>
      <c r="E16" s="25">
        <v>10</v>
      </c>
      <c r="F16" s="25">
        <v>32</v>
      </c>
      <c r="G16" s="25">
        <v>30</v>
      </c>
      <c r="I16" s="26">
        <f t="shared" si="0"/>
        <v>7.0136399999999997</v>
      </c>
      <c r="J16" s="27">
        <f t="shared" si="1"/>
        <v>2.3191118337738393E-2</v>
      </c>
      <c r="K16" s="27">
        <f t="shared" si="2"/>
        <v>1.0080495315498351E-2</v>
      </c>
      <c r="L16" s="27">
        <f t="shared" si="3"/>
        <v>6.2050337477602821E-3</v>
      </c>
      <c r="M16" s="27">
        <f t="shared" si="4"/>
        <v>1.311062302224004E-2</v>
      </c>
      <c r="N16" s="24">
        <f t="shared" si="5"/>
        <v>3251864</v>
      </c>
      <c r="O16" s="27">
        <v>32</v>
      </c>
      <c r="P16" s="28">
        <v>33174723</v>
      </c>
      <c r="Q16" s="28">
        <v>1036710.09375</v>
      </c>
      <c r="R16" s="28">
        <v>34658.125</v>
      </c>
      <c r="S16" s="29">
        <v>7481216</v>
      </c>
      <c r="T16" s="29">
        <v>2001680</v>
      </c>
      <c r="U16" s="29">
        <v>1250184</v>
      </c>
      <c r="V16" s="29">
        <v>4229352</v>
      </c>
      <c r="W16" s="30">
        <v>67.721323640625002</v>
      </c>
      <c r="X16" s="30">
        <v>69.756867593750002</v>
      </c>
      <c r="Y16" s="30">
        <v>31.811242471875001</v>
      </c>
      <c r="Z16" s="30">
        <v>43.962001131249998</v>
      </c>
      <c r="AA16" s="30">
        <v>44.231644109374997</v>
      </c>
      <c r="AB16" s="31">
        <v>3200.42</v>
      </c>
      <c r="AC16" s="31">
        <v>0</v>
      </c>
      <c r="AD16" s="31">
        <v>101.01</v>
      </c>
      <c r="AE16" s="31">
        <v>0</v>
      </c>
      <c r="AG16" s="26" t="str">
        <f t="shared" si="6"/>
        <v>·</v>
      </c>
      <c r="AH16" s="27" t="str">
        <f t="shared" si="7"/>
        <v>·</v>
      </c>
      <c r="AI16" s="27" t="str">
        <f t="shared" si="8"/>
        <v>·</v>
      </c>
      <c r="AJ16" s="27" t="str">
        <f t="shared" si="9"/>
        <v>·</v>
      </c>
      <c r="AK16" s="27" t="str">
        <f t="shared" si="10"/>
        <v>·</v>
      </c>
      <c r="AL16" s="24" t="str">
        <f t="shared" si="11"/>
        <v/>
      </c>
      <c r="AM16" s="27">
        <v>32</v>
      </c>
      <c r="AN16" s="28"/>
      <c r="AO16" s="28"/>
      <c r="AP16" s="28"/>
      <c r="AQ16" s="29"/>
      <c r="AR16" s="29"/>
      <c r="AS16" s="29"/>
      <c r="AT16" s="29"/>
      <c r="AU16" s="30"/>
      <c r="AV16" s="30"/>
      <c r="AW16" s="30"/>
      <c r="AX16" s="30"/>
      <c r="AY16" s="30"/>
      <c r="AZ16" s="31"/>
      <c r="BA16" s="31"/>
      <c r="BB16" s="31"/>
      <c r="BC16" s="31"/>
      <c r="BE16" s="32" t="e">
        <f t="shared" si="12"/>
        <v>#VALUE!</v>
      </c>
      <c r="BF16" s="33" t="e">
        <f t="shared" si="13"/>
        <v>#DIV/0!</v>
      </c>
      <c r="BG16" s="33" t="e">
        <f t="shared" si="14"/>
        <v>#VALUE!</v>
      </c>
      <c r="BH16" s="33"/>
      <c r="BJ16" s="32"/>
      <c r="BK16" s="32"/>
      <c r="BL16" s="32"/>
      <c r="BM16" s="32"/>
      <c r="BN16" s="32"/>
      <c r="BP16" s="32"/>
      <c r="BQ16" s="32"/>
      <c r="BR16" s="32"/>
      <c r="BS16" s="32"/>
      <c r="BT16" s="32"/>
    </row>
    <row r="17" spans="1:72" outlineLevel="1" x14ac:dyDescent="0.2">
      <c r="A17" s="14"/>
      <c r="B17" s="14" t="s">
        <v>62</v>
      </c>
      <c r="C17" s="15" t="s">
        <v>232</v>
      </c>
      <c r="D17" s="14">
        <v>322589704</v>
      </c>
      <c r="E17" s="15">
        <v>10</v>
      </c>
      <c r="F17" s="15">
        <v>32</v>
      </c>
      <c r="G17" s="15">
        <v>30</v>
      </c>
      <c r="I17" s="16">
        <f t="shared" si="0"/>
        <v>11.6939925</v>
      </c>
      <c r="J17" s="17">
        <f t="shared" si="1"/>
        <v>3.8667049336453714E-2</v>
      </c>
      <c r="K17" s="17">
        <f t="shared" si="2"/>
        <v>1.281843762750717E-2</v>
      </c>
      <c r="L17" s="17">
        <f t="shared" si="3"/>
        <v>8.9429760597690994E-3</v>
      </c>
      <c r="M17" s="17">
        <f t="shared" si="4"/>
        <v>2.5848611708946544E-2</v>
      </c>
      <c r="N17" s="14">
        <f t="shared" si="5"/>
        <v>4135096</v>
      </c>
      <c r="O17" s="17">
        <v>32</v>
      </c>
      <c r="P17" s="18">
        <v>33536779</v>
      </c>
      <c r="Q17" s="18">
        <v>1048024.34375</v>
      </c>
      <c r="R17" s="18">
        <v>36443.15625</v>
      </c>
      <c r="S17" s="19">
        <v>12473592</v>
      </c>
      <c r="T17" s="19">
        <v>2884912</v>
      </c>
      <c r="U17" s="19">
        <v>1250184</v>
      </c>
      <c r="V17" s="19">
        <v>8338496</v>
      </c>
      <c r="W17" s="20">
        <v>69.121999478125005</v>
      </c>
      <c r="X17" s="20">
        <v>71.601190981249999</v>
      </c>
      <c r="Y17" s="20">
        <v>34.352239781249999</v>
      </c>
      <c r="Z17" s="20">
        <v>44.816191996874998</v>
      </c>
      <c r="AA17" s="20">
        <v>45.212231431249997</v>
      </c>
      <c r="AB17" s="21">
        <v>3361.527</v>
      </c>
      <c r="AC17" s="21">
        <v>0</v>
      </c>
      <c r="AD17" s="21">
        <v>102.976</v>
      </c>
      <c r="AE17" s="21">
        <v>0</v>
      </c>
      <c r="AG17" s="16" t="str">
        <f t="shared" si="6"/>
        <v>·</v>
      </c>
      <c r="AH17" s="17" t="str">
        <f t="shared" si="7"/>
        <v>·</v>
      </c>
      <c r="AI17" s="17" t="str">
        <f t="shared" si="8"/>
        <v>·</v>
      </c>
      <c r="AJ17" s="17" t="str">
        <f t="shared" si="9"/>
        <v>·</v>
      </c>
      <c r="AK17" s="17" t="str">
        <f t="shared" si="10"/>
        <v>·</v>
      </c>
      <c r="AL17" s="14" t="str">
        <f t="shared" si="11"/>
        <v/>
      </c>
      <c r="AM17" s="17">
        <v>32</v>
      </c>
      <c r="AN17" s="18"/>
      <c r="AO17" s="18"/>
      <c r="AP17" s="18"/>
      <c r="AQ17" s="19"/>
      <c r="AR17" s="19"/>
      <c r="AS17" s="19"/>
      <c r="AT17" s="19"/>
      <c r="AU17" s="20"/>
      <c r="AV17" s="20"/>
      <c r="AW17" s="20"/>
      <c r="AX17" s="20"/>
      <c r="AY17" s="20"/>
      <c r="AZ17" s="21"/>
      <c r="BA17" s="21"/>
      <c r="BB17" s="21"/>
      <c r="BC17" s="21"/>
      <c r="BE17" s="22" t="e">
        <f t="shared" si="12"/>
        <v>#VALUE!</v>
      </c>
      <c r="BF17" s="23" t="e">
        <f t="shared" si="13"/>
        <v>#DIV/0!</v>
      </c>
      <c r="BG17" s="23" t="e">
        <f t="shared" si="14"/>
        <v>#VALUE!</v>
      </c>
      <c r="BH17" s="23"/>
      <c r="BJ17" s="22"/>
      <c r="BK17" s="22"/>
      <c r="BL17" s="22"/>
      <c r="BM17" s="22"/>
      <c r="BN17" s="22"/>
      <c r="BP17" s="22"/>
      <c r="BQ17" s="22"/>
      <c r="BR17" s="22"/>
      <c r="BS17" s="22"/>
      <c r="BT17" s="22"/>
    </row>
    <row r="18" spans="1:72" outlineLevel="1" x14ac:dyDescent="0.2">
      <c r="A18" s="24"/>
      <c r="B18" s="24" t="s">
        <v>62</v>
      </c>
      <c r="C18" s="25" t="s">
        <v>233</v>
      </c>
      <c r="D18" s="24">
        <v>322589704</v>
      </c>
      <c r="E18" s="25">
        <v>10</v>
      </c>
      <c r="F18" s="25">
        <v>32</v>
      </c>
      <c r="G18" s="25">
        <v>30</v>
      </c>
      <c r="I18" s="26">
        <f t="shared" si="0"/>
        <v>20.178967499999999</v>
      </c>
      <c r="J18" s="27">
        <f t="shared" si="1"/>
        <v>6.6723245451131938E-2</v>
      </c>
      <c r="K18" s="27">
        <f t="shared" si="2"/>
        <v>1.7317626479486151E-2</v>
      </c>
      <c r="L18" s="27">
        <f t="shared" si="3"/>
        <v>1.3442164911748083E-2</v>
      </c>
      <c r="M18" s="27">
        <f t="shared" si="4"/>
        <v>4.940561897164579E-2</v>
      </c>
      <c r="N18" s="24">
        <f t="shared" si="5"/>
        <v>5586488</v>
      </c>
      <c r="O18" s="27">
        <v>32</v>
      </c>
      <c r="P18" s="28">
        <v>34802045</v>
      </c>
      <c r="Q18" s="28">
        <v>1087563.90625</v>
      </c>
      <c r="R18" s="28">
        <v>40924.21875</v>
      </c>
      <c r="S18" s="29">
        <v>21524232</v>
      </c>
      <c r="T18" s="29">
        <v>4336304</v>
      </c>
      <c r="U18" s="29">
        <v>1250184</v>
      </c>
      <c r="V18" s="29">
        <v>15937744</v>
      </c>
      <c r="W18" s="30">
        <v>70.369829012500006</v>
      </c>
      <c r="X18" s="30">
        <v>72.947365390624995</v>
      </c>
      <c r="Y18" s="30">
        <v>37.033362234374998</v>
      </c>
      <c r="Z18" s="30">
        <v>46.129687356250002</v>
      </c>
      <c r="AA18" s="30">
        <v>46.645259215625003</v>
      </c>
      <c r="AB18" s="31">
        <v>3651.0340000000001</v>
      </c>
      <c r="AC18" s="31">
        <v>0</v>
      </c>
      <c r="AD18" s="31">
        <v>121.92400000000001</v>
      </c>
      <c r="AE18" s="31">
        <v>0</v>
      </c>
      <c r="AG18" s="26" t="str">
        <f t="shared" si="6"/>
        <v>·</v>
      </c>
      <c r="AH18" s="27" t="str">
        <f t="shared" si="7"/>
        <v>·</v>
      </c>
      <c r="AI18" s="27" t="str">
        <f t="shared" si="8"/>
        <v>·</v>
      </c>
      <c r="AJ18" s="27" t="str">
        <f t="shared" si="9"/>
        <v>·</v>
      </c>
      <c r="AK18" s="27" t="str">
        <f t="shared" si="10"/>
        <v>·</v>
      </c>
      <c r="AL18" s="24" t="str">
        <f t="shared" si="11"/>
        <v/>
      </c>
      <c r="AM18" s="27">
        <v>32</v>
      </c>
      <c r="AN18" s="28"/>
      <c r="AO18" s="28"/>
      <c r="AP18" s="28"/>
      <c r="AQ18" s="29"/>
      <c r="AR18" s="29"/>
      <c r="AS18" s="29"/>
      <c r="AT18" s="29"/>
      <c r="AU18" s="30"/>
      <c r="AV18" s="30"/>
      <c r="AW18" s="30"/>
      <c r="AX18" s="30"/>
      <c r="AY18" s="30"/>
      <c r="AZ18" s="31"/>
      <c r="BA18" s="31"/>
      <c r="BB18" s="31"/>
      <c r="BC18" s="31"/>
      <c r="BE18" s="32" t="e">
        <f t="shared" si="12"/>
        <v>#VALUE!</v>
      </c>
      <c r="BF18" s="33" t="e">
        <f t="shared" si="13"/>
        <v>#DIV/0!</v>
      </c>
      <c r="BG18" s="33" t="e">
        <f t="shared" si="14"/>
        <v>#VALUE!</v>
      </c>
      <c r="BH18" s="33"/>
      <c r="BJ18" s="32"/>
      <c r="BK18" s="32"/>
      <c r="BL18" s="32"/>
      <c r="BM18" s="32"/>
      <c r="BN18" s="32"/>
      <c r="BP18" s="32"/>
      <c r="BQ18" s="32"/>
      <c r="BR18" s="32"/>
      <c r="BS18" s="32"/>
      <c r="BT18" s="32"/>
    </row>
    <row r="19" spans="1:72" outlineLevel="1" x14ac:dyDescent="0.2">
      <c r="A19" s="14"/>
      <c r="B19" s="34" t="s">
        <v>62</v>
      </c>
      <c r="C19" s="35" t="s">
        <v>234</v>
      </c>
      <c r="D19" s="34">
        <v>322589704</v>
      </c>
      <c r="E19" s="35">
        <v>10</v>
      </c>
      <c r="F19" s="35">
        <v>32</v>
      </c>
      <c r="G19" s="35">
        <v>30</v>
      </c>
      <c r="I19" s="36">
        <f t="shared" si="0"/>
        <v>35.700090000000003</v>
      </c>
      <c r="J19" s="37">
        <f t="shared" si="1"/>
        <v>0.11804498261358025</v>
      </c>
      <c r="K19" s="37">
        <f t="shared" si="2"/>
        <v>2.7798084963058835E-2</v>
      </c>
      <c r="L19" s="37">
        <f t="shared" si="3"/>
        <v>2.064958651005179E-2</v>
      </c>
      <c r="M19" s="37">
        <f t="shared" si="4"/>
        <v>9.0246897650521421E-2</v>
      </c>
      <c r="N19" s="34">
        <f t="shared" si="5"/>
        <v>8967376</v>
      </c>
      <c r="O19" s="37">
        <v>32</v>
      </c>
      <c r="P19" s="38">
        <v>33040002</v>
      </c>
      <c r="Q19" s="38">
        <v>1032500.0625</v>
      </c>
      <c r="R19" s="38">
        <v>17720.5</v>
      </c>
      <c r="S19" s="39">
        <v>38080096</v>
      </c>
      <c r="T19" s="39">
        <v>6661344</v>
      </c>
      <c r="U19" s="39">
        <v>2306032</v>
      </c>
      <c r="V19" s="39">
        <v>29112720</v>
      </c>
      <c r="W19" s="40">
        <v>71.147949603124999</v>
      </c>
      <c r="X19" s="40">
        <v>75.002498262499998</v>
      </c>
      <c r="Y19" s="40">
        <v>39.495606634375001</v>
      </c>
      <c r="Z19" s="40">
        <v>47.874011809374998</v>
      </c>
      <c r="AA19" s="40">
        <v>48.468341234375004</v>
      </c>
      <c r="AB19" s="41">
        <v>4032.9459999999999</v>
      </c>
      <c r="AC19" s="41">
        <v>0</v>
      </c>
      <c r="AD19" s="41">
        <v>103.077</v>
      </c>
      <c r="AE19" s="41">
        <v>0</v>
      </c>
      <c r="AG19" s="36" t="str">
        <f t="shared" si="6"/>
        <v>·</v>
      </c>
      <c r="AH19" s="37" t="str">
        <f t="shared" si="7"/>
        <v>·</v>
      </c>
      <c r="AI19" s="37" t="str">
        <f t="shared" si="8"/>
        <v>·</v>
      </c>
      <c r="AJ19" s="37" t="str">
        <f t="shared" si="9"/>
        <v>·</v>
      </c>
      <c r="AK19" s="37" t="str">
        <f t="shared" si="10"/>
        <v>·</v>
      </c>
      <c r="AL19" s="34" t="str">
        <f t="shared" si="11"/>
        <v/>
      </c>
      <c r="AM19" s="37">
        <v>32</v>
      </c>
      <c r="AN19" s="38"/>
      <c r="AO19" s="38"/>
      <c r="AP19" s="38"/>
      <c r="AQ19" s="39"/>
      <c r="AR19" s="39"/>
      <c r="AS19" s="39"/>
      <c r="AT19" s="39"/>
      <c r="AU19" s="40"/>
      <c r="AV19" s="40"/>
      <c r="AW19" s="40"/>
      <c r="AX19" s="40"/>
      <c r="AY19" s="40"/>
      <c r="AZ19" s="41"/>
      <c r="BA19" s="41"/>
      <c r="BB19" s="41"/>
      <c r="BC19" s="41"/>
      <c r="BE19" s="42" t="e">
        <f t="shared" si="12"/>
        <v>#VALUE!</v>
      </c>
      <c r="BF19" s="43" t="e">
        <f t="shared" si="13"/>
        <v>#DIV/0!</v>
      </c>
      <c r="BG19" s="43" t="e">
        <f t="shared" si="14"/>
        <v>#VALUE!</v>
      </c>
      <c r="BH19" s="43"/>
      <c r="BJ19" s="42"/>
      <c r="BK19" s="42"/>
      <c r="BL19" s="42"/>
      <c r="BM19" s="42"/>
      <c r="BN19" s="42"/>
      <c r="BP19" s="42"/>
      <c r="BQ19" s="42"/>
      <c r="BR19" s="42"/>
      <c r="BS19" s="42"/>
      <c r="BT19" s="42"/>
    </row>
    <row r="20" spans="1:72" x14ac:dyDescent="0.2">
      <c r="A20" s="24"/>
      <c r="B20" s="24" t="s">
        <v>68</v>
      </c>
      <c r="C20" s="25" t="s">
        <v>230</v>
      </c>
      <c r="D20" s="24">
        <v>250602891</v>
      </c>
      <c r="E20" s="25">
        <v>10</v>
      </c>
      <c r="F20" s="25">
        <v>32</v>
      </c>
      <c r="G20" s="25">
        <v>50</v>
      </c>
      <c r="I20" s="26">
        <f t="shared" si="0"/>
        <v>5.1086124999999996</v>
      </c>
      <c r="J20" s="27">
        <f t="shared" si="1"/>
        <v>1.3046585324508487E-2</v>
      </c>
      <c r="K20" s="27">
        <f t="shared" si="2"/>
        <v>7.6214284375514243E-3</v>
      </c>
      <c r="L20" s="27">
        <f t="shared" si="3"/>
        <v>3.7914646403660202E-3</v>
      </c>
      <c r="M20" s="27">
        <f t="shared" si="4"/>
        <v>5.425156886957062E-3</v>
      </c>
      <c r="N20" s="24">
        <f t="shared" si="5"/>
        <v>1909952</v>
      </c>
      <c r="O20" s="27">
        <v>32</v>
      </c>
      <c r="P20" s="28">
        <v>30202618</v>
      </c>
      <c r="Q20" s="28">
        <v>943831.8125</v>
      </c>
      <c r="R20" s="28">
        <v>27795.1875</v>
      </c>
      <c r="S20" s="29">
        <v>3269512</v>
      </c>
      <c r="T20" s="29">
        <v>950152</v>
      </c>
      <c r="U20" s="29">
        <v>959800</v>
      </c>
      <c r="V20" s="29">
        <v>1359560</v>
      </c>
      <c r="W20" s="30">
        <v>67.119902400000001</v>
      </c>
      <c r="X20" s="30">
        <v>68.826577078124998</v>
      </c>
      <c r="Y20" s="30">
        <v>30.701740634375</v>
      </c>
      <c r="Z20" s="30">
        <v>39.504126524999997</v>
      </c>
      <c r="AA20" s="30">
        <v>38.223548746874997</v>
      </c>
      <c r="AB20" s="31">
        <v>3250.201</v>
      </c>
      <c r="AC20" s="31">
        <v>0</v>
      </c>
      <c r="AD20" s="31">
        <v>87.813999999999993</v>
      </c>
      <c r="AE20" s="31">
        <v>0</v>
      </c>
      <c r="AG20" s="26" t="str">
        <f t="shared" si="6"/>
        <v>·</v>
      </c>
      <c r="AH20" s="27" t="str">
        <f t="shared" si="7"/>
        <v>·</v>
      </c>
      <c r="AI20" s="27" t="str">
        <f t="shared" si="8"/>
        <v>·</v>
      </c>
      <c r="AJ20" s="27" t="str">
        <f t="shared" si="9"/>
        <v>·</v>
      </c>
      <c r="AK20" s="27" t="str">
        <f t="shared" si="10"/>
        <v>·</v>
      </c>
      <c r="AL20" s="24" t="str">
        <f t="shared" si="11"/>
        <v/>
      </c>
      <c r="AM20" s="27">
        <v>32</v>
      </c>
      <c r="AN20" s="28"/>
      <c r="AO20" s="28"/>
      <c r="AP20" s="28"/>
      <c r="AQ20" s="29"/>
      <c r="AR20" s="29"/>
      <c r="AS20" s="29"/>
      <c r="AT20" s="29"/>
      <c r="AU20" s="30"/>
      <c r="AV20" s="30"/>
      <c r="AW20" s="30"/>
      <c r="AX20" s="30"/>
      <c r="AY20" s="30"/>
      <c r="AZ20" s="31"/>
      <c r="BA20" s="31"/>
      <c r="BB20" s="31"/>
      <c r="BC20" s="31"/>
      <c r="BE20" s="32" t="e">
        <f t="shared" si="12"/>
        <v>#VALUE!</v>
      </c>
      <c r="BF20" s="33" t="e">
        <f t="shared" si="13"/>
        <v>#DIV/0!</v>
      </c>
      <c r="BG20" s="33" t="e">
        <f t="shared" si="14"/>
        <v>#VALUE!</v>
      </c>
      <c r="BH20" s="33" t="e">
        <f t="array" ref="BH20">AVERAGE(AL20:AL24/AQ20:AQ24) - AVERAGE(N20:N24/S20:S24)</f>
        <v>#VALUE!</v>
      </c>
      <c r="BJ20" s="32" t="str">
        <f>IF( OR(ISBLANK(N20:N24),ISBLANK(AL20:AL24), ISBLANK(W20:W24),ISBLANK(AU20:AU24)), "·", bdRateExtend( N20:N24,W20:W24, AL20:AL24,AU20:AU24))</f>
        <v>·</v>
      </c>
      <c r="BK20" s="32" t="str">
        <f>IF( OR(ISBLANK(N20:N24),ISBLANK(AL20:AL24), ISBLANK(X20:X24),ISBLANK(AV20:AV24)), "·", bdRateExtend( N20:N24,X20:X24, AL20:AL24,AV20:AV24))</f>
        <v>·</v>
      </c>
      <c r="BL20" s="32" t="str">
        <f>IF( OR(ISBLANK(V20:V24),ISBLANK(AT20:AT24), ISBLANK(Y20:Y24),ISBLANK(AW20:AW24)), "·", bdRateExtend( V20:V24,Y20:Y24, AT20:AT24,AW20:AW24))</f>
        <v>·</v>
      </c>
      <c r="BM20" s="32" t="str">
        <f>IF( OR(ISBLANK(V20:V24),ISBLANK(AT20:AT24), ISBLANK(Z20:Z24),ISBLANK(AX20:AX24)), "·", bdRateExtend( V20:V24,Z20:Z24, AT20:AT24,AX20:AX24))</f>
        <v>·</v>
      </c>
      <c r="BN20" s="32" t="str">
        <f>IF( OR(ISBLANK(V20:V24),ISBLANK(AT20:AT24), ISBLANK(AA20:AA24),ISBLANK(AY20:AY24)), "·", bdRateExtend( V20:V24,AA20:AA24, AT20:AT24,AY20:AY24))</f>
        <v>·</v>
      </c>
      <c r="BP20" s="32" t="str">
        <f>IF( OR(ISBLANK(S20:S24),ISBLANK(AQ20:AQ24), ISBLANK(W20:W24),ISBLANK(AU20:AU24)), "·", bdRateExtend( S20:S24,W20:W24, AQ20:AQ24,AU20:AU24))</f>
        <v>·</v>
      </c>
      <c r="BQ20" s="32" t="str">
        <f>IF( OR(ISBLANK(S20:S24),ISBLANK(AQ20:AQ24), ISBLANK(X20:X24),ISBLANK(AV20:AV24)), "·", bdRateExtend( S20:S24,X20:X24, AQ20:AQ24,AV20:AV24))</f>
        <v>·</v>
      </c>
      <c r="BR20" s="32" t="str">
        <f>IF( OR(ISBLANK(S20:S24),ISBLANK(AQ20:AQ24), ISBLANK(Y20:Y24),ISBLANK(AW20:AW24)), "·", bdRateExtend( S20:S24,Y20:Y24, AQ20:AQ24,AW20:AW24))</f>
        <v>·</v>
      </c>
      <c r="BS20" s="32" t="str">
        <f>IF( OR(ISBLANK(S20:S24),ISBLANK(AQ20:AQ24), ISBLANK(Z20:Z24),ISBLANK(AX20:AX24)), "·", bdRateExtend( S20:S24,Z20:Z24, AQ20:AQ24,AX20:AX24))</f>
        <v>·</v>
      </c>
      <c r="BT20" s="32" t="str">
        <f>IF( OR(ISBLANK(S20:S24),ISBLANK(AQ20:AQ24), ISBLANK(AA20:AA24),ISBLANK(AY20:AY24)), "·", bdRateExtend( S20:S24,AA20:AA24, AQ20:AQ24,AY20:AY24))</f>
        <v>·</v>
      </c>
    </row>
    <row r="21" spans="1:72" outlineLevel="1" x14ac:dyDescent="0.2">
      <c r="A21" s="14"/>
      <c r="B21" s="14" t="s">
        <v>68</v>
      </c>
      <c r="C21" s="15" t="s">
        <v>231</v>
      </c>
      <c r="D21" s="14">
        <v>250602891</v>
      </c>
      <c r="E21" s="15">
        <v>10</v>
      </c>
      <c r="F21" s="15">
        <v>32</v>
      </c>
      <c r="G21" s="15">
        <v>50</v>
      </c>
      <c r="I21" s="16">
        <f t="shared" si="0"/>
        <v>7.5978374999999998</v>
      </c>
      <c r="J21" s="17">
        <f t="shared" si="1"/>
        <v>1.9403670806016359E-2</v>
      </c>
      <c r="K21" s="17">
        <f t="shared" si="2"/>
        <v>9.0571022183459169E-3</v>
      </c>
      <c r="L21" s="17">
        <f t="shared" si="3"/>
        <v>5.2271384211605128E-3</v>
      </c>
      <c r="M21" s="17">
        <f t="shared" si="4"/>
        <v>1.0346568587670442E-2</v>
      </c>
      <c r="N21" s="14">
        <f t="shared" si="5"/>
        <v>2269736</v>
      </c>
      <c r="O21" s="17">
        <v>32</v>
      </c>
      <c r="P21" s="18">
        <v>31470210</v>
      </c>
      <c r="Q21" s="18">
        <v>983444.0625</v>
      </c>
      <c r="R21" s="18">
        <v>32994.5</v>
      </c>
      <c r="S21" s="19">
        <v>4862616</v>
      </c>
      <c r="T21" s="19">
        <v>1309936</v>
      </c>
      <c r="U21" s="19">
        <v>959800</v>
      </c>
      <c r="V21" s="19">
        <v>2592880</v>
      </c>
      <c r="W21" s="20">
        <v>68.687640062499995</v>
      </c>
      <c r="X21" s="20">
        <v>70.768973674999998</v>
      </c>
      <c r="Y21" s="20">
        <v>32.499068346874999</v>
      </c>
      <c r="Z21" s="20">
        <v>40.637928271874998</v>
      </c>
      <c r="AA21" s="20">
        <v>39.554533024999998</v>
      </c>
      <c r="AB21" s="21">
        <v>3364.5720000000001</v>
      </c>
      <c r="AC21" s="21">
        <v>0</v>
      </c>
      <c r="AD21" s="21">
        <v>91.527000000000001</v>
      </c>
      <c r="AE21" s="21">
        <v>0</v>
      </c>
      <c r="AG21" s="16" t="str">
        <f t="shared" si="6"/>
        <v>·</v>
      </c>
      <c r="AH21" s="17" t="str">
        <f t="shared" si="7"/>
        <v>·</v>
      </c>
      <c r="AI21" s="17" t="str">
        <f t="shared" si="8"/>
        <v>·</v>
      </c>
      <c r="AJ21" s="17" t="str">
        <f t="shared" si="9"/>
        <v>·</v>
      </c>
      <c r="AK21" s="17" t="str">
        <f t="shared" si="10"/>
        <v>·</v>
      </c>
      <c r="AL21" s="14" t="str">
        <f t="shared" si="11"/>
        <v/>
      </c>
      <c r="AM21" s="17">
        <v>32</v>
      </c>
      <c r="AN21" s="18"/>
      <c r="AO21" s="18"/>
      <c r="AP21" s="18"/>
      <c r="AQ21" s="19"/>
      <c r="AR21" s="19"/>
      <c r="AS21" s="19"/>
      <c r="AT21" s="19"/>
      <c r="AU21" s="20"/>
      <c r="AV21" s="20"/>
      <c r="AW21" s="20"/>
      <c r="AX21" s="20"/>
      <c r="AY21" s="20"/>
      <c r="AZ21" s="21"/>
      <c r="BA21" s="21"/>
      <c r="BB21" s="21"/>
      <c r="BC21" s="21"/>
      <c r="BE21" s="22" t="e">
        <f t="shared" si="12"/>
        <v>#VALUE!</v>
      </c>
      <c r="BF21" s="23" t="e">
        <f t="shared" si="13"/>
        <v>#DIV/0!</v>
      </c>
      <c r="BG21" s="23" t="e">
        <f t="shared" si="14"/>
        <v>#VALUE!</v>
      </c>
      <c r="BH21" s="23"/>
      <c r="BJ21" s="22"/>
      <c r="BK21" s="22"/>
      <c r="BL21" s="22"/>
      <c r="BM21" s="22"/>
      <c r="BN21" s="22"/>
      <c r="BP21" s="22"/>
      <c r="BQ21" s="22"/>
      <c r="BR21" s="22"/>
      <c r="BS21" s="22"/>
      <c r="BT21" s="22"/>
    </row>
    <row r="22" spans="1:72" outlineLevel="1" x14ac:dyDescent="0.2">
      <c r="A22" s="24"/>
      <c r="B22" s="24" t="s">
        <v>68</v>
      </c>
      <c r="C22" s="25" t="s">
        <v>232</v>
      </c>
      <c r="D22" s="24">
        <v>250602891</v>
      </c>
      <c r="E22" s="25">
        <v>10</v>
      </c>
      <c r="F22" s="25">
        <v>32</v>
      </c>
      <c r="G22" s="25">
        <v>50</v>
      </c>
      <c r="I22" s="26">
        <f t="shared" si="0"/>
        <v>12.373100000000001</v>
      </c>
      <c r="J22" s="27">
        <f t="shared" si="1"/>
        <v>3.1598933150376145E-2</v>
      </c>
      <c r="K22" s="27">
        <f t="shared" si="2"/>
        <v>1.1303429057408599E-2</v>
      </c>
      <c r="L22" s="27">
        <f t="shared" si="3"/>
        <v>7.4734652602231949E-3</v>
      </c>
      <c r="M22" s="27">
        <f t="shared" si="4"/>
        <v>2.0295504092967546E-2</v>
      </c>
      <c r="N22" s="24">
        <f t="shared" si="5"/>
        <v>2832672</v>
      </c>
      <c r="O22" s="27">
        <v>32</v>
      </c>
      <c r="P22" s="28">
        <v>32774469</v>
      </c>
      <c r="Q22" s="28">
        <v>1024202.15625</v>
      </c>
      <c r="R22" s="28">
        <v>35190.1875</v>
      </c>
      <c r="S22" s="29">
        <v>7918784</v>
      </c>
      <c r="T22" s="29">
        <v>1872872</v>
      </c>
      <c r="U22" s="29">
        <v>959800</v>
      </c>
      <c r="V22" s="29">
        <v>5086112</v>
      </c>
      <c r="W22" s="30">
        <v>69.849544765624998</v>
      </c>
      <c r="X22" s="30">
        <v>72.244290903125005</v>
      </c>
      <c r="Y22" s="30">
        <v>34.215486071874999</v>
      </c>
      <c r="Z22" s="30">
        <v>41.679956196874997</v>
      </c>
      <c r="AA22" s="30">
        <v>40.578517334375</v>
      </c>
      <c r="AB22" s="31">
        <v>3429.7890000000002</v>
      </c>
      <c r="AC22" s="31">
        <v>0</v>
      </c>
      <c r="AD22" s="31">
        <v>94.820999999999998</v>
      </c>
      <c r="AE22" s="31">
        <v>0</v>
      </c>
      <c r="AG22" s="26" t="str">
        <f t="shared" si="6"/>
        <v>·</v>
      </c>
      <c r="AH22" s="27" t="str">
        <f t="shared" si="7"/>
        <v>·</v>
      </c>
      <c r="AI22" s="27" t="str">
        <f t="shared" si="8"/>
        <v>·</v>
      </c>
      <c r="AJ22" s="27" t="str">
        <f t="shared" si="9"/>
        <v>·</v>
      </c>
      <c r="AK22" s="27" t="str">
        <f t="shared" si="10"/>
        <v>·</v>
      </c>
      <c r="AL22" s="24" t="str">
        <f t="shared" si="11"/>
        <v/>
      </c>
      <c r="AM22" s="27">
        <v>32</v>
      </c>
      <c r="AN22" s="28"/>
      <c r="AO22" s="28"/>
      <c r="AP22" s="28"/>
      <c r="AQ22" s="29"/>
      <c r="AR22" s="29"/>
      <c r="AS22" s="29"/>
      <c r="AT22" s="29"/>
      <c r="AU22" s="30"/>
      <c r="AV22" s="30"/>
      <c r="AW22" s="30"/>
      <c r="AX22" s="30"/>
      <c r="AY22" s="30"/>
      <c r="AZ22" s="31"/>
      <c r="BA22" s="31"/>
      <c r="BB22" s="31"/>
      <c r="BC22" s="31"/>
      <c r="BE22" s="32" t="e">
        <f t="shared" si="12"/>
        <v>#VALUE!</v>
      </c>
      <c r="BF22" s="33" t="e">
        <f t="shared" si="13"/>
        <v>#DIV/0!</v>
      </c>
      <c r="BG22" s="33" t="e">
        <f t="shared" si="14"/>
        <v>#VALUE!</v>
      </c>
      <c r="BH22" s="33"/>
      <c r="BJ22" s="32"/>
      <c r="BK22" s="32"/>
      <c r="BL22" s="32"/>
      <c r="BM22" s="32"/>
      <c r="BN22" s="32"/>
      <c r="BP22" s="32"/>
      <c r="BQ22" s="32"/>
      <c r="BR22" s="32"/>
      <c r="BS22" s="32"/>
      <c r="BT22" s="32"/>
    </row>
    <row r="23" spans="1:72" outlineLevel="1" x14ac:dyDescent="0.2">
      <c r="A23" s="14"/>
      <c r="B23" s="14" t="s">
        <v>68</v>
      </c>
      <c r="C23" s="15" t="s">
        <v>233</v>
      </c>
      <c r="D23" s="14">
        <v>250602891</v>
      </c>
      <c r="E23" s="15">
        <v>10</v>
      </c>
      <c r="F23" s="15">
        <v>32</v>
      </c>
      <c r="G23" s="15">
        <v>50</v>
      </c>
      <c r="I23" s="16">
        <f t="shared" si="0"/>
        <v>22.020137500000001</v>
      </c>
      <c r="J23" s="17">
        <f t="shared" si="1"/>
        <v>5.6235935442580348E-2</v>
      </c>
      <c r="K23" s="17">
        <f t="shared" si="2"/>
        <v>1.5231843434719195E-2</v>
      </c>
      <c r="L23" s="17">
        <f t="shared" si="3"/>
        <v>1.140187963753379E-2</v>
      </c>
      <c r="M23" s="17">
        <f t="shared" si="4"/>
        <v>4.1004092007861155E-2</v>
      </c>
      <c r="N23" s="14">
        <f t="shared" si="5"/>
        <v>3817144</v>
      </c>
      <c r="O23" s="17">
        <v>32</v>
      </c>
      <c r="P23" s="18">
        <v>32769151</v>
      </c>
      <c r="Q23" s="18">
        <v>1024035.96875</v>
      </c>
      <c r="R23" s="18">
        <v>36890.875</v>
      </c>
      <c r="S23" s="19">
        <v>14092888</v>
      </c>
      <c r="T23" s="19">
        <v>2857344</v>
      </c>
      <c r="U23" s="19">
        <v>959800</v>
      </c>
      <c r="V23" s="19">
        <v>10275744</v>
      </c>
      <c r="W23" s="20">
        <v>70.891784906249995</v>
      </c>
      <c r="X23" s="20">
        <v>73.621357665624998</v>
      </c>
      <c r="Y23" s="20">
        <v>35.690496453125</v>
      </c>
      <c r="Z23" s="20">
        <v>42.822531959374999</v>
      </c>
      <c r="AA23" s="20">
        <v>41.617901984375003</v>
      </c>
      <c r="AB23" s="21">
        <v>3705.0639999999999</v>
      </c>
      <c r="AC23" s="21">
        <v>0</v>
      </c>
      <c r="AD23" s="21">
        <v>96.522000000000006</v>
      </c>
      <c r="AE23" s="21">
        <v>0</v>
      </c>
      <c r="AG23" s="16" t="str">
        <f t="shared" si="6"/>
        <v>·</v>
      </c>
      <c r="AH23" s="17" t="str">
        <f t="shared" si="7"/>
        <v>·</v>
      </c>
      <c r="AI23" s="17" t="str">
        <f t="shared" si="8"/>
        <v>·</v>
      </c>
      <c r="AJ23" s="17" t="str">
        <f t="shared" si="9"/>
        <v>·</v>
      </c>
      <c r="AK23" s="17" t="str">
        <f t="shared" si="10"/>
        <v>·</v>
      </c>
      <c r="AL23" s="14" t="str">
        <f t="shared" si="11"/>
        <v/>
      </c>
      <c r="AM23" s="17">
        <v>32</v>
      </c>
      <c r="AN23" s="18"/>
      <c r="AO23" s="18"/>
      <c r="AP23" s="18"/>
      <c r="AQ23" s="19"/>
      <c r="AR23" s="19"/>
      <c r="AS23" s="19"/>
      <c r="AT23" s="19"/>
      <c r="AU23" s="20"/>
      <c r="AV23" s="20"/>
      <c r="AW23" s="20"/>
      <c r="AX23" s="20"/>
      <c r="AY23" s="20"/>
      <c r="AZ23" s="21"/>
      <c r="BA23" s="21"/>
      <c r="BB23" s="21"/>
      <c r="BC23" s="21"/>
      <c r="BE23" s="22" t="e">
        <f t="shared" si="12"/>
        <v>#VALUE!</v>
      </c>
      <c r="BF23" s="23" t="e">
        <f t="shared" si="13"/>
        <v>#DIV/0!</v>
      </c>
      <c r="BG23" s="23" t="e">
        <f t="shared" si="14"/>
        <v>#VALUE!</v>
      </c>
      <c r="BH23" s="23"/>
      <c r="BJ23" s="22"/>
      <c r="BK23" s="22"/>
      <c r="BL23" s="22"/>
      <c r="BM23" s="22"/>
      <c r="BN23" s="22"/>
      <c r="BP23" s="22"/>
      <c r="BQ23" s="22"/>
      <c r="BR23" s="22"/>
      <c r="BS23" s="22"/>
      <c r="BT23" s="22"/>
    </row>
    <row r="24" spans="1:72" outlineLevel="1" x14ac:dyDescent="0.2">
      <c r="A24" s="44"/>
      <c r="B24" s="44" t="s">
        <v>68</v>
      </c>
      <c r="C24" s="45" t="s">
        <v>234</v>
      </c>
      <c r="D24" s="44">
        <v>250602891</v>
      </c>
      <c r="E24" s="45">
        <v>10</v>
      </c>
      <c r="F24" s="45">
        <v>32</v>
      </c>
      <c r="G24" s="45">
        <v>50</v>
      </c>
      <c r="I24" s="46">
        <f t="shared" si="0"/>
        <v>38.642400000000002</v>
      </c>
      <c r="J24" s="47">
        <f t="shared" si="1"/>
        <v>9.8686555056541628E-2</v>
      </c>
      <c r="K24" s="47">
        <f t="shared" si="2"/>
        <v>2.5319101366631881E-2</v>
      </c>
      <c r="L24" s="47">
        <f t="shared" si="3"/>
        <v>1.7958835119743291E-2</v>
      </c>
      <c r="M24" s="47">
        <f t="shared" si="4"/>
        <v>7.336745368990974E-2</v>
      </c>
      <c r="N24" s="44">
        <f t="shared" si="5"/>
        <v>6345040</v>
      </c>
      <c r="O24" s="47">
        <v>32</v>
      </c>
      <c r="P24" s="48">
        <v>31405837</v>
      </c>
      <c r="Q24" s="48">
        <v>981432.40625</v>
      </c>
      <c r="R24" s="48">
        <v>18371.09375</v>
      </c>
      <c r="S24" s="49">
        <v>24731136</v>
      </c>
      <c r="T24" s="49">
        <v>4500536</v>
      </c>
      <c r="U24" s="49">
        <v>1844504</v>
      </c>
      <c r="V24" s="49">
        <v>18386096</v>
      </c>
      <c r="W24" s="50">
        <v>71.729635503124996</v>
      </c>
      <c r="X24" s="50">
        <v>75.643159181249999</v>
      </c>
      <c r="Y24" s="50">
        <v>36.543592668750001</v>
      </c>
      <c r="Z24" s="50">
        <v>43.589963278124998</v>
      </c>
      <c r="AA24" s="50">
        <v>42.051623921874999</v>
      </c>
      <c r="AB24" s="51">
        <v>3938.9340000000002</v>
      </c>
      <c r="AC24" s="51">
        <v>0</v>
      </c>
      <c r="AD24" s="51">
        <v>92.846999999999994</v>
      </c>
      <c r="AE24" s="51">
        <v>0</v>
      </c>
      <c r="AG24" s="46" t="str">
        <f t="shared" si="6"/>
        <v>·</v>
      </c>
      <c r="AH24" s="47" t="str">
        <f t="shared" si="7"/>
        <v>·</v>
      </c>
      <c r="AI24" s="47" t="str">
        <f t="shared" si="8"/>
        <v>·</v>
      </c>
      <c r="AJ24" s="47" t="str">
        <f t="shared" si="9"/>
        <v>·</v>
      </c>
      <c r="AK24" s="47" t="str">
        <f t="shared" si="10"/>
        <v>·</v>
      </c>
      <c r="AL24" s="44" t="str">
        <f t="shared" si="11"/>
        <v/>
      </c>
      <c r="AM24" s="47">
        <v>32</v>
      </c>
      <c r="AN24" s="48"/>
      <c r="AO24" s="48"/>
      <c r="AP24" s="48"/>
      <c r="AQ24" s="49"/>
      <c r="AR24" s="49"/>
      <c r="AS24" s="49"/>
      <c r="AT24" s="49"/>
      <c r="AU24" s="50"/>
      <c r="AV24" s="50"/>
      <c r="AW24" s="50"/>
      <c r="AX24" s="50"/>
      <c r="AY24" s="50"/>
      <c r="AZ24" s="51"/>
      <c r="BA24" s="51"/>
      <c r="BB24" s="51"/>
      <c r="BC24" s="51"/>
      <c r="BE24" s="52" t="e">
        <f t="shared" si="12"/>
        <v>#VALUE!</v>
      </c>
      <c r="BF24" s="53" t="e">
        <f t="shared" si="13"/>
        <v>#DIV/0!</v>
      </c>
      <c r="BG24" s="53" t="e">
        <f t="shared" si="14"/>
        <v>#VALUE!</v>
      </c>
      <c r="BH24" s="53"/>
      <c r="BJ24" s="52"/>
      <c r="BK24" s="52"/>
      <c r="BL24" s="52"/>
      <c r="BM24" s="52"/>
      <c r="BN24" s="52"/>
      <c r="BP24" s="52"/>
      <c r="BQ24" s="52"/>
      <c r="BR24" s="52"/>
      <c r="BS24" s="52"/>
      <c r="BT24" s="52"/>
    </row>
    <row r="25" spans="1:72" x14ac:dyDescent="0.2">
      <c r="A25" s="14" t="s">
        <v>235</v>
      </c>
      <c r="B25" s="14" t="s">
        <v>71</v>
      </c>
      <c r="C25" s="15" t="s">
        <v>230</v>
      </c>
      <c r="D25" s="14">
        <v>250294582</v>
      </c>
      <c r="E25" s="15">
        <v>10</v>
      </c>
      <c r="F25" s="15">
        <v>32</v>
      </c>
      <c r="G25" s="15">
        <v>30</v>
      </c>
      <c r="I25" s="16">
        <f t="shared" si="0"/>
        <v>4.3670249999999999</v>
      </c>
      <c r="J25" s="17">
        <f t="shared" si="1"/>
        <v>1.8610710478743003E-2</v>
      </c>
      <c r="K25" s="17">
        <f t="shared" si="2"/>
        <v>6.4758892783384342E-3</v>
      </c>
      <c r="L25" s="17">
        <f t="shared" si="3"/>
        <v>3.6966041877806209E-3</v>
      </c>
      <c r="M25" s="17">
        <f t="shared" si="4"/>
        <v>1.213482120040457E-2</v>
      </c>
      <c r="N25" s="14">
        <f t="shared" si="5"/>
        <v>1620880</v>
      </c>
      <c r="O25" s="17">
        <v>32</v>
      </c>
      <c r="P25" s="18">
        <v>23148086</v>
      </c>
      <c r="Q25" s="18">
        <v>723377.6875</v>
      </c>
      <c r="R25" s="18">
        <v>13979.90625</v>
      </c>
      <c r="S25" s="19">
        <v>4658160</v>
      </c>
      <c r="T25" s="19">
        <v>925240</v>
      </c>
      <c r="U25" s="19">
        <v>695640</v>
      </c>
      <c r="V25" s="19">
        <v>3037280</v>
      </c>
      <c r="W25" s="20">
        <v>66.202725162500002</v>
      </c>
      <c r="X25" s="20">
        <v>67.991675381250005</v>
      </c>
      <c r="Y25" s="20">
        <v>27.334187671875</v>
      </c>
      <c r="Z25" s="20">
        <v>33.179348574999999</v>
      </c>
      <c r="AA25" s="20">
        <v>32.601886459375002</v>
      </c>
      <c r="AB25" s="21">
        <v>2437.8449999999998</v>
      </c>
      <c r="AC25" s="21">
        <v>0</v>
      </c>
      <c r="AD25" s="21">
        <v>74.567999999999998</v>
      </c>
      <c r="AE25" s="21">
        <v>0</v>
      </c>
      <c r="AG25" s="16" t="str">
        <f t="shared" si="6"/>
        <v>·</v>
      </c>
      <c r="AH25" s="17" t="str">
        <f t="shared" si="7"/>
        <v>·</v>
      </c>
      <c r="AI25" s="17" t="str">
        <f t="shared" si="8"/>
        <v>·</v>
      </c>
      <c r="AJ25" s="17" t="str">
        <f t="shared" si="9"/>
        <v>·</v>
      </c>
      <c r="AK25" s="17" t="str">
        <f t="shared" si="10"/>
        <v>·</v>
      </c>
      <c r="AL25" s="14" t="str">
        <f t="shared" si="11"/>
        <v/>
      </c>
      <c r="AM25" s="17">
        <v>32</v>
      </c>
      <c r="AN25" s="18"/>
      <c r="AO25" s="18"/>
      <c r="AP25" s="18"/>
      <c r="AQ25" s="19"/>
      <c r="AR25" s="19"/>
      <c r="AS25" s="19"/>
      <c r="AT25" s="19"/>
      <c r="AU25" s="20"/>
      <c r="AV25" s="20"/>
      <c r="AW25" s="20"/>
      <c r="AX25" s="20"/>
      <c r="AY25" s="20"/>
      <c r="AZ25" s="21"/>
      <c r="BA25" s="21"/>
      <c r="BB25" s="21"/>
      <c r="BC25" s="21"/>
      <c r="BE25" s="22" t="e">
        <f t="shared" si="12"/>
        <v>#VALUE!</v>
      </c>
      <c r="BF25" s="23" t="e">
        <f t="shared" si="13"/>
        <v>#DIV/0!</v>
      </c>
      <c r="BG25" s="23" t="e">
        <f t="shared" si="14"/>
        <v>#VALUE!</v>
      </c>
      <c r="BH25" s="23" t="e">
        <f t="array" ref="BH25">AVERAGE(AL25:AL29/AQ25:AQ29) - AVERAGE(N25:N29/S25:S29)</f>
        <v>#VALUE!</v>
      </c>
      <c r="BJ25" s="22" t="str">
        <f>IF( OR(ISBLANK(N25:N29),ISBLANK(AL25:AL29), ISBLANK(W25:W29),ISBLANK(AU25:AU29)), "·", bdRateExtend( N25:N29,W25:W29, AL25:AL29,AU25:AU29))</f>
        <v>·</v>
      </c>
      <c r="BK25" s="22" t="str">
        <f>IF( OR(ISBLANK(N25:N29),ISBLANK(AL25:AL29), ISBLANK(X25:X29),ISBLANK(AV25:AV29)), "·", bdRateExtend( N25:N29,X25:X29, AL25:AL29,AV25:AV29))</f>
        <v>·</v>
      </c>
      <c r="BL25" s="22" t="str">
        <f>IF( OR(ISBLANK(V25:V29),ISBLANK(AT25:AT29), ISBLANK(Y25:Y29),ISBLANK(AW25:AW29)), "·", bdRateExtend( V25:V29,Y25:Y29, AT25:AT29,AW25:AW29))</f>
        <v>·</v>
      </c>
      <c r="BM25" s="22" t="str">
        <f>IF( OR(ISBLANK(V25:V29),ISBLANK(AT25:AT29), ISBLANK(Z25:Z29),ISBLANK(AX25:AX29)), "·", bdRateExtend( V25:V29,Z25:Z29, AT25:AT29,AX25:AX29))</f>
        <v>·</v>
      </c>
      <c r="BN25" s="22" t="str">
        <f>IF( OR(ISBLANK(V25:V29),ISBLANK(AT25:AT29), ISBLANK(AA25:AA29),ISBLANK(AY25:AY29)), "·", bdRateExtend( V25:V29,AA25:AA29, AT25:AT29,AY25:AY29))</f>
        <v>·</v>
      </c>
      <c r="BP25" s="22" t="str">
        <f>IF( OR(ISBLANK(S25:S29),ISBLANK(AQ25:AQ29), ISBLANK(W25:W29),ISBLANK(AU25:AU29)), "·", bdRateExtend( S25:S29,W25:W29, AQ25:AQ29,AU25:AU29))</f>
        <v>·</v>
      </c>
      <c r="BQ25" s="22" t="str">
        <f>IF( OR(ISBLANK(S25:S29),ISBLANK(AQ25:AQ29), ISBLANK(X25:X29),ISBLANK(AV25:AV29)), "·", bdRateExtend( S25:S29,X25:X29, AQ25:AQ29,AV25:AV29))</f>
        <v>·</v>
      </c>
      <c r="BR25" s="22" t="str">
        <f>IF( OR(ISBLANK(S25:S29),ISBLANK(AQ25:AQ29), ISBLANK(Y25:Y29),ISBLANK(AW25:AW29)), "·", bdRateExtend( S25:S29,Y25:Y29, AQ25:AQ29,AW25:AW29))</f>
        <v>·</v>
      </c>
      <c r="BS25" s="22" t="str">
        <f>IF( OR(ISBLANK(S25:S29),ISBLANK(AQ25:AQ29), ISBLANK(Z25:Z29),ISBLANK(AX25:AX29)), "·", bdRateExtend( S25:S29,Z25:Z29, AQ25:AQ29,AX25:AX29))</f>
        <v>·</v>
      </c>
      <c r="BT25" s="22" t="str">
        <f>IF( OR(ISBLANK(S25:S29),ISBLANK(AQ25:AQ29), ISBLANK(AA25:AA29),ISBLANK(AY25:AY29)), "·", bdRateExtend( S25:S29,AA25:AA29, AQ25:AQ29,AY25:AY29))</f>
        <v>·</v>
      </c>
    </row>
    <row r="26" spans="1:72" outlineLevel="1" x14ac:dyDescent="0.2">
      <c r="A26" s="24"/>
      <c r="B26" s="24" t="s">
        <v>71</v>
      </c>
      <c r="C26" s="25" t="s">
        <v>231</v>
      </c>
      <c r="D26" s="24">
        <v>250294582</v>
      </c>
      <c r="E26" s="25">
        <v>10</v>
      </c>
      <c r="F26" s="25">
        <v>32</v>
      </c>
      <c r="G26" s="25">
        <v>30</v>
      </c>
      <c r="I26" s="26">
        <f t="shared" si="0"/>
        <v>7.4978325000000003</v>
      </c>
      <c r="J26" s="27">
        <f t="shared" si="1"/>
        <v>3.1953100766679801E-2</v>
      </c>
      <c r="K26" s="27">
        <f t="shared" si="2"/>
        <v>8.009090664215816E-3</v>
      </c>
      <c r="L26" s="27">
        <f t="shared" si="3"/>
        <v>5.2298055736580027E-3</v>
      </c>
      <c r="M26" s="27">
        <f t="shared" si="4"/>
        <v>2.3944010102463983E-2</v>
      </c>
      <c r="N26" s="24">
        <f t="shared" si="5"/>
        <v>2004632</v>
      </c>
      <c r="O26" s="27">
        <v>32</v>
      </c>
      <c r="P26" s="28">
        <v>24596617</v>
      </c>
      <c r="Q26" s="28">
        <v>768644.28125</v>
      </c>
      <c r="R26" s="28">
        <v>17690.84375</v>
      </c>
      <c r="S26" s="29">
        <v>7997688</v>
      </c>
      <c r="T26" s="29">
        <v>1308992</v>
      </c>
      <c r="U26" s="29">
        <v>695640</v>
      </c>
      <c r="V26" s="29">
        <v>5993056</v>
      </c>
      <c r="W26" s="30">
        <v>67.955110859374997</v>
      </c>
      <c r="X26" s="30">
        <v>69.951068568750003</v>
      </c>
      <c r="Y26" s="30">
        <v>29.714657956250001</v>
      </c>
      <c r="Z26" s="30">
        <v>34.343316296875003</v>
      </c>
      <c r="AA26" s="30">
        <v>33.888883325000002</v>
      </c>
      <c r="AB26" s="31">
        <v>2533.2849999999999</v>
      </c>
      <c r="AC26" s="31">
        <v>0</v>
      </c>
      <c r="AD26" s="31">
        <v>77.971000000000004</v>
      </c>
      <c r="AE26" s="31">
        <v>0</v>
      </c>
      <c r="AG26" s="26" t="str">
        <f t="shared" si="6"/>
        <v>·</v>
      </c>
      <c r="AH26" s="27" t="str">
        <f t="shared" si="7"/>
        <v>·</v>
      </c>
      <c r="AI26" s="27" t="str">
        <f t="shared" si="8"/>
        <v>·</v>
      </c>
      <c r="AJ26" s="27" t="str">
        <f t="shared" si="9"/>
        <v>·</v>
      </c>
      <c r="AK26" s="27" t="str">
        <f t="shared" si="10"/>
        <v>·</v>
      </c>
      <c r="AL26" s="24" t="str">
        <f t="shared" si="11"/>
        <v/>
      </c>
      <c r="AM26" s="27">
        <v>32</v>
      </c>
      <c r="AN26" s="28"/>
      <c r="AO26" s="28"/>
      <c r="AP26" s="28"/>
      <c r="AQ26" s="29"/>
      <c r="AR26" s="29"/>
      <c r="AS26" s="29"/>
      <c r="AT26" s="29"/>
      <c r="AU26" s="30"/>
      <c r="AV26" s="30"/>
      <c r="AW26" s="30"/>
      <c r="AX26" s="30"/>
      <c r="AY26" s="30"/>
      <c r="AZ26" s="31"/>
      <c r="BA26" s="31"/>
      <c r="BB26" s="31"/>
      <c r="BC26" s="31"/>
      <c r="BE26" s="32" t="e">
        <f t="shared" si="12"/>
        <v>#VALUE!</v>
      </c>
      <c r="BF26" s="33" t="e">
        <f t="shared" si="13"/>
        <v>#DIV/0!</v>
      </c>
      <c r="BG26" s="33" t="e">
        <f t="shared" si="14"/>
        <v>#VALUE!</v>
      </c>
      <c r="BH26" s="33"/>
      <c r="BJ26" s="32"/>
      <c r="BK26" s="32"/>
      <c r="BL26" s="32"/>
      <c r="BM26" s="32"/>
      <c r="BN26" s="32"/>
      <c r="BP26" s="32"/>
      <c r="BQ26" s="32"/>
      <c r="BR26" s="32"/>
      <c r="BS26" s="32"/>
      <c r="BT26" s="32"/>
    </row>
    <row r="27" spans="1:72" outlineLevel="1" x14ac:dyDescent="0.2">
      <c r="A27" s="14"/>
      <c r="B27" s="14" t="s">
        <v>71</v>
      </c>
      <c r="C27" s="15" t="s">
        <v>232</v>
      </c>
      <c r="D27" s="14">
        <v>250294582</v>
      </c>
      <c r="E27" s="15">
        <v>10</v>
      </c>
      <c r="F27" s="15">
        <v>32</v>
      </c>
      <c r="G27" s="15">
        <v>30</v>
      </c>
      <c r="I27" s="16">
        <f t="shared" si="0"/>
        <v>13.190032499999999</v>
      </c>
      <c r="J27" s="17">
        <f t="shared" si="1"/>
        <v>5.62112367258513E-2</v>
      </c>
      <c r="K27" s="17">
        <f t="shared" si="2"/>
        <v>1.0314566058006002E-2</v>
      </c>
      <c r="L27" s="17">
        <f t="shared" si="3"/>
        <v>7.5352809674481885E-3</v>
      </c>
      <c r="M27" s="17">
        <f t="shared" si="4"/>
        <v>4.58966706678453E-2</v>
      </c>
      <c r="N27" s="14">
        <f t="shared" si="5"/>
        <v>2581680</v>
      </c>
      <c r="O27" s="17">
        <v>32</v>
      </c>
      <c r="P27" s="18">
        <v>24867879</v>
      </c>
      <c r="Q27" s="18">
        <v>777121.21875</v>
      </c>
      <c r="R27" s="18">
        <v>18587.625</v>
      </c>
      <c r="S27" s="19">
        <v>14069368</v>
      </c>
      <c r="T27" s="19">
        <v>1886040</v>
      </c>
      <c r="U27" s="19">
        <v>695640</v>
      </c>
      <c r="V27" s="19">
        <v>11487688</v>
      </c>
      <c r="W27" s="20">
        <v>69.271960462500004</v>
      </c>
      <c r="X27" s="20">
        <v>71.647041268750002</v>
      </c>
      <c r="Y27" s="20">
        <v>32.215471743750001</v>
      </c>
      <c r="Z27" s="20">
        <v>35.579526568749998</v>
      </c>
      <c r="AA27" s="20">
        <v>35.20747386875</v>
      </c>
      <c r="AB27" s="21">
        <v>2674.0659999999998</v>
      </c>
      <c r="AC27" s="21">
        <v>0</v>
      </c>
      <c r="AD27" s="21">
        <v>80.625</v>
      </c>
      <c r="AE27" s="21">
        <v>0</v>
      </c>
      <c r="AG27" s="16" t="str">
        <f t="shared" si="6"/>
        <v>·</v>
      </c>
      <c r="AH27" s="17" t="str">
        <f t="shared" si="7"/>
        <v>·</v>
      </c>
      <c r="AI27" s="17" t="str">
        <f t="shared" si="8"/>
        <v>·</v>
      </c>
      <c r="AJ27" s="17" t="str">
        <f t="shared" si="9"/>
        <v>·</v>
      </c>
      <c r="AK27" s="17" t="str">
        <f t="shared" si="10"/>
        <v>·</v>
      </c>
      <c r="AL27" s="14" t="str">
        <f t="shared" si="11"/>
        <v/>
      </c>
      <c r="AM27" s="17">
        <v>32</v>
      </c>
      <c r="AN27" s="18"/>
      <c r="AO27" s="18"/>
      <c r="AP27" s="18"/>
      <c r="AQ27" s="19"/>
      <c r="AR27" s="19"/>
      <c r="AS27" s="19"/>
      <c r="AT27" s="19"/>
      <c r="AU27" s="20"/>
      <c r="AV27" s="20"/>
      <c r="AW27" s="20"/>
      <c r="AX27" s="20"/>
      <c r="AY27" s="20"/>
      <c r="AZ27" s="21"/>
      <c r="BA27" s="21"/>
      <c r="BB27" s="21"/>
      <c r="BC27" s="21"/>
      <c r="BE27" s="22" t="e">
        <f t="shared" si="12"/>
        <v>#VALUE!</v>
      </c>
      <c r="BF27" s="23" t="e">
        <f t="shared" si="13"/>
        <v>#DIV/0!</v>
      </c>
      <c r="BG27" s="23" t="e">
        <f t="shared" si="14"/>
        <v>#VALUE!</v>
      </c>
      <c r="BH27" s="23"/>
      <c r="BJ27" s="22"/>
      <c r="BK27" s="22"/>
      <c r="BL27" s="22"/>
      <c r="BM27" s="22"/>
      <c r="BN27" s="22"/>
      <c r="BP27" s="22"/>
      <c r="BQ27" s="22"/>
      <c r="BR27" s="22"/>
      <c r="BS27" s="22"/>
      <c r="BT27" s="22"/>
    </row>
    <row r="28" spans="1:72" outlineLevel="1" x14ac:dyDescent="0.2">
      <c r="A28" s="24"/>
      <c r="B28" s="24" t="s">
        <v>71</v>
      </c>
      <c r="C28" s="25" t="s">
        <v>233</v>
      </c>
      <c r="D28" s="24">
        <v>250294582</v>
      </c>
      <c r="E28" s="25">
        <v>10</v>
      </c>
      <c r="F28" s="25">
        <v>32</v>
      </c>
      <c r="G28" s="25">
        <v>30</v>
      </c>
      <c r="I28" s="26">
        <f t="shared" si="0"/>
        <v>24.464557500000002</v>
      </c>
      <c r="J28" s="27">
        <f t="shared" si="1"/>
        <v>0.10425926039421821</v>
      </c>
      <c r="K28" s="27">
        <f t="shared" si="2"/>
        <v>1.4164877128662738E-2</v>
      </c>
      <c r="L28" s="27">
        <f t="shared" si="3"/>
        <v>1.1385592038104924E-2</v>
      </c>
      <c r="M28" s="27">
        <f t="shared" si="4"/>
        <v>9.0094383265555467E-2</v>
      </c>
      <c r="N28" s="24">
        <f t="shared" si="5"/>
        <v>3545392</v>
      </c>
      <c r="O28" s="27">
        <v>32</v>
      </c>
      <c r="P28" s="28">
        <v>25503045</v>
      </c>
      <c r="Q28" s="28">
        <v>796970.15625</v>
      </c>
      <c r="R28" s="28">
        <v>20905.71875</v>
      </c>
      <c r="S28" s="29">
        <v>26095528</v>
      </c>
      <c r="T28" s="29">
        <v>2849752</v>
      </c>
      <c r="U28" s="29">
        <v>695640</v>
      </c>
      <c r="V28" s="29">
        <v>22550136</v>
      </c>
      <c r="W28" s="30">
        <v>70.438779784375001</v>
      </c>
      <c r="X28" s="30">
        <v>72.973008415625003</v>
      </c>
      <c r="Y28" s="30">
        <v>34.905468981250003</v>
      </c>
      <c r="Z28" s="30">
        <v>37.372970837499999</v>
      </c>
      <c r="AA28" s="30">
        <v>36.936046025000003</v>
      </c>
      <c r="AB28" s="31">
        <v>2925.8020000000001</v>
      </c>
      <c r="AC28" s="31">
        <v>0</v>
      </c>
      <c r="AD28" s="31">
        <v>83.953999999999994</v>
      </c>
      <c r="AE28" s="31">
        <v>0</v>
      </c>
      <c r="AG28" s="26" t="str">
        <f t="shared" si="6"/>
        <v>·</v>
      </c>
      <c r="AH28" s="27" t="str">
        <f t="shared" si="7"/>
        <v>·</v>
      </c>
      <c r="AI28" s="27" t="str">
        <f t="shared" si="8"/>
        <v>·</v>
      </c>
      <c r="AJ28" s="27" t="str">
        <f t="shared" si="9"/>
        <v>·</v>
      </c>
      <c r="AK28" s="27" t="str">
        <f t="shared" si="10"/>
        <v>·</v>
      </c>
      <c r="AL28" s="24" t="str">
        <f t="shared" si="11"/>
        <v/>
      </c>
      <c r="AM28" s="27">
        <v>32</v>
      </c>
      <c r="AN28" s="28"/>
      <c r="AO28" s="28"/>
      <c r="AP28" s="28"/>
      <c r="AQ28" s="29"/>
      <c r="AR28" s="29"/>
      <c r="AS28" s="29"/>
      <c r="AT28" s="29"/>
      <c r="AU28" s="30"/>
      <c r="AV28" s="30"/>
      <c r="AW28" s="30"/>
      <c r="AX28" s="30"/>
      <c r="AY28" s="30"/>
      <c r="AZ28" s="31"/>
      <c r="BA28" s="31"/>
      <c r="BB28" s="31"/>
      <c r="BC28" s="31"/>
      <c r="BE28" s="32" t="e">
        <f t="shared" si="12"/>
        <v>#VALUE!</v>
      </c>
      <c r="BF28" s="33" t="e">
        <f t="shared" si="13"/>
        <v>#DIV/0!</v>
      </c>
      <c r="BG28" s="33" t="e">
        <f t="shared" si="14"/>
        <v>#VALUE!</v>
      </c>
      <c r="BH28" s="33"/>
      <c r="BJ28" s="32"/>
      <c r="BK28" s="32"/>
      <c r="BL28" s="32"/>
      <c r="BM28" s="32"/>
      <c r="BN28" s="32"/>
      <c r="BP28" s="32"/>
      <c r="BQ28" s="32"/>
      <c r="BR28" s="32"/>
      <c r="BS28" s="32"/>
      <c r="BT28" s="32"/>
    </row>
    <row r="29" spans="1:72" outlineLevel="1" x14ac:dyDescent="0.2">
      <c r="A29" s="34"/>
      <c r="B29" s="34" t="s">
        <v>71</v>
      </c>
      <c r="C29" s="35" t="s">
        <v>234</v>
      </c>
      <c r="D29" s="34">
        <v>250294582</v>
      </c>
      <c r="E29" s="35">
        <v>10</v>
      </c>
      <c r="F29" s="35">
        <v>32</v>
      </c>
      <c r="G29" s="35">
        <v>30</v>
      </c>
      <c r="I29" s="36">
        <f t="shared" si="0"/>
        <v>44.162280000000003</v>
      </c>
      <c r="J29" s="37">
        <f t="shared" si="1"/>
        <v>0.18820396200186226</v>
      </c>
      <c r="K29" s="37">
        <f t="shared" si="2"/>
        <v>2.2882636748405526E-2</v>
      </c>
      <c r="L29" s="37">
        <f t="shared" si="3"/>
        <v>1.7621859669339546E-2</v>
      </c>
      <c r="M29" s="37">
        <f t="shared" si="4"/>
        <v>0.16532132525345675</v>
      </c>
      <c r="N29" s="34">
        <f t="shared" si="5"/>
        <v>5727400</v>
      </c>
      <c r="O29" s="37">
        <v>32</v>
      </c>
      <c r="P29" s="38">
        <v>24554524</v>
      </c>
      <c r="Q29" s="38">
        <v>767328.875</v>
      </c>
      <c r="R29" s="38">
        <v>9745.3125</v>
      </c>
      <c r="S29" s="39">
        <v>47106432</v>
      </c>
      <c r="T29" s="39">
        <v>4410656</v>
      </c>
      <c r="U29" s="39">
        <v>1316744</v>
      </c>
      <c r="V29" s="39">
        <v>41379032</v>
      </c>
      <c r="W29" s="40">
        <v>71.141526059374996</v>
      </c>
      <c r="X29" s="40">
        <v>74.899948771875003</v>
      </c>
      <c r="Y29" s="40">
        <v>37.334450906249998</v>
      </c>
      <c r="Z29" s="40">
        <v>39.404757171874998</v>
      </c>
      <c r="AA29" s="40">
        <v>38.757557856250003</v>
      </c>
      <c r="AB29" s="41">
        <v>3334.8560000000002</v>
      </c>
      <c r="AC29" s="41">
        <v>0</v>
      </c>
      <c r="AD29" s="41">
        <v>92.268000000000001</v>
      </c>
      <c r="AE29" s="41">
        <v>0</v>
      </c>
      <c r="AG29" s="36" t="str">
        <f t="shared" si="6"/>
        <v>·</v>
      </c>
      <c r="AH29" s="37" t="str">
        <f t="shared" si="7"/>
        <v>·</v>
      </c>
      <c r="AI29" s="37" t="str">
        <f t="shared" si="8"/>
        <v>·</v>
      </c>
      <c r="AJ29" s="37" t="str">
        <f t="shared" si="9"/>
        <v>·</v>
      </c>
      <c r="AK29" s="37" t="str">
        <f t="shared" si="10"/>
        <v>·</v>
      </c>
      <c r="AL29" s="34" t="str">
        <f t="shared" si="11"/>
        <v/>
      </c>
      <c r="AM29" s="37">
        <v>32</v>
      </c>
      <c r="AN29" s="38"/>
      <c r="AO29" s="38"/>
      <c r="AP29" s="38"/>
      <c r="AQ29" s="39"/>
      <c r="AR29" s="39"/>
      <c r="AS29" s="39"/>
      <c r="AT29" s="39"/>
      <c r="AU29" s="40"/>
      <c r="AV29" s="40"/>
      <c r="AW29" s="40"/>
      <c r="AX29" s="40"/>
      <c r="AY29" s="40"/>
      <c r="AZ29" s="41"/>
      <c r="BA29" s="41"/>
      <c r="BB29" s="41"/>
      <c r="BC29" s="41"/>
      <c r="BE29" s="42" t="e">
        <f t="shared" si="12"/>
        <v>#VALUE!</v>
      </c>
      <c r="BF29" s="43" t="e">
        <f t="shared" si="13"/>
        <v>#DIV/0!</v>
      </c>
      <c r="BG29" s="43" t="e">
        <f t="shared" si="14"/>
        <v>#VALUE!</v>
      </c>
      <c r="BH29" s="43"/>
      <c r="BJ29" s="42"/>
      <c r="BK29" s="42"/>
      <c r="BL29" s="42"/>
      <c r="BM29" s="42"/>
      <c r="BN29" s="42"/>
      <c r="BP29" s="42"/>
      <c r="BQ29" s="42"/>
      <c r="BR29" s="42"/>
      <c r="BS29" s="42"/>
      <c r="BT29" s="42"/>
    </row>
    <row r="30" spans="1:72" x14ac:dyDescent="0.2">
      <c r="A30" s="24" t="s">
        <v>236</v>
      </c>
      <c r="B30" s="24" t="s">
        <v>75</v>
      </c>
      <c r="C30" s="25" t="s">
        <v>230</v>
      </c>
      <c r="D30" s="24">
        <v>375422539</v>
      </c>
      <c r="E30" s="25">
        <v>11</v>
      </c>
      <c r="F30" s="25">
        <v>32</v>
      </c>
      <c r="G30" s="25">
        <v>30</v>
      </c>
      <c r="I30" s="26">
        <f t="shared" si="0"/>
        <v>5.7142125000000004</v>
      </c>
      <c r="J30" s="27">
        <f t="shared" si="1"/>
        <v>1.6235466352754063E-2</v>
      </c>
      <c r="K30" s="27">
        <f t="shared" si="2"/>
        <v>9.8745056966332012E-3</v>
      </c>
      <c r="L30" s="27">
        <f t="shared" si="3"/>
        <v>6.1517883453449237E-3</v>
      </c>
      <c r="M30" s="27">
        <f t="shared" si="4"/>
        <v>6.3609606561208622E-3</v>
      </c>
      <c r="N30" s="24">
        <f t="shared" si="5"/>
        <v>3707112</v>
      </c>
      <c r="O30" s="27">
        <v>32</v>
      </c>
      <c r="P30" s="28">
        <v>84256321</v>
      </c>
      <c r="Q30" s="28">
        <v>2633010.03125</v>
      </c>
      <c r="R30" s="28">
        <v>31474.3125</v>
      </c>
      <c r="S30" s="29">
        <v>6095160</v>
      </c>
      <c r="T30" s="29">
        <v>2309520</v>
      </c>
      <c r="U30" s="29">
        <v>1397592</v>
      </c>
      <c r="V30" s="29">
        <v>2388048</v>
      </c>
      <c r="W30" s="30">
        <v>73.455481524999996</v>
      </c>
      <c r="X30" s="30">
        <v>75.656627400000005</v>
      </c>
      <c r="Y30" s="30">
        <v>34.718563853124998</v>
      </c>
      <c r="Z30" s="30">
        <v>42.123181843749997</v>
      </c>
      <c r="AA30" s="30">
        <v>43.806662346875001</v>
      </c>
      <c r="AB30" s="31">
        <v>7830.9129999999996</v>
      </c>
      <c r="AC30" s="31">
        <v>0</v>
      </c>
      <c r="AD30" s="31">
        <v>263.77699999999999</v>
      </c>
      <c r="AE30" s="31">
        <v>0</v>
      </c>
      <c r="AG30" s="26" t="str">
        <f t="shared" si="6"/>
        <v>·</v>
      </c>
      <c r="AH30" s="27" t="str">
        <f t="shared" si="7"/>
        <v>·</v>
      </c>
      <c r="AI30" s="27" t="str">
        <f t="shared" si="8"/>
        <v>·</v>
      </c>
      <c r="AJ30" s="27" t="str">
        <f t="shared" si="9"/>
        <v>·</v>
      </c>
      <c r="AK30" s="27" t="str">
        <f t="shared" si="10"/>
        <v>·</v>
      </c>
      <c r="AL30" s="24" t="str">
        <f t="shared" si="11"/>
        <v/>
      </c>
      <c r="AM30" s="27">
        <v>32</v>
      </c>
      <c r="AN30" s="28"/>
      <c r="AO30" s="28"/>
      <c r="AP30" s="28"/>
      <c r="AQ30" s="29"/>
      <c r="AR30" s="29"/>
      <c r="AS30" s="29"/>
      <c r="AT30" s="29"/>
      <c r="AU30" s="30"/>
      <c r="AV30" s="30"/>
      <c r="AW30" s="30"/>
      <c r="AX30" s="30"/>
      <c r="AY30" s="30"/>
      <c r="AZ30" s="31"/>
      <c r="BA30" s="31"/>
      <c r="BB30" s="31"/>
      <c r="BC30" s="31"/>
      <c r="BE30" s="32" t="e">
        <f t="shared" si="12"/>
        <v>#VALUE!</v>
      </c>
      <c r="BF30" s="33" t="e">
        <f t="shared" si="13"/>
        <v>#DIV/0!</v>
      </c>
      <c r="BG30" s="33" t="e">
        <f t="shared" si="14"/>
        <v>#VALUE!</v>
      </c>
      <c r="BH30" s="33" t="e">
        <f t="array" ref="BH30">AVERAGE(AL30:AL34/AQ30:AQ34) - AVERAGE(N30:N34/S30:S34)</f>
        <v>#VALUE!</v>
      </c>
      <c r="BJ30" s="32" t="str">
        <f>IF( OR(ISBLANK(N30:N34),ISBLANK(AL30:AL34), ISBLANK(W30:W34),ISBLANK(AU30:AU34)), "·", bdRateExtend( N30:N34,W30:W34, AL30:AL34,AU30:AU34))</f>
        <v>·</v>
      </c>
      <c r="BK30" s="32" t="str">
        <f>IF( OR(ISBLANK(N30:N34),ISBLANK(AL30:AL34), ISBLANK(X30:X34),ISBLANK(AV30:AV34)), "·", bdRateExtend( N30:N34,X30:X34, AL30:AL34,AV30:AV34))</f>
        <v>·</v>
      </c>
      <c r="BL30" s="32" t="str">
        <f>IF( OR(ISBLANK(V30:V34),ISBLANK(AT30:AT34), ISBLANK(Y30:Y34),ISBLANK(AW30:AW34)), "·", bdRateExtend( V30:V34,Y30:Y34, AT30:AT34,AW30:AW34))</f>
        <v>·</v>
      </c>
      <c r="BM30" s="32" t="str">
        <f>IF( OR(ISBLANK(V30:V34),ISBLANK(AT30:AT34), ISBLANK(Z30:Z34),ISBLANK(AX30:AX34)), "·", bdRateExtend( V30:V34,Z30:Z34, AT30:AT34,AX30:AX34))</f>
        <v>·</v>
      </c>
      <c r="BN30" s="32" t="str">
        <f>IF( OR(ISBLANK(V30:V34),ISBLANK(AT30:AT34), ISBLANK(AA30:AA34),ISBLANK(AY30:AY34)), "·", bdRateExtend( V30:V34,AA30:AA34, AT30:AT34,AY30:AY34))</f>
        <v>·</v>
      </c>
      <c r="BP30" s="32" t="str">
        <f>IF( OR(ISBLANK(S30:S34),ISBLANK(AQ30:AQ34), ISBLANK(W30:W34),ISBLANK(AU30:AU34)), "·", bdRateExtend( S30:S34,W30:W34, AQ30:AQ34,AU30:AU34))</f>
        <v>·</v>
      </c>
      <c r="BQ30" s="32" t="str">
        <f>IF( OR(ISBLANK(S30:S34),ISBLANK(AQ30:AQ34), ISBLANK(X30:X34),ISBLANK(AV30:AV34)), "·", bdRateExtend( S30:S34,X30:X34, AQ30:AQ34,AV30:AV34))</f>
        <v>·</v>
      </c>
      <c r="BR30" s="32" t="str">
        <f>IF( OR(ISBLANK(S30:S34),ISBLANK(AQ30:AQ34), ISBLANK(Y30:Y34),ISBLANK(AW30:AW34)), "·", bdRateExtend( S30:S34,Y30:Y34, AQ30:AQ34,AW30:AW34))</f>
        <v>·</v>
      </c>
      <c r="BS30" s="32" t="str">
        <f>IF( OR(ISBLANK(S30:S34),ISBLANK(AQ30:AQ34), ISBLANK(Z30:Z34),ISBLANK(AX30:AX34)), "·", bdRateExtend( S30:S34,Z30:Z34, AQ30:AQ34,AX30:AX34))</f>
        <v>·</v>
      </c>
      <c r="BT30" s="32" t="str">
        <f>IF( OR(ISBLANK(S30:S34),ISBLANK(AQ30:AQ34), ISBLANK(AA30:AA34),ISBLANK(AY30:AY34)), "·", bdRateExtend( S30:S34,AA30:AA34, AQ30:AQ34,AY30:AY34))</f>
        <v>·</v>
      </c>
    </row>
    <row r="31" spans="1:72" outlineLevel="1" x14ac:dyDescent="0.2">
      <c r="A31" s="14"/>
      <c r="B31" s="14" t="s">
        <v>75</v>
      </c>
      <c r="C31" s="15" t="s">
        <v>231</v>
      </c>
      <c r="D31" s="14">
        <v>375422539</v>
      </c>
      <c r="E31" s="15">
        <v>11</v>
      </c>
      <c r="F31" s="15">
        <v>32</v>
      </c>
      <c r="G31" s="15">
        <v>30</v>
      </c>
      <c r="I31" s="16">
        <f t="shared" si="0"/>
        <v>8.1750000000000007</v>
      </c>
      <c r="J31" s="17">
        <f t="shared" si="1"/>
        <v>2.3227161648917409E-2</v>
      </c>
      <c r="K31" s="17">
        <f t="shared" si="2"/>
        <v>1.214529104231539E-2</v>
      </c>
      <c r="L31" s="17">
        <f t="shared" si="3"/>
        <v>8.4225736910271114E-3</v>
      </c>
      <c r="M31" s="17">
        <f t="shared" si="4"/>
        <v>1.1081870606602019E-2</v>
      </c>
      <c r="N31" s="14">
        <f t="shared" si="5"/>
        <v>4559616</v>
      </c>
      <c r="O31" s="17">
        <v>32</v>
      </c>
      <c r="P31" s="18">
        <v>89796795</v>
      </c>
      <c r="Q31" s="18">
        <v>2806149.84375</v>
      </c>
      <c r="R31" s="18">
        <v>39729</v>
      </c>
      <c r="S31" s="19">
        <v>8720000</v>
      </c>
      <c r="T31" s="19">
        <v>3162024</v>
      </c>
      <c r="U31" s="19">
        <v>1397592</v>
      </c>
      <c r="V31" s="19">
        <v>4160384</v>
      </c>
      <c r="W31" s="20">
        <v>75.159848287499997</v>
      </c>
      <c r="X31" s="20">
        <v>77.549972259374996</v>
      </c>
      <c r="Y31" s="20">
        <v>36.649950290625</v>
      </c>
      <c r="Z31" s="20">
        <v>42.642430240625004</v>
      </c>
      <c r="AA31" s="20">
        <v>45.044049206250001</v>
      </c>
      <c r="AB31" s="21">
        <v>8024.8950000000004</v>
      </c>
      <c r="AC31" s="21">
        <v>0</v>
      </c>
      <c r="AD31" s="21">
        <v>276.85700000000003</v>
      </c>
      <c r="AE31" s="21">
        <v>0</v>
      </c>
      <c r="AG31" s="16" t="str">
        <f t="shared" si="6"/>
        <v>·</v>
      </c>
      <c r="AH31" s="17" t="str">
        <f t="shared" si="7"/>
        <v>·</v>
      </c>
      <c r="AI31" s="17" t="str">
        <f t="shared" si="8"/>
        <v>·</v>
      </c>
      <c r="AJ31" s="17" t="str">
        <f t="shared" si="9"/>
        <v>·</v>
      </c>
      <c r="AK31" s="17" t="str">
        <f t="shared" si="10"/>
        <v>·</v>
      </c>
      <c r="AL31" s="14" t="str">
        <f t="shared" si="11"/>
        <v/>
      </c>
      <c r="AM31" s="17">
        <v>32</v>
      </c>
      <c r="AN31" s="18"/>
      <c r="AO31" s="18"/>
      <c r="AP31" s="18"/>
      <c r="AQ31" s="19"/>
      <c r="AR31" s="19"/>
      <c r="AS31" s="19"/>
      <c r="AT31" s="19"/>
      <c r="AU31" s="20"/>
      <c r="AV31" s="20"/>
      <c r="AW31" s="20"/>
      <c r="AX31" s="20"/>
      <c r="AY31" s="20"/>
      <c r="AZ31" s="21"/>
      <c r="BA31" s="21"/>
      <c r="BB31" s="21"/>
      <c r="BC31" s="21"/>
      <c r="BE31" s="22" t="e">
        <f t="shared" si="12"/>
        <v>#VALUE!</v>
      </c>
      <c r="BF31" s="23" t="e">
        <f t="shared" si="13"/>
        <v>#DIV/0!</v>
      </c>
      <c r="BG31" s="23" t="e">
        <f t="shared" si="14"/>
        <v>#VALUE!</v>
      </c>
      <c r="BH31" s="23"/>
      <c r="BJ31" s="22"/>
      <c r="BK31" s="22"/>
      <c r="BL31" s="22"/>
      <c r="BM31" s="22"/>
      <c r="BN31" s="22"/>
      <c r="BP31" s="22"/>
      <c r="BQ31" s="22"/>
      <c r="BR31" s="22"/>
      <c r="BS31" s="22"/>
      <c r="BT31" s="22"/>
    </row>
    <row r="32" spans="1:72" outlineLevel="1" x14ac:dyDescent="0.2">
      <c r="A32" s="24"/>
      <c r="B32" s="24" t="s">
        <v>75</v>
      </c>
      <c r="C32" s="25" t="s">
        <v>232</v>
      </c>
      <c r="D32" s="24">
        <v>375422539</v>
      </c>
      <c r="E32" s="25">
        <v>11</v>
      </c>
      <c r="F32" s="25">
        <v>32</v>
      </c>
      <c r="G32" s="25">
        <v>30</v>
      </c>
      <c r="I32" s="26">
        <f t="shared" si="0"/>
        <v>12.655110000000001</v>
      </c>
      <c r="J32" s="27">
        <f t="shared" si="1"/>
        <v>3.5956242893557332E-2</v>
      </c>
      <c r="K32" s="27">
        <f t="shared" si="2"/>
        <v>1.5423197593365592E-2</v>
      </c>
      <c r="L32" s="27">
        <f t="shared" si="3"/>
        <v>1.1700480242077314E-2</v>
      </c>
      <c r="M32" s="27">
        <f t="shared" si="4"/>
        <v>2.0533045300191739E-2</v>
      </c>
      <c r="N32" s="24">
        <f t="shared" si="5"/>
        <v>5790216</v>
      </c>
      <c r="O32" s="27">
        <v>32</v>
      </c>
      <c r="P32" s="28">
        <v>91551049</v>
      </c>
      <c r="Q32" s="28">
        <v>2860970.28125</v>
      </c>
      <c r="R32" s="28">
        <v>42562.1875</v>
      </c>
      <c r="S32" s="29">
        <v>13498784</v>
      </c>
      <c r="T32" s="29">
        <v>4392624</v>
      </c>
      <c r="U32" s="29">
        <v>1397592</v>
      </c>
      <c r="V32" s="29">
        <v>7708568</v>
      </c>
      <c r="W32" s="30">
        <v>76.444218846875003</v>
      </c>
      <c r="X32" s="30">
        <v>79.128054703125002</v>
      </c>
      <c r="Y32" s="30">
        <v>38.397772125000003</v>
      </c>
      <c r="Z32" s="30">
        <v>43.185086881250001</v>
      </c>
      <c r="AA32" s="30">
        <v>46.227159303124999</v>
      </c>
      <c r="AB32" s="31">
        <v>8215.2980000000007</v>
      </c>
      <c r="AC32" s="31">
        <v>0</v>
      </c>
      <c r="AD32" s="31">
        <v>278.95600000000002</v>
      </c>
      <c r="AE32" s="31">
        <v>0</v>
      </c>
      <c r="AG32" s="26" t="str">
        <f t="shared" si="6"/>
        <v>·</v>
      </c>
      <c r="AH32" s="27" t="str">
        <f t="shared" si="7"/>
        <v>·</v>
      </c>
      <c r="AI32" s="27" t="str">
        <f t="shared" si="8"/>
        <v>·</v>
      </c>
      <c r="AJ32" s="27" t="str">
        <f t="shared" si="9"/>
        <v>·</v>
      </c>
      <c r="AK32" s="27" t="str">
        <f t="shared" si="10"/>
        <v>·</v>
      </c>
      <c r="AL32" s="24" t="str">
        <f t="shared" si="11"/>
        <v/>
      </c>
      <c r="AM32" s="27">
        <v>32</v>
      </c>
      <c r="AN32" s="28"/>
      <c r="AO32" s="28"/>
      <c r="AP32" s="28"/>
      <c r="AQ32" s="29"/>
      <c r="AR32" s="29"/>
      <c r="AS32" s="29"/>
      <c r="AT32" s="29"/>
      <c r="AU32" s="30"/>
      <c r="AV32" s="30"/>
      <c r="AW32" s="30"/>
      <c r="AX32" s="30"/>
      <c r="AY32" s="30"/>
      <c r="AZ32" s="31"/>
      <c r="BA32" s="31"/>
      <c r="BB32" s="31"/>
      <c r="BC32" s="31"/>
      <c r="BE32" s="32" t="e">
        <f t="shared" si="12"/>
        <v>#VALUE!</v>
      </c>
      <c r="BF32" s="33" t="e">
        <f t="shared" si="13"/>
        <v>#DIV/0!</v>
      </c>
      <c r="BG32" s="33" t="e">
        <f t="shared" si="14"/>
        <v>#VALUE!</v>
      </c>
      <c r="BH32" s="33"/>
      <c r="BJ32" s="32"/>
      <c r="BK32" s="32"/>
      <c r="BL32" s="32"/>
      <c r="BM32" s="32"/>
      <c r="BN32" s="32"/>
      <c r="BP32" s="32"/>
      <c r="BQ32" s="32"/>
      <c r="BR32" s="32"/>
      <c r="BS32" s="32"/>
      <c r="BT32" s="32"/>
    </row>
    <row r="33" spans="1:72" outlineLevel="1" x14ac:dyDescent="0.2">
      <c r="A33" s="14"/>
      <c r="B33" s="14" t="s">
        <v>75</v>
      </c>
      <c r="C33" s="15" t="s">
        <v>233</v>
      </c>
      <c r="D33" s="14">
        <v>375422539</v>
      </c>
      <c r="E33" s="15">
        <v>11</v>
      </c>
      <c r="F33" s="15">
        <v>32</v>
      </c>
      <c r="G33" s="15">
        <v>30</v>
      </c>
      <c r="I33" s="16">
        <f t="shared" si="0"/>
        <v>21.179984999999999</v>
      </c>
      <c r="J33" s="17">
        <f t="shared" si="1"/>
        <v>6.017748444240318E-2</v>
      </c>
      <c r="K33" s="17">
        <f t="shared" si="2"/>
        <v>2.0907876284966469E-2</v>
      </c>
      <c r="L33" s="17">
        <f t="shared" si="3"/>
        <v>1.7185158933678193E-2</v>
      </c>
      <c r="M33" s="17">
        <f t="shared" si="4"/>
        <v>3.9269608157436707E-2</v>
      </c>
      <c r="N33" s="14">
        <f t="shared" si="5"/>
        <v>7849288</v>
      </c>
      <c r="O33" s="17">
        <v>32</v>
      </c>
      <c r="P33" s="18">
        <v>93835548</v>
      </c>
      <c r="Q33" s="18">
        <v>2932360.875</v>
      </c>
      <c r="R33" s="18">
        <v>47386.6875</v>
      </c>
      <c r="S33" s="19">
        <v>22591984</v>
      </c>
      <c r="T33" s="19">
        <v>6451696</v>
      </c>
      <c r="U33" s="19">
        <v>1397592</v>
      </c>
      <c r="V33" s="19">
        <v>14742696</v>
      </c>
      <c r="W33" s="20">
        <v>77.592789934375006</v>
      </c>
      <c r="X33" s="20">
        <v>80.318437000000003</v>
      </c>
      <c r="Y33" s="20">
        <v>39.997944396874999</v>
      </c>
      <c r="Z33" s="20">
        <v>43.895751656249999</v>
      </c>
      <c r="AA33" s="20">
        <v>47.812165581249999</v>
      </c>
      <c r="AB33" s="21">
        <v>8679.5400000000009</v>
      </c>
      <c r="AC33" s="21">
        <v>0</v>
      </c>
      <c r="AD33" s="21">
        <v>285.79300000000001</v>
      </c>
      <c r="AE33" s="21">
        <v>0</v>
      </c>
      <c r="AG33" s="16" t="str">
        <f t="shared" si="6"/>
        <v>·</v>
      </c>
      <c r="AH33" s="17" t="str">
        <f t="shared" si="7"/>
        <v>·</v>
      </c>
      <c r="AI33" s="17" t="str">
        <f t="shared" si="8"/>
        <v>·</v>
      </c>
      <c r="AJ33" s="17" t="str">
        <f t="shared" si="9"/>
        <v>·</v>
      </c>
      <c r="AK33" s="17" t="str">
        <f t="shared" si="10"/>
        <v>·</v>
      </c>
      <c r="AL33" s="14" t="str">
        <f t="shared" si="11"/>
        <v/>
      </c>
      <c r="AM33" s="17">
        <v>32</v>
      </c>
      <c r="AN33" s="18"/>
      <c r="AO33" s="18"/>
      <c r="AP33" s="18"/>
      <c r="AQ33" s="19"/>
      <c r="AR33" s="19"/>
      <c r="AS33" s="19"/>
      <c r="AT33" s="19"/>
      <c r="AU33" s="20"/>
      <c r="AV33" s="20"/>
      <c r="AW33" s="20"/>
      <c r="AX33" s="20"/>
      <c r="AY33" s="20"/>
      <c r="AZ33" s="21"/>
      <c r="BA33" s="21"/>
      <c r="BB33" s="21"/>
      <c r="BC33" s="21"/>
      <c r="BE33" s="22" t="e">
        <f t="shared" si="12"/>
        <v>#VALUE!</v>
      </c>
      <c r="BF33" s="23" t="e">
        <f t="shared" si="13"/>
        <v>#DIV/0!</v>
      </c>
      <c r="BG33" s="23" t="e">
        <f t="shared" si="14"/>
        <v>#VALUE!</v>
      </c>
      <c r="BH33" s="23"/>
      <c r="BJ33" s="22"/>
      <c r="BK33" s="22"/>
      <c r="BL33" s="22"/>
      <c r="BM33" s="22"/>
      <c r="BN33" s="22"/>
      <c r="BP33" s="22"/>
      <c r="BQ33" s="22"/>
      <c r="BR33" s="22"/>
      <c r="BS33" s="22"/>
      <c r="BT33" s="22"/>
    </row>
    <row r="34" spans="1:72" outlineLevel="1" x14ac:dyDescent="0.2">
      <c r="A34" s="24"/>
      <c r="B34" s="44" t="s">
        <v>75</v>
      </c>
      <c r="C34" s="45" t="s">
        <v>234</v>
      </c>
      <c r="D34" s="44">
        <v>375422539</v>
      </c>
      <c r="E34" s="45">
        <v>11</v>
      </c>
      <c r="F34" s="45">
        <v>32</v>
      </c>
      <c r="G34" s="45">
        <v>30</v>
      </c>
      <c r="I34" s="46">
        <f t="shared" si="0"/>
        <v>39.881414999999997</v>
      </c>
      <c r="J34" s="47">
        <f t="shared" si="1"/>
        <v>0.11331279180337119</v>
      </c>
      <c r="K34" s="47">
        <f t="shared" si="2"/>
        <v>3.3559263739356894E-2</v>
      </c>
      <c r="L34" s="47">
        <f t="shared" si="3"/>
        <v>2.6117238528398531E-2</v>
      </c>
      <c r="M34" s="47">
        <f t="shared" si="4"/>
        <v>7.9753528064014298E-2</v>
      </c>
      <c r="N34" s="44">
        <f t="shared" si="5"/>
        <v>12598904</v>
      </c>
      <c r="O34" s="47">
        <v>32</v>
      </c>
      <c r="P34" s="48">
        <v>91937439</v>
      </c>
      <c r="Q34" s="48">
        <v>2873044.96875</v>
      </c>
      <c r="R34" s="48">
        <v>18769.40625</v>
      </c>
      <c r="S34" s="49">
        <v>42540176</v>
      </c>
      <c r="T34" s="49">
        <v>9805000</v>
      </c>
      <c r="U34" s="49">
        <v>2793904</v>
      </c>
      <c r="V34" s="49">
        <v>29941272</v>
      </c>
      <c r="W34" s="50">
        <v>78.522458896874994</v>
      </c>
      <c r="X34" s="50">
        <v>81.994352399999997</v>
      </c>
      <c r="Y34" s="50">
        <v>41.497011578124997</v>
      </c>
      <c r="Z34" s="50">
        <v>44.69580539375</v>
      </c>
      <c r="AA34" s="50">
        <v>49.229336321875003</v>
      </c>
      <c r="AB34" s="51">
        <v>9160.1489999999994</v>
      </c>
      <c r="AC34" s="51">
        <v>0</v>
      </c>
      <c r="AD34" s="51">
        <v>284.46800000000002</v>
      </c>
      <c r="AE34" s="51">
        <v>0</v>
      </c>
      <c r="AG34" s="46" t="str">
        <f t="shared" si="6"/>
        <v>·</v>
      </c>
      <c r="AH34" s="47" t="str">
        <f t="shared" si="7"/>
        <v>·</v>
      </c>
      <c r="AI34" s="47" t="str">
        <f t="shared" si="8"/>
        <v>·</v>
      </c>
      <c r="AJ34" s="47" t="str">
        <f t="shared" si="9"/>
        <v>·</v>
      </c>
      <c r="AK34" s="47" t="str">
        <f t="shared" si="10"/>
        <v>·</v>
      </c>
      <c r="AL34" s="44" t="str">
        <f t="shared" si="11"/>
        <v/>
      </c>
      <c r="AM34" s="47">
        <v>32</v>
      </c>
      <c r="AN34" s="48"/>
      <c r="AO34" s="48"/>
      <c r="AP34" s="48"/>
      <c r="AQ34" s="49"/>
      <c r="AR34" s="49"/>
      <c r="AS34" s="49"/>
      <c r="AT34" s="49"/>
      <c r="AU34" s="50"/>
      <c r="AV34" s="50"/>
      <c r="AW34" s="50"/>
      <c r="AX34" s="50"/>
      <c r="AY34" s="50"/>
      <c r="AZ34" s="51"/>
      <c r="BA34" s="51"/>
      <c r="BB34" s="51"/>
      <c r="BC34" s="51"/>
      <c r="BE34" s="52" t="e">
        <f t="shared" si="12"/>
        <v>#VALUE!</v>
      </c>
      <c r="BF34" s="53" t="e">
        <f t="shared" si="13"/>
        <v>#DIV/0!</v>
      </c>
      <c r="BG34" s="53" t="e">
        <f t="shared" si="14"/>
        <v>#VALUE!</v>
      </c>
      <c r="BH34" s="53"/>
      <c r="BJ34" s="52"/>
      <c r="BK34" s="52"/>
      <c r="BL34" s="52"/>
      <c r="BM34" s="52"/>
      <c r="BN34" s="52"/>
      <c r="BP34" s="52"/>
      <c r="BQ34" s="52"/>
      <c r="BR34" s="52"/>
      <c r="BS34" s="52"/>
      <c r="BT34" s="52"/>
    </row>
    <row r="35" spans="1:72" x14ac:dyDescent="0.2">
      <c r="A35" s="14"/>
      <c r="B35" s="14" t="s">
        <v>80</v>
      </c>
      <c r="C35" s="15" t="s">
        <v>230</v>
      </c>
      <c r="D35" s="14">
        <v>333190689</v>
      </c>
      <c r="E35" s="15">
        <v>11</v>
      </c>
      <c r="F35" s="15">
        <v>32</v>
      </c>
      <c r="G35" s="15">
        <v>30</v>
      </c>
      <c r="I35" s="16">
        <f t="shared" si="0"/>
        <v>6.0739349999999996</v>
      </c>
      <c r="J35" s="17">
        <f t="shared" si="1"/>
        <v>1.9444913120006183E-2</v>
      </c>
      <c r="K35" s="17">
        <f t="shared" si="2"/>
        <v>1.1430115323540749E-2</v>
      </c>
      <c r="L35" s="17">
        <f t="shared" si="3"/>
        <v>6.982235929167877E-3</v>
      </c>
      <c r="M35" s="17">
        <f t="shared" si="4"/>
        <v>8.0147977964654341E-3</v>
      </c>
      <c r="N35" s="14">
        <f t="shared" si="5"/>
        <v>3808408</v>
      </c>
      <c r="O35" s="17">
        <v>32</v>
      </c>
      <c r="P35" s="18">
        <v>74921620</v>
      </c>
      <c r="Q35" s="18">
        <v>2341300.625</v>
      </c>
      <c r="R35" s="18">
        <v>30932.375</v>
      </c>
      <c r="S35" s="19">
        <v>6478864</v>
      </c>
      <c r="T35" s="19">
        <v>2326416</v>
      </c>
      <c r="U35" s="19">
        <v>1481992</v>
      </c>
      <c r="V35" s="19">
        <v>2670456</v>
      </c>
      <c r="W35" s="20">
        <v>73.203849721875002</v>
      </c>
      <c r="X35" s="20">
        <v>75.398604615625004</v>
      </c>
      <c r="Y35" s="20">
        <v>34.001466284374999</v>
      </c>
      <c r="Z35" s="20">
        <v>42.592682528125003</v>
      </c>
      <c r="AA35" s="20">
        <v>44.023822262499998</v>
      </c>
      <c r="AB35" s="21">
        <v>7458.1139999999996</v>
      </c>
      <c r="AC35" s="21">
        <v>0</v>
      </c>
      <c r="AD35" s="21">
        <v>237.334</v>
      </c>
      <c r="AE35" s="21">
        <v>0</v>
      </c>
      <c r="AG35" s="16" t="str">
        <f t="shared" si="6"/>
        <v>·</v>
      </c>
      <c r="AH35" s="17" t="str">
        <f t="shared" si="7"/>
        <v>·</v>
      </c>
      <c r="AI35" s="17" t="str">
        <f t="shared" si="8"/>
        <v>·</v>
      </c>
      <c r="AJ35" s="17" t="str">
        <f t="shared" si="9"/>
        <v>·</v>
      </c>
      <c r="AK35" s="17" t="str">
        <f t="shared" si="10"/>
        <v>·</v>
      </c>
      <c r="AL35" s="14" t="str">
        <f t="shared" si="11"/>
        <v/>
      </c>
      <c r="AM35" s="17">
        <v>32</v>
      </c>
      <c r="AN35" s="18"/>
      <c r="AO35" s="18"/>
      <c r="AP35" s="18"/>
      <c r="AQ35" s="19"/>
      <c r="AR35" s="19"/>
      <c r="AS35" s="19"/>
      <c r="AT35" s="19"/>
      <c r="AU35" s="20"/>
      <c r="AV35" s="20"/>
      <c r="AW35" s="20"/>
      <c r="AX35" s="20"/>
      <c r="AY35" s="20"/>
      <c r="AZ35" s="21"/>
      <c r="BA35" s="21"/>
      <c r="BB35" s="21"/>
      <c r="BC35" s="21"/>
      <c r="BE35" s="22" t="e">
        <f t="shared" si="12"/>
        <v>#VALUE!</v>
      </c>
      <c r="BF35" s="23" t="e">
        <f t="shared" si="13"/>
        <v>#DIV/0!</v>
      </c>
      <c r="BG35" s="23" t="e">
        <f t="shared" si="14"/>
        <v>#VALUE!</v>
      </c>
      <c r="BH35" s="23" t="e">
        <f t="array" ref="BH35">AVERAGE(AL35:AL39/AQ35:AQ39) - AVERAGE(N35:N39/S35:S39)</f>
        <v>#VALUE!</v>
      </c>
      <c r="BJ35" s="22" t="str">
        <f>IF( OR(ISBLANK(N35:N39),ISBLANK(AL35:AL39), ISBLANK(W35:W39),ISBLANK(AU35:AU39)), "·", bdRateExtend( N35:N39,W35:W39, AL35:AL39,AU35:AU39))</f>
        <v>·</v>
      </c>
      <c r="BK35" s="22" t="str">
        <f>IF( OR(ISBLANK(N35:N39),ISBLANK(AL35:AL39), ISBLANK(X35:X39),ISBLANK(AV35:AV39)), "·", bdRateExtend( N35:N39,X35:X39, AL35:AL39,AV35:AV39))</f>
        <v>·</v>
      </c>
      <c r="BL35" s="22" t="str">
        <f>IF( OR(ISBLANK(V35:V39),ISBLANK(AT35:AT39), ISBLANK(Y35:Y39),ISBLANK(AW35:AW39)), "·", bdRateExtend( V35:V39,Y35:Y39, AT35:AT39,AW35:AW39))</f>
        <v>·</v>
      </c>
      <c r="BM35" s="22" t="str">
        <f>IF( OR(ISBLANK(V35:V39),ISBLANK(AT35:AT39), ISBLANK(Z35:Z39),ISBLANK(AX35:AX39)), "·", bdRateExtend( V35:V39,Z35:Z39, AT35:AT39,AX35:AX39))</f>
        <v>·</v>
      </c>
      <c r="BN35" s="22" t="str">
        <f>IF( OR(ISBLANK(V35:V39),ISBLANK(AT35:AT39), ISBLANK(AA35:AA39),ISBLANK(AY35:AY39)), "·", bdRateExtend( V35:V39,AA35:AA39, AT35:AT39,AY35:AY39))</f>
        <v>·</v>
      </c>
      <c r="BP35" s="22" t="str">
        <f>IF( OR(ISBLANK(S35:S39),ISBLANK(AQ35:AQ39), ISBLANK(W35:W39),ISBLANK(AU35:AU39)), "·", bdRateExtend( S35:S39,W35:W39, AQ35:AQ39,AU35:AU39))</f>
        <v>·</v>
      </c>
      <c r="BQ35" s="22" t="str">
        <f>IF( OR(ISBLANK(S35:S39),ISBLANK(AQ35:AQ39), ISBLANK(X35:X39),ISBLANK(AV35:AV39)), "·", bdRateExtend( S35:S39,X35:X39, AQ35:AQ39,AV35:AV39))</f>
        <v>·</v>
      </c>
      <c r="BR35" s="22" t="str">
        <f>IF( OR(ISBLANK(S35:S39),ISBLANK(AQ35:AQ39), ISBLANK(Y35:Y39),ISBLANK(AW35:AW39)), "·", bdRateExtend( S35:S39,Y35:Y39, AQ35:AQ39,AW35:AW39))</f>
        <v>·</v>
      </c>
      <c r="BS35" s="22" t="str">
        <f>IF( OR(ISBLANK(S35:S39),ISBLANK(AQ35:AQ39), ISBLANK(Z35:Z39),ISBLANK(AX35:AX39)), "·", bdRateExtend( S35:S39,Z35:Z39, AQ35:AQ39,AX35:AX39))</f>
        <v>·</v>
      </c>
      <c r="BT35" s="22" t="str">
        <f>IF( OR(ISBLANK(S35:S39),ISBLANK(AQ35:AQ39), ISBLANK(AA35:AA39),ISBLANK(AY35:AY39)), "·", bdRateExtend( S35:S39,AA35:AA39, AQ35:AQ39,AY35:AY39))</f>
        <v>·</v>
      </c>
    </row>
    <row r="36" spans="1:72" outlineLevel="1" x14ac:dyDescent="0.2">
      <c r="A36" s="24"/>
      <c r="B36" s="24" t="s">
        <v>80</v>
      </c>
      <c r="C36" s="25" t="s">
        <v>231</v>
      </c>
      <c r="D36" s="24">
        <v>333190689</v>
      </c>
      <c r="E36" s="25">
        <v>11</v>
      </c>
      <c r="F36" s="25">
        <v>32</v>
      </c>
      <c r="G36" s="25">
        <v>30</v>
      </c>
      <c r="I36" s="26">
        <f t="shared" si="0"/>
        <v>8.6963849999999994</v>
      </c>
      <c r="J36" s="27">
        <f t="shared" si="1"/>
        <v>2.7840345802700388E-2</v>
      </c>
      <c r="K36" s="27">
        <f t="shared" si="2"/>
        <v>1.401218027434134E-2</v>
      </c>
      <c r="L36" s="27">
        <f t="shared" si="3"/>
        <v>9.5643008799684674E-3</v>
      </c>
      <c r="M36" s="27">
        <f t="shared" si="4"/>
        <v>1.3828165528359047E-2</v>
      </c>
      <c r="N36" s="24">
        <f t="shared" si="5"/>
        <v>4668728</v>
      </c>
      <c r="O36" s="27">
        <v>32</v>
      </c>
      <c r="P36" s="28">
        <v>79893061</v>
      </c>
      <c r="Q36" s="28">
        <v>2496658.15625</v>
      </c>
      <c r="R36" s="28">
        <v>39014.28125</v>
      </c>
      <c r="S36" s="29">
        <v>9276144</v>
      </c>
      <c r="T36" s="29">
        <v>3186736</v>
      </c>
      <c r="U36" s="29">
        <v>1481992</v>
      </c>
      <c r="V36" s="29">
        <v>4607416</v>
      </c>
      <c r="W36" s="30">
        <v>74.932323390625001</v>
      </c>
      <c r="X36" s="30">
        <v>77.357498703125003</v>
      </c>
      <c r="Y36" s="30">
        <v>36.099332075</v>
      </c>
      <c r="Z36" s="30">
        <v>43.207510946874997</v>
      </c>
      <c r="AA36" s="30">
        <v>45.354926831249998</v>
      </c>
      <c r="AB36" s="31">
        <v>7500.9549999999999</v>
      </c>
      <c r="AC36" s="31">
        <v>0</v>
      </c>
      <c r="AD36" s="31">
        <v>247.876</v>
      </c>
      <c r="AE36" s="31">
        <v>0</v>
      </c>
      <c r="AG36" s="26" t="str">
        <f t="shared" si="6"/>
        <v>·</v>
      </c>
      <c r="AH36" s="27" t="str">
        <f t="shared" si="7"/>
        <v>·</v>
      </c>
      <c r="AI36" s="27" t="str">
        <f t="shared" si="8"/>
        <v>·</v>
      </c>
      <c r="AJ36" s="27" t="str">
        <f t="shared" si="9"/>
        <v>·</v>
      </c>
      <c r="AK36" s="27" t="str">
        <f t="shared" si="10"/>
        <v>·</v>
      </c>
      <c r="AL36" s="24" t="str">
        <f t="shared" si="11"/>
        <v/>
      </c>
      <c r="AM36" s="27">
        <v>32</v>
      </c>
      <c r="AN36" s="28"/>
      <c r="AO36" s="28"/>
      <c r="AP36" s="28"/>
      <c r="AQ36" s="29"/>
      <c r="AR36" s="29"/>
      <c r="AS36" s="29"/>
      <c r="AT36" s="29"/>
      <c r="AU36" s="30"/>
      <c r="AV36" s="30"/>
      <c r="AW36" s="30"/>
      <c r="AX36" s="30"/>
      <c r="AY36" s="30"/>
      <c r="AZ36" s="31"/>
      <c r="BA36" s="31"/>
      <c r="BB36" s="31"/>
      <c r="BC36" s="31"/>
      <c r="BE36" s="32" t="e">
        <f t="shared" si="12"/>
        <v>#VALUE!</v>
      </c>
      <c r="BF36" s="33" t="e">
        <f t="shared" si="13"/>
        <v>#DIV/0!</v>
      </c>
      <c r="BG36" s="33" t="e">
        <f t="shared" si="14"/>
        <v>#VALUE!</v>
      </c>
      <c r="BH36" s="33"/>
      <c r="BJ36" s="32"/>
      <c r="BK36" s="32"/>
      <c r="BL36" s="32"/>
      <c r="BM36" s="32"/>
      <c r="BN36" s="32"/>
      <c r="BP36" s="32"/>
      <c r="BQ36" s="32"/>
      <c r="BR36" s="32"/>
      <c r="BS36" s="32"/>
      <c r="BT36" s="32"/>
    </row>
    <row r="37" spans="1:72" outlineLevel="1" x14ac:dyDescent="0.2">
      <c r="A37" s="14"/>
      <c r="B37" s="14" t="s">
        <v>80</v>
      </c>
      <c r="C37" s="15" t="s">
        <v>232</v>
      </c>
      <c r="D37" s="14">
        <v>333190689</v>
      </c>
      <c r="E37" s="15">
        <v>11</v>
      </c>
      <c r="F37" s="15">
        <v>32</v>
      </c>
      <c r="G37" s="15">
        <v>30</v>
      </c>
      <c r="I37" s="16">
        <f t="shared" si="0"/>
        <v>13.28511</v>
      </c>
      <c r="J37" s="17">
        <f t="shared" si="1"/>
        <v>4.2530552226806073E-2</v>
      </c>
      <c r="K37" s="17">
        <f t="shared" si="2"/>
        <v>1.7721479605932206E-2</v>
      </c>
      <c r="L37" s="17">
        <f t="shared" si="3"/>
        <v>1.3273600211559333E-2</v>
      </c>
      <c r="M37" s="17">
        <f t="shared" si="4"/>
        <v>2.4809072620873868E-2</v>
      </c>
      <c r="N37" s="14">
        <f t="shared" si="5"/>
        <v>5904632</v>
      </c>
      <c r="O37" s="17">
        <v>32</v>
      </c>
      <c r="P37" s="18">
        <v>81688385</v>
      </c>
      <c r="Q37" s="18">
        <v>2552762.03125</v>
      </c>
      <c r="R37" s="18">
        <v>42067.1875</v>
      </c>
      <c r="S37" s="19">
        <v>14170784</v>
      </c>
      <c r="T37" s="19">
        <v>4422640</v>
      </c>
      <c r="U37" s="19">
        <v>1481992</v>
      </c>
      <c r="V37" s="19">
        <v>8266152</v>
      </c>
      <c r="W37" s="20">
        <v>76.246641534375001</v>
      </c>
      <c r="X37" s="20">
        <v>78.965350265625005</v>
      </c>
      <c r="Y37" s="20">
        <v>37.939933640625</v>
      </c>
      <c r="Z37" s="20">
        <v>43.769646540624997</v>
      </c>
      <c r="AA37" s="20">
        <v>46.505325440625001</v>
      </c>
      <c r="AB37" s="21">
        <v>7721.2830000000004</v>
      </c>
      <c r="AC37" s="21">
        <v>0</v>
      </c>
      <c r="AD37" s="21">
        <v>251.42500000000001</v>
      </c>
      <c r="AE37" s="21">
        <v>0</v>
      </c>
      <c r="AG37" s="16" t="str">
        <f t="shared" si="6"/>
        <v>·</v>
      </c>
      <c r="AH37" s="17" t="str">
        <f t="shared" si="7"/>
        <v>·</v>
      </c>
      <c r="AI37" s="17" t="str">
        <f t="shared" si="8"/>
        <v>·</v>
      </c>
      <c r="AJ37" s="17" t="str">
        <f t="shared" si="9"/>
        <v>·</v>
      </c>
      <c r="AK37" s="17" t="str">
        <f t="shared" si="10"/>
        <v>·</v>
      </c>
      <c r="AL37" s="14" t="str">
        <f t="shared" si="11"/>
        <v/>
      </c>
      <c r="AM37" s="17">
        <v>32</v>
      </c>
      <c r="AN37" s="18"/>
      <c r="AO37" s="18"/>
      <c r="AP37" s="18"/>
      <c r="AQ37" s="19"/>
      <c r="AR37" s="19"/>
      <c r="AS37" s="19"/>
      <c r="AT37" s="19"/>
      <c r="AU37" s="20"/>
      <c r="AV37" s="20"/>
      <c r="AW37" s="20"/>
      <c r="AX37" s="20"/>
      <c r="AY37" s="20"/>
      <c r="AZ37" s="21"/>
      <c r="BA37" s="21"/>
      <c r="BB37" s="21"/>
      <c r="BC37" s="21"/>
      <c r="BE37" s="22" t="e">
        <f t="shared" si="12"/>
        <v>#VALUE!</v>
      </c>
      <c r="BF37" s="23" t="e">
        <f t="shared" si="13"/>
        <v>#DIV/0!</v>
      </c>
      <c r="BG37" s="23" t="e">
        <f t="shared" si="14"/>
        <v>#VALUE!</v>
      </c>
      <c r="BH37" s="23"/>
      <c r="BJ37" s="22"/>
      <c r="BK37" s="22"/>
      <c r="BL37" s="22"/>
      <c r="BM37" s="22"/>
      <c r="BN37" s="22"/>
      <c r="BP37" s="22"/>
      <c r="BQ37" s="22"/>
      <c r="BR37" s="22"/>
      <c r="BS37" s="22"/>
      <c r="BT37" s="22"/>
    </row>
    <row r="38" spans="1:72" outlineLevel="1" x14ac:dyDescent="0.2">
      <c r="A38" s="24"/>
      <c r="B38" s="24" t="s">
        <v>80</v>
      </c>
      <c r="C38" s="25" t="s">
        <v>233</v>
      </c>
      <c r="D38" s="24">
        <v>333190689</v>
      </c>
      <c r="E38" s="25">
        <v>11</v>
      </c>
      <c r="F38" s="25">
        <v>32</v>
      </c>
      <c r="G38" s="25">
        <v>30</v>
      </c>
      <c r="I38" s="26">
        <f t="shared" si="0"/>
        <v>22.355452499999998</v>
      </c>
      <c r="J38" s="27">
        <f t="shared" si="1"/>
        <v>7.1568074340756863E-2</v>
      </c>
      <c r="K38" s="27">
        <f t="shared" si="2"/>
        <v>2.3952794191076571E-2</v>
      </c>
      <c r="L38" s="27">
        <f t="shared" si="3"/>
        <v>1.9504914796703698E-2</v>
      </c>
      <c r="M38" s="27">
        <f t="shared" si="4"/>
        <v>4.7615280149680292E-2</v>
      </c>
      <c r="N38" s="24">
        <f t="shared" si="5"/>
        <v>7980848</v>
      </c>
      <c r="O38" s="27">
        <v>32</v>
      </c>
      <c r="P38" s="28">
        <v>83757654</v>
      </c>
      <c r="Q38" s="28">
        <v>2617426.6875</v>
      </c>
      <c r="R38" s="28">
        <v>46922.8125</v>
      </c>
      <c r="S38" s="29">
        <v>23845816</v>
      </c>
      <c r="T38" s="29">
        <v>6498856</v>
      </c>
      <c r="U38" s="29">
        <v>1481992</v>
      </c>
      <c r="V38" s="29">
        <v>15864968</v>
      </c>
      <c r="W38" s="30">
        <v>77.429117515624995</v>
      </c>
      <c r="X38" s="30">
        <v>80.183173243750005</v>
      </c>
      <c r="Y38" s="30">
        <v>39.696941840625001</v>
      </c>
      <c r="Z38" s="30">
        <v>44.538420431250003</v>
      </c>
      <c r="AA38" s="30">
        <v>47.799207096875001</v>
      </c>
      <c r="AB38" s="31">
        <v>8119.1549999999997</v>
      </c>
      <c r="AC38" s="31">
        <v>0</v>
      </c>
      <c r="AD38" s="31">
        <v>263.72399999999999</v>
      </c>
      <c r="AE38" s="31">
        <v>0</v>
      </c>
      <c r="AG38" s="26" t="str">
        <f t="shared" si="6"/>
        <v>·</v>
      </c>
      <c r="AH38" s="27" t="str">
        <f t="shared" si="7"/>
        <v>·</v>
      </c>
      <c r="AI38" s="27" t="str">
        <f t="shared" si="8"/>
        <v>·</v>
      </c>
      <c r="AJ38" s="27" t="str">
        <f t="shared" si="9"/>
        <v>·</v>
      </c>
      <c r="AK38" s="27" t="str">
        <f t="shared" si="10"/>
        <v>·</v>
      </c>
      <c r="AL38" s="24" t="str">
        <f t="shared" si="11"/>
        <v/>
      </c>
      <c r="AM38" s="27">
        <v>32</v>
      </c>
      <c r="AN38" s="28"/>
      <c r="AO38" s="28"/>
      <c r="AP38" s="28"/>
      <c r="AQ38" s="29"/>
      <c r="AR38" s="29"/>
      <c r="AS38" s="29"/>
      <c r="AT38" s="29"/>
      <c r="AU38" s="30"/>
      <c r="AV38" s="30"/>
      <c r="AW38" s="30"/>
      <c r="AX38" s="30"/>
      <c r="AY38" s="30"/>
      <c r="AZ38" s="31"/>
      <c r="BA38" s="31"/>
      <c r="BB38" s="31"/>
      <c r="BC38" s="31"/>
      <c r="BE38" s="32" t="e">
        <f t="shared" si="12"/>
        <v>#VALUE!</v>
      </c>
      <c r="BF38" s="33" t="e">
        <f t="shared" si="13"/>
        <v>#DIV/0!</v>
      </c>
      <c r="BG38" s="33" t="e">
        <f t="shared" si="14"/>
        <v>#VALUE!</v>
      </c>
      <c r="BH38" s="33"/>
      <c r="BJ38" s="32"/>
      <c r="BK38" s="32"/>
      <c r="BL38" s="32"/>
      <c r="BM38" s="32"/>
      <c r="BN38" s="32"/>
      <c r="BP38" s="32"/>
      <c r="BQ38" s="32"/>
      <c r="BR38" s="32"/>
      <c r="BS38" s="32"/>
      <c r="BT38" s="32"/>
    </row>
    <row r="39" spans="1:72" outlineLevel="1" x14ac:dyDescent="0.2">
      <c r="A39" s="34"/>
      <c r="B39" s="34" t="s">
        <v>80</v>
      </c>
      <c r="C39" s="35" t="s">
        <v>234</v>
      </c>
      <c r="D39" s="34">
        <v>333190689</v>
      </c>
      <c r="E39" s="35">
        <v>11</v>
      </c>
      <c r="F39" s="35">
        <v>32</v>
      </c>
      <c r="G39" s="35">
        <v>30</v>
      </c>
      <c r="I39" s="36">
        <f t="shared" si="0"/>
        <v>41.264002499999997</v>
      </c>
      <c r="J39" s="37">
        <f t="shared" si="1"/>
        <v>0.13210133852209777</v>
      </c>
      <c r="K39" s="37">
        <f t="shared" si="2"/>
        <v>3.8468517948291168E-2</v>
      </c>
      <c r="L39" s="37">
        <f t="shared" si="3"/>
        <v>2.9609230766949792E-2</v>
      </c>
      <c r="M39" s="37">
        <f t="shared" si="4"/>
        <v>9.3632820573806605E-2</v>
      </c>
      <c r="N39" s="34">
        <f t="shared" si="5"/>
        <v>12817352</v>
      </c>
      <c r="O39" s="37">
        <v>32</v>
      </c>
      <c r="P39" s="38">
        <v>81959857</v>
      </c>
      <c r="Q39" s="38">
        <v>2561245.53125</v>
      </c>
      <c r="R39" s="38">
        <v>18607.15625</v>
      </c>
      <c r="S39" s="39">
        <v>44014936</v>
      </c>
      <c r="T39" s="39">
        <v>9865520</v>
      </c>
      <c r="U39" s="39">
        <v>2951832</v>
      </c>
      <c r="V39" s="39">
        <v>31197584</v>
      </c>
      <c r="W39" s="40">
        <v>78.310251065624996</v>
      </c>
      <c r="X39" s="40">
        <v>81.875742618749996</v>
      </c>
      <c r="Y39" s="40">
        <v>41.294168359375</v>
      </c>
      <c r="Z39" s="40">
        <v>45.540018340624997</v>
      </c>
      <c r="AA39" s="40">
        <v>49.134641268750002</v>
      </c>
      <c r="AB39" s="41">
        <v>8726.125</v>
      </c>
      <c r="AC39" s="41">
        <v>0</v>
      </c>
      <c r="AD39" s="41">
        <v>257.13400000000001</v>
      </c>
      <c r="AE39" s="41">
        <v>0</v>
      </c>
      <c r="AG39" s="36" t="str">
        <f t="shared" si="6"/>
        <v>·</v>
      </c>
      <c r="AH39" s="37" t="str">
        <f t="shared" si="7"/>
        <v>·</v>
      </c>
      <c r="AI39" s="37" t="str">
        <f t="shared" si="8"/>
        <v>·</v>
      </c>
      <c r="AJ39" s="37" t="str">
        <f t="shared" si="9"/>
        <v>·</v>
      </c>
      <c r="AK39" s="37" t="str">
        <f t="shared" si="10"/>
        <v>·</v>
      </c>
      <c r="AL39" s="34" t="str">
        <f t="shared" si="11"/>
        <v/>
      </c>
      <c r="AM39" s="37">
        <v>32</v>
      </c>
      <c r="AN39" s="38"/>
      <c r="AO39" s="38"/>
      <c r="AP39" s="38"/>
      <c r="AQ39" s="39"/>
      <c r="AR39" s="39"/>
      <c r="AS39" s="39"/>
      <c r="AT39" s="39"/>
      <c r="AU39" s="40"/>
      <c r="AV39" s="40"/>
      <c r="AW39" s="40"/>
      <c r="AX39" s="40"/>
      <c r="AY39" s="40"/>
      <c r="AZ39" s="41"/>
      <c r="BA39" s="41"/>
      <c r="BB39" s="41"/>
      <c r="BC39" s="41"/>
      <c r="BE39" s="42" t="e">
        <f t="shared" si="12"/>
        <v>#VALUE!</v>
      </c>
      <c r="BF39" s="43" t="e">
        <f t="shared" si="13"/>
        <v>#DIV/0!</v>
      </c>
      <c r="BG39" s="43" t="e">
        <f t="shared" si="14"/>
        <v>#VALUE!</v>
      </c>
      <c r="BH39" s="43"/>
      <c r="BJ39" s="42"/>
      <c r="BK39" s="42"/>
      <c r="BL39" s="42"/>
      <c r="BM39" s="42"/>
      <c r="BN39" s="42"/>
      <c r="BP39" s="42"/>
      <c r="BQ39" s="42"/>
      <c r="BR39" s="42"/>
      <c r="BS39" s="42"/>
      <c r="BT39" s="42"/>
    </row>
    <row r="40" spans="1:72" ht="16" x14ac:dyDescent="0.2">
      <c r="B40" s="54" t="s">
        <v>14</v>
      </c>
      <c r="J40" s="55">
        <f>AVERAGE(J5:J24)</f>
        <v>4.4240753355173482E-2</v>
      </c>
      <c r="K40" s="55">
        <f>AVERAGE(K5:K24)</f>
        <v>1.3868301769928839E-2</v>
      </c>
      <c r="L40" s="55">
        <f>AVERAGE(L5:L24)</f>
        <v>9.6969495541967075E-3</v>
      </c>
      <c r="M40" s="55">
        <f>AVERAGE(M5:M24)</f>
        <v>3.0372451585244636E-2</v>
      </c>
      <c r="AH40" s="55" t="e">
        <f>AVERAGE(AH5:AH24)</f>
        <v>#DIV/0!</v>
      </c>
      <c r="AI40" s="55" t="e">
        <f>AVERAGE(AI5:AI24)</f>
        <v>#DIV/0!</v>
      </c>
      <c r="AJ40" s="55" t="e">
        <f>AVERAGE(AJ5:AJ24)</f>
        <v>#DIV/0!</v>
      </c>
      <c r="AK40" s="55" t="e">
        <f>AVERAGE(AK5:AK24)</f>
        <v>#DIV/0!</v>
      </c>
      <c r="BE40" s="4" t="e">
        <f t="shared" si="12"/>
        <v>#DIV/0!</v>
      </c>
      <c r="BH40" s="7" t="e">
        <f>AVERAGE(BH5:BH24)</f>
        <v>#VALUE!</v>
      </c>
      <c r="BJ40" s="4" t="e">
        <f>AVERAGE(BJ5:BJ24)</f>
        <v>#DIV/0!</v>
      </c>
      <c r="BK40" s="4" t="e">
        <f>AVERAGE(BK5:BK24)</f>
        <v>#DIV/0!</v>
      </c>
      <c r="BL40" s="4" t="e">
        <f>AVERAGE(BL5:BL24)</f>
        <v>#DIV/0!</v>
      </c>
      <c r="BM40" s="4" t="e">
        <f>AVERAGE(BM5:BM24)</f>
        <v>#DIV/0!</v>
      </c>
      <c r="BN40" s="4" t="e">
        <f>AVERAGE(BN5:BN24)</f>
        <v>#DIV/0!</v>
      </c>
      <c r="BP40" s="4" t="e">
        <f>AVERAGE(BP5:BP24)</f>
        <v>#DIV/0!</v>
      </c>
      <c r="BQ40" s="4" t="e">
        <f>AVERAGE(BQ5:BQ24)</f>
        <v>#DIV/0!</v>
      </c>
      <c r="BR40" s="4" t="e">
        <f>AVERAGE(BR5:BR24)</f>
        <v>#DIV/0!</v>
      </c>
      <c r="BS40" s="4" t="e">
        <f>AVERAGE(BS5:BS24)</f>
        <v>#DIV/0!</v>
      </c>
      <c r="BT40" s="4" t="e">
        <f>AVERAGE(BT5:BT24)</f>
        <v>#DIV/0!</v>
      </c>
    </row>
    <row r="41" spans="1:72" ht="16" x14ac:dyDescent="0.2">
      <c r="B41" s="54" t="s">
        <v>15</v>
      </c>
      <c r="J41" s="55">
        <f>AVERAGE(J25:J29)</f>
        <v>7.9847654073470914E-2</v>
      </c>
      <c r="K41" s="55">
        <f>AVERAGE(K25:K29)</f>
        <v>1.2369411975525704E-2</v>
      </c>
      <c r="L41" s="55">
        <f>AVERAGE(L25:L29)</f>
        <v>9.0938284872662568E-3</v>
      </c>
      <c r="M41" s="55">
        <f>AVERAGE(M25:M29)</f>
        <v>6.7478242097945215E-2</v>
      </c>
      <c r="AH41" s="55" t="e">
        <f>AVERAGE(AH25:AH29)</f>
        <v>#DIV/0!</v>
      </c>
      <c r="AI41" s="55" t="e">
        <f>AVERAGE(AI25:AI29)</f>
        <v>#DIV/0!</v>
      </c>
      <c r="AJ41" s="55" t="e">
        <f>AVERAGE(AJ25:AJ29)</f>
        <v>#DIV/0!</v>
      </c>
      <c r="AK41" s="55" t="e">
        <f>AVERAGE(AK25:AK29)</f>
        <v>#DIV/0!</v>
      </c>
      <c r="BE41" s="4" t="e">
        <f t="shared" si="12"/>
        <v>#DIV/0!</v>
      </c>
      <c r="BH41" s="7" t="e">
        <f>AVERAGE(BH25:BH29)</f>
        <v>#VALUE!</v>
      </c>
      <c r="BJ41" s="4" t="e">
        <f>AVERAGE(BJ25:BJ29)</f>
        <v>#DIV/0!</v>
      </c>
      <c r="BK41" s="4" t="e">
        <f>AVERAGE(BK25:BK29)</f>
        <v>#DIV/0!</v>
      </c>
      <c r="BL41" s="4" t="e">
        <f>AVERAGE(BL25:BL29)</f>
        <v>#DIV/0!</v>
      </c>
      <c r="BM41" s="4" t="e">
        <f>AVERAGE(BM25:BM29)</f>
        <v>#DIV/0!</v>
      </c>
      <c r="BN41" s="4" t="e">
        <f>AVERAGE(BN25:BN29)</f>
        <v>#DIV/0!</v>
      </c>
      <c r="BP41" s="4" t="e">
        <f>AVERAGE(BP25:BP29)</f>
        <v>#DIV/0!</v>
      </c>
      <c r="BQ41" s="4" t="e">
        <f>AVERAGE(BQ25:BQ29)</f>
        <v>#DIV/0!</v>
      </c>
      <c r="BR41" s="4" t="e">
        <f>AVERAGE(BR25:BR29)</f>
        <v>#DIV/0!</v>
      </c>
      <c r="BS41" s="4" t="e">
        <f>AVERAGE(BS25:BS29)</f>
        <v>#DIV/0!</v>
      </c>
      <c r="BT41" s="4" t="e">
        <f>AVERAGE(BT25:BT29)</f>
        <v>#DIV/0!</v>
      </c>
    </row>
    <row r="42" spans="1:72" ht="16" x14ac:dyDescent="0.2">
      <c r="B42" s="54" t="s">
        <v>16</v>
      </c>
      <c r="J42" s="55">
        <f>AVERAGE(J30:J39)</f>
        <v>5.423943711533704E-2</v>
      </c>
      <c r="K42" s="55">
        <f>AVERAGE(K30:K39)</f>
        <v>1.9749522169981958E-2</v>
      </c>
      <c r="L42" s="55">
        <f>AVERAGE(L30:L39)</f>
        <v>1.4851152232487525E-2</v>
      </c>
      <c r="M42" s="55">
        <f>AVERAGE(M30:M39)</f>
        <v>3.4489914945355089E-2</v>
      </c>
      <c r="AH42" s="55" t="e">
        <f>AVERAGE(AH30:AH39)</f>
        <v>#DIV/0!</v>
      </c>
      <c r="AI42" s="55" t="e">
        <f>AVERAGE(AI30:AI39)</f>
        <v>#DIV/0!</v>
      </c>
      <c r="AJ42" s="55" t="e">
        <f>AVERAGE(AJ30:AJ39)</f>
        <v>#DIV/0!</v>
      </c>
      <c r="AK42" s="55" t="e">
        <f>AVERAGE(AK30:AK39)</f>
        <v>#DIV/0!</v>
      </c>
      <c r="BE42" s="4" t="e">
        <f t="shared" si="12"/>
        <v>#DIV/0!</v>
      </c>
      <c r="BH42" s="7" t="e">
        <f>AVERAGE(BH30:BH39)</f>
        <v>#VALUE!</v>
      </c>
      <c r="BJ42" s="4" t="e">
        <f>AVERAGE(BJ30:BJ39)</f>
        <v>#DIV/0!</v>
      </c>
      <c r="BK42" s="4" t="e">
        <f>AVERAGE(BK30:BK39)</f>
        <v>#DIV/0!</v>
      </c>
      <c r="BL42" s="4" t="e">
        <f>AVERAGE(BL30:BL39)</f>
        <v>#DIV/0!</v>
      </c>
      <c r="BM42" s="4" t="e">
        <f>AVERAGE(BM30:BM39)</f>
        <v>#DIV/0!</v>
      </c>
      <c r="BN42" s="4" t="e">
        <f>AVERAGE(BN30:BN39)</f>
        <v>#DIV/0!</v>
      </c>
      <c r="BP42" s="4" t="e">
        <f>AVERAGE(BP30:BP39)</f>
        <v>#DIV/0!</v>
      </c>
      <c r="BQ42" s="4" t="e">
        <f>AVERAGE(BQ30:BQ39)</f>
        <v>#DIV/0!</v>
      </c>
      <c r="BR42" s="4" t="e">
        <f>AVERAGE(BR30:BR39)</f>
        <v>#DIV/0!</v>
      </c>
      <c r="BS42" s="4" t="e">
        <f>AVERAGE(BS30:BS39)</f>
        <v>#DIV/0!</v>
      </c>
      <c r="BT42" s="4" t="e">
        <f>AVERAGE(BT30:BT39)</f>
        <v>#DIV/0!</v>
      </c>
    </row>
    <row r="43" spans="1:72" ht="16" x14ac:dyDescent="0.2">
      <c r="B43" s="54" t="s">
        <v>17</v>
      </c>
      <c r="J43" s="55">
        <f>AVERAGE(J5:J39)</f>
        <v>5.2184220246405559E-2</v>
      </c>
      <c r="K43" s="55">
        <f>AVERAGE(K5:K39)</f>
        <v>1.5334523342172139E-2</v>
      </c>
      <c r="L43" s="55">
        <f>AVERAGE(L5:L39)</f>
        <v>1.1083418738432587E-2</v>
      </c>
      <c r="M43" s="55">
        <f>AVERAGE(M5:M39)</f>
        <v>3.6849696904233419E-2</v>
      </c>
      <c r="AH43" s="55" t="e">
        <f>AVERAGE(AH5:AH39)</f>
        <v>#DIV/0!</v>
      </c>
      <c r="AI43" s="55" t="e">
        <f>AVERAGE(AI5:AI39)</f>
        <v>#DIV/0!</v>
      </c>
      <c r="AJ43" s="55" t="e">
        <f>AVERAGE(AJ5:AJ39)</f>
        <v>#DIV/0!</v>
      </c>
      <c r="AK43" s="55" t="e">
        <f>AVERAGE(AK5:AK39)</f>
        <v>#DIV/0!</v>
      </c>
      <c r="BE43" s="4" t="e">
        <f t="shared" si="12"/>
        <v>#DIV/0!</v>
      </c>
      <c r="BH43" s="7" t="e">
        <f>AVERAGE(BH5:BH39)</f>
        <v>#VALUE!</v>
      </c>
      <c r="BJ43" s="4" t="e">
        <f>AVERAGE(BJ5:BJ39)</f>
        <v>#DIV/0!</v>
      </c>
      <c r="BK43" s="4" t="e">
        <f>AVERAGE(BK5:BK39)</f>
        <v>#DIV/0!</v>
      </c>
      <c r="BL43" s="4" t="e">
        <f>AVERAGE(BL5:BL39)</f>
        <v>#DIV/0!</v>
      </c>
      <c r="BM43" s="4" t="e">
        <f>AVERAGE(BM5:BM39)</f>
        <v>#DIV/0!</v>
      </c>
      <c r="BN43" s="4" t="e">
        <f>AVERAGE(BN5:BN39)</f>
        <v>#DIV/0!</v>
      </c>
      <c r="BP43" s="4" t="e">
        <f>AVERAGE(BP5:BP39)</f>
        <v>#DIV/0!</v>
      </c>
      <c r="BQ43" s="4" t="e">
        <f>AVERAGE(BQ5:BQ39)</f>
        <v>#DIV/0!</v>
      </c>
      <c r="BR43" s="4" t="e">
        <f>AVERAGE(BR5:BR39)</f>
        <v>#DIV/0!</v>
      </c>
      <c r="BS43" s="4" t="e">
        <f>AVERAGE(BS5:BS39)</f>
        <v>#DIV/0!</v>
      </c>
      <c r="BT43" s="4" t="e">
        <f>AVERAGE(BT5:BT39)</f>
        <v>#DIV/0!</v>
      </c>
    </row>
    <row r="44" spans="1:72" ht="16" hidden="1" outlineLevel="2" x14ac:dyDescent="0.2">
      <c r="A44" s="54" t="s">
        <v>237</v>
      </c>
      <c r="B44" s="54" t="s">
        <v>238</v>
      </c>
      <c r="AB44" s="56">
        <f>SUM(AB5:AB24,AB25:AB29,AB30:AB39)</f>
        <v>158979.60699999999</v>
      </c>
      <c r="AC44" s="56">
        <f>SUM(AC5:AC24,AC25:AC29,AC30:AC39)</f>
        <v>0</v>
      </c>
      <c r="AD44" s="56">
        <f>SUM(AD5:AD24,AD25:AD29,AD30:AD39)</f>
        <v>4794.5219999999999</v>
      </c>
      <c r="AE44" s="56">
        <f>SUM(AE5:AE24,AE25:AE29,AE30:AE39)</f>
        <v>0</v>
      </c>
      <c r="AZ44" s="56">
        <f>SUM(AZ5:AZ24,AZ25:AZ29,AZ30:AZ39)</f>
        <v>0</v>
      </c>
      <c r="BA44" s="56">
        <f>SUM(BA5:BA24,BA25:BA29,BA30:BA39)</f>
        <v>0</v>
      </c>
      <c r="BB44" s="56">
        <f>SUM(BB5:BB24,BB25:BB29,BB30:BB39)</f>
        <v>0</v>
      </c>
      <c r="BC44" s="56">
        <f>SUM(BC5:BC24,BC25:BC29,BC30:BC39)</f>
        <v>0</v>
      </c>
    </row>
    <row r="45" spans="1:72" ht="16" hidden="1" outlineLevel="2" x14ac:dyDescent="0.2">
      <c r="B45" s="54" t="s">
        <v>239</v>
      </c>
      <c r="AZ45" s="7">
        <f>AZ44/AB44</f>
        <v>0</v>
      </c>
      <c r="BA45" s="7" t="e">
        <f>BA44/AC44</f>
        <v>#DIV/0!</v>
      </c>
      <c r="BB45" s="7">
        <f>BB44/AD44</f>
        <v>0</v>
      </c>
      <c r="BC45" s="7" t="e">
        <f>BC44/AE44</f>
        <v>#DIV/0!</v>
      </c>
    </row>
    <row r="46" spans="1:72" ht="16" hidden="1" outlineLevel="2" x14ac:dyDescent="0.2">
      <c r="B46" s="54" t="s">
        <v>240</v>
      </c>
      <c r="AB46" s="56">
        <f>GEOMEAN(AB5:AB24,AB25:AB29,AB30:AB39)</f>
        <v>4057.3576155778769</v>
      </c>
      <c r="AC46" s="56" t="e">
        <f>GEOMEAN(AC5:AC24,AC25:AC29,AC30:AC39)</f>
        <v>#NUM!</v>
      </c>
      <c r="AD46" s="56">
        <f>GEOMEAN(AD5:AD24,AD25:AD29,AD30:AD39)</f>
        <v>117.54518785021321</v>
      </c>
      <c r="AE46" s="56" t="e">
        <f>GEOMEAN(AE5:AE24,AE25:AE29,AE30:AE39)</f>
        <v>#NUM!</v>
      </c>
      <c r="AZ46" s="56" t="e">
        <f>GEOMEAN(AZ5:AZ24,AZ25:AZ29,AZ30:AZ39)</f>
        <v>#NUM!</v>
      </c>
      <c r="BA46" s="56" t="e">
        <f>GEOMEAN(BA5:BA24,BA25:BA29,BA30:BA39)</f>
        <v>#NUM!</v>
      </c>
      <c r="BB46" s="56" t="e">
        <f>GEOMEAN(BB5:BB24,BB25:BB29,BB30:BB39)</f>
        <v>#NUM!</v>
      </c>
      <c r="BC46" s="56" t="e">
        <f>GEOMEAN(BC5:BC24,BC25:BC29,BC30:BC39)</f>
        <v>#NUM!</v>
      </c>
    </row>
    <row r="47" spans="1:72" ht="16" outlineLevel="2" collapsed="1" x14ac:dyDescent="0.2">
      <c r="B47" s="54" t="s">
        <v>241</v>
      </c>
      <c r="AZ47" s="7" t="e">
        <f>AZ46/AB46</f>
        <v>#NUM!</v>
      </c>
      <c r="BA47" s="7" t="e">
        <f>BA46/AC46</f>
        <v>#NUM!</v>
      </c>
      <c r="BB47" s="7" t="e">
        <f>BB46/AD46</f>
        <v>#NUM!</v>
      </c>
      <c r="BC47" s="7"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242</v>
      </c>
      <c r="B1">
        <v>1</v>
      </c>
    </row>
    <row r="2" spans="1:2" x14ac:dyDescent="0.2">
      <c r="A2" t="s">
        <v>243</v>
      </c>
      <c r="B2">
        <v>2</v>
      </c>
    </row>
    <row r="3" spans="1:2" x14ac:dyDescent="0.2">
      <c r="A3" t="s">
        <v>244</v>
      </c>
      <c r="B3">
        <v>3</v>
      </c>
    </row>
    <row r="4" spans="1:2" x14ac:dyDescent="0.2">
      <c r="A4" t="s">
        <v>245</v>
      </c>
      <c r="B4">
        <v>4</v>
      </c>
    </row>
    <row r="5" spans="1:2" x14ac:dyDescent="0.2">
      <c r="A5" t="s">
        <v>246</v>
      </c>
      <c r="B5">
        <v>5</v>
      </c>
    </row>
    <row r="6" spans="1:2" x14ac:dyDescent="0.2">
      <c r="A6" t="s">
        <v>247</v>
      </c>
      <c r="B6">
        <v>6</v>
      </c>
    </row>
    <row r="7" spans="1:2" x14ac:dyDescent="0.2">
      <c r="A7" t="s">
        <v>248</v>
      </c>
      <c r="B7">
        <v>7</v>
      </c>
    </row>
    <row r="8" spans="1:2" x14ac:dyDescent="0.2">
      <c r="A8" t="s">
        <v>249</v>
      </c>
      <c r="B8">
        <v>9</v>
      </c>
    </row>
    <row r="9" spans="1:2" x14ac:dyDescent="0.2">
      <c r="A9" t="s">
        <v>250</v>
      </c>
      <c r="B9">
        <v>10</v>
      </c>
    </row>
    <row r="10" spans="1:2" x14ac:dyDescent="0.2">
      <c r="A10" t="s">
        <v>251</v>
      </c>
      <c r="B10">
        <v>11</v>
      </c>
    </row>
    <row r="11" spans="1:2" x14ac:dyDescent="0.2">
      <c r="A11" t="s">
        <v>252</v>
      </c>
      <c r="B11">
        <v>12</v>
      </c>
    </row>
    <row r="12" spans="1:2" x14ac:dyDescent="0.2">
      <c r="A12" t="s">
        <v>253</v>
      </c>
      <c r="B12">
        <v>13</v>
      </c>
    </row>
    <row r="13" spans="1:2" x14ac:dyDescent="0.2">
      <c r="A13" t="s">
        <v>254</v>
      </c>
      <c r="B13">
        <v>14</v>
      </c>
    </row>
    <row r="14" spans="1:2" x14ac:dyDescent="0.2">
      <c r="A14" t="s">
        <v>255</v>
      </c>
      <c r="B14">
        <v>15</v>
      </c>
    </row>
    <row r="15" spans="1:2" x14ac:dyDescent="0.2">
      <c r="A15" t="s">
        <v>256</v>
      </c>
      <c r="B15">
        <v>16</v>
      </c>
    </row>
    <row r="16" spans="1:2" x14ac:dyDescent="0.2">
      <c r="A16" t="s">
        <v>257</v>
      </c>
      <c r="B16">
        <v>17</v>
      </c>
    </row>
    <row r="17" spans="1:2" x14ac:dyDescent="0.2">
      <c r="A17" t="s">
        <v>258</v>
      </c>
      <c r="B17">
        <v>18</v>
      </c>
    </row>
    <row r="18" spans="1:2" x14ac:dyDescent="0.2">
      <c r="A18" t="s">
        <v>259</v>
      </c>
      <c r="B18">
        <v>19</v>
      </c>
    </row>
    <row r="19" spans="1:2" x14ac:dyDescent="0.2">
      <c r="A19" t="s">
        <v>260</v>
      </c>
      <c r="B19">
        <v>20</v>
      </c>
    </row>
    <row r="20" spans="1:2" x14ac:dyDescent="0.2">
      <c r="A20" t="s">
        <v>261</v>
      </c>
      <c r="B20">
        <v>21</v>
      </c>
    </row>
    <row r="21" spans="1:2" x14ac:dyDescent="0.2">
      <c r="A21" t="s">
        <v>262</v>
      </c>
      <c r="B21">
        <v>22</v>
      </c>
    </row>
    <row r="22" spans="1:2" x14ac:dyDescent="0.2">
      <c r="A22" t="s">
        <v>263</v>
      </c>
      <c r="B22">
        <v>23</v>
      </c>
    </row>
    <row r="23" spans="1:2" x14ac:dyDescent="0.2">
      <c r="A23" t="s">
        <v>264</v>
      </c>
      <c r="B23">
        <v>24</v>
      </c>
    </row>
    <row r="24" spans="1:2" x14ac:dyDescent="0.2">
      <c r="A24" t="s">
        <v>265</v>
      </c>
      <c r="B24">
        <v>25</v>
      </c>
    </row>
    <row r="25" spans="1:2" x14ac:dyDescent="0.2">
      <c r="A25" t="s">
        <v>266</v>
      </c>
      <c r="B25">
        <v>26</v>
      </c>
    </row>
    <row r="26" spans="1:2" x14ac:dyDescent="0.2">
      <c r="A26" t="s">
        <v>267</v>
      </c>
      <c r="B26">
        <v>27</v>
      </c>
    </row>
    <row r="27" spans="1:2" x14ac:dyDescent="0.2">
      <c r="A27" t="s">
        <v>268</v>
      </c>
      <c r="B27">
        <v>28</v>
      </c>
    </row>
    <row r="28" spans="1:2" x14ac:dyDescent="0.2">
      <c r="A28" t="s">
        <v>269</v>
      </c>
      <c r="B28">
        <v>29</v>
      </c>
    </row>
    <row r="29" spans="1:2" x14ac:dyDescent="0.2">
      <c r="A29" t="s">
        <v>270</v>
      </c>
      <c r="B29">
        <v>30</v>
      </c>
    </row>
    <row r="30" spans="1:2" x14ac:dyDescent="0.2">
      <c r="A30" t="s">
        <v>271</v>
      </c>
      <c r="B30">
        <v>31</v>
      </c>
    </row>
    <row r="31" spans="1:2" x14ac:dyDescent="0.2">
      <c r="A31" t="s">
        <v>272</v>
      </c>
      <c r="B31">
        <v>33</v>
      </c>
    </row>
    <row r="32" spans="1:2" x14ac:dyDescent="0.2">
      <c r="A32" t="s">
        <v>273</v>
      </c>
      <c r="B32">
        <v>34</v>
      </c>
    </row>
    <row r="33" spans="1:2" x14ac:dyDescent="0.2">
      <c r="A33" t="s">
        <v>274</v>
      </c>
      <c r="B33">
        <v>35</v>
      </c>
    </row>
    <row r="34" spans="1:2" x14ac:dyDescent="0.2">
      <c r="A34" t="s">
        <v>275</v>
      </c>
      <c r="B34">
        <v>36</v>
      </c>
    </row>
    <row r="35" spans="1:2" x14ac:dyDescent="0.2">
      <c r="A35" t="s">
        <v>276</v>
      </c>
      <c r="B35">
        <v>37</v>
      </c>
    </row>
    <row r="36" spans="1:2" x14ac:dyDescent="0.2">
      <c r="A36" t="s">
        <v>277</v>
      </c>
      <c r="B36">
        <v>38</v>
      </c>
    </row>
    <row r="37" spans="1:2" x14ac:dyDescent="0.2">
      <c r="A37" t="s">
        <v>278</v>
      </c>
      <c r="B37">
        <v>39</v>
      </c>
    </row>
    <row r="38" spans="1:2" x14ac:dyDescent="0.2">
      <c r="A38" t="s">
        <v>279</v>
      </c>
      <c r="B38">
        <v>40</v>
      </c>
    </row>
    <row r="39" spans="1:2" x14ac:dyDescent="0.2">
      <c r="A39" t="s">
        <v>280</v>
      </c>
      <c r="B39">
        <v>41</v>
      </c>
    </row>
    <row r="40" spans="1:2" x14ac:dyDescent="0.2">
      <c r="A40" t="s">
        <v>281</v>
      </c>
      <c r="B40">
        <v>42</v>
      </c>
    </row>
    <row r="41" spans="1:2" x14ac:dyDescent="0.2">
      <c r="A41" t="s">
        <v>282</v>
      </c>
      <c r="B41">
        <v>43</v>
      </c>
    </row>
    <row r="42" spans="1:2" x14ac:dyDescent="0.2">
      <c r="A42" t="s">
        <v>283</v>
      </c>
      <c r="B42">
        <v>44</v>
      </c>
    </row>
    <row r="43" spans="1:2" x14ac:dyDescent="0.2">
      <c r="A43" t="s">
        <v>284</v>
      </c>
      <c r="B43">
        <v>45</v>
      </c>
    </row>
    <row r="44" spans="1:2" x14ac:dyDescent="0.2">
      <c r="A44" t="s">
        <v>285</v>
      </c>
      <c r="B44">
        <v>46</v>
      </c>
    </row>
    <row r="45" spans="1:2" x14ac:dyDescent="0.2">
      <c r="A45" t="s">
        <v>286</v>
      </c>
      <c r="B45">
        <v>47</v>
      </c>
    </row>
    <row r="46" spans="1:2" x14ac:dyDescent="0.2">
      <c r="A46" t="s">
        <v>287</v>
      </c>
      <c r="B46">
        <v>48</v>
      </c>
    </row>
    <row r="47" spans="1:2" x14ac:dyDescent="0.2">
      <c r="A47" t="s">
        <v>288</v>
      </c>
      <c r="B47">
        <v>49</v>
      </c>
    </row>
    <row r="48" spans="1:2" x14ac:dyDescent="0.2">
      <c r="A48" t="s">
        <v>289</v>
      </c>
      <c r="B48">
        <v>50</v>
      </c>
    </row>
    <row r="49" spans="1:2" x14ac:dyDescent="0.2">
      <c r="A49" t="s">
        <v>290</v>
      </c>
      <c r="B49">
        <v>51</v>
      </c>
    </row>
    <row r="50" spans="1:2" x14ac:dyDescent="0.2">
      <c r="A50" t="s">
        <v>291</v>
      </c>
      <c r="B50">
        <v>52</v>
      </c>
    </row>
    <row r="51" spans="1:2" x14ac:dyDescent="0.2">
      <c r="A51" t="s">
        <v>292</v>
      </c>
      <c r="B51">
        <v>53</v>
      </c>
    </row>
    <row r="52" spans="1:2" x14ac:dyDescent="0.2">
      <c r="A52" t="s">
        <v>293</v>
      </c>
      <c r="B52">
        <v>54</v>
      </c>
    </row>
    <row r="53" spans="1:2" x14ac:dyDescent="0.2">
      <c r="A53" t="s">
        <v>294</v>
      </c>
      <c r="B53">
        <v>55</v>
      </c>
    </row>
    <row r="54" spans="1:2" x14ac:dyDescent="0.2">
      <c r="A54" t="s">
        <v>295</v>
      </c>
      <c r="B54">
        <v>57</v>
      </c>
    </row>
    <row r="55" spans="1:2" x14ac:dyDescent="0.2">
      <c r="A55" t="s">
        <v>296</v>
      </c>
      <c r="B55">
        <v>58</v>
      </c>
    </row>
    <row r="56" spans="1:2" x14ac:dyDescent="0.2">
      <c r="A56" t="s">
        <v>297</v>
      </c>
      <c r="B56">
        <v>59</v>
      </c>
    </row>
    <row r="57" spans="1:2" x14ac:dyDescent="0.2">
      <c r="A57" t="s">
        <v>298</v>
      </c>
      <c r="B57">
        <v>60</v>
      </c>
    </row>
    <row r="58" spans="1:2" x14ac:dyDescent="0.2">
      <c r="A58" t="s">
        <v>299</v>
      </c>
      <c r="B58">
        <v>62</v>
      </c>
    </row>
    <row r="59" spans="1:2" x14ac:dyDescent="0.2">
      <c r="A59" t="s">
        <v>300</v>
      </c>
      <c r="B59">
        <v>63</v>
      </c>
    </row>
    <row r="60" spans="1:2" x14ac:dyDescent="0.2">
      <c r="A60" t="s">
        <v>301</v>
      </c>
      <c r="B60">
        <v>64</v>
      </c>
    </row>
    <row r="61" spans="1:2" x14ac:dyDescent="0.2">
      <c r="A61" t="s">
        <v>302</v>
      </c>
      <c r="B61">
        <v>65</v>
      </c>
    </row>
    <row r="62" spans="1:2" x14ac:dyDescent="0.2">
      <c r="A62" t="s">
        <v>303</v>
      </c>
      <c r="B62">
        <v>66</v>
      </c>
    </row>
    <row r="63" spans="1:2" x14ac:dyDescent="0.2">
      <c r="A63" t="s">
        <v>304</v>
      </c>
      <c r="B63">
        <v>68</v>
      </c>
    </row>
    <row r="64" spans="1:2" x14ac:dyDescent="0.2">
      <c r="A64" t="s">
        <v>305</v>
      </c>
      <c r="B64">
        <v>69</v>
      </c>
    </row>
    <row r="65" spans="1:24" x14ac:dyDescent="0.2">
      <c r="A65" t="s">
        <v>306</v>
      </c>
      <c r="B65">
        <v>70</v>
      </c>
    </row>
    <row r="66" spans="1:24" x14ac:dyDescent="0.2">
      <c r="A66" t="s">
        <v>307</v>
      </c>
      <c r="B66">
        <v>71</v>
      </c>
    </row>
    <row r="67" spans="1:24" x14ac:dyDescent="0.2">
      <c r="A67" t="s">
        <v>308</v>
      </c>
      <c r="B67">
        <v>72</v>
      </c>
    </row>
    <row r="68" spans="1:24" x14ac:dyDescent="0.2">
      <c r="A68" t="s">
        <v>309</v>
      </c>
      <c r="B68" t="s">
        <v>310</v>
      </c>
    </row>
    <row r="69" spans="1:24" x14ac:dyDescent="0.2">
      <c r="A69" t="s">
        <v>311</v>
      </c>
      <c r="B69" t="s">
        <v>312</v>
      </c>
    </row>
    <row r="70" spans="1:24" x14ac:dyDescent="0.2">
      <c r="A70" t="s">
        <v>313</v>
      </c>
      <c r="B70" t="s">
        <v>314</v>
      </c>
    </row>
    <row r="71" spans="1:24" x14ac:dyDescent="0.2">
      <c r="A71" t="s">
        <v>315</v>
      </c>
      <c r="B71" t="s">
        <v>316</v>
      </c>
    </row>
    <row r="72" spans="1:24" x14ac:dyDescent="0.2">
      <c r="A72" t="s">
        <v>317</v>
      </c>
      <c r="B72" t="s">
        <v>318</v>
      </c>
    </row>
    <row r="73" spans="1:24" x14ac:dyDescent="0.2">
      <c r="A73" t="s">
        <v>319</v>
      </c>
      <c r="B73" t="s">
        <v>320</v>
      </c>
    </row>
    <row r="74" spans="1:24" x14ac:dyDescent="0.2">
      <c r="A74" t="s">
        <v>321</v>
      </c>
      <c r="B74" t="s">
        <v>322</v>
      </c>
    </row>
    <row r="75" spans="1:24" x14ac:dyDescent="0.2">
      <c r="A75" t="s">
        <v>323</v>
      </c>
      <c r="B75" t="s">
        <v>324</v>
      </c>
    </row>
    <row r="76" spans="1:24" x14ac:dyDescent="0.2">
      <c r="A76" t="s">
        <v>325</v>
      </c>
      <c r="B76" t="s">
        <v>326</v>
      </c>
    </row>
    <row r="77" spans="1:24" x14ac:dyDescent="0.2">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
      <c r="A78" t="s">
        <v>328</v>
      </c>
      <c r="B78">
        <v>1</v>
      </c>
    </row>
    <row r="79" spans="1:24" x14ac:dyDescent="0.2">
      <c r="A79" t="s">
        <v>329</v>
      </c>
      <c r="B79">
        <v>2</v>
      </c>
    </row>
    <row r="80" spans="1:24" x14ac:dyDescent="0.2">
      <c r="A80" t="s">
        <v>330</v>
      </c>
      <c r="B80">
        <v>3</v>
      </c>
    </row>
    <row r="81" spans="1:2" x14ac:dyDescent="0.2">
      <c r="A81" t="s">
        <v>331</v>
      </c>
      <c r="B81">
        <v>4</v>
      </c>
    </row>
    <row r="82" spans="1:2" x14ac:dyDescent="0.2">
      <c r="A82" t="s">
        <v>332</v>
      </c>
      <c r="B82">
        <v>5</v>
      </c>
    </row>
    <row r="83" spans="1:2" x14ac:dyDescent="0.2">
      <c r="A83" t="s">
        <v>333</v>
      </c>
      <c r="B83">
        <v>6</v>
      </c>
    </row>
    <row r="84" spans="1:2" x14ac:dyDescent="0.2">
      <c r="A84" t="s">
        <v>334</v>
      </c>
      <c r="B84">
        <v>8</v>
      </c>
    </row>
    <row r="85" spans="1:2" x14ac:dyDescent="0.2">
      <c r="A85" t="s">
        <v>335</v>
      </c>
      <c r="B85">
        <v>9</v>
      </c>
    </row>
    <row r="86" spans="1:2" x14ac:dyDescent="0.2">
      <c r="A86" t="s">
        <v>336</v>
      </c>
      <c r="B86">
        <v>10</v>
      </c>
    </row>
    <row r="87" spans="1:2" x14ac:dyDescent="0.2">
      <c r="A87" t="s">
        <v>337</v>
      </c>
      <c r="B87">
        <v>11</v>
      </c>
    </row>
    <row r="88" spans="1:2" x14ac:dyDescent="0.2">
      <c r="A88" t="s">
        <v>338</v>
      </c>
      <c r="B88">
        <v>12</v>
      </c>
    </row>
    <row r="89" spans="1:2" x14ac:dyDescent="0.2">
      <c r="A89" t="s">
        <v>339</v>
      </c>
      <c r="B89">
        <v>13</v>
      </c>
    </row>
    <row r="90" spans="1:2" x14ac:dyDescent="0.2">
      <c r="A90" t="s">
        <v>340</v>
      </c>
      <c r="B90">
        <v>14</v>
      </c>
    </row>
    <row r="91" spans="1:2" x14ac:dyDescent="0.2">
      <c r="A91" t="s">
        <v>341</v>
      </c>
      <c r="B91">
        <v>15</v>
      </c>
    </row>
    <row r="92" spans="1:2" x14ac:dyDescent="0.2">
      <c r="A92" t="s">
        <v>342</v>
      </c>
      <c r="B92">
        <v>16</v>
      </c>
    </row>
    <row r="93" spans="1:2" x14ac:dyDescent="0.2">
      <c r="A93" t="s">
        <v>343</v>
      </c>
      <c r="B93">
        <v>17</v>
      </c>
    </row>
    <row r="94" spans="1:2" x14ac:dyDescent="0.2">
      <c r="A94" t="s">
        <v>344</v>
      </c>
      <c r="B94">
        <v>18</v>
      </c>
    </row>
    <row r="95" spans="1:2" x14ac:dyDescent="0.2">
      <c r="A95" t="s">
        <v>345</v>
      </c>
      <c r="B95">
        <v>19</v>
      </c>
    </row>
    <row r="96" spans="1:2" x14ac:dyDescent="0.2">
      <c r="A96" t="s">
        <v>346</v>
      </c>
      <c r="B96">
        <v>20</v>
      </c>
    </row>
    <row r="97" spans="1:2" x14ac:dyDescent="0.2">
      <c r="A97" t="s">
        <v>347</v>
      </c>
      <c r="B97">
        <v>21</v>
      </c>
    </row>
    <row r="98" spans="1:2" x14ac:dyDescent="0.2">
      <c r="A98" t="s">
        <v>348</v>
      </c>
      <c r="B98">
        <v>22</v>
      </c>
    </row>
    <row r="99" spans="1:2" x14ac:dyDescent="0.2">
      <c r="A99" t="s">
        <v>349</v>
      </c>
      <c r="B99">
        <v>23</v>
      </c>
    </row>
    <row r="100" spans="1:2" x14ac:dyDescent="0.2">
      <c r="A100" t="s">
        <v>350</v>
      </c>
      <c r="B100">
        <v>24</v>
      </c>
    </row>
    <row r="101" spans="1:2" x14ac:dyDescent="0.2">
      <c r="A101" t="s">
        <v>351</v>
      </c>
      <c r="B101">
        <v>25</v>
      </c>
    </row>
    <row r="102" spans="1:2" x14ac:dyDescent="0.2">
      <c r="A102" t="s">
        <v>352</v>
      </c>
      <c r="B102">
        <v>26</v>
      </c>
    </row>
    <row r="103" spans="1:2" x14ac:dyDescent="0.2">
      <c r="A103" t="s">
        <v>353</v>
      </c>
      <c r="B103">
        <v>27</v>
      </c>
    </row>
    <row r="104" spans="1:2" x14ac:dyDescent="0.2">
      <c r="A104" t="s">
        <v>354</v>
      </c>
      <c r="B104">
        <v>28</v>
      </c>
    </row>
    <row r="105" spans="1:2" x14ac:dyDescent="0.2">
      <c r="A105" t="s">
        <v>355</v>
      </c>
      <c r="B105">
        <v>29</v>
      </c>
    </row>
    <row r="106" spans="1:2" x14ac:dyDescent="0.2">
      <c r="A106" t="s">
        <v>356</v>
      </c>
      <c r="B106">
        <v>31</v>
      </c>
    </row>
    <row r="107" spans="1:2" x14ac:dyDescent="0.2">
      <c r="A107" t="s">
        <v>357</v>
      </c>
      <c r="B107">
        <v>32</v>
      </c>
    </row>
    <row r="108" spans="1:2" x14ac:dyDescent="0.2">
      <c r="A108" t="s">
        <v>358</v>
      </c>
      <c r="B108">
        <v>33</v>
      </c>
    </row>
    <row r="109" spans="1:2" x14ac:dyDescent="0.2">
      <c r="A109" t="s">
        <v>359</v>
      </c>
      <c r="B109">
        <v>34</v>
      </c>
    </row>
    <row r="110" spans="1:2" x14ac:dyDescent="0.2">
      <c r="A110" t="s">
        <v>360</v>
      </c>
      <c r="B110">
        <v>35</v>
      </c>
    </row>
    <row r="111" spans="1:2" x14ac:dyDescent="0.2">
      <c r="A111" t="s">
        <v>361</v>
      </c>
      <c r="B111">
        <v>36</v>
      </c>
    </row>
    <row r="112" spans="1:2" x14ac:dyDescent="0.2">
      <c r="A112" t="s">
        <v>362</v>
      </c>
      <c r="B112">
        <v>37</v>
      </c>
    </row>
    <row r="113" spans="1:2" x14ac:dyDescent="0.2">
      <c r="A113" t="s">
        <v>363</v>
      </c>
      <c r="B113">
        <v>38</v>
      </c>
    </row>
    <row r="114" spans="1:2" x14ac:dyDescent="0.2">
      <c r="A114" t="s">
        <v>364</v>
      </c>
      <c r="B114">
        <v>39</v>
      </c>
    </row>
    <row r="115" spans="1:2" x14ac:dyDescent="0.2">
      <c r="A115" t="s">
        <v>365</v>
      </c>
      <c r="B115">
        <v>40</v>
      </c>
    </row>
    <row r="116" spans="1:2" x14ac:dyDescent="0.2">
      <c r="A116" t="s">
        <v>366</v>
      </c>
      <c r="B116">
        <v>41</v>
      </c>
    </row>
    <row r="117" spans="1:2" x14ac:dyDescent="0.2">
      <c r="A117" t="s">
        <v>367</v>
      </c>
      <c r="B117">
        <v>42</v>
      </c>
    </row>
    <row r="118" spans="1:2" x14ac:dyDescent="0.2">
      <c r="A118" t="s">
        <v>368</v>
      </c>
      <c r="B118">
        <v>43</v>
      </c>
    </row>
    <row r="119" spans="1:2" x14ac:dyDescent="0.2">
      <c r="A119" t="s">
        <v>369</v>
      </c>
      <c r="B119">
        <v>44</v>
      </c>
    </row>
    <row r="120" spans="1:2" x14ac:dyDescent="0.2">
      <c r="A120" t="s">
        <v>370</v>
      </c>
      <c r="B120">
        <v>45</v>
      </c>
    </row>
    <row r="121" spans="1:2" x14ac:dyDescent="0.2">
      <c r="A121" t="s">
        <v>371</v>
      </c>
      <c r="B121">
        <v>46</v>
      </c>
    </row>
    <row r="122" spans="1:2" x14ac:dyDescent="0.2">
      <c r="A122" t="s">
        <v>372</v>
      </c>
      <c r="B122">
        <v>47</v>
      </c>
    </row>
    <row r="123" spans="1:2" x14ac:dyDescent="0.2">
      <c r="A123" t="s">
        <v>373</v>
      </c>
      <c r="B123">
        <v>48</v>
      </c>
    </row>
    <row r="124" spans="1:2" x14ac:dyDescent="0.2">
      <c r="A124" t="s">
        <v>374</v>
      </c>
      <c r="B124">
        <v>49</v>
      </c>
    </row>
    <row r="125" spans="1:2" x14ac:dyDescent="0.2">
      <c r="A125" t="s">
        <v>375</v>
      </c>
      <c r="B125">
        <v>50</v>
      </c>
    </row>
    <row r="126" spans="1:2" x14ac:dyDescent="0.2">
      <c r="A126" t="s">
        <v>376</v>
      </c>
      <c r="B126">
        <v>51</v>
      </c>
    </row>
    <row r="127" spans="1:2" x14ac:dyDescent="0.2">
      <c r="A127" t="s">
        <v>377</v>
      </c>
      <c r="B127">
        <v>52</v>
      </c>
    </row>
    <row r="128" spans="1:2" x14ac:dyDescent="0.2">
      <c r="A128" t="s">
        <v>378</v>
      </c>
      <c r="B128">
        <v>54</v>
      </c>
    </row>
    <row r="129" spans="1:23" x14ac:dyDescent="0.2">
      <c r="A129" t="s">
        <v>379</v>
      </c>
      <c r="B129">
        <v>55</v>
      </c>
    </row>
    <row r="130" spans="1:23" x14ac:dyDescent="0.2">
      <c r="A130" t="s">
        <v>380</v>
      </c>
      <c r="B130">
        <v>56</v>
      </c>
    </row>
    <row r="131" spans="1:23" x14ac:dyDescent="0.2">
      <c r="A131" t="s">
        <v>381</v>
      </c>
      <c r="B131">
        <v>57</v>
      </c>
    </row>
    <row r="132" spans="1:23" x14ac:dyDescent="0.2">
      <c r="A132" t="s">
        <v>382</v>
      </c>
      <c r="B132">
        <v>58</v>
      </c>
    </row>
    <row r="133" spans="1:23" x14ac:dyDescent="0.2">
      <c r="A133" t="s">
        <v>383</v>
      </c>
      <c r="B133">
        <v>59</v>
      </c>
    </row>
    <row r="134" spans="1:23" x14ac:dyDescent="0.2">
      <c r="A134" t="s">
        <v>384</v>
      </c>
      <c r="B134" t="s">
        <v>385</v>
      </c>
    </row>
    <row r="135" spans="1:23" x14ac:dyDescent="0.2">
      <c r="A135" t="s">
        <v>386</v>
      </c>
      <c r="B135" t="s">
        <v>387</v>
      </c>
    </row>
    <row r="136" spans="1:23" x14ac:dyDescent="0.2">
      <c r="A136" t="s">
        <v>388</v>
      </c>
      <c r="B136" t="s">
        <v>389</v>
      </c>
    </row>
    <row r="137" spans="1:23" x14ac:dyDescent="0.2">
      <c r="A137" t="s">
        <v>390</v>
      </c>
      <c r="B137" t="s">
        <v>391</v>
      </c>
    </row>
    <row r="138" spans="1:23" x14ac:dyDescent="0.2">
      <c r="A138" t="s">
        <v>392</v>
      </c>
      <c r="B138" t="s">
        <v>393</v>
      </c>
    </row>
    <row r="139" spans="1:23" x14ac:dyDescent="0.2">
      <c r="A139" t="s">
        <v>394</v>
      </c>
      <c r="B139" t="s">
        <v>395</v>
      </c>
    </row>
    <row r="140" spans="1:23" x14ac:dyDescent="0.2">
      <c r="A140" t="s">
        <v>396</v>
      </c>
      <c r="B140" t="s">
        <v>397</v>
      </c>
    </row>
    <row r="141" spans="1:23" x14ac:dyDescent="0.2">
      <c r="A141" t="s">
        <v>398</v>
      </c>
      <c r="B141" t="s">
        <v>399</v>
      </c>
    </row>
    <row r="142" spans="1:23" x14ac:dyDescent="0.2">
      <c r="A142" t="s">
        <v>400</v>
      </c>
      <c r="B142" t="s">
        <v>401</v>
      </c>
    </row>
    <row r="143" spans="1:23" x14ac:dyDescent="0.2">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
      <c r="A144" t="s">
        <v>403</v>
      </c>
      <c r="B144">
        <v>1</v>
      </c>
    </row>
    <row r="145" spans="1:2" x14ac:dyDescent="0.2">
      <c r="A145" t="s">
        <v>404</v>
      </c>
      <c r="B145">
        <v>2</v>
      </c>
    </row>
    <row r="146" spans="1:2" x14ac:dyDescent="0.2">
      <c r="A146" t="s">
        <v>405</v>
      </c>
      <c r="B146">
        <v>3</v>
      </c>
    </row>
    <row r="147" spans="1:2" x14ac:dyDescent="0.2">
      <c r="A147" t="s">
        <v>406</v>
      </c>
      <c r="B147">
        <v>4</v>
      </c>
    </row>
    <row r="148" spans="1:2" x14ac:dyDescent="0.2">
      <c r="A148" t="s">
        <v>407</v>
      </c>
      <c r="B148">
        <v>5</v>
      </c>
    </row>
    <row r="149" spans="1:2" x14ac:dyDescent="0.2">
      <c r="A149" t="s">
        <v>408</v>
      </c>
      <c r="B149">
        <v>6</v>
      </c>
    </row>
    <row r="150" spans="1:2" x14ac:dyDescent="0.2">
      <c r="A150" t="s">
        <v>409</v>
      </c>
      <c r="B150">
        <v>8</v>
      </c>
    </row>
    <row r="151" spans="1:2" x14ac:dyDescent="0.2">
      <c r="A151" t="s">
        <v>410</v>
      </c>
      <c r="B151">
        <v>9</v>
      </c>
    </row>
    <row r="152" spans="1:2" x14ac:dyDescent="0.2">
      <c r="A152" t="s">
        <v>411</v>
      </c>
      <c r="B152">
        <v>10</v>
      </c>
    </row>
    <row r="153" spans="1:2" x14ac:dyDescent="0.2">
      <c r="A153" t="s">
        <v>412</v>
      </c>
      <c r="B153">
        <v>11</v>
      </c>
    </row>
    <row r="154" spans="1:2" x14ac:dyDescent="0.2">
      <c r="A154" t="s">
        <v>413</v>
      </c>
      <c r="B154">
        <v>12</v>
      </c>
    </row>
    <row r="155" spans="1:2" x14ac:dyDescent="0.2">
      <c r="A155" t="s">
        <v>414</v>
      </c>
      <c r="B155">
        <v>13</v>
      </c>
    </row>
    <row r="156" spans="1:2" x14ac:dyDescent="0.2">
      <c r="A156" t="s">
        <v>415</v>
      </c>
      <c r="B156">
        <v>14</v>
      </c>
    </row>
    <row r="157" spans="1:2" x14ac:dyDescent="0.2">
      <c r="A157" t="s">
        <v>416</v>
      </c>
      <c r="B157">
        <v>15</v>
      </c>
    </row>
    <row r="158" spans="1:2" x14ac:dyDescent="0.2">
      <c r="A158" t="s">
        <v>417</v>
      </c>
      <c r="B158">
        <v>16</v>
      </c>
    </row>
    <row r="159" spans="1:2" x14ac:dyDescent="0.2">
      <c r="A159" t="s">
        <v>418</v>
      </c>
      <c r="B159">
        <v>17</v>
      </c>
    </row>
    <row r="160" spans="1:2" x14ac:dyDescent="0.2">
      <c r="A160" t="s">
        <v>419</v>
      </c>
      <c r="B160">
        <v>18</v>
      </c>
    </row>
    <row r="161" spans="1:2" x14ac:dyDescent="0.2">
      <c r="A161" t="s">
        <v>420</v>
      </c>
      <c r="B161">
        <v>19</v>
      </c>
    </row>
    <row r="162" spans="1:2" x14ac:dyDescent="0.2">
      <c r="A162" t="s">
        <v>421</v>
      </c>
      <c r="B162">
        <v>20</v>
      </c>
    </row>
    <row r="163" spans="1:2" x14ac:dyDescent="0.2">
      <c r="A163" t="s">
        <v>422</v>
      </c>
      <c r="B163">
        <v>21</v>
      </c>
    </row>
    <row r="164" spans="1:2" x14ac:dyDescent="0.2">
      <c r="A164" t="s">
        <v>423</v>
      </c>
      <c r="B164">
        <v>22</v>
      </c>
    </row>
    <row r="165" spans="1:2" x14ac:dyDescent="0.2">
      <c r="A165" t="s">
        <v>424</v>
      </c>
      <c r="B165">
        <v>23</v>
      </c>
    </row>
    <row r="166" spans="1:2" x14ac:dyDescent="0.2">
      <c r="A166" t="s">
        <v>425</v>
      </c>
      <c r="B166">
        <v>24</v>
      </c>
    </row>
    <row r="167" spans="1:2" x14ac:dyDescent="0.2">
      <c r="A167" t="s">
        <v>426</v>
      </c>
      <c r="B167">
        <v>25</v>
      </c>
    </row>
    <row r="168" spans="1:2" x14ac:dyDescent="0.2">
      <c r="A168" t="s">
        <v>427</v>
      </c>
      <c r="B168">
        <v>26</v>
      </c>
    </row>
    <row r="169" spans="1:2" x14ac:dyDescent="0.2">
      <c r="A169" t="s">
        <v>428</v>
      </c>
      <c r="B169">
        <v>27</v>
      </c>
    </row>
    <row r="170" spans="1:2" x14ac:dyDescent="0.2">
      <c r="A170" t="s">
        <v>429</v>
      </c>
      <c r="B170">
        <v>28</v>
      </c>
    </row>
    <row r="171" spans="1:2" x14ac:dyDescent="0.2">
      <c r="A171" t="s">
        <v>430</v>
      </c>
      <c r="B171">
        <v>29</v>
      </c>
    </row>
    <row r="172" spans="1:2" x14ac:dyDescent="0.2">
      <c r="A172" t="s">
        <v>431</v>
      </c>
      <c r="B172">
        <v>31</v>
      </c>
    </row>
    <row r="173" spans="1:2" x14ac:dyDescent="0.2">
      <c r="A173" t="s">
        <v>432</v>
      </c>
      <c r="B173">
        <v>32</v>
      </c>
    </row>
    <row r="174" spans="1:2" x14ac:dyDescent="0.2">
      <c r="A174" t="s">
        <v>433</v>
      </c>
      <c r="B174">
        <v>33</v>
      </c>
    </row>
    <row r="175" spans="1:2" x14ac:dyDescent="0.2">
      <c r="A175" t="s">
        <v>434</v>
      </c>
      <c r="B175">
        <v>34</v>
      </c>
    </row>
    <row r="176" spans="1:2" x14ac:dyDescent="0.2">
      <c r="A176" t="s">
        <v>435</v>
      </c>
      <c r="B176">
        <v>35</v>
      </c>
    </row>
    <row r="177" spans="1:2" x14ac:dyDescent="0.2">
      <c r="A177" t="s">
        <v>436</v>
      </c>
      <c r="B177">
        <v>36</v>
      </c>
    </row>
    <row r="178" spans="1:2" x14ac:dyDescent="0.2">
      <c r="A178" t="s">
        <v>437</v>
      </c>
      <c r="B178">
        <v>37</v>
      </c>
    </row>
    <row r="179" spans="1:2" x14ac:dyDescent="0.2">
      <c r="A179" t="s">
        <v>438</v>
      </c>
      <c r="B179">
        <v>38</v>
      </c>
    </row>
    <row r="180" spans="1:2" x14ac:dyDescent="0.2">
      <c r="A180" t="s">
        <v>439</v>
      </c>
      <c r="B180">
        <v>39</v>
      </c>
    </row>
    <row r="181" spans="1:2" x14ac:dyDescent="0.2">
      <c r="A181" t="s">
        <v>440</v>
      </c>
      <c r="B181">
        <v>40</v>
      </c>
    </row>
    <row r="182" spans="1:2" x14ac:dyDescent="0.2">
      <c r="A182" t="s">
        <v>441</v>
      </c>
      <c r="B182">
        <v>41</v>
      </c>
    </row>
    <row r="183" spans="1:2" x14ac:dyDescent="0.2">
      <c r="A183" t="s">
        <v>442</v>
      </c>
      <c r="B183">
        <v>42</v>
      </c>
    </row>
    <row r="184" spans="1:2" x14ac:dyDescent="0.2">
      <c r="A184" t="s">
        <v>443</v>
      </c>
      <c r="B184">
        <v>43</v>
      </c>
    </row>
    <row r="185" spans="1:2" x14ac:dyDescent="0.2">
      <c r="A185" t="s">
        <v>444</v>
      </c>
      <c r="B185">
        <v>44</v>
      </c>
    </row>
    <row r="186" spans="1:2" x14ac:dyDescent="0.2">
      <c r="A186" t="s">
        <v>445</v>
      </c>
      <c r="B186">
        <v>45</v>
      </c>
    </row>
    <row r="187" spans="1:2" x14ac:dyDescent="0.2">
      <c r="A187" t="s">
        <v>446</v>
      </c>
      <c r="B187">
        <v>46</v>
      </c>
    </row>
    <row r="188" spans="1:2" x14ac:dyDescent="0.2">
      <c r="A188" t="s">
        <v>447</v>
      </c>
      <c r="B188">
        <v>47</v>
      </c>
    </row>
    <row r="189" spans="1:2" x14ac:dyDescent="0.2">
      <c r="A189" t="s">
        <v>448</v>
      </c>
      <c r="B189">
        <v>48</v>
      </c>
    </row>
    <row r="190" spans="1:2" x14ac:dyDescent="0.2">
      <c r="A190" t="s">
        <v>449</v>
      </c>
      <c r="B190">
        <v>49</v>
      </c>
    </row>
    <row r="191" spans="1:2" x14ac:dyDescent="0.2">
      <c r="A191" t="s">
        <v>450</v>
      </c>
      <c r="B191">
        <v>50</v>
      </c>
    </row>
    <row r="192" spans="1:2" x14ac:dyDescent="0.2">
      <c r="A192" t="s">
        <v>451</v>
      </c>
      <c r="B192">
        <v>51</v>
      </c>
    </row>
    <row r="193" spans="1:2" x14ac:dyDescent="0.2">
      <c r="A193" t="s">
        <v>452</v>
      </c>
      <c r="B193">
        <v>52</v>
      </c>
    </row>
    <row r="194" spans="1:2" x14ac:dyDescent="0.2">
      <c r="A194" t="s">
        <v>453</v>
      </c>
      <c r="B194">
        <v>54</v>
      </c>
    </row>
    <row r="195" spans="1:2" x14ac:dyDescent="0.2">
      <c r="A195" t="s">
        <v>454</v>
      </c>
      <c r="B195">
        <v>55</v>
      </c>
    </row>
    <row r="196" spans="1:2" x14ac:dyDescent="0.2">
      <c r="A196" t="s">
        <v>455</v>
      </c>
      <c r="B196">
        <v>56</v>
      </c>
    </row>
    <row r="197" spans="1:2" x14ac:dyDescent="0.2">
      <c r="A197" t="s">
        <v>456</v>
      </c>
      <c r="B197">
        <v>57</v>
      </c>
    </row>
    <row r="198" spans="1:2" x14ac:dyDescent="0.2">
      <c r="A198" t="s">
        <v>457</v>
      </c>
      <c r="B198">
        <v>58</v>
      </c>
    </row>
    <row r="199" spans="1:2" x14ac:dyDescent="0.2">
      <c r="A199" t="s">
        <v>458</v>
      </c>
      <c r="B199">
        <v>59</v>
      </c>
    </row>
    <row r="200" spans="1:2" x14ac:dyDescent="0.2">
      <c r="A200" t="s">
        <v>459</v>
      </c>
      <c r="B200" t="s">
        <v>460</v>
      </c>
    </row>
    <row r="201" spans="1:2" x14ac:dyDescent="0.2">
      <c r="A201" t="s">
        <v>461</v>
      </c>
      <c r="B201" t="s">
        <v>462</v>
      </c>
    </row>
    <row r="202" spans="1:2" x14ac:dyDescent="0.2">
      <c r="A202" t="s">
        <v>463</v>
      </c>
      <c r="B202" t="s">
        <v>464</v>
      </c>
    </row>
    <row r="203" spans="1:2" x14ac:dyDescent="0.2">
      <c r="A203" t="s">
        <v>465</v>
      </c>
      <c r="B203" t="s">
        <v>466</v>
      </c>
    </row>
    <row r="204" spans="1:2" x14ac:dyDescent="0.2">
      <c r="A204" t="s">
        <v>467</v>
      </c>
      <c r="B204" t="s">
        <v>468</v>
      </c>
    </row>
    <row r="205" spans="1:2" x14ac:dyDescent="0.2">
      <c r="A205" t="s">
        <v>469</v>
      </c>
      <c r="B205" t="s">
        <v>470</v>
      </c>
    </row>
    <row r="206" spans="1:2" x14ac:dyDescent="0.2">
      <c r="A206" t="s">
        <v>471</v>
      </c>
      <c r="B206" t="s">
        <v>472</v>
      </c>
    </row>
    <row r="207" spans="1:2" x14ac:dyDescent="0.2">
      <c r="A207" t="s">
        <v>473</v>
      </c>
      <c r="B207" t="s">
        <v>474</v>
      </c>
    </row>
    <row r="208" spans="1:2" x14ac:dyDescent="0.2">
      <c r="A208" t="s">
        <v>475</v>
      </c>
      <c r="B208" t="s">
        <v>476</v>
      </c>
    </row>
    <row r="209" spans="1:23" x14ac:dyDescent="0.2">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
      <c r="A210" t="s">
        <v>478</v>
      </c>
      <c r="B210">
        <v>1</v>
      </c>
    </row>
    <row r="211" spans="1:23" x14ac:dyDescent="0.2">
      <c r="A211" t="s">
        <v>479</v>
      </c>
      <c r="B211">
        <v>2</v>
      </c>
    </row>
    <row r="212" spans="1:23" x14ac:dyDescent="0.2">
      <c r="A212" t="s">
        <v>480</v>
      </c>
      <c r="B212">
        <v>3</v>
      </c>
    </row>
    <row r="213" spans="1:23" x14ac:dyDescent="0.2">
      <c r="A213" t="s">
        <v>481</v>
      </c>
      <c r="B213">
        <v>4</v>
      </c>
    </row>
    <row r="214" spans="1:23" x14ac:dyDescent="0.2">
      <c r="A214" t="s">
        <v>482</v>
      </c>
      <c r="B214">
        <v>5</v>
      </c>
    </row>
    <row r="215" spans="1:23" x14ac:dyDescent="0.2">
      <c r="A215" t="s">
        <v>483</v>
      </c>
      <c r="B215">
        <v>6</v>
      </c>
    </row>
    <row r="216" spans="1:23" x14ac:dyDescent="0.2">
      <c r="A216" t="s">
        <v>484</v>
      </c>
      <c r="B216">
        <v>7</v>
      </c>
    </row>
    <row r="217" spans="1:23" x14ac:dyDescent="0.2">
      <c r="A217" t="s">
        <v>485</v>
      </c>
      <c r="B217">
        <v>9</v>
      </c>
    </row>
    <row r="218" spans="1:23" x14ac:dyDescent="0.2">
      <c r="A218" t="s">
        <v>486</v>
      </c>
      <c r="B218">
        <v>10</v>
      </c>
    </row>
    <row r="219" spans="1:23" x14ac:dyDescent="0.2">
      <c r="A219" t="s">
        <v>487</v>
      </c>
      <c r="B219">
        <v>11</v>
      </c>
    </row>
    <row r="220" spans="1:23" x14ac:dyDescent="0.2">
      <c r="A220" t="s">
        <v>488</v>
      </c>
      <c r="B220">
        <v>12</v>
      </c>
    </row>
    <row r="221" spans="1:23" x14ac:dyDescent="0.2">
      <c r="A221" t="s">
        <v>489</v>
      </c>
      <c r="B221">
        <v>13</v>
      </c>
    </row>
    <row r="222" spans="1:23" x14ac:dyDescent="0.2">
      <c r="A222" t="s">
        <v>490</v>
      </c>
      <c r="B222">
        <v>14</v>
      </c>
    </row>
    <row r="223" spans="1:23" x14ac:dyDescent="0.2">
      <c r="A223" t="s">
        <v>491</v>
      </c>
      <c r="B223">
        <v>15</v>
      </c>
    </row>
    <row r="224" spans="1:23" x14ac:dyDescent="0.2">
      <c r="A224" t="s">
        <v>492</v>
      </c>
      <c r="B224">
        <v>16</v>
      </c>
    </row>
    <row r="225" spans="1:2" x14ac:dyDescent="0.2">
      <c r="A225" t="s">
        <v>493</v>
      </c>
      <c r="B225">
        <v>17</v>
      </c>
    </row>
    <row r="226" spans="1:2" x14ac:dyDescent="0.2">
      <c r="A226" t="s">
        <v>494</v>
      </c>
      <c r="B226">
        <v>18</v>
      </c>
    </row>
    <row r="227" spans="1:2" x14ac:dyDescent="0.2">
      <c r="A227" t="s">
        <v>495</v>
      </c>
      <c r="B227">
        <v>19</v>
      </c>
    </row>
    <row r="228" spans="1:2" x14ac:dyDescent="0.2">
      <c r="A228" t="s">
        <v>496</v>
      </c>
      <c r="B228">
        <v>20</v>
      </c>
    </row>
    <row r="229" spans="1:2" x14ac:dyDescent="0.2">
      <c r="A229" t="s">
        <v>497</v>
      </c>
      <c r="B229">
        <v>21</v>
      </c>
    </row>
    <row r="230" spans="1:2" x14ac:dyDescent="0.2">
      <c r="A230" t="s">
        <v>498</v>
      </c>
      <c r="B230">
        <v>22</v>
      </c>
    </row>
    <row r="231" spans="1:2" x14ac:dyDescent="0.2">
      <c r="A231" t="s">
        <v>499</v>
      </c>
      <c r="B231">
        <v>23</v>
      </c>
    </row>
    <row r="232" spans="1:2" x14ac:dyDescent="0.2">
      <c r="A232" t="s">
        <v>500</v>
      </c>
      <c r="B232">
        <v>24</v>
      </c>
    </row>
    <row r="233" spans="1:2" x14ac:dyDescent="0.2">
      <c r="A233" t="s">
        <v>501</v>
      </c>
      <c r="B233">
        <v>25</v>
      </c>
    </row>
    <row r="234" spans="1:2" x14ac:dyDescent="0.2">
      <c r="A234" t="s">
        <v>502</v>
      </c>
      <c r="B234">
        <v>26</v>
      </c>
    </row>
    <row r="235" spans="1:2" x14ac:dyDescent="0.2">
      <c r="A235" t="s">
        <v>503</v>
      </c>
      <c r="B235">
        <v>27</v>
      </c>
    </row>
    <row r="236" spans="1:2" x14ac:dyDescent="0.2">
      <c r="A236" t="s">
        <v>504</v>
      </c>
      <c r="B236">
        <v>28</v>
      </c>
    </row>
    <row r="237" spans="1:2" x14ac:dyDescent="0.2">
      <c r="A237" t="s">
        <v>505</v>
      </c>
      <c r="B237">
        <v>29</v>
      </c>
    </row>
    <row r="238" spans="1:2" x14ac:dyDescent="0.2">
      <c r="A238" t="s">
        <v>506</v>
      </c>
      <c r="B238">
        <v>30</v>
      </c>
    </row>
    <row r="239" spans="1:2" x14ac:dyDescent="0.2">
      <c r="A239" t="s">
        <v>507</v>
      </c>
      <c r="B239">
        <v>31</v>
      </c>
    </row>
    <row r="240" spans="1:2" x14ac:dyDescent="0.2">
      <c r="A240" t="s">
        <v>508</v>
      </c>
      <c r="B240">
        <v>33</v>
      </c>
    </row>
    <row r="241" spans="1:2" x14ac:dyDescent="0.2">
      <c r="A241" t="s">
        <v>509</v>
      </c>
      <c r="B241">
        <v>34</v>
      </c>
    </row>
    <row r="242" spans="1:2" x14ac:dyDescent="0.2">
      <c r="A242" t="s">
        <v>510</v>
      </c>
      <c r="B242">
        <v>35</v>
      </c>
    </row>
    <row r="243" spans="1:2" x14ac:dyDescent="0.2">
      <c r="A243" t="s">
        <v>511</v>
      </c>
      <c r="B243">
        <v>36</v>
      </c>
    </row>
    <row r="244" spans="1:2" x14ac:dyDescent="0.2">
      <c r="A244" t="s">
        <v>512</v>
      </c>
      <c r="B244">
        <v>37</v>
      </c>
    </row>
    <row r="245" spans="1:2" x14ac:dyDescent="0.2">
      <c r="A245" t="s">
        <v>513</v>
      </c>
      <c r="B245">
        <v>38</v>
      </c>
    </row>
    <row r="246" spans="1:2" x14ac:dyDescent="0.2">
      <c r="A246" t="s">
        <v>514</v>
      </c>
      <c r="B246">
        <v>39</v>
      </c>
    </row>
    <row r="247" spans="1:2" x14ac:dyDescent="0.2">
      <c r="A247" t="s">
        <v>515</v>
      </c>
      <c r="B247">
        <v>40</v>
      </c>
    </row>
    <row r="248" spans="1:2" x14ac:dyDescent="0.2">
      <c r="A248" t="s">
        <v>516</v>
      </c>
      <c r="B248">
        <v>41</v>
      </c>
    </row>
    <row r="249" spans="1:2" x14ac:dyDescent="0.2">
      <c r="A249" t="s">
        <v>517</v>
      </c>
      <c r="B249">
        <v>42</v>
      </c>
    </row>
    <row r="250" spans="1:2" x14ac:dyDescent="0.2">
      <c r="A250" t="s">
        <v>518</v>
      </c>
      <c r="B250">
        <v>43</v>
      </c>
    </row>
    <row r="251" spans="1:2" x14ac:dyDescent="0.2">
      <c r="A251" t="s">
        <v>519</v>
      </c>
      <c r="B251">
        <v>44</v>
      </c>
    </row>
    <row r="252" spans="1:2" x14ac:dyDescent="0.2">
      <c r="A252" t="s">
        <v>520</v>
      </c>
      <c r="B252">
        <v>45</v>
      </c>
    </row>
    <row r="253" spans="1:2" x14ac:dyDescent="0.2">
      <c r="A253" t="s">
        <v>521</v>
      </c>
      <c r="B253">
        <v>46</v>
      </c>
    </row>
    <row r="254" spans="1:2" x14ac:dyDescent="0.2">
      <c r="A254" t="s">
        <v>522</v>
      </c>
      <c r="B254">
        <v>47</v>
      </c>
    </row>
    <row r="255" spans="1:2" x14ac:dyDescent="0.2">
      <c r="A255" t="s">
        <v>523</v>
      </c>
      <c r="B255">
        <v>48</v>
      </c>
    </row>
    <row r="256" spans="1:2" x14ac:dyDescent="0.2">
      <c r="A256" t="s">
        <v>524</v>
      </c>
      <c r="B256">
        <v>49</v>
      </c>
    </row>
    <row r="257" spans="1:2" x14ac:dyDescent="0.2">
      <c r="A257" t="s">
        <v>525</v>
      </c>
      <c r="B257">
        <v>50</v>
      </c>
    </row>
    <row r="258" spans="1:2" x14ac:dyDescent="0.2">
      <c r="A258" t="s">
        <v>526</v>
      </c>
      <c r="B258">
        <v>51</v>
      </c>
    </row>
    <row r="259" spans="1:2" x14ac:dyDescent="0.2">
      <c r="A259" t="s">
        <v>527</v>
      </c>
      <c r="B259">
        <v>52</v>
      </c>
    </row>
    <row r="260" spans="1:2" x14ac:dyDescent="0.2">
      <c r="A260" t="s">
        <v>528</v>
      </c>
      <c r="B260">
        <v>53</v>
      </c>
    </row>
    <row r="261" spans="1:2" x14ac:dyDescent="0.2">
      <c r="A261" t="s">
        <v>529</v>
      </c>
      <c r="B261">
        <v>54</v>
      </c>
    </row>
    <row r="262" spans="1:2" x14ac:dyDescent="0.2">
      <c r="A262" t="s">
        <v>530</v>
      </c>
      <c r="B262">
        <v>55</v>
      </c>
    </row>
    <row r="263" spans="1:2" x14ac:dyDescent="0.2">
      <c r="A263" t="s">
        <v>531</v>
      </c>
      <c r="B263">
        <v>57</v>
      </c>
    </row>
    <row r="264" spans="1:2" x14ac:dyDescent="0.2">
      <c r="A264" t="s">
        <v>532</v>
      </c>
      <c r="B264">
        <v>58</v>
      </c>
    </row>
    <row r="265" spans="1:2" x14ac:dyDescent="0.2">
      <c r="A265" t="s">
        <v>533</v>
      </c>
      <c r="B265">
        <v>59</v>
      </c>
    </row>
    <row r="266" spans="1:2" x14ac:dyDescent="0.2">
      <c r="A266" t="s">
        <v>534</v>
      </c>
      <c r="B266">
        <v>60</v>
      </c>
    </row>
    <row r="267" spans="1:2" x14ac:dyDescent="0.2">
      <c r="A267" t="s">
        <v>535</v>
      </c>
      <c r="B267">
        <v>62</v>
      </c>
    </row>
    <row r="268" spans="1:2" x14ac:dyDescent="0.2">
      <c r="A268" t="s">
        <v>536</v>
      </c>
      <c r="B268">
        <v>63</v>
      </c>
    </row>
    <row r="269" spans="1:2" x14ac:dyDescent="0.2">
      <c r="A269" t="s">
        <v>537</v>
      </c>
      <c r="B269">
        <v>64</v>
      </c>
    </row>
    <row r="270" spans="1:2" x14ac:dyDescent="0.2">
      <c r="A270" t="s">
        <v>538</v>
      </c>
      <c r="B270">
        <v>65</v>
      </c>
    </row>
    <row r="271" spans="1:2" x14ac:dyDescent="0.2">
      <c r="A271" t="s">
        <v>539</v>
      </c>
      <c r="B271">
        <v>66</v>
      </c>
    </row>
    <row r="272" spans="1:2" x14ac:dyDescent="0.2">
      <c r="A272" t="s">
        <v>540</v>
      </c>
      <c r="B272">
        <v>68</v>
      </c>
    </row>
    <row r="273" spans="1:24" x14ac:dyDescent="0.2">
      <c r="A273" t="s">
        <v>541</v>
      </c>
      <c r="B273">
        <v>69</v>
      </c>
    </row>
    <row r="274" spans="1:24" x14ac:dyDescent="0.2">
      <c r="A274" t="s">
        <v>542</v>
      </c>
      <c r="B274">
        <v>70</v>
      </c>
    </row>
    <row r="275" spans="1:24" x14ac:dyDescent="0.2">
      <c r="A275" t="s">
        <v>543</v>
      </c>
      <c r="B275">
        <v>71</v>
      </c>
    </row>
    <row r="276" spans="1:24" x14ac:dyDescent="0.2">
      <c r="A276" t="s">
        <v>544</v>
      </c>
      <c r="B276">
        <v>72</v>
      </c>
    </row>
    <row r="277" spans="1:24" x14ac:dyDescent="0.2">
      <c r="A277" t="s">
        <v>545</v>
      </c>
      <c r="B277" t="s">
        <v>546</v>
      </c>
    </row>
    <row r="278" spans="1:24" x14ac:dyDescent="0.2">
      <c r="A278" t="s">
        <v>547</v>
      </c>
      <c r="B278" t="s">
        <v>548</v>
      </c>
    </row>
    <row r="279" spans="1:24" x14ac:dyDescent="0.2">
      <c r="A279" t="s">
        <v>549</v>
      </c>
      <c r="B279" t="s">
        <v>550</v>
      </c>
    </row>
    <row r="280" spans="1:24" x14ac:dyDescent="0.2">
      <c r="A280" t="s">
        <v>551</v>
      </c>
      <c r="B280" t="s">
        <v>552</v>
      </c>
    </row>
    <row r="281" spans="1:24" x14ac:dyDescent="0.2">
      <c r="A281" t="s">
        <v>553</v>
      </c>
      <c r="B281" t="s">
        <v>554</v>
      </c>
    </row>
    <row r="282" spans="1:24" x14ac:dyDescent="0.2">
      <c r="A282" t="s">
        <v>555</v>
      </c>
      <c r="B282" t="s">
        <v>556</v>
      </c>
    </row>
    <row r="283" spans="1:24" x14ac:dyDescent="0.2">
      <c r="A283" t="s">
        <v>557</v>
      </c>
      <c r="B283" t="s">
        <v>558</v>
      </c>
    </row>
    <row r="284" spans="1:24" x14ac:dyDescent="0.2">
      <c r="A284" t="s">
        <v>559</v>
      </c>
      <c r="B284" t="s">
        <v>560</v>
      </c>
    </row>
    <row r="285" spans="1:24" x14ac:dyDescent="0.2">
      <c r="A285" t="s">
        <v>561</v>
      </c>
      <c r="B285" t="s">
        <v>562</v>
      </c>
    </row>
    <row r="286" spans="1:24" x14ac:dyDescent="0.2">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G19"/>
  <sheetViews>
    <sheetView zoomScale="55" zoomScaleNormal="55" workbookViewId="0">
      <pane xSplit="2" ySplit="4" topLeftCell="I5" activePane="bottomRight" state="frozen"/>
      <selection pane="topRight" activeCell="C1" sqref="C1"/>
      <selection pane="bottomLeft" activeCell="A5" sqref="A5"/>
      <selection pane="bottomRight" activeCell="AJ30" sqref="AJ30"/>
    </sheetView>
  </sheetViews>
  <sheetFormatPr baseColWidth="10" defaultColWidth="8.83203125" defaultRowHeight="15" outlineLevelRow="2" x14ac:dyDescent="0.2"/>
  <cols>
    <col min="2" max="2" width="24.6640625" customWidth="1"/>
    <col min="3" max="4" width="10.6640625" customWidth="1"/>
    <col min="7" max="7" width="1.6640625" customWidth="1"/>
    <col min="10" max="13" width="10.6640625" customWidth="1"/>
    <col min="14" max="14" width="24.6640625" hidden="1" customWidth="1"/>
    <col min="15" max="15" width="12.6640625" customWidth="1"/>
    <col min="16" max="16" width="10.6640625" customWidth="1"/>
    <col min="17" max="20" width="12.6640625" customWidth="1"/>
    <col min="21" max="25" width="11.6640625" customWidth="1"/>
    <col min="30" max="30" width="1.6640625" customWidth="1"/>
    <col min="33" max="36" width="10.6640625" customWidth="1"/>
    <col min="37" max="37" width="24.6640625" hidden="1" customWidth="1"/>
    <col min="38" max="38" width="12.6640625" customWidth="1"/>
    <col min="39" max="39" width="10.6640625" customWidth="1"/>
    <col min="40" max="43" width="12.6640625" customWidth="1"/>
    <col min="44" max="48" width="11.6640625" customWidth="1"/>
    <col min="53" max="53" width="1.6640625" customWidth="1"/>
    <col min="60" max="60" width="1.6640625" customWidth="1"/>
  </cols>
  <sheetData>
    <row r="1" spans="1:59" x14ac:dyDescent="0.2">
      <c r="A1" s="72" t="s">
        <v>564</v>
      </c>
      <c r="B1" s="58"/>
      <c r="C1" s="58"/>
      <c r="D1" s="58"/>
      <c r="E1" s="58"/>
      <c r="F1" s="58"/>
      <c r="H1" s="57" t="str">
        <f>Summary!$C$1</f>
        <v>CTC_master+r220</v>
      </c>
      <c r="I1" s="58"/>
      <c r="J1" s="58"/>
      <c r="K1" s="58"/>
      <c r="L1" s="58"/>
      <c r="M1" s="58"/>
      <c r="N1" s="58"/>
      <c r="O1" s="58"/>
      <c r="P1" s="58"/>
      <c r="Q1" s="58"/>
      <c r="R1" s="58"/>
      <c r="S1" s="58"/>
      <c r="T1" s="58"/>
      <c r="U1" s="58"/>
      <c r="V1" s="58"/>
      <c r="W1" s="58"/>
      <c r="X1" s="58"/>
      <c r="Y1" s="58"/>
      <c r="Z1" s="58"/>
      <c r="AA1" s="58"/>
      <c r="AB1" s="58"/>
      <c r="AC1" s="58"/>
      <c r="AE1" s="59">
        <f>Summary!$C$2</f>
        <v>0</v>
      </c>
      <c r="AF1" s="58"/>
      <c r="AG1" s="58"/>
      <c r="AH1" s="58"/>
      <c r="AI1" s="58"/>
      <c r="AJ1" s="58"/>
      <c r="AK1" s="58"/>
      <c r="AL1" s="58"/>
      <c r="AM1" s="58"/>
      <c r="AN1" s="58"/>
      <c r="AO1" s="58"/>
      <c r="AP1" s="58"/>
      <c r="AQ1" s="58"/>
      <c r="AR1" s="58"/>
      <c r="AS1" s="58"/>
      <c r="AT1" s="58"/>
      <c r="AU1" s="58"/>
      <c r="AV1" s="58"/>
      <c r="AW1" s="58"/>
      <c r="AX1" s="58"/>
      <c r="AY1" s="58"/>
      <c r="AZ1" s="58"/>
    </row>
    <row r="2" spans="1:59" ht="30" customHeight="1" x14ac:dyDescent="0.2">
      <c r="A2" s="68" t="s">
        <v>137</v>
      </c>
      <c r="B2" s="69" t="s">
        <v>138</v>
      </c>
      <c r="C2" s="68" t="s">
        <v>140</v>
      </c>
      <c r="D2" s="69" t="s">
        <v>141</v>
      </c>
      <c r="E2" s="68" t="s">
        <v>142</v>
      </c>
      <c r="F2" s="69" t="s">
        <v>143</v>
      </c>
      <c r="H2" s="68" t="s">
        <v>565</v>
      </c>
      <c r="I2" s="69" t="s">
        <v>144</v>
      </c>
      <c r="J2" s="70" t="s">
        <v>145</v>
      </c>
      <c r="K2" s="58"/>
      <c r="L2" s="58"/>
      <c r="M2" s="58"/>
      <c r="N2" s="68" t="s">
        <v>146</v>
      </c>
      <c r="O2" s="69" t="s">
        <v>147</v>
      </c>
      <c r="P2" s="68" t="s">
        <v>84</v>
      </c>
      <c r="Q2" s="71" t="s">
        <v>148</v>
      </c>
      <c r="R2" s="58"/>
      <c r="S2" s="58"/>
      <c r="T2" s="58"/>
      <c r="U2" s="70" t="s">
        <v>149</v>
      </c>
      <c r="V2" s="58"/>
      <c r="W2" s="71" t="s">
        <v>150</v>
      </c>
      <c r="X2" s="58"/>
      <c r="Y2" s="58"/>
      <c r="Z2" s="70" t="s">
        <v>151</v>
      </c>
      <c r="AA2" s="58"/>
      <c r="AB2" s="71" t="s">
        <v>152</v>
      </c>
      <c r="AC2" s="58"/>
      <c r="AE2" s="68" t="s">
        <v>565</v>
      </c>
      <c r="AF2" s="69" t="s">
        <v>144</v>
      </c>
      <c r="AG2" s="70" t="s">
        <v>145</v>
      </c>
      <c r="AH2" s="58"/>
      <c r="AI2" s="58"/>
      <c r="AJ2" s="58"/>
      <c r="AK2" s="68" t="s">
        <v>153</v>
      </c>
      <c r="AL2" s="69" t="s">
        <v>147</v>
      </c>
      <c r="AM2" s="68" t="s">
        <v>84</v>
      </c>
      <c r="AN2" s="71" t="s">
        <v>148</v>
      </c>
      <c r="AO2" s="58"/>
      <c r="AP2" s="58"/>
      <c r="AQ2" s="58"/>
      <c r="AR2" s="70" t="s">
        <v>149</v>
      </c>
      <c r="AS2" s="58"/>
      <c r="AT2" s="71" t="s">
        <v>150</v>
      </c>
      <c r="AU2" s="58"/>
      <c r="AV2" s="58"/>
      <c r="AW2" s="70" t="s">
        <v>151</v>
      </c>
      <c r="AX2" s="58"/>
      <c r="AY2" s="71" t="s">
        <v>152</v>
      </c>
      <c r="AZ2" s="58"/>
      <c r="BB2" s="70" t="s">
        <v>22</v>
      </c>
      <c r="BC2" s="58"/>
      <c r="BD2" s="58"/>
      <c r="BE2" s="58"/>
      <c r="BF2" s="69" t="s">
        <v>156</v>
      </c>
      <c r="BG2" s="68" t="s">
        <v>156</v>
      </c>
    </row>
    <row r="3" spans="1:59" ht="29" customHeight="1" x14ac:dyDescent="0.2">
      <c r="A3" s="61"/>
      <c r="B3" s="61"/>
      <c r="C3" s="61"/>
      <c r="D3" s="61"/>
      <c r="E3" s="61"/>
      <c r="F3" s="61"/>
      <c r="H3" s="61"/>
      <c r="I3" s="61"/>
      <c r="J3" s="10" t="s">
        <v>25</v>
      </c>
      <c r="K3" s="10" t="s">
        <v>23</v>
      </c>
      <c r="L3" s="10" t="s">
        <v>157</v>
      </c>
      <c r="M3" s="10" t="s">
        <v>158</v>
      </c>
      <c r="N3" s="61"/>
      <c r="O3" s="61"/>
      <c r="P3" s="61"/>
      <c r="Q3" s="11" t="s">
        <v>25</v>
      </c>
      <c r="R3" s="11" t="s">
        <v>157</v>
      </c>
      <c r="S3" s="11" t="s">
        <v>159</v>
      </c>
      <c r="T3" s="11" t="s">
        <v>24</v>
      </c>
      <c r="U3" s="10" t="s">
        <v>9</v>
      </c>
      <c r="V3" s="10" t="s">
        <v>10</v>
      </c>
      <c r="W3" s="11" t="s">
        <v>11</v>
      </c>
      <c r="X3" s="11" t="s">
        <v>12</v>
      </c>
      <c r="Y3" s="11" t="s">
        <v>13</v>
      </c>
      <c r="Z3" s="10" t="s">
        <v>160</v>
      </c>
      <c r="AA3" s="10" t="s">
        <v>161</v>
      </c>
      <c r="AB3" s="11" t="s">
        <v>160</v>
      </c>
      <c r="AC3" s="11" t="s">
        <v>161</v>
      </c>
      <c r="AE3" s="61"/>
      <c r="AF3" s="61"/>
      <c r="AG3" s="10" t="s">
        <v>25</v>
      </c>
      <c r="AH3" s="10" t="s">
        <v>23</v>
      </c>
      <c r="AI3" s="10" t="s">
        <v>157</v>
      </c>
      <c r="AJ3" s="10" t="s">
        <v>158</v>
      </c>
      <c r="AK3" s="61"/>
      <c r="AL3" s="61"/>
      <c r="AM3" s="61"/>
      <c r="AN3" s="11" t="s">
        <v>25</v>
      </c>
      <c r="AO3" s="11" t="s">
        <v>157</v>
      </c>
      <c r="AP3" s="11" t="s">
        <v>159</v>
      </c>
      <c r="AQ3" s="11" t="s">
        <v>24</v>
      </c>
      <c r="AR3" s="10" t="s">
        <v>9</v>
      </c>
      <c r="AS3" s="10" t="s">
        <v>10</v>
      </c>
      <c r="AT3" s="11" t="s">
        <v>11</v>
      </c>
      <c r="AU3" s="11" t="s">
        <v>12</v>
      </c>
      <c r="AV3" s="11" t="s">
        <v>13</v>
      </c>
      <c r="AW3" s="10" t="s">
        <v>160</v>
      </c>
      <c r="AX3" s="10" t="s">
        <v>161</v>
      </c>
      <c r="AY3" s="11" t="s">
        <v>160</v>
      </c>
      <c r="AZ3" s="11" t="s">
        <v>161</v>
      </c>
      <c r="BB3" s="10" t="s">
        <v>25</v>
      </c>
      <c r="BC3" s="10" t="s">
        <v>23</v>
      </c>
      <c r="BD3" s="10" t="s">
        <v>157</v>
      </c>
      <c r="BE3" s="10" t="s">
        <v>24</v>
      </c>
      <c r="BF3" s="61"/>
      <c r="BG3" s="61"/>
    </row>
    <row r="4" spans="1:59" ht="123" hidden="1" customHeight="1" x14ac:dyDescent="0.2">
      <c r="A4" s="12" t="s">
        <v>162</v>
      </c>
      <c r="B4" s="13" t="s">
        <v>163</v>
      </c>
      <c r="C4" s="12" t="s">
        <v>165</v>
      </c>
      <c r="D4" s="13" t="s">
        <v>166</v>
      </c>
      <c r="E4" s="12" t="s">
        <v>167</v>
      </c>
      <c r="F4" s="13" t="s">
        <v>168</v>
      </c>
      <c r="H4" s="12" t="s">
        <v>566</v>
      </c>
      <c r="I4" s="13" t="s">
        <v>169</v>
      </c>
      <c r="J4" s="12" t="s">
        <v>170</v>
      </c>
      <c r="K4" s="12" t="s">
        <v>171</v>
      </c>
      <c r="L4" s="12" t="s">
        <v>172</v>
      </c>
      <c r="M4" s="12" t="s">
        <v>173</v>
      </c>
      <c r="N4" s="12" t="s">
        <v>174</v>
      </c>
      <c r="O4" s="13" t="s">
        <v>175</v>
      </c>
      <c r="P4" s="12" t="s">
        <v>176</v>
      </c>
      <c r="Q4" s="13" t="s">
        <v>179</v>
      </c>
      <c r="R4" s="13" t="s">
        <v>180</v>
      </c>
      <c r="S4" s="13" t="s">
        <v>181</v>
      </c>
      <c r="T4" s="13" t="s">
        <v>182</v>
      </c>
      <c r="U4" s="12" t="s">
        <v>183</v>
      </c>
      <c r="V4" s="12" t="s">
        <v>184</v>
      </c>
      <c r="W4" s="13" t="s">
        <v>185</v>
      </c>
      <c r="X4" s="13" t="s">
        <v>186</v>
      </c>
      <c r="Y4" s="13" t="s">
        <v>187</v>
      </c>
      <c r="Z4" s="12" t="s">
        <v>188</v>
      </c>
      <c r="AA4" s="12" t="s">
        <v>189</v>
      </c>
      <c r="AB4" s="13" t="s">
        <v>190</v>
      </c>
      <c r="AC4" s="13" t="s">
        <v>191</v>
      </c>
      <c r="AE4" s="12" t="s">
        <v>567</v>
      </c>
      <c r="AF4" s="13" t="s">
        <v>192</v>
      </c>
      <c r="AG4" s="12" t="s">
        <v>193</v>
      </c>
      <c r="AH4" s="12" t="s">
        <v>194</v>
      </c>
      <c r="AI4" s="12" t="s">
        <v>195</v>
      </c>
      <c r="AJ4" s="12" t="s">
        <v>196</v>
      </c>
      <c r="AK4" s="12" t="s">
        <v>197</v>
      </c>
      <c r="AL4" s="13" t="s">
        <v>198</v>
      </c>
      <c r="AM4" s="12" t="s">
        <v>199</v>
      </c>
      <c r="AN4" s="13" t="s">
        <v>202</v>
      </c>
      <c r="AO4" s="13" t="s">
        <v>203</v>
      </c>
      <c r="AP4" s="13" t="s">
        <v>204</v>
      </c>
      <c r="AQ4" s="13" t="s">
        <v>205</v>
      </c>
      <c r="AR4" s="12" t="s">
        <v>206</v>
      </c>
      <c r="AS4" s="12" t="s">
        <v>207</v>
      </c>
      <c r="AT4" s="13" t="s">
        <v>208</v>
      </c>
      <c r="AU4" s="13" t="s">
        <v>209</v>
      </c>
      <c r="AV4" s="13" t="s">
        <v>210</v>
      </c>
      <c r="AW4" s="12" t="s">
        <v>211</v>
      </c>
      <c r="AX4" s="12" t="s">
        <v>212</v>
      </c>
      <c r="AY4" s="13" t="s">
        <v>213</v>
      </c>
      <c r="AZ4" s="13" t="s">
        <v>214</v>
      </c>
      <c r="BB4" s="12" t="s">
        <v>568</v>
      </c>
      <c r="BC4" s="12" t="s">
        <v>215</v>
      </c>
      <c r="BD4" s="12" t="s">
        <v>569</v>
      </c>
      <c r="BE4" s="12" t="s">
        <v>570</v>
      </c>
      <c r="BF4" s="13" t="s">
        <v>217</v>
      </c>
      <c r="BG4" s="12" t="s">
        <v>218</v>
      </c>
    </row>
    <row r="5" spans="1:59" collapsed="1" x14ac:dyDescent="0.2">
      <c r="A5" s="14" t="s">
        <v>229</v>
      </c>
      <c r="B5" s="14" t="s">
        <v>49</v>
      </c>
      <c r="C5" s="14">
        <v>238146391</v>
      </c>
      <c r="D5" s="15">
        <v>10</v>
      </c>
      <c r="E5" s="15">
        <v>32</v>
      </c>
      <c r="F5" s="15">
        <v>30</v>
      </c>
      <c r="H5" s="23">
        <f t="shared" ref="H5:H11" si="0">IF(ISBLANK(Q5),"·",Q5/(C5*(D5*3+IF(AND(ISNUMBER(T5),T5&gt;0),24,0))))</f>
        <v>1.7211963388363768E-2</v>
      </c>
      <c r="I5" s="16">
        <f t="shared" ref="I5:I11" si="1">IF(OR(ISBLANK(Q5),ISBLANK(F5)),"·",Q5*F5/E5/1000000)</f>
        <v>207.51020249999999</v>
      </c>
      <c r="J5" s="17">
        <f t="shared" ref="J5:J11" si="2">IF(ISBLANK(Q5),"·",Q5/C5)</f>
        <v>0.92944602297164347</v>
      </c>
      <c r="K5" s="17">
        <f t="shared" ref="K5:K11" si="3">IF(N5="","·",N5/C5)</f>
        <v>0.14059859508851427</v>
      </c>
      <c r="L5" s="17">
        <f t="shared" ref="L5:L11" si="4">IF(R5="","·",R5/C5)</f>
        <v>0.1316834736328211</v>
      </c>
      <c r="M5" s="17">
        <f t="shared" ref="M5:M11" si="5">IF(ISBLANK(T5),"·",T5/C5)</f>
        <v>0.78884742788312923</v>
      </c>
      <c r="N5" s="14">
        <f t="shared" ref="N5:N11" si="6">IF(OR(ISBLANK(R5),ISBLANK(S5)),"",R5+S5)</f>
        <v>33483048</v>
      </c>
      <c r="O5" s="17">
        <f t="shared" ref="O5:O11" si="7">IF(ISBLANK(Q5),"·",Q5/P5)</f>
        <v>8.8664153401846253</v>
      </c>
      <c r="P5" s="18">
        <v>24964341</v>
      </c>
      <c r="Q5" s="19">
        <v>221344216</v>
      </c>
      <c r="R5" s="19">
        <v>31359944</v>
      </c>
      <c r="S5" s="19">
        <v>2123104</v>
      </c>
      <c r="T5" s="19">
        <v>187861168</v>
      </c>
      <c r="U5" s="20" t="s">
        <v>573</v>
      </c>
      <c r="V5" s="20" t="s">
        <v>573</v>
      </c>
      <c r="W5" s="20" t="s">
        <v>573</v>
      </c>
      <c r="X5" s="20" t="s">
        <v>573</v>
      </c>
      <c r="Y5" s="20" t="s">
        <v>573</v>
      </c>
      <c r="Z5" s="21">
        <v>7085.0150000000003</v>
      </c>
      <c r="AA5" s="21">
        <v>0</v>
      </c>
      <c r="AB5" s="21">
        <v>71.561000000000007</v>
      </c>
      <c r="AC5" s="21">
        <v>0</v>
      </c>
      <c r="AE5" s="23">
        <f t="shared" ref="AE5:AE11" si="8">IF(ISBLANK(Q5),"·",Q5/(C5*(D5*3+IF(AND(ISNUMBER(T5),T5&gt;0),24,0))))</f>
        <v>1.7211963388363768E-2</v>
      </c>
      <c r="AF5" s="16" t="str">
        <f t="shared" ref="AF5:AF11" si="9">IF(OR(ISBLANK(AN5),ISBLANK(F5)),"·",AN5*F5/E5/1000000)</f>
        <v>·</v>
      </c>
      <c r="AG5" s="17" t="str">
        <f t="shared" ref="AG5:AG11" si="10">IF(ISBLANK(AN5),"·",AN5/C5)</f>
        <v>·</v>
      </c>
      <c r="AH5" s="17" t="str">
        <f t="shared" ref="AH5:AH11" si="11">IF(AK5="","·",AK5/C5)</f>
        <v>·</v>
      </c>
      <c r="AI5" s="17" t="str">
        <f t="shared" ref="AI5:AI11" si="12">IF(AO5="","·",AO5/C5)</f>
        <v>·</v>
      </c>
      <c r="AJ5" s="17" t="str">
        <f t="shared" ref="AJ5:AJ11" si="13">IF(ISBLANK(AQ5),"·",AQ5/C5)</f>
        <v>·</v>
      </c>
      <c r="AK5" s="14" t="str">
        <f t="shared" ref="AK5:AK11" si="14">IF(OR(ISBLANK(AO5),ISBLANK(AP5)),"",AO5+AP5)</f>
        <v/>
      </c>
      <c r="AL5" s="17" t="str">
        <f t="shared" ref="AL5:AL11" si="15">IF(ISBLANK(AN5),"·",AN5/AM5)</f>
        <v>·</v>
      </c>
      <c r="AM5" s="18"/>
      <c r="AN5" s="19"/>
      <c r="AO5" s="19"/>
      <c r="AP5" s="19"/>
      <c r="AQ5" s="19"/>
      <c r="AR5" s="20"/>
      <c r="AS5" s="20"/>
      <c r="AT5" s="20"/>
      <c r="AU5" s="20"/>
      <c r="AV5" s="20"/>
      <c r="AW5" s="21"/>
      <c r="AX5" s="21"/>
      <c r="AY5" s="21"/>
      <c r="AZ5" s="21"/>
      <c r="BB5" s="22" t="e">
        <f t="shared" ref="BB5:BB15" si="16">AG5/J5</f>
        <v>#VALUE!</v>
      </c>
      <c r="BC5" s="22" t="e">
        <f t="shared" ref="BC5:BC15" si="17">AH5/K5</f>
        <v>#VALUE!</v>
      </c>
      <c r="BD5" s="22" t="e">
        <f t="shared" ref="BD5:BD15" si="18">AI5/L5</f>
        <v>#VALUE!</v>
      </c>
      <c r="BE5" s="22" t="e">
        <f t="shared" ref="BE5:BE15" si="19">AJ5/M5</f>
        <v>#VALUE!</v>
      </c>
      <c r="BF5" s="23" t="e">
        <f t="shared" ref="BF5:BF11" si="20">(AK5/AN5) - (N5/Q5)</f>
        <v>#VALUE!</v>
      </c>
      <c r="BG5" s="23" t="e">
        <f t="array" ref="BG5">AVERAGE(AK5:AK5/AN5:AN5) - AVERAGE(N5:N5/Q5:Q5)</f>
        <v>#VALUE!</v>
      </c>
    </row>
    <row r="6" spans="1:59" collapsed="1" x14ac:dyDescent="0.2">
      <c r="A6" s="24"/>
      <c r="B6" s="24" t="s">
        <v>57</v>
      </c>
      <c r="C6" s="24">
        <v>218121242</v>
      </c>
      <c r="D6" s="25">
        <v>10</v>
      </c>
      <c r="E6" s="25">
        <v>32</v>
      </c>
      <c r="F6" s="25">
        <v>30</v>
      </c>
      <c r="H6" s="33">
        <f t="shared" si="0"/>
        <v>2.4579574231744283E-2</v>
      </c>
      <c r="I6" s="26">
        <f t="shared" si="1"/>
        <v>271.4171925</v>
      </c>
      <c r="J6" s="27">
        <f t="shared" si="2"/>
        <v>1.3272970085141913</v>
      </c>
      <c r="K6" s="27">
        <f t="shared" si="3"/>
        <v>0.17162506345897297</v>
      </c>
      <c r="L6" s="27">
        <f t="shared" si="4"/>
        <v>0.15635689439178968</v>
      </c>
      <c r="M6" s="27">
        <f t="shared" si="5"/>
        <v>1.1556719450552184</v>
      </c>
      <c r="N6" s="24">
        <f t="shared" si="6"/>
        <v>37435072</v>
      </c>
      <c r="O6" s="27">
        <f t="shared" si="7"/>
        <v>12.779270290268428</v>
      </c>
      <c r="P6" s="28">
        <v>22654789</v>
      </c>
      <c r="Q6" s="29">
        <v>289511672</v>
      </c>
      <c r="R6" s="29">
        <v>34104760</v>
      </c>
      <c r="S6" s="29">
        <v>3330312</v>
      </c>
      <c r="T6" s="29">
        <v>252076600</v>
      </c>
      <c r="U6" s="30" t="s">
        <v>573</v>
      </c>
      <c r="V6" s="30" t="s">
        <v>573</v>
      </c>
      <c r="W6" s="30" t="s">
        <v>573</v>
      </c>
      <c r="X6" s="30" t="s">
        <v>573</v>
      </c>
      <c r="Y6" s="30" t="s">
        <v>573</v>
      </c>
      <c r="Z6" s="31">
        <v>7339.0690000000004</v>
      </c>
      <c r="AA6" s="31">
        <v>0</v>
      </c>
      <c r="AB6" s="31">
        <v>70.923000000000002</v>
      </c>
      <c r="AC6" s="31">
        <v>0</v>
      </c>
      <c r="AE6" s="33">
        <f t="shared" si="8"/>
        <v>2.4579574231744283E-2</v>
      </c>
      <c r="AF6" s="26" t="str">
        <f t="shared" si="9"/>
        <v>·</v>
      </c>
      <c r="AG6" s="27" t="str">
        <f t="shared" si="10"/>
        <v>·</v>
      </c>
      <c r="AH6" s="27" t="str">
        <f t="shared" si="11"/>
        <v>·</v>
      </c>
      <c r="AI6" s="27" t="str">
        <f t="shared" si="12"/>
        <v>·</v>
      </c>
      <c r="AJ6" s="27" t="str">
        <f t="shared" si="13"/>
        <v>·</v>
      </c>
      <c r="AK6" s="24" t="str">
        <f t="shared" si="14"/>
        <v/>
      </c>
      <c r="AL6" s="27" t="str">
        <f t="shared" si="15"/>
        <v>·</v>
      </c>
      <c r="AM6" s="28"/>
      <c r="AN6" s="29"/>
      <c r="AO6" s="29"/>
      <c r="AP6" s="29"/>
      <c r="AQ6" s="29"/>
      <c r="AR6" s="30"/>
      <c r="AS6" s="30"/>
      <c r="AT6" s="30"/>
      <c r="AU6" s="30"/>
      <c r="AV6" s="30"/>
      <c r="AW6" s="31"/>
      <c r="AX6" s="31"/>
      <c r="AY6" s="31"/>
      <c r="AZ6" s="31"/>
      <c r="BB6" s="32" t="e">
        <f t="shared" si="16"/>
        <v>#VALUE!</v>
      </c>
      <c r="BC6" s="32" t="e">
        <f t="shared" si="17"/>
        <v>#VALUE!</v>
      </c>
      <c r="BD6" s="32" t="e">
        <f t="shared" si="18"/>
        <v>#VALUE!</v>
      </c>
      <c r="BE6" s="32" t="e">
        <f t="shared" si="19"/>
        <v>#VALUE!</v>
      </c>
      <c r="BF6" s="33" t="e">
        <f t="shared" si="20"/>
        <v>#VALUE!</v>
      </c>
      <c r="BG6" s="33" t="e">
        <f t="array" ref="BG6">AVERAGE(AK6:AK6/AN6:AN6) - AVERAGE(N6:N6/Q6:Q6)</f>
        <v>#VALUE!</v>
      </c>
    </row>
    <row r="7" spans="1:59" collapsed="1" x14ac:dyDescent="0.2">
      <c r="A7" s="14"/>
      <c r="B7" s="14" t="s">
        <v>62</v>
      </c>
      <c r="C7" s="14">
        <v>322589704</v>
      </c>
      <c r="D7" s="15">
        <v>10</v>
      </c>
      <c r="E7" s="15">
        <v>32</v>
      </c>
      <c r="F7" s="15">
        <v>30</v>
      </c>
      <c r="H7" s="23">
        <f t="shared" si="0"/>
        <v>1.9414665693295838E-2</v>
      </c>
      <c r="I7" s="16">
        <f t="shared" si="1"/>
        <v>317.06292000000002</v>
      </c>
      <c r="J7" s="17">
        <f t="shared" si="2"/>
        <v>1.0483919474379753</v>
      </c>
      <c r="K7" s="17">
        <f t="shared" si="3"/>
        <v>0.16740640922625355</v>
      </c>
      <c r="L7" s="17">
        <f t="shared" si="4"/>
        <v>0.15462308741261005</v>
      </c>
      <c r="M7" s="17">
        <f t="shared" si="5"/>
        <v>0.88098553821172176</v>
      </c>
      <c r="N7" s="14">
        <f t="shared" si="6"/>
        <v>54003584</v>
      </c>
      <c r="O7" s="17">
        <f t="shared" si="7"/>
        <v>9.9623912275929705</v>
      </c>
      <c r="P7" s="18">
        <v>33947718</v>
      </c>
      <c r="Q7" s="19">
        <v>338200448</v>
      </c>
      <c r="R7" s="19">
        <v>49879816</v>
      </c>
      <c r="S7" s="19">
        <v>4123768</v>
      </c>
      <c r="T7" s="19">
        <v>284196864</v>
      </c>
      <c r="U7" s="20" t="s">
        <v>573</v>
      </c>
      <c r="V7" s="20" t="s">
        <v>573</v>
      </c>
      <c r="W7" s="20" t="s">
        <v>573</v>
      </c>
      <c r="X7" s="20" t="s">
        <v>573</v>
      </c>
      <c r="Y7" s="20" t="s">
        <v>573</v>
      </c>
      <c r="Z7" s="21">
        <v>9764.8469999999998</v>
      </c>
      <c r="AA7" s="21">
        <v>0</v>
      </c>
      <c r="AB7" s="21">
        <v>95.114000000000004</v>
      </c>
      <c r="AC7" s="21">
        <v>0</v>
      </c>
      <c r="AE7" s="23">
        <f t="shared" si="8"/>
        <v>1.9414665693295838E-2</v>
      </c>
      <c r="AF7" s="16" t="str">
        <f t="shared" si="9"/>
        <v>·</v>
      </c>
      <c r="AG7" s="17" t="str">
        <f t="shared" si="10"/>
        <v>·</v>
      </c>
      <c r="AH7" s="17" t="str">
        <f t="shared" si="11"/>
        <v>·</v>
      </c>
      <c r="AI7" s="17" t="str">
        <f t="shared" si="12"/>
        <v>·</v>
      </c>
      <c r="AJ7" s="17" t="str">
        <f t="shared" si="13"/>
        <v>·</v>
      </c>
      <c r="AK7" s="14" t="str">
        <f t="shared" si="14"/>
        <v/>
      </c>
      <c r="AL7" s="17" t="str">
        <f t="shared" si="15"/>
        <v>·</v>
      </c>
      <c r="AM7" s="18"/>
      <c r="AN7" s="19"/>
      <c r="AO7" s="19"/>
      <c r="AP7" s="19"/>
      <c r="AQ7" s="19"/>
      <c r="AR7" s="20"/>
      <c r="AS7" s="20"/>
      <c r="AT7" s="20"/>
      <c r="AU7" s="20"/>
      <c r="AV7" s="20"/>
      <c r="AW7" s="21"/>
      <c r="AX7" s="21"/>
      <c r="AY7" s="21"/>
      <c r="AZ7" s="21"/>
      <c r="BB7" s="22" t="e">
        <f t="shared" si="16"/>
        <v>#VALUE!</v>
      </c>
      <c r="BC7" s="22" t="e">
        <f t="shared" si="17"/>
        <v>#VALUE!</v>
      </c>
      <c r="BD7" s="22" t="e">
        <f t="shared" si="18"/>
        <v>#VALUE!</v>
      </c>
      <c r="BE7" s="22" t="e">
        <f t="shared" si="19"/>
        <v>#VALUE!</v>
      </c>
      <c r="BF7" s="23" t="e">
        <f t="shared" si="20"/>
        <v>#VALUE!</v>
      </c>
      <c r="BG7" s="23" t="e">
        <f t="array" ref="BG7">AVERAGE(AK7:AK7/AN7:AN7) - AVERAGE(N7:N7/Q7:Q7)</f>
        <v>#VALUE!</v>
      </c>
    </row>
    <row r="8" spans="1:59" collapsed="1" x14ac:dyDescent="0.2">
      <c r="A8" s="44"/>
      <c r="B8" s="44" t="s">
        <v>68</v>
      </c>
      <c r="C8" s="44">
        <v>250602891</v>
      </c>
      <c r="D8" s="45">
        <v>10</v>
      </c>
      <c r="E8" s="45">
        <v>32</v>
      </c>
      <c r="F8" s="45">
        <v>50</v>
      </c>
      <c r="H8" s="53">
        <f t="shared" si="0"/>
        <v>1.9469984368098811E-2</v>
      </c>
      <c r="I8" s="46">
        <f t="shared" si="1"/>
        <v>411.68540000000002</v>
      </c>
      <c r="J8" s="47">
        <f t="shared" si="2"/>
        <v>1.0513791558773358</v>
      </c>
      <c r="K8" s="47">
        <f t="shared" si="3"/>
        <v>0.1572250337686647</v>
      </c>
      <c r="L8" s="47">
        <f t="shared" si="4"/>
        <v>0.1371094477916458</v>
      </c>
      <c r="M8" s="47">
        <f t="shared" si="5"/>
        <v>0.89415412210867118</v>
      </c>
      <c r="N8" s="44">
        <f t="shared" si="6"/>
        <v>39401048</v>
      </c>
      <c r="O8" s="47">
        <f t="shared" si="7"/>
        <v>8.1801172400451634</v>
      </c>
      <c r="P8" s="48">
        <v>32209643</v>
      </c>
      <c r="Q8" s="49">
        <v>263478656</v>
      </c>
      <c r="R8" s="49">
        <v>34360024</v>
      </c>
      <c r="S8" s="49">
        <v>5041024</v>
      </c>
      <c r="T8" s="49">
        <v>224077608</v>
      </c>
      <c r="U8" s="50" t="s">
        <v>573</v>
      </c>
      <c r="V8" s="50" t="s">
        <v>573</v>
      </c>
      <c r="W8" s="50" t="s">
        <v>573</v>
      </c>
      <c r="X8" s="50" t="s">
        <v>573</v>
      </c>
      <c r="Y8" s="50" t="s">
        <v>573</v>
      </c>
      <c r="Z8" s="51">
        <v>8029.7079999999996</v>
      </c>
      <c r="AA8" s="51">
        <v>0</v>
      </c>
      <c r="AB8" s="51">
        <v>81.918999999999997</v>
      </c>
      <c r="AC8" s="51">
        <v>0</v>
      </c>
      <c r="AE8" s="53">
        <f t="shared" si="8"/>
        <v>1.9469984368098811E-2</v>
      </c>
      <c r="AF8" s="46" t="str">
        <f t="shared" si="9"/>
        <v>·</v>
      </c>
      <c r="AG8" s="47" t="str">
        <f t="shared" si="10"/>
        <v>·</v>
      </c>
      <c r="AH8" s="47" t="str">
        <f t="shared" si="11"/>
        <v>·</v>
      </c>
      <c r="AI8" s="47" t="str">
        <f t="shared" si="12"/>
        <v>·</v>
      </c>
      <c r="AJ8" s="47" t="str">
        <f t="shared" si="13"/>
        <v>·</v>
      </c>
      <c r="AK8" s="44" t="str">
        <f t="shared" si="14"/>
        <v/>
      </c>
      <c r="AL8" s="47" t="str">
        <f t="shared" si="15"/>
        <v>·</v>
      </c>
      <c r="AM8" s="48"/>
      <c r="AN8" s="49"/>
      <c r="AO8" s="49"/>
      <c r="AP8" s="49"/>
      <c r="AQ8" s="49"/>
      <c r="AR8" s="50"/>
      <c r="AS8" s="50"/>
      <c r="AT8" s="50"/>
      <c r="AU8" s="50"/>
      <c r="AV8" s="50"/>
      <c r="AW8" s="51"/>
      <c r="AX8" s="51"/>
      <c r="AY8" s="51"/>
      <c r="AZ8" s="51"/>
      <c r="BB8" s="52" t="e">
        <f t="shared" si="16"/>
        <v>#VALUE!</v>
      </c>
      <c r="BC8" s="52" t="e">
        <f t="shared" si="17"/>
        <v>#VALUE!</v>
      </c>
      <c r="BD8" s="52" t="e">
        <f t="shared" si="18"/>
        <v>#VALUE!</v>
      </c>
      <c r="BE8" s="52" t="e">
        <f t="shared" si="19"/>
        <v>#VALUE!</v>
      </c>
      <c r="BF8" s="53" t="e">
        <f t="shared" si="20"/>
        <v>#VALUE!</v>
      </c>
      <c r="BG8" s="53" t="e">
        <f t="array" ref="BG8">AVERAGE(AK8:AK8/AN8:AN8) - AVERAGE(N8:N8/Q8:Q8)</f>
        <v>#VALUE!</v>
      </c>
    </row>
    <row r="9" spans="1:59" collapsed="1" x14ac:dyDescent="0.2">
      <c r="A9" s="34" t="s">
        <v>235</v>
      </c>
      <c r="B9" s="34" t="s">
        <v>71</v>
      </c>
      <c r="C9" s="34">
        <v>250294582</v>
      </c>
      <c r="D9" s="35">
        <v>10</v>
      </c>
      <c r="E9" s="35">
        <v>32</v>
      </c>
      <c r="F9" s="35">
        <v>30</v>
      </c>
      <c r="H9" s="43">
        <f t="shared" si="0"/>
        <v>2.7981511564404302E-2</v>
      </c>
      <c r="I9" s="36">
        <f t="shared" si="1"/>
        <v>354.55829999999997</v>
      </c>
      <c r="J9" s="37">
        <f t="shared" si="2"/>
        <v>1.5110016244778324</v>
      </c>
      <c r="K9" s="37">
        <f t="shared" si="3"/>
        <v>0.14718515960525266</v>
      </c>
      <c r="L9" s="37">
        <f t="shared" si="4"/>
        <v>0.13754563812332143</v>
      </c>
      <c r="M9" s="37">
        <f t="shared" si="5"/>
        <v>1.3638164648725797</v>
      </c>
      <c r="N9" s="34">
        <f t="shared" si="6"/>
        <v>36839648</v>
      </c>
      <c r="O9" s="37">
        <f t="shared" si="7"/>
        <v>14.941111884732578</v>
      </c>
      <c r="P9" s="38">
        <v>25312408</v>
      </c>
      <c r="Q9" s="39">
        <v>378195520</v>
      </c>
      <c r="R9" s="39">
        <v>34426928</v>
      </c>
      <c r="S9" s="39">
        <v>2412720</v>
      </c>
      <c r="T9" s="39">
        <v>341355872</v>
      </c>
      <c r="U9" s="40" t="s">
        <v>573</v>
      </c>
      <c r="V9" s="40" t="s">
        <v>573</v>
      </c>
      <c r="W9" s="40" t="s">
        <v>573</v>
      </c>
      <c r="X9" s="40" t="s">
        <v>573</v>
      </c>
      <c r="Y9" s="40" t="s">
        <v>573</v>
      </c>
      <c r="Z9" s="41">
        <v>7513.2049999999999</v>
      </c>
      <c r="AA9" s="41">
        <v>0</v>
      </c>
      <c r="AB9" s="41">
        <v>79.037999999999997</v>
      </c>
      <c r="AC9" s="41">
        <v>0</v>
      </c>
      <c r="AE9" s="43">
        <f t="shared" si="8"/>
        <v>2.7981511564404302E-2</v>
      </c>
      <c r="AF9" s="36" t="str">
        <f t="shared" si="9"/>
        <v>·</v>
      </c>
      <c r="AG9" s="37" t="str">
        <f t="shared" si="10"/>
        <v>·</v>
      </c>
      <c r="AH9" s="37" t="str">
        <f t="shared" si="11"/>
        <v>·</v>
      </c>
      <c r="AI9" s="37" t="str">
        <f t="shared" si="12"/>
        <v>·</v>
      </c>
      <c r="AJ9" s="37" t="str">
        <f t="shared" si="13"/>
        <v>·</v>
      </c>
      <c r="AK9" s="34" t="str">
        <f t="shared" si="14"/>
        <v/>
      </c>
      <c r="AL9" s="37" t="str">
        <f t="shared" si="15"/>
        <v>·</v>
      </c>
      <c r="AM9" s="38"/>
      <c r="AN9" s="39"/>
      <c r="AO9" s="39"/>
      <c r="AP9" s="39"/>
      <c r="AQ9" s="39"/>
      <c r="AR9" s="40"/>
      <c r="AS9" s="40"/>
      <c r="AT9" s="40"/>
      <c r="AU9" s="40"/>
      <c r="AV9" s="40"/>
      <c r="AW9" s="41"/>
      <c r="AX9" s="41"/>
      <c r="AY9" s="41"/>
      <c r="AZ9" s="41"/>
      <c r="BB9" s="42" t="e">
        <f t="shared" si="16"/>
        <v>#VALUE!</v>
      </c>
      <c r="BC9" s="42" t="e">
        <f t="shared" si="17"/>
        <v>#VALUE!</v>
      </c>
      <c r="BD9" s="42" t="e">
        <f t="shared" si="18"/>
        <v>#VALUE!</v>
      </c>
      <c r="BE9" s="42" t="e">
        <f t="shared" si="19"/>
        <v>#VALUE!</v>
      </c>
      <c r="BF9" s="43" t="e">
        <f t="shared" si="20"/>
        <v>#VALUE!</v>
      </c>
      <c r="BG9" s="43" t="e">
        <f t="array" ref="BG9">AVERAGE(AK9:AK9/AN9:AN9) - AVERAGE(N9:N9/Q9:Q9)</f>
        <v>#VALUE!</v>
      </c>
    </row>
    <row r="10" spans="1:59" collapsed="1" x14ac:dyDescent="0.2">
      <c r="A10" s="24" t="s">
        <v>236</v>
      </c>
      <c r="B10" s="24" t="s">
        <v>75</v>
      </c>
      <c r="C10" s="24">
        <v>375422539</v>
      </c>
      <c r="D10" s="25">
        <v>11</v>
      </c>
      <c r="E10" s="25">
        <v>32</v>
      </c>
      <c r="F10" s="25">
        <v>30</v>
      </c>
      <c r="H10" s="33">
        <f t="shared" si="0"/>
        <v>4.2389679546669459E-2</v>
      </c>
      <c r="I10" s="26">
        <f t="shared" si="1"/>
        <v>850.40657250000004</v>
      </c>
      <c r="J10" s="27">
        <f t="shared" si="2"/>
        <v>2.416211734160159</v>
      </c>
      <c r="K10" s="27">
        <f t="shared" si="3"/>
        <v>0.26679896275487069</v>
      </c>
      <c r="L10" s="27">
        <f t="shared" si="4"/>
        <v>0.25450793725520032</v>
      </c>
      <c r="M10" s="27">
        <f t="shared" si="5"/>
        <v>2.1494127714052884</v>
      </c>
      <c r="N10" s="24">
        <f t="shared" si="6"/>
        <v>100162344</v>
      </c>
      <c r="O10" s="27">
        <f t="shared" si="7"/>
        <v>9.7690317245496381</v>
      </c>
      <c r="P10" s="28">
        <v>92854683</v>
      </c>
      <c r="Q10" s="29">
        <v>907100344</v>
      </c>
      <c r="R10" s="29">
        <v>95548016</v>
      </c>
      <c r="S10" s="29">
        <v>4614328</v>
      </c>
      <c r="T10" s="29">
        <v>806938000</v>
      </c>
      <c r="U10" s="30" t="s">
        <v>573</v>
      </c>
      <c r="V10" s="30" t="s">
        <v>573</v>
      </c>
      <c r="W10" s="30" t="s">
        <v>573</v>
      </c>
      <c r="X10" s="30" t="s">
        <v>573</v>
      </c>
      <c r="Y10" s="30" t="s">
        <v>573</v>
      </c>
      <c r="Z10" s="31">
        <v>24336.688999999998</v>
      </c>
      <c r="AA10" s="31">
        <v>0</v>
      </c>
      <c r="AB10" s="31">
        <v>266.89999999999998</v>
      </c>
      <c r="AC10" s="31">
        <v>0</v>
      </c>
      <c r="AE10" s="33">
        <f t="shared" si="8"/>
        <v>4.2389679546669459E-2</v>
      </c>
      <c r="AF10" s="26" t="str">
        <f t="shared" si="9"/>
        <v>·</v>
      </c>
      <c r="AG10" s="27" t="str">
        <f t="shared" si="10"/>
        <v>·</v>
      </c>
      <c r="AH10" s="27" t="str">
        <f t="shared" si="11"/>
        <v>·</v>
      </c>
      <c r="AI10" s="27" t="str">
        <f t="shared" si="12"/>
        <v>·</v>
      </c>
      <c r="AJ10" s="27" t="str">
        <f t="shared" si="13"/>
        <v>·</v>
      </c>
      <c r="AK10" s="24" t="str">
        <f t="shared" si="14"/>
        <v/>
      </c>
      <c r="AL10" s="27" t="str">
        <f t="shared" si="15"/>
        <v>·</v>
      </c>
      <c r="AM10" s="28"/>
      <c r="AN10" s="29"/>
      <c r="AO10" s="29"/>
      <c r="AP10" s="29"/>
      <c r="AQ10" s="29"/>
      <c r="AR10" s="30"/>
      <c r="AS10" s="30"/>
      <c r="AT10" s="30"/>
      <c r="AU10" s="30"/>
      <c r="AV10" s="30"/>
      <c r="AW10" s="31"/>
      <c r="AX10" s="31"/>
      <c r="AY10" s="31"/>
      <c r="AZ10" s="31"/>
      <c r="BB10" s="32" t="e">
        <f t="shared" si="16"/>
        <v>#VALUE!</v>
      </c>
      <c r="BC10" s="32" t="e">
        <f t="shared" si="17"/>
        <v>#VALUE!</v>
      </c>
      <c r="BD10" s="32" t="e">
        <f t="shared" si="18"/>
        <v>#VALUE!</v>
      </c>
      <c r="BE10" s="32" t="e">
        <f t="shared" si="19"/>
        <v>#VALUE!</v>
      </c>
      <c r="BF10" s="33" t="e">
        <f t="shared" si="20"/>
        <v>#VALUE!</v>
      </c>
      <c r="BG10" s="33" t="e">
        <f t="array" ref="BG10">AVERAGE(AK10:AK10/AN10:AN10) - AVERAGE(N10:N10/Q10:Q10)</f>
        <v>#VALUE!</v>
      </c>
    </row>
    <row r="11" spans="1:59" collapsed="1" x14ac:dyDescent="0.2">
      <c r="A11" s="34"/>
      <c r="B11" s="34" t="s">
        <v>80</v>
      </c>
      <c r="C11" s="34">
        <v>333190689</v>
      </c>
      <c r="D11" s="35">
        <v>11</v>
      </c>
      <c r="E11" s="35">
        <v>32</v>
      </c>
      <c r="F11" s="35">
        <v>30</v>
      </c>
      <c r="H11" s="43">
        <f t="shared" si="0"/>
        <v>4.3564280066746015E-2</v>
      </c>
      <c r="I11" s="36">
        <f t="shared" si="1"/>
        <v>775.65666750000003</v>
      </c>
      <c r="J11" s="37">
        <f t="shared" si="2"/>
        <v>2.4831639638045226</v>
      </c>
      <c r="K11" s="37">
        <f t="shared" si="3"/>
        <v>0.28587322258576081</v>
      </c>
      <c r="L11" s="37">
        <f t="shared" si="4"/>
        <v>0.27165426582493724</v>
      </c>
      <c r="M11" s="37">
        <f t="shared" si="5"/>
        <v>2.1972907412187621</v>
      </c>
      <c r="N11" s="34">
        <f t="shared" si="6"/>
        <v>95250296</v>
      </c>
      <c r="O11" s="37">
        <f t="shared" si="7"/>
        <v>9.9557260864638994</v>
      </c>
      <c r="P11" s="38">
        <v>83104648</v>
      </c>
      <c r="Q11" s="39">
        <v>827367112</v>
      </c>
      <c r="R11" s="39">
        <v>90512672</v>
      </c>
      <c r="S11" s="39">
        <v>4737624</v>
      </c>
      <c r="T11" s="39">
        <v>732116816</v>
      </c>
      <c r="U11" s="40" t="s">
        <v>573</v>
      </c>
      <c r="V11" s="40" t="s">
        <v>573</v>
      </c>
      <c r="W11" s="40" t="s">
        <v>573</v>
      </c>
      <c r="X11" s="40" t="s">
        <v>573</v>
      </c>
      <c r="Y11" s="40" t="s">
        <v>573</v>
      </c>
      <c r="Z11" s="41">
        <v>22007.819</v>
      </c>
      <c r="AA11" s="41">
        <v>0</v>
      </c>
      <c r="AB11" s="41">
        <v>242.24700000000001</v>
      </c>
      <c r="AC11" s="41">
        <v>0</v>
      </c>
      <c r="AE11" s="43">
        <f t="shared" si="8"/>
        <v>4.3564280066746015E-2</v>
      </c>
      <c r="AF11" s="36" t="str">
        <f t="shared" si="9"/>
        <v>·</v>
      </c>
      <c r="AG11" s="37" t="str">
        <f t="shared" si="10"/>
        <v>·</v>
      </c>
      <c r="AH11" s="37" t="str">
        <f t="shared" si="11"/>
        <v>·</v>
      </c>
      <c r="AI11" s="37" t="str">
        <f t="shared" si="12"/>
        <v>·</v>
      </c>
      <c r="AJ11" s="37" t="str">
        <f t="shared" si="13"/>
        <v>·</v>
      </c>
      <c r="AK11" s="34" t="str">
        <f t="shared" si="14"/>
        <v/>
      </c>
      <c r="AL11" s="37" t="str">
        <f t="shared" si="15"/>
        <v>·</v>
      </c>
      <c r="AM11" s="38"/>
      <c r="AN11" s="39"/>
      <c r="AO11" s="39"/>
      <c r="AP11" s="39"/>
      <c r="AQ11" s="39"/>
      <c r="AR11" s="40"/>
      <c r="AS11" s="40"/>
      <c r="AT11" s="40"/>
      <c r="AU11" s="40"/>
      <c r="AV11" s="40"/>
      <c r="AW11" s="41"/>
      <c r="AX11" s="41"/>
      <c r="AY11" s="41"/>
      <c r="AZ11" s="41"/>
      <c r="BB11" s="42" t="e">
        <f t="shared" si="16"/>
        <v>#VALUE!</v>
      </c>
      <c r="BC11" s="42" t="e">
        <f t="shared" si="17"/>
        <v>#VALUE!</v>
      </c>
      <c r="BD11" s="42" t="e">
        <f t="shared" si="18"/>
        <v>#VALUE!</v>
      </c>
      <c r="BE11" s="42" t="e">
        <f t="shared" si="19"/>
        <v>#VALUE!</v>
      </c>
      <c r="BF11" s="43" t="e">
        <f t="shared" si="20"/>
        <v>#VALUE!</v>
      </c>
      <c r="BG11" s="43" t="e">
        <f t="array" ref="BG11">AVERAGE(AK11:AK11/AN11:AN11) - AVERAGE(N11:N11/Q11:Q11)</f>
        <v>#VALUE!</v>
      </c>
    </row>
    <row r="12" spans="1:59" ht="16" x14ac:dyDescent="0.2">
      <c r="B12" s="54" t="s">
        <v>14</v>
      </c>
      <c r="J12" s="55">
        <f>AVERAGE(J5:J8)</f>
        <v>1.0891285337002863</v>
      </c>
      <c r="K12" s="55">
        <f>AVERAGE(K5:K8)</f>
        <v>0.15921377538560139</v>
      </c>
      <c r="L12" s="55">
        <f>AVERAGE(L5:L8)</f>
        <v>0.14494322580721664</v>
      </c>
      <c r="M12" s="55">
        <f>AVERAGE(M5:M8)</f>
        <v>0.92991475831468517</v>
      </c>
      <c r="AG12" s="55" t="e">
        <f>AVERAGE(AG5:AG8)</f>
        <v>#DIV/0!</v>
      </c>
      <c r="AH12" s="55" t="e">
        <f>AVERAGE(AH5:AH8)</f>
        <v>#DIV/0!</v>
      </c>
      <c r="AI12" s="55" t="e">
        <f>AVERAGE(AI5:AI8)</f>
        <v>#DIV/0!</v>
      </c>
      <c r="AJ12" s="55" t="e">
        <f>AVERAGE(AJ5:AJ8)</f>
        <v>#DIV/0!</v>
      </c>
      <c r="BB12" s="4" t="e">
        <f t="shared" si="16"/>
        <v>#DIV/0!</v>
      </c>
      <c r="BC12" s="4" t="e">
        <f t="shared" si="17"/>
        <v>#DIV/0!</v>
      </c>
      <c r="BD12" s="4" t="e">
        <f t="shared" si="18"/>
        <v>#DIV/0!</v>
      </c>
      <c r="BE12" s="4" t="e">
        <f t="shared" si="19"/>
        <v>#DIV/0!</v>
      </c>
      <c r="BG12" s="7" t="e">
        <f>AVERAGE(BG5:BG8)</f>
        <v>#VALUE!</v>
      </c>
    </row>
    <row r="13" spans="1:59" ht="16" x14ac:dyDescent="0.2">
      <c r="B13" s="54" t="s">
        <v>15</v>
      </c>
      <c r="J13" s="55">
        <f>AVERAGE(J9:J9)</f>
        <v>1.5110016244778324</v>
      </c>
      <c r="K13" s="55">
        <f>AVERAGE(K9:K9)</f>
        <v>0.14718515960525266</v>
      </c>
      <c r="L13" s="55">
        <f>AVERAGE(L9:L9)</f>
        <v>0.13754563812332143</v>
      </c>
      <c r="M13" s="55">
        <f>AVERAGE(M9:M9)</f>
        <v>1.3638164648725797</v>
      </c>
      <c r="AG13" s="55" t="e">
        <f>AVERAGE(AG9:AG9)</f>
        <v>#DIV/0!</v>
      </c>
      <c r="AH13" s="55" t="e">
        <f>AVERAGE(AH9:AH9)</f>
        <v>#DIV/0!</v>
      </c>
      <c r="AI13" s="55" t="e">
        <f>AVERAGE(AI9:AI9)</f>
        <v>#DIV/0!</v>
      </c>
      <c r="AJ13" s="55" t="e">
        <f>AVERAGE(AJ9:AJ9)</f>
        <v>#DIV/0!</v>
      </c>
      <c r="BB13" s="4" t="e">
        <f t="shared" si="16"/>
        <v>#DIV/0!</v>
      </c>
      <c r="BC13" s="4" t="e">
        <f t="shared" si="17"/>
        <v>#DIV/0!</v>
      </c>
      <c r="BD13" s="4" t="e">
        <f t="shared" si="18"/>
        <v>#DIV/0!</v>
      </c>
      <c r="BE13" s="4" t="e">
        <f t="shared" si="19"/>
        <v>#DIV/0!</v>
      </c>
      <c r="BG13" s="7" t="e">
        <f>AVERAGE(BG9:BG9)</f>
        <v>#VALUE!</v>
      </c>
    </row>
    <row r="14" spans="1:59" ht="16" x14ac:dyDescent="0.2">
      <c r="B14" s="54" t="s">
        <v>16</v>
      </c>
      <c r="J14" s="55">
        <f>AVERAGE(J10:J11)</f>
        <v>2.4496878489823408</v>
      </c>
      <c r="K14" s="55">
        <f>AVERAGE(K10:K11)</f>
        <v>0.27633609267031578</v>
      </c>
      <c r="L14" s="55">
        <f>AVERAGE(L10:L11)</f>
        <v>0.26308110154006881</v>
      </c>
      <c r="M14" s="55">
        <f>AVERAGE(M10:M11)</f>
        <v>2.1733517563120253</v>
      </c>
      <c r="AG14" s="55" t="e">
        <f>AVERAGE(AG10:AG11)</f>
        <v>#DIV/0!</v>
      </c>
      <c r="AH14" s="55" t="e">
        <f>AVERAGE(AH10:AH11)</f>
        <v>#DIV/0!</v>
      </c>
      <c r="AI14" s="55" t="e">
        <f>AVERAGE(AI10:AI11)</f>
        <v>#DIV/0!</v>
      </c>
      <c r="AJ14" s="55" t="e">
        <f>AVERAGE(AJ10:AJ11)</f>
        <v>#DIV/0!</v>
      </c>
      <c r="BB14" s="4" t="e">
        <f t="shared" si="16"/>
        <v>#DIV/0!</v>
      </c>
      <c r="BC14" s="4" t="e">
        <f t="shared" si="17"/>
        <v>#DIV/0!</v>
      </c>
      <c r="BD14" s="4" t="e">
        <f t="shared" si="18"/>
        <v>#DIV/0!</v>
      </c>
      <c r="BE14" s="4" t="e">
        <f t="shared" si="19"/>
        <v>#DIV/0!</v>
      </c>
      <c r="BG14" s="7" t="e">
        <f>AVERAGE(BG10:BG11)</f>
        <v>#VALUE!</v>
      </c>
    </row>
    <row r="15" spans="1:59" ht="16" x14ac:dyDescent="0.2">
      <c r="B15" s="54" t="s">
        <v>17</v>
      </c>
      <c r="J15" s="55">
        <f>AVERAGE(J5:J11)</f>
        <v>1.5381273510348084</v>
      </c>
      <c r="K15" s="55">
        <f>AVERAGE(K5:K11)</f>
        <v>0.19095892092689851</v>
      </c>
      <c r="L15" s="55">
        <f>AVERAGE(L5:L11)</f>
        <v>0.17764010634747507</v>
      </c>
      <c r="M15" s="55">
        <f>AVERAGE(M5:M11)</f>
        <v>1.3471684301079101</v>
      </c>
      <c r="AG15" s="55" t="e">
        <f>AVERAGE(AG5:AG11)</f>
        <v>#DIV/0!</v>
      </c>
      <c r="AH15" s="55" t="e">
        <f>AVERAGE(AH5:AH11)</f>
        <v>#DIV/0!</v>
      </c>
      <c r="AI15" s="55" t="e">
        <f>AVERAGE(AI5:AI11)</f>
        <v>#DIV/0!</v>
      </c>
      <c r="AJ15" s="55" t="e">
        <f>AVERAGE(AJ5:AJ11)</f>
        <v>#DIV/0!</v>
      </c>
      <c r="BB15" s="4" t="e">
        <f t="shared" si="16"/>
        <v>#DIV/0!</v>
      </c>
      <c r="BC15" s="4" t="e">
        <f t="shared" si="17"/>
        <v>#DIV/0!</v>
      </c>
      <c r="BD15" s="4" t="e">
        <f t="shared" si="18"/>
        <v>#DIV/0!</v>
      </c>
      <c r="BE15" s="4" t="e">
        <f t="shared" si="19"/>
        <v>#DIV/0!</v>
      </c>
      <c r="BG15" s="7" t="e">
        <f>AVERAGE(BG5:BG11)</f>
        <v>#VALUE!</v>
      </c>
    </row>
    <row r="16" spans="1:59" ht="16" hidden="1" outlineLevel="2" x14ac:dyDescent="0.2">
      <c r="A16" s="54" t="s">
        <v>237</v>
      </c>
      <c r="B16" s="54" t="s">
        <v>238</v>
      </c>
      <c r="Z16" s="56">
        <f>SUM(Z5:Z8,Z9:Z9,Z10:Z11)</f>
        <v>86076.351999999999</v>
      </c>
      <c r="AA16" s="56">
        <f>SUM(AA5:AA8,AA9:AA9,AA10:AA11)</f>
        <v>0</v>
      </c>
      <c r="AB16" s="56">
        <f>SUM(AB5:AB8,AB9:AB9,AB10:AB11)</f>
        <v>907.702</v>
      </c>
      <c r="AC16" s="56">
        <f>SUM(AC5:AC8,AC9:AC9,AC10:AC11)</f>
        <v>0</v>
      </c>
      <c r="AW16" s="56">
        <f>SUM(AW5:AW8,AW9:AW9,AW10:AW11)</f>
        <v>0</v>
      </c>
      <c r="AX16" s="56">
        <f>SUM(AX5:AX8,AX9:AX9,AX10:AX11)</f>
        <v>0</v>
      </c>
      <c r="AY16" s="56">
        <f>SUM(AY5:AY8,AY9:AY9,AY10:AY11)</f>
        <v>0</v>
      </c>
      <c r="AZ16" s="56">
        <f>SUM(AZ5:AZ8,AZ9:AZ9,AZ10:AZ11)</f>
        <v>0</v>
      </c>
    </row>
    <row r="17" spans="2:52" ht="16" hidden="1" outlineLevel="2" x14ac:dyDescent="0.2">
      <c r="B17" s="54" t="s">
        <v>239</v>
      </c>
      <c r="AW17" s="7">
        <f>AW16/Z16</f>
        <v>0</v>
      </c>
      <c r="AX17" s="7" t="e">
        <f>AX16/AA16</f>
        <v>#DIV/0!</v>
      </c>
      <c r="AY17" s="7">
        <f>AY16/AB16</f>
        <v>0</v>
      </c>
      <c r="AZ17" s="7" t="e">
        <f>AZ16/AC16</f>
        <v>#DIV/0!</v>
      </c>
    </row>
    <row r="18" spans="2:52" ht="16" hidden="1" outlineLevel="2" x14ac:dyDescent="0.2">
      <c r="B18" s="54" t="s">
        <v>240</v>
      </c>
      <c r="Z18" s="56">
        <f>GEOMEAN(Z5:Z8,Z9:Z9,Z10:Z11)</f>
        <v>10732.868564859518</v>
      </c>
      <c r="AA18" s="56" t="e">
        <f>GEOMEAN(AA5:AA8,AA9:AA9,AA10:AA11)</f>
        <v>#NUM!</v>
      </c>
      <c r="AB18" s="56">
        <f>GEOMEAN(AB5:AB8,AB9:AB9,AB10:AB11)</f>
        <v>110.57270396691752</v>
      </c>
      <c r="AC18" s="56" t="e">
        <f>GEOMEAN(AC5:AC8,AC9:AC9,AC10:AC11)</f>
        <v>#NUM!</v>
      </c>
      <c r="AW18" s="56" t="e">
        <f>GEOMEAN(AW5:AW8,AW9:AW9,AW10:AW11)</f>
        <v>#NUM!</v>
      </c>
      <c r="AX18" s="56" t="e">
        <f>GEOMEAN(AX5:AX8,AX9:AX9,AX10:AX11)</f>
        <v>#NUM!</v>
      </c>
      <c r="AY18" s="56" t="e">
        <f>GEOMEAN(AY5:AY8,AY9:AY9,AY10:AY11)</f>
        <v>#NUM!</v>
      </c>
      <c r="AZ18" s="56" t="e">
        <f>GEOMEAN(AZ5:AZ8,AZ9:AZ9,AZ10:AZ11)</f>
        <v>#NUM!</v>
      </c>
    </row>
    <row r="19" spans="2:52" ht="16" outlineLevel="2" collapsed="1" x14ac:dyDescent="0.2">
      <c r="B19" s="54" t="s">
        <v>241</v>
      </c>
      <c r="AW19" s="7" t="e">
        <f>AW18/Z18</f>
        <v>#NUM!</v>
      </c>
      <c r="AX19" s="7" t="e">
        <f>AX18/AA18</f>
        <v>#NUM!</v>
      </c>
      <c r="AY19" s="7" t="e">
        <f>AY18/AB18</f>
        <v>#NUM!</v>
      </c>
      <c r="AZ19" s="7"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phoneticPr fontId="2"/>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G19"/>
  <sheetViews>
    <sheetView zoomScale="55" zoomScaleNormal="55" workbookViewId="0">
      <pane xSplit="2" ySplit="4" topLeftCell="H5" activePane="bottomRight" state="frozen"/>
      <selection pane="topRight" activeCell="C1" sqref="C1"/>
      <selection pane="bottomLeft" activeCell="A5" sqref="A5"/>
      <selection pane="bottomRight" activeCell="AD25" sqref="AD25:AD26"/>
    </sheetView>
  </sheetViews>
  <sheetFormatPr baseColWidth="10" defaultColWidth="8.83203125" defaultRowHeight="15" outlineLevelRow="2" x14ac:dyDescent="0.2"/>
  <cols>
    <col min="2" max="2" width="24.6640625" customWidth="1"/>
    <col min="3" max="4" width="10.6640625" customWidth="1"/>
    <col min="7" max="7" width="1.6640625" customWidth="1"/>
    <col min="10" max="13" width="10.6640625" customWidth="1"/>
    <col min="14" max="14" width="24.6640625" hidden="1" customWidth="1"/>
    <col min="15" max="15" width="12.6640625" customWidth="1"/>
    <col min="16" max="16" width="10.6640625" customWidth="1"/>
    <col min="17" max="20" width="12.6640625" customWidth="1"/>
    <col min="21" max="25" width="11.6640625" customWidth="1"/>
    <col min="30" max="30" width="1.6640625" customWidth="1"/>
    <col min="33" max="36" width="10.6640625" customWidth="1"/>
    <col min="37" max="37" width="24.6640625" hidden="1" customWidth="1"/>
    <col min="38" max="38" width="12.6640625" customWidth="1"/>
    <col min="39" max="39" width="10.6640625" customWidth="1"/>
    <col min="40" max="43" width="12.6640625" customWidth="1"/>
    <col min="44" max="48" width="11.6640625" customWidth="1"/>
    <col min="53" max="53" width="1.6640625" customWidth="1"/>
    <col min="60" max="60" width="1.6640625" customWidth="1"/>
  </cols>
  <sheetData>
    <row r="1" spans="1:59" x14ac:dyDescent="0.2">
      <c r="A1" s="72" t="s">
        <v>571</v>
      </c>
      <c r="B1" s="58"/>
      <c r="C1" s="58"/>
      <c r="D1" s="58"/>
      <c r="E1" s="58"/>
      <c r="F1" s="58"/>
      <c r="H1" s="57" t="str">
        <f>Summary!$C$1</f>
        <v>CTC_master+r220</v>
      </c>
      <c r="I1" s="58"/>
      <c r="J1" s="58"/>
      <c r="K1" s="58"/>
      <c r="L1" s="58"/>
      <c r="M1" s="58"/>
      <c r="N1" s="58"/>
      <c r="O1" s="58"/>
      <c r="P1" s="58"/>
      <c r="Q1" s="58"/>
      <c r="R1" s="58"/>
      <c r="S1" s="58"/>
      <c r="T1" s="58"/>
      <c r="U1" s="58"/>
      <c r="V1" s="58"/>
      <c r="W1" s="58"/>
      <c r="X1" s="58"/>
      <c r="Y1" s="58"/>
      <c r="Z1" s="58"/>
      <c r="AA1" s="58"/>
      <c r="AB1" s="58"/>
      <c r="AC1" s="58"/>
      <c r="AE1" s="59">
        <f>Summary!$C$2</f>
        <v>0</v>
      </c>
      <c r="AF1" s="58"/>
      <c r="AG1" s="58"/>
      <c r="AH1" s="58"/>
      <c r="AI1" s="58"/>
      <c r="AJ1" s="58"/>
      <c r="AK1" s="58"/>
      <c r="AL1" s="58"/>
      <c r="AM1" s="58"/>
      <c r="AN1" s="58"/>
      <c r="AO1" s="58"/>
      <c r="AP1" s="58"/>
      <c r="AQ1" s="58"/>
      <c r="AR1" s="58"/>
      <c r="AS1" s="58"/>
      <c r="AT1" s="58"/>
      <c r="AU1" s="58"/>
      <c r="AV1" s="58"/>
      <c r="AW1" s="58"/>
      <c r="AX1" s="58"/>
      <c r="AY1" s="58"/>
      <c r="AZ1" s="58"/>
    </row>
    <row r="2" spans="1:59" ht="30" customHeight="1" x14ac:dyDescent="0.2">
      <c r="A2" s="68" t="s">
        <v>137</v>
      </c>
      <c r="B2" s="69" t="s">
        <v>138</v>
      </c>
      <c r="C2" s="68" t="s">
        <v>140</v>
      </c>
      <c r="D2" s="69" t="s">
        <v>141</v>
      </c>
      <c r="E2" s="68" t="s">
        <v>142</v>
      </c>
      <c r="F2" s="69" t="s">
        <v>143</v>
      </c>
      <c r="H2" s="68" t="s">
        <v>565</v>
      </c>
      <c r="I2" s="69" t="s">
        <v>144</v>
      </c>
      <c r="J2" s="70" t="s">
        <v>145</v>
      </c>
      <c r="K2" s="58"/>
      <c r="L2" s="58"/>
      <c r="M2" s="58"/>
      <c r="N2" s="68" t="s">
        <v>146</v>
      </c>
      <c r="O2" s="69" t="s">
        <v>147</v>
      </c>
      <c r="P2" s="68" t="s">
        <v>84</v>
      </c>
      <c r="Q2" s="71" t="s">
        <v>148</v>
      </c>
      <c r="R2" s="58"/>
      <c r="S2" s="58"/>
      <c r="T2" s="58"/>
      <c r="U2" s="70" t="s">
        <v>149</v>
      </c>
      <c r="V2" s="58"/>
      <c r="W2" s="71" t="s">
        <v>150</v>
      </c>
      <c r="X2" s="58"/>
      <c r="Y2" s="58"/>
      <c r="Z2" s="70" t="s">
        <v>151</v>
      </c>
      <c r="AA2" s="58"/>
      <c r="AB2" s="71" t="s">
        <v>152</v>
      </c>
      <c r="AC2" s="58"/>
      <c r="AE2" s="68" t="s">
        <v>565</v>
      </c>
      <c r="AF2" s="69" t="s">
        <v>144</v>
      </c>
      <c r="AG2" s="70" t="s">
        <v>145</v>
      </c>
      <c r="AH2" s="58"/>
      <c r="AI2" s="58"/>
      <c r="AJ2" s="58"/>
      <c r="AK2" s="68" t="s">
        <v>153</v>
      </c>
      <c r="AL2" s="69" t="s">
        <v>147</v>
      </c>
      <c r="AM2" s="68" t="s">
        <v>84</v>
      </c>
      <c r="AN2" s="71" t="s">
        <v>148</v>
      </c>
      <c r="AO2" s="58"/>
      <c r="AP2" s="58"/>
      <c r="AQ2" s="58"/>
      <c r="AR2" s="70" t="s">
        <v>149</v>
      </c>
      <c r="AS2" s="58"/>
      <c r="AT2" s="71" t="s">
        <v>150</v>
      </c>
      <c r="AU2" s="58"/>
      <c r="AV2" s="58"/>
      <c r="AW2" s="70" t="s">
        <v>151</v>
      </c>
      <c r="AX2" s="58"/>
      <c r="AY2" s="71" t="s">
        <v>152</v>
      </c>
      <c r="AZ2" s="58"/>
      <c r="BB2" s="70" t="s">
        <v>22</v>
      </c>
      <c r="BC2" s="58"/>
      <c r="BD2" s="58"/>
      <c r="BE2" s="58"/>
      <c r="BF2" s="69" t="s">
        <v>156</v>
      </c>
      <c r="BG2" s="68" t="s">
        <v>156</v>
      </c>
    </row>
    <row r="3" spans="1:59" ht="29" customHeight="1" x14ac:dyDescent="0.2">
      <c r="A3" s="61"/>
      <c r="B3" s="61"/>
      <c r="C3" s="61"/>
      <c r="D3" s="61"/>
      <c r="E3" s="61"/>
      <c r="F3" s="61"/>
      <c r="H3" s="61"/>
      <c r="I3" s="61"/>
      <c r="J3" s="10" t="s">
        <v>25</v>
      </c>
      <c r="K3" s="10" t="s">
        <v>23</v>
      </c>
      <c r="L3" s="10" t="s">
        <v>157</v>
      </c>
      <c r="M3" s="10" t="s">
        <v>158</v>
      </c>
      <c r="N3" s="61"/>
      <c r="O3" s="61"/>
      <c r="P3" s="61"/>
      <c r="Q3" s="11" t="s">
        <v>25</v>
      </c>
      <c r="R3" s="11" t="s">
        <v>157</v>
      </c>
      <c r="S3" s="11" t="s">
        <v>159</v>
      </c>
      <c r="T3" s="11" t="s">
        <v>24</v>
      </c>
      <c r="U3" s="10" t="s">
        <v>9</v>
      </c>
      <c r="V3" s="10" t="s">
        <v>10</v>
      </c>
      <c r="W3" s="11" t="s">
        <v>11</v>
      </c>
      <c r="X3" s="11" t="s">
        <v>12</v>
      </c>
      <c r="Y3" s="11" t="s">
        <v>13</v>
      </c>
      <c r="Z3" s="10" t="s">
        <v>160</v>
      </c>
      <c r="AA3" s="10" t="s">
        <v>161</v>
      </c>
      <c r="AB3" s="11" t="s">
        <v>160</v>
      </c>
      <c r="AC3" s="11" t="s">
        <v>161</v>
      </c>
      <c r="AE3" s="61"/>
      <c r="AF3" s="61"/>
      <c r="AG3" s="10" t="s">
        <v>25</v>
      </c>
      <c r="AH3" s="10" t="s">
        <v>23</v>
      </c>
      <c r="AI3" s="10" t="s">
        <v>157</v>
      </c>
      <c r="AJ3" s="10" t="s">
        <v>158</v>
      </c>
      <c r="AK3" s="61"/>
      <c r="AL3" s="61"/>
      <c r="AM3" s="61"/>
      <c r="AN3" s="11" t="s">
        <v>25</v>
      </c>
      <c r="AO3" s="11" t="s">
        <v>157</v>
      </c>
      <c r="AP3" s="11" t="s">
        <v>159</v>
      </c>
      <c r="AQ3" s="11" t="s">
        <v>24</v>
      </c>
      <c r="AR3" s="10" t="s">
        <v>9</v>
      </c>
      <c r="AS3" s="10" t="s">
        <v>10</v>
      </c>
      <c r="AT3" s="11" t="s">
        <v>11</v>
      </c>
      <c r="AU3" s="11" t="s">
        <v>12</v>
      </c>
      <c r="AV3" s="11" t="s">
        <v>13</v>
      </c>
      <c r="AW3" s="10" t="s">
        <v>160</v>
      </c>
      <c r="AX3" s="10" t="s">
        <v>161</v>
      </c>
      <c r="AY3" s="11" t="s">
        <v>160</v>
      </c>
      <c r="AZ3" s="11" t="s">
        <v>161</v>
      </c>
      <c r="BB3" s="10" t="s">
        <v>25</v>
      </c>
      <c r="BC3" s="10" t="s">
        <v>23</v>
      </c>
      <c r="BD3" s="10" t="s">
        <v>157</v>
      </c>
      <c r="BE3" s="10" t="s">
        <v>24</v>
      </c>
      <c r="BF3" s="61"/>
      <c r="BG3" s="61"/>
    </row>
    <row r="4" spans="1:59" ht="123" hidden="1" customHeight="1" x14ac:dyDescent="0.2">
      <c r="A4" s="12" t="s">
        <v>162</v>
      </c>
      <c r="B4" s="13" t="s">
        <v>163</v>
      </c>
      <c r="C4" s="12" t="s">
        <v>165</v>
      </c>
      <c r="D4" s="13" t="s">
        <v>166</v>
      </c>
      <c r="E4" s="12" t="s">
        <v>167</v>
      </c>
      <c r="F4" s="13" t="s">
        <v>168</v>
      </c>
      <c r="H4" s="12" t="s">
        <v>566</v>
      </c>
      <c r="I4" s="13" t="s">
        <v>169</v>
      </c>
      <c r="J4" s="12" t="s">
        <v>170</v>
      </c>
      <c r="K4" s="12" t="s">
        <v>171</v>
      </c>
      <c r="L4" s="12" t="s">
        <v>172</v>
      </c>
      <c r="M4" s="12" t="s">
        <v>173</v>
      </c>
      <c r="N4" s="12" t="s">
        <v>174</v>
      </c>
      <c r="O4" s="13" t="s">
        <v>175</v>
      </c>
      <c r="P4" s="12" t="s">
        <v>176</v>
      </c>
      <c r="Q4" s="13" t="s">
        <v>179</v>
      </c>
      <c r="R4" s="13" t="s">
        <v>180</v>
      </c>
      <c r="S4" s="13" t="s">
        <v>181</v>
      </c>
      <c r="T4" s="13" t="s">
        <v>182</v>
      </c>
      <c r="U4" s="12" t="s">
        <v>183</v>
      </c>
      <c r="V4" s="12" t="s">
        <v>184</v>
      </c>
      <c r="W4" s="13" t="s">
        <v>185</v>
      </c>
      <c r="X4" s="13" t="s">
        <v>186</v>
      </c>
      <c r="Y4" s="13" t="s">
        <v>187</v>
      </c>
      <c r="Z4" s="12" t="s">
        <v>188</v>
      </c>
      <c r="AA4" s="12" t="s">
        <v>189</v>
      </c>
      <c r="AB4" s="13" t="s">
        <v>190</v>
      </c>
      <c r="AC4" s="13" t="s">
        <v>191</v>
      </c>
      <c r="AE4" s="12" t="s">
        <v>567</v>
      </c>
      <c r="AF4" s="13" t="s">
        <v>192</v>
      </c>
      <c r="AG4" s="12" t="s">
        <v>193</v>
      </c>
      <c r="AH4" s="12" t="s">
        <v>194</v>
      </c>
      <c r="AI4" s="12" t="s">
        <v>195</v>
      </c>
      <c r="AJ4" s="12" t="s">
        <v>196</v>
      </c>
      <c r="AK4" s="12" t="s">
        <v>197</v>
      </c>
      <c r="AL4" s="13" t="s">
        <v>198</v>
      </c>
      <c r="AM4" s="12" t="s">
        <v>199</v>
      </c>
      <c r="AN4" s="13" t="s">
        <v>202</v>
      </c>
      <c r="AO4" s="13" t="s">
        <v>203</v>
      </c>
      <c r="AP4" s="13" t="s">
        <v>204</v>
      </c>
      <c r="AQ4" s="13" t="s">
        <v>205</v>
      </c>
      <c r="AR4" s="12" t="s">
        <v>206</v>
      </c>
      <c r="AS4" s="12" t="s">
        <v>207</v>
      </c>
      <c r="AT4" s="13" t="s">
        <v>208</v>
      </c>
      <c r="AU4" s="13" t="s">
        <v>209</v>
      </c>
      <c r="AV4" s="13" t="s">
        <v>210</v>
      </c>
      <c r="AW4" s="12" t="s">
        <v>211</v>
      </c>
      <c r="AX4" s="12" t="s">
        <v>212</v>
      </c>
      <c r="AY4" s="13" t="s">
        <v>213</v>
      </c>
      <c r="AZ4" s="13" t="s">
        <v>214</v>
      </c>
      <c r="BB4" s="12" t="s">
        <v>568</v>
      </c>
      <c r="BC4" s="12" t="s">
        <v>215</v>
      </c>
      <c r="BD4" s="12" t="s">
        <v>569</v>
      </c>
      <c r="BE4" s="12" t="s">
        <v>570</v>
      </c>
      <c r="BF4" s="13" t="s">
        <v>217</v>
      </c>
      <c r="BG4" s="12" t="s">
        <v>218</v>
      </c>
    </row>
    <row r="5" spans="1:59" collapsed="1" x14ac:dyDescent="0.2">
      <c r="A5" s="14" t="s">
        <v>229</v>
      </c>
      <c r="B5" s="14" t="s">
        <v>49</v>
      </c>
      <c r="C5" s="14">
        <v>238146391</v>
      </c>
      <c r="D5" s="15">
        <v>10</v>
      </c>
      <c r="E5" s="15">
        <v>32</v>
      </c>
      <c r="F5" s="15">
        <v>30</v>
      </c>
      <c r="H5" s="23">
        <f t="shared" ref="H5:H11" si="0">IF(ISBLANK(Q5),"·",Q5/(C5*(D5*3+IF(AND(ISNUMBER(T5),T5&gt;0),24,0))))</f>
        <v>1.7043193869400737E-2</v>
      </c>
      <c r="I5" s="16">
        <f t="shared" ref="I5:I11" si="1">IF(OR(ISBLANK(Q5),ISBLANK(F5)),"·",Q5*F5/E5/1000000)</f>
        <v>205.47549000000001</v>
      </c>
      <c r="J5" s="17">
        <f t="shared" ref="J5:J11" si="2">IF(ISBLANK(Q5),"·",Q5/C5)</f>
        <v>0.92033246894763987</v>
      </c>
      <c r="K5" s="17">
        <f t="shared" ref="K5:K11" si="3">IF(N5="","·",N5/C5)</f>
        <v>0.13656994701213004</v>
      </c>
      <c r="L5" s="17">
        <f t="shared" ref="L5:L11" si="4">IF(R5="","·",R5/C5)</f>
        <v>0.12768962767947217</v>
      </c>
      <c r="M5" s="17">
        <f t="shared" ref="M5:M11" si="5">IF(ISBLANK(T5),"·",T5/C5)</f>
        <v>0.78376252193550988</v>
      </c>
      <c r="N5" s="14">
        <f t="shared" ref="N5:N11" si="6">IF(OR(ISBLANK(R5),ISBLANK(S5)),"",R5+S5)</f>
        <v>32523640</v>
      </c>
      <c r="O5" s="17">
        <f t="shared" ref="O5:O11" si="7">IF(ISBLANK(Q5),"·",Q5/P5)</f>
        <v>8.7794769347206074</v>
      </c>
      <c r="P5" s="18">
        <v>24964341</v>
      </c>
      <c r="Q5" s="19">
        <v>219173856</v>
      </c>
      <c r="R5" s="19">
        <v>30408824</v>
      </c>
      <c r="S5" s="19">
        <v>2114816</v>
      </c>
      <c r="T5" s="19">
        <v>186650216</v>
      </c>
      <c r="U5" s="20" t="s">
        <v>573</v>
      </c>
      <c r="V5" s="20" t="s">
        <v>573</v>
      </c>
      <c r="W5" s="20" t="s">
        <v>573</v>
      </c>
      <c r="X5" s="20" t="s">
        <v>573</v>
      </c>
      <c r="Y5" s="20" t="s">
        <v>573</v>
      </c>
      <c r="Z5" s="21">
        <v>9305.7000000000007</v>
      </c>
      <c r="AA5" s="21">
        <v>0</v>
      </c>
      <c r="AB5" s="21">
        <v>71.555999999999997</v>
      </c>
      <c r="AC5" s="21">
        <v>0</v>
      </c>
      <c r="AE5" s="23">
        <f t="shared" ref="AE5:AE11" si="8">IF(ISBLANK(Q5),"·",Q5/(C5*(D5*3+IF(AND(ISNUMBER(T5),T5&gt;0),24,0))))</f>
        <v>1.7043193869400737E-2</v>
      </c>
      <c r="AF5" s="16" t="str">
        <f t="shared" ref="AF5:AF11" si="9">IF(OR(ISBLANK(AN5),ISBLANK(F5)),"·",AN5*F5/E5/1000000)</f>
        <v>·</v>
      </c>
      <c r="AG5" s="17" t="str">
        <f t="shared" ref="AG5:AG11" si="10">IF(ISBLANK(AN5),"·",AN5/C5)</f>
        <v>·</v>
      </c>
      <c r="AH5" s="17" t="str">
        <f t="shared" ref="AH5:AH11" si="11">IF(AK5="","·",AK5/C5)</f>
        <v>·</v>
      </c>
      <c r="AI5" s="17" t="str">
        <f t="shared" ref="AI5:AI11" si="12">IF(AO5="","·",AO5/C5)</f>
        <v>·</v>
      </c>
      <c r="AJ5" s="17" t="str">
        <f t="shared" ref="AJ5:AJ11" si="13">IF(ISBLANK(AQ5),"·",AQ5/C5)</f>
        <v>·</v>
      </c>
      <c r="AK5" s="14" t="str">
        <f t="shared" ref="AK5:AK11" si="14">IF(OR(ISBLANK(AO5),ISBLANK(AP5)),"",AO5+AP5)</f>
        <v/>
      </c>
      <c r="AL5" s="17" t="str">
        <f t="shared" ref="AL5:AL11" si="15">IF(ISBLANK(AN5),"·",AN5/AM5)</f>
        <v>·</v>
      </c>
      <c r="AM5" s="18"/>
      <c r="AN5" s="19"/>
      <c r="AO5" s="19"/>
      <c r="AP5" s="19"/>
      <c r="AQ5" s="19"/>
      <c r="AR5" s="20"/>
      <c r="AS5" s="20"/>
      <c r="AT5" s="20"/>
      <c r="AU5" s="20"/>
      <c r="AV5" s="20"/>
      <c r="AW5" s="21"/>
      <c r="AX5" s="21"/>
      <c r="AY5" s="21"/>
      <c r="AZ5" s="21"/>
      <c r="BB5" s="22" t="e">
        <f t="shared" ref="BB5:BB15" si="16">AG5/J5</f>
        <v>#VALUE!</v>
      </c>
      <c r="BC5" s="22" t="e">
        <f t="shared" ref="BC5:BC15" si="17">AH5/K5</f>
        <v>#VALUE!</v>
      </c>
      <c r="BD5" s="22" t="e">
        <f t="shared" ref="BD5:BD15" si="18">AI5/L5</f>
        <v>#VALUE!</v>
      </c>
      <c r="BE5" s="22" t="e">
        <f t="shared" ref="BE5:BE15" si="19">AJ5/M5</f>
        <v>#VALUE!</v>
      </c>
      <c r="BF5" s="23" t="e">
        <f t="shared" ref="BF5:BF11" si="20">(AK5/AN5) - (N5/Q5)</f>
        <v>#VALUE!</v>
      </c>
      <c r="BG5" s="23" t="e">
        <f t="array" ref="BG5">AVERAGE(AK5:AK5/AN5:AN5) - AVERAGE(N5:N5/Q5:Q5)</f>
        <v>#VALUE!</v>
      </c>
    </row>
    <row r="6" spans="1:59" collapsed="1" x14ac:dyDescent="0.2">
      <c r="A6" s="24"/>
      <c r="B6" s="24" t="s">
        <v>57</v>
      </c>
      <c r="C6" s="24">
        <v>218121242</v>
      </c>
      <c r="D6" s="25">
        <v>10</v>
      </c>
      <c r="E6" s="25">
        <v>32</v>
      </c>
      <c r="F6" s="25">
        <v>30</v>
      </c>
      <c r="H6" s="33">
        <f t="shared" si="0"/>
        <v>2.4451751335481439E-2</v>
      </c>
      <c r="I6" s="26">
        <f t="shared" si="1"/>
        <v>270.00572249999999</v>
      </c>
      <c r="J6" s="27">
        <f t="shared" si="2"/>
        <v>1.3203945721159978</v>
      </c>
      <c r="K6" s="27">
        <f t="shared" si="3"/>
        <v>0.17097694684867051</v>
      </c>
      <c r="L6" s="27">
        <f t="shared" si="4"/>
        <v>0.15523403263951707</v>
      </c>
      <c r="M6" s="27">
        <f t="shared" si="5"/>
        <v>1.1494176252673272</v>
      </c>
      <c r="N6" s="24">
        <f t="shared" si="6"/>
        <v>37293704</v>
      </c>
      <c r="O6" s="27">
        <f t="shared" si="7"/>
        <v>12.712813348206421</v>
      </c>
      <c r="P6" s="28">
        <v>22654789</v>
      </c>
      <c r="Q6" s="29">
        <v>288006104</v>
      </c>
      <c r="R6" s="29">
        <v>33859840</v>
      </c>
      <c r="S6" s="29">
        <v>3433864</v>
      </c>
      <c r="T6" s="29">
        <v>250712400</v>
      </c>
      <c r="U6" s="30" t="s">
        <v>573</v>
      </c>
      <c r="V6" s="30" t="s">
        <v>573</v>
      </c>
      <c r="W6" s="30" t="s">
        <v>573</v>
      </c>
      <c r="X6" s="30" t="s">
        <v>573</v>
      </c>
      <c r="Y6" s="30" t="s">
        <v>573</v>
      </c>
      <c r="Z6" s="31">
        <v>11464.279</v>
      </c>
      <c r="AA6" s="31">
        <v>0</v>
      </c>
      <c r="AB6" s="31">
        <v>69.349999999999994</v>
      </c>
      <c r="AC6" s="31">
        <v>0</v>
      </c>
      <c r="AE6" s="33">
        <f t="shared" si="8"/>
        <v>2.4451751335481439E-2</v>
      </c>
      <c r="AF6" s="26" t="str">
        <f t="shared" si="9"/>
        <v>·</v>
      </c>
      <c r="AG6" s="27" t="str">
        <f t="shared" si="10"/>
        <v>·</v>
      </c>
      <c r="AH6" s="27" t="str">
        <f t="shared" si="11"/>
        <v>·</v>
      </c>
      <c r="AI6" s="27" t="str">
        <f t="shared" si="12"/>
        <v>·</v>
      </c>
      <c r="AJ6" s="27" t="str">
        <f t="shared" si="13"/>
        <v>·</v>
      </c>
      <c r="AK6" s="24" t="str">
        <f t="shared" si="14"/>
        <v/>
      </c>
      <c r="AL6" s="27" t="str">
        <f t="shared" si="15"/>
        <v>·</v>
      </c>
      <c r="AM6" s="28"/>
      <c r="AN6" s="29"/>
      <c r="AO6" s="29"/>
      <c r="AP6" s="29"/>
      <c r="AQ6" s="29"/>
      <c r="AR6" s="30"/>
      <c r="AS6" s="30"/>
      <c r="AT6" s="30"/>
      <c r="AU6" s="30"/>
      <c r="AV6" s="30"/>
      <c r="AW6" s="31"/>
      <c r="AX6" s="31"/>
      <c r="AY6" s="31"/>
      <c r="AZ6" s="31"/>
      <c r="BB6" s="32" t="e">
        <f t="shared" si="16"/>
        <v>#VALUE!</v>
      </c>
      <c r="BC6" s="32" t="e">
        <f t="shared" si="17"/>
        <v>#VALUE!</v>
      </c>
      <c r="BD6" s="32" t="e">
        <f t="shared" si="18"/>
        <v>#VALUE!</v>
      </c>
      <c r="BE6" s="32" t="e">
        <f t="shared" si="19"/>
        <v>#VALUE!</v>
      </c>
      <c r="BF6" s="33" t="e">
        <f t="shared" si="20"/>
        <v>#VALUE!</v>
      </c>
      <c r="BG6" s="33" t="e">
        <f t="array" ref="BG6">AVERAGE(AK6:AK6/AN6:AN6) - AVERAGE(N6:N6/Q6:Q6)</f>
        <v>#VALUE!</v>
      </c>
    </row>
    <row r="7" spans="1:59" collapsed="1" x14ac:dyDescent="0.2">
      <c r="A7" s="14"/>
      <c r="B7" s="14" t="s">
        <v>62</v>
      </c>
      <c r="C7" s="14">
        <v>322589704</v>
      </c>
      <c r="D7" s="15">
        <v>10</v>
      </c>
      <c r="E7" s="15">
        <v>32</v>
      </c>
      <c r="F7" s="15">
        <v>30</v>
      </c>
      <c r="H7" s="23">
        <f t="shared" si="0"/>
        <v>1.8788250440095099E-2</v>
      </c>
      <c r="I7" s="16">
        <f t="shared" si="1"/>
        <v>306.83286750000002</v>
      </c>
      <c r="J7" s="17">
        <f t="shared" si="2"/>
        <v>1.0145655237651354</v>
      </c>
      <c r="K7" s="17">
        <f t="shared" si="3"/>
        <v>0.14889052999658042</v>
      </c>
      <c r="L7" s="17">
        <f t="shared" si="4"/>
        <v>0.13698108604234932</v>
      </c>
      <c r="M7" s="17">
        <f t="shared" si="5"/>
        <v>0.86567499376855495</v>
      </c>
      <c r="N7" s="14">
        <f t="shared" si="6"/>
        <v>48030552</v>
      </c>
      <c r="O7" s="17">
        <f t="shared" si="7"/>
        <v>9.6409541283452391</v>
      </c>
      <c r="P7" s="18">
        <v>33947718</v>
      </c>
      <c r="Q7" s="19">
        <v>327288392</v>
      </c>
      <c r="R7" s="19">
        <v>44188688</v>
      </c>
      <c r="S7" s="19">
        <v>3841864</v>
      </c>
      <c r="T7" s="19">
        <v>279257840</v>
      </c>
      <c r="U7" s="20" t="s">
        <v>573</v>
      </c>
      <c r="V7" s="20" t="s">
        <v>573</v>
      </c>
      <c r="W7" s="20" t="s">
        <v>573</v>
      </c>
      <c r="X7" s="20" t="s">
        <v>573</v>
      </c>
      <c r="Y7" s="20" t="s">
        <v>573</v>
      </c>
      <c r="Z7" s="21">
        <v>12162.473</v>
      </c>
      <c r="AA7" s="21">
        <v>0</v>
      </c>
      <c r="AB7" s="21">
        <v>94.567999999999998</v>
      </c>
      <c r="AC7" s="21">
        <v>0</v>
      </c>
      <c r="AE7" s="23">
        <f t="shared" si="8"/>
        <v>1.8788250440095099E-2</v>
      </c>
      <c r="AF7" s="16" t="str">
        <f t="shared" si="9"/>
        <v>·</v>
      </c>
      <c r="AG7" s="17" t="str">
        <f t="shared" si="10"/>
        <v>·</v>
      </c>
      <c r="AH7" s="17" t="str">
        <f t="shared" si="11"/>
        <v>·</v>
      </c>
      <c r="AI7" s="17" t="str">
        <f t="shared" si="12"/>
        <v>·</v>
      </c>
      <c r="AJ7" s="17" t="str">
        <f t="shared" si="13"/>
        <v>·</v>
      </c>
      <c r="AK7" s="14" t="str">
        <f t="shared" si="14"/>
        <v/>
      </c>
      <c r="AL7" s="17" t="str">
        <f t="shared" si="15"/>
        <v>·</v>
      </c>
      <c r="AM7" s="18"/>
      <c r="AN7" s="19"/>
      <c r="AO7" s="19"/>
      <c r="AP7" s="19"/>
      <c r="AQ7" s="19"/>
      <c r="AR7" s="20"/>
      <c r="AS7" s="20"/>
      <c r="AT7" s="20"/>
      <c r="AU7" s="20"/>
      <c r="AV7" s="20"/>
      <c r="AW7" s="21"/>
      <c r="AX7" s="21"/>
      <c r="AY7" s="21"/>
      <c r="AZ7" s="21"/>
      <c r="BB7" s="22" t="e">
        <f t="shared" si="16"/>
        <v>#VALUE!</v>
      </c>
      <c r="BC7" s="22" t="e">
        <f t="shared" si="17"/>
        <v>#VALUE!</v>
      </c>
      <c r="BD7" s="22" t="e">
        <f t="shared" si="18"/>
        <v>#VALUE!</v>
      </c>
      <c r="BE7" s="22" t="e">
        <f t="shared" si="19"/>
        <v>#VALUE!</v>
      </c>
      <c r="BF7" s="23" t="e">
        <f t="shared" si="20"/>
        <v>#VALUE!</v>
      </c>
      <c r="BG7" s="23" t="e">
        <f t="array" ref="BG7">AVERAGE(AK7:AK7/AN7:AN7) - AVERAGE(N7:N7/Q7:Q7)</f>
        <v>#VALUE!</v>
      </c>
    </row>
    <row r="8" spans="1:59" collapsed="1" x14ac:dyDescent="0.2">
      <c r="A8" s="44"/>
      <c r="B8" s="44" t="s">
        <v>68</v>
      </c>
      <c r="C8" s="44">
        <v>250602891</v>
      </c>
      <c r="D8" s="45">
        <v>10</v>
      </c>
      <c r="E8" s="45">
        <v>32</v>
      </c>
      <c r="F8" s="45">
        <v>50</v>
      </c>
      <c r="H8" s="53">
        <f t="shared" si="0"/>
        <v>1.7296463877792424E-2</v>
      </c>
      <c r="I8" s="46">
        <f t="shared" si="1"/>
        <v>365.72713750000003</v>
      </c>
      <c r="J8" s="47">
        <f t="shared" si="2"/>
        <v>0.93400904940079088</v>
      </c>
      <c r="K8" s="47">
        <f t="shared" si="3"/>
        <v>0.1094074210021783</v>
      </c>
      <c r="L8" s="47">
        <f t="shared" si="4"/>
        <v>9.6200741754411762E-2</v>
      </c>
      <c r="M8" s="47">
        <f t="shared" si="5"/>
        <v>0.82460162839861251</v>
      </c>
      <c r="N8" s="44">
        <f t="shared" si="6"/>
        <v>27417816</v>
      </c>
      <c r="O8" s="47">
        <f t="shared" si="7"/>
        <v>7.2669345636646767</v>
      </c>
      <c r="P8" s="48">
        <v>32209643</v>
      </c>
      <c r="Q8" s="49">
        <v>234065368</v>
      </c>
      <c r="R8" s="49">
        <v>24108184</v>
      </c>
      <c r="S8" s="49">
        <v>3309632</v>
      </c>
      <c r="T8" s="49">
        <v>206647552</v>
      </c>
      <c r="U8" s="50" t="s">
        <v>573</v>
      </c>
      <c r="V8" s="50" t="s">
        <v>573</v>
      </c>
      <c r="W8" s="50" t="s">
        <v>573</v>
      </c>
      <c r="X8" s="50" t="s">
        <v>573</v>
      </c>
      <c r="Y8" s="50" t="s">
        <v>573</v>
      </c>
      <c r="Z8" s="51">
        <v>9637.75</v>
      </c>
      <c r="AA8" s="51">
        <v>0</v>
      </c>
      <c r="AB8" s="51">
        <v>80.081000000000003</v>
      </c>
      <c r="AC8" s="51">
        <v>0</v>
      </c>
      <c r="AE8" s="53">
        <f t="shared" si="8"/>
        <v>1.7296463877792424E-2</v>
      </c>
      <c r="AF8" s="46" t="str">
        <f t="shared" si="9"/>
        <v>·</v>
      </c>
      <c r="AG8" s="47" t="str">
        <f t="shared" si="10"/>
        <v>·</v>
      </c>
      <c r="AH8" s="47" t="str">
        <f t="shared" si="11"/>
        <v>·</v>
      </c>
      <c r="AI8" s="47" t="str">
        <f t="shared" si="12"/>
        <v>·</v>
      </c>
      <c r="AJ8" s="47" t="str">
        <f t="shared" si="13"/>
        <v>·</v>
      </c>
      <c r="AK8" s="44" t="str">
        <f t="shared" si="14"/>
        <v/>
      </c>
      <c r="AL8" s="47" t="str">
        <f t="shared" si="15"/>
        <v>·</v>
      </c>
      <c r="AM8" s="48"/>
      <c r="AN8" s="49"/>
      <c r="AO8" s="49"/>
      <c r="AP8" s="49"/>
      <c r="AQ8" s="49"/>
      <c r="AR8" s="50"/>
      <c r="AS8" s="50"/>
      <c r="AT8" s="50"/>
      <c r="AU8" s="50"/>
      <c r="AV8" s="50"/>
      <c r="AW8" s="51"/>
      <c r="AX8" s="51"/>
      <c r="AY8" s="51"/>
      <c r="AZ8" s="51"/>
      <c r="BB8" s="52" t="e">
        <f t="shared" si="16"/>
        <v>#VALUE!</v>
      </c>
      <c r="BC8" s="52" t="e">
        <f t="shared" si="17"/>
        <v>#VALUE!</v>
      </c>
      <c r="BD8" s="52" t="e">
        <f t="shared" si="18"/>
        <v>#VALUE!</v>
      </c>
      <c r="BE8" s="52" t="e">
        <f t="shared" si="19"/>
        <v>#VALUE!</v>
      </c>
      <c r="BF8" s="53" t="e">
        <f t="shared" si="20"/>
        <v>#VALUE!</v>
      </c>
      <c r="BG8" s="53" t="e">
        <f t="array" ref="BG8">AVERAGE(AK8:AK8/AN8:AN8) - AVERAGE(N8:N8/Q8:Q8)</f>
        <v>#VALUE!</v>
      </c>
    </row>
    <row r="9" spans="1:59" collapsed="1" x14ac:dyDescent="0.2">
      <c r="A9" s="34" t="s">
        <v>235</v>
      </c>
      <c r="B9" s="34" t="s">
        <v>71</v>
      </c>
      <c r="C9" s="34">
        <v>250294582</v>
      </c>
      <c r="D9" s="35">
        <v>10</v>
      </c>
      <c r="E9" s="35">
        <v>32</v>
      </c>
      <c r="F9" s="35">
        <v>30</v>
      </c>
      <c r="H9" s="43">
        <f t="shared" si="0"/>
        <v>2.7811329872035283E-2</v>
      </c>
      <c r="I9" s="36">
        <f t="shared" si="1"/>
        <v>352.40190000000001</v>
      </c>
      <c r="J9" s="37">
        <f t="shared" si="2"/>
        <v>1.5018118130899054</v>
      </c>
      <c r="K9" s="37">
        <f t="shared" si="3"/>
        <v>0.14678112369208215</v>
      </c>
      <c r="L9" s="37">
        <f t="shared" si="4"/>
        <v>0.13691751425925791</v>
      </c>
      <c r="M9" s="37">
        <f t="shared" si="5"/>
        <v>1.3550306893978232</v>
      </c>
      <c r="N9" s="34">
        <f t="shared" si="6"/>
        <v>36738520</v>
      </c>
      <c r="O9" s="37">
        <f t="shared" si="7"/>
        <v>14.85024103593779</v>
      </c>
      <c r="P9" s="38">
        <v>25312408</v>
      </c>
      <c r="Q9" s="39">
        <v>375895360</v>
      </c>
      <c r="R9" s="39">
        <v>34269712</v>
      </c>
      <c r="S9" s="39">
        <v>2468808</v>
      </c>
      <c r="T9" s="39">
        <v>339156840</v>
      </c>
      <c r="U9" s="40" t="s">
        <v>573</v>
      </c>
      <c r="V9" s="40" t="s">
        <v>573</v>
      </c>
      <c r="W9" s="40" t="s">
        <v>573</v>
      </c>
      <c r="X9" s="40" t="s">
        <v>573</v>
      </c>
      <c r="Y9" s="40" t="s">
        <v>573</v>
      </c>
      <c r="Z9" s="41">
        <v>11974.895</v>
      </c>
      <c r="AA9" s="41">
        <v>0</v>
      </c>
      <c r="AB9" s="41">
        <v>79.8</v>
      </c>
      <c r="AC9" s="41">
        <v>0</v>
      </c>
      <c r="AE9" s="43">
        <f t="shared" si="8"/>
        <v>2.7811329872035283E-2</v>
      </c>
      <c r="AF9" s="36" t="str">
        <f t="shared" si="9"/>
        <v>·</v>
      </c>
      <c r="AG9" s="37" t="str">
        <f t="shared" si="10"/>
        <v>·</v>
      </c>
      <c r="AH9" s="37" t="str">
        <f t="shared" si="11"/>
        <v>·</v>
      </c>
      <c r="AI9" s="37" t="str">
        <f t="shared" si="12"/>
        <v>·</v>
      </c>
      <c r="AJ9" s="37" t="str">
        <f t="shared" si="13"/>
        <v>·</v>
      </c>
      <c r="AK9" s="34" t="str">
        <f t="shared" si="14"/>
        <v/>
      </c>
      <c r="AL9" s="37" t="str">
        <f t="shared" si="15"/>
        <v>·</v>
      </c>
      <c r="AM9" s="38"/>
      <c r="AN9" s="39"/>
      <c r="AO9" s="39"/>
      <c r="AP9" s="39"/>
      <c r="AQ9" s="39"/>
      <c r="AR9" s="40"/>
      <c r="AS9" s="40"/>
      <c r="AT9" s="40"/>
      <c r="AU9" s="40"/>
      <c r="AV9" s="40"/>
      <c r="AW9" s="41"/>
      <c r="AX9" s="41"/>
      <c r="AY9" s="41"/>
      <c r="AZ9" s="41"/>
      <c r="BB9" s="42" t="e">
        <f t="shared" si="16"/>
        <v>#VALUE!</v>
      </c>
      <c r="BC9" s="42" t="e">
        <f t="shared" si="17"/>
        <v>#VALUE!</v>
      </c>
      <c r="BD9" s="42" t="e">
        <f t="shared" si="18"/>
        <v>#VALUE!</v>
      </c>
      <c r="BE9" s="42" t="e">
        <f t="shared" si="19"/>
        <v>#VALUE!</v>
      </c>
      <c r="BF9" s="43" t="e">
        <f t="shared" si="20"/>
        <v>#VALUE!</v>
      </c>
      <c r="BG9" s="43" t="e">
        <f t="array" ref="BG9">AVERAGE(AK9:AK9/AN9:AN9) - AVERAGE(N9:N9/Q9:Q9)</f>
        <v>#VALUE!</v>
      </c>
    </row>
    <row r="10" spans="1:59" collapsed="1" x14ac:dyDescent="0.2">
      <c r="A10" s="24" t="s">
        <v>236</v>
      </c>
      <c r="B10" s="24" t="s">
        <v>75</v>
      </c>
      <c r="C10" s="24">
        <v>375422539</v>
      </c>
      <c r="D10" s="25">
        <v>11</v>
      </c>
      <c r="E10" s="25">
        <v>32</v>
      </c>
      <c r="F10" s="25">
        <v>30</v>
      </c>
      <c r="H10" s="33">
        <f t="shared" si="0"/>
        <v>4.2348098328990384E-2</v>
      </c>
      <c r="I10" s="26">
        <f t="shared" si="1"/>
        <v>849.57238500000005</v>
      </c>
      <c r="J10" s="27">
        <f t="shared" si="2"/>
        <v>2.4138416047524518</v>
      </c>
      <c r="K10" s="27">
        <f t="shared" si="3"/>
        <v>0.2650139021088449</v>
      </c>
      <c r="L10" s="27">
        <f t="shared" si="4"/>
        <v>0.25245263177978772</v>
      </c>
      <c r="M10" s="27">
        <f t="shared" si="5"/>
        <v>2.1488277026436071</v>
      </c>
      <c r="N10" s="24">
        <f t="shared" si="6"/>
        <v>99492192</v>
      </c>
      <c r="O10" s="27">
        <f t="shared" si="7"/>
        <v>9.7594490091576755</v>
      </c>
      <c r="P10" s="28">
        <v>92854683</v>
      </c>
      <c r="Q10" s="29">
        <v>906210544</v>
      </c>
      <c r="R10" s="29">
        <v>94776408</v>
      </c>
      <c r="S10" s="29">
        <v>4715784</v>
      </c>
      <c r="T10" s="29">
        <v>806718352</v>
      </c>
      <c r="U10" s="30" t="s">
        <v>573</v>
      </c>
      <c r="V10" s="30" t="s">
        <v>573</v>
      </c>
      <c r="W10" s="30" t="s">
        <v>573</v>
      </c>
      <c r="X10" s="30" t="s">
        <v>573</v>
      </c>
      <c r="Y10" s="30" t="s">
        <v>573</v>
      </c>
      <c r="Z10" s="31">
        <v>40845.480000000003</v>
      </c>
      <c r="AA10" s="31">
        <v>0</v>
      </c>
      <c r="AB10" s="31">
        <v>266.86</v>
      </c>
      <c r="AC10" s="31">
        <v>0</v>
      </c>
      <c r="AE10" s="33">
        <f t="shared" si="8"/>
        <v>4.2348098328990384E-2</v>
      </c>
      <c r="AF10" s="26" t="str">
        <f t="shared" si="9"/>
        <v>·</v>
      </c>
      <c r="AG10" s="27" t="str">
        <f t="shared" si="10"/>
        <v>·</v>
      </c>
      <c r="AH10" s="27" t="str">
        <f t="shared" si="11"/>
        <v>·</v>
      </c>
      <c r="AI10" s="27" t="str">
        <f t="shared" si="12"/>
        <v>·</v>
      </c>
      <c r="AJ10" s="27" t="str">
        <f t="shared" si="13"/>
        <v>·</v>
      </c>
      <c r="AK10" s="24" t="str">
        <f t="shared" si="14"/>
        <v/>
      </c>
      <c r="AL10" s="27" t="str">
        <f t="shared" si="15"/>
        <v>·</v>
      </c>
      <c r="AM10" s="28"/>
      <c r="AN10" s="29"/>
      <c r="AO10" s="29"/>
      <c r="AP10" s="29"/>
      <c r="AQ10" s="29"/>
      <c r="AR10" s="30"/>
      <c r="AS10" s="30"/>
      <c r="AT10" s="30"/>
      <c r="AU10" s="30"/>
      <c r="AV10" s="30"/>
      <c r="AW10" s="31"/>
      <c r="AX10" s="31"/>
      <c r="AY10" s="31"/>
      <c r="AZ10" s="31"/>
      <c r="BB10" s="32" t="e">
        <f t="shared" si="16"/>
        <v>#VALUE!</v>
      </c>
      <c r="BC10" s="32" t="e">
        <f t="shared" si="17"/>
        <v>#VALUE!</v>
      </c>
      <c r="BD10" s="32" t="e">
        <f t="shared" si="18"/>
        <v>#VALUE!</v>
      </c>
      <c r="BE10" s="32" t="e">
        <f t="shared" si="19"/>
        <v>#VALUE!</v>
      </c>
      <c r="BF10" s="33" t="e">
        <f t="shared" si="20"/>
        <v>#VALUE!</v>
      </c>
      <c r="BG10" s="33" t="e">
        <f t="array" ref="BG10">AVERAGE(AK10:AK10/AN10:AN10) - AVERAGE(N10:N10/Q10:Q10)</f>
        <v>#VALUE!</v>
      </c>
    </row>
    <row r="11" spans="1:59" collapsed="1" x14ac:dyDescent="0.2">
      <c r="A11" s="34"/>
      <c r="B11" s="34" t="s">
        <v>80</v>
      </c>
      <c r="C11" s="34">
        <v>333190689</v>
      </c>
      <c r="D11" s="35">
        <v>11</v>
      </c>
      <c r="E11" s="35">
        <v>32</v>
      </c>
      <c r="F11" s="35">
        <v>30</v>
      </c>
      <c r="H11" s="43">
        <f t="shared" si="0"/>
        <v>4.3558314987776084E-2</v>
      </c>
      <c r="I11" s="36">
        <f t="shared" si="1"/>
        <v>775.55046000000004</v>
      </c>
      <c r="J11" s="37">
        <f t="shared" si="2"/>
        <v>2.4828239543032367</v>
      </c>
      <c r="K11" s="37">
        <f t="shared" si="3"/>
        <v>0.28596926368491649</v>
      </c>
      <c r="L11" s="37">
        <f t="shared" si="4"/>
        <v>0.27129295920991359</v>
      </c>
      <c r="M11" s="37">
        <f t="shared" si="5"/>
        <v>2.1968546906183204</v>
      </c>
      <c r="N11" s="34">
        <f t="shared" si="6"/>
        <v>95282296</v>
      </c>
      <c r="O11" s="37">
        <f t="shared" si="7"/>
        <v>9.9543628895462017</v>
      </c>
      <c r="P11" s="38">
        <v>83104648</v>
      </c>
      <c r="Q11" s="39">
        <v>827253824</v>
      </c>
      <c r="R11" s="39">
        <v>90392288</v>
      </c>
      <c r="S11" s="39">
        <v>4890008</v>
      </c>
      <c r="T11" s="39">
        <v>731971528</v>
      </c>
      <c r="U11" s="40" t="s">
        <v>573</v>
      </c>
      <c r="V11" s="40" t="s">
        <v>573</v>
      </c>
      <c r="W11" s="40" t="s">
        <v>573</v>
      </c>
      <c r="X11" s="40" t="s">
        <v>573</v>
      </c>
      <c r="Y11" s="40" t="s">
        <v>573</v>
      </c>
      <c r="Z11" s="41">
        <v>42199.231</v>
      </c>
      <c r="AA11" s="41">
        <v>0</v>
      </c>
      <c r="AB11" s="41">
        <v>242.59700000000001</v>
      </c>
      <c r="AC11" s="41">
        <v>0</v>
      </c>
      <c r="AE11" s="43">
        <f t="shared" si="8"/>
        <v>4.3558314987776084E-2</v>
      </c>
      <c r="AF11" s="36" t="str">
        <f t="shared" si="9"/>
        <v>·</v>
      </c>
      <c r="AG11" s="37" t="str">
        <f t="shared" si="10"/>
        <v>·</v>
      </c>
      <c r="AH11" s="37" t="str">
        <f t="shared" si="11"/>
        <v>·</v>
      </c>
      <c r="AI11" s="37" t="str">
        <f t="shared" si="12"/>
        <v>·</v>
      </c>
      <c r="AJ11" s="37" t="str">
        <f t="shared" si="13"/>
        <v>·</v>
      </c>
      <c r="AK11" s="34" t="str">
        <f t="shared" si="14"/>
        <v/>
      </c>
      <c r="AL11" s="37" t="str">
        <f t="shared" si="15"/>
        <v>·</v>
      </c>
      <c r="AM11" s="38"/>
      <c r="AN11" s="39"/>
      <c r="AO11" s="39"/>
      <c r="AP11" s="39"/>
      <c r="AQ11" s="39"/>
      <c r="AR11" s="40"/>
      <c r="AS11" s="40"/>
      <c r="AT11" s="40"/>
      <c r="AU11" s="40"/>
      <c r="AV11" s="40"/>
      <c r="AW11" s="41"/>
      <c r="AX11" s="41"/>
      <c r="AY11" s="41"/>
      <c r="AZ11" s="41"/>
      <c r="BB11" s="42" t="e">
        <f t="shared" si="16"/>
        <v>#VALUE!</v>
      </c>
      <c r="BC11" s="42" t="e">
        <f t="shared" si="17"/>
        <v>#VALUE!</v>
      </c>
      <c r="BD11" s="42" t="e">
        <f t="shared" si="18"/>
        <v>#VALUE!</v>
      </c>
      <c r="BE11" s="42" t="e">
        <f t="shared" si="19"/>
        <v>#VALUE!</v>
      </c>
      <c r="BF11" s="43" t="e">
        <f t="shared" si="20"/>
        <v>#VALUE!</v>
      </c>
      <c r="BG11" s="43" t="e">
        <f t="array" ref="BG11">AVERAGE(AK11:AK11/AN11:AN11) - AVERAGE(N11:N11/Q11:Q11)</f>
        <v>#VALUE!</v>
      </c>
    </row>
    <row r="12" spans="1:59" ht="16" x14ac:dyDescent="0.2">
      <c r="B12" s="54" t="s">
        <v>14</v>
      </c>
      <c r="J12" s="55">
        <f>AVERAGE(J5:J8)</f>
        <v>1.0473254035573909</v>
      </c>
      <c r="K12" s="55">
        <f>AVERAGE(K5:K8)</f>
        <v>0.14146121121488983</v>
      </c>
      <c r="L12" s="55">
        <f>AVERAGE(L5:L8)</f>
        <v>0.12902637202893757</v>
      </c>
      <c r="M12" s="55">
        <f>AVERAGE(M5:M8)</f>
        <v>0.90586419234250115</v>
      </c>
      <c r="AG12" s="55" t="e">
        <f>AVERAGE(AG5:AG8)</f>
        <v>#DIV/0!</v>
      </c>
      <c r="AH12" s="55" t="e">
        <f>AVERAGE(AH5:AH8)</f>
        <v>#DIV/0!</v>
      </c>
      <c r="AI12" s="55" t="e">
        <f>AVERAGE(AI5:AI8)</f>
        <v>#DIV/0!</v>
      </c>
      <c r="AJ12" s="55" t="e">
        <f>AVERAGE(AJ5:AJ8)</f>
        <v>#DIV/0!</v>
      </c>
      <c r="BB12" s="4" t="e">
        <f t="shared" si="16"/>
        <v>#DIV/0!</v>
      </c>
      <c r="BC12" s="4" t="e">
        <f t="shared" si="17"/>
        <v>#DIV/0!</v>
      </c>
      <c r="BD12" s="4" t="e">
        <f t="shared" si="18"/>
        <v>#DIV/0!</v>
      </c>
      <c r="BE12" s="4" t="e">
        <f t="shared" si="19"/>
        <v>#DIV/0!</v>
      </c>
      <c r="BG12" s="7" t="e">
        <f>AVERAGE(BG5:BG8)</f>
        <v>#VALUE!</v>
      </c>
    </row>
    <row r="13" spans="1:59" ht="16" x14ac:dyDescent="0.2">
      <c r="B13" s="54" t="s">
        <v>15</v>
      </c>
      <c r="J13" s="55">
        <f>AVERAGE(J9:J9)</f>
        <v>1.5018118130899054</v>
      </c>
      <c r="K13" s="55">
        <f>AVERAGE(K9:K9)</f>
        <v>0.14678112369208215</v>
      </c>
      <c r="L13" s="55">
        <f>AVERAGE(L9:L9)</f>
        <v>0.13691751425925791</v>
      </c>
      <c r="M13" s="55">
        <f>AVERAGE(M9:M9)</f>
        <v>1.3550306893978232</v>
      </c>
      <c r="AG13" s="55" t="e">
        <f>AVERAGE(AG9:AG9)</f>
        <v>#DIV/0!</v>
      </c>
      <c r="AH13" s="55" t="e">
        <f>AVERAGE(AH9:AH9)</f>
        <v>#DIV/0!</v>
      </c>
      <c r="AI13" s="55" t="e">
        <f>AVERAGE(AI9:AI9)</f>
        <v>#DIV/0!</v>
      </c>
      <c r="AJ13" s="55" t="e">
        <f>AVERAGE(AJ9:AJ9)</f>
        <v>#DIV/0!</v>
      </c>
      <c r="BB13" s="4" t="e">
        <f t="shared" si="16"/>
        <v>#DIV/0!</v>
      </c>
      <c r="BC13" s="4" t="e">
        <f t="shared" si="17"/>
        <v>#DIV/0!</v>
      </c>
      <c r="BD13" s="4" t="e">
        <f t="shared" si="18"/>
        <v>#DIV/0!</v>
      </c>
      <c r="BE13" s="4" t="e">
        <f t="shared" si="19"/>
        <v>#DIV/0!</v>
      </c>
      <c r="BG13" s="7" t="e">
        <f>AVERAGE(BG9:BG9)</f>
        <v>#VALUE!</v>
      </c>
    </row>
    <row r="14" spans="1:59" ht="16" x14ac:dyDescent="0.2">
      <c r="B14" s="54" t="s">
        <v>16</v>
      </c>
      <c r="J14" s="55">
        <f>AVERAGE(J10:J11)</f>
        <v>2.4483327795278442</v>
      </c>
      <c r="K14" s="55">
        <f>AVERAGE(K10:K11)</f>
        <v>0.27549158289688069</v>
      </c>
      <c r="L14" s="55">
        <f>AVERAGE(L10:L11)</f>
        <v>0.26187279549485065</v>
      </c>
      <c r="M14" s="55">
        <f>AVERAGE(M10:M11)</f>
        <v>2.172841196630964</v>
      </c>
      <c r="AG14" s="55" t="e">
        <f>AVERAGE(AG10:AG11)</f>
        <v>#DIV/0!</v>
      </c>
      <c r="AH14" s="55" t="e">
        <f>AVERAGE(AH10:AH11)</f>
        <v>#DIV/0!</v>
      </c>
      <c r="AI14" s="55" t="e">
        <f>AVERAGE(AI10:AI11)</f>
        <v>#DIV/0!</v>
      </c>
      <c r="AJ14" s="55" t="e">
        <f>AVERAGE(AJ10:AJ11)</f>
        <v>#DIV/0!</v>
      </c>
      <c r="BB14" s="4" t="e">
        <f t="shared" si="16"/>
        <v>#DIV/0!</v>
      </c>
      <c r="BC14" s="4" t="e">
        <f t="shared" si="17"/>
        <v>#DIV/0!</v>
      </c>
      <c r="BD14" s="4" t="e">
        <f t="shared" si="18"/>
        <v>#DIV/0!</v>
      </c>
      <c r="BE14" s="4" t="e">
        <f t="shared" si="19"/>
        <v>#DIV/0!</v>
      </c>
      <c r="BG14" s="7" t="e">
        <f>AVERAGE(BG10:BG11)</f>
        <v>#VALUE!</v>
      </c>
    </row>
    <row r="15" spans="1:59" ht="16" x14ac:dyDescent="0.2">
      <c r="B15" s="54" t="s">
        <v>17</v>
      </c>
      <c r="J15" s="55">
        <f>AVERAGE(J5:J11)</f>
        <v>1.5125398551964511</v>
      </c>
      <c r="K15" s="55">
        <f>AVERAGE(K5:K11)</f>
        <v>0.18051559062077185</v>
      </c>
      <c r="L15" s="55">
        <f>AVERAGE(L5:L11)</f>
        <v>0.16810979905210136</v>
      </c>
      <c r="M15" s="55">
        <f>AVERAGE(M5:M11)</f>
        <v>1.3320242645756792</v>
      </c>
      <c r="AG15" s="55" t="e">
        <f>AVERAGE(AG5:AG11)</f>
        <v>#DIV/0!</v>
      </c>
      <c r="AH15" s="55" t="e">
        <f>AVERAGE(AH5:AH11)</f>
        <v>#DIV/0!</v>
      </c>
      <c r="AI15" s="55" t="e">
        <f>AVERAGE(AI5:AI11)</f>
        <v>#DIV/0!</v>
      </c>
      <c r="AJ15" s="55" t="e">
        <f>AVERAGE(AJ5:AJ11)</f>
        <v>#DIV/0!</v>
      </c>
      <c r="BB15" s="4" t="e">
        <f t="shared" si="16"/>
        <v>#DIV/0!</v>
      </c>
      <c r="BC15" s="4" t="e">
        <f t="shared" si="17"/>
        <v>#DIV/0!</v>
      </c>
      <c r="BD15" s="4" t="e">
        <f t="shared" si="18"/>
        <v>#DIV/0!</v>
      </c>
      <c r="BE15" s="4" t="e">
        <f t="shared" si="19"/>
        <v>#DIV/0!</v>
      </c>
      <c r="BG15" s="7" t="e">
        <f>AVERAGE(BG5:BG11)</f>
        <v>#VALUE!</v>
      </c>
    </row>
    <row r="16" spans="1:59" ht="16" hidden="1" outlineLevel="2" x14ac:dyDescent="0.2">
      <c r="A16" s="54" t="s">
        <v>237</v>
      </c>
      <c r="B16" s="54" t="s">
        <v>238</v>
      </c>
      <c r="Z16" s="56">
        <f>SUM(Z5:Z8,Z9:Z9,Z10:Z11)</f>
        <v>137589.80799999999</v>
      </c>
      <c r="AA16" s="56">
        <f>SUM(AA5:AA8,AA9:AA9,AA10:AA11)</f>
        <v>0</v>
      </c>
      <c r="AB16" s="56">
        <f>SUM(AB5:AB8,AB9:AB9,AB10:AB11)</f>
        <v>904.81200000000001</v>
      </c>
      <c r="AC16" s="56">
        <f>SUM(AC5:AC8,AC9:AC9,AC10:AC11)</f>
        <v>0</v>
      </c>
      <c r="AW16" s="56">
        <f>SUM(AW5:AW8,AW9:AW9,AW10:AW11)</f>
        <v>0</v>
      </c>
      <c r="AX16" s="56">
        <f>SUM(AX5:AX8,AX9:AX9,AX10:AX11)</f>
        <v>0</v>
      </c>
      <c r="AY16" s="56">
        <f>SUM(AY5:AY8,AY9:AY9,AY10:AY11)</f>
        <v>0</v>
      </c>
      <c r="AZ16" s="56">
        <f>SUM(AZ5:AZ8,AZ9:AZ9,AZ10:AZ11)</f>
        <v>0</v>
      </c>
    </row>
    <row r="17" spans="2:52" ht="16" hidden="1" outlineLevel="2" x14ac:dyDescent="0.2">
      <c r="B17" s="54" t="s">
        <v>239</v>
      </c>
      <c r="AW17" s="7">
        <f>AW16/Z16</f>
        <v>0</v>
      </c>
      <c r="AX17" s="7" t="e">
        <f>AX16/AA16</f>
        <v>#DIV/0!</v>
      </c>
      <c r="AY17" s="7">
        <f>AY16/AB16</f>
        <v>0</v>
      </c>
      <c r="AZ17" s="7" t="e">
        <f>AZ16/AC16</f>
        <v>#DIV/0!</v>
      </c>
    </row>
    <row r="18" spans="2:52" ht="16" hidden="1" outlineLevel="2" x14ac:dyDescent="0.2">
      <c r="B18" s="54" t="s">
        <v>240</v>
      </c>
      <c r="Z18" s="56">
        <f>GEOMEAN(Z5:Z8,Z9:Z9,Z10:Z11)</f>
        <v>15910.640259744812</v>
      </c>
      <c r="AA18" s="56" t="e">
        <f>GEOMEAN(AA5:AA8,AA9:AA9,AA10:AA11)</f>
        <v>#NUM!</v>
      </c>
      <c r="AB18" s="56">
        <f>GEOMEAN(AB5:AB8,AB9:AB9,AB10:AB11)</f>
        <v>109.94173165848471</v>
      </c>
      <c r="AC18" s="56" t="e">
        <f>GEOMEAN(AC5:AC8,AC9:AC9,AC10:AC11)</f>
        <v>#NUM!</v>
      </c>
      <c r="AW18" s="56" t="e">
        <f>GEOMEAN(AW5:AW8,AW9:AW9,AW10:AW11)</f>
        <v>#NUM!</v>
      </c>
      <c r="AX18" s="56" t="e">
        <f>GEOMEAN(AX5:AX8,AX9:AX9,AX10:AX11)</f>
        <v>#NUM!</v>
      </c>
      <c r="AY18" s="56" t="e">
        <f>GEOMEAN(AY5:AY8,AY9:AY9,AY10:AY11)</f>
        <v>#NUM!</v>
      </c>
      <c r="AZ18" s="56" t="e">
        <f>GEOMEAN(AZ5:AZ8,AZ9:AZ9,AZ10:AZ11)</f>
        <v>#NUM!</v>
      </c>
    </row>
    <row r="19" spans="2:52" ht="16" outlineLevel="2" collapsed="1" x14ac:dyDescent="0.2">
      <c r="B19" s="54" t="s">
        <v>241</v>
      </c>
      <c r="AW19" s="7" t="e">
        <f>AW18/Z18</f>
        <v>#NUM!</v>
      </c>
      <c r="AX19" s="7" t="e">
        <f>AX18/AA18</f>
        <v>#NUM!</v>
      </c>
      <c r="AY19" s="7" t="e">
        <f>AY18/AB18</f>
        <v>#NUM!</v>
      </c>
      <c r="AZ19" s="7"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phoneticPr fontId="2"/>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T47"/>
  <sheetViews>
    <sheetView zoomScale="55" zoomScaleNormal="55" workbookViewId="0">
      <pane xSplit="2" ySplit="4" topLeftCell="E5" activePane="bottomRight" state="frozen"/>
      <selection pane="topRight" activeCell="C1" sqref="C1"/>
      <selection pane="bottomLeft" activeCell="A5" sqref="A5"/>
      <selection pane="bottomRight" activeCell="AH69" sqref="AH69"/>
    </sheetView>
  </sheetViews>
  <sheetFormatPr baseColWidth="10" defaultColWidth="8.83203125" defaultRowHeight="15" outlineLevelRow="2" x14ac:dyDescent="0.2"/>
  <cols>
    <col min="2" max="2" width="24.6640625" customWidth="1"/>
    <col min="4" max="5" width="10.6640625" customWidth="1"/>
    <col min="8" max="8" width="1.6640625" customWidth="1"/>
    <col min="10" max="13" width="10.6640625" customWidth="1"/>
    <col min="14" max="14" width="24.6640625" hidden="1" customWidth="1"/>
    <col min="15" max="15" width="12.6640625" customWidth="1"/>
    <col min="16" max="16" width="10.6640625" customWidth="1"/>
    <col min="19" max="22" width="12.6640625" customWidth="1"/>
    <col min="23" max="27" width="11.6640625" customWidth="1"/>
    <col min="32" max="32" width="1.6640625" customWidth="1"/>
    <col min="34" max="37" width="10.6640625" customWidth="1"/>
    <col min="38" max="38" width="24.6640625" hidden="1" customWidth="1"/>
    <col min="39" max="39" width="12.6640625" customWidth="1"/>
    <col min="40" max="40" width="10.6640625" customWidth="1"/>
    <col min="43" max="46" width="12.6640625" customWidth="1"/>
    <col min="47" max="51" width="11.6640625" customWidth="1"/>
    <col min="56" max="56" width="1.6640625" customWidth="1"/>
    <col min="61" max="61" width="1.6640625" customWidth="1"/>
    <col min="64" max="66" width="11.6640625" customWidth="1"/>
    <col min="67" max="67" width="1.6640625" customWidth="1"/>
    <col min="70" max="72" width="11.6640625" customWidth="1"/>
    <col min="73" max="73" width="1.6640625" customWidth="1"/>
  </cols>
  <sheetData>
    <row r="1" spans="1:72" x14ac:dyDescent="0.2">
      <c r="A1" s="72" t="s">
        <v>572</v>
      </c>
      <c r="B1" s="58"/>
      <c r="C1" s="58"/>
      <c r="D1" s="58"/>
      <c r="E1" s="58"/>
      <c r="F1" s="58"/>
      <c r="G1" s="58"/>
      <c r="I1" s="57" t="str">
        <f>Summary!$C$1</f>
        <v>CTC_master+r220</v>
      </c>
      <c r="J1" s="58"/>
      <c r="K1" s="58"/>
      <c r="L1" s="58"/>
      <c r="M1" s="58"/>
      <c r="N1" s="58"/>
      <c r="O1" s="58"/>
      <c r="P1" s="58"/>
      <c r="Q1" s="58"/>
      <c r="R1" s="58"/>
      <c r="S1" s="58"/>
      <c r="T1" s="58"/>
      <c r="U1" s="58"/>
      <c r="V1" s="58"/>
      <c r="W1" s="58"/>
      <c r="X1" s="58"/>
      <c r="Y1" s="58"/>
      <c r="Z1" s="58"/>
      <c r="AA1" s="58"/>
      <c r="AB1" s="58"/>
      <c r="AC1" s="58"/>
      <c r="AD1" s="58"/>
      <c r="AE1" s="58"/>
      <c r="AG1" s="59">
        <f>Summary!$C$2</f>
        <v>0</v>
      </c>
      <c r="AH1" s="58"/>
      <c r="AI1" s="58"/>
      <c r="AJ1" s="58"/>
      <c r="AK1" s="58"/>
      <c r="AL1" s="58"/>
      <c r="AM1" s="58"/>
      <c r="AN1" s="58"/>
      <c r="AO1" s="58"/>
      <c r="AP1" s="58"/>
      <c r="AQ1" s="58"/>
      <c r="AR1" s="58"/>
      <c r="AS1" s="58"/>
      <c r="AT1" s="58"/>
      <c r="AU1" s="58"/>
      <c r="AV1" s="58"/>
      <c r="AW1" s="58"/>
      <c r="AX1" s="58"/>
      <c r="AY1" s="58"/>
      <c r="AZ1" s="58"/>
      <c r="BA1" s="58"/>
      <c r="BB1" s="58"/>
      <c r="BC1" s="58"/>
    </row>
    <row r="2" spans="1:72" ht="30" customHeight="1" x14ac:dyDescent="0.2">
      <c r="A2" s="68" t="s">
        <v>137</v>
      </c>
      <c r="B2" s="69" t="s">
        <v>138</v>
      </c>
      <c r="C2" s="68" t="s">
        <v>139</v>
      </c>
      <c r="D2" s="69" t="s">
        <v>140</v>
      </c>
      <c r="E2" s="68" t="s">
        <v>141</v>
      </c>
      <c r="F2" s="69" t="s">
        <v>142</v>
      </c>
      <c r="G2" s="68" t="s">
        <v>143</v>
      </c>
      <c r="I2" s="69" t="s">
        <v>144</v>
      </c>
      <c r="J2" s="70" t="s">
        <v>145</v>
      </c>
      <c r="K2" s="58"/>
      <c r="L2" s="58"/>
      <c r="M2" s="58"/>
      <c r="N2" s="68" t="s">
        <v>146</v>
      </c>
      <c r="O2" s="69" t="s">
        <v>147</v>
      </c>
      <c r="P2" s="68" t="s">
        <v>84</v>
      </c>
      <c r="Q2" s="69" t="s">
        <v>86</v>
      </c>
      <c r="R2" s="68" t="s">
        <v>82</v>
      </c>
      <c r="S2" s="71" t="s">
        <v>148</v>
      </c>
      <c r="T2" s="58"/>
      <c r="U2" s="58"/>
      <c r="V2" s="58"/>
      <c r="W2" s="70" t="s">
        <v>149</v>
      </c>
      <c r="X2" s="58"/>
      <c r="Y2" s="71" t="s">
        <v>150</v>
      </c>
      <c r="Z2" s="58"/>
      <c r="AA2" s="58"/>
      <c r="AB2" s="70" t="s">
        <v>151</v>
      </c>
      <c r="AC2" s="58"/>
      <c r="AD2" s="71" t="s">
        <v>152</v>
      </c>
      <c r="AE2" s="58"/>
      <c r="AG2" s="68" t="s">
        <v>144</v>
      </c>
      <c r="AH2" s="71" t="s">
        <v>145</v>
      </c>
      <c r="AI2" s="58"/>
      <c r="AJ2" s="58"/>
      <c r="AK2" s="58"/>
      <c r="AL2" s="69" t="s">
        <v>153</v>
      </c>
      <c r="AM2" s="68" t="s">
        <v>147</v>
      </c>
      <c r="AN2" s="69" t="s">
        <v>84</v>
      </c>
      <c r="AO2" s="68" t="s">
        <v>86</v>
      </c>
      <c r="AP2" s="69" t="s">
        <v>82</v>
      </c>
      <c r="AQ2" s="70" t="s">
        <v>148</v>
      </c>
      <c r="AR2" s="58"/>
      <c r="AS2" s="58"/>
      <c r="AT2" s="58"/>
      <c r="AU2" s="71" t="s">
        <v>149</v>
      </c>
      <c r="AV2" s="58"/>
      <c r="AW2" s="70" t="s">
        <v>150</v>
      </c>
      <c r="AX2" s="58"/>
      <c r="AY2" s="58"/>
      <c r="AZ2" s="71" t="s">
        <v>151</v>
      </c>
      <c r="BA2" s="58"/>
      <c r="BB2" s="70" t="s">
        <v>152</v>
      </c>
      <c r="BC2" s="58"/>
      <c r="BE2" s="69" t="s">
        <v>154</v>
      </c>
      <c r="BF2" s="68" t="s">
        <v>155</v>
      </c>
      <c r="BG2" s="69" t="s">
        <v>156</v>
      </c>
      <c r="BH2" s="68" t="s">
        <v>156</v>
      </c>
      <c r="BJ2" s="71" t="s">
        <v>5</v>
      </c>
      <c r="BK2" s="58"/>
      <c r="BL2" s="70" t="s">
        <v>6</v>
      </c>
      <c r="BM2" s="58"/>
      <c r="BN2" s="58"/>
      <c r="BP2" s="71" t="s">
        <v>7</v>
      </c>
      <c r="BQ2" s="58"/>
      <c r="BR2" s="70" t="s">
        <v>8</v>
      </c>
      <c r="BS2" s="58"/>
      <c r="BT2" s="58"/>
    </row>
    <row r="3" spans="1:72" ht="16" x14ac:dyDescent="0.2">
      <c r="A3" s="61"/>
      <c r="B3" s="61"/>
      <c r="C3" s="61"/>
      <c r="D3" s="61"/>
      <c r="E3" s="61"/>
      <c r="F3" s="61"/>
      <c r="G3" s="61"/>
      <c r="I3" s="61"/>
      <c r="J3" s="10" t="s">
        <v>25</v>
      </c>
      <c r="K3" s="10" t="s">
        <v>23</v>
      </c>
      <c r="L3" s="10" t="s">
        <v>157</v>
      </c>
      <c r="M3" s="10" t="s">
        <v>158</v>
      </c>
      <c r="N3" s="61"/>
      <c r="O3" s="61"/>
      <c r="P3" s="61"/>
      <c r="Q3" s="61"/>
      <c r="R3" s="61"/>
      <c r="S3" s="11" t="s">
        <v>25</v>
      </c>
      <c r="T3" s="11" t="s">
        <v>157</v>
      </c>
      <c r="U3" s="11" t="s">
        <v>159</v>
      </c>
      <c r="V3" s="11" t="s">
        <v>24</v>
      </c>
      <c r="W3" s="10" t="s">
        <v>9</v>
      </c>
      <c r="X3" s="10" t="s">
        <v>10</v>
      </c>
      <c r="Y3" s="11" t="s">
        <v>11</v>
      </c>
      <c r="Z3" s="11" t="s">
        <v>12</v>
      </c>
      <c r="AA3" s="11" t="s">
        <v>13</v>
      </c>
      <c r="AB3" s="10" t="s">
        <v>160</v>
      </c>
      <c r="AC3" s="10" t="s">
        <v>161</v>
      </c>
      <c r="AD3" s="11" t="s">
        <v>160</v>
      </c>
      <c r="AE3" s="11" t="s">
        <v>161</v>
      </c>
      <c r="AG3" s="61"/>
      <c r="AH3" s="11" t="s">
        <v>25</v>
      </c>
      <c r="AI3" s="11" t="s">
        <v>23</v>
      </c>
      <c r="AJ3" s="11" t="s">
        <v>157</v>
      </c>
      <c r="AK3" s="11" t="s">
        <v>158</v>
      </c>
      <c r="AL3" s="61"/>
      <c r="AM3" s="61"/>
      <c r="AN3" s="61"/>
      <c r="AO3" s="61"/>
      <c r="AP3" s="61"/>
      <c r="AQ3" s="10" t="s">
        <v>25</v>
      </c>
      <c r="AR3" s="10" t="s">
        <v>157</v>
      </c>
      <c r="AS3" s="10" t="s">
        <v>159</v>
      </c>
      <c r="AT3" s="10" t="s">
        <v>24</v>
      </c>
      <c r="AU3" s="11" t="s">
        <v>9</v>
      </c>
      <c r="AV3" s="11" t="s">
        <v>10</v>
      </c>
      <c r="AW3" s="10" t="s">
        <v>11</v>
      </c>
      <c r="AX3" s="10" t="s">
        <v>12</v>
      </c>
      <c r="AY3" s="10" t="s">
        <v>13</v>
      </c>
      <c r="AZ3" s="11" t="s">
        <v>160</v>
      </c>
      <c r="BA3" s="11" t="s">
        <v>161</v>
      </c>
      <c r="BB3" s="10" t="s">
        <v>160</v>
      </c>
      <c r="BC3" s="10" t="s">
        <v>161</v>
      </c>
      <c r="BE3" s="61"/>
      <c r="BF3" s="61"/>
      <c r="BG3" s="61"/>
      <c r="BH3" s="61"/>
      <c r="BJ3" s="11" t="s">
        <v>9</v>
      </c>
      <c r="BK3" s="11" t="s">
        <v>10</v>
      </c>
      <c r="BL3" s="10" t="s">
        <v>11</v>
      </c>
      <c r="BM3" s="10" t="s">
        <v>12</v>
      </c>
      <c r="BN3" s="10" t="s">
        <v>13</v>
      </c>
      <c r="BP3" s="11" t="s">
        <v>9</v>
      </c>
      <c r="BQ3" s="11" t="s">
        <v>10</v>
      </c>
      <c r="BR3" s="10" t="s">
        <v>11</v>
      </c>
      <c r="BS3" s="10" t="s">
        <v>12</v>
      </c>
      <c r="BT3" s="10" t="s">
        <v>13</v>
      </c>
    </row>
    <row r="4" spans="1:72" ht="123" hidden="1" customHeight="1" x14ac:dyDescent="0.2">
      <c r="A4" s="12" t="s">
        <v>162</v>
      </c>
      <c r="B4" s="13" t="s">
        <v>163</v>
      </c>
      <c r="C4" s="12" t="s">
        <v>164</v>
      </c>
      <c r="D4" s="13" t="s">
        <v>165</v>
      </c>
      <c r="E4" s="12" t="s">
        <v>166</v>
      </c>
      <c r="F4" s="13" t="s">
        <v>167</v>
      </c>
      <c r="G4" s="12" t="s">
        <v>168</v>
      </c>
      <c r="I4" s="13" t="s">
        <v>169</v>
      </c>
      <c r="J4" s="12" t="s">
        <v>170</v>
      </c>
      <c r="K4" s="12" t="s">
        <v>171</v>
      </c>
      <c r="L4" s="12" t="s">
        <v>172</v>
      </c>
      <c r="M4" s="12" t="s">
        <v>173</v>
      </c>
      <c r="N4" s="12" t="s">
        <v>174</v>
      </c>
      <c r="O4" s="13" t="s">
        <v>175</v>
      </c>
      <c r="P4" s="12" t="s">
        <v>176</v>
      </c>
      <c r="Q4" s="13" t="s">
        <v>177</v>
      </c>
      <c r="R4" s="12" t="s">
        <v>178</v>
      </c>
      <c r="S4" s="13" t="s">
        <v>179</v>
      </c>
      <c r="T4" s="13" t="s">
        <v>180</v>
      </c>
      <c r="U4" s="13" t="s">
        <v>181</v>
      </c>
      <c r="V4" s="13" t="s">
        <v>182</v>
      </c>
      <c r="W4" s="12" t="s">
        <v>183</v>
      </c>
      <c r="X4" s="12" t="s">
        <v>184</v>
      </c>
      <c r="Y4" s="13" t="s">
        <v>185</v>
      </c>
      <c r="Z4" s="13" t="s">
        <v>186</v>
      </c>
      <c r="AA4" s="13" t="s">
        <v>187</v>
      </c>
      <c r="AB4" s="12" t="s">
        <v>188</v>
      </c>
      <c r="AC4" s="12" t="s">
        <v>189</v>
      </c>
      <c r="AD4" s="13" t="s">
        <v>190</v>
      </c>
      <c r="AE4" s="13" t="s">
        <v>191</v>
      </c>
      <c r="AG4" s="12" t="s">
        <v>192</v>
      </c>
      <c r="AH4" s="13" t="s">
        <v>193</v>
      </c>
      <c r="AI4" s="13" t="s">
        <v>194</v>
      </c>
      <c r="AJ4" s="13" t="s">
        <v>195</v>
      </c>
      <c r="AK4" s="13" t="s">
        <v>196</v>
      </c>
      <c r="AL4" s="13" t="s">
        <v>197</v>
      </c>
      <c r="AM4" s="12" t="s">
        <v>198</v>
      </c>
      <c r="AN4" s="13" t="s">
        <v>199</v>
      </c>
      <c r="AO4" s="12" t="s">
        <v>200</v>
      </c>
      <c r="AP4" s="13" t="s">
        <v>201</v>
      </c>
      <c r="AQ4" s="12" t="s">
        <v>202</v>
      </c>
      <c r="AR4" s="12" t="s">
        <v>203</v>
      </c>
      <c r="AS4" s="12" t="s">
        <v>204</v>
      </c>
      <c r="AT4" s="12" t="s">
        <v>205</v>
      </c>
      <c r="AU4" s="13" t="s">
        <v>206</v>
      </c>
      <c r="AV4" s="13" t="s">
        <v>207</v>
      </c>
      <c r="AW4" s="12" t="s">
        <v>208</v>
      </c>
      <c r="AX4" s="12" t="s">
        <v>209</v>
      </c>
      <c r="AY4" s="12" t="s">
        <v>210</v>
      </c>
      <c r="AZ4" s="13" t="s">
        <v>211</v>
      </c>
      <c r="BA4" s="13" t="s">
        <v>212</v>
      </c>
      <c r="BB4" s="12" t="s">
        <v>213</v>
      </c>
      <c r="BC4" s="12" t="s">
        <v>214</v>
      </c>
      <c r="BE4" s="13" t="s">
        <v>215</v>
      </c>
      <c r="BF4" s="12" t="s">
        <v>216</v>
      </c>
      <c r="BG4" s="13" t="s">
        <v>217</v>
      </c>
      <c r="BH4" s="12" t="s">
        <v>218</v>
      </c>
      <c r="BJ4" s="13" t="s">
        <v>219</v>
      </c>
      <c r="BK4" s="13" t="s">
        <v>220</v>
      </c>
      <c r="BL4" s="12" t="s">
        <v>221</v>
      </c>
      <c r="BM4" s="12" t="s">
        <v>222</v>
      </c>
      <c r="BN4" s="12" t="s">
        <v>223</v>
      </c>
      <c r="BP4" s="13" t="s">
        <v>224</v>
      </c>
      <c r="BQ4" s="13" t="s">
        <v>225</v>
      </c>
      <c r="BR4" s="12" t="s">
        <v>226</v>
      </c>
      <c r="BS4" s="12" t="s">
        <v>227</v>
      </c>
      <c r="BT4" s="12" t="s">
        <v>228</v>
      </c>
    </row>
    <row r="5" spans="1:72" x14ac:dyDescent="0.2">
      <c r="A5" s="14" t="s">
        <v>229</v>
      </c>
      <c r="B5" s="14" t="s">
        <v>49</v>
      </c>
      <c r="C5" s="15" t="s">
        <v>230</v>
      </c>
      <c r="D5" s="14">
        <v>238146391</v>
      </c>
      <c r="E5" s="15">
        <v>10</v>
      </c>
      <c r="F5" s="15">
        <v>32</v>
      </c>
      <c r="G5" s="15">
        <v>30</v>
      </c>
      <c r="I5" s="16">
        <f t="shared" ref="I5:I39" si="0">IF(OR(ISBLANK(S5),ISBLANK(G5)),"·",S5*G5/F5/1000000)</f>
        <v>1.050675</v>
      </c>
      <c r="J5" s="17">
        <f t="shared" ref="J5:J39" si="1">IF(ISBLANK(S5),"·",S5/D5)</f>
        <v>4.7060129498246311E-3</v>
      </c>
      <c r="K5" s="17">
        <f t="shared" ref="K5:K39" si="2">IF(N5="","·",N5/D5)</f>
        <v>4.1074567449565086E-3</v>
      </c>
      <c r="L5" s="17">
        <f t="shared" ref="L5:L39" si="3">IF(T5="","·",T5/D5)</f>
        <v>2.6158700007341282E-3</v>
      </c>
      <c r="M5" s="17">
        <f t="shared" ref="M5:M39" si="4">IF(ISBLANK(V5),"·",V5/D5)</f>
        <v>5.9855620486812245E-4</v>
      </c>
      <c r="N5" s="14">
        <f t="shared" ref="N5:N39" si="5">IF(OR(ISBLANK(T5),ISBLANK(U5)),"",T5+U5)</f>
        <v>978176</v>
      </c>
      <c r="O5" s="17">
        <v>32</v>
      </c>
      <c r="P5" s="18">
        <v>23680630</v>
      </c>
      <c r="Q5" s="18">
        <v>740019.6875</v>
      </c>
      <c r="R5" s="18">
        <v>17141.40625</v>
      </c>
      <c r="S5" s="19">
        <v>1120720</v>
      </c>
      <c r="T5" s="19">
        <v>622960</v>
      </c>
      <c r="U5" s="19">
        <v>355216</v>
      </c>
      <c r="V5" s="19">
        <v>142544</v>
      </c>
      <c r="W5" s="20">
        <v>66.890695153124994</v>
      </c>
      <c r="X5" s="20">
        <v>68.650366868749998</v>
      </c>
      <c r="Y5" s="20">
        <v>31.765555253125001</v>
      </c>
      <c r="Z5" s="20">
        <v>44.363863350000003</v>
      </c>
      <c r="AA5" s="20">
        <v>44.146763556250001</v>
      </c>
      <c r="AB5" s="21">
        <v>6004.1970000000001</v>
      </c>
      <c r="AC5" s="21">
        <v>0</v>
      </c>
      <c r="AD5" s="21">
        <v>72.703999999999994</v>
      </c>
      <c r="AE5" s="21">
        <v>0</v>
      </c>
      <c r="AG5" s="16" t="str">
        <f t="shared" ref="AG5:AG39" si="6">IF(OR(ISBLANK(AQ5),ISBLANK(G5)),"·",AQ5*G5/F5/1000000)</f>
        <v>·</v>
      </c>
      <c r="AH5" s="17" t="str">
        <f t="shared" ref="AH5:AH39" si="7">IF(ISBLANK(AQ5),"·",AQ5/D5)</f>
        <v>·</v>
      </c>
      <c r="AI5" s="17" t="str">
        <f t="shared" ref="AI5:AI39" si="8">IF(AL5="","·",AL5/D5)</f>
        <v>·</v>
      </c>
      <c r="AJ5" s="17" t="str">
        <f t="shared" ref="AJ5:AJ39" si="9">IF(AR5="","·",AR5/D5)</f>
        <v>·</v>
      </c>
      <c r="AK5" s="17" t="str">
        <f t="shared" ref="AK5:AK39" si="10">IF(ISBLANK(AT5),"·",AT5/D5)</f>
        <v>·</v>
      </c>
      <c r="AL5" s="14" t="str">
        <f t="shared" ref="AL5:AL39" si="11">IF(OR(ISBLANK(AR5),ISBLANK(AS5)),"",AR5+AS5)</f>
        <v/>
      </c>
      <c r="AM5" s="17">
        <v>32</v>
      </c>
      <c r="AN5" s="18"/>
      <c r="AO5" s="18"/>
      <c r="AP5" s="18"/>
      <c r="AQ5" s="19"/>
      <c r="AR5" s="19"/>
      <c r="AS5" s="19"/>
      <c r="AT5" s="19"/>
      <c r="AU5" s="20"/>
      <c r="AV5" s="20"/>
      <c r="AW5" s="20"/>
      <c r="AX5" s="20"/>
      <c r="AY5" s="20"/>
      <c r="AZ5" s="21"/>
      <c r="BA5" s="21"/>
      <c r="BB5" s="21"/>
      <c r="BC5" s="21"/>
      <c r="BE5" s="22" t="e">
        <f t="shared" ref="BE5:BE43" si="12">AI5/K5</f>
        <v>#VALUE!</v>
      </c>
      <c r="BF5" s="23" t="e">
        <f t="shared" ref="BF5:BF39" si="13">(AP5/AO5) - (R5/Q5)</f>
        <v>#DIV/0!</v>
      </c>
      <c r="BG5" s="23" t="e">
        <f t="shared" ref="BG5:BG39" si="14">(AL5/AQ5) - (N5/S5)</f>
        <v>#VALUE!</v>
      </c>
      <c r="BH5" s="23" t="e">
        <f t="array" ref="BH5">AVERAGE(AL5:AL9/AQ5:AQ9) - AVERAGE(N5:N9/S5:S9)</f>
        <v>#VALUE!</v>
      </c>
      <c r="BJ5" s="22" t="str">
        <f>IF( OR(ISBLANK(N5:N9),ISBLANK(AL5:AL9), ISBLANK(W5:W9),ISBLANK(AU5:AU9)), "·", bdRateExtend( N5:N9,W5:W9, AL5:AL9,AU5:AU9))</f>
        <v>·</v>
      </c>
      <c r="BK5" s="22" t="str">
        <f>IF( OR(ISBLANK(N5:N9),ISBLANK(AL5:AL9), ISBLANK(X5:X9),ISBLANK(AV5:AV9)), "·", bdRateExtend( N5:N9,X5:X9, AL5:AL9,AV5:AV9))</f>
        <v>·</v>
      </c>
      <c r="BL5" s="22" t="str">
        <f>IF( OR(ISBLANK(V5:V9),ISBLANK(AT5:AT9), ISBLANK(Y5:Y9),ISBLANK(AW5:AW9)), "·", bdRateExtend( V5:V9,Y5:Y9, AT5:AT9,AW5:AW9))</f>
        <v>·</v>
      </c>
      <c r="BM5" s="22" t="str">
        <f>IF( OR(ISBLANK(V5:V9),ISBLANK(AT5:AT9), ISBLANK(Z5:Z9),ISBLANK(AX5:AX9)), "·", bdRateExtend( V5:V9,Z5:Z9, AT5:AT9,AX5:AX9))</f>
        <v>·</v>
      </c>
      <c r="BN5" s="22" t="str">
        <f>IF( OR(ISBLANK(V5:V9),ISBLANK(AT5:AT9), ISBLANK(AA5:AA9),ISBLANK(AY5:AY9)), "·", bdRateExtend( V5:V9,AA5:AA9, AT5:AT9,AY5:AY9))</f>
        <v>·</v>
      </c>
      <c r="BP5" s="22" t="str">
        <f>IF( OR(ISBLANK(S5:S9),ISBLANK(AQ5:AQ9), ISBLANK(W5:W9),ISBLANK(AU5:AU9)), "·", bdRateExtend( S5:S9,W5:W9, AQ5:AQ9,AU5:AU9))</f>
        <v>·</v>
      </c>
      <c r="BQ5" s="22" t="str">
        <f>IF( OR(ISBLANK(S5:S9),ISBLANK(AQ5:AQ9), ISBLANK(X5:X9),ISBLANK(AV5:AV9)), "·", bdRateExtend( S5:S9,X5:X9, AQ5:AQ9,AV5:AV9))</f>
        <v>·</v>
      </c>
      <c r="BR5" s="22" t="str">
        <f>IF( OR(ISBLANK(S5:S9),ISBLANK(AQ5:AQ9), ISBLANK(Y5:Y9),ISBLANK(AW5:AW9)), "·", bdRateExtend( S5:S9,Y5:Y9, AQ5:AQ9,AW5:AW9))</f>
        <v>·</v>
      </c>
      <c r="BS5" s="22" t="str">
        <f>IF( OR(ISBLANK(S5:S9),ISBLANK(AQ5:AQ9), ISBLANK(Z5:Z9),ISBLANK(AX5:AX9)), "·", bdRateExtend( S5:S9,Z5:Z9, AQ5:AQ9,AX5:AX9))</f>
        <v>·</v>
      </c>
      <c r="BT5" s="22" t="str">
        <f>IF( OR(ISBLANK(S5:S9),ISBLANK(AQ5:AQ9), ISBLANK(AA5:AA9),ISBLANK(AY5:AY9)), "·", bdRateExtend( S5:S9,AA5:AA9, AQ5:AQ9,AY5:AY9))</f>
        <v>·</v>
      </c>
    </row>
    <row r="6" spans="1:72" outlineLevel="1" x14ac:dyDescent="0.2">
      <c r="A6" s="24"/>
      <c r="B6" s="24" t="s">
        <v>49</v>
      </c>
      <c r="C6" s="25" t="s">
        <v>231</v>
      </c>
      <c r="D6" s="24">
        <v>238146391</v>
      </c>
      <c r="E6" s="25">
        <v>10</v>
      </c>
      <c r="F6" s="25">
        <v>32</v>
      </c>
      <c r="G6" s="25">
        <v>30</v>
      </c>
      <c r="I6" s="26">
        <f t="shared" si="0"/>
        <v>1.3581749999999999</v>
      </c>
      <c r="J6" s="27">
        <f t="shared" si="1"/>
        <v>6.0833170467823718E-3</v>
      </c>
      <c r="K6" s="27">
        <f t="shared" si="2"/>
        <v>4.9959522586256622E-3</v>
      </c>
      <c r="L6" s="27">
        <f t="shared" si="3"/>
        <v>3.5043655144032814E-3</v>
      </c>
      <c r="M6" s="27">
        <f t="shared" si="4"/>
        <v>1.0873647881567098E-3</v>
      </c>
      <c r="N6" s="24">
        <f t="shared" si="5"/>
        <v>1189768</v>
      </c>
      <c r="O6" s="27">
        <v>32</v>
      </c>
      <c r="P6" s="28">
        <v>24702414</v>
      </c>
      <c r="Q6" s="28">
        <v>771950.4375</v>
      </c>
      <c r="R6" s="28">
        <v>20119.09375</v>
      </c>
      <c r="S6" s="29">
        <v>1448720</v>
      </c>
      <c r="T6" s="29">
        <v>834552</v>
      </c>
      <c r="U6" s="29">
        <v>355216</v>
      </c>
      <c r="V6" s="29">
        <v>258952</v>
      </c>
      <c r="W6" s="30">
        <v>68.540089618750002</v>
      </c>
      <c r="X6" s="30">
        <v>70.623686681250007</v>
      </c>
      <c r="Y6" s="30">
        <v>33.861849650000003</v>
      </c>
      <c r="Z6" s="30">
        <v>45.536803371875003</v>
      </c>
      <c r="AA6" s="30">
        <v>45.219493774999997</v>
      </c>
      <c r="AB6" s="31">
        <v>6381.5150000000003</v>
      </c>
      <c r="AC6" s="31">
        <v>0</v>
      </c>
      <c r="AD6" s="31">
        <v>75.534999999999997</v>
      </c>
      <c r="AE6" s="31">
        <v>0</v>
      </c>
      <c r="AG6" s="26" t="str">
        <f t="shared" si="6"/>
        <v>·</v>
      </c>
      <c r="AH6" s="27" t="str">
        <f t="shared" si="7"/>
        <v>·</v>
      </c>
      <c r="AI6" s="27" t="str">
        <f t="shared" si="8"/>
        <v>·</v>
      </c>
      <c r="AJ6" s="27" t="str">
        <f t="shared" si="9"/>
        <v>·</v>
      </c>
      <c r="AK6" s="27" t="str">
        <f t="shared" si="10"/>
        <v>·</v>
      </c>
      <c r="AL6" s="24" t="str">
        <f t="shared" si="11"/>
        <v/>
      </c>
      <c r="AM6" s="27">
        <v>32</v>
      </c>
      <c r="AN6" s="28"/>
      <c r="AO6" s="28"/>
      <c r="AP6" s="28"/>
      <c r="AQ6" s="29"/>
      <c r="AR6" s="29"/>
      <c r="AS6" s="29"/>
      <c r="AT6" s="29"/>
      <c r="AU6" s="30"/>
      <c r="AV6" s="30"/>
      <c r="AW6" s="30"/>
      <c r="AX6" s="30"/>
      <c r="AY6" s="30"/>
      <c r="AZ6" s="31"/>
      <c r="BA6" s="31"/>
      <c r="BB6" s="31"/>
      <c r="BC6" s="31"/>
      <c r="BE6" s="32" t="e">
        <f t="shared" si="12"/>
        <v>#VALUE!</v>
      </c>
      <c r="BF6" s="33" t="e">
        <f t="shared" si="13"/>
        <v>#DIV/0!</v>
      </c>
      <c r="BG6" s="33" t="e">
        <f t="shared" si="14"/>
        <v>#VALUE!</v>
      </c>
      <c r="BH6" s="33"/>
      <c r="BJ6" s="32"/>
      <c r="BK6" s="32"/>
      <c r="BL6" s="32"/>
      <c r="BM6" s="32"/>
      <c r="BN6" s="32"/>
      <c r="BP6" s="32"/>
      <c r="BQ6" s="32"/>
      <c r="BR6" s="32"/>
      <c r="BS6" s="32"/>
      <c r="BT6" s="32"/>
    </row>
    <row r="7" spans="1:72" outlineLevel="1" x14ac:dyDescent="0.2">
      <c r="A7" s="14"/>
      <c r="B7" s="14" t="s">
        <v>49</v>
      </c>
      <c r="C7" s="15" t="s">
        <v>232</v>
      </c>
      <c r="D7" s="14">
        <v>238146391</v>
      </c>
      <c r="E7" s="15">
        <v>10</v>
      </c>
      <c r="F7" s="15">
        <v>32</v>
      </c>
      <c r="G7" s="15">
        <v>30</v>
      </c>
      <c r="I7" s="16">
        <f t="shared" si="0"/>
        <v>1.8537300000000001</v>
      </c>
      <c r="J7" s="17">
        <f t="shared" si="1"/>
        <v>8.3029265809869031E-3</v>
      </c>
      <c r="K7" s="17">
        <f t="shared" si="2"/>
        <v>6.114860669880989E-3</v>
      </c>
      <c r="L7" s="17">
        <f t="shared" si="3"/>
        <v>4.6232739256586086E-3</v>
      </c>
      <c r="M7" s="17">
        <f t="shared" si="4"/>
        <v>2.1880659111059128E-3</v>
      </c>
      <c r="N7" s="14">
        <f t="shared" si="5"/>
        <v>1456232</v>
      </c>
      <c r="O7" s="17">
        <v>32</v>
      </c>
      <c r="P7" s="18">
        <v>24905347</v>
      </c>
      <c r="Q7" s="18">
        <v>778292.09375</v>
      </c>
      <c r="R7" s="18">
        <v>21199.78125</v>
      </c>
      <c r="S7" s="19">
        <v>1977312</v>
      </c>
      <c r="T7" s="19">
        <v>1101016</v>
      </c>
      <c r="U7" s="19">
        <v>355216</v>
      </c>
      <c r="V7" s="19">
        <v>521080</v>
      </c>
      <c r="W7" s="20">
        <v>69.828959699999999</v>
      </c>
      <c r="X7" s="20">
        <v>72.273302700000002</v>
      </c>
      <c r="Y7" s="20">
        <v>36.23223244375</v>
      </c>
      <c r="Z7" s="20">
        <v>46.860589590624997</v>
      </c>
      <c r="AA7" s="20">
        <v>46.655373828125001</v>
      </c>
      <c r="AB7" s="21">
        <v>6652.393</v>
      </c>
      <c r="AC7" s="21">
        <v>0</v>
      </c>
      <c r="AD7" s="21">
        <v>77.414000000000001</v>
      </c>
      <c r="AE7" s="21">
        <v>0</v>
      </c>
      <c r="AG7" s="16" t="str">
        <f t="shared" si="6"/>
        <v>·</v>
      </c>
      <c r="AH7" s="17" t="str">
        <f t="shared" si="7"/>
        <v>·</v>
      </c>
      <c r="AI7" s="17" t="str">
        <f t="shared" si="8"/>
        <v>·</v>
      </c>
      <c r="AJ7" s="17" t="str">
        <f t="shared" si="9"/>
        <v>·</v>
      </c>
      <c r="AK7" s="17" t="str">
        <f t="shared" si="10"/>
        <v>·</v>
      </c>
      <c r="AL7" s="14" t="str">
        <f t="shared" si="11"/>
        <v/>
      </c>
      <c r="AM7" s="17">
        <v>32</v>
      </c>
      <c r="AN7" s="18"/>
      <c r="AO7" s="18"/>
      <c r="AP7" s="18"/>
      <c r="AQ7" s="19"/>
      <c r="AR7" s="19"/>
      <c r="AS7" s="19"/>
      <c r="AT7" s="19"/>
      <c r="AU7" s="20"/>
      <c r="AV7" s="20"/>
      <c r="AW7" s="20"/>
      <c r="AX7" s="20"/>
      <c r="AY7" s="20"/>
      <c r="AZ7" s="21"/>
      <c r="BA7" s="21"/>
      <c r="BB7" s="21"/>
      <c r="BC7" s="21"/>
      <c r="BE7" s="22" t="e">
        <f t="shared" si="12"/>
        <v>#VALUE!</v>
      </c>
      <c r="BF7" s="23" t="e">
        <f t="shared" si="13"/>
        <v>#DIV/0!</v>
      </c>
      <c r="BG7" s="23" t="e">
        <f t="shared" si="14"/>
        <v>#VALUE!</v>
      </c>
      <c r="BH7" s="23"/>
      <c r="BJ7" s="22"/>
      <c r="BK7" s="22"/>
      <c r="BL7" s="22"/>
      <c r="BM7" s="22"/>
      <c r="BN7" s="22"/>
      <c r="BP7" s="22"/>
      <c r="BQ7" s="22"/>
      <c r="BR7" s="22"/>
      <c r="BS7" s="22"/>
      <c r="BT7" s="22"/>
    </row>
    <row r="8" spans="1:72" outlineLevel="1" x14ac:dyDescent="0.2">
      <c r="A8" s="24"/>
      <c r="B8" s="24" t="s">
        <v>49</v>
      </c>
      <c r="C8" s="25" t="s">
        <v>233</v>
      </c>
      <c r="D8" s="24">
        <v>238146391</v>
      </c>
      <c r="E8" s="25">
        <v>10</v>
      </c>
      <c r="F8" s="25">
        <v>32</v>
      </c>
      <c r="G8" s="25">
        <v>30</v>
      </c>
      <c r="I8" s="26">
        <f t="shared" si="0"/>
        <v>3.0703800000000001</v>
      </c>
      <c r="J8" s="27">
        <f t="shared" si="1"/>
        <v>1.3752347815340188E-2</v>
      </c>
      <c r="K8" s="27">
        <f t="shared" si="2"/>
        <v>8.8791771780408792E-3</v>
      </c>
      <c r="L8" s="27">
        <f t="shared" si="3"/>
        <v>7.3875904338184997E-3</v>
      </c>
      <c r="M8" s="27">
        <f t="shared" si="4"/>
        <v>4.8731706372993075E-3</v>
      </c>
      <c r="N8" s="24">
        <f t="shared" si="5"/>
        <v>2114544</v>
      </c>
      <c r="O8" s="27">
        <v>32</v>
      </c>
      <c r="P8" s="28">
        <v>25897656</v>
      </c>
      <c r="Q8" s="28">
        <v>809301.75</v>
      </c>
      <c r="R8" s="28">
        <v>24484.625</v>
      </c>
      <c r="S8" s="29">
        <v>3275072</v>
      </c>
      <c r="T8" s="29">
        <v>1759328</v>
      </c>
      <c r="U8" s="29">
        <v>355216</v>
      </c>
      <c r="V8" s="29">
        <v>1160528</v>
      </c>
      <c r="W8" s="30">
        <v>70.899727662499998</v>
      </c>
      <c r="X8" s="30">
        <v>73.464066206249996</v>
      </c>
      <c r="Y8" s="30">
        <v>38.680199468749997</v>
      </c>
      <c r="Z8" s="30">
        <v>48.181530475000002</v>
      </c>
      <c r="AA8" s="30">
        <v>48.270241609374999</v>
      </c>
      <c r="AB8" s="31">
        <v>7260.9920000000002</v>
      </c>
      <c r="AC8" s="31">
        <v>0</v>
      </c>
      <c r="AD8" s="31">
        <v>79.906000000000006</v>
      </c>
      <c r="AE8" s="31">
        <v>0</v>
      </c>
      <c r="AG8" s="26" t="str">
        <f t="shared" si="6"/>
        <v>·</v>
      </c>
      <c r="AH8" s="27" t="str">
        <f t="shared" si="7"/>
        <v>·</v>
      </c>
      <c r="AI8" s="27" t="str">
        <f t="shared" si="8"/>
        <v>·</v>
      </c>
      <c r="AJ8" s="27" t="str">
        <f t="shared" si="9"/>
        <v>·</v>
      </c>
      <c r="AK8" s="27" t="str">
        <f t="shared" si="10"/>
        <v>·</v>
      </c>
      <c r="AL8" s="24" t="str">
        <f t="shared" si="11"/>
        <v/>
      </c>
      <c r="AM8" s="27">
        <v>32</v>
      </c>
      <c r="AN8" s="28"/>
      <c r="AO8" s="28"/>
      <c r="AP8" s="28"/>
      <c r="AQ8" s="29"/>
      <c r="AR8" s="29"/>
      <c r="AS8" s="29"/>
      <c r="AT8" s="29"/>
      <c r="AU8" s="30"/>
      <c r="AV8" s="30"/>
      <c r="AW8" s="30"/>
      <c r="AX8" s="30"/>
      <c r="AY8" s="30"/>
      <c r="AZ8" s="31"/>
      <c r="BA8" s="31"/>
      <c r="BB8" s="31"/>
      <c r="BC8" s="31"/>
      <c r="BE8" s="32" t="e">
        <f t="shared" si="12"/>
        <v>#VALUE!</v>
      </c>
      <c r="BF8" s="33" t="e">
        <f t="shared" si="13"/>
        <v>#DIV/0!</v>
      </c>
      <c r="BG8" s="33" t="e">
        <f t="shared" si="14"/>
        <v>#VALUE!</v>
      </c>
      <c r="BH8" s="33"/>
      <c r="BJ8" s="32"/>
      <c r="BK8" s="32"/>
      <c r="BL8" s="32"/>
      <c r="BM8" s="32"/>
      <c r="BN8" s="32"/>
      <c r="BP8" s="32"/>
      <c r="BQ8" s="32"/>
      <c r="BR8" s="32"/>
      <c r="BS8" s="32"/>
      <c r="BT8" s="32"/>
    </row>
    <row r="9" spans="1:72" outlineLevel="1" x14ac:dyDescent="0.2">
      <c r="A9" s="14"/>
      <c r="B9" s="34" t="s">
        <v>49</v>
      </c>
      <c r="C9" s="35" t="s">
        <v>234</v>
      </c>
      <c r="D9" s="34">
        <v>238146391</v>
      </c>
      <c r="E9" s="35">
        <v>10</v>
      </c>
      <c r="F9" s="35">
        <v>32</v>
      </c>
      <c r="G9" s="35">
        <v>30</v>
      </c>
      <c r="I9" s="36">
        <f t="shared" si="0"/>
        <v>6.2781450000000003</v>
      </c>
      <c r="J9" s="37">
        <f t="shared" si="1"/>
        <v>2.8120048226974812E-2</v>
      </c>
      <c r="K9" s="37">
        <f t="shared" si="2"/>
        <v>1.5550939002052733E-2</v>
      </c>
      <c r="L9" s="37">
        <f t="shared" si="3"/>
        <v>1.2144698006361978E-2</v>
      </c>
      <c r="M9" s="37">
        <f t="shared" si="4"/>
        <v>1.2569109224922078E-2</v>
      </c>
      <c r="N9" s="34">
        <f t="shared" si="5"/>
        <v>3703400</v>
      </c>
      <c r="O9" s="37">
        <v>32</v>
      </c>
      <c r="P9" s="38">
        <v>24922106</v>
      </c>
      <c r="Q9" s="38">
        <v>778815.8125</v>
      </c>
      <c r="R9" s="38">
        <v>10667.3125</v>
      </c>
      <c r="S9" s="39">
        <v>6696688</v>
      </c>
      <c r="T9" s="39">
        <v>2892216</v>
      </c>
      <c r="U9" s="39">
        <v>811184</v>
      </c>
      <c r="V9" s="39">
        <v>2993288</v>
      </c>
      <c r="W9" s="40">
        <v>71.947378621875004</v>
      </c>
      <c r="X9" s="40">
        <v>75.248439506249994</v>
      </c>
      <c r="Y9" s="40">
        <v>41.117597468749999</v>
      </c>
      <c r="Z9" s="40">
        <v>49.591459865624998</v>
      </c>
      <c r="AA9" s="40">
        <v>49.688167484375001</v>
      </c>
      <c r="AB9" s="41">
        <v>7905.6130000000003</v>
      </c>
      <c r="AC9" s="41">
        <v>0</v>
      </c>
      <c r="AD9" s="41">
        <v>79.575000000000003</v>
      </c>
      <c r="AE9" s="41">
        <v>0</v>
      </c>
      <c r="AG9" s="36" t="str">
        <f t="shared" si="6"/>
        <v>·</v>
      </c>
      <c r="AH9" s="37" t="str">
        <f t="shared" si="7"/>
        <v>·</v>
      </c>
      <c r="AI9" s="37" t="str">
        <f t="shared" si="8"/>
        <v>·</v>
      </c>
      <c r="AJ9" s="37" t="str">
        <f t="shared" si="9"/>
        <v>·</v>
      </c>
      <c r="AK9" s="37" t="str">
        <f t="shared" si="10"/>
        <v>·</v>
      </c>
      <c r="AL9" s="34" t="str">
        <f t="shared" si="11"/>
        <v/>
      </c>
      <c r="AM9" s="37">
        <v>32</v>
      </c>
      <c r="AN9" s="38"/>
      <c r="AO9" s="38"/>
      <c r="AP9" s="38"/>
      <c r="AQ9" s="39"/>
      <c r="AR9" s="39"/>
      <c r="AS9" s="39"/>
      <c r="AT9" s="39"/>
      <c r="AU9" s="40"/>
      <c r="AV9" s="40"/>
      <c r="AW9" s="40"/>
      <c r="AX9" s="40"/>
      <c r="AY9" s="40"/>
      <c r="AZ9" s="41"/>
      <c r="BA9" s="41"/>
      <c r="BB9" s="41"/>
      <c r="BC9" s="41"/>
      <c r="BE9" s="42" t="e">
        <f t="shared" si="12"/>
        <v>#VALUE!</v>
      </c>
      <c r="BF9" s="43" t="e">
        <f t="shared" si="13"/>
        <v>#DIV/0!</v>
      </c>
      <c r="BG9" s="43" t="e">
        <f t="shared" si="14"/>
        <v>#VALUE!</v>
      </c>
      <c r="BH9" s="43"/>
      <c r="BJ9" s="42"/>
      <c r="BK9" s="42"/>
      <c r="BL9" s="42"/>
      <c r="BM9" s="42"/>
      <c r="BN9" s="42"/>
      <c r="BP9" s="42"/>
      <c r="BQ9" s="42"/>
      <c r="BR9" s="42"/>
      <c r="BS9" s="42"/>
      <c r="BT9" s="42"/>
    </row>
    <row r="10" spans="1:72" x14ac:dyDescent="0.2">
      <c r="A10" s="24"/>
      <c r="B10" s="24" t="s">
        <v>57</v>
      </c>
      <c r="C10" s="25" t="s">
        <v>230</v>
      </c>
      <c r="D10" s="24">
        <v>218121242</v>
      </c>
      <c r="E10" s="25">
        <v>10</v>
      </c>
      <c r="F10" s="25">
        <v>32</v>
      </c>
      <c r="G10" s="25">
        <v>30</v>
      </c>
      <c r="I10" s="26">
        <f t="shared" si="0"/>
        <v>1.9600200000000001</v>
      </c>
      <c r="J10" s="27">
        <f t="shared" si="1"/>
        <v>9.5849811821629004E-3</v>
      </c>
      <c r="K10" s="27">
        <f t="shared" si="2"/>
        <v>7.1737717319618052E-3</v>
      </c>
      <c r="L10" s="27">
        <f t="shared" si="3"/>
        <v>4.1387990996310207E-3</v>
      </c>
      <c r="M10" s="27">
        <f t="shared" si="4"/>
        <v>2.4112094502010952E-3</v>
      </c>
      <c r="N10" s="24">
        <f t="shared" si="5"/>
        <v>1564752</v>
      </c>
      <c r="O10" s="27">
        <v>32</v>
      </c>
      <c r="P10" s="28">
        <v>21086040</v>
      </c>
      <c r="Q10" s="28">
        <v>658938.75</v>
      </c>
      <c r="R10" s="28">
        <v>19260.5625</v>
      </c>
      <c r="S10" s="29">
        <v>2090688</v>
      </c>
      <c r="T10" s="29">
        <v>902760</v>
      </c>
      <c r="U10" s="29">
        <v>661992</v>
      </c>
      <c r="V10" s="29">
        <v>525936</v>
      </c>
      <c r="W10" s="30">
        <v>65.991463865624993</v>
      </c>
      <c r="X10" s="30">
        <v>67.831255537499999</v>
      </c>
      <c r="Y10" s="30">
        <v>31.01060410625</v>
      </c>
      <c r="Z10" s="30">
        <v>38.772899225000003</v>
      </c>
      <c r="AA10" s="30">
        <v>30.0842952625</v>
      </c>
      <c r="AB10" s="31">
        <v>7220.8329999999996</v>
      </c>
      <c r="AC10" s="31">
        <v>0</v>
      </c>
      <c r="AD10" s="31">
        <v>69.695999999999998</v>
      </c>
      <c r="AE10" s="31">
        <v>0</v>
      </c>
      <c r="AG10" s="26" t="str">
        <f t="shared" si="6"/>
        <v>·</v>
      </c>
      <c r="AH10" s="27" t="str">
        <f t="shared" si="7"/>
        <v>·</v>
      </c>
      <c r="AI10" s="27" t="str">
        <f t="shared" si="8"/>
        <v>·</v>
      </c>
      <c r="AJ10" s="27" t="str">
        <f t="shared" si="9"/>
        <v>·</v>
      </c>
      <c r="AK10" s="27" t="str">
        <f t="shared" si="10"/>
        <v>·</v>
      </c>
      <c r="AL10" s="24" t="str">
        <f t="shared" si="11"/>
        <v/>
      </c>
      <c r="AM10" s="27">
        <v>32</v>
      </c>
      <c r="AN10" s="28"/>
      <c r="AO10" s="28"/>
      <c r="AP10" s="28"/>
      <c r="AQ10" s="29"/>
      <c r="AR10" s="29"/>
      <c r="AS10" s="29"/>
      <c r="AT10" s="29"/>
      <c r="AU10" s="30"/>
      <c r="AV10" s="30"/>
      <c r="AW10" s="30"/>
      <c r="AX10" s="30"/>
      <c r="AY10" s="30"/>
      <c r="AZ10" s="31"/>
      <c r="BA10" s="31"/>
      <c r="BB10" s="31"/>
      <c r="BC10" s="31"/>
      <c r="BE10" s="32" t="e">
        <f t="shared" si="12"/>
        <v>#VALUE!</v>
      </c>
      <c r="BF10" s="33" t="e">
        <f t="shared" si="13"/>
        <v>#DIV/0!</v>
      </c>
      <c r="BG10" s="33" t="e">
        <f t="shared" si="14"/>
        <v>#VALUE!</v>
      </c>
      <c r="BH10" s="33" t="e">
        <f t="array" ref="BH10">AVERAGE(AL10:AL14/AQ10:AQ14) - AVERAGE(N10:N14/S10:S14)</f>
        <v>#VALUE!</v>
      </c>
      <c r="BJ10" s="32" t="str">
        <f>IF( OR(ISBLANK(N10:N14),ISBLANK(AL10:AL14), ISBLANK(W10:W14),ISBLANK(AU10:AU14)), "·", bdRateExtend( N10:N14,W10:W14, AL10:AL14,AU10:AU14))</f>
        <v>·</v>
      </c>
      <c r="BK10" s="32" t="str">
        <f>IF( OR(ISBLANK(N10:N14),ISBLANK(AL10:AL14), ISBLANK(X10:X14),ISBLANK(AV10:AV14)), "·", bdRateExtend( N10:N14,X10:X14, AL10:AL14,AV10:AV14))</f>
        <v>·</v>
      </c>
      <c r="BL10" s="32" t="str">
        <f>IF( OR(ISBLANK(V10:V14),ISBLANK(AT10:AT14), ISBLANK(Y10:Y14),ISBLANK(AW10:AW14)), "·", bdRateExtend( V10:V14,Y10:Y14, AT10:AT14,AW10:AW14))</f>
        <v>·</v>
      </c>
      <c r="BM10" s="32" t="str">
        <f>IF( OR(ISBLANK(V10:V14),ISBLANK(AT10:AT14), ISBLANK(Z10:Z14),ISBLANK(AX10:AX14)), "·", bdRateExtend( V10:V14,Z10:Z14, AT10:AT14,AX10:AX14))</f>
        <v>·</v>
      </c>
      <c r="BN10" s="32" t="str">
        <f>IF( OR(ISBLANK(V10:V14),ISBLANK(AT10:AT14), ISBLANK(AA10:AA14),ISBLANK(AY10:AY14)), "·", bdRateExtend( V10:V14,AA10:AA14, AT10:AT14,AY10:AY14))</f>
        <v>·</v>
      </c>
      <c r="BP10" s="32" t="str">
        <f>IF( OR(ISBLANK(S10:S14),ISBLANK(AQ10:AQ14), ISBLANK(W10:W14),ISBLANK(AU10:AU14)), "·", bdRateExtend( S10:S14,W10:W14, AQ10:AQ14,AU10:AU14))</f>
        <v>·</v>
      </c>
      <c r="BQ10" s="32" t="str">
        <f>IF( OR(ISBLANK(S10:S14),ISBLANK(AQ10:AQ14), ISBLANK(X10:X14),ISBLANK(AV10:AV14)), "·", bdRateExtend( S10:S14,X10:X14, AQ10:AQ14,AV10:AV14))</f>
        <v>·</v>
      </c>
      <c r="BR10" s="32" t="str">
        <f>IF( OR(ISBLANK(S10:S14),ISBLANK(AQ10:AQ14), ISBLANK(Y10:Y14),ISBLANK(AW10:AW14)), "·", bdRateExtend( S10:S14,Y10:Y14, AQ10:AQ14,AW10:AW14))</f>
        <v>·</v>
      </c>
      <c r="BS10" s="32" t="str">
        <f>IF( OR(ISBLANK(S10:S14),ISBLANK(AQ10:AQ14), ISBLANK(Z10:Z14),ISBLANK(AX10:AX14)), "·", bdRateExtend( S10:S14,Z10:Z14, AQ10:AQ14,AX10:AX14))</f>
        <v>·</v>
      </c>
      <c r="BT10" s="32" t="str">
        <f>IF( OR(ISBLANK(S10:S14),ISBLANK(AQ10:AQ14), ISBLANK(AA10:AA14),ISBLANK(AY10:AY14)), "·", bdRateExtend( S10:S14,AA10:AA14, AQ10:AQ14,AY10:AY14))</f>
        <v>·</v>
      </c>
    </row>
    <row r="11" spans="1:72" outlineLevel="1" x14ac:dyDescent="0.2">
      <c r="A11" s="14"/>
      <c r="B11" s="14" t="s">
        <v>57</v>
      </c>
      <c r="C11" s="15" t="s">
        <v>231</v>
      </c>
      <c r="D11" s="14">
        <v>218121242</v>
      </c>
      <c r="E11" s="15">
        <v>10</v>
      </c>
      <c r="F11" s="15">
        <v>32</v>
      </c>
      <c r="G11" s="15">
        <v>30</v>
      </c>
      <c r="I11" s="16">
        <f t="shared" si="0"/>
        <v>2.678925</v>
      </c>
      <c r="J11" s="17">
        <f t="shared" si="1"/>
        <v>1.3100603929258756E-2</v>
      </c>
      <c r="K11" s="17">
        <f t="shared" si="2"/>
        <v>8.8262105164429606E-3</v>
      </c>
      <c r="L11" s="17">
        <f t="shared" si="3"/>
        <v>5.7912378841121761E-3</v>
      </c>
      <c r="M11" s="17">
        <f t="shared" si="4"/>
        <v>4.274393412815795E-3</v>
      </c>
      <c r="N11" s="14">
        <f t="shared" si="5"/>
        <v>1925184</v>
      </c>
      <c r="O11" s="17">
        <v>32</v>
      </c>
      <c r="P11" s="18">
        <v>22233773</v>
      </c>
      <c r="Q11" s="18">
        <v>694805.40625</v>
      </c>
      <c r="R11" s="18">
        <v>23243.59375</v>
      </c>
      <c r="S11" s="19">
        <v>2857520</v>
      </c>
      <c r="T11" s="19">
        <v>1263192</v>
      </c>
      <c r="U11" s="19">
        <v>661992</v>
      </c>
      <c r="V11" s="19">
        <v>932336</v>
      </c>
      <c r="W11" s="20">
        <v>67.661562721875001</v>
      </c>
      <c r="X11" s="20">
        <v>69.732113462499996</v>
      </c>
      <c r="Y11" s="20">
        <v>32.853389996875002</v>
      </c>
      <c r="Z11" s="20">
        <v>39.664123121875001</v>
      </c>
      <c r="AA11" s="20">
        <v>32.264104590625003</v>
      </c>
      <c r="AB11" s="21">
        <v>7812.9080000000004</v>
      </c>
      <c r="AC11" s="21">
        <v>0</v>
      </c>
      <c r="AD11" s="21">
        <v>74.421000000000006</v>
      </c>
      <c r="AE11" s="21">
        <v>0</v>
      </c>
      <c r="AG11" s="16" t="str">
        <f t="shared" si="6"/>
        <v>·</v>
      </c>
      <c r="AH11" s="17" t="str">
        <f t="shared" si="7"/>
        <v>·</v>
      </c>
      <c r="AI11" s="17" t="str">
        <f t="shared" si="8"/>
        <v>·</v>
      </c>
      <c r="AJ11" s="17" t="str">
        <f t="shared" si="9"/>
        <v>·</v>
      </c>
      <c r="AK11" s="17" t="str">
        <f t="shared" si="10"/>
        <v>·</v>
      </c>
      <c r="AL11" s="14" t="str">
        <f t="shared" si="11"/>
        <v/>
      </c>
      <c r="AM11" s="17">
        <v>32</v>
      </c>
      <c r="AN11" s="18"/>
      <c r="AO11" s="18"/>
      <c r="AP11" s="18"/>
      <c r="AQ11" s="19"/>
      <c r="AR11" s="19"/>
      <c r="AS11" s="19"/>
      <c r="AT11" s="19"/>
      <c r="AU11" s="20"/>
      <c r="AV11" s="20"/>
      <c r="AW11" s="20"/>
      <c r="AX11" s="20"/>
      <c r="AY11" s="20"/>
      <c r="AZ11" s="21"/>
      <c r="BA11" s="21"/>
      <c r="BB11" s="21"/>
      <c r="BC11" s="21"/>
      <c r="BE11" s="22" t="e">
        <f t="shared" si="12"/>
        <v>#VALUE!</v>
      </c>
      <c r="BF11" s="23" t="e">
        <f t="shared" si="13"/>
        <v>#DIV/0!</v>
      </c>
      <c r="BG11" s="23" t="e">
        <f t="shared" si="14"/>
        <v>#VALUE!</v>
      </c>
      <c r="BH11" s="23"/>
      <c r="BJ11" s="22"/>
      <c r="BK11" s="22"/>
      <c r="BL11" s="22"/>
      <c r="BM11" s="22"/>
      <c r="BN11" s="22"/>
      <c r="BP11" s="22"/>
      <c r="BQ11" s="22"/>
      <c r="BR11" s="22"/>
      <c r="BS11" s="22"/>
      <c r="BT11" s="22"/>
    </row>
    <row r="12" spans="1:72" outlineLevel="1" x14ac:dyDescent="0.2">
      <c r="A12" s="24"/>
      <c r="B12" s="24" t="s">
        <v>57</v>
      </c>
      <c r="C12" s="25" t="s">
        <v>232</v>
      </c>
      <c r="D12" s="24">
        <v>218121242</v>
      </c>
      <c r="E12" s="25">
        <v>10</v>
      </c>
      <c r="F12" s="25">
        <v>32</v>
      </c>
      <c r="G12" s="25">
        <v>30</v>
      </c>
      <c r="I12" s="26">
        <f t="shared" si="0"/>
        <v>3.8289825</v>
      </c>
      <c r="J12" s="27">
        <f t="shared" si="1"/>
        <v>1.8724668732630817E-2</v>
      </c>
      <c r="K12" s="27">
        <f t="shared" si="2"/>
        <v>1.1315798394362709E-2</v>
      </c>
      <c r="L12" s="27">
        <f t="shared" si="3"/>
        <v>8.2808257620319257E-3</v>
      </c>
      <c r="M12" s="27">
        <f t="shared" si="4"/>
        <v>7.4088703382681085E-3</v>
      </c>
      <c r="N12" s="24">
        <f t="shared" si="5"/>
        <v>2468216</v>
      </c>
      <c r="O12" s="27">
        <v>32</v>
      </c>
      <c r="P12" s="28">
        <v>22534858</v>
      </c>
      <c r="Q12" s="28">
        <v>704214.3125</v>
      </c>
      <c r="R12" s="28">
        <v>24785.78125</v>
      </c>
      <c r="S12" s="29">
        <v>4084248</v>
      </c>
      <c r="T12" s="29">
        <v>1806224</v>
      </c>
      <c r="U12" s="29">
        <v>661992</v>
      </c>
      <c r="V12" s="29">
        <v>1616032</v>
      </c>
      <c r="W12" s="30">
        <v>68.992722137499996</v>
      </c>
      <c r="X12" s="30">
        <v>71.376677843750002</v>
      </c>
      <c r="Y12" s="30">
        <v>34.856949021875003</v>
      </c>
      <c r="Z12" s="30">
        <v>40.641740228125002</v>
      </c>
      <c r="AA12" s="30">
        <v>34.131719446875003</v>
      </c>
      <c r="AB12" s="31">
        <v>8025.23</v>
      </c>
      <c r="AC12" s="31">
        <v>0</v>
      </c>
      <c r="AD12" s="31">
        <v>75.98</v>
      </c>
      <c r="AE12" s="31">
        <v>0</v>
      </c>
      <c r="AG12" s="26" t="str">
        <f t="shared" si="6"/>
        <v>·</v>
      </c>
      <c r="AH12" s="27" t="str">
        <f t="shared" si="7"/>
        <v>·</v>
      </c>
      <c r="AI12" s="27" t="str">
        <f t="shared" si="8"/>
        <v>·</v>
      </c>
      <c r="AJ12" s="27" t="str">
        <f t="shared" si="9"/>
        <v>·</v>
      </c>
      <c r="AK12" s="27" t="str">
        <f t="shared" si="10"/>
        <v>·</v>
      </c>
      <c r="AL12" s="24" t="str">
        <f t="shared" si="11"/>
        <v/>
      </c>
      <c r="AM12" s="27">
        <v>32</v>
      </c>
      <c r="AN12" s="28"/>
      <c r="AO12" s="28"/>
      <c r="AP12" s="28"/>
      <c r="AQ12" s="29"/>
      <c r="AR12" s="29"/>
      <c r="AS12" s="29"/>
      <c r="AT12" s="29"/>
      <c r="AU12" s="30"/>
      <c r="AV12" s="30"/>
      <c r="AW12" s="30"/>
      <c r="AX12" s="30"/>
      <c r="AY12" s="30"/>
      <c r="AZ12" s="31"/>
      <c r="BA12" s="31"/>
      <c r="BB12" s="31"/>
      <c r="BC12" s="31"/>
      <c r="BE12" s="32" t="e">
        <f t="shared" si="12"/>
        <v>#VALUE!</v>
      </c>
      <c r="BF12" s="33" t="e">
        <f t="shared" si="13"/>
        <v>#DIV/0!</v>
      </c>
      <c r="BG12" s="33" t="e">
        <f t="shared" si="14"/>
        <v>#VALUE!</v>
      </c>
      <c r="BH12" s="33"/>
      <c r="BJ12" s="32"/>
      <c r="BK12" s="32"/>
      <c r="BL12" s="32"/>
      <c r="BM12" s="32"/>
      <c r="BN12" s="32"/>
      <c r="BP12" s="32"/>
      <c r="BQ12" s="32"/>
      <c r="BR12" s="32"/>
      <c r="BS12" s="32"/>
      <c r="BT12" s="32"/>
    </row>
    <row r="13" spans="1:72" outlineLevel="1" x14ac:dyDescent="0.2">
      <c r="A13" s="14"/>
      <c r="B13" s="14" t="s">
        <v>57</v>
      </c>
      <c r="C13" s="15" t="s">
        <v>233</v>
      </c>
      <c r="D13" s="14">
        <v>218121242</v>
      </c>
      <c r="E13" s="15">
        <v>10</v>
      </c>
      <c r="F13" s="15">
        <v>32</v>
      </c>
      <c r="G13" s="15">
        <v>30</v>
      </c>
      <c r="I13" s="16">
        <f t="shared" si="0"/>
        <v>6.2121300000000002</v>
      </c>
      <c r="J13" s="17">
        <f t="shared" si="1"/>
        <v>3.037884774193611E-2</v>
      </c>
      <c r="K13" s="17">
        <f t="shared" si="2"/>
        <v>1.591852296531486E-2</v>
      </c>
      <c r="L13" s="17">
        <f t="shared" si="3"/>
        <v>1.2883550332984075E-2</v>
      </c>
      <c r="M13" s="17">
        <f t="shared" si="4"/>
        <v>1.4460324776621252E-2</v>
      </c>
      <c r="N13" s="14">
        <f t="shared" si="5"/>
        <v>3472168</v>
      </c>
      <c r="O13" s="17">
        <v>32</v>
      </c>
      <c r="P13" s="18">
        <v>23332463</v>
      </c>
      <c r="Q13" s="18">
        <v>729139.46875</v>
      </c>
      <c r="R13" s="18">
        <v>28127.375</v>
      </c>
      <c r="S13" s="19">
        <v>6626272</v>
      </c>
      <c r="T13" s="19">
        <v>2810176</v>
      </c>
      <c r="U13" s="19">
        <v>661992</v>
      </c>
      <c r="V13" s="19">
        <v>3154104</v>
      </c>
      <c r="W13" s="20">
        <v>70.063956856250002</v>
      </c>
      <c r="X13" s="20">
        <v>72.573877228124999</v>
      </c>
      <c r="Y13" s="20">
        <v>37.055913465624997</v>
      </c>
      <c r="Z13" s="20">
        <v>41.692567928125001</v>
      </c>
      <c r="AA13" s="20">
        <v>36.091758437499998</v>
      </c>
      <c r="AB13" s="21">
        <v>8514.8780000000006</v>
      </c>
      <c r="AC13" s="21">
        <v>0</v>
      </c>
      <c r="AD13" s="21">
        <v>77.042000000000002</v>
      </c>
      <c r="AE13" s="21">
        <v>0</v>
      </c>
      <c r="AG13" s="16" t="str">
        <f t="shared" si="6"/>
        <v>·</v>
      </c>
      <c r="AH13" s="17" t="str">
        <f t="shared" si="7"/>
        <v>·</v>
      </c>
      <c r="AI13" s="17" t="str">
        <f t="shared" si="8"/>
        <v>·</v>
      </c>
      <c r="AJ13" s="17" t="str">
        <f t="shared" si="9"/>
        <v>·</v>
      </c>
      <c r="AK13" s="17" t="str">
        <f t="shared" si="10"/>
        <v>·</v>
      </c>
      <c r="AL13" s="14" t="str">
        <f t="shared" si="11"/>
        <v/>
      </c>
      <c r="AM13" s="17">
        <v>32</v>
      </c>
      <c r="AN13" s="18"/>
      <c r="AO13" s="18"/>
      <c r="AP13" s="18"/>
      <c r="AQ13" s="19"/>
      <c r="AR13" s="19"/>
      <c r="AS13" s="19"/>
      <c r="AT13" s="19"/>
      <c r="AU13" s="20"/>
      <c r="AV13" s="20"/>
      <c r="AW13" s="20"/>
      <c r="AX13" s="20"/>
      <c r="AY13" s="20"/>
      <c r="AZ13" s="21"/>
      <c r="BA13" s="21"/>
      <c r="BB13" s="21"/>
      <c r="BC13" s="21"/>
      <c r="BE13" s="22" t="e">
        <f t="shared" si="12"/>
        <v>#VALUE!</v>
      </c>
      <c r="BF13" s="23" t="e">
        <f t="shared" si="13"/>
        <v>#DIV/0!</v>
      </c>
      <c r="BG13" s="23" t="e">
        <f t="shared" si="14"/>
        <v>#VALUE!</v>
      </c>
      <c r="BH13" s="23"/>
      <c r="BJ13" s="22"/>
      <c r="BK13" s="22"/>
      <c r="BL13" s="22"/>
      <c r="BM13" s="22"/>
      <c r="BN13" s="22"/>
      <c r="BP13" s="22"/>
      <c r="BQ13" s="22"/>
      <c r="BR13" s="22"/>
      <c r="BS13" s="22"/>
      <c r="BT13" s="22"/>
    </row>
    <row r="14" spans="1:72" outlineLevel="1" x14ac:dyDescent="0.2">
      <c r="A14" s="24"/>
      <c r="B14" s="44" t="s">
        <v>57</v>
      </c>
      <c r="C14" s="45" t="s">
        <v>234</v>
      </c>
      <c r="D14" s="44">
        <v>218121242</v>
      </c>
      <c r="E14" s="45">
        <v>10</v>
      </c>
      <c r="F14" s="45">
        <v>32</v>
      </c>
      <c r="G14" s="45">
        <v>30</v>
      </c>
      <c r="I14" s="46">
        <f t="shared" si="0"/>
        <v>12.2628375</v>
      </c>
      <c r="J14" s="47">
        <f t="shared" si="1"/>
        <v>5.9968299648688043E-2</v>
      </c>
      <c r="K14" s="47">
        <f t="shared" si="2"/>
        <v>2.6863811824434779E-2</v>
      </c>
      <c r="L14" s="47">
        <f t="shared" si="3"/>
        <v>2.0876499502052167E-2</v>
      </c>
      <c r="M14" s="47">
        <f t="shared" si="4"/>
        <v>3.3104487824253265E-2</v>
      </c>
      <c r="N14" s="44">
        <f t="shared" si="5"/>
        <v>5859568</v>
      </c>
      <c r="O14" s="47">
        <v>32</v>
      </c>
      <c r="P14" s="48">
        <v>22139734</v>
      </c>
      <c r="Q14" s="48">
        <v>691866.6875</v>
      </c>
      <c r="R14" s="48">
        <v>13223.5625</v>
      </c>
      <c r="S14" s="49">
        <v>13080360</v>
      </c>
      <c r="T14" s="49">
        <v>4553608</v>
      </c>
      <c r="U14" s="49">
        <v>1305960</v>
      </c>
      <c r="V14" s="49">
        <v>7220792</v>
      </c>
      <c r="W14" s="50">
        <v>70.912855134374993</v>
      </c>
      <c r="X14" s="50">
        <v>74.668469674999997</v>
      </c>
      <c r="Y14" s="50">
        <v>39.450385187499997</v>
      </c>
      <c r="Z14" s="50">
        <v>42.979250728125002</v>
      </c>
      <c r="AA14" s="50">
        <v>38.255458606250002</v>
      </c>
      <c r="AB14" s="51">
        <v>9341.6049999999996</v>
      </c>
      <c r="AC14" s="51">
        <v>0</v>
      </c>
      <c r="AD14" s="51">
        <v>74.66</v>
      </c>
      <c r="AE14" s="51">
        <v>0</v>
      </c>
      <c r="AG14" s="46" t="str">
        <f t="shared" si="6"/>
        <v>·</v>
      </c>
      <c r="AH14" s="47" t="str">
        <f t="shared" si="7"/>
        <v>·</v>
      </c>
      <c r="AI14" s="47" t="str">
        <f t="shared" si="8"/>
        <v>·</v>
      </c>
      <c r="AJ14" s="47" t="str">
        <f t="shared" si="9"/>
        <v>·</v>
      </c>
      <c r="AK14" s="47" t="str">
        <f t="shared" si="10"/>
        <v>·</v>
      </c>
      <c r="AL14" s="44" t="str">
        <f t="shared" si="11"/>
        <v/>
      </c>
      <c r="AM14" s="47">
        <v>32</v>
      </c>
      <c r="AN14" s="48"/>
      <c r="AO14" s="48"/>
      <c r="AP14" s="48"/>
      <c r="AQ14" s="49"/>
      <c r="AR14" s="49"/>
      <c r="AS14" s="49"/>
      <c r="AT14" s="49"/>
      <c r="AU14" s="50"/>
      <c r="AV14" s="50"/>
      <c r="AW14" s="50"/>
      <c r="AX14" s="50"/>
      <c r="AY14" s="50"/>
      <c r="AZ14" s="51"/>
      <c r="BA14" s="51"/>
      <c r="BB14" s="51"/>
      <c r="BC14" s="51"/>
      <c r="BE14" s="52" t="e">
        <f t="shared" si="12"/>
        <v>#VALUE!</v>
      </c>
      <c r="BF14" s="53" t="e">
        <f t="shared" si="13"/>
        <v>#DIV/0!</v>
      </c>
      <c r="BG14" s="53" t="e">
        <f t="shared" si="14"/>
        <v>#VALUE!</v>
      </c>
      <c r="BH14" s="53"/>
      <c r="BJ14" s="52"/>
      <c r="BK14" s="52"/>
      <c r="BL14" s="52"/>
      <c r="BM14" s="52"/>
      <c r="BN14" s="52"/>
      <c r="BP14" s="52"/>
      <c r="BQ14" s="52"/>
      <c r="BR14" s="52"/>
      <c r="BS14" s="52"/>
      <c r="BT14" s="52"/>
    </row>
    <row r="15" spans="1:72" x14ac:dyDescent="0.2">
      <c r="A15" s="14"/>
      <c r="B15" s="14" t="s">
        <v>62</v>
      </c>
      <c r="C15" s="15" t="s">
        <v>230</v>
      </c>
      <c r="D15" s="14">
        <v>322589704</v>
      </c>
      <c r="E15" s="15">
        <v>10</v>
      </c>
      <c r="F15" s="15">
        <v>32</v>
      </c>
      <c r="G15" s="15">
        <v>30</v>
      </c>
      <c r="I15" s="16">
        <f t="shared" si="0"/>
        <v>1.6006800000000001</v>
      </c>
      <c r="J15" s="17">
        <f t="shared" si="1"/>
        <v>5.2927665664121758E-3</v>
      </c>
      <c r="K15" s="17">
        <f t="shared" si="2"/>
        <v>4.47736546483207E-3</v>
      </c>
      <c r="L15" s="17">
        <f t="shared" si="3"/>
        <v>2.3801875586209036E-3</v>
      </c>
      <c r="M15" s="17">
        <f t="shared" si="4"/>
        <v>8.15401101580105E-4</v>
      </c>
      <c r="N15" s="14">
        <f t="shared" si="5"/>
        <v>1444352</v>
      </c>
      <c r="O15" s="17">
        <v>32</v>
      </c>
      <c r="P15" s="18">
        <v>32443800</v>
      </c>
      <c r="Q15" s="18">
        <v>1013868.75</v>
      </c>
      <c r="R15" s="18">
        <v>31882.9375</v>
      </c>
      <c r="S15" s="19">
        <v>1707392</v>
      </c>
      <c r="T15" s="19">
        <v>767824</v>
      </c>
      <c r="U15" s="19">
        <v>676528</v>
      </c>
      <c r="V15" s="19">
        <v>263040</v>
      </c>
      <c r="W15" s="20">
        <v>66.312652306250001</v>
      </c>
      <c r="X15" s="20">
        <v>67.859539815624998</v>
      </c>
      <c r="Y15" s="20">
        <v>29.260486037500002</v>
      </c>
      <c r="Z15" s="20">
        <v>43.418966053124997</v>
      </c>
      <c r="AA15" s="20">
        <v>43.737561543749997</v>
      </c>
      <c r="AB15" s="21">
        <v>6593.9870000000001</v>
      </c>
      <c r="AC15" s="21">
        <v>0</v>
      </c>
      <c r="AD15" s="21">
        <v>98.063000000000002</v>
      </c>
      <c r="AE15" s="21">
        <v>0</v>
      </c>
      <c r="AG15" s="16" t="str">
        <f t="shared" si="6"/>
        <v>·</v>
      </c>
      <c r="AH15" s="17" t="str">
        <f t="shared" si="7"/>
        <v>·</v>
      </c>
      <c r="AI15" s="17" t="str">
        <f t="shared" si="8"/>
        <v>·</v>
      </c>
      <c r="AJ15" s="17" t="str">
        <f t="shared" si="9"/>
        <v>·</v>
      </c>
      <c r="AK15" s="17" t="str">
        <f t="shared" si="10"/>
        <v>·</v>
      </c>
      <c r="AL15" s="14" t="str">
        <f t="shared" si="11"/>
        <v/>
      </c>
      <c r="AM15" s="17">
        <v>32</v>
      </c>
      <c r="AN15" s="18"/>
      <c r="AO15" s="18"/>
      <c r="AP15" s="18"/>
      <c r="AQ15" s="19"/>
      <c r="AR15" s="19"/>
      <c r="AS15" s="19"/>
      <c r="AT15" s="19"/>
      <c r="AU15" s="20"/>
      <c r="AV15" s="20"/>
      <c r="AW15" s="20"/>
      <c r="AX15" s="20"/>
      <c r="AY15" s="20"/>
      <c r="AZ15" s="21"/>
      <c r="BA15" s="21"/>
      <c r="BB15" s="21"/>
      <c r="BC15" s="21"/>
      <c r="BE15" s="22" t="e">
        <f t="shared" si="12"/>
        <v>#VALUE!</v>
      </c>
      <c r="BF15" s="23" t="e">
        <f t="shared" si="13"/>
        <v>#DIV/0!</v>
      </c>
      <c r="BG15" s="23" t="e">
        <f t="shared" si="14"/>
        <v>#VALUE!</v>
      </c>
      <c r="BH15" s="23" t="e">
        <f t="array" ref="BH15">AVERAGE(AL15:AL19/AQ15:AQ19) - AVERAGE(N15:N19/S15:S19)</f>
        <v>#VALUE!</v>
      </c>
      <c r="BJ15" s="22" t="str">
        <f>IF( OR(ISBLANK(N15:N19),ISBLANK(AL15:AL19), ISBLANK(W15:W19),ISBLANK(AU15:AU19)), "·", bdRateExtend( N15:N19,W15:W19, AL15:AL19,AU15:AU19))</f>
        <v>·</v>
      </c>
      <c r="BK15" s="22" t="str">
        <f>IF( OR(ISBLANK(N15:N19),ISBLANK(AL15:AL19), ISBLANK(X15:X19),ISBLANK(AV15:AV19)), "·", bdRateExtend( N15:N19,X15:X19, AL15:AL19,AV15:AV19))</f>
        <v>·</v>
      </c>
      <c r="BL15" s="22" t="str">
        <f>IF( OR(ISBLANK(V15:V19),ISBLANK(AT15:AT19), ISBLANK(Y15:Y19),ISBLANK(AW15:AW19)), "·", bdRateExtend( V15:V19,Y15:Y19, AT15:AT19,AW15:AW19))</f>
        <v>·</v>
      </c>
      <c r="BM15" s="22" t="str">
        <f>IF( OR(ISBLANK(V15:V19),ISBLANK(AT15:AT19), ISBLANK(Z15:Z19),ISBLANK(AX15:AX19)), "·", bdRateExtend( V15:V19,Z15:Z19, AT15:AT19,AX15:AX19))</f>
        <v>·</v>
      </c>
      <c r="BN15" s="22" t="str">
        <f>IF( OR(ISBLANK(V15:V19),ISBLANK(AT15:AT19), ISBLANK(AA15:AA19),ISBLANK(AY15:AY19)), "·", bdRateExtend( V15:V19,AA15:AA19, AT15:AT19,AY15:AY19))</f>
        <v>·</v>
      </c>
      <c r="BP15" s="22" t="str">
        <f>IF( OR(ISBLANK(S15:S19),ISBLANK(AQ15:AQ19), ISBLANK(W15:W19),ISBLANK(AU15:AU19)), "·", bdRateExtend( S15:S19,W15:W19, AQ15:AQ19,AU15:AU19))</f>
        <v>·</v>
      </c>
      <c r="BQ15" s="22" t="str">
        <f>IF( OR(ISBLANK(S15:S19),ISBLANK(AQ15:AQ19), ISBLANK(X15:X19),ISBLANK(AV15:AV19)), "·", bdRateExtend( S15:S19,X15:X19, AQ15:AQ19,AV15:AV19))</f>
        <v>·</v>
      </c>
      <c r="BR15" s="22" t="str">
        <f>IF( OR(ISBLANK(S15:S19),ISBLANK(AQ15:AQ19), ISBLANK(Y15:Y19),ISBLANK(AW15:AW19)), "·", bdRateExtend( S15:S19,Y15:Y19, AQ15:AQ19,AW15:AW19))</f>
        <v>·</v>
      </c>
      <c r="BS15" s="22" t="str">
        <f>IF( OR(ISBLANK(S15:S19),ISBLANK(AQ15:AQ19), ISBLANK(Z15:Z19),ISBLANK(AX15:AX19)), "·", bdRateExtend( S15:S19,Z15:Z19, AQ15:AQ19,AX15:AX19))</f>
        <v>·</v>
      </c>
      <c r="BT15" s="22" t="str">
        <f>IF( OR(ISBLANK(S15:S19),ISBLANK(AQ15:AQ19), ISBLANK(AA15:AA19),ISBLANK(AY15:AY19)), "·", bdRateExtend( S15:S19,AA15:AA19, AQ15:AQ19,AY15:AY19))</f>
        <v>·</v>
      </c>
    </row>
    <row r="16" spans="1:72" outlineLevel="1" x14ac:dyDescent="0.2">
      <c r="A16" s="24"/>
      <c r="B16" s="24" t="s">
        <v>62</v>
      </c>
      <c r="C16" s="25" t="s">
        <v>231</v>
      </c>
      <c r="D16" s="24">
        <v>322589704</v>
      </c>
      <c r="E16" s="25">
        <v>10</v>
      </c>
      <c r="F16" s="25">
        <v>32</v>
      </c>
      <c r="G16" s="25">
        <v>30</v>
      </c>
      <c r="I16" s="26">
        <f t="shared" si="0"/>
        <v>2.1023174999999998</v>
      </c>
      <c r="J16" s="27">
        <f t="shared" si="1"/>
        <v>6.9514679860954269E-3</v>
      </c>
      <c r="K16" s="27">
        <f t="shared" si="2"/>
        <v>5.4120264173093385E-3</v>
      </c>
      <c r="L16" s="27">
        <f t="shared" si="3"/>
        <v>3.314848511098172E-3</v>
      </c>
      <c r="M16" s="27">
        <f t="shared" si="4"/>
        <v>1.5394415687860887E-3</v>
      </c>
      <c r="N16" s="24">
        <f t="shared" si="5"/>
        <v>1745864</v>
      </c>
      <c r="O16" s="27">
        <v>32</v>
      </c>
      <c r="P16" s="28">
        <v>33818275</v>
      </c>
      <c r="Q16" s="28">
        <v>1056821.09375</v>
      </c>
      <c r="R16" s="28">
        <v>36592</v>
      </c>
      <c r="S16" s="29">
        <v>2242472</v>
      </c>
      <c r="T16" s="29">
        <v>1069336</v>
      </c>
      <c r="U16" s="29">
        <v>676528</v>
      </c>
      <c r="V16" s="29">
        <v>496608</v>
      </c>
      <c r="W16" s="30">
        <v>68.049839990625003</v>
      </c>
      <c r="X16" s="30">
        <v>70.027878878124994</v>
      </c>
      <c r="Y16" s="30">
        <v>31.604274775</v>
      </c>
      <c r="Z16" s="30">
        <v>43.897155281250001</v>
      </c>
      <c r="AA16" s="30">
        <v>44.407942231249997</v>
      </c>
      <c r="AB16" s="31">
        <v>6889.1009999999997</v>
      </c>
      <c r="AC16" s="31">
        <v>0</v>
      </c>
      <c r="AD16" s="31">
        <v>101.95099999999999</v>
      </c>
      <c r="AE16" s="31">
        <v>0</v>
      </c>
      <c r="AG16" s="26" t="str">
        <f t="shared" si="6"/>
        <v>·</v>
      </c>
      <c r="AH16" s="27" t="str">
        <f t="shared" si="7"/>
        <v>·</v>
      </c>
      <c r="AI16" s="27" t="str">
        <f t="shared" si="8"/>
        <v>·</v>
      </c>
      <c r="AJ16" s="27" t="str">
        <f t="shared" si="9"/>
        <v>·</v>
      </c>
      <c r="AK16" s="27" t="str">
        <f t="shared" si="10"/>
        <v>·</v>
      </c>
      <c r="AL16" s="24" t="str">
        <f t="shared" si="11"/>
        <v/>
      </c>
      <c r="AM16" s="27">
        <v>32</v>
      </c>
      <c r="AN16" s="28"/>
      <c r="AO16" s="28"/>
      <c r="AP16" s="28"/>
      <c r="AQ16" s="29"/>
      <c r="AR16" s="29"/>
      <c r="AS16" s="29"/>
      <c r="AT16" s="29"/>
      <c r="AU16" s="30"/>
      <c r="AV16" s="30"/>
      <c r="AW16" s="30"/>
      <c r="AX16" s="30"/>
      <c r="AY16" s="30"/>
      <c r="AZ16" s="31"/>
      <c r="BA16" s="31"/>
      <c r="BB16" s="31"/>
      <c r="BC16" s="31"/>
      <c r="BE16" s="32" t="e">
        <f t="shared" si="12"/>
        <v>#VALUE!</v>
      </c>
      <c r="BF16" s="33" t="e">
        <f t="shared" si="13"/>
        <v>#DIV/0!</v>
      </c>
      <c r="BG16" s="33" t="e">
        <f t="shared" si="14"/>
        <v>#VALUE!</v>
      </c>
      <c r="BH16" s="33"/>
      <c r="BJ16" s="32"/>
      <c r="BK16" s="32"/>
      <c r="BL16" s="32"/>
      <c r="BM16" s="32"/>
      <c r="BN16" s="32"/>
      <c r="BP16" s="32"/>
      <c r="BQ16" s="32"/>
      <c r="BR16" s="32"/>
      <c r="BS16" s="32"/>
      <c r="BT16" s="32"/>
    </row>
    <row r="17" spans="1:72" outlineLevel="1" x14ac:dyDescent="0.2">
      <c r="A17" s="14"/>
      <c r="B17" s="14" t="s">
        <v>62</v>
      </c>
      <c r="C17" s="15" t="s">
        <v>232</v>
      </c>
      <c r="D17" s="14">
        <v>322589704</v>
      </c>
      <c r="E17" s="15">
        <v>10</v>
      </c>
      <c r="F17" s="15">
        <v>32</v>
      </c>
      <c r="G17" s="15">
        <v>30</v>
      </c>
      <c r="I17" s="16">
        <f t="shared" si="0"/>
        <v>2.9402325</v>
      </c>
      <c r="J17" s="17">
        <f t="shared" si="1"/>
        <v>9.7220957802174619E-3</v>
      </c>
      <c r="K17" s="17">
        <f t="shared" si="2"/>
        <v>6.5504880465744805E-3</v>
      </c>
      <c r="L17" s="17">
        <f t="shared" si="3"/>
        <v>4.4533101403633141E-3</v>
      </c>
      <c r="M17" s="17">
        <f t="shared" si="4"/>
        <v>3.1716077336429809E-3</v>
      </c>
      <c r="N17" s="14">
        <f t="shared" si="5"/>
        <v>2113120</v>
      </c>
      <c r="O17" s="17">
        <v>32</v>
      </c>
      <c r="P17" s="18">
        <v>33775740</v>
      </c>
      <c r="Q17" s="18">
        <v>1055491.875</v>
      </c>
      <c r="R17" s="18">
        <v>37233.5</v>
      </c>
      <c r="S17" s="19">
        <v>3136248</v>
      </c>
      <c r="T17" s="19">
        <v>1436592</v>
      </c>
      <c r="U17" s="19">
        <v>676528</v>
      </c>
      <c r="V17" s="19">
        <v>1023128</v>
      </c>
      <c r="W17" s="20">
        <v>69.344262940625001</v>
      </c>
      <c r="X17" s="20">
        <v>71.826794925000002</v>
      </c>
      <c r="Y17" s="20">
        <v>33.948211681250001</v>
      </c>
      <c r="Z17" s="20">
        <v>45.197499656250002</v>
      </c>
      <c r="AA17" s="20">
        <v>45.675081331249999</v>
      </c>
      <c r="AB17" s="21">
        <v>7350.8580000000002</v>
      </c>
      <c r="AC17" s="21">
        <v>0</v>
      </c>
      <c r="AD17" s="21">
        <v>102.40300000000001</v>
      </c>
      <c r="AE17" s="21">
        <v>0</v>
      </c>
      <c r="AG17" s="16" t="str">
        <f t="shared" si="6"/>
        <v>·</v>
      </c>
      <c r="AH17" s="17" t="str">
        <f t="shared" si="7"/>
        <v>·</v>
      </c>
      <c r="AI17" s="17" t="str">
        <f t="shared" si="8"/>
        <v>·</v>
      </c>
      <c r="AJ17" s="17" t="str">
        <f t="shared" si="9"/>
        <v>·</v>
      </c>
      <c r="AK17" s="17" t="str">
        <f t="shared" si="10"/>
        <v>·</v>
      </c>
      <c r="AL17" s="14" t="str">
        <f t="shared" si="11"/>
        <v/>
      </c>
      <c r="AM17" s="17">
        <v>32</v>
      </c>
      <c r="AN17" s="18"/>
      <c r="AO17" s="18"/>
      <c r="AP17" s="18"/>
      <c r="AQ17" s="19"/>
      <c r="AR17" s="19"/>
      <c r="AS17" s="19"/>
      <c r="AT17" s="19"/>
      <c r="AU17" s="20"/>
      <c r="AV17" s="20"/>
      <c r="AW17" s="20"/>
      <c r="AX17" s="20"/>
      <c r="AY17" s="20"/>
      <c r="AZ17" s="21"/>
      <c r="BA17" s="21"/>
      <c r="BB17" s="21"/>
      <c r="BC17" s="21"/>
      <c r="BE17" s="22" t="e">
        <f t="shared" si="12"/>
        <v>#VALUE!</v>
      </c>
      <c r="BF17" s="23" t="e">
        <f t="shared" si="13"/>
        <v>#DIV/0!</v>
      </c>
      <c r="BG17" s="23" t="e">
        <f t="shared" si="14"/>
        <v>#VALUE!</v>
      </c>
      <c r="BH17" s="23"/>
      <c r="BJ17" s="22"/>
      <c r="BK17" s="22"/>
      <c r="BL17" s="22"/>
      <c r="BM17" s="22"/>
      <c r="BN17" s="22"/>
      <c r="BP17" s="22"/>
      <c r="BQ17" s="22"/>
      <c r="BR17" s="22"/>
      <c r="BS17" s="22"/>
      <c r="BT17" s="22"/>
    </row>
    <row r="18" spans="1:72" outlineLevel="1" x14ac:dyDescent="0.2">
      <c r="A18" s="24"/>
      <c r="B18" s="24" t="s">
        <v>62</v>
      </c>
      <c r="C18" s="25" t="s">
        <v>233</v>
      </c>
      <c r="D18" s="24">
        <v>322589704</v>
      </c>
      <c r="E18" s="25">
        <v>10</v>
      </c>
      <c r="F18" s="25">
        <v>32</v>
      </c>
      <c r="G18" s="25">
        <v>30</v>
      </c>
      <c r="I18" s="26">
        <f t="shared" si="0"/>
        <v>5.2292775000000002</v>
      </c>
      <c r="J18" s="27">
        <f t="shared" si="1"/>
        <v>1.7290992027445488E-2</v>
      </c>
      <c r="K18" s="27">
        <f t="shared" si="2"/>
        <v>9.8351062066134639E-3</v>
      </c>
      <c r="L18" s="27">
        <f t="shared" si="3"/>
        <v>7.7379283004022966E-3</v>
      </c>
      <c r="M18" s="27">
        <f t="shared" si="4"/>
        <v>7.4558858208320254E-3</v>
      </c>
      <c r="N18" s="24">
        <f t="shared" si="5"/>
        <v>3172704</v>
      </c>
      <c r="O18" s="27">
        <v>32</v>
      </c>
      <c r="P18" s="28">
        <v>34888350</v>
      </c>
      <c r="Q18" s="28">
        <v>1090260.9375</v>
      </c>
      <c r="R18" s="28">
        <v>41386.28125</v>
      </c>
      <c r="S18" s="29">
        <v>5577896</v>
      </c>
      <c r="T18" s="29">
        <v>2496176</v>
      </c>
      <c r="U18" s="29">
        <v>676528</v>
      </c>
      <c r="V18" s="29">
        <v>2405192</v>
      </c>
      <c r="W18" s="30">
        <v>70.533770318750001</v>
      </c>
      <c r="X18" s="30">
        <v>73.137554809375004</v>
      </c>
      <c r="Y18" s="30">
        <v>36.312577606250002</v>
      </c>
      <c r="Z18" s="30">
        <v>46.424759437500001</v>
      </c>
      <c r="AA18" s="30">
        <v>46.981957937499999</v>
      </c>
      <c r="AB18" s="31">
        <v>8010.3220000000001</v>
      </c>
      <c r="AC18" s="31">
        <v>0</v>
      </c>
      <c r="AD18" s="31">
        <v>109.03100000000001</v>
      </c>
      <c r="AE18" s="31">
        <v>0</v>
      </c>
      <c r="AG18" s="26" t="str">
        <f t="shared" si="6"/>
        <v>·</v>
      </c>
      <c r="AH18" s="27" t="str">
        <f t="shared" si="7"/>
        <v>·</v>
      </c>
      <c r="AI18" s="27" t="str">
        <f t="shared" si="8"/>
        <v>·</v>
      </c>
      <c r="AJ18" s="27" t="str">
        <f t="shared" si="9"/>
        <v>·</v>
      </c>
      <c r="AK18" s="27" t="str">
        <f t="shared" si="10"/>
        <v>·</v>
      </c>
      <c r="AL18" s="24" t="str">
        <f t="shared" si="11"/>
        <v/>
      </c>
      <c r="AM18" s="27">
        <v>32</v>
      </c>
      <c r="AN18" s="28"/>
      <c r="AO18" s="28"/>
      <c r="AP18" s="28"/>
      <c r="AQ18" s="29"/>
      <c r="AR18" s="29"/>
      <c r="AS18" s="29"/>
      <c r="AT18" s="29"/>
      <c r="AU18" s="30"/>
      <c r="AV18" s="30"/>
      <c r="AW18" s="30"/>
      <c r="AX18" s="30"/>
      <c r="AY18" s="30"/>
      <c r="AZ18" s="31"/>
      <c r="BA18" s="31"/>
      <c r="BB18" s="31"/>
      <c r="BC18" s="31"/>
      <c r="BE18" s="32" t="e">
        <f t="shared" si="12"/>
        <v>#VALUE!</v>
      </c>
      <c r="BF18" s="33" t="e">
        <f t="shared" si="13"/>
        <v>#DIV/0!</v>
      </c>
      <c r="BG18" s="33" t="e">
        <f t="shared" si="14"/>
        <v>#VALUE!</v>
      </c>
      <c r="BH18" s="33"/>
      <c r="BJ18" s="32"/>
      <c r="BK18" s="32"/>
      <c r="BL18" s="32"/>
      <c r="BM18" s="32"/>
      <c r="BN18" s="32"/>
      <c r="BP18" s="32"/>
      <c r="BQ18" s="32"/>
      <c r="BR18" s="32"/>
      <c r="BS18" s="32"/>
      <c r="BT18" s="32"/>
    </row>
    <row r="19" spans="1:72" outlineLevel="1" x14ac:dyDescent="0.2">
      <c r="A19" s="14"/>
      <c r="B19" s="34" t="s">
        <v>62</v>
      </c>
      <c r="C19" s="35" t="s">
        <v>234</v>
      </c>
      <c r="D19" s="34">
        <v>322589704</v>
      </c>
      <c r="E19" s="35">
        <v>10</v>
      </c>
      <c r="F19" s="35">
        <v>32</v>
      </c>
      <c r="G19" s="35">
        <v>30</v>
      </c>
      <c r="I19" s="36">
        <f t="shared" si="0"/>
        <v>11.2981575</v>
      </c>
      <c r="J19" s="37">
        <f t="shared" si="1"/>
        <v>3.7358191692317619E-2</v>
      </c>
      <c r="K19" s="37">
        <f t="shared" si="2"/>
        <v>1.7306293197751902E-2</v>
      </c>
      <c r="L19" s="37">
        <f t="shared" si="3"/>
        <v>1.2755422597120458E-2</v>
      </c>
      <c r="M19" s="37">
        <f t="shared" si="4"/>
        <v>2.0051898494565717E-2</v>
      </c>
      <c r="N19" s="34">
        <f t="shared" si="5"/>
        <v>5582832</v>
      </c>
      <c r="O19" s="37">
        <v>32</v>
      </c>
      <c r="P19" s="38">
        <v>32970337</v>
      </c>
      <c r="Q19" s="38">
        <v>1030323.03125</v>
      </c>
      <c r="R19" s="38">
        <v>17661.03125</v>
      </c>
      <c r="S19" s="39">
        <v>12051368</v>
      </c>
      <c r="T19" s="39">
        <v>4114768</v>
      </c>
      <c r="U19" s="39">
        <v>1468064</v>
      </c>
      <c r="V19" s="39">
        <v>6468536</v>
      </c>
      <c r="W19" s="40">
        <v>71.173187600000006</v>
      </c>
      <c r="X19" s="40">
        <v>75.079368396874997</v>
      </c>
      <c r="Y19" s="40">
        <v>38.666470437500003</v>
      </c>
      <c r="Z19" s="40">
        <v>48.187929918750001</v>
      </c>
      <c r="AA19" s="40">
        <v>48.830123390624998</v>
      </c>
      <c r="AB19" s="41">
        <v>8927.4639999999999</v>
      </c>
      <c r="AC19" s="41">
        <v>0</v>
      </c>
      <c r="AD19" s="41">
        <v>100.43899999999999</v>
      </c>
      <c r="AE19" s="41">
        <v>0</v>
      </c>
      <c r="AG19" s="36" t="str">
        <f t="shared" si="6"/>
        <v>·</v>
      </c>
      <c r="AH19" s="37" t="str">
        <f t="shared" si="7"/>
        <v>·</v>
      </c>
      <c r="AI19" s="37" t="str">
        <f t="shared" si="8"/>
        <v>·</v>
      </c>
      <c r="AJ19" s="37" t="str">
        <f t="shared" si="9"/>
        <v>·</v>
      </c>
      <c r="AK19" s="37" t="str">
        <f t="shared" si="10"/>
        <v>·</v>
      </c>
      <c r="AL19" s="34" t="str">
        <f t="shared" si="11"/>
        <v/>
      </c>
      <c r="AM19" s="37">
        <v>32</v>
      </c>
      <c r="AN19" s="38"/>
      <c r="AO19" s="38"/>
      <c r="AP19" s="38"/>
      <c r="AQ19" s="39"/>
      <c r="AR19" s="39"/>
      <c r="AS19" s="39"/>
      <c r="AT19" s="39"/>
      <c r="AU19" s="40"/>
      <c r="AV19" s="40"/>
      <c r="AW19" s="40"/>
      <c r="AX19" s="40"/>
      <c r="AY19" s="40"/>
      <c r="AZ19" s="41"/>
      <c r="BA19" s="41"/>
      <c r="BB19" s="41"/>
      <c r="BC19" s="41"/>
      <c r="BE19" s="42" t="e">
        <f t="shared" si="12"/>
        <v>#VALUE!</v>
      </c>
      <c r="BF19" s="43" t="e">
        <f t="shared" si="13"/>
        <v>#DIV/0!</v>
      </c>
      <c r="BG19" s="43" t="e">
        <f t="shared" si="14"/>
        <v>#VALUE!</v>
      </c>
      <c r="BH19" s="43"/>
      <c r="BJ19" s="42"/>
      <c r="BK19" s="42"/>
      <c r="BL19" s="42"/>
      <c r="BM19" s="42"/>
      <c r="BN19" s="42"/>
      <c r="BP19" s="42"/>
      <c r="BQ19" s="42"/>
      <c r="BR19" s="42"/>
      <c r="BS19" s="42"/>
      <c r="BT19" s="42"/>
    </row>
    <row r="20" spans="1:72" x14ac:dyDescent="0.2">
      <c r="A20" s="24"/>
      <c r="B20" s="24" t="s">
        <v>68</v>
      </c>
      <c r="C20" s="25" t="s">
        <v>230</v>
      </c>
      <c r="D20" s="24">
        <v>250602891</v>
      </c>
      <c r="E20" s="25">
        <v>10</v>
      </c>
      <c r="F20" s="25">
        <v>32</v>
      </c>
      <c r="G20" s="25">
        <v>50</v>
      </c>
      <c r="I20" s="26">
        <f t="shared" si="0"/>
        <v>1.9726375</v>
      </c>
      <c r="J20" s="27">
        <f t="shared" si="1"/>
        <v>5.0378030156084672E-3</v>
      </c>
      <c r="K20" s="27">
        <f t="shared" si="2"/>
        <v>3.9192205488164144E-3</v>
      </c>
      <c r="L20" s="27">
        <f t="shared" si="3"/>
        <v>2.3105878694751371E-3</v>
      </c>
      <c r="M20" s="27">
        <f t="shared" si="4"/>
        <v>1.1185824667920531E-3</v>
      </c>
      <c r="N20" s="24">
        <f t="shared" si="5"/>
        <v>982168</v>
      </c>
      <c r="O20" s="27">
        <v>32</v>
      </c>
      <c r="P20" s="28">
        <v>30507512</v>
      </c>
      <c r="Q20" s="28">
        <v>953359.75</v>
      </c>
      <c r="R20" s="28">
        <v>28910</v>
      </c>
      <c r="S20" s="29">
        <v>1262488</v>
      </c>
      <c r="T20" s="29">
        <v>579040</v>
      </c>
      <c r="U20" s="29">
        <v>403128</v>
      </c>
      <c r="V20" s="29">
        <v>280320</v>
      </c>
      <c r="W20" s="30">
        <v>67.312293543750002</v>
      </c>
      <c r="X20" s="30">
        <v>69.044562606249997</v>
      </c>
      <c r="Y20" s="30">
        <v>30.012833996874999</v>
      </c>
      <c r="Z20" s="30">
        <v>39.583578962499999</v>
      </c>
      <c r="AA20" s="30">
        <v>38.128250109375003</v>
      </c>
      <c r="AB20" s="31">
        <v>6610.4459999999999</v>
      </c>
      <c r="AC20" s="31">
        <v>0</v>
      </c>
      <c r="AD20" s="31">
        <v>87.634</v>
      </c>
      <c r="AE20" s="31">
        <v>0</v>
      </c>
      <c r="AG20" s="26" t="str">
        <f t="shared" si="6"/>
        <v>·</v>
      </c>
      <c r="AH20" s="27" t="str">
        <f t="shared" si="7"/>
        <v>·</v>
      </c>
      <c r="AI20" s="27" t="str">
        <f t="shared" si="8"/>
        <v>·</v>
      </c>
      <c r="AJ20" s="27" t="str">
        <f t="shared" si="9"/>
        <v>·</v>
      </c>
      <c r="AK20" s="27" t="str">
        <f t="shared" si="10"/>
        <v>·</v>
      </c>
      <c r="AL20" s="24" t="str">
        <f t="shared" si="11"/>
        <v/>
      </c>
      <c r="AM20" s="27">
        <v>32</v>
      </c>
      <c r="AN20" s="28"/>
      <c r="AO20" s="28"/>
      <c r="AP20" s="28"/>
      <c r="AQ20" s="29"/>
      <c r="AR20" s="29"/>
      <c r="AS20" s="29"/>
      <c r="AT20" s="29"/>
      <c r="AU20" s="30"/>
      <c r="AV20" s="30"/>
      <c r="AW20" s="30"/>
      <c r="AX20" s="30"/>
      <c r="AY20" s="30"/>
      <c r="AZ20" s="31"/>
      <c r="BA20" s="31"/>
      <c r="BB20" s="31"/>
      <c r="BC20" s="31"/>
      <c r="BE20" s="32" t="e">
        <f t="shared" si="12"/>
        <v>#VALUE!</v>
      </c>
      <c r="BF20" s="33" t="e">
        <f t="shared" si="13"/>
        <v>#DIV/0!</v>
      </c>
      <c r="BG20" s="33" t="e">
        <f t="shared" si="14"/>
        <v>#VALUE!</v>
      </c>
      <c r="BH20" s="33" t="e">
        <f t="array" ref="BH20">AVERAGE(AL20:AL24/AQ20:AQ24) - AVERAGE(N20:N24/S20:S24)</f>
        <v>#VALUE!</v>
      </c>
      <c r="BJ20" s="32" t="str">
        <f>IF( OR(ISBLANK(N20:N24),ISBLANK(AL20:AL24), ISBLANK(W20:W24),ISBLANK(AU20:AU24)), "·", bdRateExtend( N20:N24,W20:W24, AL20:AL24,AU20:AU24))</f>
        <v>·</v>
      </c>
      <c r="BK20" s="32" t="str">
        <f>IF( OR(ISBLANK(N20:N24),ISBLANK(AL20:AL24), ISBLANK(X20:X24),ISBLANK(AV20:AV24)), "·", bdRateExtend( N20:N24,X20:X24, AL20:AL24,AV20:AV24))</f>
        <v>·</v>
      </c>
      <c r="BL20" s="32" t="str">
        <f>IF( OR(ISBLANK(V20:V24),ISBLANK(AT20:AT24), ISBLANK(Y20:Y24),ISBLANK(AW20:AW24)), "·", bdRateExtend( V20:V24,Y20:Y24, AT20:AT24,AW20:AW24))</f>
        <v>·</v>
      </c>
      <c r="BM20" s="32" t="str">
        <f>IF( OR(ISBLANK(V20:V24),ISBLANK(AT20:AT24), ISBLANK(Z20:Z24),ISBLANK(AX20:AX24)), "·", bdRateExtend( V20:V24,Z20:Z24, AT20:AT24,AX20:AX24))</f>
        <v>·</v>
      </c>
      <c r="BN20" s="32" t="str">
        <f>IF( OR(ISBLANK(V20:V24),ISBLANK(AT20:AT24), ISBLANK(AA20:AA24),ISBLANK(AY20:AY24)), "·", bdRateExtend( V20:V24,AA20:AA24, AT20:AT24,AY20:AY24))</f>
        <v>·</v>
      </c>
      <c r="BP20" s="32" t="str">
        <f>IF( OR(ISBLANK(S20:S24),ISBLANK(AQ20:AQ24), ISBLANK(W20:W24),ISBLANK(AU20:AU24)), "·", bdRateExtend( S20:S24,W20:W24, AQ20:AQ24,AU20:AU24))</f>
        <v>·</v>
      </c>
      <c r="BQ20" s="32" t="str">
        <f>IF( OR(ISBLANK(S20:S24),ISBLANK(AQ20:AQ24), ISBLANK(X20:X24),ISBLANK(AV20:AV24)), "·", bdRateExtend( S20:S24,X20:X24, AQ20:AQ24,AV20:AV24))</f>
        <v>·</v>
      </c>
      <c r="BR20" s="32" t="str">
        <f>IF( OR(ISBLANK(S20:S24),ISBLANK(AQ20:AQ24), ISBLANK(Y20:Y24),ISBLANK(AW20:AW24)), "·", bdRateExtend( S20:S24,Y20:Y24, AQ20:AQ24,AW20:AW24))</f>
        <v>·</v>
      </c>
      <c r="BS20" s="32" t="str">
        <f>IF( OR(ISBLANK(S20:S24),ISBLANK(AQ20:AQ24), ISBLANK(Z20:Z24),ISBLANK(AX20:AX24)), "·", bdRateExtend( S20:S24,Z20:Z24, AQ20:AQ24,AX20:AX24))</f>
        <v>·</v>
      </c>
      <c r="BT20" s="32" t="str">
        <f>IF( OR(ISBLANK(S20:S24),ISBLANK(AQ20:AQ24), ISBLANK(AA20:AA24),ISBLANK(AY20:AY24)), "·", bdRateExtend( S20:S24,AA20:AA24, AQ20:AQ24,AY20:AY24))</f>
        <v>·</v>
      </c>
    </row>
    <row r="21" spans="1:72" outlineLevel="1" x14ac:dyDescent="0.2">
      <c r="A21" s="14"/>
      <c r="B21" s="14" t="s">
        <v>68</v>
      </c>
      <c r="C21" s="15" t="s">
        <v>231</v>
      </c>
      <c r="D21" s="14">
        <v>250602891</v>
      </c>
      <c r="E21" s="15">
        <v>10</v>
      </c>
      <c r="F21" s="15">
        <v>32</v>
      </c>
      <c r="G21" s="15">
        <v>50</v>
      </c>
      <c r="I21" s="16">
        <f t="shared" si="0"/>
        <v>2.6522250000000001</v>
      </c>
      <c r="J21" s="17">
        <f t="shared" si="1"/>
        <v>6.7733616049944134E-3</v>
      </c>
      <c r="K21" s="17">
        <f t="shared" si="2"/>
        <v>4.6695710306071453E-3</v>
      </c>
      <c r="L21" s="17">
        <f t="shared" si="3"/>
        <v>3.060938351265868E-3</v>
      </c>
      <c r="M21" s="17">
        <f t="shared" si="4"/>
        <v>2.1037905743872681E-3</v>
      </c>
      <c r="N21" s="14">
        <f t="shared" si="5"/>
        <v>1170208</v>
      </c>
      <c r="O21" s="17">
        <v>32</v>
      </c>
      <c r="P21" s="18">
        <v>31613867</v>
      </c>
      <c r="Q21" s="18">
        <v>987933.34375</v>
      </c>
      <c r="R21" s="18">
        <v>33272.375</v>
      </c>
      <c r="S21" s="19">
        <v>1697424</v>
      </c>
      <c r="T21" s="19">
        <v>767080</v>
      </c>
      <c r="U21" s="19">
        <v>403128</v>
      </c>
      <c r="V21" s="19">
        <v>527216</v>
      </c>
      <c r="W21" s="20">
        <v>68.871993750000001</v>
      </c>
      <c r="X21" s="20">
        <v>70.994703506250005</v>
      </c>
      <c r="Y21" s="20">
        <v>31.528663996875</v>
      </c>
      <c r="Z21" s="20">
        <v>40.524398284375003</v>
      </c>
      <c r="AA21" s="20">
        <v>39.261141281249998</v>
      </c>
      <c r="AB21" s="21">
        <v>6939.8130000000001</v>
      </c>
      <c r="AC21" s="21">
        <v>0</v>
      </c>
      <c r="AD21" s="21">
        <v>91.234999999999999</v>
      </c>
      <c r="AE21" s="21">
        <v>0</v>
      </c>
      <c r="AG21" s="16" t="str">
        <f t="shared" si="6"/>
        <v>·</v>
      </c>
      <c r="AH21" s="17" t="str">
        <f t="shared" si="7"/>
        <v>·</v>
      </c>
      <c r="AI21" s="17" t="str">
        <f t="shared" si="8"/>
        <v>·</v>
      </c>
      <c r="AJ21" s="17" t="str">
        <f t="shared" si="9"/>
        <v>·</v>
      </c>
      <c r="AK21" s="17" t="str">
        <f t="shared" si="10"/>
        <v>·</v>
      </c>
      <c r="AL21" s="14" t="str">
        <f t="shared" si="11"/>
        <v/>
      </c>
      <c r="AM21" s="17">
        <v>32</v>
      </c>
      <c r="AN21" s="18"/>
      <c r="AO21" s="18"/>
      <c r="AP21" s="18"/>
      <c r="AQ21" s="19"/>
      <c r="AR21" s="19"/>
      <c r="AS21" s="19"/>
      <c r="AT21" s="19"/>
      <c r="AU21" s="20"/>
      <c r="AV21" s="20"/>
      <c r="AW21" s="20"/>
      <c r="AX21" s="20"/>
      <c r="AY21" s="20"/>
      <c r="AZ21" s="21"/>
      <c r="BA21" s="21"/>
      <c r="BB21" s="21"/>
      <c r="BC21" s="21"/>
      <c r="BE21" s="22" t="e">
        <f t="shared" si="12"/>
        <v>#VALUE!</v>
      </c>
      <c r="BF21" s="23" t="e">
        <f t="shared" si="13"/>
        <v>#DIV/0!</v>
      </c>
      <c r="BG21" s="23" t="e">
        <f t="shared" si="14"/>
        <v>#VALUE!</v>
      </c>
      <c r="BH21" s="23"/>
      <c r="BJ21" s="22"/>
      <c r="BK21" s="22"/>
      <c r="BL21" s="22"/>
      <c r="BM21" s="22"/>
      <c r="BN21" s="22"/>
      <c r="BP21" s="22"/>
      <c r="BQ21" s="22"/>
      <c r="BR21" s="22"/>
      <c r="BS21" s="22"/>
      <c r="BT21" s="22"/>
    </row>
    <row r="22" spans="1:72" outlineLevel="1" x14ac:dyDescent="0.2">
      <c r="A22" s="24"/>
      <c r="B22" s="24" t="s">
        <v>68</v>
      </c>
      <c r="C22" s="25" t="s">
        <v>232</v>
      </c>
      <c r="D22" s="24">
        <v>250602891</v>
      </c>
      <c r="E22" s="25">
        <v>10</v>
      </c>
      <c r="F22" s="25">
        <v>32</v>
      </c>
      <c r="G22" s="25">
        <v>50</v>
      </c>
      <c r="I22" s="26">
        <f t="shared" si="0"/>
        <v>4.0420499999999997</v>
      </c>
      <c r="J22" s="27">
        <f t="shared" si="1"/>
        <v>1.0322754018029266E-2</v>
      </c>
      <c r="K22" s="27">
        <f t="shared" si="2"/>
        <v>5.5258420781745888E-3</v>
      </c>
      <c r="L22" s="27">
        <f t="shared" si="3"/>
        <v>3.9172093988333124E-3</v>
      </c>
      <c r="M22" s="27">
        <f t="shared" si="4"/>
        <v>4.7969119398546759E-3</v>
      </c>
      <c r="N22" s="24">
        <f t="shared" si="5"/>
        <v>1384792</v>
      </c>
      <c r="O22" s="27">
        <v>32</v>
      </c>
      <c r="P22" s="28">
        <v>32647714</v>
      </c>
      <c r="Q22" s="28">
        <v>1020241.0625</v>
      </c>
      <c r="R22" s="28">
        <v>35487.59375</v>
      </c>
      <c r="S22" s="29">
        <v>2586912</v>
      </c>
      <c r="T22" s="29">
        <v>981664</v>
      </c>
      <c r="U22" s="29">
        <v>403128</v>
      </c>
      <c r="V22" s="29">
        <v>1202120</v>
      </c>
      <c r="W22" s="30">
        <v>70.076772421875006</v>
      </c>
      <c r="X22" s="30">
        <v>72.524430771875004</v>
      </c>
      <c r="Y22" s="30">
        <v>33.364154234375</v>
      </c>
      <c r="Z22" s="30">
        <v>41.679370284374997</v>
      </c>
      <c r="AA22" s="30">
        <v>40.449245765625001</v>
      </c>
      <c r="AB22" s="31">
        <v>7310.5039999999999</v>
      </c>
      <c r="AC22" s="31">
        <v>0</v>
      </c>
      <c r="AD22" s="31">
        <v>93.2</v>
      </c>
      <c r="AE22" s="31">
        <v>0</v>
      </c>
      <c r="AG22" s="26" t="str">
        <f t="shared" si="6"/>
        <v>·</v>
      </c>
      <c r="AH22" s="27" t="str">
        <f t="shared" si="7"/>
        <v>·</v>
      </c>
      <c r="AI22" s="27" t="str">
        <f t="shared" si="8"/>
        <v>·</v>
      </c>
      <c r="AJ22" s="27" t="str">
        <f t="shared" si="9"/>
        <v>·</v>
      </c>
      <c r="AK22" s="27" t="str">
        <f t="shared" si="10"/>
        <v>·</v>
      </c>
      <c r="AL22" s="24" t="str">
        <f t="shared" si="11"/>
        <v/>
      </c>
      <c r="AM22" s="27">
        <v>32</v>
      </c>
      <c r="AN22" s="28"/>
      <c r="AO22" s="28"/>
      <c r="AP22" s="28"/>
      <c r="AQ22" s="29"/>
      <c r="AR22" s="29"/>
      <c r="AS22" s="29"/>
      <c r="AT22" s="29"/>
      <c r="AU22" s="30"/>
      <c r="AV22" s="30"/>
      <c r="AW22" s="30"/>
      <c r="AX22" s="30"/>
      <c r="AY22" s="30"/>
      <c r="AZ22" s="31"/>
      <c r="BA22" s="31"/>
      <c r="BB22" s="31"/>
      <c r="BC22" s="31"/>
      <c r="BE22" s="32" t="e">
        <f t="shared" si="12"/>
        <v>#VALUE!</v>
      </c>
      <c r="BF22" s="33" t="e">
        <f t="shared" si="13"/>
        <v>#DIV/0!</v>
      </c>
      <c r="BG22" s="33" t="e">
        <f t="shared" si="14"/>
        <v>#VALUE!</v>
      </c>
      <c r="BH22" s="33"/>
      <c r="BJ22" s="32"/>
      <c r="BK22" s="32"/>
      <c r="BL22" s="32"/>
      <c r="BM22" s="32"/>
      <c r="BN22" s="32"/>
      <c r="BP22" s="32"/>
      <c r="BQ22" s="32"/>
      <c r="BR22" s="32"/>
      <c r="BS22" s="32"/>
      <c r="BT22" s="32"/>
    </row>
    <row r="23" spans="1:72" outlineLevel="1" x14ac:dyDescent="0.2">
      <c r="A23" s="14"/>
      <c r="B23" s="14" t="s">
        <v>68</v>
      </c>
      <c r="C23" s="15" t="s">
        <v>233</v>
      </c>
      <c r="D23" s="14">
        <v>250602891</v>
      </c>
      <c r="E23" s="15">
        <v>10</v>
      </c>
      <c r="F23" s="15">
        <v>32</v>
      </c>
      <c r="G23" s="15">
        <v>50</v>
      </c>
      <c r="I23" s="16">
        <f t="shared" si="0"/>
        <v>7.5974874999999997</v>
      </c>
      <c r="J23" s="17">
        <f t="shared" si="1"/>
        <v>1.9402776961579427E-2</v>
      </c>
      <c r="K23" s="17">
        <f t="shared" si="2"/>
        <v>8.2428418593143843E-3</v>
      </c>
      <c r="L23" s="17">
        <f t="shared" si="3"/>
        <v>6.634209179973107E-3</v>
      </c>
      <c r="M23" s="17">
        <f t="shared" si="4"/>
        <v>1.1159935102265041E-2</v>
      </c>
      <c r="N23" s="14">
        <f t="shared" si="5"/>
        <v>2065680</v>
      </c>
      <c r="O23" s="17">
        <v>32</v>
      </c>
      <c r="P23" s="18">
        <v>32775716</v>
      </c>
      <c r="Q23" s="18">
        <v>1024241.125</v>
      </c>
      <c r="R23" s="18">
        <v>37413.65625</v>
      </c>
      <c r="S23" s="19">
        <v>4862392</v>
      </c>
      <c r="T23" s="19">
        <v>1662552</v>
      </c>
      <c r="U23" s="19">
        <v>403128</v>
      </c>
      <c r="V23" s="19">
        <v>2796712</v>
      </c>
      <c r="W23" s="20">
        <v>71.064986399999995</v>
      </c>
      <c r="X23" s="20">
        <v>73.830866171875002</v>
      </c>
      <c r="Y23" s="20">
        <v>35.153529759374997</v>
      </c>
      <c r="Z23" s="20">
        <v>42.728272403124997</v>
      </c>
      <c r="AA23" s="20">
        <v>41.427593412500002</v>
      </c>
      <c r="AB23" s="21">
        <v>7844.915</v>
      </c>
      <c r="AC23" s="21">
        <v>0</v>
      </c>
      <c r="AD23" s="21">
        <v>95.105000000000004</v>
      </c>
      <c r="AE23" s="21">
        <v>0</v>
      </c>
      <c r="AG23" s="16" t="str">
        <f t="shared" si="6"/>
        <v>·</v>
      </c>
      <c r="AH23" s="17" t="str">
        <f t="shared" si="7"/>
        <v>·</v>
      </c>
      <c r="AI23" s="17" t="str">
        <f t="shared" si="8"/>
        <v>·</v>
      </c>
      <c r="AJ23" s="17" t="str">
        <f t="shared" si="9"/>
        <v>·</v>
      </c>
      <c r="AK23" s="17" t="str">
        <f t="shared" si="10"/>
        <v>·</v>
      </c>
      <c r="AL23" s="14" t="str">
        <f t="shared" si="11"/>
        <v/>
      </c>
      <c r="AM23" s="17">
        <v>32</v>
      </c>
      <c r="AN23" s="18"/>
      <c r="AO23" s="18"/>
      <c r="AP23" s="18"/>
      <c r="AQ23" s="19"/>
      <c r="AR23" s="19"/>
      <c r="AS23" s="19"/>
      <c r="AT23" s="19"/>
      <c r="AU23" s="20"/>
      <c r="AV23" s="20"/>
      <c r="AW23" s="20"/>
      <c r="AX23" s="20"/>
      <c r="AY23" s="20"/>
      <c r="AZ23" s="21"/>
      <c r="BA23" s="21"/>
      <c r="BB23" s="21"/>
      <c r="BC23" s="21"/>
      <c r="BE23" s="22" t="e">
        <f t="shared" si="12"/>
        <v>#VALUE!</v>
      </c>
      <c r="BF23" s="23" t="e">
        <f t="shared" si="13"/>
        <v>#DIV/0!</v>
      </c>
      <c r="BG23" s="23" t="e">
        <f t="shared" si="14"/>
        <v>#VALUE!</v>
      </c>
      <c r="BH23" s="23"/>
      <c r="BJ23" s="22"/>
      <c r="BK23" s="22"/>
      <c r="BL23" s="22"/>
      <c r="BM23" s="22"/>
      <c r="BN23" s="22"/>
      <c r="BP23" s="22"/>
      <c r="BQ23" s="22"/>
      <c r="BR23" s="22"/>
      <c r="BS23" s="22"/>
      <c r="BT23" s="22"/>
    </row>
    <row r="24" spans="1:72" outlineLevel="1" x14ac:dyDescent="0.2">
      <c r="A24" s="44"/>
      <c r="B24" s="44" t="s">
        <v>68</v>
      </c>
      <c r="C24" s="45" t="s">
        <v>234</v>
      </c>
      <c r="D24" s="44">
        <v>250602891</v>
      </c>
      <c r="E24" s="45">
        <v>10</v>
      </c>
      <c r="F24" s="45">
        <v>32</v>
      </c>
      <c r="G24" s="45">
        <v>50</v>
      </c>
      <c r="I24" s="46">
        <f t="shared" si="0"/>
        <v>15.605625</v>
      </c>
      <c r="J24" s="47">
        <f t="shared" si="1"/>
        <v>3.9854288831807611E-2</v>
      </c>
      <c r="K24" s="47">
        <f t="shared" si="2"/>
        <v>1.4322739796325814E-2</v>
      </c>
      <c r="L24" s="47">
        <f t="shared" si="3"/>
        <v>1.0746308589073699E-2</v>
      </c>
      <c r="M24" s="47">
        <f t="shared" si="4"/>
        <v>2.5531549035481799E-2</v>
      </c>
      <c r="N24" s="44">
        <f t="shared" si="5"/>
        <v>3589320</v>
      </c>
      <c r="O24" s="47">
        <v>32</v>
      </c>
      <c r="P24" s="48">
        <v>31322261</v>
      </c>
      <c r="Q24" s="48">
        <v>978820.65625</v>
      </c>
      <c r="R24" s="48">
        <v>18052.34375</v>
      </c>
      <c r="S24" s="49">
        <v>9987600</v>
      </c>
      <c r="T24" s="49">
        <v>2693056</v>
      </c>
      <c r="U24" s="49">
        <v>896264</v>
      </c>
      <c r="V24" s="49">
        <v>6398280</v>
      </c>
      <c r="W24" s="50">
        <v>71.786185656249998</v>
      </c>
      <c r="X24" s="50">
        <v>75.799661299999997</v>
      </c>
      <c r="Y24" s="50">
        <v>36.267751671874997</v>
      </c>
      <c r="Z24" s="50">
        <v>43.448253774999998</v>
      </c>
      <c r="AA24" s="50">
        <v>41.930498878125</v>
      </c>
      <c r="AB24" s="51">
        <v>8387.875</v>
      </c>
      <c r="AC24" s="51">
        <v>0</v>
      </c>
      <c r="AD24" s="51">
        <v>90.813000000000002</v>
      </c>
      <c r="AE24" s="51">
        <v>0</v>
      </c>
      <c r="AG24" s="46" t="str">
        <f t="shared" si="6"/>
        <v>·</v>
      </c>
      <c r="AH24" s="47" t="str">
        <f t="shared" si="7"/>
        <v>·</v>
      </c>
      <c r="AI24" s="47" t="str">
        <f t="shared" si="8"/>
        <v>·</v>
      </c>
      <c r="AJ24" s="47" t="str">
        <f t="shared" si="9"/>
        <v>·</v>
      </c>
      <c r="AK24" s="47" t="str">
        <f t="shared" si="10"/>
        <v>·</v>
      </c>
      <c r="AL24" s="44" t="str">
        <f t="shared" si="11"/>
        <v/>
      </c>
      <c r="AM24" s="47">
        <v>32</v>
      </c>
      <c r="AN24" s="48"/>
      <c r="AO24" s="48"/>
      <c r="AP24" s="48"/>
      <c r="AQ24" s="49"/>
      <c r="AR24" s="49"/>
      <c r="AS24" s="49"/>
      <c r="AT24" s="49"/>
      <c r="AU24" s="50"/>
      <c r="AV24" s="50"/>
      <c r="AW24" s="50"/>
      <c r="AX24" s="50"/>
      <c r="AY24" s="50"/>
      <c r="AZ24" s="51"/>
      <c r="BA24" s="51"/>
      <c r="BB24" s="51"/>
      <c r="BC24" s="51"/>
      <c r="BE24" s="52" t="e">
        <f t="shared" si="12"/>
        <v>#VALUE!</v>
      </c>
      <c r="BF24" s="53" t="e">
        <f t="shared" si="13"/>
        <v>#DIV/0!</v>
      </c>
      <c r="BG24" s="53" t="e">
        <f t="shared" si="14"/>
        <v>#VALUE!</v>
      </c>
      <c r="BH24" s="53"/>
      <c r="BJ24" s="52"/>
      <c r="BK24" s="52"/>
      <c r="BL24" s="52"/>
      <c r="BM24" s="52"/>
      <c r="BN24" s="52"/>
      <c r="BP24" s="52"/>
      <c r="BQ24" s="52"/>
      <c r="BR24" s="52"/>
      <c r="BS24" s="52"/>
      <c r="BT24" s="52"/>
    </row>
    <row r="25" spans="1:72" x14ac:dyDescent="0.2">
      <c r="A25" s="14" t="s">
        <v>235</v>
      </c>
      <c r="B25" s="14" t="s">
        <v>71</v>
      </c>
      <c r="C25" s="15" t="s">
        <v>230</v>
      </c>
      <c r="D25" s="14">
        <v>250294582</v>
      </c>
      <c r="E25" s="15">
        <v>10</v>
      </c>
      <c r="F25" s="15">
        <v>32</v>
      </c>
      <c r="G25" s="15">
        <v>30</v>
      </c>
      <c r="I25" s="16">
        <f t="shared" si="0"/>
        <v>2.0493299999999999</v>
      </c>
      <c r="J25" s="17">
        <f t="shared" si="1"/>
        <v>8.7335170523187757E-3</v>
      </c>
      <c r="K25" s="17">
        <f t="shared" si="2"/>
        <v>5.6611692857178987E-3</v>
      </c>
      <c r="L25" s="17">
        <f t="shared" si="3"/>
        <v>3.5001956214937165E-3</v>
      </c>
      <c r="M25" s="17">
        <f t="shared" si="4"/>
        <v>3.0723477666008765E-3</v>
      </c>
      <c r="N25" s="14">
        <f t="shared" si="5"/>
        <v>1416960</v>
      </c>
      <c r="O25" s="17">
        <v>32</v>
      </c>
      <c r="P25" s="18">
        <v>23447160</v>
      </c>
      <c r="Q25" s="18">
        <v>732723.75</v>
      </c>
      <c r="R25" s="18">
        <v>14606.90625</v>
      </c>
      <c r="S25" s="19">
        <v>2185952</v>
      </c>
      <c r="T25" s="19">
        <v>876080</v>
      </c>
      <c r="U25" s="19">
        <v>540880</v>
      </c>
      <c r="V25" s="19">
        <v>768992</v>
      </c>
      <c r="W25" s="20">
        <v>66.269162875000006</v>
      </c>
      <c r="X25" s="20">
        <v>68.024507784375004</v>
      </c>
      <c r="Y25" s="20">
        <v>25.926400228125001</v>
      </c>
      <c r="Z25" s="20">
        <v>32.491741578125001</v>
      </c>
      <c r="AA25" s="20">
        <v>31.686724612500001</v>
      </c>
      <c r="AB25" s="21">
        <v>7379.3680000000004</v>
      </c>
      <c r="AC25" s="21">
        <v>0</v>
      </c>
      <c r="AD25" s="21">
        <v>76.590999999999994</v>
      </c>
      <c r="AE25" s="21">
        <v>0</v>
      </c>
      <c r="AG25" s="16" t="str">
        <f t="shared" si="6"/>
        <v>·</v>
      </c>
      <c r="AH25" s="17" t="str">
        <f t="shared" si="7"/>
        <v>·</v>
      </c>
      <c r="AI25" s="17" t="str">
        <f t="shared" si="8"/>
        <v>·</v>
      </c>
      <c r="AJ25" s="17" t="str">
        <f t="shared" si="9"/>
        <v>·</v>
      </c>
      <c r="AK25" s="17" t="str">
        <f t="shared" si="10"/>
        <v>·</v>
      </c>
      <c r="AL25" s="14" t="str">
        <f t="shared" si="11"/>
        <v/>
      </c>
      <c r="AM25" s="17">
        <v>32</v>
      </c>
      <c r="AN25" s="18"/>
      <c r="AO25" s="18"/>
      <c r="AP25" s="18"/>
      <c r="AQ25" s="19"/>
      <c r="AR25" s="19"/>
      <c r="AS25" s="19"/>
      <c r="AT25" s="19"/>
      <c r="AU25" s="20"/>
      <c r="AV25" s="20"/>
      <c r="AW25" s="20"/>
      <c r="AX25" s="20"/>
      <c r="AY25" s="20"/>
      <c r="AZ25" s="21"/>
      <c r="BA25" s="21"/>
      <c r="BB25" s="21"/>
      <c r="BC25" s="21"/>
      <c r="BE25" s="22" t="e">
        <f t="shared" si="12"/>
        <v>#VALUE!</v>
      </c>
      <c r="BF25" s="23" t="e">
        <f t="shared" si="13"/>
        <v>#DIV/0!</v>
      </c>
      <c r="BG25" s="23" t="e">
        <f t="shared" si="14"/>
        <v>#VALUE!</v>
      </c>
      <c r="BH25" s="23" t="e">
        <f t="array" ref="BH25">AVERAGE(AL25:AL29/AQ25:AQ29) - AVERAGE(N25:N29/S25:S29)</f>
        <v>#VALUE!</v>
      </c>
      <c r="BJ25" s="22" t="str">
        <f>IF( OR(ISBLANK(N25:N29),ISBLANK(AL25:AL29), ISBLANK(W25:W29),ISBLANK(AU25:AU29)), "·", bdRateExtend( N25:N29,W25:W29, AL25:AL29,AU25:AU29))</f>
        <v>·</v>
      </c>
      <c r="BK25" s="22" t="str">
        <f>IF( OR(ISBLANK(N25:N29),ISBLANK(AL25:AL29), ISBLANK(X25:X29),ISBLANK(AV25:AV29)), "·", bdRateExtend( N25:N29,X25:X29, AL25:AL29,AV25:AV29))</f>
        <v>·</v>
      </c>
      <c r="BL25" s="22" t="str">
        <f>IF( OR(ISBLANK(V25:V29),ISBLANK(AT25:AT29), ISBLANK(Y25:Y29),ISBLANK(AW25:AW29)), "·", bdRateExtend( V25:V29,Y25:Y29, AT25:AT29,AW25:AW29))</f>
        <v>·</v>
      </c>
      <c r="BM25" s="22" t="str">
        <f>IF( OR(ISBLANK(V25:V29),ISBLANK(AT25:AT29), ISBLANK(Z25:Z29),ISBLANK(AX25:AX29)), "·", bdRateExtend( V25:V29,Z25:Z29, AT25:AT29,AX25:AX29))</f>
        <v>·</v>
      </c>
      <c r="BN25" s="22" t="str">
        <f>IF( OR(ISBLANK(V25:V29),ISBLANK(AT25:AT29), ISBLANK(AA25:AA29),ISBLANK(AY25:AY29)), "·", bdRateExtend( V25:V29,AA25:AA29, AT25:AT29,AY25:AY29))</f>
        <v>·</v>
      </c>
      <c r="BP25" s="22" t="str">
        <f>IF( OR(ISBLANK(S25:S29),ISBLANK(AQ25:AQ29), ISBLANK(W25:W29),ISBLANK(AU25:AU29)), "·", bdRateExtend( S25:S29,W25:W29, AQ25:AQ29,AU25:AU29))</f>
        <v>·</v>
      </c>
      <c r="BQ25" s="22" t="str">
        <f>IF( OR(ISBLANK(S25:S29),ISBLANK(AQ25:AQ29), ISBLANK(X25:X29),ISBLANK(AV25:AV29)), "·", bdRateExtend( S25:S29,X25:X29, AQ25:AQ29,AV25:AV29))</f>
        <v>·</v>
      </c>
      <c r="BR25" s="22" t="str">
        <f>IF( OR(ISBLANK(S25:S29),ISBLANK(AQ25:AQ29), ISBLANK(Y25:Y29),ISBLANK(AW25:AW29)), "·", bdRateExtend( S25:S29,Y25:Y29, AQ25:AQ29,AW25:AW29))</f>
        <v>·</v>
      </c>
      <c r="BS25" s="22" t="str">
        <f>IF( OR(ISBLANK(S25:S29),ISBLANK(AQ25:AQ29), ISBLANK(Z25:Z29),ISBLANK(AX25:AX29)), "·", bdRateExtend( S25:S29,Z25:Z29, AQ25:AQ29,AX25:AX29))</f>
        <v>·</v>
      </c>
      <c r="BT25" s="22" t="str">
        <f>IF( OR(ISBLANK(S25:S29),ISBLANK(AQ25:AQ29), ISBLANK(AA25:AA29),ISBLANK(AY25:AY29)), "·", bdRateExtend( S25:S29,AA25:AA29, AQ25:AQ29,AY25:AY29))</f>
        <v>·</v>
      </c>
    </row>
    <row r="26" spans="1:72" outlineLevel="1" x14ac:dyDescent="0.2">
      <c r="A26" s="24"/>
      <c r="B26" s="24" t="s">
        <v>71</v>
      </c>
      <c r="C26" s="25" t="s">
        <v>231</v>
      </c>
      <c r="D26" s="24">
        <v>250294582</v>
      </c>
      <c r="E26" s="25">
        <v>10</v>
      </c>
      <c r="F26" s="25">
        <v>32</v>
      </c>
      <c r="G26" s="25">
        <v>30</v>
      </c>
      <c r="I26" s="26">
        <f t="shared" si="0"/>
        <v>3.1703399999999999</v>
      </c>
      <c r="J26" s="27">
        <f t="shared" si="1"/>
        <v>1.3510863770914545E-2</v>
      </c>
      <c r="K26" s="27">
        <f t="shared" si="2"/>
        <v>7.1507420803859027E-3</v>
      </c>
      <c r="L26" s="27">
        <f t="shared" si="3"/>
        <v>4.9897684161617209E-3</v>
      </c>
      <c r="M26" s="27">
        <f t="shared" si="4"/>
        <v>6.3601216905286428E-3</v>
      </c>
      <c r="N26" s="24">
        <f t="shared" si="5"/>
        <v>1789792</v>
      </c>
      <c r="O26" s="27">
        <v>32</v>
      </c>
      <c r="P26" s="28">
        <v>24683254</v>
      </c>
      <c r="Q26" s="28">
        <v>771351.6875</v>
      </c>
      <c r="R26" s="28">
        <v>17747.71875</v>
      </c>
      <c r="S26" s="29">
        <v>3381696</v>
      </c>
      <c r="T26" s="29">
        <v>1248912</v>
      </c>
      <c r="U26" s="29">
        <v>540880</v>
      </c>
      <c r="V26" s="29">
        <v>1591904</v>
      </c>
      <c r="W26" s="30">
        <v>67.999516596874997</v>
      </c>
      <c r="X26" s="30">
        <v>69.998353487499998</v>
      </c>
      <c r="Y26" s="30">
        <v>27.92790333125</v>
      </c>
      <c r="Z26" s="30">
        <v>33.690652909374997</v>
      </c>
      <c r="AA26" s="30">
        <v>33.036271853125001</v>
      </c>
      <c r="AB26" s="31">
        <v>8104.0439999999999</v>
      </c>
      <c r="AC26" s="31">
        <v>0</v>
      </c>
      <c r="AD26" s="31">
        <v>81.748999999999995</v>
      </c>
      <c r="AE26" s="31">
        <v>0</v>
      </c>
      <c r="AG26" s="26" t="str">
        <f t="shared" si="6"/>
        <v>·</v>
      </c>
      <c r="AH26" s="27" t="str">
        <f t="shared" si="7"/>
        <v>·</v>
      </c>
      <c r="AI26" s="27" t="str">
        <f t="shared" si="8"/>
        <v>·</v>
      </c>
      <c r="AJ26" s="27" t="str">
        <f t="shared" si="9"/>
        <v>·</v>
      </c>
      <c r="AK26" s="27" t="str">
        <f t="shared" si="10"/>
        <v>·</v>
      </c>
      <c r="AL26" s="24" t="str">
        <f t="shared" si="11"/>
        <v/>
      </c>
      <c r="AM26" s="27">
        <v>32</v>
      </c>
      <c r="AN26" s="28"/>
      <c r="AO26" s="28"/>
      <c r="AP26" s="28"/>
      <c r="AQ26" s="29"/>
      <c r="AR26" s="29"/>
      <c r="AS26" s="29"/>
      <c r="AT26" s="29"/>
      <c r="AU26" s="30"/>
      <c r="AV26" s="30"/>
      <c r="AW26" s="30"/>
      <c r="AX26" s="30"/>
      <c r="AY26" s="30"/>
      <c r="AZ26" s="31"/>
      <c r="BA26" s="31"/>
      <c r="BB26" s="31"/>
      <c r="BC26" s="31"/>
      <c r="BE26" s="32" t="e">
        <f t="shared" si="12"/>
        <v>#VALUE!</v>
      </c>
      <c r="BF26" s="33" t="e">
        <f t="shared" si="13"/>
        <v>#DIV/0!</v>
      </c>
      <c r="BG26" s="33" t="e">
        <f t="shared" si="14"/>
        <v>#VALUE!</v>
      </c>
      <c r="BH26" s="33"/>
      <c r="BJ26" s="32"/>
      <c r="BK26" s="32"/>
      <c r="BL26" s="32"/>
      <c r="BM26" s="32"/>
      <c r="BN26" s="32"/>
      <c r="BP26" s="32"/>
      <c r="BQ26" s="32"/>
      <c r="BR26" s="32"/>
      <c r="BS26" s="32"/>
      <c r="BT26" s="32"/>
    </row>
    <row r="27" spans="1:72" outlineLevel="1" x14ac:dyDescent="0.2">
      <c r="A27" s="14"/>
      <c r="B27" s="14" t="s">
        <v>71</v>
      </c>
      <c r="C27" s="15" t="s">
        <v>232</v>
      </c>
      <c r="D27" s="14">
        <v>250294582</v>
      </c>
      <c r="E27" s="15">
        <v>10</v>
      </c>
      <c r="F27" s="15">
        <v>32</v>
      </c>
      <c r="G27" s="15">
        <v>30</v>
      </c>
      <c r="I27" s="16">
        <f t="shared" si="0"/>
        <v>5.351985</v>
      </c>
      <c r="J27" s="17">
        <f t="shared" si="1"/>
        <v>2.2808260388153347E-2</v>
      </c>
      <c r="K27" s="17">
        <f t="shared" si="2"/>
        <v>9.3106290251220858E-3</v>
      </c>
      <c r="L27" s="17">
        <f t="shared" si="3"/>
        <v>7.149655360897904E-3</v>
      </c>
      <c r="M27" s="17">
        <f t="shared" si="4"/>
        <v>1.3497631363031263E-2</v>
      </c>
      <c r="N27" s="14">
        <f t="shared" si="5"/>
        <v>2330400</v>
      </c>
      <c r="O27" s="17">
        <v>32</v>
      </c>
      <c r="P27" s="18">
        <v>24877828</v>
      </c>
      <c r="Q27" s="18">
        <v>777432.125</v>
      </c>
      <c r="R27" s="18">
        <v>18548.4375</v>
      </c>
      <c r="S27" s="19">
        <v>5708784</v>
      </c>
      <c r="T27" s="19">
        <v>1789520</v>
      </c>
      <c r="U27" s="19">
        <v>540880</v>
      </c>
      <c r="V27" s="19">
        <v>3378384</v>
      </c>
      <c r="W27" s="20">
        <v>69.298350531249994</v>
      </c>
      <c r="X27" s="20">
        <v>71.685933846875002</v>
      </c>
      <c r="Y27" s="20">
        <v>30.217126318750001</v>
      </c>
      <c r="Z27" s="20">
        <v>34.933064040624998</v>
      </c>
      <c r="AA27" s="20">
        <v>34.362973709374998</v>
      </c>
      <c r="AB27" s="21">
        <v>8381.6489999999994</v>
      </c>
      <c r="AC27" s="21">
        <v>0</v>
      </c>
      <c r="AD27" s="21">
        <v>80.471000000000004</v>
      </c>
      <c r="AE27" s="21">
        <v>0</v>
      </c>
      <c r="AG27" s="16" t="str">
        <f t="shared" si="6"/>
        <v>·</v>
      </c>
      <c r="AH27" s="17" t="str">
        <f t="shared" si="7"/>
        <v>·</v>
      </c>
      <c r="AI27" s="17" t="str">
        <f t="shared" si="8"/>
        <v>·</v>
      </c>
      <c r="AJ27" s="17" t="str">
        <f t="shared" si="9"/>
        <v>·</v>
      </c>
      <c r="AK27" s="17" t="str">
        <f t="shared" si="10"/>
        <v>·</v>
      </c>
      <c r="AL27" s="14" t="str">
        <f t="shared" si="11"/>
        <v/>
      </c>
      <c r="AM27" s="17">
        <v>32</v>
      </c>
      <c r="AN27" s="18"/>
      <c r="AO27" s="18"/>
      <c r="AP27" s="18"/>
      <c r="AQ27" s="19"/>
      <c r="AR27" s="19"/>
      <c r="AS27" s="19"/>
      <c r="AT27" s="19"/>
      <c r="AU27" s="20"/>
      <c r="AV27" s="20"/>
      <c r="AW27" s="20"/>
      <c r="AX27" s="20"/>
      <c r="AY27" s="20"/>
      <c r="AZ27" s="21"/>
      <c r="BA27" s="21"/>
      <c r="BB27" s="21"/>
      <c r="BC27" s="21"/>
      <c r="BE27" s="22" t="e">
        <f t="shared" si="12"/>
        <v>#VALUE!</v>
      </c>
      <c r="BF27" s="23" t="e">
        <f t="shared" si="13"/>
        <v>#DIV/0!</v>
      </c>
      <c r="BG27" s="23" t="e">
        <f t="shared" si="14"/>
        <v>#VALUE!</v>
      </c>
      <c r="BH27" s="23"/>
      <c r="BJ27" s="22"/>
      <c r="BK27" s="22"/>
      <c r="BL27" s="22"/>
      <c r="BM27" s="22"/>
      <c r="BN27" s="22"/>
      <c r="BP27" s="22"/>
      <c r="BQ27" s="22"/>
      <c r="BR27" s="22"/>
      <c r="BS27" s="22"/>
      <c r="BT27" s="22"/>
    </row>
    <row r="28" spans="1:72" outlineLevel="1" x14ac:dyDescent="0.2">
      <c r="A28" s="24"/>
      <c r="B28" s="24" t="s">
        <v>71</v>
      </c>
      <c r="C28" s="25" t="s">
        <v>233</v>
      </c>
      <c r="D28" s="24">
        <v>250294582</v>
      </c>
      <c r="E28" s="25">
        <v>10</v>
      </c>
      <c r="F28" s="25">
        <v>32</v>
      </c>
      <c r="G28" s="25">
        <v>30</v>
      </c>
      <c r="I28" s="26">
        <f t="shared" si="0"/>
        <v>10.337160000000001</v>
      </c>
      <c r="J28" s="27">
        <f t="shared" si="1"/>
        <v>4.4053306755157812E-2</v>
      </c>
      <c r="K28" s="27">
        <f t="shared" si="2"/>
        <v>1.3211248815605606E-2</v>
      </c>
      <c r="L28" s="27">
        <f t="shared" si="3"/>
        <v>1.1050275151381423E-2</v>
      </c>
      <c r="M28" s="27">
        <f t="shared" si="4"/>
        <v>3.0842057939552203E-2</v>
      </c>
      <c r="N28" s="24">
        <f t="shared" si="5"/>
        <v>3306704</v>
      </c>
      <c r="O28" s="27">
        <v>32</v>
      </c>
      <c r="P28" s="28">
        <v>25543425</v>
      </c>
      <c r="Q28" s="28">
        <v>798232.03125</v>
      </c>
      <c r="R28" s="28">
        <v>21050.96875</v>
      </c>
      <c r="S28" s="29">
        <v>11026304</v>
      </c>
      <c r="T28" s="29">
        <v>2765824</v>
      </c>
      <c r="U28" s="29">
        <v>540880</v>
      </c>
      <c r="V28" s="29">
        <v>7719600</v>
      </c>
      <c r="W28" s="30">
        <v>70.467179946875007</v>
      </c>
      <c r="X28" s="30">
        <v>72.998192703125</v>
      </c>
      <c r="Y28" s="30">
        <v>32.703928568750001</v>
      </c>
      <c r="Z28" s="30">
        <v>36.429733575</v>
      </c>
      <c r="AA28" s="30">
        <v>35.873121159375003</v>
      </c>
      <c r="AB28" s="31">
        <v>9490.0390000000007</v>
      </c>
      <c r="AC28" s="31">
        <v>0</v>
      </c>
      <c r="AD28" s="31">
        <v>84.361999999999995</v>
      </c>
      <c r="AE28" s="31">
        <v>0</v>
      </c>
      <c r="AG28" s="26" t="str">
        <f t="shared" si="6"/>
        <v>·</v>
      </c>
      <c r="AH28" s="27" t="str">
        <f t="shared" si="7"/>
        <v>·</v>
      </c>
      <c r="AI28" s="27" t="str">
        <f t="shared" si="8"/>
        <v>·</v>
      </c>
      <c r="AJ28" s="27" t="str">
        <f t="shared" si="9"/>
        <v>·</v>
      </c>
      <c r="AK28" s="27" t="str">
        <f t="shared" si="10"/>
        <v>·</v>
      </c>
      <c r="AL28" s="24" t="str">
        <f t="shared" si="11"/>
        <v/>
      </c>
      <c r="AM28" s="27">
        <v>32</v>
      </c>
      <c r="AN28" s="28"/>
      <c r="AO28" s="28"/>
      <c r="AP28" s="28"/>
      <c r="AQ28" s="29"/>
      <c r="AR28" s="29"/>
      <c r="AS28" s="29"/>
      <c r="AT28" s="29"/>
      <c r="AU28" s="30"/>
      <c r="AV28" s="30"/>
      <c r="AW28" s="30"/>
      <c r="AX28" s="30"/>
      <c r="AY28" s="30"/>
      <c r="AZ28" s="31"/>
      <c r="BA28" s="31"/>
      <c r="BB28" s="31"/>
      <c r="BC28" s="31"/>
      <c r="BE28" s="32" t="e">
        <f t="shared" si="12"/>
        <v>#VALUE!</v>
      </c>
      <c r="BF28" s="33" t="e">
        <f t="shared" si="13"/>
        <v>#DIV/0!</v>
      </c>
      <c r="BG28" s="33" t="e">
        <f t="shared" si="14"/>
        <v>#VALUE!</v>
      </c>
      <c r="BH28" s="33"/>
      <c r="BJ28" s="32"/>
      <c r="BK28" s="32"/>
      <c r="BL28" s="32"/>
      <c r="BM28" s="32"/>
      <c r="BN28" s="32"/>
      <c r="BP28" s="32"/>
      <c r="BQ28" s="32"/>
      <c r="BR28" s="32"/>
      <c r="BS28" s="32"/>
      <c r="BT28" s="32"/>
    </row>
    <row r="29" spans="1:72" outlineLevel="1" x14ac:dyDescent="0.2">
      <c r="A29" s="34"/>
      <c r="B29" s="34" t="s">
        <v>71</v>
      </c>
      <c r="C29" s="35" t="s">
        <v>234</v>
      </c>
      <c r="D29" s="34">
        <v>250294582</v>
      </c>
      <c r="E29" s="35">
        <v>10</v>
      </c>
      <c r="F29" s="35">
        <v>32</v>
      </c>
      <c r="G29" s="35">
        <v>30</v>
      </c>
      <c r="I29" s="36">
        <f t="shared" si="0"/>
        <v>23.876527500000002</v>
      </c>
      <c r="J29" s="37">
        <f t="shared" si="1"/>
        <v>0.10175328525489218</v>
      </c>
      <c r="K29" s="37">
        <f t="shared" si="2"/>
        <v>2.1624183618964631E-2</v>
      </c>
      <c r="L29" s="37">
        <f t="shared" si="3"/>
        <v>1.7256913695399129E-2</v>
      </c>
      <c r="M29" s="37">
        <f t="shared" si="4"/>
        <v>8.0129101635927541E-2</v>
      </c>
      <c r="N29" s="34">
        <f t="shared" si="5"/>
        <v>5412416</v>
      </c>
      <c r="O29" s="37">
        <v>32</v>
      </c>
      <c r="P29" s="38">
        <v>24566853</v>
      </c>
      <c r="Q29" s="38">
        <v>767714.15625</v>
      </c>
      <c r="R29" s="38">
        <v>9764.71875</v>
      </c>
      <c r="S29" s="39">
        <v>25468296</v>
      </c>
      <c r="T29" s="39">
        <v>4319312</v>
      </c>
      <c r="U29" s="39">
        <v>1093104</v>
      </c>
      <c r="V29" s="39">
        <v>20055880</v>
      </c>
      <c r="W29" s="40">
        <v>71.132261609375007</v>
      </c>
      <c r="X29" s="40">
        <v>74.873080118749996</v>
      </c>
      <c r="Y29" s="40">
        <v>35.729351559374997</v>
      </c>
      <c r="Z29" s="40">
        <v>38.365768009375003</v>
      </c>
      <c r="AA29" s="40">
        <v>37.75333574375</v>
      </c>
      <c r="AB29" s="41">
        <v>10626.257</v>
      </c>
      <c r="AC29" s="41">
        <v>0</v>
      </c>
      <c r="AD29" s="41">
        <v>82.872</v>
      </c>
      <c r="AE29" s="41">
        <v>0</v>
      </c>
      <c r="AG29" s="36" t="str">
        <f t="shared" si="6"/>
        <v>·</v>
      </c>
      <c r="AH29" s="37" t="str">
        <f t="shared" si="7"/>
        <v>·</v>
      </c>
      <c r="AI29" s="37" t="str">
        <f t="shared" si="8"/>
        <v>·</v>
      </c>
      <c r="AJ29" s="37" t="str">
        <f t="shared" si="9"/>
        <v>·</v>
      </c>
      <c r="AK29" s="37" t="str">
        <f t="shared" si="10"/>
        <v>·</v>
      </c>
      <c r="AL29" s="34" t="str">
        <f t="shared" si="11"/>
        <v/>
      </c>
      <c r="AM29" s="37">
        <v>32</v>
      </c>
      <c r="AN29" s="38"/>
      <c r="AO29" s="38"/>
      <c r="AP29" s="38"/>
      <c r="AQ29" s="39"/>
      <c r="AR29" s="39"/>
      <c r="AS29" s="39"/>
      <c r="AT29" s="39"/>
      <c r="AU29" s="40"/>
      <c r="AV29" s="40"/>
      <c r="AW29" s="40"/>
      <c r="AX29" s="40"/>
      <c r="AY29" s="40"/>
      <c r="AZ29" s="41"/>
      <c r="BA29" s="41"/>
      <c r="BB29" s="41"/>
      <c r="BC29" s="41"/>
      <c r="BE29" s="42" t="e">
        <f t="shared" si="12"/>
        <v>#VALUE!</v>
      </c>
      <c r="BF29" s="43" t="e">
        <f t="shared" si="13"/>
        <v>#DIV/0!</v>
      </c>
      <c r="BG29" s="43" t="e">
        <f t="shared" si="14"/>
        <v>#VALUE!</v>
      </c>
      <c r="BH29" s="43"/>
      <c r="BJ29" s="42"/>
      <c r="BK29" s="42"/>
      <c r="BL29" s="42"/>
      <c r="BM29" s="42"/>
      <c r="BN29" s="42"/>
      <c r="BP29" s="42"/>
      <c r="BQ29" s="42"/>
      <c r="BR29" s="42"/>
      <c r="BS29" s="42"/>
      <c r="BT29" s="42"/>
    </row>
    <row r="30" spans="1:72" x14ac:dyDescent="0.2">
      <c r="A30" s="24" t="s">
        <v>236</v>
      </c>
      <c r="B30" s="24" t="s">
        <v>75</v>
      </c>
      <c r="C30" s="25" t="s">
        <v>230</v>
      </c>
      <c r="D30" s="24">
        <v>375422539</v>
      </c>
      <c r="E30" s="25">
        <v>11</v>
      </c>
      <c r="F30" s="25">
        <v>32</v>
      </c>
      <c r="G30" s="25">
        <v>30</v>
      </c>
      <c r="I30" s="26">
        <f t="shared" si="0"/>
        <v>3.6392175</v>
      </c>
      <c r="J30" s="27">
        <f t="shared" si="1"/>
        <v>1.0339901302516096E-2</v>
      </c>
      <c r="K30" s="27">
        <f t="shared" si="2"/>
        <v>8.2005944773603477E-3</v>
      </c>
      <c r="L30" s="27">
        <f t="shared" si="3"/>
        <v>5.1498666146946497E-3</v>
      </c>
      <c r="M30" s="27">
        <f t="shared" si="4"/>
        <v>2.1393068251557481E-3</v>
      </c>
      <c r="N30" s="24">
        <f t="shared" si="5"/>
        <v>3078688</v>
      </c>
      <c r="O30" s="27">
        <v>32</v>
      </c>
      <c r="P30" s="28">
        <v>86274361</v>
      </c>
      <c r="Q30" s="28">
        <v>2696073.78125</v>
      </c>
      <c r="R30" s="28">
        <v>32982.90625</v>
      </c>
      <c r="S30" s="29">
        <v>3881832</v>
      </c>
      <c r="T30" s="29">
        <v>1933376</v>
      </c>
      <c r="U30" s="29">
        <v>1145312</v>
      </c>
      <c r="V30" s="29">
        <v>803144</v>
      </c>
      <c r="W30" s="30">
        <v>73.642505190625002</v>
      </c>
      <c r="X30" s="30">
        <v>75.684415700000002</v>
      </c>
      <c r="Y30" s="30">
        <v>33.211276031250001</v>
      </c>
      <c r="Z30" s="30">
        <v>41.882458834375001</v>
      </c>
      <c r="AA30" s="30">
        <v>43.424573993750002</v>
      </c>
      <c r="AB30" s="31">
        <v>25424.637999999999</v>
      </c>
      <c r="AC30" s="31">
        <v>0</v>
      </c>
      <c r="AD30" s="31">
        <v>278.16899999999998</v>
      </c>
      <c r="AE30" s="31">
        <v>0</v>
      </c>
      <c r="AG30" s="26" t="str">
        <f t="shared" si="6"/>
        <v>·</v>
      </c>
      <c r="AH30" s="27" t="str">
        <f t="shared" si="7"/>
        <v>·</v>
      </c>
      <c r="AI30" s="27" t="str">
        <f t="shared" si="8"/>
        <v>·</v>
      </c>
      <c r="AJ30" s="27" t="str">
        <f t="shared" si="9"/>
        <v>·</v>
      </c>
      <c r="AK30" s="27" t="str">
        <f t="shared" si="10"/>
        <v>·</v>
      </c>
      <c r="AL30" s="24" t="str">
        <f t="shared" si="11"/>
        <v/>
      </c>
      <c r="AM30" s="27">
        <v>32</v>
      </c>
      <c r="AN30" s="28"/>
      <c r="AO30" s="28"/>
      <c r="AP30" s="28"/>
      <c r="AQ30" s="29"/>
      <c r="AR30" s="29"/>
      <c r="AS30" s="29"/>
      <c r="AT30" s="29"/>
      <c r="AU30" s="30"/>
      <c r="AV30" s="30"/>
      <c r="AW30" s="30"/>
      <c r="AX30" s="30"/>
      <c r="AY30" s="30"/>
      <c r="AZ30" s="31"/>
      <c r="BA30" s="31"/>
      <c r="BB30" s="31"/>
      <c r="BC30" s="31"/>
      <c r="BE30" s="32" t="e">
        <f t="shared" si="12"/>
        <v>#VALUE!</v>
      </c>
      <c r="BF30" s="33" t="e">
        <f t="shared" si="13"/>
        <v>#DIV/0!</v>
      </c>
      <c r="BG30" s="33" t="e">
        <f t="shared" si="14"/>
        <v>#VALUE!</v>
      </c>
      <c r="BH30" s="33" t="e">
        <f t="array" ref="BH30">AVERAGE(AL30:AL34/AQ30:AQ34) - AVERAGE(N30:N34/S30:S34)</f>
        <v>#VALUE!</v>
      </c>
      <c r="BJ30" s="32" t="str">
        <f>IF( OR(ISBLANK(N30:N34),ISBLANK(AL30:AL34), ISBLANK(W30:W34),ISBLANK(AU30:AU34)), "·", bdRateExtend( N30:N34,W30:W34, AL30:AL34,AU30:AU34))</f>
        <v>·</v>
      </c>
      <c r="BK30" s="32" t="str">
        <f>IF( OR(ISBLANK(N30:N34),ISBLANK(AL30:AL34), ISBLANK(X30:X34),ISBLANK(AV30:AV34)), "·", bdRateExtend( N30:N34,X30:X34, AL30:AL34,AV30:AV34))</f>
        <v>·</v>
      </c>
      <c r="BL30" s="32" t="str">
        <f>IF( OR(ISBLANK(V30:V34),ISBLANK(AT30:AT34), ISBLANK(Y30:Y34),ISBLANK(AW30:AW34)), "·", bdRateExtend( V30:V34,Y30:Y34, AT30:AT34,AW30:AW34))</f>
        <v>·</v>
      </c>
      <c r="BM30" s="32" t="str">
        <f>IF( OR(ISBLANK(V30:V34),ISBLANK(AT30:AT34), ISBLANK(Z30:Z34),ISBLANK(AX30:AX34)), "·", bdRateExtend( V30:V34,Z30:Z34, AT30:AT34,AX30:AX34))</f>
        <v>·</v>
      </c>
      <c r="BN30" s="32" t="str">
        <f>IF( OR(ISBLANK(V30:V34),ISBLANK(AT30:AT34), ISBLANK(AA30:AA34),ISBLANK(AY30:AY34)), "·", bdRateExtend( V30:V34,AA30:AA34, AT30:AT34,AY30:AY34))</f>
        <v>·</v>
      </c>
      <c r="BP30" s="32" t="str">
        <f>IF( OR(ISBLANK(S30:S34),ISBLANK(AQ30:AQ34), ISBLANK(W30:W34),ISBLANK(AU30:AU34)), "·", bdRateExtend( S30:S34,W30:W34, AQ30:AQ34,AU30:AU34))</f>
        <v>·</v>
      </c>
      <c r="BQ30" s="32" t="str">
        <f>IF( OR(ISBLANK(S30:S34),ISBLANK(AQ30:AQ34), ISBLANK(X30:X34),ISBLANK(AV30:AV34)), "·", bdRateExtend( S30:S34,X30:X34, AQ30:AQ34,AV30:AV34))</f>
        <v>·</v>
      </c>
      <c r="BR30" s="32" t="str">
        <f>IF( OR(ISBLANK(S30:S34),ISBLANK(AQ30:AQ34), ISBLANK(Y30:Y34),ISBLANK(AW30:AW34)), "·", bdRateExtend( S30:S34,Y30:Y34, AQ30:AQ34,AW30:AW34))</f>
        <v>·</v>
      </c>
      <c r="BS30" s="32" t="str">
        <f>IF( OR(ISBLANK(S30:S34),ISBLANK(AQ30:AQ34), ISBLANK(Z30:Z34),ISBLANK(AX30:AX34)), "·", bdRateExtend( S30:S34,Z30:Z34, AQ30:AQ34,AX30:AX34))</f>
        <v>·</v>
      </c>
      <c r="BT30" s="32" t="str">
        <f>IF( OR(ISBLANK(S30:S34),ISBLANK(AQ30:AQ34), ISBLANK(AA30:AA34),ISBLANK(AY30:AY34)), "·", bdRateExtend( S30:S34,AA30:AA34, AQ30:AQ34,AY30:AY34))</f>
        <v>·</v>
      </c>
    </row>
    <row r="31" spans="1:72" outlineLevel="1" x14ac:dyDescent="0.2">
      <c r="A31" s="14"/>
      <c r="B31" s="14" t="s">
        <v>75</v>
      </c>
      <c r="C31" s="15" t="s">
        <v>231</v>
      </c>
      <c r="D31" s="14">
        <v>375422539</v>
      </c>
      <c r="E31" s="15">
        <v>11</v>
      </c>
      <c r="F31" s="15">
        <v>32</v>
      </c>
      <c r="G31" s="15">
        <v>30</v>
      </c>
      <c r="I31" s="16">
        <f t="shared" si="0"/>
        <v>4.8636675</v>
      </c>
      <c r="J31" s="17">
        <f t="shared" si="1"/>
        <v>1.3818861312426423E-2</v>
      </c>
      <c r="K31" s="17">
        <f t="shared" si="2"/>
        <v>1.0126467127217421E-2</v>
      </c>
      <c r="L31" s="17">
        <f t="shared" si="3"/>
        <v>7.0757392645517218E-3</v>
      </c>
      <c r="M31" s="17">
        <f t="shared" si="4"/>
        <v>3.6923941852090025E-3</v>
      </c>
      <c r="N31" s="14">
        <f t="shared" si="5"/>
        <v>3801704</v>
      </c>
      <c r="O31" s="17">
        <v>32</v>
      </c>
      <c r="P31" s="18">
        <v>90475079</v>
      </c>
      <c r="Q31" s="18">
        <v>2827346.21875</v>
      </c>
      <c r="R31" s="18">
        <v>40017.0625</v>
      </c>
      <c r="S31" s="19">
        <v>5187912</v>
      </c>
      <c r="T31" s="19">
        <v>2656392</v>
      </c>
      <c r="U31" s="19">
        <v>1145312</v>
      </c>
      <c r="V31" s="19">
        <v>1386208</v>
      </c>
      <c r="W31" s="20">
        <v>75.233781343749996</v>
      </c>
      <c r="X31" s="20">
        <v>77.555175734374998</v>
      </c>
      <c r="Y31" s="20">
        <v>35.169037521874998</v>
      </c>
      <c r="Z31" s="20">
        <v>42.446699262499997</v>
      </c>
      <c r="AA31" s="20">
        <v>44.624913062499999</v>
      </c>
      <c r="AB31" s="21">
        <v>26829.117999999999</v>
      </c>
      <c r="AC31" s="21">
        <v>0</v>
      </c>
      <c r="AD31" s="21">
        <v>287.363</v>
      </c>
      <c r="AE31" s="21">
        <v>0</v>
      </c>
      <c r="AG31" s="16" t="str">
        <f t="shared" si="6"/>
        <v>·</v>
      </c>
      <c r="AH31" s="17" t="str">
        <f t="shared" si="7"/>
        <v>·</v>
      </c>
      <c r="AI31" s="17" t="str">
        <f t="shared" si="8"/>
        <v>·</v>
      </c>
      <c r="AJ31" s="17" t="str">
        <f t="shared" si="9"/>
        <v>·</v>
      </c>
      <c r="AK31" s="17" t="str">
        <f t="shared" si="10"/>
        <v>·</v>
      </c>
      <c r="AL31" s="14" t="str">
        <f t="shared" si="11"/>
        <v/>
      </c>
      <c r="AM31" s="17">
        <v>32</v>
      </c>
      <c r="AN31" s="18"/>
      <c r="AO31" s="18"/>
      <c r="AP31" s="18"/>
      <c r="AQ31" s="19"/>
      <c r="AR31" s="19"/>
      <c r="AS31" s="19"/>
      <c r="AT31" s="19"/>
      <c r="AU31" s="20"/>
      <c r="AV31" s="20"/>
      <c r="AW31" s="20"/>
      <c r="AX31" s="20"/>
      <c r="AY31" s="20"/>
      <c r="AZ31" s="21"/>
      <c r="BA31" s="21"/>
      <c r="BB31" s="21"/>
      <c r="BC31" s="21"/>
      <c r="BE31" s="22" t="e">
        <f t="shared" si="12"/>
        <v>#VALUE!</v>
      </c>
      <c r="BF31" s="23" t="e">
        <f t="shared" si="13"/>
        <v>#DIV/0!</v>
      </c>
      <c r="BG31" s="23" t="e">
        <f t="shared" si="14"/>
        <v>#VALUE!</v>
      </c>
      <c r="BH31" s="23"/>
      <c r="BJ31" s="22"/>
      <c r="BK31" s="22"/>
      <c r="BL31" s="22"/>
      <c r="BM31" s="22"/>
      <c r="BN31" s="22"/>
      <c r="BP31" s="22"/>
      <c r="BQ31" s="22"/>
      <c r="BR31" s="22"/>
      <c r="BS31" s="22"/>
      <c r="BT31" s="22"/>
    </row>
    <row r="32" spans="1:72" outlineLevel="1" x14ac:dyDescent="0.2">
      <c r="A32" s="24"/>
      <c r="B32" s="24" t="s">
        <v>75</v>
      </c>
      <c r="C32" s="25" t="s">
        <v>232</v>
      </c>
      <c r="D32" s="24">
        <v>375422539</v>
      </c>
      <c r="E32" s="25">
        <v>11</v>
      </c>
      <c r="F32" s="25">
        <v>32</v>
      </c>
      <c r="G32" s="25">
        <v>30</v>
      </c>
      <c r="I32" s="26">
        <f t="shared" si="0"/>
        <v>7.0476150000000004</v>
      </c>
      <c r="J32" s="27">
        <f t="shared" si="1"/>
        <v>2.0023986892273402E-2</v>
      </c>
      <c r="K32" s="27">
        <f t="shared" si="2"/>
        <v>1.2996832883280884E-2</v>
      </c>
      <c r="L32" s="27">
        <f t="shared" si="3"/>
        <v>9.9461050206151851E-3</v>
      </c>
      <c r="M32" s="27">
        <f t="shared" si="4"/>
        <v>7.0271540089925184E-3</v>
      </c>
      <c r="N32" s="24">
        <f t="shared" si="5"/>
        <v>4879304</v>
      </c>
      <c r="O32" s="27">
        <v>32</v>
      </c>
      <c r="P32" s="28">
        <v>91576045</v>
      </c>
      <c r="Q32" s="28">
        <v>2861751.40625</v>
      </c>
      <c r="R32" s="28">
        <v>42569.84375</v>
      </c>
      <c r="S32" s="29">
        <v>7517456</v>
      </c>
      <c r="T32" s="29">
        <v>3733992</v>
      </c>
      <c r="U32" s="29">
        <v>1145312</v>
      </c>
      <c r="V32" s="29">
        <v>2638152</v>
      </c>
      <c r="W32" s="30">
        <v>76.447180703124999</v>
      </c>
      <c r="X32" s="30">
        <v>79.107987359375002</v>
      </c>
      <c r="Y32" s="30">
        <v>36.962487487499999</v>
      </c>
      <c r="Z32" s="30">
        <v>43.093815046875001</v>
      </c>
      <c r="AA32" s="30">
        <v>46.0927802</v>
      </c>
      <c r="AB32" s="31">
        <v>27603.084999999999</v>
      </c>
      <c r="AC32" s="31">
        <v>0</v>
      </c>
      <c r="AD32" s="31">
        <v>289.99099999999999</v>
      </c>
      <c r="AE32" s="31">
        <v>0</v>
      </c>
      <c r="AG32" s="26" t="str">
        <f t="shared" si="6"/>
        <v>·</v>
      </c>
      <c r="AH32" s="27" t="str">
        <f t="shared" si="7"/>
        <v>·</v>
      </c>
      <c r="AI32" s="27" t="str">
        <f t="shared" si="8"/>
        <v>·</v>
      </c>
      <c r="AJ32" s="27" t="str">
        <f t="shared" si="9"/>
        <v>·</v>
      </c>
      <c r="AK32" s="27" t="str">
        <f t="shared" si="10"/>
        <v>·</v>
      </c>
      <c r="AL32" s="24" t="str">
        <f t="shared" si="11"/>
        <v/>
      </c>
      <c r="AM32" s="27">
        <v>32</v>
      </c>
      <c r="AN32" s="28"/>
      <c r="AO32" s="28"/>
      <c r="AP32" s="28"/>
      <c r="AQ32" s="29"/>
      <c r="AR32" s="29"/>
      <c r="AS32" s="29"/>
      <c r="AT32" s="29"/>
      <c r="AU32" s="30"/>
      <c r="AV32" s="30"/>
      <c r="AW32" s="30"/>
      <c r="AX32" s="30"/>
      <c r="AY32" s="30"/>
      <c r="AZ32" s="31"/>
      <c r="BA32" s="31"/>
      <c r="BB32" s="31"/>
      <c r="BC32" s="31"/>
      <c r="BE32" s="32" t="e">
        <f t="shared" si="12"/>
        <v>#VALUE!</v>
      </c>
      <c r="BF32" s="33" t="e">
        <f t="shared" si="13"/>
        <v>#DIV/0!</v>
      </c>
      <c r="BG32" s="33" t="e">
        <f t="shared" si="14"/>
        <v>#VALUE!</v>
      </c>
      <c r="BH32" s="33"/>
      <c r="BJ32" s="32"/>
      <c r="BK32" s="32"/>
      <c r="BL32" s="32"/>
      <c r="BM32" s="32"/>
      <c r="BN32" s="32"/>
      <c r="BP32" s="32"/>
      <c r="BQ32" s="32"/>
      <c r="BR32" s="32"/>
      <c r="BS32" s="32"/>
      <c r="BT32" s="32"/>
    </row>
    <row r="33" spans="1:72" outlineLevel="1" x14ac:dyDescent="0.2">
      <c r="A33" s="14"/>
      <c r="B33" s="14" t="s">
        <v>75</v>
      </c>
      <c r="C33" s="15" t="s">
        <v>233</v>
      </c>
      <c r="D33" s="14">
        <v>375422539</v>
      </c>
      <c r="E33" s="15">
        <v>11</v>
      </c>
      <c r="F33" s="15">
        <v>32</v>
      </c>
      <c r="G33" s="15">
        <v>30</v>
      </c>
      <c r="I33" s="16">
        <f t="shared" si="0"/>
        <v>11.819122500000001</v>
      </c>
      <c r="J33" s="17">
        <f t="shared" si="1"/>
        <v>3.3580999248422852E-2</v>
      </c>
      <c r="K33" s="17">
        <f t="shared" si="2"/>
        <v>1.8243592987899963E-2</v>
      </c>
      <c r="L33" s="17">
        <f t="shared" si="3"/>
        <v>1.5192865125234264E-2</v>
      </c>
      <c r="M33" s="17">
        <f t="shared" si="4"/>
        <v>1.5337406260522893E-2</v>
      </c>
      <c r="N33" s="14">
        <f t="shared" si="5"/>
        <v>6849056</v>
      </c>
      <c r="O33" s="17">
        <v>32</v>
      </c>
      <c r="P33" s="18">
        <v>93857895</v>
      </c>
      <c r="Q33" s="18">
        <v>2933059.21875</v>
      </c>
      <c r="R33" s="18">
        <v>47472.0625</v>
      </c>
      <c r="S33" s="19">
        <v>12607064</v>
      </c>
      <c r="T33" s="19">
        <v>5703744</v>
      </c>
      <c r="U33" s="19">
        <v>1145312</v>
      </c>
      <c r="V33" s="19">
        <v>5758008</v>
      </c>
      <c r="W33" s="20">
        <v>77.563310931250001</v>
      </c>
      <c r="X33" s="20">
        <v>80.266202740625005</v>
      </c>
      <c r="Y33" s="20">
        <v>38.705722471874999</v>
      </c>
      <c r="Z33" s="20">
        <v>43.681824325000001</v>
      </c>
      <c r="AA33" s="20">
        <v>47.368152040624999</v>
      </c>
      <c r="AB33" s="21">
        <v>29013.327000000001</v>
      </c>
      <c r="AC33" s="21">
        <v>0</v>
      </c>
      <c r="AD33" s="21">
        <v>297.00799999999998</v>
      </c>
      <c r="AE33" s="21">
        <v>0</v>
      </c>
      <c r="AG33" s="16" t="str">
        <f t="shared" si="6"/>
        <v>·</v>
      </c>
      <c r="AH33" s="17" t="str">
        <f t="shared" si="7"/>
        <v>·</v>
      </c>
      <c r="AI33" s="17" t="str">
        <f t="shared" si="8"/>
        <v>·</v>
      </c>
      <c r="AJ33" s="17" t="str">
        <f t="shared" si="9"/>
        <v>·</v>
      </c>
      <c r="AK33" s="17" t="str">
        <f t="shared" si="10"/>
        <v>·</v>
      </c>
      <c r="AL33" s="14" t="str">
        <f t="shared" si="11"/>
        <v/>
      </c>
      <c r="AM33" s="17">
        <v>32</v>
      </c>
      <c r="AN33" s="18"/>
      <c r="AO33" s="18"/>
      <c r="AP33" s="18"/>
      <c r="AQ33" s="19"/>
      <c r="AR33" s="19"/>
      <c r="AS33" s="19"/>
      <c r="AT33" s="19"/>
      <c r="AU33" s="20"/>
      <c r="AV33" s="20"/>
      <c r="AW33" s="20"/>
      <c r="AX33" s="20"/>
      <c r="AY33" s="20"/>
      <c r="AZ33" s="21"/>
      <c r="BA33" s="21"/>
      <c r="BB33" s="21"/>
      <c r="BC33" s="21"/>
      <c r="BE33" s="22" t="e">
        <f t="shared" si="12"/>
        <v>#VALUE!</v>
      </c>
      <c r="BF33" s="23" t="e">
        <f t="shared" si="13"/>
        <v>#DIV/0!</v>
      </c>
      <c r="BG33" s="23" t="e">
        <f t="shared" si="14"/>
        <v>#VALUE!</v>
      </c>
      <c r="BH33" s="23"/>
      <c r="BJ33" s="22"/>
      <c r="BK33" s="22"/>
      <c r="BL33" s="22"/>
      <c r="BM33" s="22"/>
      <c r="BN33" s="22"/>
      <c r="BP33" s="22"/>
      <c r="BQ33" s="22"/>
      <c r="BR33" s="22"/>
      <c r="BS33" s="22"/>
      <c r="BT33" s="22"/>
    </row>
    <row r="34" spans="1:72" outlineLevel="1" x14ac:dyDescent="0.2">
      <c r="A34" s="24"/>
      <c r="B34" s="44" t="s">
        <v>75</v>
      </c>
      <c r="C34" s="45" t="s">
        <v>234</v>
      </c>
      <c r="D34" s="44">
        <v>375422539</v>
      </c>
      <c r="E34" s="45">
        <v>11</v>
      </c>
      <c r="F34" s="45">
        <v>32</v>
      </c>
      <c r="G34" s="45">
        <v>30</v>
      </c>
      <c r="I34" s="46">
        <f t="shared" si="0"/>
        <v>24.369135</v>
      </c>
      <c r="J34" s="47">
        <f t="shared" si="1"/>
        <v>6.9238634604194604E-2</v>
      </c>
      <c r="K34" s="47">
        <f t="shared" si="2"/>
        <v>3.0644127096482079E-2</v>
      </c>
      <c r="L34" s="47">
        <f t="shared" si="3"/>
        <v>2.4322567377873923E-2</v>
      </c>
      <c r="M34" s="47">
        <f t="shared" si="4"/>
        <v>3.8594507507712532E-2</v>
      </c>
      <c r="N34" s="44">
        <f t="shared" si="5"/>
        <v>11504496</v>
      </c>
      <c r="O34" s="47">
        <v>32</v>
      </c>
      <c r="P34" s="48">
        <v>91982225</v>
      </c>
      <c r="Q34" s="48">
        <v>2874444.53125</v>
      </c>
      <c r="R34" s="48">
        <v>18690.34375</v>
      </c>
      <c r="S34" s="49">
        <v>25993744</v>
      </c>
      <c r="T34" s="49">
        <v>9131240</v>
      </c>
      <c r="U34" s="49">
        <v>2373256</v>
      </c>
      <c r="V34" s="49">
        <v>14489248</v>
      </c>
      <c r="W34" s="50">
        <v>78.474548396874994</v>
      </c>
      <c r="X34" s="50">
        <v>81.899312637500003</v>
      </c>
      <c r="Y34" s="50">
        <v>40.490654706249998</v>
      </c>
      <c r="Z34" s="50">
        <v>44.366055043750002</v>
      </c>
      <c r="AA34" s="50">
        <v>48.777445134375</v>
      </c>
      <c r="AB34" s="51">
        <v>31285.298999999999</v>
      </c>
      <c r="AC34" s="51">
        <v>0</v>
      </c>
      <c r="AD34" s="51">
        <v>297.19200000000001</v>
      </c>
      <c r="AE34" s="51">
        <v>0</v>
      </c>
      <c r="AG34" s="46" t="str">
        <f t="shared" si="6"/>
        <v>·</v>
      </c>
      <c r="AH34" s="47" t="str">
        <f t="shared" si="7"/>
        <v>·</v>
      </c>
      <c r="AI34" s="47" t="str">
        <f t="shared" si="8"/>
        <v>·</v>
      </c>
      <c r="AJ34" s="47" t="str">
        <f t="shared" si="9"/>
        <v>·</v>
      </c>
      <c r="AK34" s="47" t="str">
        <f t="shared" si="10"/>
        <v>·</v>
      </c>
      <c r="AL34" s="44" t="str">
        <f t="shared" si="11"/>
        <v/>
      </c>
      <c r="AM34" s="47">
        <v>32</v>
      </c>
      <c r="AN34" s="48"/>
      <c r="AO34" s="48"/>
      <c r="AP34" s="48"/>
      <c r="AQ34" s="49"/>
      <c r="AR34" s="49"/>
      <c r="AS34" s="49"/>
      <c r="AT34" s="49"/>
      <c r="AU34" s="50"/>
      <c r="AV34" s="50"/>
      <c r="AW34" s="50"/>
      <c r="AX34" s="50"/>
      <c r="AY34" s="50"/>
      <c r="AZ34" s="51"/>
      <c r="BA34" s="51"/>
      <c r="BB34" s="51"/>
      <c r="BC34" s="51"/>
      <c r="BE34" s="52" t="e">
        <f t="shared" si="12"/>
        <v>#VALUE!</v>
      </c>
      <c r="BF34" s="53" t="e">
        <f t="shared" si="13"/>
        <v>#DIV/0!</v>
      </c>
      <c r="BG34" s="53" t="e">
        <f t="shared" si="14"/>
        <v>#VALUE!</v>
      </c>
      <c r="BH34" s="53"/>
      <c r="BJ34" s="52"/>
      <c r="BK34" s="52"/>
      <c r="BL34" s="52"/>
      <c r="BM34" s="52"/>
      <c r="BN34" s="52"/>
      <c r="BP34" s="52"/>
      <c r="BQ34" s="52"/>
      <c r="BR34" s="52"/>
      <c r="BS34" s="52"/>
      <c r="BT34" s="52"/>
    </row>
    <row r="35" spans="1:72" x14ac:dyDescent="0.2">
      <c r="A35" s="14"/>
      <c r="B35" s="14" t="s">
        <v>80</v>
      </c>
      <c r="C35" s="15" t="s">
        <v>230</v>
      </c>
      <c r="D35" s="14">
        <v>333190689</v>
      </c>
      <c r="E35" s="15">
        <v>11</v>
      </c>
      <c r="F35" s="15">
        <v>32</v>
      </c>
      <c r="G35" s="15">
        <v>30</v>
      </c>
      <c r="I35" s="16">
        <f t="shared" si="0"/>
        <v>4.3285650000000002</v>
      </c>
      <c r="J35" s="17">
        <f t="shared" si="1"/>
        <v>1.3857338012227587E-2</v>
      </c>
      <c r="K35" s="17">
        <f t="shared" si="2"/>
        <v>1.0578999102823068E-2</v>
      </c>
      <c r="L35" s="17">
        <f t="shared" si="3"/>
        <v>6.7758676173570983E-3</v>
      </c>
      <c r="M35" s="17">
        <f t="shared" si="4"/>
        <v>3.2783389094045183E-3</v>
      </c>
      <c r="N35" s="14">
        <f t="shared" si="5"/>
        <v>3524824</v>
      </c>
      <c r="O35" s="17">
        <v>32</v>
      </c>
      <c r="P35" s="18">
        <v>75026394</v>
      </c>
      <c r="Q35" s="18">
        <v>2344574.8125</v>
      </c>
      <c r="R35" s="18">
        <v>30516.15625</v>
      </c>
      <c r="S35" s="19">
        <v>4617136</v>
      </c>
      <c r="T35" s="19">
        <v>2257656</v>
      </c>
      <c r="U35" s="19">
        <v>1267168</v>
      </c>
      <c r="V35" s="19">
        <v>1092312</v>
      </c>
      <c r="W35" s="20">
        <v>73.205769121874994</v>
      </c>
      <c r="X35" s="20">
        <v>75.384728556249996</v>
      </c>
      <c r="Y35" s="20">
        <v>31.805299196875001</v>
      </c>
      <c r="Z35" s="20">
        <v>42.135790453124997</v>
      </c>
      <c r="AA35" s="20">
        <v>43.117066171875003</v>
      </c>
      <c r="AB35" s="21">
        <v>23606.891</v>
      </c>
      <c r="AC35" s="21">
        <v>0</v>
      </c>
      <c r="AD35" s="21">
        <v>239.328</v>
      </c>
      <c r="AE35" s="21">
        <v>0</v>
      </c>
      <c r="AG35" s="16" t="str">
        <f t="shared" si="6"/>
        <v>·</v>
      </c>
      <c r="AH35" s="17" t="str">
        <f t="shared" si="7"/>
        <v>·</v>
      </c>
      <c r="AI35" s="17" t="str">
        <f t="shared" si="8"/>
        <v>·</v>
      </c>
      <c r="AJ35" s="17" t="str">
        <f t="shared" si="9"/>
        <v>·</v>
      </c>
      <c r="AK35" s="17" t="str">
        <f t="shared" si="10"/>
        <v>·</v>
      </c>
      <c r="AL35" s="14" t="str">
        <f t="shared" si="11"/>
        <v/>
      </c>
      <c r="AM35" s="17">
        <v>32</v>
      </c>
      <c r="AN35" s="18"/>
      <c r="AO35" s="18"/>
      <c r="AP35" s="18"/>
      <c r="AQ35" s="19"/>
      <c r="AR35" s="19"/>
      <c r="AS35" s="19"/>
      <c r="AT35" s="19"/>
      <c r="AU35" s="20"/>
      <c r="AV35" s="20"/>
      <c r="AW35" s="20"/>
      <c r="AX35" s="20"/>
      <c r="AY35" s="20"/>
      <c r="AZ35" s="21"/>
      <c r="BA35" s="21"/>
      <c r="BB35" s="21"/>
      <c r="BC35" s="21"/>
      <c r="BE35" s="22" t="e">
        <f t="shared" si="12"/>
        <v>#VALUE!</v>
      </c>
      <c r="BF35" s="23" t="e">
        <f t="shared" si="13"/>
        <v>#DIV/0!</v>
      </c>
      <c r="BG35" s="23" t="e">
        <f t="shared" si="14"/>
        <v>#VALUE!</v>
      </c>
      <c r="BH35" s="23" t="e">
        <f t="array" ref="BH35">AVERAGE(AL35:AL39/AQ35:AQ39) - AVERAGE(N35:N39/S35:S39)</f>
        <v>#VALUE!</v>
      </c>
      <c r="BJ35" s="22" t="str">
        <f>IF( OR(ISBLANK(N35:N39),ISBLANK(AL35:AL39), ISBLANK(W35:W39),ISBLANK(AU35:AU39)), "·", bdRateExtend( N35:N39,W35:W39, AL35:AL39,AU35:AU39))</f>
        <v>·</v>
      </c>
      <c r="BK35" s="22" t="str">
        <f>IF( OR(ISBLANK(N35:N39),ISBLANK(AL35:AL39), ISBLANK(X35:X39),ISBLANK(AV35:AV39)), "·", bdRateExtend( N35:N39,X35:X39, AL35:AL39,AV35:AV39))</f>
        <v>·</v>
      </c>
      <c r="BL35" s="22" t="str">
        <f>IF( OR(ISBLANK(V35:V39),ISBLANK(AT35:AT39), ISBLANK(Y35:Y39),ISBLANK(AW35:AW39)), "·", bdRateExtend( V35:V39,Y35:Y39, AT35:AT39,AW35:AW39))</f>
        <v>·</v>
      </c>
      <c r="BM35" s="22" t="str">
        <f>IF( OR(ISBLANK(V35:V39),ISBLANK(AT35:AT39), ISBLANK(Z35:Z39),ISBLANK(AX35:AX39)), "·", bdRateExtend( V35:V39,Z35:Z39, AT35:AT39,AX35:AX39))</f>
        <v>·</v>
      </c>
      <c r="BN35" s="22" t="str">
        <f>IF( OR(ISBLANK(V35:V39),ISBLANK(AT35:AT39), ISBLANK(AA35:AA39),ISBLANK(AY35:AY39)), "·", bdRateExtend( V35:V39,AA35:AA39, AT35:AT39,AY35:AY39))</f>
        <v>·</v>
      </c>
      <c r="BP35" s="22" t="str">
        <f>IF( OR(ISBLANK(S35:S39),ISBLANK(AQ35:AQ39), ISBLANK(W35:W39),ISBLANK(AU35:AU39)), "·", bdRateExtend( S35:S39,W35:W39, AQ35:AQ39,AU35:AU39))</f>
        <v>·</v>
      </c>
      <c r="BQ35" s="22" t="str">
        <f>IF( OR(ISBLANK(S35:S39),ISBLANK(AQ35:AQ39), ISBLANK(X35:X39),ISBLANK(AV35:AV39)), "·", bdRateExtend( S35:S39,X35:X39, AQ35:AQ39,AV35:AV39))</f>
        <v>·</v>
      </c>
      <c r="BR35" s="22" t="str">
        <f>IF( OR(ISBLANK(S35:S39),ISBLANK(AQ35:AQ39), ISBLANK(Y35:Y39),ISBLANK(AW35:AW39)), "·", bdRateExtend( S35:S39,Y35:Y39, AQ35:AQ39,AW35:AW39))</f>
        <v>·</v>
      </c>
      <c r="BS35" s="22" t="str">
        <f>IF( OR(ISBLANK(S35:S39),ISBLANK(AQ35:AQ39), ISBLANK(Z35:Z39),ISBLANK(AX35:AX39)), "·", bdRateExtend( S35:S39,Z35:Z39, AQ35:AQ39,AX35:AX39))</f>
        <v>·</v>
      </c>
      <c r="BT35" s="22" t="str">
        <f>IF( OR(ISBLANK(S35:S39),ISBLANK(AQ35:AQ39), ISBLANK(AA35:AA39),ISBLANK(AY35:AY39)), "·", bdRateExtend( S35:S39,AA35:AA39, AQ35:AQ39,AY35:AY39))</f>
        <v>·</v>
      </c>
    </row>
    <row r="36" spans="1:72" outlineLevel="1" x14ac:dyDescent="0.2">
      <c r="A36" s="24"/>
      <c r="B36" s="24" t="s">
        <v>80</v>
      </c>
      <c r="C36" s="25" t="s">
        <v>231</v>
      </c>
      <c r="D36" s="24">
        <v>333190689</v>
      </c>
      <c r="E36" s="25">
        <v>11</v>
      </c>
      <c r="F36" s="25">
        <v>32</v>
      </c>
      <c r="G36" s="25">
        <v>30</v>
      </c>
      <c r="I36" s="26">
        <f t="shared" si="0"/>
        <v>5.8401449999999997</v>
      </c>
      <c r="J36" s="27">
        <f t="shared" si="1"/>
        <v>1.8696464834285931E-2</v>
      </c>
      <c r="K36" s="27">
        <f t="shared" si="2"/>
        <v>1.3125312754462956E-2</v>
      </c>
      <c r="L36" s="27">
        <f t="shared" si="3"/>
        <v>9.322181268996985E-3</v>
      </c>
      <c r="M36" s="27">
        <f t="shared" si="4"/>
        <v>5.5711520798229748E-3</v>
      </c>
      <c r="N36" s="24">
        <f t="shared" si="5"/>
        <v>4373232</v>
      </c>
      <c r="O36" s="27">
        <v>32</v>
      </c>
      <c r="P36" s="28">
        <v>80082017</v>
      </c>
      <c r="Q36" s="28">
        <v>2502563.03125</v>
      </c>
      <c r="R36" s="28">
        <v>38887</v>
      </c>
      <c r="S36" s="29">
        <v>6229488</v>
      </c>
      <c r="T36" s="29">
        <v>3106064</v>
      </c>
      <c r="U36" s="29">
        <v>1267168</v>
      </c>
      <c r="V36" s="29">
        <v>1856256</v>
      </c>
      <c r="W36" s="30">
        <v>74.950752384374994</v>
      </c>
      <c r="X36" s="30">
        <v>77.347006584374995</v>
      </c>
      <c r="Y36" s="30">
        <v>34.04274891875</v>
      </c>
      <c r="Z36" s="30">
        <v>42.974152109374998</v>
      </c>
      <c r="AA36" s="30">
        <v>44.904470034375002</v>
      </c>
      <c r="AB36" s="31">
        <v>24783.778999999999</v>
      </c>
      <c r="AC36" s="31">
        <v>0</v>
      </c>
      <c r="AD36" s="31">
        <v>254.768</v>
      </c>
      <c r="AE36" s="31">
        <v>0</v>
      </c>
      <c r="AG36" s="26" t="str">
        <f t="shared" si="6"/>
        <v>·</v>
      </c>
      <c r="AH36" s="27" t="str">
        <f t="shared" si="7"/>
        <v>·</v>
      </c>
      <c r="AI36" s="27" t="str">
        <f t="shared" si="8"/>
        <v>·</v>
      </c>
      <c r="AJ36" s="27" t="str">
        <f t="shared" si="9"/>
        <v>·</v>
      </c>
      <c r="AK36" s="27" t="str">
        <f t="shared" si="10"/>
        <v>·</v>
      </c>
      <c r="AL36" s="24" t="str">
        <f t="shared" si="11"/>
        <v/>
      </c>
      <c r="AM36" s="27">
        <v>32</v>
      </c>
      <c r="AN36" s="28"/>
      <c r="AO36" s="28"/>
      <c r="AP36" s="28"/>
      <c r="AQ36" s="29"/>
      <c r="AR36" s="29"/>
      <c r="AS36" s="29"/>
      <c r="AT36" s="29"/>
      <c r="AU36" s="30"/>
      <c r="AV36" s="30"/>
      <c r="AW36" s="30"/>
      <c r="AX36" s="30"/>
      <c r="AY36" s="30"/>
      <c r="AZ36" s="31"/>
      <c r="BA36" s="31"/>
      <c r="BB36" s="31"/>
      <c r="BC36" s="31"/>
      <c r="BE36" s="32" t="e">
        <f t="shared" si="12"/>
        <v>#VALUE!</v>
      </c>
      <c r="BF36" s="33" t="e">
        <f t="shared" si="13"/>
        <v>#DIV/0!</v>
      </c>
      <c r="BG36" s="33" t="e">
        <f t="shared" si="14"/>
        <v>#VALUE!</v>
      </c>
      <c r="BH36" s="33"/>
      <c r="BJ36" s="32"/>
      <c r="BK36" s="32"/>
      <c r="BL36" s="32"/>
      <c r="BM36" s="32"/>
      <c r="BN36" s="32"/>
      <c r="BP36" s="32"/>
      <c r="BQ36" s="32"/>
      <c r="BR36" s="32"/>
      <c r="BS36" s="32"/>
      <c r="BT36" s="32"/>
    </row>
    <row r="37" spans="1:72" outlineLevel="1" x14ac:dyDescent="0.2">
      <c r="A37" s="14"/>
      <c r="B37" s="14" t="s">
        <v>80</v>
      </c>
      <c r="C37" s="15" t="s">
        <v>232</v>
      </c>
      <c r="D37" s="14">
        <v>333190689</v>
      </c>
      <c r="E37" s="15">
        <v>11</v>
      </c>
      <c r="F37" s="15">
        <v>32</v>
      </c>
      <c r="G37" s="15">
        <v>30</v>
      </c>
      <c r="I37" s="16">
        <f t="shared" si="0"/>
        <v>8.4157949999999992</v>
      </c>
      <c r="J37" s="17">
        <f t="shared" si="1"/>
        <v>2.6942073402297265E-2</v>
      </c>
      <c r="K37" s="17">
        <f t="shared" si="2"/>
        <v>1.6822294815087104E-2</v>
      </c>
      <c r="L37" s="17">
        <f t="shared" si="3"/>
        <v>1.3019163329621134E-2</v>
      </c>
      <c r="M37" s="17">
        <f t="shared" si="4"/>
        <v>1.011977858721016E-2</v>
      </c>
      <c r="N37" s="14">
        <f t="shared" si="5"/>
        <v>5605032</v>
      </c>
      <c r="O37" s="17">
        <v>32</v>
      </c>
      <c r="P37" s="18">
        <v>81678386</v>
      </c>
      <c r="Q37" s="18">
        <v>2552449.5625</v>
      </c>
      <c r="R37" s="18">
        <v>42018.5625</v>
      </c>
      <c r="S37" s="19">
        <v>8976848</v>
      </c>
      <c r="T37" s="19">
        <v>4337864</v>
      </c>
      <c r="U37" s="19">
        <v>1267168</v>
      </c>
      <c r="V37" s="19">
        <v>3371816</v>
      </c>
      <c r="W37" s="20">
        <v>76.249903428124995</v>
      </c>
      <c r="X37" s="20">
        <v>78.959257515624998</v>
      </c>
      <c r="Y37" s="20">
        <v>36.143143071875002</v>
      </c>
      <c r="Z37" s="20">
        <v>43.507243250000002</v>
      </c>
      <c r="AA37" s="20">
        <v>46.1369371125</v>
      </c>
      <c r="AB37" s="21">
        <v>26371.491999999998</v>
      </c>
      <c r="AC37" s="21">
        <v>0</v>
      </c>
      <c r="AD37" s="21">
        <v>256.06299999999999</v>
      </c>
      <c r="AE37" s="21">
        <v>0</v>
      </c>
      <c r="AG37" s="16" t="str">
        <f t="shared" si="6"/>
        <v>·</v>
      </c>
      <c r="AH37" s="17" t="str">
        <f t="shared" si="7"/>
        <v>·</v>
      </c>
      <c r="AI37" s="17" t="str">
        <f t="shared" si="8"/>
        <v>·</v>
      </c>
      <c r="AJ37" s="17" t="str">
        <f t="shared" si="9"/>
        <v>·</v>
      </c>
      <c r="AK37" s="17" t="str">
        <f t="shared" si="10"/>
        <v>·</v>
      </c>
      <c r="AL37" s="14" t="str">
        <f t="shared" si="11"/>
        <v/>
      </c>
      <c r="AM37" s="17">
        <v>32</v>
      </c>
      <c r="AN37" s="18"/>
      <c r="AO37" s="18"/>
      <c r="AP37" s="18"/>
      <c r="AQ37" s="19"/>
      <c r="AR37" s="19"/>
      <c r="AS37" s="19"/>
      <c r="AT37" s="19"/>
      <c r="AU37" s="20"/>
      <c r="AV37" s="20"/>
      <c r="AW37" s="20"/>
      <c r="AX37" s="20"/>
      <c r="AY37" s="20"/>
      <c r="AZ37" s="21"/>
      <c r="BA37" s="21"/>
      <c r="BB37" s="21"/>
      <c r="BC37" s="21"/>
      <c r="BE37" s="22" t="e">
        <f t="shared" si="12"/>
        <v>#VALUE!</v>
      </c>
      <c r="BF37" s="23" t="e">
        <f t="shared" si="13"/>
        <v>#DIV/0!</v>
      </c>
      <c r="BG37" s="23" t="e">
        <f t="shared" si="14"/>
        <v>#VALUE!</v>
      </c>
      <c r="BH37" s="23"/>
      <c r="BJ37" s="22"/>
      <c r="BK37" s="22"/>
      <c r="BL37" s="22"/>
      <c r="BM37" s="22"/>
      <c r="BN37" s="22"/>
      <c r="BP37" s="22"/>
      <c r="BQ37" s="22"/>
      <c r="BR37" s="22"/>
      <c r="BS37" s="22"/>
      <c r="BT37" s="22"/>
    </row>
    <row r="38" spans="1:72" outlineLevel="1" x14ac:dyDescent="0.2">
      <c r="A38" s="24"/>
      <c r="B38" s="24" t="s">
        <v>80</v>
      </c>
      <c r="C38" s="25" t="s">
        <v>233</v>
      </c>
      <c r="D38" s="24">
        <v>333190689</v>
      </c>
      <c r="E38" s="25">
        <v>11</v>
      </c>
      <c r="F38" s="25">
        <v>32</v>
      </c>
      <c r="G38" s="25">
        <v>30</v>
      </c>
      <c r="I38" s="26">
        <f t="shared" si="0"/>
        <v>13.763159999999999</v>
      </c>
      <c r="J38" s="27">
        <f t="shared" si="1"/>
        <v>4.4060967141851912E-2</v>
      </c>
      <c r="K38" s="27">
        <f t="shared" si="2"/>
        <v>2.3043981280041113E-2</v>
      </c>
      <c r="L38" s="27">
        <f t="shared" si="3"/>
        <v>1.9240849794575143E-2</v>
      </c>
      <c r="M38" s="27">
        <f t="shared" si="4"/>
        <v>2.1016985861810802E-2</v>
      </c>
      <c r="N38" s="24">
        <f t="shared" si="5"/>
        <v>7678040</v>
      </c>
      <c r="O38" s="27">
        <v>32</v>
      </c>
      <c r="P38" s="28">
        <v>83831259</v>
      </c>
      <c r="Q38" s="28">
        <v>2619726.84375</v>
      </c>
      <c r="R38" s="28">
        <v>47003.0625</v>
      </c>
      <c r="S38" s="29">
        <v>14680704</v>
      </c>
      <c r="T38" s="29">
        <v>6410872</v>
      </c>
      <c r="U38" s="29">
        <v>1267168</v>
      </c>
      <c r="V38" s="29">
        <v>7002664</v>
      </c>
      <c r="W38" s="30">
        <v>77.432036871874999</v>
      </c>
      <c r="X38" s="30">
        <v>80.157453140624995</v>
      </c>
      <c r="Y38" s="30">
        <v>38.094083849999997</v>
      </c>
      <c r="Z38" s="30">
        <v>44.219109759375002</v>
      </c>
      <c r="AA38" s="30">
        <v>47.244972528124997</v>
      </c>
      <c r="AB38" s="31">
        <v>27693.624</v>
      </c>
      <c r="AC38" s="31">
        <v>0</v>
      </c>
      <c r="AD38" s="31">
        <v>263.08199999999999</v>
      </c>
      <c r="AE38" s="31">
        <v>0</v>
      </c>
      <c r="AG38" s="26" t="str">
        <f t="shared" si="6"/>
        <v>·</v>
      </c>
      <c r="AH38" s="27" t="str">
        <f t="shared" si="7"/>
        <v>·</v>
      </c>
      <c r="AI38" s="27" t="str">
        <f t="shared" si="8"/>
        <v>·</v>
      </c>
      <c r="AJ38" s="27" t="str">
        <f t="shared" si="9"/>
        <v>·</v>
      </c>
      <c r="AK38" s="27" t="str">
        <f t="shared" si="10"/>
        <v>·</v>
      </c>
      <c r="AL38" s="24" t="str">
        <f t="shared" si="11"/>
        <v/>
      </c>
      <c r="AM38" s="27">
        <v>32</v>
      </c>
      <c r="AN38" s="28"/>
      <c r="AO38" s="28"/>
      <c r="AP38" s="28"/>
      <c r="AQ38" s="29"/>
      <c r="AR38" s="29"/>
      <c r="AS38" s="29"/>
      <c r="AT38" s="29"/>
      <c r="AU38" s="30"/>
      <c r="AV38" s="30"/>
      <c r="AW38" s="30"/>
      <c r="AX38" s="30"/>
      <c r="AY38" s="30"/>
      <c r="AZ38" s="31"/>
      <c r="BA38" s="31"/>
      <c r="BB38" s="31"/>
      <c r="BC38" s="31"/>
      <c r="BE38" s="32" t="e">
        <f t="shared" si="12"/>
        <v>#VALUE!</v>
      </c>
      <c r="BF38" s="33" t="e">
        <f t="shared" si="13"/>
        <v>#DIV/0!</v>
      </c>
      <c r="BG38" s="33" t="e">
        <f t="shared" si="14"/>
        <v>#VALUE!</v>
      </c>
      <c r="BH38" s="33"/>
      <c r="BJ38" s="32"/>
      <c r="BK38" s="32"/>
      <c r="BL38" s="32"/>
      <c r="BM38" s="32"/>
      <c r="BN38" s="32"/>
      <c r="BP38" s="32"/>
      <c r="BQ38" s="32"/>
      <c r="BR38" s="32"/>
      <c r="BS38" s="32"/>
      <c r="BT38" s="32"/>
    </row>
    <row r="39" spans="1:72" outlineLevel="1" x14ac:dyDescent="0.2">
      <c r="A39" s="34"/>
      <c r="B39" s="34" t="s">
        <v>80</v>
      </c>
      <c r="C39" s="35" t="s">
        <v>234</v>
      </c>
      <c r="D39" s="34">
        <v>333190689</v>
      </c>
      <c r="E39" s="35">
        <v>11</v>
      </c>
      <c r="F39" s="35">
        <v>32</v>
      </c>
      <c r="G39" s="35">
        <v>30</v>
      </c>
      <c r="I39" s="36">
        <f t="shared" si="0"/>
        <v>27.596129999999999</v>
      </c>
      <c r="J39" s="37">
        <f t="shared" si="1"/>
        <v>8.8345421921439113E-2</v>
      </c>
      <c r="K39" s="37">
        <f t="shared" si="2"/>
        <v>3.7450914482187105E-2</v>
      </c>
      <c r="L39" s="37">
        <f t="shared" si="3"/>
        <v>2.9699365338507405E-2</v>
      </c>
      <c r="M39" s="37">
        <f t="shared" si="4"/>
        <v>5.0894507439252001E-2</v>
      </c>
      <c r="N39" s="34">
        <f t="shared" si="5"/>
        <v>12478296</v>
      </c>
      <c r="O39" s="37">
        <v>32</v>
      </c>
      <c r="P39" s="38">
        <v>81982633</v>
      </c>
      <c r="Q39" s="38">
        <v>2561957.28125</v>
      </c>
      <c r="R39" s="38">
        <v>18515.375</v>
      </c>
      <c r="S39" s="39">
        <v>29435872</v>
      </c>
      <c r="T39" s="39">
        <v>9895552</v>
      </c>
      <c r="U39" s="39">
        <v>2582744</v>
      </c>
      <c r="V39" s="39">
        <v>16957576</v>
      </c>
      <c r="W39" s="40">
        <v>78.306624768749998</v>
      </c>
      <c r="X39" s="40">
        <v>81.862312434374999</v>
      </c>
      <c r="Y39" s="40">
        <v>40.168900484375001</v>
      </c>
      <c r="Z39" s="40">
        <v>45.123677053125</v>
      </c>
      <c r="AA39" s="40">
        <v>48.623593149999998</v>
      </c>
      <c r="AB39" s="41">
        <v>29864.577000000001</v>
      </c>
      <c r="AC39" s="41">
        <v>0</v>
      </c>
      <c r="AD39" s="41">
        <v>262.726</v>
      </c>
      <c r="AE39" s="41">
        <v>0</v>
      </c>
      <c r="AG39" s="36" t="str">
        <f t="shared" si="6"/>
        <v>·</v>
      </c>
      <c r="AH39" s="37" t="str">
        <f t="shared" si="7"/>
        <v>·</v>
      </c>
      <c r="AI39" s="37" t="str">
        <f t="shared" si="8"/>
        <v>·</v>
      </c>
      <c r="AJ39" s="37" t="str">
        <f t="shared" si="9"/>
        <v>·</v>
      </c>
      <c r="AK39" s="37" t="str">
        <f t="shared" si="10"/>
        <v>·</v>
      </c>
      <c r="AL39" s="34" t="str">
        <f t="shared" si="11"/>
        <v/>
      </c>
      <c r="AM39" s="37">
        <v>32</v>
      </c>
      <c r="AN39" s="38"/>
      <c r="AO39" s="38"/>
      <c r="AP39" s="38"/>
      <c r="AQ39" s="39"/>
      <c r="AR39" s="39"/>
      <c r="AS39" s="39"/>
      <c r="AT39" s="39"/>
      <c r="AU39" s="40"/>
      <c r="AV39" s="40"/>
      <c r="AW39" s="40"/>
      <c r="AX39" s="40"/>
      <c r="AY39" s="40"/>
      <c r="AZ39" s="41"/>
      <c r="BA39" s="41"/>
      <c r="BB39" s="41"/>
      <c r="BC39" s="41"/>
      <c r="BE39" s="42" t="e">
        <f t="shared" si="12"/>
        <v>#VALUE!</v>
      </c>
      <c r="BF39" s="43" t="e">
        <f t="shared" si="13"/>
        <v>#DIV/0!</v>
      </c>
      <c r="BG39" s="43" t="e">
        <f t="shared" si="14"/>
        <v>#VALUE!</v>
      </c>
      <c r="BH39" s="43"/>
      <c r="BJ39" s="42"/>
      <c r="BK39" s="42"/>
      <c r="BL39" s="42"/>
      <c r="BM39" s="42"/>
      <c r="BN39" s="42"/>
      <c r="BP39" s="42"/>
      <c r="BQ39" s="42"/>
      <c r="BR39" s="42"/>
      <c r="BS39" s="42"/>
      <c r="BT39" s="42"/>
    </row>
    <row r="40" spans="1:72" ht="16" x14ac:dyDescent="0.2">
      <c r="B40" s="54" t="s">
        <v>14</v>
      </c>
      <c r="J40" s="55">
        <f>AVERAGE(J5:J24)</f>
        <v>1.7536427616954647E-2</v>
      </c>
      <c r="K40" s="55">
        <f>AVERAGE(K5:K24)</f>
        <v>9.5003997966196744E-3</v>
      </c>
      <c r="L40" s="55">
        <f>AVERAGE(L5:L24)</f>
        <v>6.9778830479007058E-3</v>
      </c>
      <c r="M40" s="55">
        <f>AVERAGE(M5:M24)</f>
        <v>8.0360278203349712E-3</v>
      </c>
      <c r="AH40" s="55" t="e">
        <f>AVERAGE(AH5:AH24)</f>
        <v>#DIV/0!</v>
      </c>
      <c r="AI40" s="55" t="e">
        <f>AVERAGE(AI5:AI24)</f>
        <v>#DIV/0!</v>
      </c>
      <c r="AJ40" s="55" t="e">
        <f>AVERAGE(AJ5:AJ24)</f>
        <v>#DIV/0!</v>
      </c>
      <c r="AK40" s="55" t="e">
        <f>AVERAGE(AK5:AK24)</f>
        <v>#DIV/0!</v>
      </c>
      <c r="BE40" s="4" t="e">
        <f t="shared" si="12"/>
        <v>#DIV/0!</v>
      </c>
      <c r="BH40" s="7" t="e">
        <f>AVERAGE(BH5:BH24)</f>
        <v>#VALUE!</v>
      </c>
      <c r="BJ40" s="4" t="e">
        <f>AVERAGE(BJ5:BJ24)</f>
        <v>#DIV/0!</v>
      </c>
      <c r="BK40" s="4" t="e">
        <f>AVERAGE(BK5:BK24)</f>
        <v>#DIV/0!</v>
      </c>
      <c r="BL40" s="4" t="e">
        <f>AVERAGE(BL5:BL24)</f>
        <v>#DIV/0!</v>
      </c>
      <c r="BM40" s="4" t="e">
        <f>AVERAGE(BM5:BM24)</f>
        <v>#DIV/0!</v>
      </c>
      <c r="BN40" s="4" t="e">
        <f>AVERAGE(BN5:BN24)</f>
        <v>#DIV/0!</v>
      </c>
      <c r="BP40" s="4" t="e">
        <f>AVERAGE(BP5:BP24)</f>
        <v>#DIV/0!</v>
      </c>
      <c r="BQ40" s="4" t="e">
        <f>AVERAGE(BQ5:BQ24)</f>
        <v>#DIV/0!</v>
      </c>
      <c r="BR40" s="4" t="e">
        <f>AVERAGE(BR5:BR24)</f>
        <v>#DIV/0!</v>
      </c>
      <c r="BS40" s="4" t="e">
        <f>AVERAGE(BS5:BS24)</f>
        <v>#DIV/0!</v>
      </c>
      <c r="BT40" s="4" t="e">
        <f>AVERAGE(BT5:BT24)</f>
        <v>#DIV/0!</v>
      </c>
    </row>
    <row r="41" spans="1:72" ht="16" x14ac:dyDescent="0.2">
      <c r="B41" s="54" t="s">
        <v>15</v>
      </c>
      <c r="J41" s="55">
        <f>AVERAGE(J25:J29)</f>
        <v>3.8171846644287334E-2</v>
      </c>
      <c r="K41" s="55">
        <f>AVERAGE(K25:K29)</f>
        <v>1.1391594565159225E-2</v>
      </c>
      <c r="L41" s="55">
        <f>AVERAGE(L25:L29)</f>
        <v>8.7893616490667785E-3</v>
      </c>
      <c r="M41" s="55">
        <f>AVERAGE(M25:M29)</f>
        <v>2.6780252079128108E-2</v>
      </c>
      <c r="AH41" s="55" t="e">
        <f>AVERAGE(AH25:AH29)</f>
        <v>#DIV/0!</v>
      </c>
      <c r="AI41" s="55" t="e">
        <f>AVERAGE(AI25:AI29)</f>
        <v>#DIV/0!</v>
      </c>
      <c r="AJ41" s="55" t="e">
        <f>AVERAGE(AJ25:AJ29)</f>
        <v>#DIV/0!</v>
      </c>
      <c r="AK41" s="55" t="e">
        <f>AVERAGE(AK25:AK29)</f>
        <v>#DIV/0!</v>
      </c>
      <c r="BE41" s="4" t="e">
        <f t="shared" si="12"/>
        <v>#DIV/0!</v>
      </c>
      <c r="BH41" s="7" t="e">
        <f>AVERAGE(BH25:BH29)</f>
        <v>#VALUE!</v>
      </c>
      <c r="BJ41" s="4" t="e">
        <f>AVERAGE(BJ25:BJ29)</f>
        <v>#DIV/0!</v>
      </c>
      <c r="BK41" s="4" t="e">
        <f>AVERAGE(BK25:BK29)</f>
        <v>#DIV/0!</v>
      </c>
      <c r="BL41" s="4" t="e">
        <f>AVERAGE(BL25:BL29)</f>
        <v>#DIV/0!</v>
      </c>
      <c r="BM41" s="4" t="e">
        <f>AVERAGE(BM25:BM29)</f>
        <v>#DIV/0!</v>
      </c>
      <c r="BN41" s="4" t="e">
        <f>AVERAGE(BN25:BN29)</f>
        <v>#DIV/0!</v>
      </c>
      <c r="BP41" s="4" t="e">
        <f>AVERAGE(BP25:BP29)</f>
        <v>#DIV/0!</v>
      </c>
      <c r="BQ41" s="4" t="e">
        <f>AVERAGE(BQ25:BQ29)</f>
        <v>#DIV/0!</v>
      </c>
      <c r="BR41" s="4" t="e">
        <f>AVERAGE(BR25:BR29)</f>
        <v>#DIV/0!</v>
      </c>
      <c r="BS41" s="4" t="e">
        <f>AVERAGE(BS25:BS29)</f>
        <v>#DIV/0!</v>
      </c>
      <c r="BT41" s="4" t="e">
        <f>AVERAGE(BT25:BT29)</f>
        <v>#DIV/0!</v>
      </c>
    </row>
    <row r="42" spans="1:72" ht="16" x14ac:dyDescent="0.2">
      <c r="B42" s="54" t="s">
        <v>16</v>
      </c>
      <c r="J42" s="55">
        <f>AVERAGE(J30:J39)</f>
        <v>3.389046486719352E-2</v>
      </c>
      <c r="K42" s="55">
        <f>AVERAGE(K30:K39)</f>
        <v>1.8123311700684205E-2</v>
      </c>
      <c r="L42" s="55">
        <f>AVERAGE(L30:L39)</f>
        <v>1.3974457075202751E-2</v>
      </c>
      <c r="M42" s="55">
        <f>AVERAGE(M30:M39)</f>
        <v>1.5767153166509316E-2</v>
      </c>
      <c r="AH42" s="55" t="e">
        <f>AVERAGE(AH30:AH39)</f>
        <v>#DIV/0!</v>
      </c>
      <c r="AI42" s="55" t="e">
        <f>AVERAGE(AI30:AI39)</f>
        <v>#DIV/0!</v>
      </c>
      <c r="AJ42" s="55" t="e">
        <f>AVERAGE(AJ30:AJ39)</f>
        <v>#DIV/0!</v>
      </c>
      <c r="AK42" s="55" t="e">
        <f>AVERAGE(AK30:AK39)</f>
        <v>#DIV/0!</v>
      </c>
      <c r="BE42" s="4" t="e">
        <f t="shared" si="12"/>
        <v>#DIV/0!</v>
      </c>
      <c r="BH42" s="7" t="e">
        <f>AVERAGE(BH30:BH39)</f>
        <v>#VALUE!</v>
      </c>
      <c r="BJ42" s="4" t="e">
        <f>AVERAGE(BJ30:BJ39)</f>
        <v>#DIV/0!</v>
      </c>
      <c r="BK42" s="4" t="e">
        <f>AVERAGE(BK30:BK39)</f>
        <v>#DIV/0!</v>
      </c>
      <c r="BL42" s="4" t="e">
        <f>AVERAGE(BL30:BL39)</f>
        <v>#DIV/0!</v>
      </c>
      <c r="BM42" s="4" t="e">
        <f>AVERAGE(BM30:BM39)</f>
        <v>#DIV/0!</v>
      </c>
      <c r="BN42" s="4" t="e">
        <f>AVERAGE(BN30:BN39)</f>
        <v>#DIV/0!</v>
      </c>
      <c r="BP42" s="4" t="e">
        <f>AVERAGE(BP30:BP39)</f>
        <v>#DIV/0!</v>
      </c>
      <c r="BQ42" s="4" t="e">
        <f>AVERAGE(BQ30:BQ39)</f>
        <v>#DIV/0!</v>
      </c>
      <c r="BR42" s="4" t="e">
        <f>AVERAGE(BR30:BR39)</f>
        <v>#DIV/0!</v>
      </c>
      <c r="BS42" s="4" t="e">
        <f>AVERAGE(BS30:BS39)</f>
        <v>#DIV/0!</v>
      </c>
      <c r="BT42" s="4" t="e">
        <f>AVERAGE(BT30:BT39)</f>
        <v>#DIV/0!</v>
      </c>
    </row>
    <row r="43" spans="1:72" ht="16" x14ac:dyDescent="0.2">
      <c r="B43" s="54" t="s">
        <v>17</v>
      </c>
      <c r="J43" s="55">
        <f>AVERAGE(J5:J39)</f>
        <v>2.515692669235613E-2</v>
      </c>
      <c r="K43" s="55">
        <f>AVERAGE(K5:K39)</f>
        <v>1.2234259593286619E-2</v>
      </c>
      <c r="L43" s="55">
        <f>AVERAGE(L5:L39)</f>
        <v>9.2356868558678713E-3</v>
      </c>
      <c r="M43" s="55">
        <f>AVERAGE(M5:M39)</f>
        <v>1.2922667099069514E-2</v>
      </c>
      <c r="AH43" s="55" t="e">
        <f>AVERAGE(AH5:AH39)</f>
        <v>#DIV/0!</v>
      </c>
      <c r="AI43" s="55" t="e">
        <f>AVERAGE(AI5:AI39)</f>
        <v>#DIV/0!</v>
      </c>
      <c r="AJ43" s="55" t="e">
        <f>AVERAGE(AJ5:AJ39)</f>
        <v>#DIV/0!</v>
      </c>
      <c r="AK43" s="55" t="e">
        <f>AVERAGE(AK5:AK39)</f>
        <v>#DIV/0!</v>
      </c>
      <c r="BE43" s="4" t="e">
        <f t="shared" si="12"/>
        <v>#DIV/0!</v>
      </c>
      <c r="BH43" s="7" t="e">
        <f>AVERAGE(BH5:BH39)</f>
        <v>#VALUE!</v>
      </c>
      <c r="BJ43" s="4" t="e">
        <f>AVERAGE(BJ5:BJ39)</f>
        <v>#DIV/0!</v>
      </c>
      <c r="BK43" s="4" t="e">
        <f>AVERAGE(BK5:BK39)</f>
        <v>#DIV/0!</v>
      </c>
      <c r="BL43" s="4" t="e">
        <f>AVERAGE(BL5:BL39)</f>
        <v>#DIV/0!</v>
      </c>
      <c r="BM43" s="4" t="e">
        <f>AVERAGE(BM5:BM39)</f>
        <v>#DIV/0!</v>
      </c>
      <c r="BN43" s="4" t="e">
        <f>AVERAGE(BN5:BN39)</f>
        <v>#DIV/0!</v>
      </c>
      <c r="BP43" s="4" t="e">
        <f>AVERAGE(BP5:BP39)</f>
        <v>#DIV/0!</v>
      </c>
      <c r="BQ43" s="4" t="e">
        <f>AVERAGE(BQ5:BQ39)</f>
        <v>#DIV/0!</v>
      </c>
      <c r="BR43" s="4" t="e">
        <f>AVERAGE(BR5:BR39)</f>
        <v>#DIV/0!</v>
      </c>
      <c r="BS43" s="4" t="e">
        <f>AVERAGE(BS5:BS39)</f>
        <v>#DIV/0!</v>
      </c>
      <c r="BT43" s="4" t="e">
        <f>AVERAGE(BT5:BT39)</f>
        <v>#DIV/0!</v>
      </c>
    </row>
    <row r="44" spans="1:72" ht="16" hidden="1" outlineLevel="2" x14ac:dyDescent="0.2">
      <c r="A44" s="54" t="s">
        <v>237</v>
      </c>
      <c r="B44" s="54" t="s">
        <v>238</v>
      </c>
      <c r="AB44" s="56">
        <f>SUM(AB5:AB24,AB25:AB29,AB30:AB39)</f>
        <v>466442.63599999994</v>
      </c>
      <c r="AC44" s="56">
        <f>SUM(AC5:AC24,AC25:AC29,AC30:AC39)</f>
        <v>0</v>
      </c>
      <c r="AD44" s="56">
        <f>SUM(AD5:AD24,AD25:AD29,AD30:AD39)</f>
        <v>4858.5419999999995</v>
      </c>
      <c r="AE44" s="56">
        <f>SUM(AE5:AE24,AE25:AE29,AE30:AE39)</f>
        <v>0</v>
      </c>
      <c r="AZ44" s="56">
        <f>SUM(AZ5:AZ24,AZ25:AZ29,AZ30:AZ39)</f>
        <v>0</v>
      </c>
      <c r="BA44" s="56">
        <f>SUM(BA5:BA24,BA25:BA29,BA30:BA39)</f>
        <v>0</v>
      </c>
      <c r="BB44" s="56">
        <f>SUM(BB5:BB24,BB25:BB29,BB30:BB39)</f>
        <v>0</v>
      </c>
      <c r="BC44" s="56">
        <f>SUM(BC5:BC24,BC25:BC29,BC30:BC39)</f>
        <v>0</v>
      </c>
    </row>
    <row r="45" spans="1:72" ht="16" hidden="1" outlineLevel="2" x14ac:dyDescent="0.2">
      <c r="B45" s="54" t="s">
        <v>239</v>
      </c>
      <c r="AZ45" s="7">
        <f>AZ44/AB44</f>
        <v>0</v>
      </c>
      <c r="BA45" s="7" t="e">
        <f>BA44/AC44</f>
        <v>#DIV/0!</v>
      </c>
      <c r="BB45" s="7">
        <f>BB44/AD44</f>
        <v>0</v>
      </c>
      <c r="BC45" s="7" t="e">
        <f>BC44/AE44</f>
        <v>#DIV/0!</v>
      </c>
    </row>
    <row r="46" spans="1:72" ht="16" hidden="1" outlineLevel="2" x14ac:dyDescent="0.2">
      <c r="B46" s="54" t="s">
        <v>240</v>
      </c>
      <c r="AB46" s="56">
        <f>GEOMEAN(AB5:AB24,AB25:AB29,AB30:AB39)</f>
        <v>11026.900477648387</v>
      </c>
      <c r="AC46" s="56" t="e">
        <f>GEOMEAN(AC5:AC24,AC25:AC29,AC30:AC39)</f>
        <v>#NUM!</v>
      </c>
      <c r="AD46" s="56">
        <f>GEOMEAN(AD5:AD24,AD25:AD29,AD30:AD39)</f>
        <v>118.15968549477104</v>
      </c>
      <c r="AE46" s="56" t="e">
        <f>GEOMEAN(AE5:AE24,AE25:AE29,AE30:AE39)</f>
        <v>#NUM!</v>
      </c>
      <c r="AZ46" s="56" t="e">
        <f>GEOMEAN(AZ5:AZ24,AZ25:AZ29,AZ30:AZ39)</f>
        <v>#NUM!</v>
      </c>
      <c r="BA46" s="56" t="e">
        <f>GEOMEAN(BA5:BA24,BA25:BA29,BA30:BA39)</f>
        <v>#NUM!</v>
      </c>
      <c r="BB46" s="56" t="e">
        <f>GEOMEAN(BB5:BB24,BB25:BB29,BB30:BB39)</f>
        <v>#NUM!</v>
      </c>
      <c r="BC46" s="56" t="e">
        <f>GEOMEAN(BC5:BC24,BC25:BC29,BC30:BC39)</f>
        <v>#NUM!</v>
      </c>
    </row>
    <row r="47" spans="1:72" ht="16" outlineLevel="2" collapsed="1" x14ac:dyDescent="0.2">
      <c r="B47" s="54" t="s">
        <v>241</v>
      </c>
      <c r="AZ47" s="7" t="e">
        <f>AZ46/AB46</f>
        <v>#NUM!</v>
      </c>
      <c r="BA47" s="7" t="e">
        <f>BA46/AC46</f>
        <v>#NUM!</v>
      </c>
      <c r="BB47" s="7" t="e">
        <f>BB46/AD46</f>
        <v>#NUM!</v>
      </c>
      <c r="BC47" s="7"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phoneticPr fontId="2"/>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Microsoft Office User</cp:lastModifiedBy>
  <dcterms:created xsi:type="dcterms:W3CDTF">2019-04-23T13:57:55Z</dcterms:created>
  <dcterms:modified xsi:type="dcterms:W3CDTF">2023-05-25T08:53:35Z</dcterms:modified>
</cp:coreProperties>
</file>