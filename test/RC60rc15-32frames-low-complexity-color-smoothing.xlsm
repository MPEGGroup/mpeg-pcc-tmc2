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T:\users\hossein\mpeg-pcc-tmc2-v6_rc13_BPIdent_CSLC\"/>
    </mc:Choice>
  </mc:AlternateContent>
  <bookViews>
    <workbookView xWindow="-108" yWindow="-108" windowWidth="23256" windowHeight="12768" firstSheet="1" activeTab="3"/>
  </bookViews>
  <sheets>
    <sheet name="Summary" sheetId="1" r:id="rId1"/>
    <sheet name="Graphs" sheetId="2" r:id="rId2"/>
    <sheet name="C2 lossyG,lossyA,intra" sheetId="3" r:id="rId3"/>
    <sheet name="C2 lossyG,lossyA,interRA" sheetId="9" r:id="rId4"/>
    <sheet name="names" sheetId="4" state="hidden" r:id="rId5"/>
    <sheet name="CW losslG,losslA,intra" sheetId="5" r:id="rId6"/>
    <sheet name="CW losslG,losslA,interLD" sheetId="6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C35" i="9" l="1"/>
  <c r="BB35" i="9"/>
  <c r="BA35" i="9"/>
  <c r="AZ35" i="9"/>
  <c r="AE35" i="9"/>
  <c r="AD35" i="9"/>
  <c r="AC35" i="9"/>
  <c r="AB35" i="9"/>
  <c r="BC33" i="9"/>
  <c r="BB33" i="9"/>
  <c r="BA33" i="9"/>
  <c r="AZ33" i="9"/>
  <c r="AE33" i="9"/>
  <c r="AD33" i="9"/>
  <c r="AC33" i="9"/>
  <c r="AB33" i="9"/>
  <c r="BE29" i="9"/>
  <c r="AM29" i="9"/>
  <c r="AL29" i="9"/>
  <c r="AI29" i="9" s="1"/>
  <c r="AK29" i="9"/>
  <c r="AJ29" i="9"/>
  <c r="AH29" i="9"/>
  <c r="AG29" i="9"/>
  <c r="O29" i="9"/>
  <c r="N29" i="9"/>
  <c r="K29" i="9" s="1"/>
  <c r="M29" i="9"/>
  <c r="L29" i="9"/>
  <c r="J29" i="9"/>
  <c r="I29" i="9"/>
  <c r="BE28" i="9"/>
  <c r="AM28" i="9"/>
  <c r="AL28" i="9"/>
  <c r="AK28" i="9"/>
  <c r="AJ28" i="9"/>
  <c r="AH28" i="9"/>
  <c r="AG28" i="9"/>
  <c r="O28" i="9"/>
  <c r="N28" i="9"/>
  <c r="K28" i="9" s="1"/>
  <c r="M28" i="9"/>
  <c r="L28" i="9"/>
  <c r="J28" i="9"/>
  <c r="I28" i="9"/>
  <c r="BE27" i="9"/>
  <c r="AM27" i="9"/>
  <c r="AL27" i="9"/>
  <c r="AI27" i="9" s="1"/>
  <c r="AK27" i="9"/>
  <c r="AJ27" i="9"/>
  <c r="AH27" i="9"/>
  <c r="AG27" i="9"/>
  <c r="O27" i="9"/>
  <c r="N27" i="9"/>
  <c r="K27" i="9" s="1"/>
  <c r="M27" i="9"/>
  <c r="L27" i="9"/>
  <c r="J27" i="9"/>
  <c r="I27" i="9"/>
  <c r="BE26" i="9"/>
  <c r="AM26" i="9"/>
  <c r="AL26" i="9"/>
  <c r="AK26" i="9"/>
  <c r="AJ26" i="9"/>
  <c r="AH26" i="9"/>
  <c r="AG26" i="9"/>
  <c r="O26" i="9"/>
  <c r="N26" i="9"/>
  <c r="K26" i="9" s="1"/>
  <c r="M26" i="9"/>
  <c r="L26" i="9"/>
  <c r="J26" i="9"/>
  <c r="I26" i="9"/>
  <c r="BE25" i="9"/>
  <c r="AM25" i="9"/>
  <c r="AL25" i="9"/>
  <c r="AI25" i="9" s="1"/>
  <c r="AK25" i="9"/>
  <c r="AJ25" i="9"/>
  <c r="AH25" i="9"/>
  <c r="AG25" i="9"/>
  <c r="O25" i="9"/>
  <c r="N25" i="9"/>
  <c r="M25" i="9"/>
  <c r="L25" i="9"/>
  <c r="J25" i="9"/>
  <c r="I25" i="9"/>
  <c r="BE24" i="9"/>
  <c r="AM24" i="9"/>
  <c r="AL24" i="9"/>
  <c r="AI24" i="9" s="1"/>
  <c r="AK24" i="9"/>
  <c r="AJ24" i="9"/>
  <c r="AH24" i="9"/>
  <c r="AG24" i="9"/>
  <c r="O24" i="9"/>
  <c r="N24" i="9"/>
  <c r="K24" i="9" s="1"/>
  <c r="M24" i="9"/>
  <c r="L24" i="9"/>
  <c r="J24" i="9"/>
  <c r="I24" i="9"/>
  <c r="BE23" i="9"/>
  <c r="AM23" i="9"/>
  <c r="AL23" i="9"/>
  <c r="AI23" i="9" s="1"/>
  <c r="AK23" i="9"/>
  <c r="AJ23" i="9"/>
  <c r="AH23" i="9"/>
  <c r="AG23" i="9"/>
  <c r="O23" i="9"/>
  <c r="N23" i="9"/>
  <c r="K23" i="9" s="1"/>
  <c r="M23" i="9"/>
  <c r="L23" i="9"/>
  <c r="J23" i="9"/>
  <c r="I23" i="9"/>
  <c r="BE22" i="9"/>
  <c r="AM22" i="9"/>
  <c r="AL22" i="9"/>
  <c r="AI22" i="9" s="1"/>
  <c r="AK22" i="9"/>
  <c r="AJ22" i="9"/>
  <c r="AH22" i="9"/>
  <c r="AG22" i="9"/>
  <c r="O22" i="9"/>
  <c r="N22" i="9"/>
  <c r="K22" i="9" s="1"/>
  <c r="M22" i="9"/>
  <c r="L22" i="9"/>
  <c r="J22" i="9"/>
  <c r="I22" i="9"/>
  <c r="BE21" i="9"/>
  <c r="AM21" i="9"/>
  <c r="AL21" i="9"/>
  <c r="AI21" i="9" s="1"/>
  <c r="AK21" i="9"/>
  <c r="AJ21" i="9"/>
  <c r="AH21" i="9"/>
  <c r="AG21" i="9"/>
  <c r="O21" i="9"/>
  <c r="N21" i="9"/>
  <c r="M21" i="9"/>
  <c r="L21" i="9"/>
  <c r="J21" i="9"/>
  <c r="I21" i="9"/>
  <c r="BE20" i="9"/>
  <c r="AM20" i="9"/>
  <c r="AL20" i="9"/>
  <c r="BG20" i="9" s="1" a="1"/>
  <c r="AK20" i="9"/>
  <c r="AJ20" i="9"/>
  <c r="AH20" i="9"/>
  <c r="AG20" i="9"/>
  <c r="O20" i="9"/>
  <c r="N20" i="9"/>
  <c r="K20" i="9" s="1"/>
  <c r="M20" i="9"/>
  <c r="L20" i="9"/>
  <c r="J20" i="9"/>
  <c r="I20" i="9"/>
  <c r="BE19" i="9"/>
  <c r="AM19" i="9"/>
  <c r="AL19" i="9"/>
  <c r="BF19" i="9" s="1"/>
  <c r="AK19" i="9"/>
  <c r="AJ19" i="9"/>
  <c r="AH19" i="9"/>
  <c r="AG19" i="9"/>
  <c r="O19" i="9"/>
  <c r="N19" i="9"/>
  <c r="M19" i="9"/>
  <c r="L19" i="9"/>
  <c r="K19" i="9"/>
  <c r="J19" i="9"/>
  <c r="I19" i="9"/>
  <c r="BE18" i="9"/>
  <c r="AM18" i="9"/>
  <c r="AL18" i="9"/>
  <c r="AI18" i="9" s="1"/>
  <c r="AK18" i="9"/>
  <c r="AJ18" i="9"/>
  <c r="AH18" i="9"/>
  <c r="AG18" i="9"/>
  <c r="O18" i="9"/>
  <c r="N18" i="9"/>
  <c r="K18" i="9" s="1"/>
  <c r="M18" i="9"/>
  <c r="L18" i="9"/>
  <c r="J18" i="9"/>
  <c r="I18" i="9"/>
  <c r="BE17" i="9"/>
  <c r="AM17" i="9"/>
  <c r="AL17" i="9"/>
  <c r="AI17" i="9" s="1"/>
  <c r="AK17" i="9"/>
  <c r="AJ17" i="9"/>
  <c r="AH17" i="9"/>
  <c r="AG17" i="9"/>
  <c r="O17" i="9"/>
  <c r="N17" i="9"/>
  <c r="K17" i="9" s="1"/>
  <c r="M17" i="9"/>
  <c r="L17" i="9"/>
  <c r="J17" i="9"/>
  <c r="I17" i="9"/>
  <c r="BE16" i="9"/>
  <c r="AM16" i="9"/>
  <c r="AL16" i="9"/>
  <c r="AI16" i="9" s="1"/>
  <c r="AK16" i="9"/>
  <c r="AJ16" i="9"/>
  <c r="AH16" i="9"/>
  <c r="AG16" i="9"/>
  <c r="O16" i="9"/>
  <c r="N16" i="9"/>
  <c r="K16" i="9" s="1"/>
  <c r="M16" i="9"/>
  <c r="L16" i="9"/>
  <c r="J16" i="9"/>
  <c r="I16" i="9"/>
  <c r="BE15" i="9"/>
  <c r="AM15" i="9"/>
  <c r="AL15" i="9"/>
  <c r="AI15" i="9" s="1"/>
  <c r="AK15" i="9"/>
  <c r="AJ15" i="9"/>
  <c r="AH15" i="9"/>
  <c r="AG15" i="9"/>
  <c r="O15" i="9"/>
  <c r="N15" i="9"/>
  <c r="M15" i="9"/>
  <c r="L15" i="9"/>
  <c r="J15" i="9"/>
  <c r="I15" i="9"/>
  <c r="BE14" i="9"/>
  <c r="AM14" i="9"/>
  <c r="AL14" i="9"/>
  <c r="AI14" i="9" s="1"/>
  <c r="AK14" i="9"/>
  <c r="AJ14" i="9"/>
  <c r="AH14" i="9"/>
  <c r="AG14" i="9"/>
  <c r="O14" i="9"/>
  <c r="N14" i="9"/>
  <c r="M14" i="9"/>
  <c r="L14" i="9"/>
  <c r="J14" i="9"/>
  <c r="I14" i="9"/>
  <c r="BE13" i="9"/>
  <c r="AM13" i="9"/>
  <c r="AL13" i="9"/>
  <c r="AI13" i="9" s="1"/>
  <c r="AK13" i="9"/>
  <c r="AJ13" i="9"/>
  <c r="AH13" i="9"/>
  <c r="AG13" i="9"/>
  <c r="O13" i="9"/>
  <c r="N13" i="9"/>
  <c r="K13" i="9" s="1"/>
  <c r="M13" i="9"/>
  <c r="L13" i="9"/>
  <c r="J13" i="9"/>
  <c r="I13" i="9"/>
  <c r="BE12" i="9"/>
  <c r="AM12" i="9"/>
  <c r="AL12" i="9"/>
  <c r="AI12" i="9" s="1"/>
  <c r="AK12" i="9"/>
  <c r="AJ12" i="9"/>
  <c r="AH12" i="9"/>
  <c r="AG12" i="9"/>
  <c r="O12" i="9"/>
  <c r="N12" i="9"/>
  <c r="K12" i="9" s="1"/>
  <c r="M12" i="9"/>
  <c r="L12" i="9"/>
  <c r="J12" i="9"/>
  <c r="I12" i="9"/>
  <c r="BE11" i="9"/>
  <c r="AM11" i="9"/>
  <c r="AL11" i="9"/>
  <c r="AI11" i="9" s="1"/>
  <c r="AK11" i="9"/>
  <c r="AJ11" i="9"/>
  <c r="AH11" i="9"/>
  <c r="AG11" i="9"/>
  <c r="O11" i="9"/>
  <c r="N11" i="9"/>
  <c r="K11" i="9" s="1"/>
  <c r="M11" i="9"/>
  <c r="L11" i="9"/>
  <c r="J11" i="9"/>
  <c r="I11" i="9"/>
  <c r="BE10" i="9"/>
  <c r="AM10" i="9"/>
  <c r="AL10" i="9"/>
  <c r="BG10" i="9" s="1" a="1"/>
  <c r="AK10" i="9"/>
  <c r="AJ10" i="9"/>
  <c r="AH10" i="9"/>
  <c r="AG10" i="9"/>
  <c r="O10" i="9"/>
  <c r="N10" i="9"/>
  <c r="K10" i="9" s="1"/>
  <c r="M10" i="9"/>
  <c r="L10" i="9"/>
  <c r="J10" i="9"/>
  <c r="I10" i="9"/>
  <c r="BE9" i="9"/>
  <c r="AM9" i="9"/>
  <c r="AL9" i="9"/>
  <c r="AI9" i="9" s="1"/>
  <c r="AK9" i="9"/>
  <c r="AJ9" i="9"/>
  <c r="AH9" i="9"/>
  <c r="AG9" i="9"/>
  <c r="O9" i="9"/>
  <c r="N9" i="9"/>
  <c r="K9" i="9" s="1"/>
  <c r="M9" i="9"/>
  <c r="L9" i="9"/>
  <c r="J9" i="9"/>
  <c r="I9" i="9"/>
  <c r="BE8" i="9"/>
  <c r="AM8" i="9"/>
  <c r="AL8" i="9"/>
  <c r="AK8" i="9"/>
  <c r="AJ8" i="9"/>
  <c r="AH8" i="9"/>
  <c r="AG8" i="9"/>
  <c r="O8" i="9"/>
  <c r="N8" i="9"/>
  <c r="K8" i="9" s="1"/>
  <c r="M8" i="9"/>
  <c r="L8" i="9"/>
  <c r="J8" i="9"/>
  <c r="I8" i="9"/>
  <c r="BE7" i="9"/>
  <c r="AM7" i="9"/>
  <c r="AL7" i="9"/>
  <c r="AI7" i="9" s="1"/>
  <c r="AK7" i="9"/>
  <c r="AJ7" i="9"/>
  <c r="AH7" i="9"/>
  <c r="AG7" i="9"/>
  <c r="O7" i="9"/>
  <c r="N7" i="9"/>
  <c r="K7" i="9" s="1"/>
  <c r="M7" i="9"/>
  <c r="L7" i="9"/>
  <c r="J7" i="9"/>
  <c r="I7" i="9"/>
  <c r="BE6" i="9"/>
  <c r="AM6" i="9"/>
  <c r="AL6" i="9"/>
  <c r="AK6" i="9"/>
  <c r="AJ6" i="9"/>
  <c r="AH6" i="9"/>
  <c r="AG6" i="9"/>
  <c r="O6" i="9"/>
  <c r="N6" i="9"/>
  <c r="K6" i="9" s="1"/>
  <c r="M6" i="9"/>
  <c r="L6" i="9"/>
  <c r="J6" i="9"/>
  <c r="I6" i="9"/>
  <c r="BE5" i="9"/>
  <c r="AM5" i="9"/>
  <c r="AL5" i="9"/>
  <c r="BG5" i="9" s="1" a="1"/>
  <c r="AK5" i="9"/>
  <c r="AJ5" i="9"/>
  <c r="AH5" i="9"/>
  <c r="AG5" i="9"/>
  <c r="O5" i="9"/>
  <c r="N5" i="9"/>
  <c r="M5" i="9"/>
  <c r="L5" i="9"/>
  <c r="J5" i="9"/>
  <c r="I5" i="9"/>
  <c r="BR25" i="9"/>
  <c r="BM20" i="9"/>
  <c r="BO10" i="9"/>
  <c r="BQ10" i="9"/>
  <c r="BQ5" i="9"/>
  <c r="BP20" i="9"/>
  <c r="BS20" i="9"/>
  <c r="BK5" i="9"/>
  <c r="BI10" i="9"/>
  <c r="BQ20" i="9"/>
  <c r="BR15" i="9"/>
  <c r="BJ10" i="9"/>
  <c r="BR20" i="9"/>
  <c r="BQ25" i="9"/>
  <c r="BM25" i="9"/>
  <c r="BM5" i="9"/>
  <c r="BL5" i="9"/>
  <c r="BS10" i="9"/>
  <c r="BO5" i="9"/>
  <c r="BP25" i="9"/>
  <c r="BO20" i="9"/>
  <c r="BM10" i="9"/>
  <c r="BO15" i="9"/>
  <c r="BL15" i="9"/>
  <c r="BR5" i="9"/>
  <c r="BK10" i="9"/>
  <c r="BP15" i="9"/>
  <c r="BS15" i="9"/>
  <c r="BL10" i="9"/>
  <c r="BO25" i="9"/>
  <c r="BS5" i="9"/>
  <c r="BL20" i="9"/>
  <c r="BQ15" i="9"/>
  <c r="BK20" i="9"/>
  <c r="BL25" i="9"/>
  <c r="BK15" i="9"/>
  <c r="BP10" i="9"/>
  <c r="BR10" i="9"/>
  <c r="BS25" i="9"/>
  <c r="BK25" i="9"/>
  <c r="BM15" i="9"/>
  <c r="BP5" i="9"/>
  <c r="BJ15" i="9"/>
  <c r="AZ34" i="9" l="1"/>
  <c r="BF14" i="9"/>
  <c r="BF21" i="9"/>
  <c r="AJ31" i="9"/>
  <c r="BF6" i="9"/>
  <c r="BF28" i="9"/>
  <c r="BC34" i="9"/>
  <c r="BC36" i="9"/>
  <c r="BF25" i="9"/>
  <c r="BG20" i="9"/>
  <c r="AK31" i="9"/>
  <c r="J30" i="9"/>
  <c r="L30" i="9"/>
  <c r="BF8" i="9"/>
  <c r="BF17" i="9"/>
  <c r="M32" i="9"/>
  <c r="BF26" i="9"/>
  <c r="AI6" i="9"/>
  <c r="AI28" i="9"/>
  <c r="BA34" i="9"/>
  <c r="AH30" i="9"/>
  <c r="AI10" i="9"/>
  <c r="BB34" i="9"/>
  <c r="AI20" i="9"/>
  <c r="AI26" i="9"/>
  <c r="AJ30" i="9"/>
  <c r="AK30" i="9"/>
  <c r="AI8" i="9"/>
  <c r="AI19" i="9"/>
  <c r="AH31" i="9"/>
  <c r="AH32" i="9"/>
  <c r="BF7" i="9"/>
  <c r="BF27" i="9"/>
  <c r="BG5" i="9"/>
  <c r="L31" i="9"/>
  <c r="M30" i="9"/>
  <c r="L32" i="9"/>
  <c r="BF18" i="9"/>
  <c r="M31" i="9"/>
  <c r="AZ36" i="9"/>
  <c r="BA36" i="9"/>
  <c r="BG10" i="9"/>
  <c r="BF16" i="9"/>
  <c r="BB36" i="9"/>
  <c r="BF9" i="9"/>
  <c r="J31" i="9"/>
  <c r="BF29" i="9"/>
  <c r="BP30" i="9"/>
  <c r="BP32" i="9"/>
  <c r="BP31" i="9"/>
  <c r="BM32" i="9"/>
  <c r="BM30" i="9"/>
  <c r="BM31" i="9"/>
  <c r="BQ30" i="9"/>
  <c r="BQ32" i="9"/>
  <c r="BQ31" i="9"/>
  <c r="BL32" i="9"/>
  <c r="BL30" i="9"/>
  <c r="BO31" i="9"/>
  <c r="BR32" i="9"/>
  <c r="BR30" i="9"/>
  <c r="BR31" i="9"/>
  <c r="BL31" i="9"/>
  <c r="BO30" i="9"/>
  <c r="BO32" i="9"/>
  <c r="BS32" i="9"/>
  <c r="BS30" i="9"/>
  <c r="BS31" i="9"/>
  <c r="BK30" i="9"/>
  <c r="BK32" i="9"/>
  <c r="BK31" i="9"/>
  <c r="BF5" i="9"/>
  <c r="BF11" i="9"/>
  <c r="BF22" i="9"/>
  <c r="BF23" i="9"/>
  <c r="BF24" i="9"/>
  <c r="BG15" i="9" a="1"/>
  <c r="BG15" i="9" s="1"/>
  <c r="BG25" i="9" a="1"/>
  <c r="BG25" i="9" s="1"/>
  <c r="BG31" i="9" s="1"/>
  <c r="AJ32" i="9"/>
  <c r="AI5" i="9"/>
  <c r="AK32" i="9"/>
  <c r="BF12" i="9"/>
  <c r="BF13" i="9"/>
  <c r="BF15" i="9"/>
  <c r="K5" i="9"/>
  <c r="K14" i="9"/>
  <c r="K15" i="9"/>
  <c r="K21" i="9"/>
  <c r="K25" i="9"/>
  <c r="K31" i="9" s="1"/>
  <c r="J32" i="9"/>
  <c r="BF10" i="9"/>
  <c r="BF20" i="9"/>
  <c r="AE1" i="6"/>
  <c r="AE1" i="5"/>
  <c r="H1" i="6"/>
  <c r="H1" i="5"/>
  <c r="BI5" i="9"/>
  <c r="BJ25" i="9"/>
  <c r="BJ20" i="9"/>
  <c r="BI20" i="9"/>
  <c r="BJ5" i="9"/>
  <c r="BI25" i="9"/>
  <c r="BI15" i="9"/>
  <c r="BJ30" i="9" l="1"/>
  <c r="BG30" i="9"/>
  <c r="BG32" i="9"/>
  <c r="AI31" i="9"/>
  <c r="BJ31" i="9"/>
  <c r="BJ32" i="9"/>
  <c r="BI32" i="9"/>
  <c r="BI30" i="9"/>
  <c r="BI31" i="9"/>
  <c r="AI32" i="9"/>
  <c r="AI30" i="9"/>
  <c r="K32" i="9"/>
  <c r="K30" i="9"/>
  <c r="AZ15" i="6"/>
  <c r="AY15" i="6"/>
  <c r="AX15" i="6"/>
  <c r="AW15" i="6"/>
  <c r="AC15" i="6"/>
  <c r="AB15" i="6"/>
  <c r="AY16" i="6" s="1"/>
  <c r="AA15" i="6"/>
  <c r="AX16" i="6" s="1"/>
  <c r="Z15" i="6"/>
  <c r="AZ13" i="6"/>
  <c r="AY13" i="6"/>
  <c r="AX13" i="6"/>
  <c r="AW13" i="6"/>
  <c r="AC13" i="6"/>
  <c r="AB13" i="6"/>
  <c r="AA13" i="6"/>
  <c r="Z13" i="6"/>
  <c r="BF9" i="6" a="1"/>
  <c r="AL9" i="6"/>
  <c r="AK9" i="6"/>
  <c r="AH9" i="6" s="1"/>
  <c r="AH11" i="6" s="1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K9" i="6"/>
  <c r="K11" i="6" s="1"/>
  <c r="J9" i="6"/>
  <c r="J11" i="6" s="1"/>
  <c r="I9" i="6"/>
  <c r="H9" i="6"/>
  <c r="BF8" i="6" a="1"/>
  <c r="AL8" i="6"/>
  <c r="AK8" i="6"/>
  <c r="AJ8" i="6"/>
  <c r="AI8" i="6"/>
  <c r="AG8" i="6"/>
  <c r="AF8" i="6"/>
  <c r="AE8" i="6"/>
  <c r="O8" i="6"/>
  <c r="N8" i="6"/>
  <c r="K8" i="6" s="1"/>
  <c r="M8" i="6"/>
  <c r="L8" i="6"/>
  <c r="J8" i="6"/>
  <c r="I8" i="6"/>
  <c r="H8" i="6"/>
  <c r="BF7" i="6" a="1"/>
  <c r="AL7" i="6"/>
  <c r="AK7" i="6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BD6" i="6"/>
  <c r="AL6" i="6"/>
  <c r="AK6" i="6"/>
  <c r="AH6" i="6" s="1"/>
  <c r="AJ6" i="6"/>
  <c r="AI6" i="6"/>
  <c r="AG6" i="6"/>
  <c r="AF6" i="6"/>
  <c r="AE6" i="6"/>
  <c r="O6" i="6"/>
  <c r="N6" i="6"/>
  <c r="K6" i="6" s="1"/>
  <c r="M6" i="6"/>
  <c r="L6" i="6"/>
  <c r="J6" i="6"/>
  <c r="I6" i="6"/>
  <c r="H6" i="6"/>
  <c r="BF5" i="6" a="1"/>
  <c r="AL5" i="6"/>
  <c r="AK5" i="6"/>
  <c r="AH5" i="6" s="1"/>
  <c r="AJ5" i="6"/>
  <c r="AI5" i="6"/>
  <c r="AG5" i="6"/>
  <c r="AF5" i="6"/>
  <c r="AE5" i="6"/>
  <c r="O5" i="6"/>
  <c r="N5" i="6"/>
  <c r="M5" i="6"/>
  <c r="BD5" i="6" s="1"/>
  <c r="L5" i="6"/>
  <c r="J5" i="6"/>
  <c r="I5" i="6"/>
  <c r="H5" i="6"/>
  <c r="AZ15" i="5"/>
  <c r="AY15" i="5"/>
  <c r="AX15" i="5"/>
  <c r="AW15" i="5"/>
  <c r="AC15" i="5"/>
  <c r="AZ16" i="5" s="1"/>
  <c r="AB15" i="5"/>
  <c r="AA15" i="5"/>
  <c r="Z15" i="5"/>
  <c r="AZ13" i="5"/>
  <c r="AY13" i="5"/>
  <c r="AX13" i="5"/>
  <c r="AW13" i="5"/>
  <c r="AC13" i="5"/>
  <c r="AB13" i="5"/>
  <c r="AY14" i="5" s="1"/>
  <c r="AA13" i="5"/>
  <c r="AX14" i="5" s="1"/>
  <c r="Z13" i="5"/>
  <c r="AW14" i="5" s="1"/>
  <c r="BF9" i="5" a="1"/>
  <c r="AL9" i="5"/>
  <c r="AK9" i="5"/>
  <c r="AH9" i="5" s="1"/>
  <c r="AH11" i="5" s="1"/>
  <c r="AJ9" i="5"/>
  <c r="AJ11" i="5" s="1"/>
  <c r="AI9" i="5"/>
  <c r="AI11" i="5" s="1"/>
  <c r="AG9" i="5"/>
  <c r="AF9" i="5"/>
  <c r="AE9" i="5"/>
  <c r="O9" i="5"/>
  <c r="N9" i="5"/>
  <c r="M9" i="5"/>
  <c r="M11" i="5" s="1"/>
  <c r="L9" i="5"/>
  <c r="L11" i="5" s="1"/>
  <c r="BC11" i="5" s="1"/>
  <c r="J9" i="5"/>
  <c r="J11" i="5" s="1"/>
  <c r="I9" i="5"/>
  <c r="H9" i="5"/>
  <c r="BF8" i="5" a="1"/>
  <c r="AL8" i="5"/>
  <c r="AK8" i="5"/>
  <c r="AH8" i="5" s="1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AL6" i="5"/>
  <c r="AK6" i="5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H5" i="5" s="1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K29" i="3"/>
  <c r="AJ29" i="3"/>
  <c r="AH29" i="3"/>
  <c r="AG29" i="3"/>
  <c r="O29" i="3"/>
  <c r="N29" i="3"/>
  <c r="K29" i="3" s="1"/>
  <c r="M29" i="3"/>
  <c r="L29" i="3"/>
  <c r="J29" i="3"/>
  <c r="I29" i="3"/>
  <c r="BE28" i="3"/>
  <c r="AM28" i="3"/>
  <c r="AL28" i="3"/>
  <c r="AK28" i="3"/>
  <c r="AJ28" i="3"/>
  <c r="AH28" i="3"/>
  <c r="AG28" i="3"/>
  <c r="O28" i="3"/>
  <c r="N28" i="3"/>
  <c r="K28" i="3" s="1"/>
  <c r="M28" i="3"/>
  <c r="L28" i="3"/>
  <c r="J28" i="3"/>
  <c r="I28" i="3"/>
  <c r="BE27" i="3"/>
  <c r="AM27" i="3"/>
  <c r="AL27" i="3"/>
  <c r="AK27" i="3"/>
  <c r="AJ27" i="3"/>
  <c r="AH27" i="3"/>
  <c r="AG27" i="3"/>
  <c r="O27" i="3"/>
  <c r="N27" i="3"/>
  <c r="K27" i="3" s="1"/>
  <c r="M27" i="3"/>
  <c r="L27" i="3"/>
  <c r="J27" i="3"/>
  <c r="I27" i="3"/>
  <c r="BE26" i="3"/>
  <c r="AM26" i="3"/>
  <c r="AL26" i="3"/>
  <c r="AK26" i="3"/>
  <c r="AJ26" i="3"/>
  <c r="AH26" i="3"/>
  <c r="AG26" i="3"/>
  <c r="O26" i="3"/>
  <c r="N26" i="3"/>
  <c r="K26" i="3" s="1"/>
  <c r="M26" i="3"/>
  <c r="L26" i="3"/>
  <c r="J26" i="3"/>
  <c r="I26" i="3"/>
  <c r="BG25" i="3" a="1"/>
  <c r="BE25" i="3"/>
  <c r="AM25" i="3"/>
  <c r="AL25" i="3"/>
  <c r="AI25" i="3" s="1"/>
  <c r="AK25" i="3"/>
  <c r="AJ25" i="3"/>
  <c r="AH25" i="3"/>
  <c r="AG25" i="3"/>
  <c r="O25" i="3"/>
  <c r="N25" i="3"/>
  <c r="K25" i="3" s="1"/>
  <c r="M25" i="3"/>
  <c r="L25" i="3"/>
  <c r="J25" i="3"/>
  <c r="I25" i="3"/>
  <c r="BE24" i="3"/>
  <c r="AM24" i="3"/>
  <c r="AL24" i="3"/>
  <c r="AK24" i="3"/>
  <c r="AJ24" i="3"/>
  <c r="AH24" i="3"/>
  <c r="AG24" i="3"/>
  <c r="O24" i="3"/>
  <c r="N24" i="3"/>
  <c r="K24" i="3" s="1"/>
  <c r="M24" i="3"/>
  <c r="L24" i="3"/>
  <c r="J24" i="3"/>
  <c r="I24" i="3"/>
  <c r="BE23" i="3"/>
  <c r="AM23" i="3"/>
  <c r="AL23" i="3"/>
  <c r="AK23" i="3"/>
  <c r="AJ23" i="3"/>
  <c r="AH23" i="3"/>
  <c r="AG23" i="3"/>
  <c r="O23" i="3"/>
  <c r="N23" i="3"/>
  <c r="K23" i="3" s="1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K22" i="3" s="1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K21" i="3" s="1"/>
  <c r="M21" i="3"/>
  <c r="L21" i="3"/>
  <c r="J21" i="3"/>
  <c r="I21" i="3"/>
  <c r="BE20" i="3"/>
  <c r="AM20" i="3"/>
  <c r="AL20" i="3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K19" i="3"/>
  <c r="AJ19" i="3"/>
  <c r="AH19" i="3"/>
  <c r="AG19" i="3"/>
  <c r="O19" i="3"/>
  <c r="N19" i="3"/>
  <c r="K19" i="3" s="1"/>
  <c r="M19" i="3"/>
  <c r="L19" i="3"/>
  <c r="J19" i="3"/>
  <c r="I19" i="3"/>
  <c r="BE18" i="3"/>
  <c r="AM18" i="3"/>
  <c r="AL18" i="3"/>
  <c r="AK18" i="3"/>
  <c r="AJ18" i="3"/>
  <c r="AH18" i="3"/>
  <c r="AG18" i="3"/>
  <c r="O18" i="3"/>
  <c r="N18" i="3"/>
  <c r="K18" i="3" s="1"/>
  <c r="M18" i="3"/>
  <c r="L18" i="3"/>
  <c r="J18" i="3"/>
  <c r="I18" i="3"/>
  <c r="BE17" i="3"/>
  <c r="AM17" i="3"/>
  <c r="AL17" i="3"/>
  <c r="AK17" i="3"/>
  <c r="AJ17" i="3"/>
  <c r="AH17" i="3"/>
  <c r="AG17" i="3"/>
  <c r="O17" i="3"/>
  <c r="N17" i="3"/>
  <c r="K17" i="3" s="1"/>
  <c r="M17" i="3"/>
  <c r="L17" i="3"/>
  <c r="J17" i="3"/>
  <c r="I17" i="3"/>
  <c r="BE16" i="3"/>
  <c r="AM16" i="3"/>
  <c r="AL16" i="3"/>
  <c r="AK16" i="3"/>
  <c r="AJ16" i="3"/>
  <c r="AH16" i="3"/>
  <c r="AG16" i="3"/>
  <c r="O16" i="3"/>
  <c r="N16" i="3"/>
  <c r="K16" i="3" s="1"/>
  <c r="M16" i="3"/>
  <c r="L16" i="3"/>
  <c r="J16" i="3"/>
  <c r="I16" i="3"/>
  <c r="BG15" i="3" a="1"/>
  <c r="BE15" i="3"/>
  <c r="AM15" i="3"/>
  <c r="AL15" i="3"/>
  <c r="AI15" i="3" s="1"/>
  <c r="AK15" i="3"/>
  <c r="AJ15" i="3"/>
  <c r="AH15" i="3"/>
  <c r="AG15" i="3"/>
  <c r="O15" i="3"/>
  <c r="N15" i="3"/>
  <c r="K15" i="3" s="1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K14" i="3" s="1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K11" i="3" s="1"/>
  <c r="M11" i="3"/>
  <c r="L11" i="3"/>
  <c r="J11" i="3"/>
  <c r="I11" i="3"/>
  <c r="BE10" i="3"/>
  <c r="AM10" i="3"/>
  <c r="AL10" i="3"/>
  <c r="AK10" i="3"/>
  <c r="AJ10" i="3"/>
  <c r="AH10" i="3"/>
  <c r="AG10" i="3"/>
  <c r="O10" i="3"/>
  <c r="N10" i="3"/>
  <c r="K10" i="3" s="1"/>
  <c r="M10" i="3"/>
  <c r="L10" i="3"/>
  <c r="J10" i="3"/>
  <c r="I10" i="3"/>
  <c r="BE9" i="3"/>
  <c r="AM9" i="3"/>
  <c r="AL9" i="3"/>
  <c r="AK9" i="3"/>
  <c r="AJ9" i="3"/>
  <c r="AH9" i="3"/>
  <c r="AG9" i="3"/>
  <c r="O9" i="3"/>
  <c r="N9" i="3"/>
  <c r="K9" i="3" s="1"/>
  <c r="M9" i="3"/>
  <c r="L9" i="3"/>
  <c r="J9" i="3"/>
  <c r="I9" i="3"/>
  <c r="BE8" i="3"/>
  <c r="AM8" i="3"/>
  <c r="AL8" i="3"/>
  <c r="AK8" i="3"/>
  <c r="AJ8" i="3"/>
  <c r="AH8" i="3"/>
  <c r="AG8" i="3"/>
  <c r="O8" i="3"/>
  <c r="N8" i="3"/>
  <c r="K8" i="3" s="1"/>
  <c r="M8" i="3"/>
  <c r="L8" i="3"/>
  <c r="J8" i="3"/>
  <c r="I8" i="3"/>
  <c r="BE7" i="3"/>
  <c r="AM7" i="3"/>
  <c r="AL7" i="3"/>
  <c r="AK7" i="3"/>
  <c r="AJ7" i="3"/>
  <c r="AH7" i="3"/>
  <c r="AG7" i="3"/>
  <c r="O7" i="3"/>
  <c r="N7" i="3"/>
  <c r="K7" i="3" s="1"/>
  <c r="M7" i="3"/>
  <c r="L7" i="3"/>
  <c r="J7" i="3"/>
  <c r="I7" i="3"/>
  <c r="BE6" i="3"/>
  <c r="AM6" i="3"/>
  <c r="AL6" i="3"/>
  <c r="AK6" i="3"/>
  <c r="AJ6" i="3"/>
  <c r="AH6" i="3"/>
  <c r="AG6" i="3"/>
  <c r="O6" i="3"/>
  <c r="N6" i="3"/>
  <c r="K6" i="3" s="1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K5" i="3" s="1"/>
  <c r="M5" i="3"/>
  <c r="L5" i="3"/>
  <c r="J5" i="3"/>
  <c r="I5" i="3"/>
  <c r="B2" i="2"/>
  <c r="B1" i="2"/>
  <c r="BS25" i="3"/>
  <c r="BS15" i="3"/>
  <c r="BS10" i="3"/>
  <c r="BL10" i="3"/>
  <c r="BM20" i="3"/>
  <c r="BM10" i="3"/>
  <c r="BQ10" i="3"/>
  <c r="BP5" i="3"/>
  <c r="BL15" i="3"/>
  <c r="BP25" i="3"/>
  <c r="BL25" i="3"/>
  <c r="BR20" i="3"/>
  <c r="BK25" i="3"/>
  <c r="BS5" i="3"/>
  <c r="BL20" i="3"/>
  <c r="BK15" i="3"/>
  <c r="BO10" i="3"/>
  <c r="BM25" i="3"/>
  <c r="BP15" i="3"/>
  <c r="BM5" i="3"/>
  <c r="BQ5" i="3"/>
  <c r="BM15" i="3"/>
  <c r="BS20" i="3"/>
  <c r="BR5" i="3"/>
  <c r="BL5" i="3"/>
  <c r="BO5" i="3"/>
  <c r="BO20" i="3"/>
  <c r="BQ20" i="3"/>
  <c r="BR25" i="3"/>
  <c r="BK5" i="3"/>
  <c r="BO25" i="3"/>
  <c r="BP10" i="3"/>
  <c r="BK20" i="3"/>
  <c r="BP20" i="3"/>
  <c r="BO15" i="3"/>
  <c r="BK10" i="3"/>
  <c r="BR15" i="3"/>
  <c r="BR10" i="3"/>
  <c r="BQ15" i="3"/>
  <c r="BQ25" i="3"/>
  <c r="BF24" i="3" l="1"/>
  <c r="BF23" i="3"/>
  <c r="BC34" i="3"/>
  <c r="AI23" i="3"/>
  <c r="BF12" i="3"/>
  <c r="AZ16" i="6"/>
  <c r="BE5" i="6"/>
  <c r="AI12" i="6"/>
  <c r="BC6" i="6"/>
  <c r="BC8" i="6"/>
  <c r="AI12" i="5"/>
  <c r="BC8" i="5"/>
  <c r="BD8" i="5"/>
  <c r="BF9" i="5"/>
  <c r="BF11" i="5" s="1"/>
  <c r="BC7" i="5"/>
  <c r="AI24" i="3"/>
  <c r="AK31" i="3"/>
  <c r="BF11" i="3"/>
  <c r="BF13" i="3"/>
  <c r="BB34" i="3"/>
  <c r="BE7" i="6"/>
  <c r="K13" i="3"/>
  <c r="K12" i="3"/>
  <c r="BF22" i="3"/>
  <c r="BA34" i="3"/>
  <c r="BF21" i="3"/>
  <c r="BG25" i="3"/>
  <c r="BG31" i="3" s="1"/>
  <c r="BB5" i="6"/>
  <c r="BB8" i="6"/>
  <c r="AW14" i="6"/>
  <c r="BB7" i="5"/>
  <c r="BB6" i="5"/>
  <c r="E41" i="1"/>
  <c r="F41" i="1"/>
  <c r="G41" i="1"/>
  <c r="J41" i="1"/>
  <c r="E42" i="1"/>
  <c r="BM31" i="3"/>
  <c r="G10" i="1" s="1"/>
  <c r="BK31" i="3"/>
  <c r="E10" i="1" s="1"/>
  <c r="BL31" i="3"/>
  <c r="F10" i="1" s="1"/>
  <c r="BF5" i="3"/>
  <c r="BF14" i="3"/>
  <c r="BG5" i="3"/>
  <c r="AK32" i="3"/>
  <c r="BF25" i="3"/>
  <c r="AZ36" i="3"/>
  <c r="C12" i="1" s="1"/>
  <c r="AH31" i="3"/>
  <c r="BF9" i="6"/>
  <c r="BF11" i="6" s="1"/>
  <c r="C33" i="1"/>
  <c r="BF5" i="5"/>
  <c r="C19" i="1"/>
  <c r="M30" i="3"/>
  <c r="BG15" i="3"/>
  <c r="BO31" i="3"/>
  <c r="BS31" i="3"/>
  <c r="BP30" i="3"/>
  <c r="BM32" i="3"/>
  <c r="G11" i="1" s="1"/>
  <c r="BP31" i="3"/>
  <c r="BA36" i="3"/>
  <c r="BQ31" i="3"/>
  <c r="AZ34" i="3"/>
  <c r="BB36" i="3"/>
  <c r="BF15" i="3"/>
  <c r="J31" i="3"/>
  <c r="BR31" i="3"/>
  <c r="BC36" i="3"/>
  <c r="BK30" i="3"/>
  <c r="E9" i="1" s="1"/>
  <c r="BS30" i="3"/>
  <c r="BL32" i="3"/>
  <c r="F11" i="1" s="1"/>
  <c r="G40" i="1"/>
  <c r="E40" i="1"/>
  <c r="L12" i="6"/>
  <c r="BC12" i="6" s="1"/>
  <c r="BE6" i="6"/>
  <c r="BF6" i="6"/>
  <c r="BC5" i="6"/>
  <c r="BB7" i="6"/>
  <c r="L10" i="6"/>
  <c r="AW16" i="6"/>
  <c r="BD7" i="5"/>
  <c r="AW16" i="5"/>
  <c r="BD9" i="5"/>
  <c r="AX16" i="5"/>
  <c r="M10" i="5"/>
  <c r="BE5" i="5"/>
  <c r="BF7" i="6"/>
  <c r="BF8" i="6"/>
  <c r="K5" i="6"/>
  <c r="K12" i="6" s="1"/>
  <c r="BC9" i="6"/>
  <c r="AY14" i="6"/>
  <c r="BC11" i="6"/>
  <c r="AX14" i="6"/>
  <c r="BF5" i="6"/>
  <c r="BF12" i="6" s="1"/>
  <c r="BD9" i="6"/>
  <c r="AZ14" i="6"/>
  <c r="BD8" i="6"/>
  <c r="BD11" i="5"/>
  <c r="AZ14" i="5"/>
  <c r="BE8" i="5"/>
  <c r="BF8" i="5"/>
  <c r="BC9" i="5"/>
  <c r="M12" i="5"/>
  <c r="AY16" i="5"/>
  <c r="BD5" i="5"/>
  <c r="BE9" i="5"/>
  <c r="K9" i="5"/>
  <c r="K11" i="5" s="1"/>
  <c r="BB8" i="5"/>
  <c r="AG12" i="5"/>
  <c r="AG10" i="5"/>
  <c r="F40" i="1"/>
  <c r="F42" i="1"/>
  <c r="L30" i="3"/>
  <c r="AI6" i="3"/>
  <c r="BF6" i="3"/>
  <c r="BO32" i="3"/>
  <c r="BO30" i="3"/>
  <c r="AH30" i="3"/>
  <c r="K31" i="3"/>
  <c r="AI27" i="3"/>
  <c r="BF27" i="3"/>
  <c r="BD7" i="6"/>
  <c r="BB11" i="6"/>
  <c r="AH6" i="5"/>
  <c r="AH10" i="5" s="1"/>
  <c r="BE6" i="5"/>
  <c r="M12" i="6"/>
  <c r="M10" i="6"/>
  <c r="AI29" i="3"/>
  <c r="BF29" i="3"/>
  <c r="BB6" i="6"/>
  <c r="AI17" i="3"/>
  <c r="BF17" i="3"/>
  <c r="BF6" i="5" a="1"/>
  <c r="BF6" i="5" s="1"/>
  <c r="BS32" i="3"/>
  <c r="BG10" i="3" a="1"/>
  <c r="BG10" i="3" s="1"/>
  <c r="AI10" i="3"/>
  <c r="BF10" i="3"/>
  <c r="K10" i="5"/>
  <c r="AI8" i="3"/>
  <c r="BF8" i="3"/>
  <c r="L31" i="3"/>
  <c r="AJ30" i="3"/>
  <c r="AJ32" i="3"/>
  <c r="L32" i="3"/>
  <c r="BP32" i="3"/>
  <c r="AG12" i="6"/>
  <c r="BL30" i="3"/>
  <c r="F9" i="1" s="1"/>
  <c r="AH32" i="3"/>
  <c r="L12" i="5"/>
  <c r="BC12" i="5" s="1"/>
  <c r="L10" i="5"/>
  <c r="BE7" i="5"/>
  <c r="AH7" i="5"/>
  <c r="BQ30" i="3"/>
  <c r="BQ32" i="3"/>
  <c r="AI9" i="3"/>
  <c r="BF9" i="3"/>
  <c r="K20" i="3"/>
  <c r="AJ31" i="3"/>
  <c r="AI28" i="3"/>
  <c r="BF28" i="3"/>
  <c r="BM30" i="3"/>
  <c r="G9" i="1" s="1"/>
  <c r="AJ12" i="5"/>
  <c r="AJ12" i="6"/>
  <c r="AH7" i="6"/>
  <c r="AH10" i="6" s="1"/>
  <c r="BD11" i="6"/>
  <c r="G42" i="1"/>
  <c r="J30" i="3"/>
  <c r="J32" i="3"/>
  <c r="BR30" i="3"/>
  <c r="BR32" i="3"/>
  <c r="AI16" i="3"/>
  <c r="BF16" i="3"/>
  <c r="BG20" i="3" a="1"/>
  <c r="BG20" i="3" s="1"/>
  <c r="AI20" i="3"/>
  <c r="BF20" i="3"/>
  <c r="AI10" i="5"/>
  <c r="BC7" i="6"/>
  <c r="BB9" i="6"/>
  <c r="AG10" i="6"/>
  <c r="AK30" i="3"/>
  <c r="BK32" i="3"/>
  <c r="E11" i="1" s="1"/>
  <c r="AI19" i="3"/>
  <c r="BF19" i="3"/>
  <c r="BC5" i="5"/>
  <c r="BF7" i="5" a="1"/>
  <c r="BF7" i="5" s="1"/>
  <c r="BB9" i="5"/>
  <c r="AG11" i="5"/>
  <c r="BB11" i="5" s="1"/>
  <c r="M32" i="3"/>
  <c r="AI7" i="3"/>
  <c r="BF7" i="3"/>
  <c r="AI26" i="3"/>
  <c r="BF26" i="3"/>
  <c r="BC6" i="5"/>
  <c r="BE8" i="6"/>
  <c r="AH8" i="6"/>
  <c r="AI18" i="3"/>
  <c r="BF18" i="3"/>
  <c r="M31" i="3"/>
  <c r="J12" i="5"/>
  <c r="J10" i="5"/>
  <c r="BB5" i="5"/>
  <c r="BD6" i="5"/>
  <c r="J12" i="6"/>
  <c r="J10" i="6"/>
  <c r="AI10" i="6"/>
  <c r="AJ10" i="5"/>
  <c r="BD10" i="5" s="1"/>
  <c r="AJ10" i="6"/>
  <c r="BJ5" i="3"/>
  <c r="BJ10" i="3"/>
  <c r="BI10" i="3"/>
  <c r="BJ15" i="3"/>
  <c r="BI25" i="3"/>
  <c r="BJ25" i="3"/>
  <c r="BJ20" i="3"/>
  <c r="BI5" i="3"/>
  <c r="BI20" i="3"/>
  <c r="BI15" i="3"/>
  <c r="BG32" i="3" l="1"/>
  <c r="BF10" i="5"/>
  <c r="BJ31" i="3"/>
  <c r="D10" i="1" s="1"/>
  <c r="BG30" i="3"/>
  <c r="K30" i="3"/>
  <c r="AH12" i="6"/>
  <c r="BF10" i="6"/>
  <c r="BF12" i="5"/>
  <c r="C41" i="1"/>
  <c r="D41" i="1"/>
  <c r="BI31" i="3"/>
  <c r="C10" i="1" s="1"/>
  <c r="BJ32" i="3"/>
  <c r="D11" i="1" s="1"/>
  <c r="BJ30" i="3"/>
  <c r="D9" i="1" s="1"/>
  <c r="D30" i="1"/>
  <c r="C32" i="1"/>
  <c r="C30" i="1"/>
  <c r="E30" i="1"/>
  <c r="D31" i="1"/>
  <c r="E19" i="1"/>
  <c r="C22" i="1"/>
  <c r="E18" i="1"/>
  <c r="C20" i="1"/>
  <c r="C21" i="1"/>
  <c r="D19" i="1"/>
  <c r="L41" i="1"/>
  <c r="I42" i="1"/>
  <c r="C44" i="1"/>
  <c r="J42" i="1"/>
  <c r="H42" i="1"/>
  <c r="H40" i="1"/>
  <c r="K42" i="1"/>
  <c r="H41" i="1"/>
  <c r="L42" i="1"/>
  <c r="I40" i="1"/>
  <c r="J40" i="1"/>
  <c r="K40" i="1"/>
  <c r="K41" i="1"/>
  <c r="C43" i="1"/>
  <c r="L40" i="1"/>
  <c r="I41" i="1"/>
  <c r="K10" i="1"/>
  <c r="I11" i="1"/>
  <c r="K32" i="3"/>
  <c r="L11" i="1"/>
  <c r="J10" i="1"/>
  <c r="C13" i="1"/>
  <c r="H10" i="1"/>
  <c r="K9" i="1"/>
  <c r="J11" i="1"/>
  <c r="H11" i="1"/>
  <c r="I9" i="1"/>
  <c r="K11" i="1"/>
  <c r="H9" i="1"/>
  <c r="L9" i="1"/>
  <c r="J9" i="1"/>
  <c r="I10" i="1"/>
  <c r="L10" i="1"/>
  <c r="AI31" i="3"/>
  <c r="BC10" i="6"/>
  <c r="BI30" i="3"/>
  <c r="C9" i="1" s="1"/>
  <c r="AH12" i="5"/>
  <c r="K10" i="6"/>
  <c r="BD12" i="5"/>
  <c r="BC10" i="5"/>
  <c r="K12" i="5"/>
  <c r="D42" i="1"/>
  <c r="D40" i="1"/>
  <c r="BD12" i="6"/>
  <c r="BD10" i="6"/>
  <c r="BB10" i="6"/>
  <c r="BB12" i="5"/>
  <c r="BB10" i="5"/>
  <c r="BI32" i="3"/>
  <c r="C11" i="1" s="1"/>
  <c r="C42" i="1"/>
  <c r="C40" i="1"/>
  <c r="BB12" i="6"/>
  <c r="AI30" i="3"/>
  <c r="AI32" i="3"/>
  <c r="D29" i="1" l="1"/>
  <c r="C31" i="1"/>
  <c r="C29" i="1"/>
  <c r="E29" i="1"/>
  <c r="E31" i="1"/>
  <c r="C18" i="1"/>
  <c r="D18" i="1"/>
  <c r="E20" i="1"/>
  <c r="D20" i="1"/>
</calcChain>
</file>

<file path=xl/sharedStrings.xml><?xml version="1.0" encoding="utf-8"?>
<sst xmlns="http://schemas.openxmlformats.org/spreadsheetml/2006/main" count="1352" uniqueCount="551">
  <si>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</si>
  <si>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</si>
  <si>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</si>
  <si>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</si>
  <si>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</si>
  <si>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</si>
  <si>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</si>
  <si>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</si>
  <si>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</si>
  <si>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</si>
  <si>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</si>
  <si>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</si>
  <si>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</si>
  <si>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</si>
  <si>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</si>
  <si>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</si>
  <si>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</si>
  <si>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</si>
  <si>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</si>
  <si>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</si>
  <si>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</si>
  <si>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</si>
  <si>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</si>
  <si>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</si>
  <si>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</si>
  <si>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</si>
  <si>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</si>
  <si>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</si>
  <si>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</si>
  <si>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</si>
  <si>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</si>
  <si>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</si>
  <si>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</si>
  <si>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</si>
  <si>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</si>
  <si>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</si>
  <si>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</si>
  <si>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</si>
  <si>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</si>
  <si>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</si>
  <si>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</si>
  <si>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</si>
  <si>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</si>
  <si>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</si>
  <si>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</si>
  <si>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</si>
  <si>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</si>
  <si>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</si>
  <si>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</si>
  <si>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</si>
  <si>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</si>
  <si>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</si>
  <si>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</si>
  <si>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</si>
  <si>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</si>
  <si>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</si>
  <si>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</si>
  <si>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</si>
  <si>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</si>
  <si>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</si>
  <si>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</si>
  <si>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</si>
  <si>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</si>
  <si>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</si>
  <si>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</si>
  <si>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</si>
  <si>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</si>
  <si>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</si>
  <si>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</si>
  <si>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</si>
  <si>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</si>
  <si>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</si>
  <si>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</si>
  <si>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</si>
  <si>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</si>
  <si>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</si>
  <si>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</si>
  <si>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</si>
  <si>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</si>
  <si>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</si>
  <si>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</si>
  <si>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</si>
  <si>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</si>
  <si>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</si>
  <si>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</si>
  <si>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</si>
  <si>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</si>
  <si>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</si>
  <si>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</si>
  <si>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</si>
  <si>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</si>
  <si>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</si>
  <si>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</si>
  <si>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</si>
  <si>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</si>
  <si>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</si>
  <si>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</si>
  <si>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</si>
  <si>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</si>
  <si>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</si>
  <si>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</si>
  <si>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</si>
  <si>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</si>
  <si>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</si>
  <si>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</si>
  <si>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</si>
  <si>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</si>
  <si>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</si>
  <si>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</si>
  <si>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</si>
  <si>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</si>
  <si>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</si>
  <si>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</si>
  <si>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</si>
  <si>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</si>
  <si>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</si>
  <si>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</si>
  <si>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</si>
  <si>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</si>
  <si>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</si>
  <si>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</si>
  <si>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</si>
  <si>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</si>
  <si>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</si>
  <si>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</si>
  <si>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</si>
  <si>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</si>
  <si>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</si>
  <si>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</si>
  <si>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</si>
  <si>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</si>
  <si>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</si>
  <si>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</si>
  <si>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</si>
  <si>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</si>
  <si>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</si>
  <si>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</si>
  <si>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</si>
  <si>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</si>
  <si>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</si>
  <si>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</si>
  <si>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</si>
  <si>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</si>
  <si>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</si>
  <si>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</si>
  <si>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</si>
  <si>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</si>
  <si>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</si>
  <si>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</si>
  <si>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</si>
  <si>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</si>
  <si>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</si>
  <si>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</si>
  <si>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</si>
  <si>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</si>
  <si>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</si>
  <si>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</si>
  <si>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</si>
  <si>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</si>
  <si>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</si>
  <si>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</si>
  <si>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</si>
  <si>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</si>
  <si>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</si>
  <si>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</si>
  <si>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</si>
  <si>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</si>
  <si>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</si>
  <si>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</si>
  <si>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</si>
  <si>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</si>
  <si>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</si>
  <si>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</si>
  <si>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</si>
  <si>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</si>
  <si>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</si>
  <si>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</si>
  <si>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</si>
  <si>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</si>
  <si>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</si>
  <si>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</si>
  <si>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</si>
  <si>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</si>
  <si>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</si>
  <si>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</si>
  <si>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</si>
  <si>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</si>
  <si>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</si>
  <si>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</si>
  <si>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</si>
  <si>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</si>
  <si>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</si>
  <si>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</si>
  <si>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</si>
  <si>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</si>
  <si>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</si>
  <si>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</si>
  <si>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</si>
  <si>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</si>
  <si>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</si>
  <si>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</si>
  <si>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</si>
  <si>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</si>
  <si>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</si>
  <si>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</si>
  <si>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</si>
  <si>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</si>
  <si>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</si>
  <si>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</si>
  <si>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</si>
  <si>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</si>
  <si>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</si>
  <si>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</si>
  <si>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</si>
  <si>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</si>
  <si>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</si>
  <si>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</si>
  <si>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</si>
  <si>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</si>
  <si>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</si>
  <si>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</si>
  <si>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</si>
  <si>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</si>
  <si>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</si>
  <si>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</si>
  <si>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</si>
  <si>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</si>
  <si>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</si>
  <si>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</si>
  <si>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</si>
  <si>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</si>
  <si>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</si>
  <si>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</si>
  <si>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</si>
  <si>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</si>
  <si>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</si>
  <si>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</si>
  <si>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</si>
  <si>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</si>
  <si>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</si>
  <si>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</si>
  <si>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</si>
  <si>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</si>
  <si>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</si>
  <si>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</si>
  <si>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</si>
  <si>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</si>
  <si>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</si>
  <si>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</si>
  <si>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</si>
  <si>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</si>
  <si>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</si>
  <si>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</si>
  <si>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</si>
  <si>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</si>
  <si>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</si>
  <si>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</si>
  <si>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</si>
  <si>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</si>
  <si>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</si>
  <si>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</si>
  <si>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</si>
  <si>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</si>
  <si>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</si>
  <si>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</si>
  <si>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</si>
  <si>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</si>
  <si>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</si>
  <si>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</si>
  <si>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</si>
  <si>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</si>
  <si>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</si>
  <si>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</si>
  <si>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</si>
  <si>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</si>
  <si>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</si>
  <si>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</si>
  <si>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</si>
  <si>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</si>
  <si>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</si>
  <si>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</si>
  <si>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</si>
  <si>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</si>
  <si>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</si>
  <si>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</si>
  <si>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</si>
  <si>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</si>
  <si>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</si>
  <si>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</si>
  <si>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</si>
  <si>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</si>
  <si>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</si>
  <si>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</si>
  <si>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</si>
  <si>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</si>
  <si>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</si>
  <si>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</si>
  <si>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</si>
  <si>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</si>
  <si>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</si>
  <si>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</si>
  <si>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</si>
  <si>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</si>
  <si>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</si>
  <si>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</si>
  <si>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</si>
  <si>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</si>
  <si>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</si>
  <si>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</si>
  <si>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</si>
  <si>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</si>
  <si>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</si>
  <si>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</si>
  <si>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</si>
  <si>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</si>
  <si>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</si>
  <si>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</si>
  <si>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</si>
  <si>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</si>
  <si>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</si>
  <si>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</si>
  <si>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</si>
  <si>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</si>
  <si>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</si>
  <si>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</si>
  <si>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</si>
  <si>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</si>
  <si>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</si>
  <si>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</si>
  <si>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</si>
  <si>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</si>
  <si>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</si>
  <si>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</si>
  <si>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</si>
  <si>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</si>
  <si>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</si>
  <si>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</si>
  <si>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</si>
  <si>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</si>
  <si>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</si>
  <si>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</si>
  <si>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</si>
  <si>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</si>
  <si>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</si>
  <si>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</si>
  <si>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</si>
  <si>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</si>
  <si>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</si>
  <si>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</si>
  <si>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</si>
  <si>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</si>
  <si>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</si>
  <si>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</si>
  <si>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</si>
  <si>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</si>
  <si>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</si>
  <si>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</si>
  <si>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</si>
  <si>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</si>
  <si>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</si>
  <si>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</si>
  <si>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</si>
  <si>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</si>
  <si>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</si>
  <si>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</si>
  <si>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</si>
  <si>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</si>
  <si>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</si>
  <si>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</si>
  <si>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</si>
  <si>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</si>
  <si>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</si>
  <si>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</si>
  <si>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</si>
  <si>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</si>
  <si>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</si>
  <si>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</si>
  <si>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</si>
  <si>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</si>
  <si>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</si>
  <si>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</si>
  <si>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</si>
  <si>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</si>
  <si>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</si>
  <si>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</si>
  <si>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</si>
  <si>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</si>
  <si>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</si>
  <si>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</si>
  <si>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</si>
  <si>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</si>
  <si>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</si>
  <si>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</si>
  <si>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</si>
  <si>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</si>
  <si>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</si>
  <si>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</si>
  <si>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</si>
  <si>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</si>
  <si>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</si>
  <si>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</si>
  <si>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</si>
  <si>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</si>
  <si>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</si>
  <si>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</si>
  <si>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</si>
  <si>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</si>
  <si>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</si>
  <si>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</si>
  <si>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</si>
  <si>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</si>
  <si>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</si>
  <si>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</si>
  <si>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</si>
  <si>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</si>
  <si>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</si>
  <si>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</si>
  <si>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</si>
  <si>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</si>
  <si>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</si>
  <si>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</si>
  <si>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</si>
  <si>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</si>
  <si>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</si>
  <si>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</si>
  <si>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</si>
  <si>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</si>
  <si>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</si>
  <si>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</si>
  <si>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</si>
  <si>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</si>
  <si>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</si>
  <si>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</si>
  <si>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</si>
  <si>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</si>
  <si>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</si>
  <si>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</si>
  <si>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</si>
  <si>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</si>
  <si>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</si>
  <si>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</si>
  <si>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</si>
  <si>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</si>
  <si>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</si>
  <si>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</si>
  <si>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</si>
  <si>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</si>
  <si>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</si>
  <si>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</si>
  <si>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</si>
  <si>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</si>
  <si>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</si>
  <si>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</si>
  <si>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</si>
  <si>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</si>
  <si>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</si>
  <si>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</si>
  <si>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</si>
  <si>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</si>
  <si>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</si>
  <si>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</si>
  <si>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</si>
  <si>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</si>
  <si>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</si>
  <si>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</si>
  <si>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</si>
  <si>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</si>
  <si>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</si>
  <si>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</si>
  <si>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</si>
  <si>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</si>
  <si>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</si>
  <si>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</si>
  <si>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</si>
  <si>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</si>
  <si>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</si>
  <si>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</si>
  <si>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</si>
  <si>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</si>
  <si>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</si>
  <si>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</si>
  <si>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</si>
  <si>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</si>
  <si>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</si>
  <si>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</si>
  <si>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</si>
  <si>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</si>
  <si>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</si>
  <si>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</si>
  <si>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</si>
  <si>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</si>
  <si>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</si>
  <si>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</si>
  <si>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</si>
  <si>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</si>
  <si>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</si>
  <si>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</si>
  <si>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</si>
  <si>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</si>
  <si>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</si>
  <si>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</si>
  <si>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</si>
  <si>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</si>
  <si>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</si>
  <si>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</si>
  <si>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</si>
  <si>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</si>
  <si>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</si>
  <si>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</si>
  <si>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</si>
  <si>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</si>
  <si>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</si>
  <si>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</si>
  <si>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</si>
  <si>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</si>
  <si>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</si>
  <si>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</si>
  <si>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</si>
  <si>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</si>
  <si>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</si>
  <si>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</si>
  <si>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</si>
  <si>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</si>
  <si>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</si>
  <si>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</si>
  <si>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</si>
  <si>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</si>
  <si>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</si>
  <si>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</si>
  <si>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</si>
  <si>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</si>
  <si>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</si>
  <si>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</si>
  <si>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</si>
  <si>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</si>
  <si>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</si>
  <si>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</si>
  <si>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</si>
  <si>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</si>
  <si>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</si>
  <si>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</si>
  <si>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</si>
  <si>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</si>
  <si>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</si>
  <si>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</si>
  <si>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</si>
  <si>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</si>
  <si>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R5.0</t>
  </si>
  <si>
    <t>tested</t>
  </si>
  <si>
    <t>rc13+modified Boundary detection</t>
  </si>
  <si>
    <t>rc13+modified Boundary detection+CSLC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</si>
</sst>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vertic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rc13+modified Boundary detection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1.0071653783743462E-2</c:v>
                </c:pt>
                <c:pt idx="1">
                  <c:v>1.5632031979858976E-2</c:v>
                </c:pt>
                <c:pt idx="2">
                  <c:v>2.5619972548733692E-2</c:v>
                </c:pt>
                <c:pt idx="3">
                  <c:v>4.4538117732802425E-2</c:v>
                </c:pt>
                <c:pt idx="4">
                  <c:v>8.1269407101785554E-2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5"/>
                <c:pt idx="0">
                  <c:v>66.333387500000001</c:v>
                </c:pt>
                <c:pt idx="1">
                  <c:v>68.237346875</c:v>
                </c:pt>
                <c:pt idx="2">
                  <c:v>69.675328124999993</c:v>
                </c:pt>
                <c:pt idx="3">
                  <c:v>70.776121875000001</c:v>
                </c:pt>
                <c:pt idx="4">
                  <c:v>72.031521874999996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6F-4179-9418-E0B6C8F1877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rc13+modified Boundary detection+CSLC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1.007188893322343E-2</c:v>
                </c:pt>
                <c:pt idx="1">
                  <c:v>1.5632267129338944E-2</c:v>
                </c:pt>
                <c:pt idx="2">
                  <c:v>2.562020769821366E-2</c:v>
                </c:pt>
                <c:pt idx="3">
                  <c:v>4.4538352882282396E-2</c:v>
                </c:pt>
                <c:pt idx="4">
                  <c:v>8.1269642251265525E-2</c:v>
                </c:pt>
              </c:numCache>
            </c:numRef>
          </c:xVal>
          <c:yVal>
            <c:numRef>
              <c:f>Graphs!graph_a_y_range_B</c:f>
              <c:numCache>
                <c:formatCode>General</c:formatCode>
                <c:ptCount val="5"/>
                <c:pt idx="0">
                  <c:v>66.333387500000001</c:v>
                </c:pt>
                <c:pt idx="1">
                  <c:v>68.237346875</c:v>
                </c:pt>
                <c:pt idx="2">
                  <c:v>69.675328124999993</c:v>
                </c:pt>
                <c:pt idx="3">
                  <c:v>70.776121875000001</c:v>
                </c:pt>
                <c:pt idx="4">
                  <c:v>72.031521874999996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6F-4179-9418-E0B6C8F18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rc13+modified Boundary detection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1.0071653783743462E-2</c:v>
                </c:pt>
                <c:pt idx="1">
                  <c:v>1.5632031979858976E-2</c:v>
                </c:pt>
                <c:pt idx="2">
                  <c:v>2.5619972548733692E-2</c:v>
                </c:pt>
                <c:pt idx="3">
                  <c:v>4.4538117732802425E-2</c:v>
                </c:pt>
                <c:pt idx="4">
                  <c:v>8.1269407101785554E-2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5"/>
                <c:pt idx="0">
                  <c:v>68.421993749999999</c:v>
                </c:pt>
                <c:pt idx="1">
                  <c:v>70.381815625000002</c:v>
                </c:pt>
                <c:pt idx="2">
                  <c:v>72.069881249999995</c:v>
                </c:pt>
                <c:pt idx="3">
                  <c:v>73.329590624999994</c:v>
                </c:pt>
                <c:pt idx="4">
                  <c:v>75.292162500000003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BE-4B82-830B-EE4C8CAA870E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rc13+modified Boundary detection+CSLC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1.007188893322343E-2</c:v>
                </c:pt>
                <c:pt idx="1">
                  <c:v>1.5632267129338944E-2</c:v>
                </c:pt>
                <c:pt idx="2">
                  <c:v>2.562020769821366E-2</c:v>
                </c:pt>
                <c:pt idx="3">
                  <c:v>4.4538352882282396E-2</c:v>
                </c:pt>
                <c:pt idx="4">
                  <c:v>8.1269642251265525E-2</c:v>
                </c:pt>
              </c:numCache>
            </c:numRef>
          </c:xVal>
          <c:yVal>
            <c:numRef>
              <c:f>Graphs!graph_b_y_range_B</c:f>
              <c:numCache>
                <c:formatCode>General</c:formatCode>
                <c:ptCount val="5"/>
                <c:pt idx="0">
                  <c:v>68.421993749999999</c:v>
                </c:pt>
                <c:pt idx="1">
                  <c:v>70.381815625000002</c:v>
                </c:pt>
                <c:pt idx="2">
                  <c:v>72.069881249999995</c:v>
                </c:pt>
                <c:pt idx="3">
                  <c:v>73.329590624999994</c:v>
                </c:pt>
                <c:pt idx="4">
                  <c:v>75.292162500000003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BE-4B82-830B-EE4C8CAA8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rc13+modified Boundary detection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1.0071653783743462E-2</c:v>
                </c:pt>
                <c:pt idx="1">
                  <c:v>1.5632031979858976E-2</c:v>
                </c:pt>
                <c:pt idx="2">
                  <c:v>2.5619972548733692E-2</c:v>
                </c:pt>
                <c:pt idx="3">
                  <c:v>4.4538117732802425E-2</c:v>
                </c:pt>
                <c:pt idx="4">
                  <c:v>8.1269407101785554E-2</c:v>
                </c:pt>
              </c:numCache>
            </c:numRef>
          </c:xVal>
          <c:yVal>
            <c:numRef>
              <c:f>Graphs!graph_c_y_range_A</c:f>
              <c:numCache>
                <c:formatCode>General</c:formatCode>
                <c:ptCount val="5"/>
                <c:pt idx="0">
                  <c:v>32.172281249999997</c:v>
                </c:pt>
                <c:pt idx="1">
                  <c:v>34.447715625000001</c:v>
                </c:pt>
                <c:pt idx="2">
                  <c:v>36.987681250000001</c:v>
                </c:pt>
                <c:pt idx="3">
                  <c:v>39.610121874999997</c:v>
                </c:pt>
                <c:pt idx="4">
                  <c:v>42.03580625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E8-4041-813A-DDDE5C90C202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rc13+modified Boundary detection+CSLC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1.007188893322343E-2</c:v>
                </c:pt>
                <c:pt idx="1">
                  <c:v>1.5632267129338944E-2</c:v>
                </c:pt>
                <c:pt idx="2">
                  <c:v>2.562020769821366E-2</c:v>
                </c:pt>
                <c:pt idx="3">
                  <c:v>4.4538352882282396E-2</c:v>
                </c:pt>
                <c:pt idx="4">
                  <c:v>8.1269642251265525E-2</c:v>
                </c:pt>
              </c:numCache>
            </c:numRef>
          </c:xVal>
          <c:yVal>
            <c:numRef>
              <c:f>Graphs!graph_c_y_range_B</c:f>
              <c:numCache>
                <c:formatCode>General</c:formatCode>
                <c:ptCount val="5"/>
                <c:pt idx="0">
                  <c:v>32.183828124999998</c:v>
                </c:pt>
                <c:pt idx="1">
                  <c:v>34.434784375</c:v>
                </c:pt>
                <c:pt idx="2">
                  <c:v>36.932074999999998</c:v>
                </c:pt>
                <c:pt idx="3">
                  <c:v>39.479700000000001</c:v>
                </c:pt>
                <c:pt idx="4">
                  <c:v>42.03580625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E8-4041-813A-DDDE5C90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rc13+modified Boundary detection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1.0071653783743462E-2</c:v>
                </c:pt>
                <c:pt idx="1">
                  <c:v>1.5632031979858976E-2</c:v>
                </c:pt>
                <c:pt idx="2">
                  <c:v>2.5619972548733692E-2</c:v>
                </c:pt>
                <c:pt idx="3">
                  <c:v>4.4538117732802425E-2</c:v>
                </c:pt>
                <c:pt idx="4">
                  <c:v>8.1269407101785554E-2</c:v>
                </c:pt>
              </c:numCache>
            </c:numRef>
          </c:xVal>
          <c:yVal>
            <c:numRef>
              <c:f>Graphs!graph_d_y_range_A</c:f>
              <c:numCache>
                <c:formatCode>General</c:formatCode>
                <c:ptCount val="5"/>
                <c:pt idx="0">
                  <c:v>44.152209374999998</c:v>
                </c:pt>
                <c:pt idx="1">
                  <c:v>45.471125000000001</c:v>
                </c:pt>
                <c:pt idx="2">
                  <c:v>46.558475000000001</c:v>
                </c:pt>
                <c:pt idx="3">
                  <c:v>47.909234374999997</c:v>
                </c:pt>
                <c:pt idx="4">
                  <c:v>49.433799999999998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8D-4A0B-9E36-0A062776AC8D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rc13+modified Boundary detection+CSLC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1.007188893322343E-2</c:v>
                </c:pt>
                <c:pt idx="1">
                  <c:v>1.5632267129338944E-2</c:v>
                </c:pt>
                <c:pt idx="2">
                  <c:v>2.562020769821366E-2</c:v>
                </c:pt>
                <c:pt idx="3">
                  <c:v>4.4538352882282396E-2</c:v>
                </c:pt>
                <c:pt idx="4">
                  <c:v>8.1269642251265525E-2</c:v>
                </c:pt>
              </c:numCache>
            </c:numRef>
          </c:xVal>
          <c:yVal>
            <c:numRef>
              <c:f>Graphs!graph_d_y_range_B</c:f>
              <c:numCache>
                <c:formatCode>General</c:formatCode>
                <c:ptCount val="5"/>
                <c:pt idx="0">
                  <c:v>44.222840625000003</c:v>
                </c:pt>
                <c:pt idx="1">
                  <c:v>45.5319</c:v>
                </c:pt>
                <c:pt idx="2">
                  <c:v>46.610134375000001</c:v>
                </c:pt>
                <c:pt idx="3">
                  <c:v>47.945493749999997</c:v>
                </c:pt>
                <c:pt idx="4">
                  <c:v>49.433799999999998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8D-4A0B-9E36-0A062776A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rc13+modified Boundary detection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1.0071653783743462E-2</c:v>
                </c:pt>
                <c:pt idx="1">
                  <c:v>1.5632031979858976E-2</c:v>
                </c:pt>
                <c:pt idx="2">
                  <c:v>2.5619972548733692E-2</c:v>
                </c:pt>
                <c:pt idx="3">
                  <c:v>4.4538117732802425E-2</c:v>
                </c:pt>
                <c:pt idx="4">
                  <c:v>8.1269407101785554E-2</c:v>
                </c:pt>
              </c:numCache>
            </c:numRef>
          </c:xVal>
          <c:yVal>
            <c:numRef>
              <c:f>Graphs!graph_e_y_range_A</c:f>
              <c:numCache>
                <c:formatCode>General</c:formatCode>
                <c:ptCount val="5"/>
                <c:pt idx="0">
                  <c:v>43.698040624999997</c:v>
                </c:pt>
                <c:pt idx="1">
                  <c:v>45.178546875000002</c:v>
                </c:pt>
                <c:pt idx="2">
                  <c:v>46.422125000000001</c:v>
                </c:pt>
                <c:pt idx="3">
                  <c:v>47.953962500000003</c:v>
                </c:pt>
                <c:pt idx="4">
                  <c:v>49.586678124999999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91-4E92-B3F9-7B0208CF66FC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rc13+modified Boundary detection+CSLC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1.007188893322343E-2</c:v>
                </c:pt>
                <c:pt idx="1">
                  <c:v>1.5632267129338944E-2</c:v>
                </c:pt>
                <c:pt idx="2">
                  <c:v>2.562020769821366E-2</c:v>
                </c:pt>
                <c:pt idx="3">
                  <c:v>4.4538352882282396E-2</c:v>
                </c:pt>
                <c:pt idx="4">
                  <c:v>8.1269642251265525E-2</c:v>
                </c:pt>
              </c:numCache>
            </c:numRef>
          </c:xVal>
          <c:yVal>
            <c:numRef>
              <c:f>Graphs!graph_e_y_range_B</c:f>
              <c:numCache>
                <c:formatCode>General</c:formatCode>
                <c:ptCount val="5"/>
                <c:pt idx="0">
                  <c:v>43.781071875000002</c:v>
                </c:pt>
                <c:pt idx="1">
                  <c:v>45.251459375000003</c:v>
                </c:pt>
                <c:pt idx="2">
                  <c:v>46.488624999999999</c:v>
                </c:pt>
                <c:pt idx="3">
                  <c:v>48.0045875</c:v>
                </c:pt>
                <c:pt idx="4">
                  <c:v>49.586678124999999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91-4E92-B3F9-7B0208CF6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rc13+modified Boundary detection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1.0071653783743462E-2</c:v>
                </c:pt>
                <c:pt idx="1">
                  <c:v>1.5632031979858976E-2</c:v>
                </c:pt>
                <c:pt idx="2">
                  <c:v>2.5619972548733692E-2</c:v>
                </c:pt>
                <c:pt idx="3">
                  <c:v>4.4538117732802425E-2</c:v>
                </c:pt>
                <c:pt idx="4">
                  <c:v>8.1269407101785554E-2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E7-4C62-A64B-B46687728B85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rc13+modified Boundary detection+CSLC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1.007188893322343E-2</c:v>
                </c:pt>
                <c:pt idx="1">
                  <c:v>1.5632267129338944E-2</c:v>
                </c:pt>
                <c:pt idx="2">
                  <c:v>2.562020769821366E-2</c:v>
                </c:pt>
                <c:pt idx="3">
                  <c:v>4.4538352882282396E-2</c:v>
                </c:pt>
                <c:pt idx="4">
                  <c:v>8.1269642251265525E-2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E7-4C62-A64B-B46687728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44"/>
  <sheetViews>
    <sheetView workbookViewId="0">
      <selection activeCell="F2" sqref="F2"/>
    </sheetView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66" t="s">
        <v>547</v>
      </c>
      <c r="D1" s="66"/>
      <c r="E1" s="66"/>
    </row>
    <row r="2" spans="2:12" x14ac:dyDescent="0.3">
      <c r="B2" t="s">
        <v>1</v>
      </c>
      <c r="C2" s="67" t="s">
        <v>548</v>
      </c>
      <c r="D2" s="67"/>
      <c r="E2" s="67"/>
    </row>
    <row r="4" spans="2:12" s="1" customFormat="1" x14ac:dyDescent="0.3">
      <c r="B4" s="1" t="s">
        <v>294</v>
      </c>
    </row>
    <row r="6" spans="2:12" x14ac:dyDescent="0.3">
      <c r="B6" s="63" t="s">
        <v>295</v>
      </c>
      <c r="C6" s="64" t="s">
        <v>296</v>
      </c>
      <c r="D6" s="64"/>
      <c r="E6" s="64"/>
      <c r="F6" s="64"/>
      <c r="G6" s="64"/>
      <c r="H6" s="64"/>
      <c r="I6" s="64"/>
      <c r="J6" s="64"/>
      <c r="K6" s="64"/>
      <c r="L6" s="64"/>
    </row>
    <row r="7" spans="2:12" x14ac:dyDescent="0.3">
      <c r="B7" s="63"/>
      <c r="C7" s="65" t="s">
        <v>235</v>
      </c>
      <c r="D7" s="65"/>
      <c r="E7" s="68" t="s">
        <v>240</v>
      </c>
      <c r="F7" s="68"/>
      <c r="G7" s="68"/>
      <c r="H7" s="65" t="s">
        <v>247</v>
      </c>
      <c r="I7" s="65"/>
      <c r="J7" s="68" t="s">
        <v>252</v>
      </c>
      <c r="K7" s="68"/>
      <c r="L7" s="68"/>
    </row>
    <row r="8" spans="2:12" x14ac:dyDescent="0.3">
      <c r="B8" s="63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 x14ac:dyDescent="0.3">
      <c r="B9" s="4" t="s">
        <v>286</v>
      </c>
      <c r="C9" s="5">
        <f>'C2 lossyG,lossyA,intra'!$BI$30:$BI$30</f>
        <v>2.0772026195325921E-5</v>
      </c>
      <c r="D9" s="5">
        <f>'C2 lossyG,lossyA,intra'!$BJ$30:$BJ$30</f>
        <v>1.9635590263022973E-5</v>
      </c>
      <c r="E9" s="5">
        <f>'C2 lossyG,lossyA,intra'!$BK$30:$BK$30</f>
        <v>3.4812929707372486E-2</v>
      </c>
      <c r="F9" s="5">
        <f>'C2 lossyG,lossyA,intra'!$BL$30:$BL$30</f>
        <v>-1.2623137037238275E-2</v>
      </c>
      <c r="G9" s="5">
        <f>'C2 lossyG,lossyA,intra'!$BM$30:$BM$30</f>
        <v>-2.6829562247858152E-3</v>
      </c>
      <c r="H9" s="5">
        <f>'C2 lossyG,lossyA,intra'!$BO$30:$BO$30</f>
        <v>8.5659177603836234E-6</v>
      </c>
      <c r="I9" s="5">
        <f>'C2 lossyG,lossyA,intra'!$BP$30:$BP$30</f>
        <v>7.8172430009182392E-6</v>
      </c>
      <c r="J9" s="5">
        <f>'C2 lossyG,lossyA,intra'!$BQ$30:$BQ$30</f>
        <v>2.8799513537484445E-2</v>
      </c>
      <c r="K9" s="5">
        <f>'C2 lossyG,lossyA,intra'!$BR$30:$BR$30</f>
        <v>-8.6190878189188469E-3</v>
      </c>
      <c r="L9" s="5">
        <f>'C2 lossyG,lossyA,intra'!$BS$30:$BS$30</f>
        <v>-7.0164557784407888E-4</v>
      </c>
    </row>
    <row r="10" spans="2:12" x14ac:dyDescent="0.3">
      <c r="B10" s="4" t="s">
        <v>287</v>
      </c>
      <c r="C10" s="5">
        <f>'C2 lossyG,lossyA,intra'!$BI$31:$BI$31</f>
        <v>2.2516213676881947E-5</v>
      </c>
      <c r="D10" s="5">
        <f>'C2 lossyG,lossyA,intra'!$BJ$31:$BJ$31</f>
        <v>2.1248243400773248E-5</v>
      </c>
      <c r="E10" s="5">
        <f>'C2 lossyG,lossyA,intra'!$BK$31:$BK$31</f>
        <v>2.0447767485468393E-2</v>
      </c>
      <c r="F10" s="5">
        <f>'C2 lossyG,lossyA,intra'!$BL$31:$BL$31</f>
        <v>-6.5660011376911243E-4</v>
      </c>
      <c r="G10" s="5">
        <f>'C2 lossyG,lossyA,intra'!$BM$31:$BM$31</f>
        <v>2.8183346983710056E-3</v>
      </c>
      <c r="H10" s="5">
        <f>'C2 lossyG,lossyA,intra'!$BO$31:$BO$31</f>
        <v>5.1586502989309224E-6</v>
      </c>
      <c r="I10" s="5">
        <f>'C2 lossyG,lossyA,intra'!$BP$31:$BP$31</f>
        <v>4.627249294619773E-6</v>
      </c>
      <c r="J10" s="5">
        <f>'C2 lossyG,lossyA,intra'!$BQ$31:$BQ$31</f>
        <v>1.8592683260563625E-2</v>
      </c>
      <c r="K10" s="5">
        <f>'C2 lossyG,lossyA,intra'!$BR$31:$BR$31</f>
        <v>-3.3790312671055922E-4</v>
      </c>
      <c r="L10" s="5">
        <f>'C2 lossyG,lossyA,intra'!$BS$31:$BS$31</f>
        <v>2.7620829899785981E-3</v>
      </c>
    </row>
    <row r="11" spans="2:12" x14ac:dyDescent="0.3">
      <c r="B11" s="6" t="s">
        <v>288</v>
      </c>
      <c r="C11" s="7">
        <f>'C2 lossyG,lossyA,intra'!$BI$32:$BI$32</f>
        <v>2.1120863691637125E-5</v>
      </c>
      <c r="D11" s="7">
        <f>'C2 lossyG,lossyA,intra'!$BJ$32:$BJ$32</f>
        <v>1.9958120890573029E-5</v>
      </c>
      <c r="E11" s="7">
        <f>'C2 lossyG,lossyA,intra'!$BK$32:$BK$32</f>
        <v>3.1939897262991665E-2</v>
      </c>
      <c r="F11" s="7">
        <f>'C2 lossyG,lossyA,intra'!$BL$32:$BL$32</f>
        <v>-1.0229829652544441E-2</v>
      </c>
      <c r="G11" s="7">
        <f>'C2 lossyG,lossyA,intra'!$BM$32:$BM$32</f>
        <v>-1.5826980401544509E-3</v>
      </c>
      <c r="H11" s="7">
        <f>'C2 lossyG,lossyA,intra'!$BO$32:$BO$32</f>
        <v>7.8844642680930839E-6</v>
      </c>
      <c r="I11" s="7">
        <f>'C2 lossyG,lossyA,intra'!$BP$32:$BP$32</f>
        <v>7.1792442596585456E-6</v>
      </c>
      <c r="J11" s="7">
        <f>'C2 lossyG,lossyA,intra'!$BQ$32:$BQ$32</f>
        <v>2.6758147482100279E-2</v>
      </c>
      <c r="K11" s="7">
        <f>'C2 lossyG,lossyA,intra'!$BR$32:$BR$32</f>
        <v>-6.962850880477189E-3</v>
      </c>
      <c r="L11" s="7">
        <f>'C2 lossyG,lossyA,intra'!$BS$32:$BS$32</f>
        <v>-8.899864279543479E-6</v>
      </c>
    </row>
    <row r="12" spans="2:12" x14ac:dyDescent="0.3">
      <c r="B12" t="s">
        <v>297</v>
      </c>
      <c r="C12" s="61">
        <f>'C2 lossyG,lossyA,intra'!AZ36</f>
        <v>1.5909889973560691</v>
      </c>
      <c r="D12" s="61"/>
      <c r="E12" s="61"/>
      <c r="F12" s="61"/>
      <c r="G12" s="61"/>
      <c r="H12" s="61"/>
      <c r="I12" s="61"/>
      <c r="J12" s="61"/>
      <c r="K12" s="61"/>
      <c r="L12" s="61"/>
    </row>
    <row r="13" spans="2:12" x14ac:dyDescent="0.3">
      <c r="B13" s="9" t="s">
        <v>298</v>
      </c>
      <c r="C13" s="62">
        <f>'C2 lossyG,lossyA,intra'!BB36</f>
        <v>3.2589131106360574</v>
      </c>
      <c r="D13" s="62"/>
      <c r="E13" s="62"/>
      <c r="F13" s="62"/>
      <c r="G13" s="62"/>
      <c r="H13" s="62"/>
      <c r="I13" s="62"/>
      <c r="J13" s="62"/>
      <c r="K13" s="62"/>
      <c r="L13" s="62"/>
    </row>
    <row r="15" spans="2:12" x14ac:dyDescent="0.3">
      <c r="B15" s="63" t="s">
        <v>379</v>
      </c>
      <c r="C15" s="64" t="s">
        <v>380</v>
      </c>
      <c r="D15" s="64"/>
      <c r="E15" s="64"/>
    </row>
    <row r="16" spans="2:12" x14ac:dyDescent="0.3">
      <c r="B16" s="63"/>
      <c r="C16" s="65" t="s">
        <v>355</v>
      </c>
      <c r="D16" s="65"/>
      <c r="E16" s="65"/>
    </row>
    <row r="17" spans="2:5" x14ac:dyDescent="0.3">
      <c r="B17" s="63"/>
      <c r="C17" s="2" t="s">
        <v>122</v>
      </c>
      <c r="D17" s="2" t="s">
        <v>116</v>
      </c>
      <c r="E17" s="2" t="s">
        <v>148</v>
      </c>
    </row>
    <row r="18" spans="2:5" x14ac:dyDescent="0.3">
      <c r="B18" s="4" t="s">
        <v>286</v>
      </c>
      <c r="C18" s="5" t="e">
        <f>'CW losslG,losslA,intra'!BC10</f>
        <v>#DIV/0!</v>
      </c>
      <c r="D18" s="5" t="e">
        <f>'CW losslG,losslA,intra'!BB10</f>
        <v>#DIV/0!</v>
      </c>
      <c r="E18" s="5" t="e">
        <f>'CW losslG,losslA,intra'!BD10</f>
        <v>#DIV/0!</v>
      </c>
    </row>
    <row r="19" spans="2:5" x14ac:dyDescent="0.3">
      <c r="B19" s="4" t="s">
        <v>287</v>
      </c>
      <c r="C19" s="5" t="e">
        <f>'CW losslG,losslA,intra'!BC11</f>
        <v>#DIV/0!</v>
      </c>
      <c r="D19" s="5" t="e">
        <f>'CW losslG,losslA,intra'!BB11</f>
        <v>#DIV/0!</v>
      </c>
      <c r="E19" s="5" t="e">
        <f>'CW losslG,losslA,intra'!BD11</f>
        <v>#DIV/0!</v>
      </c>
    </row>
    <row r="20" spans="2:5" x14ac:dyDescent="0.3">
      <c r="B20" s="6" t="s">
        <v>288</v>
      </c>
      <c r="C20" s="7" t="e">
        <f>'CW losslG,losslA,intra'!BC12</f>
        <v>#DIV/0!</v>
      </c>
      <c r="D20" s="7" t="e">
        <f>'CW losslG,losslA,intra'!BB12</f>
        <v>#DIV/0!</v>
      </c>
      <c r="E20" s="7" t="e">
        <f>'CW losslG,losslA,intra'!BD12</f>
        <v>#DIV/0!</v>
      </c>
    </row>
    <row r="21" spans="2:5" x14ac:dyDescent="0.3">
      <c r="B21" t="s">
        <v>297</v>
      </c>
      <c r="C21" s="61" t="e">
        <f>'CW losslG,losslA,intra'!AW16</f>
        <v>#NUM!</v>
      </c>
      <c r="D21" s="61"/>
      <c r="E21" s="61"/>
    </row>
    <row r="22" spans="2:5" x14ac:dyDescent="0.3">
      <c r="B22" s="9" t="s">
        <v>298</v>
      </c>
      <c r="C22" s="62" t="e">
        <f>'CW losslG,losslA,intra'!AY16</f>
        <v>#NUM!</v>
      </c>
      <c r="D22" s="62"/>
      <c r="E22" s="62"/>
    </row>
    <row r="24" spans="2:5" s="1" customFormat="1" x14ac:dyDescent="0.3">
      <c r="B24" s="1" t="s">
        <v>454</v>
      </c>
    </row>
    <row r="26" spans="2:5" x14ac:dyDescent="0.3">
      <c r="B26" s="63" t="s">
        <v>455</v>
      </c>
      <c r="C26" s="64" t="s">
        <v>456</v>
      </c>
      <c r="D26" s="64"/>
      <c r="E26" s="64"/>
    </row>
    <row r="27" spans="2:5" x14ac:dyDescent="0.3">
      <c r="B27" s="63"/>
      <c r="C27" s="65" t="s">
        <v>355</v>
      </c>
      <c r="D27" s="65"/>
      <c r="E27" s="65"/>
    </row>
    <row r="28" spans="2:5" x14ac:dyDescent="0.3">
      <c r="B28" s="63"/>
      <c r="C28" s="2" t="s">
        <v>116</v>
      </c>
      <c r="D28" s="2" t="s">
        <v>122</v>
      </c>
      <c r="E28" s="2" t="s">
        <v>148</v>
      </c>
    </row>
    <row r="29" spans="2:5" x14ac:dyDescent="0.3">
      <c r="B29" s="4" t="s">
        <v>286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 x14ac:dyDescent="0.3">
      <c r="B30" s="4" t="s">
        <v>287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 x14ac:dyDescent="0.3">
      <c r="B31" s="6" t="s">
        <v>288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 x14ac:dyDescent="0.3">
      <c r="B32" t="s">
        <v>297</v>
      </c>
      <c r="C32" s="61" t="e">
        <f>'CW losslG,losslA,interLD'!AW16</f>
        <v>#NUM!</v>
      </c>
      <c r="D32" s="61"/>
      <c r="E32" s="61"/>
    </row>
    <row r="33" spans="2:12" x14ac:dyDescent="0.3">
      <c r="B33" s="9" t="s">
        <v>298</v>
      </c>
      <c r="C33" s="62" t="e">
        <f>'CW losslG,losslA,interLD'!AY16</f>
        <v>#NUM!</v>
      </c>
      <c r="D33" s="62"/>
      <c r="E33" s="62"/>
    </row>
    <row r="35" spans="2:12" s="1" customFormat="1" x14ac:dyDescent="0.3">
      <c r="B35" s="1" t="s">
        <v>540</v>
      </c>
    </row>
    <row r="37" spans="2:12" x14ac:dyDescent="0.3">
      <c r="B37" s="63" t="s">
        <v>541</v>
      </c>
      <c r="C37" s="64" t="s">
        <v>542</v>
      </c>
      <c r="D37" s="64"/>
      <c r="E37" s="64"/>
      <c r="F37" s="64"/>
      <c r="G37" s="64"/>
      <c r="H37" s="64"/>
      <c r="I37" s="64"/>
      <c r="J37" s="64"/>
      <c r="K37" s="64"/>
      <c r="L37" s="64"/>
    </row>
    <row r="38" spans="2:12" x14ac:dyDescent="0.3">
      <c r="B38" s="63"/>
      <c r="C38" s="65" t="s">
        <v>235</v>
      </c>
      <c r="D38" s="65"/>
      <c r="E38" s="68" t="s">
        <v>240</v>
      </c>
      <c r="F38" s="68"/>
      <c r="G38" s="68"/>
      <c r="H38" s="65" t="s">
        <v>247</v>
      </c>
      <c r="I38" s="65"/>
      <c r="J38" s="68" t="s">
        <v>252</v>
      </c>
      <c r="K38" s="68"/>
      <c r="L38" s="68"/>
    </row>
    <row r="39" spans="2:12" x14ac:dyDescent="0.3">
      <c r="B39" s="63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 x14ac:dyDescent="0.3">
      <c r="B40" s="4" t="s">
        <v>286</v>
      </c>
      <c r="C40" s="5" t="e">
        <f>#REF!</f>
        <v>#REF!</v>
      </c>
      <c r="D40" s="5" t="e">
        <f>#REF!</f>
        <v>#REF!</v>
      </c>
      <c r="E40" s="5" t="e">
        <f>#REF!</f>
        <v>#REF!</v>
      </c>
      <c r="F40" s="5" t="e">
        <f>#REF!</f>
        <v>#REF!</v>
      </c>
      <c r="G40" s="5" t="e">
        <f>#REF!</f>
        <v>#REF!</v>
      </c>
      <c r="H40" s="5" t="e">
        <f>#REF!</f>
        <v>#REF!</v>
      </c>
      <c r="I40" s="5" t="e">
        <f>#REF!</f>
        <v>#REF!</v>
      </c>
      <c r="J40" s="5" t="e">
        <f>#REF!</f>
        <v>#REF!</v>
      </c>
      <c r="K40" s="5" t="e">
        <f>#REF!</f>
        <v>#REF!</v>
      </c>
      <c r="L40" s="5" t="e">
        <f>#REF!</f>
        <v>#REF!</v>
      </c>
    </row>
    <row r="41" spans="2:12" x14ac:dyDescent="0.3">
      <c r="B41" s="4" t="s">
        <v>287</v>
      </c>
      <c r="C41" s="5" t="e">
        <f>#REF!</f>
        <v>#REF!</v>
      </c>
      <c r="D41" s="5" t="e">
        <f>#REF!</f>
        <v>#REF!</v>
      </c>
      <c r="E41" s="5" t="e">
        <f>#REF!</f>
        <v>#REF!</v>
      </c>
      <c r="F41" s="5" t="e">
        <f>#REF!</f>
        <v>#REF!</v>
      </c>
      <c r="G41" s="5" t="e">
        <f>#REF!</f>
        <v>#REF!</v>
      </c>
      <c r="H41" s="5" t="e">
        <f>#REF!</f>
        <v>#REF!</v>
      </c>
      <c r="I41" s="5" t="e">
        <f>#REF!</f>
        <v>#REF!</v>
      </c>
      <c r="J41" s="5" t="e">
        <f>#REF!</f>
        <v>#REF!</v>
      </c>
      <c r="K41" s="5" t="e">
        <f>#REF!</f>
        <v>#REF!</v>
      </c>
      <c r="L41" s="5" t="e">
        <f>#REF!</f>
        <v>#REF!</v>
      </c>
    </row>
    <row r="42" spans="2:12" x14ac:dyDescent="0.3">
      <c r="B42" s="6" t="s">
        <v>288</v>
      </c>
      <c r="C42" s="7" t="e">
        <f>#REF!</f>
        <v>#REF!</v>
      </c>
      <c r="D42" s="7" t="e">
        <f>#REF!</f>
        <v>#REF!</v>
      </c>
      <c r="E42" s="7" t="e">
        <f>#REF!</f>
        <v>#REF!</v>
      </c>
      <c r="F42" s="7" t="e">
        <f>#REF!</f>
        <v>#REF!</v>
      </c>
      <c r="G42" s="7" t="e">
        <f>#REF!</f>
        <v>#REF!</v>
      </c>
      <c r="H42" s="7" t="e">
        <f>#REF!</f>
        <v>#REF!</v>
      </c>
      <c r="I42" s="7" t="e">
        <f>#REF!</f>
        <v>#REF!</v>
      </c>
      <c r="J42" s="7" t="e">
        <f>#REF!</f>
        <v>#REF!</v>
      </c>
      <c r="K42" s="7" t="e">
        <f>#REF!</f>
        <v>#REF!</v>
      </c>
      <c r="L42" s="7" t="e">
        <f>#REF!</f>
        <v>#REF!</v>
      </c>
    </row>
    <row r="43" spans="2:12" x14ac:dyDescent="0.3">
      <c r="B43" t="s">
        <v>297</v>
      </c>
      <c r="C43" s="61" t="e">
        <f>#REF!</f>
        <v>#REF!</v>
      </c>
      <c r="D43" s="61"/>
      <c r="E43" s="61"/>
      <c r="F43" s="61"/>
      <c r="G43" s="61"/>
      <c r="H43" s="61"/>
      <c r="I43" s="61"/>
      <c r="J43" s="61"/>
      <c r="K43" s="61"/>
      <c r="L43" s="61"/>
    </row>
    <row r="44" spans="2:12" x14ac:dyDescent="0.3">
      <c r="B44" s="9" t="s">
        <v>298</v>
      </c>
      <c r="C44" s="62" t="e">
        <f>#REF!</f>
        <v>#REF!</v>
      </c>
      <c r="D44" s="62"/>
      <c r="E44" s="62"/>
      <c r="F44" s="62"/>
      <c r="G44" s="62"/>
      <c r="H44" s="62"/>
      <c r="I44" s="62"/>
      <c r="J44" s="62"/>
      <c r="K44" s="62"/>
      <c r="L44" s="62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543</v>
      </c>
    </row>
    <row r="2" spans="1:16" x14ac:dyDescent="0.3">
      <c r="A2" t="s">
        <v>81</v>
      </c>
      <c r="B2" s="10" t="str">
        <f>HLOOKUP(B1,M1:ZZ3,3,0)</f>
        <v>8ivfbv2_loot_vox10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545</v>
      </c>
    </row>
    <row r="3" spans="1:16" x14ac:dyDescent="0.3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 x14ac:dyDescent="0.3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 x14ac:dyDescent="0.3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 x14ac:dyDescent="0.3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 x14ac:dyDescent="0.3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 x14ac:dyDescent="0.3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 x14ac:dyDescent="0.3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 x14ac:dyDescent="0.3">
      <c r="I10" t="s">
        <v>19</v>
      </c>
      <c r="J10" t="s">
        <v>20</v>
      </c>
    </row>
    <row r="11" spans="1:16" x14ac:dyDescent="0.3">
      <c r="I11" t="s">
        <v>21</v>
      </c>
      <c r="J11" t="s">
        <v>22</v>
      </c>
    </row>
    <row r="12" spans="1:16" x14ac:dyDescent="0.3">
      <c r="I12" t="s">
        <v>23</v>
      </c>
      <c r="J12" t="s">
        <v>24</v>
      </c>
    </row>
    <row r="13" spans="1:16" x14ac:dyDescent="0.3">
      <c r="I13" t="s">
        <v>25</v>
      </c>
      <c r="J13" t="s">
        <v>26</v>
      </c>
    </row>
    <row r="14" spans="1:16" x14ac:dyDescent="0.3">
      <c r="I14" t="s">
        <v>27</v>
      </c>
      <c r="J14" t="s">
        <v>28</v>
      </c>
    </row>
    <row r="15" spans="1:16" x14ac:dyDescent="0.3">
      <c r="I15" t="s">
        <v>29</v>
      </c>
      <c r="J15" t="s">
        <v>30</v>
      </c>
    </row>
    <row r="16" spans="1:16" x14ac:dyDescent="0.3">
      <c r="I16" t="s">
        <v>31</v>
      </c>
      <c r="J16" t="s">
        <v>32</v>
      </c>
    </row>
    <row r="17" spans="9:10" x14ac:dyDescent="0.3">
      <c r="I17" t="s">
        <v>33</v>
      </c>
      <c r="J17" t="s">
        <v>34</v>
      </c>
    </row>
    <row r="18" spans="9:10" x14ac:dyDescent="0.3">
      <c r="I18" t="s">
        <v>35</v>
      </c>
      <c r="J18" t="s">
        <v>36</v>
      </c>
    </row>
    <row r="19" spans="9:10" x14ac:dyDescent="0.3">
      <c r="I19" t="s">
        <v>37</v>
      </c>
      <c r="J19" t="s">
        <v>38</v>
      </c>
    </row>
    <row r="20" spans="9:10" x14ac:dyDescent="0.3">
      <c r="I20" t="s">
        <v>39</v>
      </c>
      <c r="J20" t="s">
        <v>40</v>
      </c>
    </row>
    <row r="21" spans="9:10" x14ac:dyDescent="0.3">
      <c r="I21" t="s">
        <v>41</v>
      </c>
      <c r="J21" t="s">
        <v>42</v>
      </c>
    </row>
    <row r="22" spans="9:10" x14ac:dyDescent="0.3">
      <c r="I22" t="s">
        <v>43</v>
      </c>
      <c r="J22" t="s">
        <v>44</v>
      </c>
    </row>
    <row r="23" spans="9:10" x14ac:dyDescent="0.3">
      <c r="I23" t="s">
        <v>45</v>
      </c>
      <c r="J23" t="s">
        <v>46</v>
      </c>
    </row>
    <row r="24" spans="9:10" x14ac:dyDescent="0.3">
      <c r="I24" t="s">
        <v>47</v>
      </c>
      <c r="J24" t="s">
        <v>48</v>
      </c>
    </row>
    <row r="25" spans="9:10" x14ac:dyDescent="0.3">
      <c r="I25" t="s">
        <v>49</v>
      </c>
      <c r="J25" t="s">
        <v>50</v>
      </c>
    </row>
    <row r="26" spans="9:10" x14ac:dyDescent="0.3">
      <c r="I26" t="s">
        <v>51</v>
      </c>
      <c r="J26" t="s">
        <v>52</v>
      </c>
    </row>
    <row r="27" spans="9:10" x14ac:dyDescent="0.3">
      <c r="I27" t="s">
        <v>53</v>
      </c>
      <c r="J27" t="s">
        <v>54</v>
      </c>
    </row>
    <row r="28" spans="9:10" x14ac:dyDescent="0.3">
      <c r="I28" t="s">
        <v>55</v>
      </c>
      <c r="J28" t="s">
        <v>56</v>
      </c>
    </row>
    <row r="29" spans="9:10" x14ac:dyDescent="0.3">
      <c r="I29" t="s">
        <v>57</v>
      </c>
      <c r="J29" t="s">
        <v>58</v>
      </c>
    </row>
    <row r="30" spans="9:10" x14ac:dyDescent="0.3">
      <c r="I30" t="s">
        <v>59</v>
      </c>
      <c r="J30" t="s">
        <v>60</v>
      </c>
    </row>
    <row r="31" spans="9:10" x14ac:dyDescent="0.3">
      <c r="I31" t="s">
        <v>61</v>
      </c>
      <c r="J31" t="s">
        <v>62</v>
      </c>
    </row>
    <row r="32" spans="9:10" x14ac:dyDescent="0.3">
      <c r="I32" t="s">
        <v>63</v>
      </c>
      <c r="J32" t="s">
        <v>64</v>
      </c>
    </row>
    <row r="33" spans="9:10" x14ac:dyDescent="0.3">
      <c r="I33" t="s">
        <v>65</v>
      </c>
      <c r="J33" t="s">
        <v>66</v>
      </c>
    </row>
    <row r="34" spans="9:10" x14ac:dyDescent="0.3">
      <c r="I34" t="s">
        <v>67</v>
      </c>
      <c r="J34" t="s">
        <v>68</v>
      </c>
    </row>
    <row r="35" spans="9:10" x14ac:dyDescent="0.3">
      <c r="I35" t="s">
        <v>69</v>
      </c>
      <c r="J35" t="s">
        <v>70</v>
      </c>
    </row>
    <row r="36" spans="9:10" x14ac:dyDescent="0.3">
      <c r="I36" t="s">
        <v>71</v>
      </c>
      <c r="J36" t="s">
        <v>72</v>
      </c>
    </row>
    <row r="37" spans="9:10" x14ac:dyDescent="0.3">
      <c r="I37" t="s">
        <v>73</v>
      </c>
      <c r="J37" t="s">
        <v>74</v>
      </c>
    </row>
    <row r="38" spans="9:10" x14ac:dyDescent="0.3">
      <c r="I38" t="s">
        <v>75</v>
      </c>
      <c r="J38" t="s">
        <v>76</v>
      </c>
    </row>
    <row r="39" spans="9:10" x14ac:dyDescent="0.3">
      <c r="I39" t="s">
        <v>77</v>
      </c>
      <c r="J39" t="s">
        <v>78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9 D4: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/>
  </sheetPr>
  <dimension ref="A1:BS67"/>
  <sheetViews>
    <sheetView topLeftCell="A8" zoomScale="85" zoomScaleNormal="85" workbookViewId="0">
      <pane xSplit="2" topLeftCell="U1" activePane="topRight" state="frozen"/>
      <selection pane="topRight" activeCell="AM41" sqref="AM41:BC65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73" t="s">
        <v>259</v>
      </c>
      <c r="B1" s="73"/>
      <c r="C1" s="73"/>
      <c r="D1" s="73"/>
      <c r="E1" s="73"/>
      <c r="F1" s="73"/>
      <c r="G1" s="73"/>
      <c r="I1" s="66" t="s">
        <v>549</v>
      </c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G1" s="67" t="s">
        <v>550</v>
      </c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</row>
    <row r="2" spans="1:71" ht="30" customHeight="1" x14ac:dyDescent="0.3">
      <c r="A2" s="69" t="s">
        <v>91</v>
      </c>
      <c r="B2" s="70" t="s">
        <v>94</v>
      </c>
      <c r="C2" s="69" t="s">
        <v>97</v>
      </c>
      <c r="D2" s="70" t="s">
        <v>100</v>
      </c>
      <c r="E2" s="69" t="s">
        <v>103</v>
      </c>
      <c r="F2" s="70" t="s">
        <v>106</v>
      </c>
      <c r="G2" s="69" t="s">
        <v>109</v>
      </c>
      <c r="I2" s="70" t="s">
        <v>112</v>
      </c>
      <c r="J2" s="71" t="s">
        <v>115</v>
      </c>
      <c r="K2" s="71"/>
      <c r="L2" s="71"/>
      <c r="M2" s="71"/>
      <c r="N2" s="69" t="s">
        <v>128</v>
      </c>
      <c r="O2" s="70" t="s">
        <v>131</v>
      </c>
      <c r="P2" s="69" t="s">
        <v>22</v>
      </c>
      <c r="Q2" s="70" t="s">
        <v>24</v>
      </c>
      <c r="R2" s="69" t="s">
        <v>20</v>
      </c>
      <c r="S2" s="72" t="s">
        <v>140</v>
      </c>
      <c r="T2" s="72"/>
      <c r="U2" s="72"/>
      <c r="V2" s="72"/>
      <c r="W2" s="71" t="s">
        <v>151</v>
      </c>
      <c r="X2" s="71"/>
      <c r="Y2" s="72" t="s">
        <v>158</v>
      </c>
      <c r="Z2" s="72"/>
      <c r="AA2" s="72"/>
      <c r="AB2" s="71" t="s">
        <v>168</v>
      </c>
      <c r="AC2" s="71"/>
      <c r="AD2" s="72" t="s">
        <v>175</v>
      </c>
      <c r="AE2" s="72"/>
      <c r="AG2" s="69" t="s">
        <v>112</v>
      </c>
      <c r="AH2" s="72" t="s">
        <v>115</v>
      </c>
      <c r="AI2" s="72"/>
      <c r="AJ2" s="72"/>
      <c r="AK2" s="72"/>
      <c r="AL2" s="70" t="s">
        <v>190</v>
      </c>
      <c r="AM2" s="69" t="s">
        <v>131</v>
      </c>
      <c r="AN2" s="70" t="s">
        <v>22</v>
      </c>
      <c r="AO2" s="69" t="s">
        <v>24</v>
      </c>
      <c r="AP2" s="70" t="s">
        <v>20</v>
      </c>
      <c r="AQ2" s="71" t="s">
        <v>140</v>
      </c>
      <c r="AR2" s="71"/>
      <c r="AS2" s="71"/>
      <c r="AT2" s="71"/>
      <c r="AU2" s="72" t="s">
        <v>151</v>
      </c>
      <c r="AV2" s="72"/>
      <c r="AW2" s="71" t="s">
        <v>158</v>
      </c>
      <c r="AX2" s="71"/>
      <c r="AY2" s="71"/>
      <c r="AZ2" s="72" t="s">
        <v>168</v>
      </c>
      <c r="BA2" s="72"/>
      <c r="BB2" s="71" t="s">
        <v>175</v>
      </c>
      <c r="BC2" s="71"/>
      <c r="BE2" s="70" t="s">
        <v>227</v>
      </c>
      <c r="BF2" s="69" t="s">
        <v>230</v>
      </c>
      <c r="BG2" s="70" t="s">
        <v>230</v>
      </c>
      <c r="BI2" s="71" t="s">
        <v>235</v>
      </c>
      <c r="BJ2" s="71"/>
      <c r="BK2" s="72" t="s">
        <v>240</v>
      </c>
      <c r="BL2" s="72"/>
      <c r="BM2" s="72"/>
      <c r="BO2" s="71" t="s">
        <v>247</v>
      </c>
      <c r="BP2" s="71"/>
      <c r="BQ2" s="72" t="s">
        <v>252</v>
      </c>
      <c r="BR2" s="72"/>
      <c r="BS2" s="72"/>
    </row>
    <row r="3" spans="1:71" ht="15" thickBot="1" x14ac:dyDescent="0.35">
      <c r="A3" s="69"/>
      <c r="B3" s="70"/>
      <c r="C3" s="69"/>
      <c r="D3" s="70"/>
      <c r="E3" s="69"/>
      <c r="F3" s="70"/>
      <c r="G3" s="69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69"/>
      <c r="O3" s="70"/>
      <c r="P3" s="69"/>
      <c r="Q3" s="70"/>
      <c r="R3" s="69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69"/>
      <c r="AH3" s="12" t="s">
        <v>116</v>
      </c>
      <c r="AI3" s="12" t="s">
        <v>119</v>
      </c>
      <c r="AJ3" s="12" t="s">
        <v>122</v>
      </c>
      <c r="AK3" s="12" t="s">
        <v>125</v>
      </c>
      <c r="AL3" s="70"/>
      <c r="AM3" s="69"/>
      <c r="AN3" s="70"/>
      <c r="AO3" s="69"/>
      <c r="AP3" s="70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0"/>
      <c r="BF3" s="69"/>
      <c r="BG3" s="70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1" ht="123" hidden="1" x14ac:dyDescent="0.3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1" x14ac:dyDescent="0.3">
      <c r="A5" s="15" t="s">
        <v>265</v>
      </c>
      <c r="B5" s="15" t="s">
        <v>264</v>
      </c>
      <c r="C5" s="16" t="s">
        <v>266</v>
      </c>
      <c r="D5" s="15">
        <v>238146391</v>
      </c>
      <c r="E5" s="16">
        <v>10</v>
      </c>
      <c r="F5" s="16">
        <v>300</v>
      </c>
      <c r="G5" s="16">
        <v>30</v>
      </c>
      <c r="I5" s="17">
        <f t="shared" ref="I5:I29" si="0">IF(OR(ISBLANK(S5),ISBLANK(G5)),"·",S5*G5/F5/1000000)</f>
        <v>0.23985279999999998</v>
      </c>
      <c r="J5" s="18">
        <f t="shared" ref="J5:J29" si="1">IF(ISBLANK(S5),"·",S5/D5)</f>
        <v>1.0071653783743462E-2</v>
      </c>
      <c r="K5" s="18">
        <f t="shared" ref="K5:K29" si="2">IF(N5="","·",N5/D5)</f>
        <v>6.3958642984432209E-3</v>
      </c>
      <c r="L5" s="18">
        <f t="shared" ref="L5:L29" si="3">IF(T5="","·",T5/D5)</f>
        <v>3.5566358845219703E-3</v>
      </c>
      <c r="M5" s="18">
        <f t="shared" ref="M5:M29" si="4">IF(ISBLANK(V5),"·",V5/D5)</f>
        <v>3.675789485300241E-3</v>
      </c>
      <c r="N5" s="15">
        <f t="shared" ref="N5:N29" si="5">IF(OR(ISBLANK(T5),ISBLANK(U5)),"",T5+U5)</f>
        <v>1523152</v>
      </c>
      <c r="O5" s="18">
        <f t="shared" ref="O5:O29" si="6">IF(ISBLANK(S5),"·",S5/P5)</f>
        <v>0.11070694176808991</v>
      </c>
      <c r="P5" s="4">
        <v>21665561</v>
      </c>
      <c r="Q5" s="4">
        <v>677048.78125</v>
      </c>
      <c r="R5" s="4">
        <v>14051.75</v>
      </c>
      <c r="S5" s="4">
        <v>2398528</v>
      </c>
      <c r="T5" s="4">
        <v>847000</v>
      </c>
      <c r="U5" s="4">
        <v>676152</v>
      </c>
      <c r="V5" s="4">
        <v>875376</v>
      </c>
      <c r="W5" s="4">
        <v>66.333387500000001</v>
      </c>
      <c r="X5" s="4">
        <v>68.421993749999999</v>
      </c>
      <c r="Y5" s="4">
        <v>32.172281249999997</v>
      </c>
      <c r="Z5" s="4">
        <v>44.152209374999998</v>
      </c>
      <c r="AA5" s="4">
        <v>43.698040624999997</v>
      </c>
      <c r="AB5" s="4">
        <v>2812.25</v>
      </c>
      <c r="AC5" s="4">
        <v>1293.33</v>
      </c>
      <c r="AD5" s="4">
        <v>8.5399999999999991</v>
      </c>
      <c r="AE5" s="4">
        <v>25.417999999999999</v>
      </c>
      <c r="AG5" s="17">
        <f t="shared" ref="AG5:AG29" si="7">IF(OR(ISBLANK(AQ5),ISBLANK(G5)),"·",AQ5*G5/F5/1000000)</f>
        <v>0.2398584</v>
      </c>
      <c r="AH5" s="18">
        <f t="shared" ref="AH5:AH29" si="8">IF(ISBLANK(AQ5),"·",AQ5/D5)</f>
        <v>1.007188893322343E-2</v>
      </c>
      <c r="AI5" s="18">
        <f t="shared" ref="AI5:AI29" si="9">IF(AL5="","·",AL5/D5)</f>
        <v>6.3960994479231896E-3</v>
      </c>
      <c r="AJ5" s="18">
        <f t="shared" ref="AJ5:AJ29" si="10">IF(AR5="","·",AR5/D5)</f>
        <v>3.5566358845219703E-3</v>
      </c>
      <c r="AK5" s="18">
        <f t="shared" ref="AK5:AK29" si="11">IF(ISBLANK(AT5),"·",AT5/D5)</f>
        <v>3.675789485300241E-3</v>
      </c>
      <c r="AL5" s="15">
        <f t="shared" ref="AL5:AL29" si="12">IF(OR(ISBLANK(AR5),ISBLANK(AS5)),"",AR5+AS5)</f>
        <v>1523208</v>
      </c>
      <c r="AM5" s="18">
        <f t="shared" ref="AM5:AM29" si="13">IF(ISBLANK(AQ5),"·",AQ5/AN5)</f>
        <v>0.11070952651537617</v>
      </c>
      <c r="AN5" s="4">
        <v>21665561</v>
      </c>
      <c r="AO5" s="4">
        <v>677048.78125</v>
      </c>
      <c r="AP5" s="4">
        <v>14051.75</v>
      </c>
      <c r="AQ5" s="4">
        <v>2398584</v>
      </c>
      <c r="AR5" s="4">
        <v>847000</v>
      </c>
      <c r="AS5" s="4">
        <v>676208</v>
      </c>
      <c r="AT5" s="4">
        <v>875376</v>
      </c>
      <c r="AU5" s="4">
        <v>66.333387500000001</v>
      </c>
      <c r="AV5" s="4">
        <v>68.421993749999999</v>
      </c>
      <c r="AW5" s="4">
        <v>32.183828124999998</v>
      </c>
      <c r="AX5" s="4">
        <v>44.222840625000003</v>
      </c>
      <c r="AY5" s="4">
        <v>43.781071875000002</v>
      </c>
      <c r="AZ5" s="4">
        <v>4490.76</v>
      </c>
      <c r="BA5" s="4">
        <v>1517.4</v>
      </c>
      <c r="BB5" s="4">
        <v>19.292999999999999</v>
      </c>
      <c r="BC5" s="4">
        <v>23.954999999999998</v>
      </c>
      <c r="BE5" s="23">
        <f t="shared" ref="BE5:BE29" si="14">(AP5/AO5) - (R5/Q5)</f>
        <v>0</v>
      </c>
      <c r="BF5" s="23">
        <f t="shared" ref="BF5:BF29" si="15">(AL5/AQ5) - (N5/S5)</f>
        <v>8.5208503397549151E-6</v>
      </c>
      <c r="BG5" s="23">
        <f t="array" ref="BG5">AVERAGE(AL5:AL9/AQ5:AQ9) - AVERAGE(N5:N9/S5:S9)</f>
        <v>5.561457358971289E-6</v>
      </c>
      <c r="BI5" s="24">
        <f>IF( OR(ISBLANK(N5:N9),ISBLANK(AL5:AL9), ISBLANK(W5:W9),ISBLANK(AU5:AU9)), "·", bdRateExtend( N5:N9,W5:W9, AL5:AL9,AU5:AU9))</f>
        <v>2.5715445177487695E-5</v>
      </c>
      <c r="BJ5" s="24">
        <f>IF( OR(ISBLANK(N5:N9),ISBLANK(AL5:AL9), ISBLANK(X5:X9),ISBLANK(AV5:AV9)), "·", bdRateExtend( N5:N9,X5:X9, AL5:AL9,AV5:AV9))</f>
        <v>2.4543028471102346E-5</v>
      </c>
      <c r="BK5" s="24">
        <f>IF( OR(ISBLANK(V5:V9),ISBLANK(AT5:AT9), ISBLANK(Y5:Y9),ISBLANK(AW5:AW9)), "·", bdRateExtend( V5:V9,Y5:Y9, AT5:AT9,AW5:AW9))</f>
        <v>1.4748847794693321E-2</v>
      </c>
      <c r="BL5" s="24">
        <f>IF( OR(ISBLANK(V5:V9),ISBLANK(AT5:AT9), ISBLANK(Z5:Z9),ISBLANK(AX5:AX9)), "·", bdRateExtend( V5:V9,Z5:Z9, AT5:AT9,AX5:AX9))</f>
        <v>-2.5221853584418974E-2</v>
      </c>
      <c r="BM5" s="24">
        <f>IF( OR(ISBLANK(V5:V9),ISBLANK(AT5:AT9), ISBLANK(AA5:AA9),ISBLANK(AY5:AY9)), "·", bdRateExtend( V5:V9,AA5:AA9, AT5:AT9,AY5:AY9))</f>
        <v>-2.8423150693381305E-2</v>
      </c>
      <c r="BO5" s="24">
        <f>IF( OR(ISBLANK(S5:S9),ISBLANK(AQ5:AQ9), ISBLANK(W5:W9),ISBLANK(AU5:AU9)), "·", bdRateExtend( S5:S9,W5:W9, AQ5:AQ9,AU5:AU9))</f>
        <v>1.1687923405556688E-5</v>
      </c>
      <c r="BP5" s="24">
        <f>IF( OR(ISBLANK(S5:S9),ISBLANK(AQ5:AQ9), ISBLANK(X5:X9),ISBLANK(AV5:AV9)), "·", bdRateExtend( S5:S9,X5:X9, AQ5:AQ9,AV5:AV9))</f>
        <v>1.0779100648061757E-5</v>
      </c>
      <c r="BQ5" s="24">
        <f>IF( OR(ISBLANK(S5:S9),ISBLANK(AQ5:AQ9), ISBLANK(Y5:Y9),ISBLANK(AW5:AW9)), "·", bdRateExtend( S5:S9,Y5:Y9, AQ5:AQ9,AW5:AW9))</f>
        <v>1.2210776019952796E-2</v>
      </c>
      <c r="BR5" s="24">
        <f>IF( OR(ISBLANK(S5:S9),ISBLANK(AQ5:AQ9), ISBLANK(Z5:Z9),ISBLANK(AX5:AX9)), "·", bdRateExtend( S5:S9,Z5:Z9, AQ5:AQ9,AX5:AX9))</f>
        <v>-1.7636025516165832E-2</v>
      </c>
      <c r="BS5" s="24">
        <f>IF( OR(ISBLANK(S5:S9),ISBLANK(AQ5:AQ9), ISBLANK(AA5:AA9),ISBLANK(AY5:AY9)), "·", bdRateExtend( S5:S9,AA5:AA9, AQ5:AQ9,AY5:AY9))</f>
        <v>-2.0085546521370845E-2</v>
      </c>
    </row>
    <row r="6" spans="1:71" outlineLevel="1" x14ac:dyDescent="0.3">
      <c r="A6" s="25"/>
      <c r="B6" s="25" t="s">
        <v>264</v>
      </c>
      <c r="C6" s="26" t="s">
        <v>267</v>
      </c>
      <c r="D6" s="25">
        <v>238146391</v>
      </c>
      <c r="E6" s="26">
        <v>10</v>
      </c>
      <c r="F6" s="26">
        <v>300</v>
      </c>
      <c r="G6" s="26">
        <v>30</v>
      </c>
      <c r="I6" s="27">
        <f t="shared" si="0"/>
        <v>0.37227120000000002</v>
      </c>
      <c r="J6" s="28">
        <f t="shared" si="1"/>
        <v>1.5632031979858976E-2</v>
      </c>
      <c r="K6" s="28">
        <f t="shared" si="2"/>
        <v>7.723753411824746E-3</v>
      </c>
      <c r="L6" s="28">
        <f t="shared" si="3"/>
        <v>4.8845249979034954E-3</v>
      </c>
      <c r="M6" s="28">
        <f t="shared" si="4"/>
        <v>7.9082785680342303E-3</v>
      </c>
      <c r="N6" s="25">
        <f t="shared" si="5"/>
        <v>1839384</v>
      </c>
      <c r="O6" s="28">
        <f t="shared" si="6"/>
        <v>0.15407831277030978</v>
      </c>
      <c r="P6" s="4">
        <v>24161168</v>
      </c>
      <c r="Q6" s="4">
        <v>755036.5</v>
      </c>
      <c r="R6" s="4">
        <v>19819.15625</v>
      </c>
      <c r="S6" s="4">
        <v>3722712</v>
      </c>
      <c r="T6" s="4">
        <v>1163232</v>
      </c>
      <c r="U6" s="4">
        <v>676152</v>
      </c>
      <c r="V6" s="4">
        <v>1883328</v>
      </c>
      <c r="W6" s="4">
        <v>68.237346875</v>
      </c>
      <c r="X6" s="4">
        <v>70.381815625000002</v>
      </c>
      <c r="Y6" s="4">
        <v>34.447715625000001</v>
      </c>
      <c r="Z6" s="4">
        <v>45.471125000000001</v>
      </c>
      <c r="AA6" s="4">
        <v>45.178546875000002</v>
      </c>
      <c r="AB6" s="4">
        <v>2830.16</v>
      </c>
      <c r="AC6" s="4">
        <v>1430.57</v>
      </c>
      <c r="AD6" s="4">
        <v>8.077</v>
      </c>
      <c r="AE6" s="4">
        <v>24.638000000000002</v>
      </c>
      <c r="AG6" s="27">
        <f t="shared" si="7"/>
        <v>0.37227679999999996</v>
      </c>
      <c r="AH6" s="28">
        <f t="shared" si="8"/>
        <v>1.5632267129338944E-2</v>
      </c>
      <c r="AI6" s="28">
        <f t="shared" si="9"/>
        <v>7.7239885613047147E-3</v>
      </c>
      <c r="AJ6" s="28">
        <f t="shared" si="10"/>
        <v>4.8845249979034954E-3</v>
      </c>
      <c r="AK6" s="28">
        <f t="shared" si="11"/>
        <v>7.9082785680342303E-3</v>
      </c>
      <c r="AL6" s="25">
        <f t="shared" si="12"/>
        <v>1839440</v>
      </c>
      <c r="AM6" s="28">
        <f t="shared" si="13"/>
        <v>0.15408063053905341</v>
      </c>
      <c r="AN6" s="4">
        <v>24161168</v>
      </c>
      <c r="AO6" s="4">
        <v>755036.5</v>
      </c>
      <c r="AP6" s="4">
        <v>19819.15625</v>
      </c>
      <c r="AQ6" s="4">
        <v>3722768</v>
      </c>
      <c r="AR6" s="4">
        <v>1163232</v>
      </c>
      <c r="AS6" s="4">
        <v>676208</v>
      </c>
      <c r="AT6" s="4">
        <v>1883328</v>
      </c>
      <c r="AU6" s="4">
        <v>68.237346875</v>
      </c>
      <c r="AV6" s="4">
        <v>70.381815625000002</v>
      </c>
      <c r="AW6" s="4">
        <v>34.434784375</v>
      </c>
      <c r="AX6" s="4">
        <v>45.5319</v>
      </c>
      <c r="AY6" s="4">
        <v>45.251459375000003</v>
      </c>
      <c r="AZ6" s="4">
        <v>4460.34</v>
      </c>
      <c r="BA6" s="4">
        <v>1587.94</v>
      </c>
      <c r="BB6" s="4">
        <v>22.702999999999999</v>
      </c>
      <c r="BC6" s="4">
        <v>22.477</v>
      </c>
      <c r="BE6" s="33">
        <f t="shared" si="14"/>
        <v>0</v>
      </c>
      <c r="BF6" s="33">
        <f t="shared" si="15"/>
        <v>7.6100687258495725E-6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264</v>
      </c>
      <c r="C7" s="16" t="s">
        <v>268</v>
      </c>
      <c r="D7" s="15">
        <v>238146391</v>
      </c>
      <c r="E7" s="16">
        <v>10</v>
      </c>
      <c r="F7" s="16">
        <v>300</v>
      </c>
      <c r="G7" s="16">
        <v>30</v>
      </c>
      <c r="I7" s="17">
        <f t="shared" si="0"/>
        <v>0.61013040000000007</v>
      </c>
      <c r="J7" s="18">
        <f t="shared" si="1"/>
        <v>2.5619972548733692E-2</v>
      </c>
      <c r="K7" s="18">
        <f t="shared" si="2"/>
        <v>9.6017915299837567E-3</v>
      </c>
      <c r="L7" s="18">
        <f t="shared" si="3"/>
        <v>6.762563116062506E-3</v>
      </c>
      <c r="M7" s="18">
        <f t="shared" si="4"/>
        <v>1.6018181018749935E-2</v>
      </c>
      <c r="N7" s="15">
        <f t="shared" si="5"/>
        <v>2286632</v>
      </c>
      <c r="O7" s="18">
        <f t="shared" si="6"/>
        <v>0.24550979091020039</v>
      </c>
      <c r="P7" s="4">
        <v>24851571</v>
      </c>
      <c r="Q7" s="4">
        <v>776611.59375</v>
      </c>
      <c r="R7" s="4">
        <v>21698.125</v>
      </c>
      <c r="S7" s="4">
        <v>6101304</v>
      </c>
      <c r="T7" s="4">
        <v>1610480</v>
      </c>
      <c r="U7" s="4">
        <v>676152</v>
      </c>
      <c r="V7" s="4">
        <v>3814672</v>
      </c>
      <c r="W7" s="4">
        <v>69.675328124999993</v>
      </c>
      <c r="X7" s="4">
        <v>72.069881249999995</v>
      </c>
      <c r="Y7" s="4">
        <v>36.987681250000001</v>
      </c>
      <c r="Z7" s="4">
        <v>46.558475000000001</v>
      </c>
      <c r="AA7" s="4">
        <v>46.422125000000001</v>
      </c>
      <c r="AB7" s="4">
        <v>2779.22</v>
      </c>
      <c r="AC7" s="4">
        <v>1517.63</v>
      </c>
      <c r="AD7" s="4">
        <v>7.6970000000000001</v>
      </c>
      <c r="AE7" s="4">
        <v>24.593</v>
      </c>
      <c r="AG7" s="17">
        <f t="shared" si="7"/>
        <v>0.61013600000000001</v>
      </c>
      <c r="AH7" s="18">
        <f t="shared" si="8"/>
        <v>2.562020769821366E-2</v>
      </c>
      <c r="AI7" s="18">
        <f t="shared" si="9"/>
        <v>9.6020266794637245E-3</v>
      </c>
      <c r="AJ7" s="18">
        <f t="shared" si="10"/>
        <v>6.762563116062506E-3</v>
      </c>
      <c r="AK7" s="18">
        <f t="shared" si="11"/>
        <v>1.6018181018749935E-2</v>
      </c>
      <c r="AL7" s="15">
        <f t="shared" si="12"/>
        <v>2286688</v>
      </c>
      <c r="AM7" s="18">
        <f t="shared" si="13"/>
        <v>0.24551204428887011</v>
      </c>
      <c r="AN7" s="4">
        <v>24851571</v>
      </c>
      <c r="AO7" s="4">
        <v>776611.59375</v>
      </c>
      <c r="AP7" s="4">
        <v>21698.125</v>
      </c>
      <c r="AQ7" s="4">
        <v>6101360</v>
      </c>
      <c r="AR7" s="4">
        <v>1610480</v>
      </c>
      <c r="AS7" s="4">
        <v>676208</v>
      </c>
      <c r="AT7" s="4">
        <v>3814672</v>
      </c>
      <c r="AU7" s="4">
        <v>69.675328124999993</v>
      </c>
      <c r="AV7" s="4">
        <v>72.069881249999995</v>
      </c>
      <c r="AW7" s="4">
        <v>36.932074999999998</v>
      </c>
      <c r="AX7" s="4">
        <v>46.610134375000001</v>
      </c>
      <c r="AY7" s="4">
        <v>46.488624999999999</v>
      </c>
      <c r="AZ7" s="4">
        <v>4367.2299999999996</v>
      </c>
      <c r="BA7" s="4">
        <v>1741.97</v>
      </c>
      <c r="BB7" s="4">
        <v>19.632000000000001</v>
      </c>
      <c r="BC7" s="4">
        <v>22.527000000000001</v>
      </c>
      <c r="BE7" s="23">
        <f t="shared" si="14"/>
        <v>0</v>
      </c>
      <c r="BF7" s="23">
        <f t="shared" si="15"/>
        <v>5.7384673322613544E-6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264</v>
      </c>
      <c r="C8" s="26" t="s">
        <v>269</v>
      </c>
      <c r="D8" s="25">
        <v>238146391</v>
      </c>
      <c r="E8" s="26">
        <v>10</v>
      </c>
      <c r="F8" s="26">
        <v>300</v>
      </c>
      <c r="G8" s="26">
        <v>30</v>
      </c>
      <c r="I8" s="27">
        <f t="shared" si="0"/>
        <v>1.0606591999999999</v>
      </c>
      <c r="J8" s="28">
        <f t="shared" si="1"/>
        <v>4.4538117732802425E-2</v>
      </c>
      <c r="K8" s="28">
        <f t="shared" si="2"/>
        <v>1.2688867495791695E-2</v>
      </c>
      <c r="L8" s="28">
        <f t="shared" si="3"/>
        <v>9.8496390818704448E-3</v>
      </c>
      <c r="M8" s="28">
        <f t="shared" si="4"/>
        <v>3.1849250237010733E-2</v>
      </c>
      <c r="N8" s="25">
        <f t="shared" si="5"/>
        <v>3021808</v>
      </c>
      <c r="O8" s="28">
        <f t="shared" si="6"/>
        <v>0.4091053766699061</v>
      </c>
      <c r="P8" s="4">
        <v>25926308</v>
      </c>
      <c r="Q8" s="4">
        <v>810197.125</v>
      </c>
      <c r="R8" s="4">
        <v>25083</v>
      </c>
      <c r="S8" s="4">
        <v>10606592</v>
      </c>
      <c r="T8" s="4">
        <v>2345656</v>
      </c>
      <c r="U8" s="4">
        <v>676152</v>
      </c>
      <c r="V8" s="4">
        <v>7584784</v>
      </c>
      <c r="W8" s="4">
        <v>70.776121875000001</v>
      </c>
      <c r="X8" s="4">
        <v>73.329590624999994</v>
      </c>
      <c r="Y8" s="4">
        <v>39.610121874999997</v>
      </c>
      <c r="Z8" s="4">
        <v>47.909234374999997</v>
      </c>
      <c r="AA8" s="4">
        <v>47.953962500000003</v>
      </c>
      <c r="AB8" s="4">
        <v>2783.5</v>
      </c>
      <c r="AC8" s="4">
        <v>1599.34</v>
      </c>
      <c r="AD8" s="4">
        <v>8.0259999999999998</v>
      </c>
      <c r="AE8" s="4">
        <v>28.007999999999999</v>
      </c>
      <c r="AG8" s="27">
        <f t="shared" si="7"/>
        <v>1.0606648000000001</v>
      </c>
      <c r="AH8" s="28">
        <f t="shared" si="8"/>
        <v>4.4538352882282396E-2</v>
      </c>
      <c r="AI8" s="28">
        <f t="shared" si="9"/>
        <v>1.2689102645271663E-2</v>
      </c>
      <c r="AJ8" s="28">
        <f t="shared" si="10"/>
        <v>9.8496390818704448E-3</v>
      </c>
      <c r="AK8" s="28">
        <f t="shared" si="11"/>
        <v>3.1849250237010733E-2</v>
      </c>
      <c r="AL8" s="25">
        <f t="shared" si="12"/>
        <v>3021864</v>
      </c>
      <c r="AM8" s="28">
        <f t="shared" si="13"/>
        <v>0.40910753663807436</v>
      </c>
      <c r="AN8" s="4">
        <v>25926308</v>
      </c>
      <c r="AO8" s="4">
        <v>810197.125</v>
      </c>
      <c r="AP8" s="4">
        <v>25083</v>
      </c>
      <c r="AQ8" s="4">
        <v>10606648</v>
      </c>
      <c r="AR8" s="4">
        <v>2345656</v>
      </c>
      <c r="AS8" s="4">
        <v>676208</v>
      </c>
      <c r="AT8" s="4">
        <v>7584784</v>
      </c>
      <c r="AU8" s="4">
        <v>70.776121875000001</v>
      </c>
      <c r="AV8" s="4">
        <v>73.329590624999994</v>
      </c>
      <c r="AW8" s="4">
        <v>39.479700000000001</v>
      </c>
      <c r="AX8" s="4">
        <v>47.945493749999997</v>
      </c>
      <c r="AY8" s="4">
        <v>48.0045875</v>
      </c>
      <c r="AZ8" s="4">
        <v>4509.76</v>
      </c>
      <c r="BA8" s="4">
        <v>1820.19</v>
      </c>
      <c r="BB8" s="4">
        <v>19.59</v>
      </c>
      <c r="BC8" s="4">
        <v>25.638999999999999</v>
      </c>
      <c r="BE8" s="33">
        <f t="shared" si="14"/>
        <v>0</v>
      </c>
      <c r="BF8" s="33">
        <f t="shared" si="15"/>
        <v>3.7755239089554138E-6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ht="15" outlineLevel="1" thickBot="1" x14ac:dyDescent="0.35">
      <c r="A9" s="15"/>
      <c r="B9" s="35" t="s">
        <v>264</v>
      </c>
      <c r="C9" s="36" t="s">
        <v>270</v>
      </c>
      <c r="D9" s="35">
        <v>238146391</v>
      </c>
      <c r="E9" s="36">
        <v>10</v>
      </c>
      <c r="F9" s="36">
        <v>300</v>
      </c>
      <c r="G9" s="36">
        <v>30</v>
      </c>
      <c r="I9" s="37">
        <f t="shared" si="0"/>
        <v>1.9354016000000001</v>
      </c>
      <c r="J9" s="38">
        <f t="shared" si="1"/>
        <v>8.1269407101785554E-2</v>
      </c>
      <c r="K9" s="38">
        <f t="shared" si="2"/>
        <v>2.0533890853714428E-2</v>
      </c>
      <c r="L9" s="38">
        <f t="shared" si="3"/>
        <v>1.5070293464997334E-2</v>
      </c>
      <c r="M9" s="38">
        <f t="shared" si="4"/>
        <v>6.0735516248071129E-2</v>
      </c>
      <c r="N9" s="35">
        <f t="shared" si="5"/>
        <v>4890072</v>
      </c>
      <c r="O9" s="38">
        <f t="shared" si="6"/>
        <v>0.77440795492448466</v>
      </c>
      <c r="P9" s="4">
        <v>24992016</v>
      </c>
      <c r="Q9" s="4">
        <v>781000.5</v>
      </c>
      <c r="R9" s="4">
        <v>10627.8125</v>
      </c>
      <c r="S9" s="4">
        <v>19354016</v>
      </c>
      <c r="T9" s="4">
        <v>3588936</v>
      </c>
      <c r="U9" s="4">
        <v>1301136</v>
      </c>
      <c r="V9" s="4">
        <v>14463944</v>
      </c>
      <c r="W9" s="4">
        <v>72.031521874999996</v>
      </c>
      <c r="X9" s="4">
        <v>75.292162500000003</v>
      </c>
      <c r="Y9" s="4">
        <v>42.03580625</v>
      </c>
      <c r="Z9" s="4">
        <v>49.433799999999998</v>
      </c>
      <c r="AA9" s="4">
        <v>49.586678124999999</v>
      </c>
      <c r="AB9" s="4">
        <v>2849.95</v>
      </c>
      <c r="AC9" s="4">
        <v>1817.12</v>
      </c>
      <c r="AD9" s="4">
        <v>7.6230000000000002</v>
      </c>
      <c r="AE9" s="4">
        <v>27.382999999999999</v>
      </c>
      <c r="AG9" s="37">
        <f t="shared" si="7"/>
        <v>1.9354072</v>
      </c>
      <c r="AH9" s="38">
        <f t="shared" si="8"/>
        <v>8.1269642251265525E-2</v>
      </c>
      <c r="AI9" s="38">
        <f t="shared" si="9"/>
        <v>2.0534126003194396E-2</v>
      </c>
      <c r="AJ9" s="38">
        <f t="shared" si="10"/>
        <v>1.5070293464997334E-2</v>
      </c>
      <c r="AK9" s="38">
        <f t="shared" si="11"/>
        <v>6.0735516248071129E-2</v>
      </c>
      <c r="AL9" s="35">
        <f t="shared" si="12"/>
        <v>4890128</v>
      </c>
      <c r="AM9" s="38">
        <f t="shared" si="13"/>
        <v>0.77441019564007962</v>
      </c>
      <c r="AN9" s="4">
        <v>24992016</v>
      </c>
      <c r="AO9" s="4">
        <v>781000.5</v>
      </c>
      <c r="AP9" s="4">
        <v>10627.8125</v>
      </c>
      <c r="AQ9" s="4">
        <v>19354072</v>
      </c>
      <c r="AR9" s="4">
        <v>3588936</v>
      </c>
      <c r="AS9" s="4">
        <v>1301192</v>
      </c>
      <c r="AT9" s="4">
        <v>14463944</v>
      </c>
      <c r="AU9" s="4">
        <v>72.031521874999996</v>
      </c>
      <c r="AV9" s="4">
        <v>75.292162500000003</v>
      </c>
      <c r="AW9" s="4">
        <v>42.03580625</v>
      </c>
      <c r="AX9" s="4">
        <v>49.433799999999998</v>
      </c>
      <c r="AY9" s="4">
        <v>49.586678124999999</v>
      </c>
      <c r="AZ9" s="4">
        <v>4593.97</v>
      </c>
      <c r="BA9" s="4">
        <v>1987.88</v>
      </c>
      <c r="BB9" s="4">
        <v>56.387999999999998</v>
      </c>
      <c r="BC9" s="4">
        <v>24.975999999999999</v>
      </c>
      <c r="BE9" s="43">
        <f t="shared" si="14"/>
        <v>0</v>
      </c>
      <c r="BF9" s="43">
        <f t="shared" si="15"/>
        <v>2.1623764882017227E-6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273</v>
      </c>
      <c r="C10" s="26" t="s">
        <v>266</v>
      </c>
      <c r="D10" s="25">
        <v>218121242</v>
      </c>
      <c r="E10" s="26">
        <v>10</v>
      </c>
      <c r="F10" s="26">
        <v>300</v>
      </c>
      <c r="G10" s="26">
        <v>30</v>
      </c>
      <c r="I10" s="27">
        <f t="shared" si="0"/>
        <v>0.347856</v>
      </c>
      <c r="J10" s="28">
        <f t="shared" si="1"/>
        <v>1.5947827768191418E-2</v>
      </c>
      <c r="K10" s="28">
        <f t="shared" si="2"/>
        <v>8.2618271539092007E-3</v>
      </c>
      <c r="L10" s="28">
        <f t="shared" si="3"/>
        <v>4.1984356571745547E-3</v>
      </c>
      <c r="M10" s="28">
        <f t="shared" si="4"/>
        <v>7.6860006142822164E-3</v>
      </c>
      <c r="N10" s="25">
        <f t="shared" si="5"/>
        <v>1802080</v>
      </c>
      <c r="O10" s="28">
        <f t="shared" si="6"/>
        <v>0.16836421917666597</v>
      </c>
      <c r="P10" s="4">
        <v>20660922</v>
      </c>
      <c r="Q10" s="4">
        <v>645653.8125</v>
      </c>
      <c r="R10" s="4">
        <v>19143.5</v>
      </c>
      <c r="S10" s="4">
        <v>3478560</v>
      </c>
      <c r="T10" s="4">
        <v>915768</v>
      </c>
      <c r="U10" s="4">
        <v>886312</v>
      </c>
      <c r="V10" s="4">
        <v>1676480</v>
      </c>
      <c r="W10" s="4">
        <v>65.90800625</v>
      </c>
      <c r="X10" s="4">
        <v>67.863765624999999</v>
      </c>
      <c r="Y10" s="4">
        <v>32.515584375000003</v>
      </c>
      <c r="Z10" s="4">
        <v>39.220893750000002</v>
      </c>
      <c r="AA10" s="4">
        <v>32.216518749999999</v>
      </c>
      <c r="AB10" s="4">
        <v>2605.96</v>
      </c>
      <c r="AC10" s="4">
        <v>1337.87</v>
      </c>
      <c r="AD10" s="4">
        <v>6.3929999999999998</v>
      </c>
      <c r="AE10" s="4">
        <v>21.236000000000001</v>
      </c>
      <c r="AG10" s="27">
        <f t="shared" si="7"/>
        <v>0.34786159999999999</v>
      </c>
      <c r="AH10" s="28">
        <f t="shared" si="8"/>
        <v>1.5948084506139021E-2</v>
      </c>
      <c r="AI10" s="28">
        <f t="shared" si="9"/>
        <v>8.2620838918568053E-3</v>
      </c>
      <c r="AJ10" s="28">
        <f t="shared" si="10"/>
        <v>4.1984356571745547E-3</v>
      </c>
      <c r="AK10" s="28">
        <f t="shared" si="11"/>
        <v>7.6860006142822164E-3</v>
      </c>
      <c r="AL10" s="25">
        <f t="shared" si="12"/>
        <v>1802136</v>
      </c>
      <c r="AM10" s="28">
        <f t="shared" si="13"/>
        <v>0.16836692960749766</v>
      </c>
      <c r="AN10" s="4">
        <v>20660922</v>
      </c>
      <c r="AO10" s="4">
        <v>645653.8125</v>
      </c>
      <c r="AP10" s="4">
        <v>19143.5</v>
      </c>
      <c r="AQ10" s="4">
        <v>3478616</v>
      </c>
      <c r="AR10" s="4">
        <v>915768</v>
      </c>
      <c r="AS10" s="4">
        <v>886368</v>
      </c>
      <c r="AT10" s="4">
        <v>1676480</v>
      </c>
      <c r="AU10" s="4">
        <v>65.90800625</v>
      </c>
      <c r="AV10" s="4">
        <v>67.863765624999999</v>
      </c>
      <c r="AW10" s="4">
        <v>32.540465625000003</v>
      </c>
      <c r="AX10" s="4">
        <v>39.26033125</v>
      </c>
      <c r="AY10" s="4">
        <v>32.22554375</v>
      </c>
      <c r="AZ10" s="4">
        <v>4092.92</v>
      </c>
      <c r="BA10" s="4">
        <v>1593.54</v>
      </c>
      <c r="BB10" s="4">
        <v>17.91</v>
      </c>
      <c r="BC10" s="4">
        <v>21.763000000000002</v>
      </c>
      <c r="BE10" s="33">
        <f t="shared" si="14"/>
        <v>0</v>
      </c>
      <c r="BF10" s="33">
        <f t="shared" si="15"/>
        <v>7.7585473491348367E-6</v>
      </c>
      <c r="BG10" s="33">
        <f t="array" ref="BG10">AVERAGE(AL10:AL14/AQ10:AQ14) - AVERAGE(N10:N14/S10:S14)</f>
        <v>4.7109288556224094E-6</v>
      </c>
      <c r="BI10" s="34">
        <f>IF( OR(ISBLANK(N10:N14),ISBLANK(AL10:AL14), ISBLANK(W10:W14),ISBLANK(AU10:AU14)), "·", bdRateExtend( N10:N14,W10:W14, AL10:AL14,AU10:AU14))</f>
        <v>2.1852338958572304E-5</v>
      </c>
      <c r="BJ10" s="34">
        <f>IF( OR(ISBLANK(N10:N14),ISBLANK(AL10:AL14), ISBLANK(X10:X14),ISBLANK(AV10:AV14)), "·", bdRateExtend( N10:N14,X10:X14, AL10:AL14,AV10:AV14))</f>
        <v>2.0428142113892989E-5</v>
      </c>
      <c r="BK10" s="34">
        <f>IF( OR(ISBLANK(V10:V14),ISBLANK(AT10:AT14), ISBLANK(Y10:Y14),ISBLANK(AW10:AW14)), "·", bdRateExtend( V10:V14,Y10:Y14, AT10:AT14,AW10:AW14))</f>
        <v>1.9702595843246407E-2</v>
      </c>
      <c r="BL10" s="34">
        <f>IF( OR(ISBLANK(V10:V14),ISBLANK(AT10:AT14), ISBLANK(Z10:Z14),ISBLANK(AX10:AX14)), "·", bdRateExtend( V10:V14,Z10:Z14, AT10:AT14,AX10:AX14))</f>
        <v>-1.0057904593589906E-2</v>
      </c>
      <c r="BM10" s="34">
        <f>IF( OR(ISBLANK(V10:V14),ISBLANK(AT10:AT14), ISBLANK(AA10:AA14),ISBLANK(AY10:AY14)), "·", bdRateExtend( V10:V14,AA10:AA14, AT10:AT14,AY10:AY14))</f>
        <v>1.6085337077974327E-2</v>
      </c>
      <c r="BO10" s="34">
        <f>IF( OR(ISBLANK(S10:S14),ISBLANK(AQ10:AQ14), ISBLANK(W10:W14),ISBLANK(AU10:AU14)), "·", bdRateExtend( S10:S14,W10:W14, AQ10:AQ14,AU10:AU14))</f>
        <v>8.7265399277836053E-6</v>
      </c>
      <c r="BP10" s="34">
        <f>IF( OR(ISBLANK(S10:S14),ISBLANK(AQ10:AQ14), ISBLANK(X10:X14),ISBLANK(AV10:AV14)), "·", bdRateExtend( S10:S14,X10:X14, AQ10:AQ14,AV10:AV14))</f>
        <v>7.877367357300713E-6</v>
      </c>
      <c r="BQ10" s="34">
        <f>IF( OR(ISBLANK(S10:S14),ISBLANK(AQ10:AQ14), ISBLANK(Y10:Y14),ISBLANK(AW10:AW14)), "·", bdRateExtend( S10:S14,Y10:Y14, AQ10:AQ14,AW10:AW14))</f>
        <v>1.6944171570840938E-2</v>
      </c>
      <c r="BR10" s="34">
        <f>IF( OR(ISBLANK(S10:S14),ISBLANK(AQ10:AQ14), ISBLANK(Z10:Z14),ISBLANK(AX10:AX14)), "·", bdRateExtend( S10:S14,Z10:Z14, AQ10:AQ14,AX10:AX14))</f>
        <v>-7.5552101092134505E-3</v>
      </c>
      <c r="BS10" s="34">
        <f>IF( OR(ISBLANK(S10:S14),ISBLANK(AQ10:AQ14), ISBLANK(AA10:AA14),ISBLANK(AY10:AY14)), "·", bdRateExtend( S10:S14,AA10:AA14, AQ10:AQ14,AY10:AY14))</f>
        <v>1.3722572787297382E-2</v>
      </c>
    </row>
    <row r="11" spans="1:71" outlineLevel="1" x14ac:dyDescent="0.3">
      <c r="A11" s="15"/>
      <c r="B11" s="15" t="s">
        <v>273</v>
      </c>
      <c r="C11" s="16" t="s">
        <v>267</v>
      </c>
      <c r="D11" s="15">
        <v>218121242</v>
      </c>
      <c r="E11" s="16">
        <v>10</v>
      </c>
      <c r="F11" s="16">
        <v>300</v>
      </c>
      <c r="G11" s="16">
        <v>30</v>
      </c>
      <c r="I11" s="17">
        <f t="shared" si="0"/>
        <v>0.50183999999999995</v>
      </c>
      <c r="J11" s="18">
        <f t="shared" si="1"/>
        <v>2.3007387790318929E-2</v>
      </c>
      <c r="K11" s="18">
        <f t="shared" si="2"/>
        <v>9.9259658534311852E-3</v>
      </c>
      <c r="L11" s="18">
        <f t="shared" si="3"/>
        <v>5.8625743566965384E-3</v>
      </c>
      <c r="M11" s="18">
        <f t="shared" si="4"/>
        <v>1.3081421936887742E-2</v>
      </c>
      <c r="N11" s="15">
        <f t="shared" si="5"/>
        <v>2165064</v>
      </c>
      <c r="O11" s="18">
        <f t="shared" si="6"/>
        <v>0.22595623129103881</v>
      </c>
      <c r="P11" s="4">
        <v>22209611</v>
      </c>
      <c r="Q11" s="4">
        <v>694050.34375</v>
      </c>
      <c r="R11" s="4">
        <v>24703.375</v>
      </c>
      <c r="S11" s="4">
        <v>5018400</v>
      </c>
      <c r="T11" s="4">
        <v>1278752</v>
      </c>
      <c r="U11" s="4">
        <v>886312</v>
      </c>
      <c r="V11" s="4">
        <v>2853336</v>
      </c>
      <c r="W11" s="4">
        <v>67.629121874999996</v>
      </c>
      <c r="X11" s="4">
        <v>69.776325</v>
      </c>
      <c r="Y11" s="4">
        <v>34.395803125</v>
      </c>
      <c r="Z11" s="4">
        <v>40.088459374999999</v>
      </c>
      <c r="AA11" s="4">
        <v>33.993225000000002</v>
      </c>
      <c r="AB11" s="4">
        <v>2545.98</v>
      </c>
      <c r="AC11" s="4">
        <v>1446.98</v>
      </c>
      <c r="AD11" s="4">
        <v>6.9550000000000001</v>
      </c>
      <c r="AE11" s="4">
        <v>25.064</v>
      </c>
      <c r="AG11" s="17">
        <f t="shared" si="7"/>
        <v>0.5018456</v>
      </c>
      <c r="AH11" s="18">
        <f t="shared" si="8"/>
        <v>2.3007644528266532E-2</v>
      </c>
      <c r="AI11" s="18">
        <f t="shared" si="9"/>
        <v>9.9262225913787899E-3</v>
      </c>
      <c r="AJ11" s="18">
        <f t="shared" si="10"/>
        <v>5.8625743566965384E-3</v>
      </c>
      <c r="AK11" s="18">
        <f t="shared" si="11"/>
        <v>1.3081421936887742E-2</v>
      </c>
      <c r="AL11" s="15">
        <f t="shared" si="12"/>
        <v>2165120</v>
      </c>
      <c r="AM11" s="18">
        <f t="shared" si="13"/>
        <v>0.22595875272196347</v>
      </c>
      <c r="AN11" s="4">
        <v>22209611</v>
      </c>
      <c r="AO11" s="4">
        <v>694050.34375</v>
      </c>
      <c r="AP11" s="4">
        <v>24703.375</v>
      </c>
      <c r="AQ11" s="4">
        <v>5018456</v>
      </c>
      <c r="AR11" s="4">
        <v>1278752</v>
      </c>
      <c r="AS11" s="4">
        <v>886368</v>
      </c>
      <c r="AT11" s="4">
        <v>2853336</v>
      </c>
      <c r="AU11" s="4">
        <v>67.629121874999996</v>
      </c>
      <c r="AV11" s="4">
        <v>69.776325</v>
      </c>
      <c r="AW11" s="4">
        <v>34.382840625</v>
      </c>
      <c r="AX11" s="4">
        <v>40.118303124999997</v>
      </c>
      <c r="AY11" s="4">
        <v>33.979840625000001</v>
      </c>
      <c r="AZ11" s="4">
        <v>4004.62</v>
      </c>
      <c r="BA11" s="4">
        <v>1658.53</v>
      </c>
      <c r="BB11" s="4">
        <v>23.277999999999999</v>
      </c>
      <c r="BC11" s="4">
        <v>25.646999999999998</v>
      </c>
      <c r="BE11" s="23">
        <f t="shared" si="14"/>
        <v>0</v>
      </c>
      <c r="BF11" s="23">
        <f t="shared" si="15"/>
        <v>6.3446190015636894E-6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273</v>
      </c>
      <c r="C12" s="26" t="s">
        <v>268</v>
      </c>
      <c r="D12" s="25">
        <v>218121242</v>
      </c>
      <c r="E12" s="26">
        <v>10</v>
      </c>
      <c r="F12" s="26">
        <v>300</v>
      </c>
      <c r="G12" s="26">
        <v>30</v>
      </c>
      <c r="I12" s="27">
        <f t="shared" si="0"/>
        <v>0.77866639999999998</v>
      </c>
      <c r="J12" s="28">
        <f t="shared" si="1"/>
        <v>3.5698788107945946E-2</v>
      </c>
      <c r="K12" s="28">
        <f t="shared" si="2"/>
        <v>1.2409905496503637E-2</v>
      </c>
      <c r="L12" s="28">
        <f t="shared" si="3"/>
        <v>8.3465139997689914E-3</v>
      </c>
      <c r="M12" s="28">
        <f t="shared" si="4"/>
        <v>2.328888261144231E-2</v>
      </c>
      <c r="N12" s="25">
        <f t="shared" si="5"/>
        <v>2706864</v>
      </c>
      <c r="O12" s="28">
        <f t="shared" si="6"/>
        <v>0.34274915168455472</v>
      </c>
      <c r="P12" s="4">
        <v>22718259</v>
      </c>
      <c r="Q12" s="4">
        <v>709945.59375</v>
      </c>
      <c r="R12" s="4">
        <v>26579.5</v>
      </c>
      <c r="S12" s="4">
        <v>7786664</v>
      </c>
      <c r="T12" s="4">
        <v>1820552</v>
      </c>
      <c r="U12" s="4">
        <v>886312</v>
      </c>
      <c r="V12" s="4">
        <v>5079800</v>
      </c>
      <c r="W12" s="4">
        <v>69.018071875000004</v>
      </c>
      <c r="X12" s="4">
        <v>71.395600000000002</v>
      </c>
      <c r="Y12" s="4">
        <v>36.505284375000002</v>
      </c>
      <c r="Z12" s="4">
        <v>41.010896875</v>
      </c>
      <c r="AA12" s="4">
        <v>35.785106249999998</v>
      </c>
      <c r="AB12" s="4">
        <v>2558.77</v>
      </c>
      <c r="AC12" s="4">
        <v>1490.11</v>
      </c>
      <c r="AD12" s="4">
        <v>9.2349999999999994</v>
      </c>
      <c r="AE12" s="4">
        <v>22.776</v>
      </c>
      <c r="AG12" s="27">
        <f t="shared" si="7"/>
        <v>0.77867200000000003</v>
      </c>
      <c r="AH12" s="28">
        <f t="shared" si="8"/>
        <v>3.5699044845893549E-2</v>
      </c>
      <c r="AI12" s="28">
        <f t="shared" si="9"/>
        <v>1.2410162234451242E-2</v>
      </c>
      <c r="AJ12" s="28">
        <f t="shared" si="10"/>
        <v>8.3465139997689914E-3</v>
      </c>
      <c r="AK12" s="28">
        <f t="shared" si="11"/>
        <v>2.328888261144231E-2</v>
      </c>
      <c r="AL12" s="25">
        <f t="shared" si="12"/>
        <v>2706920</v>
      </c>
      <c r="AM12" s="28">
        <f t="shared" si="13"/>
        <v>0.34275161666217469</v>
      </c>
      <c r="AN12" s="4">
        <v>22718259</v>
      </c>
      <c r="AO12" s="4">
        <v>709945.59375</v>
      </c>
      <c r="AP12" s="4">
        <v>26579.5</v>
      </c>
      <c r="AQ12" s="4">
        <v>7786720</v>
      </c>
      <c r="AR12" s="4">
        <v>1820552</v>
      </c>
      <c r="AS12" s="4">
        <v>886368</v>
      </c>
      <c r="AT12" s="4">
        <v>5079800</v>
      </c>
      <c r="AU12" s="4">
        <v>69.018071875000004</v>
      </c>
      <c r="AV12" s="4">
        <v>71.395600000000002</v>
      </c>
      <c r="AW12" s="4">
        <v>36.437512499999997</v>
      </c>
      <c r="AX12" s="4">
        <v>41.030859374999999</v>
      </c>
      <c r="AY12" s="4">
        <v>35.734837499999998</v>
      </c>
      <c r="AZ12" s="4">
        <v>4112.1099999999997</v>
      </c>
      <c r="BA12" s="4">
        <v>1731.52</v>
      </c>
      <c r="BB12" s="4">
        <v>18.003</v>
      </c>
      <c r="BC12" s="4">
        <v>24.521999999999998</v>
      </c>
      <c r="BE12" s="33">
        <f t="shared" si="14"/>
        <v>0</v>
      </c>
      <c r="BF12" s="33">
        <f t="shared" si="15"/>
        <v>4.6916828562171276E-6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273</v>
      </c>
      <c r="C13" s="16" t="s">
        <v>269</v>
      </c>
      <c r="D13" s="15">
        <v>218121242</v>
      </c>
      <c r="E13" s="16">
        <v>10</v>
      </c>
      <c r="F13" s="16">
        <v>300</v>
      </c>
      <c r="G13" s="16">
        <v>30</v>
      </c>
      <c r="I13" s="17">
        <f t="shared" si="0"/>
        <v>1.3490056000000001</v>
      </c>
      <c r="J13" s="18">
        <f t="shared" si="1"/>
        <v>6.1846594473361743E-2</v>
      </c>
      <c r="K13" s="18">
        <f t="shared" si="2"/>
        <v>1.673007161769233E-2</v>
      </c>
      <c r="L13" s="18">
        <f t="shared" si="3"/>
        <v>1.2666680120957683E-2</v>
      </c>
      <c r="M13" s="18">
        <f t="shared" si="4"/>
        <v>4.5116522855669416E-2</v>
      </c>
      <c r="N13" s="15">
        <f t="shared" si="5"/>
        <v>3649184</v>
      </c>
      <c r="O13" s="18">
        <f t="shared" si="6"/>
        <v>0.5718918242913118</v>
      </c>
      <c r="P13" s="4">
        <v>23588475</v>
      </c>
      <c r="Q13" s="4">
        <v>737139.84375</v>
      </c>
      <c r="R13" s="4">
        <v>30261.78125</v>
      </c>
      <c r="S13" s="4">
        <v>13490056</v>
      </c>
      <c r="T13" s="4">
        <v>2762872</v>
      </c>
      <c r="U13" s="4">
        <v>886312</v>
      </c>
      <c r="V13" s="4">
        <v>9840872</v>
      </c>
      <c r="W13" s="4">
        <v>70.088696874999997</v>
      </c>
      <c r="X13" s="4">
        <v>72.644843750000007</v>
      </c>
      <c r="Y13" s="4">
        <v>38.837850000000003</v>
      </c>
      <c r="Z13" s="4">
        <v>42.186446875000001</v>
      </c>
      <c r="AA13" s="4">
        <v>37.867134374999999</v>
      </c>
      <c r="AB13" s="4">
        <v>2575.11</v>
      </c>
      <c r="AC13" s="4">
        <v>1690.89</v>
      </c>
      <c r="AD13" s="4">
        <v>6.8650000000000002</v>
      </c>
      <c r="AE13" s="4">
        <v>22.975999999999999</v>
      </c>
      <c r="AG13" s="17">
        <f t="shared" si="7"/>
        <v>1.3490111999999999</v>
      </c>
      <c r="AH13" s="18">
        <f t="shared" si="8"/>
        <v>6.1846851211309353E-2</v>
      </c>
      <c r="AI13" s="18">
        <f t="shared" si="9"/>
        <v>1.6730328355639933E-2</v>
      </c>
      <c r="AJ13" s="18">
        <f t="shared" si="10"/>
        <v>1.2666680120957683E-2</v>
      </c>
      <c r="AK13" s="18">
        <f t="shared" si="11"/>
        <v>4.5116522855669416E-2</v>
      </c>
      <c r="AL13" s="15">
        <f t="shared" si="12"/>
        <v>3649240</v>
      </c>
      <c r="AM13" s="18">
        <f t="shared" si="13"/>
        <v>0.57189419833202448</v>
      </c>
      <c r="AN13" s="4">
        <v>23588475</v>
      </c>
      <c r="AO13" s="4">
        <v>737139.84375</v>
      </c>
      <c r="AP13" s="4">
        <v>30261.78125</v>
      </c>
      <c r="AQ13" s="4">
        <v>13490112</v>
      </c>
      <c r="AR13" s="4">
        <v>2762872</v>
      </c>
      <c r="AS13" s="4">
        <v>886368</v>
      </c>
      <c r="AT13" s="4">
        <v>9840872</v>
      </c>
      <c r="AU13" s="4">
        <v>70.088696874999997</v>
      </c>
      <c r="AV13" s="4">
        <v>72.644843750000007</v>
      </c>
      <c r="AW13" s="4">
        <v>38.675362499999999</v>
      </c>
      <c r="AX13" s="4">
        <v>42.193606250000002</v>
      </c>
      <c r="AY13" s="4">
        <v>37.756062499999999</v>
      </c>
      <c r="AZ13" s="4">
        <v>4242.25</v>
      </c>
      <c r="BA13" s="4">
        <v>1825.82</v>
      </c>
      <c r="BB13" s="4">
        <v>19.702999999999999</v>
      </c>
      <c r="BC13" s="4">
        <v>23.736000000000001</v>
      </c>
      <c r="BE13" s="23">
        <f t="shared" si="14"/>
        <v>0</v>
      </c>
      <c r="BF13" s="23">
        <f t="shared" si="15"/>
        <v>3.0282540178228068E-6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ht="15" outlineLevel="1" thickBot="1" x14ac:dyDescent="0.35">
      <c r="A14" s="25"/>
      <c r="B14" s="45" t="s">
        <v>273</v>
      </c>
      <c r="C14" s="46" t="s">
        <v>270</v>
      </c>
      <c r="D14" s="45">
        <v>218121242</v>
      </c>
      <c r="E14" s="46">
        <v>10</v>
      </c>
      <c r="F14" s="46">
        <v>300</v>
      </c>
      <c r="G14" s="46">
        <v>30</v>
      </c>
      <c r="I14" s="47">
        <f t="shared" si="0"/>
        <v>2.4414392</v>
      </c>
      <c r="J14" s="48">
        <f t="shared" si="1"/>
        <v>0.11193037310873188</v>
      </c>
      <c r="K14" s="48">
        <f t="shared" si="2"/>
        <v>2.7433696714417206E-2</v>
      </c>
      <c r="L14" s="48">
        <f t="shared" si="3"/>
        <v>1.989649407919656E-2</v>
      </c>
      <c r="M14" s="48">
        <f t="shared" si="4"/>
        <v>8.4496676394314685E-2</v>
      </c>
      <c r="N14" s="45">
        <f t="shared" si="5"/>
        <v>5983872</v>
      </c>
      <c r="O14" s="48">
        <f t="shared" si="6"/>
        <v>1.0904615181219208</v>
      </c>
      <c r="P14" s="4">
        <v>22389045</v>
      </c>
      <c r="Q14" s="4">
        <v>699657.65625</v>
      </c>
      <c r="R14" s="4">
        <v>14006.5</v>
      </c>
      <c r="S14" s="4">
        <v>24414392</v>
      </c>
      <c r="T14" s="4">
        <v>4339848</v>
      </c>
      <c r="U14" s="4">
        <v>1644024</v>
      </c>
      <c r="V14" s="4">
        <v>18430520</v>
      </c>
      <c r="W14" s="4">
        <v>71.117806250000001</v>
      </c>
      <c r="X14" s="4">
        <v>74.714621875000006</v>
      </c>
      <c r="Y14" s="4">
        <v>41.086268750000002</v>
      </c>
      <c r="Z14" s="4">
        <v>43.520265625</v>
      </c>
      <c r="AA14" s="4">
        <v>39.694225000000003</v>
      </c>
      <c r="AB14" s="4">
        <v>2575.88</v>
      </c>
      <c r="AC14" s="4">
        <v>1822.86</v>
      </c>
      <c r="AD14" s="4">
        <v>6.7240000000000002</v>
      </c>
      <c r="AE14" s="4">
        <v>26.17</v>
      </c>
      <c r="AG14" s="47">
        <f t="shared" si="7"/>
        <v>2.4414447999999997</v>
      </c>
      <c r="AH14" s="48">
        <f t="shared" si="8"/>
        <v>0.11193062984667949</v>
      </c>
      <c r="AI14" s="48">
        <f t="shared" si="9"/>
        <v>2.7433953452364809E-2</v>
      </c>
      <c r="AJ14" s="48">
        <f t="shared" si="10"/>
        <v>1.989649407919656E-2</v>
      </c>
      <c r="AK14" s="48">
        <f t="shared" si="11"/>
        <v>8.4496676394314685E-2</v>
      </c>
      <c r="AL14" s="45">
        <f t="shared" si="12"/>
        <v>5983928</v>
      </c>
      <c r="AM14" s="48">
        <f t="shared" si="13"/>
        <v>1.0904640193451753</v>
      </c>
      <c r="AN14" s="4">
        <v>22389045</v>
      </c>
      <c r="AO14" s="4">
        <v>699657.65625</v>
      </c>
      <c r="AP14" s="4">
        <v>14006.5</v>
      </c>
      <c r="AQ14" s="4">
        <v>24414448</v>
      </c>
      <c r="AR14" s="4">
        <v>4339848</v>
      </c>
      <c r="AS14" s="4">
        <v>1644080</v>
      </c>
      <c r="AT14" s="4">
        <v>18430520</v>
      </c>
      <c r="AU14" s="4">
        <v>71.117806250000001</v>
      </c>
      <c r="AV14" s="4">
        <v>74.714621875000006</v>
      </c>
      <c r="AW14" s="4">
        <v>41.086268750000002</v>
      </c>
      <c r="AX14" s="4">
        <v>43.520265625</v>
      </c>
      <c r="AY14" s="4">
        <v>39.694225000000003</v>
      </c>
      <c r="AZ14" s="4">
        <v>4154.5</v>
      </c>
      <c r="BA14" s="4">
        <v>2190.41</v>
      </c>
      <c r="BB14" s="4">
        <v>56.823</v>
      </c>
      <c r="BC14" s="4">
        <v>24.795999999999999</v>
      </c>
      <c r="BE14" s="53">
        <f t="shared" si="14"/>
        <v>0</v>
      </c>
      <c r="BF14" s="53">
        <f t="shared" si="15"/>
        <v>1.731541053207053E-6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276</v>
      </c>
      <c r="C15" s="16" t="s">
        <v>266</v>
      </c>
      <c r="D15" s="15">
        <v>322589704</v>
      </c>
      <c r="E15" s="16">
        <v>10</v>
      </c>
      <c r="F15" s="16">
        <v>300</v>
      </c>
      <c r="G15" s="16">
        <v>30</v>
      </c>
      <c r="I15" s="17">
        <f t="shared" si="0"/>
        <v>0.48409840000000004</v>
      </c>
      <c r="J15" s="18">
        <f t="shared" si="1"/>
        <v>1.5006628977842393E-2</v>
      </c>
      <c r="K15" s="18">
        <f t="shared" si="2"/>
        <v>8.3707569290556155E-3</v>
      </c>
      <c r="L15" s="18">
        <f t="shared" si="3"/>
        <v>4.3579320188098748E-3</v>
      </c>
      <c r="M15" s="18">
        <f t="shared" si="4"/>
        <v>6.6358720487867768E-3</v>
      </c>
      <c r="N15" s="15">
        <f t="shared" si="5"/>
        <v>2700320</v>
      </c>
      <c r="O15" s="18">
        <f t="shared" si="6"/>
        <v>0.15668949509499733</v>
      </c>
      <c r="P15" s="4">
        <v>30895396</v>
      </c>
      <c r="Q15" s="4">
        <v>965481.125</v>
      </c>
      <c r="R15" s="4">
        <v>30811</v>
      </c>
      <c r="S15" s="4">
        <v>4840984</v>
      </c>
      <c r="T15" s="4">
        <v>1405824</v>
      </c>
      <c r="U15" s="4">
        <v>1294496</v>
      </c>
      <c r="V15" s="4">
        <v>2140664</v>
      </c>
      <c r="W15" s="4">
        <v>65.995056250000005</v>
      </c>
      <c r="X15" s="4">
        <v>67.8233125</v>
      </c>
      <c r="Y15" s="4">
        <v>29.587062499999998</v>
      </c>
      <c r="Z15" s="4">
        <v>43.162765624999999</v>
      </c>
      <c r="AA15" s="4">
        <v>43.442771874999998</v>
      </c>
      <c r="AB15" s="4">
        <v>3906.78</v>
      </c>
      <c r="AC15" s="4">
        <v>1538.39</v>
      </c>
      <c r="AD15" s="4">
        <v>8.5960000000000001</v>
      </c>
      <c r="AE15" s="4">
        <v>28.527000000000001</v>
      </c>
      <c r="AG15" s="17">
        <f t="shared" si="7"/>
        <v>0.48410399999999998</v>
      </c>
      <c r="AH15" s="18">
        <f t="shared" si="8"/>
        <v>1.5006802572967425E-2</v>
      </c>
      <c r="AI15" s="18">
        <f t="shared" si="9"/>
        <v>8.3709305241806472E-3</v>
      </c>
      <c r="AJ15" s="18">
        <f t="shared" si="10"/>
        <v>4.3579320188098748E-3</v>
      </c>
      <c r="AK15" s="18">
        <f t="shared" si="11"/>
        <v>6.6358720487867768E-3</v>
      </c>
      <c r="AL15" s="15">
        <f t="shared" si="12"/>
        <v>2700376</v>
      </c>
      <c r="AM15" s="18">
        <f t="shared" si="13"/>
        <v>0.15669130766279868</v>
      </c>
      <c r="AN15" s="4">
        <v>30895396</v>
      </c>
      <c r="AO15" s="4">
        <v>965481.125</v>
      </c>
      <c r="AP15" s="4">
        <v>30811</v>
      </c>
      <c r="AQ15" s="4">
        <v>4841040</v>
      </c>
      <c r="AR15" s="4">
        <v>1405824</v>
      </c>
      <c r="AS15" s="4">
        <v>1294552</v>
      </c>
      <c r="AT15" s="4">
        <v>2140664</v>
      </c>
      <c r="AU15" s="4">
        <v>65.995056250000005</v>
      </c>
      <c r="AV15" s="4">
        <v>67.8233125</v>
      </c>
      <c r="AW15" s="4">
        <v>29.585756249999999</v>
      </c>
      <c r="AX15" s="4">
        <v>43.197221874999997</v>
      </c>
      <c r="AY15" s="4">
        <v>43.480078124999999</v>
      </c>
      <c r="AZ15" s="4">
        <v>5977.54</v>
      </c>
      <c r="BA15" s="4">
        <v>1641.64</v>
      </c>
      <c r="BB15" s="4">
        <v>23.146000000000001</v>
      </c>
      <c r="BC15" s="4">
        <v>28.792000000000002</v>
      </c>
      <c r="BE15" s="23">
        <f t="shared" si="14"/>
        <v>0</v>
      </c>
      <c r="BF15" s="23">
        <f t="shared" si="15"/>
        <v>5.1152187889869083E-6</v>
      </c>
      <c r="BG15" s="23">
        <f t="array" ref="BG15">AVERAGE(AL15:AL19/AQ15:AQ19) - AVERAGE(N15:N19/S15:S19)</f>
        <v>3.0299410577749875E-6</v>
      </c>
      <c r="BI15" s="24">
        <f>IF( OR(ISBLANK(N15:N19),ISBLANK(AL15:AL19), ISBLANK(W15:W19),ISBLANK(AU15:AU19)), "·", bdRateExtend( N15:N19,W15:W19, AL15:AL19,AU15:AU19))</f>
        <v>1.4668975617970759E-5</v>
      </c>
      <c r="BJ15" s="24">
        <f>IF( OR(ISBLANK(N15:N19),ISBLANK(AL15:AL19), ISBLANK(X15:X19),ISBLANK(AV15:AV19)), "·", bdRateExtend( N15:N19,X15:X19, AL15:AL19,AV15:AV19))</f>
        <v>1.3914271333570483E-5</v>
      </c>
      <c r="BK15" s="24">
        <f>IF( OR(ISBLANK(V15:V19),ISBLANK(AT15:AT19), ISBLANK(Y15:Y19),ISBLANK(AW15:AW19)), "·", bdRateExtend( V15:V19,Y15:Y19, AT15:AT19,AW15:AW19))</f>
        <v>3.2728056733455357E-2</v>
      </c>
      <c r="BL15" s="24">
        <f>IF( OR(ISBLANK(V15:V19),ISBLANK(AT15:AT19), ISBLANK(Z15:Z19),ISBLANK(AX15:AX19)), "·", bdRateExtend( V15:V19,Z15:Z19, AT15:AT19,AX15:AX19))</f>
        <v>-1.399730023767376E-2</v>
      </c>
      <c r="BM15" s="24">
        <f>IF( OR(ISBLANK(V15:V19),ISBLANK(AT15:AT19), ISBLANK(AA15:AA19),ISBLANK(AY15:AY19)), "·", bdRateExtend( V15:V19,AA15:AA19, AT15:AT19,AY15:AY19))</f>
        <v>-1.399241705267007E-2</v>
      </c>
      <c r="BO15" s="24">
        <f>IF( OR(ISBLANK(S15:S19),ISBLANK(AQ15:AQ19), ISBLANK(W15:W19),ISBLANK(AU15:AU19)), "·", bdRateExtend( S15:S19,W15:W19, AQ15:AQ19,AU15:AU19))</f>
        <v>5.6830246084604852E-6</v>
      </c>
      <c r="BP15" s="24">
        <f>IF( OR(ISBLANK(S15:S19),ISBLANK(AQ15:AQ19), ISBLANK(X15:X19),ISBLANK(AV15:AV19)), "·", bdRateExtend( S15:S19,X15:X19, AQ15:AQ19,AV15:AV19))</f>
        <v>5.1914414798126529E-6</v>
      </c>
      <c r="BQ15" s="24">
        <f>IF( OR(ISBLANK(S15:S19),ISBLANK(AQ15:AQ19), ISBLANK(Y15:Y19),ISBLANK(AW15:AW19)), "·", bdRateExtend( S15:S19,Y15:Y19, AQ15:AQ19,AW15:AW19))</f>
        <v>2.7461223743788121E-2</v>
      </c>
      <c r="BR15" s="24">
        <f>IF( OR(ISBLANK(S15:S19),ISBLANK(AQ15:AQ19), ISBLANK(Z15:Z19),ISBLANK(AX15:AX19)), "·", bdRateExtend( S15:S19,Z15:Z19, AQ15:AQ19,AX15:AX19))</f>
        <v>-1.0608421823609659E-2</v>
      </c>
      <c r="BS15" s="24">
        <f>IF( OR(ISBLANK(S15:S19),ISBLANK(AQ15:AQ19), ISBLANK(AA15:AA19),ISBLANK(AY15:AY19)), "·", bdRateExtend( S15:S19,AA15:AA19, AQ15:AQ19,AY15:AY19))</f>
        <v>-1.0585050930905449E-2</v>
      </c>
    </row>
    <row r="16" spans="1:71" outlineLevel="1" x14ac:dyDescent="0.3">
      <c r="A16" s="25"/>
      <c r="B16" s="25" t="s">
        <v>276</v>
      </c>
      <c r="C16" s="26" t="s">
        <v>267</v>
      </c>
      <c r="D16" s="25">
        <v>322589704</v>
      </c>
      <c r="E16" s="26">
        <v>10</v>
      </c>
      <c r="F16" s="26">
        <v>300</v>
      </c>
      <c r="G16" s="26">
        <v>30</v>
      </c>
      <c r="I16" s="27">
        <f t="shared" si="0"/>
        <v>0.77349760000000001</v>
      </c>
      <c r="J16" s="28">
        <f t="shared" si="1"/>
        <v>2.3977752247170293E-2</v>
      </c>
      <c r="K16" s="28">
        <f t="shared" si="2"/>
        <v>1.0075932243640361E-2</v>
      </c>
      <c r="L16" s="28">
        <f t="shared" si="3"/>
        <v>6.0631073333946208E-3</v>
      </c>
      <c r="M16" s="28">
        <f t="shared" si="4"/>
        <v>1.3901820003529932E-2</v>
      </c>
      <c r="N16" s="25">
        <f t="shared" si="5"/>
        <v>3250392</v>
      </c>
      <c r="O16" s="28">
        <f t="shared" si="6"/>
        <v>0.23074710027408127</v>
      </c>
      <c r="P16" s="4">
        <v>33521444</v>
      </c>
      <c r="Q16" s="4">
        <v>1047545.125</v>
      </c>
      <c r="R16" s="4">
        <v>39151.9375</v>
      </c>
      <c r="S16" s="4">
        <v>7734976</v>
      </c>
      <c r="T16" s="4">
        <v>1955896</v>
      </c>
      <c r="U16" s="4">
        <v>1294496</v>
      </c>
      <c r="V16" s="4">
        <v>4484584</v>
      </c>
      <c r="W16" s="4">
        <v>67.829209375000005</v>
      </c>
      <c r="X16" s="4">
        <v>69.881384374999996</v>
      </c>
      <c r="Y16" s="4">
        <v>32.041846874999997</v>
      </c>
      <c r="Z16" s="4">
        <v>43.984231250000001</v>
      </c>
      <c r="AA16" s="4">
        <v>44.377890624999999</v>
      </c>
      <c r="AB16" s="4">
        <v>3788.37</v>
      </c>
      <c r="AC16" s="4">
        <v>1708.35</v>
      </c>
      <c r="AD16" s="4">
        <v>9.7089999999999996</v>
      </c>
      <c r="AE16" s="4">
        <v>28.32</v>
      </c>
      <c r="AG16" s="27">
        <f t="shared" si="7"/>
        <v>0.77350319999999995</v>
      </c>
      <c r="AH16" s="28">
        <f t="shared" si="8"/>
        <v>2.3977925842295328E-2</v>
      </c>
      <c r="AI16" s="28">
        <f t="shared" si="9"/>
        <v>1.0076105838765394E-2</v>
      </c>
      <c r="AJ16" s="28">
        <f t="shared" si="10"/>
        <v>6.0631073333946208E-3</v>
      </c>
      <c r="AK16" s="28">
        <f t="shared" si="11"/>
        <v>1.3901820003529932E-2</v>
      </c>
      <c r="AL16" s="25">
        <f t="shared" si="12"/>
        <v>3250448</v>
      </c>
      <c r="AM16" s="28">
        <f t="shared" si="13"/>
        <v>0.2307487708465065</v>
      </c>
      <c r="AN16" s="4">
        <v>33521444</v>
      </c>
      <c r="AO16" s="4">
        <v>1047545.125</v>
      </c>
      <c r="AP16" s="4">
        <v>39151.9375</v>
      </c>
      <c r="AQ16" s="4">
        <v>7735032</v>
      </c>
      <c r="AR16" s="4">
        <v>1955896</v>
      </c>
      <c r="AS16" s="4">
        <v>1294552</v>
      </c>
      <c r="AT16" s="4">
        <v>4484584</v>
      </c>
      <c r="AU16" s="4">
        <v>67.829209375000005</v>
      </c>
      <c r="AV16" s="4">
        <v>69.881384374999996</v>
      </c>
      <c r="AW16" s="4">
        <v>31.994184375</v>
      </c>
      <c r="AX16" s="4">
        <v>44.011568750000002</v>
      </c>
      <c r="AY16" s="4">
        <v>44.407365624999997</v>
      </c>
      <c r="AZ16" s="4">
        <v>6152.67</v>
      </c>
      <c r="BA16" s="4">
        <v>1765.87</v>
      </c>
      <c r="BB16" s="4">
        <v>25.527000000000001</v>
      </c>
      <c r="BC16" s="4">
        <v>31.289000000000001</v>
      </c>
      <c r="BE16" s="33">
        <f t="shared" si="14"/>
        <v>0</v>
      </c>
      <c r="BF16" s="33">
        <f t="shared" si="15"/>
        <v>4.1974845366721247E-6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276</v>
      </c>
      <c r="C17" s="16" t="s">
        <v>268</v>
      </c>
      <c r="D17" s="15">
        <v>322589704</v>
      </c>
      <c r="E17" s="16">
        <v>10</v>
      </c>
      <c r="F17" s="16">
        <v>300</v>
      </c>
      <c r="G17" s="16">
        <v>30</v>
      </c>
      <c r="I17" s="17">
        <f t="shared" si="0"/>
        <v>1.3041912</v>
      </c>
      <c r="J17" s="18">
        <f t="shared" si="1"/>
        <v>4.04287918624954E-2</v>
      </c>
      <c r="K17" s="18">
        <f t="shared" si="2"/>
        <v>1.2597029445180308E-2</v>
      </c>
      <c r="L17" s="18">
        <f t="shared" si="3"/>
        <v>8.5842045349345687E-3</v>
      </c>
      <c r="M17" s="18">
        <f t="shared" si="4"/>
        <v>2.7831762417315092E-2</v>
      </c>
      <c r="N17" s="15">
        <f t="shared" si="5"/>
        <v>4063672</v>
      </c>
      <c r="O17" s="18">
        <f t="shared" si="6"/>
        <v>0.38415669598740881</v>
      </c>
      <c r="P17" s="4">
        <v>33949459</v>
      </c>
      <c r="Q17" s="4">
        <v>1060920.59375</v>
      </c>
      <c r="R17" s="4">
        <v>40889.5</v>
      </c>
      <c r="S17" s="4">
        <v>13041912</v>
      </c>
      <c r="T17" s="4">
        <v>2769176</v>
      </c>
      <c r="U17" s="4">
        <v>1294496</v>
      </c>
      <c r="V17" s="4">
        <v>8978240</v>
      </c>
      <c r="W17" s="4">
        <v>69.246168749999995</v>
      </c>
      <c r="X17" s="4">
        <v>71.706409375000007</v>
      </c>
      <c r="Y17" s="4">
        <v>34.605525</v>
      </c>
      <c r="Z17" s="4">
        <v>44.828581249999999</v>
      </c>
      <c r="AA17" s="4">
        <v>45.284799999999997</v>
      </c>
      <c r="AB17" s="4">
        <v>3835.14</v>
      </c>
      <c r="AC17" s="4">
        <v>1801.08</v>
      </c>
      <c r="AD17" s="4">
        <v>9.859</v>
      </c>
      <c r="AE17" s="4">
        <v>32.326000000000001</v>
      </c>
      <c r="AG17" s="17">
        <f t="shared" si="7"/>
        <v>1.3041968000000002</v>
      </c>
      <c r="AH17" s="18">
        <f t="shared" si="8"/>
        <v>4.0428965457620432E-2</v>
      </c>
      <c r="AI17" s="18">
        <f t="shared" si="9"/>
        <v>1.259720304030534E-2</v>
      </c>
      <c r="AJ17" s="18">
        <f t="shared" si="10"/>
        <v>8.5842045349345687E-3</v>
      </c>
      <c r="AK17" s="18">
        <f t="shared" si="11"/>
        <v>2.7831762417315092E-2</v>
      </c>
      <c r="AL17" s="15">
        <f t="shared" si="12"/>
        <v>4063728</v>
      </c>
      <c r="AM17" s="18">
        <f t="shared" si="13"/>
        <v>0.38415834549823019</v>
      </c>
      <c r="AN17" s="4">
        <v>33949459</v>
      </c>
      <c r="AO17" s="4">
        <v>1060920.59375</v>
      </c>
      <c r="AP17" s="4">
        <v>40889.5</v>
      </c>
      <c r="AQ17" s="4">
        <v>13041968</v>
      </c>
      <c r="AR17" s="4">
        <v>2769176</v>
      </c>
      <c r="AS17" s="4">
        <v>1294552</v>
      </c>
      <c r="AT17" s="4">
        <v>8978240</v>
      </c>
      <c r="AU17" s="4">
        <v>69.246168749999995</v>
      </c>
      <c r="AV17" s="4">
        <v>71.706409375000007</v>
      </c>
      <c r="AW17" s="4">
        <v>34.479171874999999</v>
      </c>
      <c r="AX17" s="4">
        <v>44.854653124999999</v>
      </c>
      <c r="AY17" s="4">
        <v>45.311956250000001</v>
      </c>
      <c r="AZ17" s="4">
        <v>6062.77</v>
      </c>
      <c r="BA17" s="4">
        <v>1876.86</v>
      </c>
      <c r="BB17" s="4">
        <v>27.794</v>
      </c>
      <c r="BC17" s="4">
        <v>33.777999999999999</v>
      </c>
      <c r="BE17" s="23">
        <f t="shared" si="14"/>
        <v>0</v>
      </c>
      <c r="BF17" s="23">
        <f t="shared" si="15"/>
        <v>2.9559347404783942E-6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276</v>
      </c>
      <c r="C18" s="26" t="s">
        <v>269</v>
      </c>
      <c r="D18" s="25">
        <v>322589704</v>
      </c>
      <c r="E18" s="26">
        <v>10</v>
      </c>
      <c r="F18" s="26">
        <v>300</v>
      </c>
      <c r="G18" s="26">
        <v>30</v>
      </c>
      <c r="I18" s="27">
        <f t="shared" si="0"/>
        <v>2.3520816</v>
      </c>
      <c r="J18" s="28">
        <f t="shared" si="1"/>
        <v>7.2912482042514284E-2</v>
      </c>
      <c r="K18" s="28">
        <f t="shared" si="2"/>
        <v>1.6733503683056171E-2</v>
      </c>
      <c r="L18" s="28">
        <f t="shared" si="3"/>
        <v>1.2720678772810431E-2</v>
      </c>
      <c r="M18" s="28">
        <f t="shared" si="4"/>
        <v>5.617897835945812E-2</v>
      </c>
      <c r="N18" s="25">
        <f t="shared" si="5"/>
        <v>5398056</v>
      </c>
      <c r="O18" s="28">
        <f t="shared" si="6"/>
        <v>0.66430128633301189</v>
      </c>
      <c r="P18" s="4">
        <v>35406850</v>
      </c>
      <c r="Q18" s="4">
        <v>1106464.0625</v>
      </c>
      <c r="R18" s="4">
        <v>46588.9375</v>
      </c>
      <c r="S18" s="4">
        <v>23520816</v>
      </c>
      <c r="T18" s="4">
        <v>4103560</v>
      </c>
      <c r="U18" s="4">
        <v>1294496</v>
      </c>
      <c r="V18" s="4">
        <v>18122760</v>
      </c>
      <c r="W18" s="4">
        <v>70.412724999999995</v>
      </c>
      <c r="X18" s="4">
        <v>73.041528124999999</v>
      </c>
      <c r="Y18" s="4">
        <v>37.250853124999999</v>
      </c>
      <c r="Z18" s="4">
        <v>46.163278124999998</v>
      </c>
      <c r="AA18" s="4">
        <v>46.698690624999998</v>
      </c>
      <c r="AB18" s="4">
        <v>3768.12</v>
      </c>
      <c r="AC18" s="4">
        <v>2049.38</v>
      </c>
      <c r="AD18" s="4">
        <v>10.37</v>
      </c>
      <c r="AE18" s="4">
        <v>30.686</v>
      </c>
      <c r="AG18" s="27">
        <f t="shared" si="7"/>
        <v>2.3520872000000002</v>
      </c>
      <c r="AH18" s="28">
        <f t="shared" si="8"/>
        <v>7.2912655637639323E-2</v>
      </c>
      <c r="AI18" s="28">
        <f t="shared" si="9"/>
        <v>1.6733677278181203E-2</v>
      </c>
      <c r="AJ18" s="28">
        <f t="shared" si="10"/>
        <v>1.2720678772810431E-2</v>
      </c>
      <c r="AK18" s="28">
        <f t="shared" si="11"/>
        <v>5.617897835945812E-2</v>
      </c>
      <c r="AL18" s="25">
        <f t="shared" si="12"/>
        <v>5398112</v>
      </c>
      <c r="AM18" s="28">
        <f t="shared" si="13"/>
        <v>0.66430286794786886</v>
      </c>
      <c r="AN18" s="4">
        <v>35406850</v>
      </c>
      <c r="AO18" s="4">
        <v>1106464.0625</v>
      </c>
      <c r="AP18" s="4">
        <v>46588.9375</v>
      </c>
      <c r="AQ18" s="4">
        <v>23520872</v>
      </c>
      <c r="AR18" s="4">
        <v>4103560</v>
      </c>
      <c r="AS18" s="4">
        <v>1294552</v>
      </c>
      <c r="AT18" s="4">
        <v>18122760</v>
      </c>
      <c r="AU18" s="4">
        <v>70.412724999999995</v>
      </c>
      <c r="AV18" s="4">
        <v>73.041528124999999</v>
      </c>
      <c r="AW18" s="4">
        <v>36.999875000000003</v>
      </c>
      <c r="AX18" s="4">
        <v>46.185699999999997</v>
      </c>
      <c r="AY18" s="4">
        <v>46.722359375000003</v>
      </c>
      <c r="AZ18" s="4">
        <v>6201.46</v>
      </c>
      <c r="BA18" s="4">
        <v>2138.2600000000002</v>
      </c>
      <c r="BB18" s="4">
        <v>25.071000000000002</v>
      </c>
      <c r="BC18" s="4">
        <v>30.972000000000001</v>
      </c>
      <c r="BE18" s="33">
        <f t="shared" si="14"/>
        <v>0</v>
      </c>
      <c r="BF18" s="33">
        <f t="shared" si="15"/>
        <v>1.8344528894265189E-6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ht="15" outlineLevel="1" thickBot="1" x14ac:dyDescent="0.35">
      <c r="A19" s="15"/>
      <c r="B19" s="35" t="s">
        <v>276</v>
      </c>
      <c r="C19" s="36" t="s">
        <v>270</v>
      </c>
      <c r="D19" s="35">
        <v>322589704</v>
      </c>
      <c r="E19" s="36">
        <v>10</v>
      </c>
      <c r="F19" s="36">
        <v>300</v>
      </c>
      <c r="G19" s="36">
        <v>30</v>
      </c>
      <c r="I19" s="37">
        <f t="shared" si="0"/>
        <v>4.2650112</v>
      </c>
      <c r="J19" s="38">
        <f t="shared" si="1"/>
        <v>0.13221163437999869</v>
      </c>
      <c r="K19" s="38">
        <f t="shared" si="2"/>
        <v>2.6824141913717122E-2</v>
      </c>
      <c r="L19" s="38">
        <f t="shared" si="3"/>
        <v>1.9379986163476564E-2</v>
      </c>
      <c r="M19" s="38">
        <f t="shared" si="4"/>
        <v>0.10538749246628157</v>
      </c>
      <c r="N19" s="35">
        <f t="shared" si="5"/>
        <v>8653192</v>
      </c>
      <c r="O19" s="38">
        <f t="shared" si="6"/>
        <v>1.2664264055715013</v>
      </c>
      <c r="P19" s="4">
        <v>33677529</v>
      </c>
      <c r="Q19" s="4">
        <v>1052422.78125</v>
      </c>
      <c r="R19" s="4">
        <v>20771.875</v>
      </c>
      <c r="S19" s="4">
        <v>42650112</v>
      </c>
      <c r="T19" s="4">
        <v>6251784</v>
      </c>
      <c r="U19" s="4">
        <v>2401408</v>
      </c>
      <c r="V19" s="4">
        <v>33996920</v>
      </c>
      <c r="W19" s="4">
        <v>71.447946875</v>
      </c>
      <c r="X19" s="4">
        <v>75.018746875000005</v>
      </c>
      <c r="Y19" s="4">
        <v>39.327009375000003</v>
      </c>
      <c r="Z19" s="4">
        <v>47.945824999999999</v>
      </c>
      <c r="AA19" s="4">
        <v>48.527359375000003</v>
      </c>
      <c r="AB19" s="4">
        <v>3818.07</v>
      </c>
      <c r="AC19" s="4">
        <v>2398.4</v>
      </c>
      <c r="AD19" s="4">
        <v>10.653</v>
      </c>
      <c r="AE19" s="4">
        <v>32.573</v>
      </c>
      <c r="AG19" s="37">
        <f t="shared" si="7"/>
        <v>4.2650167999999997</v>
      </c>
      <c r="AH19" s="38">
        <f t="shared" si="8"/>
        <v>0.13221180797512372</v>
      </c>
      <c r="AI19" s="38">
        <f t="shared" si="9"/>
        <v>2.6824315508842154E-2</v>
      </c>
      <c r="AJ19" s="38">
        <f t="shared" si="10"/>
        <v>1.9379986163476564E-2</v>
      </c>
      <c r="AK19" s="38">
        <f t="shared" si="11"/>
        <v>0.10538749246628157</v>
      </c>
      <c r="AL19" s="35">
        <f t="shared" si="12"/>
        <v>8653248</v>
      </c>
      <c r="AM19" s="38">
        <f t="shared" si="13"/>
        <v>1.2664280684013367</v>
      </c>
      <c r="AN19" s="4">
        <v>33677529</v>
      </c>
      <c r="AO19" s="4">
        <v>1052422.78125</v>
      </c>
      <c r="AP19" s="4">
        <v>20771.875</v>
      </c>
      <c r="AQ19" s="4">
        <v>42650168</v>
      </c>
      <c r="AR19" s="4">
        <v>6251784</v>
      </c>
      <c r="AS19" s="4">
        <v>2401464</v>
      </c>
      <c r="AT19" s="4">
        <v>33996920</v>
      </c>
      <c r="AU19" s="4">
        <v>71.447946875</v>
      </c>
      <c r="AV19" s="4">
        <v>75.018746875000005</v>
      </c>
      <c r="AW19" s="4">
        <v>39.327009375000003</v>
      </c>
      <c r="AX19" s="4">
        <v>47.945824999999999</v>
      </c>
      <c r="AY19" s="4">
        <v>48.527359375000003</v>
      </c>
      <c r="AZ19" s="4">
        <v>6112.24</v>
      </c>
      <c r="BA19" s="4">
        <v>2426.7600000000002</v>
      </c>
      <c r="BB19" s="4">
        <v>58.35</v>
      </c>
      <c r="BC19" s="4">
        <v>35.765999999999998</v>
      </c>
      <c r="BE19" s="43">
        <f t="shared" si="14"/>
        <v>0</v>
      </c>
      <c r="BF19" s="43">
        <f t="shared" si="15"/>
        <v>1.0466143334220135E-6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279</v>
      </c>
      <c r="C20" s="26" t="s">
        <v>266</v>
      </c>
      <c r="D20" s="25">
        <v>250602891</v>
      </c>
      <c r="E20" s="26">
        <v>10</v>
      </c>
      <c r="F20" s="26">
        <v>250</v>
      </c>
      <c r="G20" s="26">
        <v>50</v>
      </c>
      <c r="I20" s="27">
        <f t="shared" si="0"/>
        <v>0.68355840000000001</v>
      </c>
      <c r="J20" s="28">
        <f t="shared" si="1"/>
        <v>1.3638278418743382E-2</v>
      </c>
      <c r="K20" s="28">
        <f t="shared" si="2"/>
        <v>7.6844125473396873E-3</v>
      </c>
      <c r="L20" s="28">
        <f t="shared" si="3"/>
        <v>3.759413932698805E-3</v>
      </c>
      <c r="M20" s="28">
        <f t="shared" si="4"/>
        <v>5.953865871403694E-3</v>
      </c>
      <c r="N20" s="25">
        <f t="shared" si="5"/>
        <v>1925736</v>
      </c>
      <c r="O20" s="28">
        <f t="shared" si="6"/>
        <v>0.11305797157156638</v>
      </c>
      <c r="P20" s="4">
        <v>30230438</v>
      </c>
      <c r="Q20" s="4">
        <v>944701.1875</v>
      </c>
      <c r="R20" s="4">
        <v>28542.625</v>
      </c>
      <c r="S20" s="4">
        <v>3417792</v>
      </c>
      <c r="T20" s="4">
        <v>942120</v>
      </c>
      <c r="U20" s="4">
        <v>983616</v>
      </c>
      <c r="V20" s="4">
        <v>1492056</v>
      </c>
      <c r="W20" s="4">
        <v>67.089143750000005</v>
      </c>
      <c r="X20" s="4">
        <v>68.766887499999996</v>
      </c>
      <c r="Y20" s="4">
        <v>30.878778125</v>
      </c>
      <c r="Z20" s="4">
        <v>39.53215625</v>
      </c>
      <c r="AA20" s="4">
        <v>38.380546875</v>
      </c>
      <c r="AB20" s="4">
        <v>3718.58</v>
      </c>
      <c r="AC20" s="4">
        <v>1229.05</v>
      </c>
      <c r="AD20" s="4">
        <v>9.9979999999999993</v>
      </c>
      <c r="AE20" s="4">
        <v>20.658000000000001</v>
      </c>
      <c r="AG20" s="27">
        <f t="shared" si="7"/>
        <v>0.6835696</v>
      </c>
      <c r="AH20" s="28">
        <f t="shared" si="8"/>
        <v>1.3638501879852615E-2</v>
      </c>
      <c r="AI20" s="28">
        <f t="shared" si="9"/>
        <v>7.6846360084489211E-3</v>
      </c>
      <c r="AJ20" s="28">
        <f t="shared" si="10"/>
        <v>3.759413932698805E-3</v>
      </c>
      <c r="AK20" s="28">
        <f t="shared" si="11"/>
        <v>5.953865871403694E-3</v>
      </c>
      <c r="AL20" s="25">
        <f t="shared" si="12"/>
        <v>1925792</v>
      </c>
      <c r="AM20" s="28">
        <f t="shared" si="13"/>
        <v>0.11305982400916587</v>
      </c>
      <c r="AN20" s="4">
        <v>30230438</v>
      </c>
      <c r="AO20" s="4">
        <v>944701.1875</v>
      </c>
      <c r="AP20" s="4">
        <v>28542.625</v>
      </c>
      <c r="AQ20" s="4">
        <v>3417848</v>
      </c>
      <c r="AR20" s="4">
        <v>942120</v>
      </c>
      <c r="AS20" s="4">
        <v>983672</v>
      </c>
      <c r="AT20" s="4">
        <v>1492056</v>
      </c>
      <c r="AU20" s="4">
        <v>67.089143750000005</v>
      </c>
      <c r="AV20" s="4">
        <v>68.766887499999996</v>
      </c>
      <c r="AW20" s="4">
        <v>30.831453124999999</v>
      </c>
      <c r="AX20" s="4">
        <v>39.606559375000003</v>
      </c>
      <c r="AY20" s="4">
        <v>38.408862499999998</v>
      </c>
      <c r="AZ20" s="4">
        <v>5997.88</v>
      </c>
      <c r="BA20" s="4">
        <v>1360.09</v>
      </c>
      <c r="BB20" s="4">
        <v>22.783000000000001</v>
      </c>
      <c r="BC20" s="4">
        <v>22.803000000000001</v>
      </c>
      <c r="BE20" s="33">
        <f t="shared" si="14"/>
        <v>0</v>
      </c>
      <c r="BF20" s="33">
        <f t="shared" si="15"/>
        <v>7.1527785064917637E-6</v>
      </c>
      <c r="BG20" s="33">
        <f t="array" ref="BG20">AVERAGE(AL20:AL24/AQ20:AQ24) - AVERAGE(N20:N24/S20:S24)</f>
        <v>4.362297701787643E-6</v>
      </c>
      <c r="BI20" s="34">
        <f>IF( OR(ISBLANK(N20:N24),ISBLANK(AL20:AL24), ISBLANK(W20:W24),ISBLANK(AU20:AU24)), "·", bdRateExtend( N20:N24,W20:W24, AL20:AL24,AU20:AU24))</f>
        <v>2.0851345027272927E-5</v>
      </c>
      <c r="BJ20" s="34">
        <f>IF( OR(ISBLANK(N20:N24),ISBLANK(AL20:AL24), ISBLANK(X20:X24),ISBLANK(AV20:AV24)), "·", bdRateExtend( N20:N24,X20:X24, AL20:AL24,AV20:AV24))</f>
        <v>1.9656919133526074E-5</v>
      </c>
      <c r="BK20" s="34">
        <f>IF( OR(ISBLANK(V20:V24),ISBLANK(AT20:AT24), ISBLANK(Y20:Y24),ISBLANK(AW20:AW24)), "·", bdRateExtend( V20:V24,Y20:Y24, AT20:AT24,AW20:AW24))</f>
        <v>7.2072218458094861E-2</v>
      </c>
      <c r="BL20" s="34">
        <f>IF( OR(ISBLANK(V20:V24),ISBLANK(AT20:AT24), ISBLANK(Z20:Z24),ISBLANK(AX20:AX24)), "·", bdRateExtend( V20:V24,Z20:Z24, AT20:AT24,AX20:AX24))</f>
        <v>-1.2154897332704584E-3</v>
      </c>
      <c r="BM20" s="34">
        <f>IF( OR(ISBLANK(V20:V24),ISBLANK(AT20:AT24), ISBLANK(AA20:AA24),ISBLANK(AY20:AY24)), "·", bdRateExtend( V20:V24,AA20:AA24, AT20:AT24,AY20:AY24))</f>
        <v>1.5598405768933787E-2</v>
      </c>
      <c r="BO20" s="34">
        <f>IF( OR(ISBLANK(S20:S24),ISBLANK(AQ20:AQ24), ISBLANK(W20:W24),ISBLANK(AU20:AU24)), "·", bdRateExtend( S20:S24,W20:W24, AQ20:AQ24,AU20:AU24))</f>
        <v>8.1661830997337148E-6</v>
      </c>
      <c r="BP20" s="34">
        <f>IF( OR(ISBLANK(S20:S24),ISBLANK(AQ20:AQ24), ISBLANK(X20:X24),ISBLANK(AV20:AV24)), "·", bdRateExtend( S20:S24,X20:X24, AQ20:AQ24,AV20:AV24))</f>
        <v>7.421062518497834E-6</v>
      </c>
      <c r="BQ20" s="34">
        <f>IF( OR(ISBLANK(S20:S24),ISBLANK(AQ20:AQ24), ISBLANK(Y20:Y24),ISBLANK(AW20:AW24)), "·", bdRateExtend( S20:S24,Y20:Y24, AQ20:AQ24,AW20:AW24))</f>
        <v>5.8581882815355923E-2</v>
      </c>
      <c r="BR20" s="34">
        <f>IF( OR(ISBLANK(S20:S24),ISBLANK(AQ20:AQ24), ISBLANK(Z20:Z24),ISBLANK(AX20:AX24)), "·", bdRateExtend( S20:S24,Z20:Z24, AQ20:AQ24,AX20:AX24))</f>
        <v>1.3233061733135543E-3</v>
      </c>
      <c r="BS20" s="34">
        <f>IF( OR(ISBLANK(S20:S24),ISBLANK(AQ20:AQ24), ISBLANK(AA20:AA24),ISBLANK(AY20:AY24)), "·", bdRateExtend( S20:S24,AA20:AA24, AQ20:AQ24,AY20:AY24))</f>
        <v>1.4141442353602596E-2</v>
      </c>
    </row>
    <row r="21" spans="1:71" outlineLevel="1" x14ac:dyDescent="0.3">
      <c r="A21" s="15"/>
      <c r="B21" s="15" t="s">
        <v>279</v>
      </c>
      <c r="C21" s="16" t="s">
        <v>267</v>
      </c>
      <c r="D21" s="15">
        <v>250602891</v>
      </c>
      <c r="E21" s="16">
        <v>10</v>
      </c>
      <c r="F21" s="16">
        <v>250</v>
      </c>
      <c r="G21" s="16">
        <v>50</v>
      </c>
      <c r="I21" s="17">
        <f t="shared" si="0"/>
        <v>1.0766863999999998</v>
      </c>
      <c r="J21" s="18">
        <f t="shared" si="1"/>
        <v>2.148192296791979E-2</v>
      </c>
      <c r="K21" s="18">
        <f t="shared" si="2"/>
        <v>9.094899068821995E-3</v>
      </c>
      <c r="L21" s="18">
        <f t="shared" si="3"/>
        <v>5.1699004541811136E-3</v>
      </c>
      <c r="M21" s="18">
        <f t="shared" si="4"/>
        <v>1.2387023899097797E-2</v>
      </c>
      <c r="N21" s="15">
        <f t="shared" si="5"/>
        <v>2279208</v>
      </c>
      <c r="O21" s="18">
        <f t="shared" si="6"/>
        <v>0.17045529601019699</v>
      </c>
      <c r="P21" s="4">
        <v>31582662</v>
      </c>
      <c r="Q21" s="4">
        <v>986958.1875</v>
      </c>
      <c r="R21" s="4">
        <v>33976.5625</v>
      </c>
      <c r="S21" s="4">
        <v>5383432</v>
      </c>
      <c r="T21" s="4">
        <v>1295592</v>
      </c>
      <c r="U21" s="4">
        <v>983616</v>
      </c>
      <c r="V21" s="4">
        <v>3104224</v>
      </c>
      <c r="W21" s="4">
        <v>68.689549999999997</v>
      </c>
      <c r="X21" s="4">
        <v>70.77660625</v>
      </c>
      <c r="Y21" s="4">
        <v>32.771437499999998</v>
      </c>
      <c r="Z21" s="4">
        <v>40.711728125</v>
      </c>
      <c r="AA21" s="4">
        <v>39.686912499999998</v>
      </c>
      <c r="AB21" s="4">
        <v>3708.31</v>
      </c>
      <c r="AC21" s="4">
        <v>1377.08</v>
      </c>
      <c r="AD21" s="4">
        <v>8.8510000000000009</v>
      </c>
      <c r="AE21" s="4">
        <v>22.312999999999999</v>
      </c>
      <c r="AG21" s="17">
        <f t="shared" si="7"/>
        <v>1.0766976000000001</v>
      </c>
      <c r="AH21" s="18">
        <f t="shared" si="8"/>
        <v>2.1482146429029025E-2</v>
      </c>
      <c r="AI21" s="18">
        <f t="shared" si="9"/>
        <v>9.0951225299312297E-3</v>
      </c>
      <c r="AJ21" s="18">
        <f t="shared" si="10"/>
        <v>5.1699004541811136E-3</v>
      </c>
      <c r="AK21" s="18">
        <f t="shared" si="11"/>
        <v>1.2387023899097797E-2</v>
      </c>
      <c r="AL21" s="15">
        <f t="shared" si="12"/>
        <v>2279264</v>
      </c>
      <c r="AM21" s="18">
        <f t="shared" si="13"/>
        <v>0.17045706913495765</v>
      </c>
      <c r="AN21" s="4">
        <v>31582662</v>
      </c>
      <c r="AO21" s="4">
        <v>986958.1875</v>
      </c>
      <c r="AP21" s="4">
        <v>33976.5625</v>
      </c>
      <c r="AQ21" s="4">
        <v>5383488</v>
      </c>
      <c r="AR21" s="4">
        <v>1295592</v>
      </c>
      <c r="AS21" s="4">
        <v>983672</v>
      </c>
      <c r="AT21" s="4">
        <v>3104224</v>
      </c>
      <c r="AU21" s="4">
        <v>68.689549999999997</v>
      </c>
      <c r="AV21" s="4">
        <v>70.77660625</v>
      </c>
      <c r="AW21" s="4">
        <v>32.658240624999998</v>
      </c>
      <c r="AX21" s="4">
        <v>40.735784375000001</v>
      </c>
      <c r="AY21" s="4">
        <v>39.687212500000001</v>
      </c>
      <c r="AZ21" s="4">
        <v>5788.33</v>
      </c>
      <c r="BA21" s="4">
        <v>1398.19</v>
      </c>
      <c r="BB21" s="4">
        <v>24.353000000000002</v>
      </c>
      <c r="BC21" s="4">
        <v>20.622</v>
      </c>
      <c r="BE21" s="23">
        <f t="shared" si="14"/>
        <v>0</v>
      </c>
      <c r="BF21" s="23">
        <f t="shared" si="15"/>
        <v>5.9981607175574325E-6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279</v>
      </c>
      <c r="C22" s="26" t="s">
        <v>268</v>
      </c>
      <c r="D22" s="25">
        <v>250602891</v>
      </c>
      <c r="E22" s="26">
        <v>10</v>
      </c>
      <c r="F22" s="26">
        <v>250</v>
      </c>
      <c r="G22" s="26">
        <v>50</v>
      </c>
      <c r="I22" s="27">
        <f t="shared" si="0"/>
        <v>1.7845423999999999</v>
      </c>
      <c r="J22" s="28">
        <f t="shared" si="1"/>
        <v>3.5604984301637603E-2</v>
      </c>
      <c r="K22" s="28">
        <f t="shared" si="2"/>
        <v>1.1215832302589039E-2</v>
      </c>
      <c r="L22" s="28">
        <f t="shared" si="3"/>
        <v>7.2908336879481568E-3</v>
      </c>
      <c r="M22" s="28">
        <f t="shared" si="4"/>
        <v>2.4389151999048567E-2</v>
      </c>
      <c r="N22" s="25">
        <f t="shared" si="5"/>
        <v>2810720</v>
      </c>
      <c r="O22" s="28">
        <f t="shared" si="6"/>
        <v>0.27112007074933864</v>
      </c>
      <c r="P22" s="4">
        <v>32910555</v>
      </c>
      <c r="Q22" s="4">
        <v>1028454.84375</v>
      </c>
      <c r="R22" s="4">
        <v>36195</v>
      </c>
      <c r="S22" s="4">
        <v>8922712</v>
      </c>
      <c r="T22" s="4">
        <v>1827104</v>
      </c>
      <c r="U22" s="4">
        <v>983616</v>
      </c>
      <c r="V22" s="4">
        <v>6111992</v>
      </c>
      <c r="W22" s="4">
        <v>69.860078125000001</v>
      </c>
      <c r="X22" s="4">
        <v>72.2745125</v>
      </c>
      <c r="Y22" s="4">
        <v>34.6212625</v>
      </c>
      <c r="Z22" s="4">
        <v>41.729312499999999</v>
      </c>
      <c r="AA22" s="4">
        <v>40.742871874999999</v>
      </c>
      <c r="AB22" s="4">
        <v>3781.75</v>
      </c>
      <c r="AC22" s="4">
        <v>1422.7</v>
      </c>
      <c r="AD22" s="4">
        <v>7.7839999999999998</v>
      </c>
      <c r="AE22" s="4">
        <v>21.864999999999998</v>
      </c>
      <c r="AG22" s="27">
        <f t="shared" si="7"/>
        <v>1.7845536000000002</v>
      </c>
      <c r="AH22" s="28">
        <f t="shared" si="8"/>
        <v>3.5605207762746838E-2</v>
      </c>
      <c r="AI22" s="28">
        <f t="shared" si="9"/>
        <v>1.1216055763698272E-2</v>
      </c>
      <c r="AJ22" s="28">
        <f t="shared" si="10"/>
        <v>7.2908336879481568E-3</v>
      </c>
      <c r="AK22" s="28">
        <f t="shared" si="11"/>
        <v>2.4389151999048567E-2</v>
      </c>
      <c r="AL22" s="25">
        <f t="shared" si="12"/>
        <v>2810776</v>
      </c>
      <c r="AM22" s="28">
        <f t="shared" si="13"/>
        <v>0.27112177233109558</v>
      </c>
      <c r="AN22" s="4">
        <v>32910555</v>
      </c>
      <c r="AO22" s="4">
        <v>1028454.84375</v>
      </c>
      <c r="AP22" s="4">
        <v>36195</v>
      </c>
      <c r="AQ22" s="4">
        <v>8922768</v>
      </c>
      <c r="AR22" s="4">
        <v>1827104</v>
      </c>
      <c r="AS22" s="4">
        <v>983672</v>
      </c>
      <c r="AT22" s="4">
        <v>6111992</v>
      </c>
      <c r="AU22" s="4">
        <v>69.860078125000001</v>
      </c>
      <c r="AV22" s="4">
        <v>72.2745125</v>
      </c>
      <c r="AW22" s="4">
        <v>34.4177125</v>
      </c>
      <c r="AX22" s="4">
        <v>41.715106249999998</v>
      </c>
      <c r="AY22" s="4">
        <v>40.70360625</v>
      </c>
      <c r="AZ22" s="4">
        <v>5893.75</v>
      </c>
      <c r="BA22" s="4">
        <v>1490.96</v>
      </c>
      <c r="BB22" s="4">
        <v>23.684999999999999</v>
      </c>
      <c r="BC22" s="4">
        <v>21.707999999999998</v>
      </c>
      <c r="BE22" s="33">
        <f t="shared" si="14"/>
        <v>0</v>
      </c>
      <c r="BF22" s="33">
        <f t="shared" si="15"/>
        <v>4.299068129209882E-6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279</v>
      </c>
      <c r="C23" s="16" t="s">
        <v>269</v>
      </c>
      <c r="D23" s="15">
        <v>250602891</v>
      </c>
      <c r="E23" s="16">
        <v>10</v>
      </c>
      <c r="F23" s="16">
        <v>250</v>
      </c>
      <c r="G23" s="16">
        <v>50</v>
      </c>
      <c r="I23" s="17">
        <f t="shared" si="0"/>
        <v>3.1145712000000003</v>
      </c>
      <c r="J23" s="18">
        <f t="shared" si="1"/>
        <v>6.2141565637405194E-2</v>
      </c>
      <c r="K23" s="18">
        <f t="shared" si="2"/>
        <v>1.4871113358384999E-2</v>
      </c>
      <c r="L23" s="18">
        <f t="shared" si="3"/>
        <v>1.0946114743744118E-2</v>
      </c>
      <c r="M23" s="18">
        <f t="shared" si="4"/>
        <v>4.72704522790202E-2</v>
      </c>
      <c r="N23" s="15">
        <f t="shared" si="5"/>
        <v>3726744</v>
      </c>
      <c r="O23" s="18">
        <f t="shared" si="6"/>
        <v>0.47255318480062153</v>
      </c>
      <c r="P23" s="4">
        <v>32954716</v>
      </c>
      <c r="Q23" s="4">
        <v>1029834.875</v>
      </c>
      <c r="R23" s="4">
        <v>38132.96875</v>
      </c>
      <c r="S23" s="4">
        <v>15572856</v>
      </c>
      <c r="T23" s="4">
        <v>2743128</v>
      </c>
      <c r="U23" s="4">
        <v>983616</v>
      </c>
      <c r="V23" s="4">
        <v>11846112</v>
      </c>
      <c r="W23" s="4">
        <v>70.869659374999998</v>
      </c>
      <c r="X23" s="4">
        <v>73.607803125000004</v>
      </c>
      <c r="Y23" s="4">
        <v>36.268834374999997</v>
      </c>
      <c r="Z23" s="4">
        <v>42.939440625000003</v>
      </c>
      <c r="AA23" s="4">
        <v>41.831096875</v>
      </c>
      <c r="AB23" s="4">
        <v>3759.56</v>
      </c>
      <c r="AC23" s="4">
        <v>1588.17</v>
      </c>
      <c r="AD23" s="4">
        <v>8.9369999999999994</v>
      </c>
      <c r="AE23" s="4">
        <v>23.082999999999998</v>
      </c>
      <c r="AG23" s="17">
        <f t="shared" si="7"/>
        <v>3.1145823999999998</v>
      </c>
      <c r="AH23" s="18">
        <f t="shared" si="8"/>
        <v>6.2141789098514429E-2</v>
      </c>
      <c r="AI23" s="18">
        <f t="shared" si="9"/>
        <v>1.4871336819494234E-2</v>
      </c>
      <c r="AJ23" s="18">
        <f t="shared" si="10"/>
        <v>1.0946114743744118E-2</v>
      </c>
      <c r="AK23" s="18">
        <f t="shared" si="11"/>
        <v>4.72704522790202E-2</v>
      </c>
      <c r="AL23" s="15">
        <f t="shared" si="12"/>
        <v>3726800</v>
      </c>
      <c r="AM23" s="18">
        <f t="shared" si="13"/>
        <v>0.47255488410217222</v>
      </c>
      <c r="AN23" s="4">
        <v>32954716</v>
      </c>
      <c r="AO23" s="4">
        <v>1029834.875</v>
      </c>
      <c r="AP23" s="4">
        <v>38132.96875</v>
      </c>
      <c r="AQ23" s="4">
        <v>15572912</v>
      </c>
      <c r="AR23" s="4">
        <v>2743128</v>
      </c>
      <c r="AS23" s="4">
        <v>983672</v>
      </c>
      <c r="AT23" s="4">
        <v>11846112</v>
      </c>
      <c r="AU23" s="4">
        <v>70.869659374999998</v>
      </c>
      <c r="AV23" s="4">
        <v>73.607803125000004</v>
      </c>
      <c r="AW23" s="4">
        <v>35.958575000000003</v>
      </c>
      <c r="AX23" s="4">
        <v>42.902318749999999</v>
      </c>
      <c r="AY23" s="4">
        <v>41.764434375</v>
      </c>
      <c r="AZ23" s="4">
        <v>5930.27</v>
      </c>
      <c r="BA23" s="4">
        <v>1678.83</v>
      </c>
      <c r="BB23" s="4">
        <v>24.446000000000002</v>
      </c>
      <c r="BC23" s="4">
        <v>23.289000000000001</v>
      </c>
      <c r="BE23" s="23">
        <f t="shared" si="14"/>
        <v>0</v>
      </c>
      <c r="BF23" s="23">
        <f t="shared" si="15"/>
        <v>2.7354309987126513E-6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ht="15" outlineLevel="1" thickBot="1" x14ac:dyDescent="0.35">
      <c r="A24" s="45"/>
      <c r="B24" s="45" t="s">
        <v>279</v>
      </c>
      <c r="C24" s="46" t="s">
        <v>270</v>
      </c>
      <c r="D24" s="45">
        <v>250602891</v>
      </c>
      <c r="E24" s="46">
        <v>10</v>
      </c>
      <c r="F24" s="46">
        <v>250</v>
      </c>
      <c r="G24" s="46">
        <v>50</v>
      </c>
      <c r="I24" s="47">
        <f t="shared" si="0"/>
        <v>5.2867615999999993</v>
      </c>
      <c r="J24" s="48">
        <f t="shared" si="1"/>
        <v>0.10548085815977279</v>
      </c>
      <c r="K24" s="48">
        <f t="shared" si="2"/>
        <v>2.4519046749544481E-2</v>
      </c>
      <c r="L24" s="48">
        <f t="shared" si="3"/>
        <v>1.6989460827888055E-2</v>
      </c>
      <c r="M24" s="48">
        <f t="shared" si="4"/>
        <v>8.0961811410228304E-2</v>
      </c>
      <c r="N24" s="45">
        <f t="shared" si="5"/>
        <v>6144544</v>
      </c>
      <c r="O24" s="48">
        <f t="shared" si="6"/>
        <v>0.83691243113999203</v>
      </c>
      <c r="P24" s="4">
        <v>31584915</v>
      </c>
      <c r="Q24" s="4">
        <v>987028.59375</v>
      </c>
      <c r="R24" s="4">
        <v>18895.8125</v>
      </c>
      <c r="S24" s="4">
        <v>26433808</v>
      </c>
      <c r="T24" s="4">
        <v>4257608</v>
      </c>
      <c r="U24" s="4">
        <v>1886936</v>
      </c>
      <c r="V24" s="4">
        <v>20289264</v>
      </c>
      <c r="W24" s="4">
        <v>71.821696875000001</v>
      </c>
      <c r="X24" s="4">
        <v>75.648703124999997</v>
      </c>
      <c r="Y24" s="4">
        <v>37.267668749999999</v>
      </c>
      <c r="Z24" s="4">
        <v>43.766237500000003</v>
      </c>
      <c r="AA24" s="4">
        <v>42.375878125</v>
      </c>
      <c r="AB24" s="4">
        <v>3725.17</v>
      </c>
      <c r="AC24" s="4">
        <v>1775.92</v>
      </c>
      <c r="AD24" s="4">
        <v>8.2289999999999992</v>
      </c>
      <c r="AE24" s="4">
        <v>24.530999999999999</v>
      </c>
      <c r="AG24" s="47">
        <f t="shared" si="7"/>
        <v>5.2867727999999996</v>
      </c>
      <c r="AH24" s="48">
        <f t="shared" si="8"/>
        <v>0.10548108162088202</v>
      </c>
      <c r="AI24" s="48">
        <f t="shared" si="9"/>
        <v>2.4519270210653716E-2</v>
      </c>
      <c r="AJ24" s="48">
        <f t="shared" si="10"/>
        <v>1.6989460827888055E-2</v>
      </c>
      <c r="AK24" s="48">
        <f t="shared" si="11"/>
        <v>8.0961811410228304E-2</v>
      </c>
      <c r="AL24" s="45">
        <f t="shared" si="12"/>
        <v>6144600</v>
      </c>
      <c r="AM24" s="48">
        <f t="shared" si="13"/>
        <v>0.836914204138273</v>
      </c>
      <c r="AN24" s="4">
        <v>31584915</v>
      </c>
      <c r="AO24" s="4">
        <v>987028.59375</v>
      </c>
      <c r="AP24" s="4">
        <v>18895.8125</v>
      </c>
      <c r="AQ24" s="4">
        <v>26433864</v>
      </c>
      <c r="AR24" s="4">
        <v>4257608</v>
      </c>
      <c r="AS24" s="4">
        <v>1886992</v>
      </c>
      <c r="AT24" s="4">
        <v>20289264</v>
      </c>
      <c r="AU24" s="4">
        <v>71.821696875000001</v>
      </c>
      <c r="AV24" s="4">
        <v>75.648703124999997</v>
      </c>
      <c r="AW24" s="4">
        <v>37.267668749999999</v>
      </c>
      <c r="AX24" s="4">
        <v>43.766237500000003</v>
      </c>
      <c r="AY24" s="4">
        <v>42.375878125</v>
      </c>
      <c r="AZ24" s="4">
        <v>5948.02</v>
      </c>
      <c r="BA24" s="4">
        <v>1866.03</v>
      </c>
      <c r="BB24" s="4">
        <v>66.650000000000006</v>
      </c>
      <c r="BC24" s="4">
        <v>25.231000000000002</v>
      </c>
      <c r="BE24" s="53">
        <f t="shared" si="14"/>
        <v>0</v>
      </c>
      <c r="BF24" s="53">
        <f t="shared" si="15"/>
        <v>1.6260501569942409E-6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283</v>
      </c>
      <c r="B25" s="15" t="s">
        <v>282</v>
      </c>
      <c r="C25" s="16" t="s">
        <v>266</v>
      </c>
      <c r="D25" s="15">
        <v>250294582</v>
      </c>
      <c r="E25" s="16">
        <v>10</v>
      </c>
      <c r="F25" s="16">
        <v>300</v>
      </c>
      <c r="G25" s="16">
        <v>30</v>
      </c>
      <c r="I25" s="17">
        <f t="shared" si="0"/>
        <v>0.50105520000000003</v>
      </c>
      <c r="J25" s="18">
        <f t="shared" si="1"/>
        <v>2.0018619500121661E-2</v>
      </c>
      <c r="K25" s="18">
        <f t="shared" si="2"/>
        <v>7.0359653250504639E-3</v>
      </c>
      <c r="L25" s="18">
        <f t="shared" si="3"/>
        <v>3.812947097672294E-3</v>
      </c>
      <c r="M25" s="18">
        <f t="shared" si="4"/>
        <v>1.2982654175071197E-2</v>
      </c>
      <c r="N25" s="15">
        <f t="shared" si="5"/>
        <v>1761064</v>
      </c>
      <c r="O25" s="18">
        <f t="shared" si="6"/>
        <v>0.21838571114571481</v>
      </c>
      <c r="P25" s="4">
        <v>22943589</v>
      </c>
      <c r="Q25" s="4">
        <v>716987.15625</v>
      </c>
      <c r="R25" s="4">
        <v>17447.4375</v>
      </c>
      <c r="S25" s="4">
        <v>5010552</v>
      </c>
      <c r="T25" s="4">
        <v>954360</v>
      </c>
      <c r="U25" s="4">
        <v>806704</v>
      </c>
      <c r="V25" s="4">
        <v>3249488</v>
      </c>
      <c r="W25" s="4">
        <v>66.18744375</v>
      </c>
      <c r="X25" s="4">
        <v>68.041021874999998</v>
      </c>
      <c r="Y25" s="4">
        <v>27.492659374999999</v>
      </c>
      <c r="Z25" s="4">
        <v>33.266440625000001</v>
      </c>
      <c r="AA25" s="4">
        <v>32.714550000000003</v>
      </c>
      <c r="AB25" s="4">
        <v>2935.36</v>
      </c>
      <c r="AC25" s="4">
        <v>1612.18</v>
      </c>
      <c r="AD25" s="4">
        <v>7.3520000000000003</v>
      </c>
      <c r="AE25" s="4">
        <v>24.568000000000001</v>
      </c>
      <c r="AG25" s="17">
        <f t="shared" si="7"/>
        <v>0.50106079999999997</v>
      </c>
      <c r="AH25" s="18">
        <f t="shared" si="8"/>
        <v>2.0018843236486838E-2</v>
      </c>
      <c r="AI25" s="18">
        <f t="shared" si="9"/>
        <v>7.0361890614156399E-3</v>
      </c>
      <c r="AJ25" s="18">
        <f t="shared" si="10"/>
        <v>3.812947097672294E-3</v>
      </c>
      <c r="AK25" s="18">
        <f t="shared" si="11"/>
        <v>1.2982654175071197E-2</v>
      </c>
      <c r="AL25" s="15">
        <f t="shared" si="12"/>
        <v>1761120</v>
      </c>
      <c r="AM25" s="18">
        <f t="shared" si="13"/>
        <v>0.21838815191468083</v>
      </c>
      <c r="AN25" s="4">
        <v>22943589</v>
      </c>
      <c r="AO25" s="4">
        <v>716987.15625</v>
      </c>
      <c r="AP25" s="4">
        <v>17447.4375</v>
      </c>
      <c r="AQ25" s="4">
        <v>5010608</v>
      </c>
      <c r="AR25" s="4">
        <v>954360</v>
      </c>
      <c r="AS25" s="4">
        <v>806760</v>
      </c>
      <c r="AT25" s="4">
        <v>3249488</v>
      </c>
      <c r="AU25" s="4">
        <v>66.18744375</v>
      </c>
      <c r="AV25" s="4">
        <v>68.041021874999998</v>
      </c>
      <c r="AW25" s="4">
        <v>27.483840624999999</v>
      </c>
      <c r="AX25" s="4">
        <v>33.282728124999998</v>
      </c>
      <c r="AY25" s="4">
        <v>32.725612499999997</v>
      </c>
      <c r="AZ25" s="4">
        <v>4626.5200000000004</v>
      </c>
      <c r="BA25" s="4">
        <v>1849.39</v>
      </c>
      <c r="BB25" s="4">
        <v>23.026</v>
      </c>
      <c r="BC25" s="4">
        <v>28.370999999999999</v>
      </c>
      <c r="BE25" s="23">
        <f t="shared" si="14"/>
        <v>0</v>
      </c>
      <c r="BF25" s="23">
        <f t="shared" si="15"/>
        <v>7.2481465109297538E-6</v>
      </c>
      <c r="BG25" s="23">
        <f t="array" ref="BG25">AVERAGE(AL25:AL29/AQ25:AQ29) - AVERAGE(N25:N29/S25:S29)</f>
        <v>3.5445158596547621E-6</v>
      </c>
      <c r="BI25" s="24">
        <f>IF( OR(ISBLANK(N25:N29),ISBLANK(AL25:AL29), ISBLANK(W25:W29),ISBLANK(AU25:AU29)), "·", bdRateExtend( N25:N29,W25:W29, AL25:AL29,AU25:AU29))</f>
        <v>2.2516213676881947E-5</v>
      </c>
      <c r="BJ25" s="24">
        <f>IF( OR(ISBLANK(N25:N29),ISBLANK(AL25:AL29), ISBLANK(X25:X29),ISBLANK(AV25:AV29)), "·", bdRateExtend( N25:N29,X25:X29, AL25:AL29,AV25:AV29))</f>
        <v>2.1248243400773248E-5</v>
      </c>
      <c r="BK25" s="24">
        <f>IF( OR(ISBLANK(V25:V29),ISBLANK(AT25:AT29), ISBLANK(Y25:Y29),ISBLANK(AW25:AW29)), "·", bdRateExtend( V25:V29,Y25:Y29, AT25:AT29,AW25:AW29))</f>
        <v>2.0447767485468393E-2</v>
      </c>
      <c r="BL25" s="24">
        <f>IF( OR(ISBLANK(V25:V29),ISBLANK(AT25:AT29), ISBLANK(Z25:Z29),ISBLANK(AX25:AX29)), "·", bdRateExtend( V25:V29,Z25:Z29, AT25:AT29,AX25:AX29))</f>
        <v>-6.5660011376911243E-4</v>
      </c>
      <c r="BM25" s="24">
        <f>IF( OR(ISBLANK(V25:V29),ISBLANK(AT25:AT29), ISBLANK(AA25:AA29),ISBLANK(AY25:AY29)), "·", bdRateExtend( V25:V29,AA25:AA29, AT25:AT29,AY25:AY29))</f>
        <v>2.8183346983710056E-3</v>
      </c>
      <c r="BO25" s="24">
        <f>IF( OR(ISBLANK(S25:S29),ISBLANK(AQ25:AQ29), ISBLANK(W25:W29),ISBLANK(AU25:AU29)), "·", bdRateExtend( S25:S29,W25:W29, AQ25:AQ29,AU25:AU29))</f>
        <v>5.1586502989309224E-6</v>
      </c>
      <c r="BP25" s="24">
        <f>IF( OR(ISBLANK(S25:S29),ISBLANK(AQ25:AQ29), ISBLANK(X25:X29),ISBLANK(AV25:AV29)), "·", bdRateExtend( S25:S29,X25:X29, AQ25:AQ29,AV25:AV29))</f>
        <v>4.627249294619773E-6</v>
      </c>
      <c r="BQ25" s="24">
        <f>IF( OR(ISBLANK(S25:S29),ISBLANK(AQ25:AQ29), ISBLANK(Y25:Y29),ISBLANK(AW25:AW29)), "·", bdRateExtend( S25:S29,Y25:Y29, AQ25:AQ29,AW25:AW29))</f>
        <v>1.8592683260563625E-2</v>
      </c>
      <c r="BR25" s="24">
        <f>IF( OR(ISBLANK(S25:S29),ISBLANK(AQ25:AQ29), ISBLANK(Z25:Z29),ISBLANK(AX25:AX29)), "·", bdRateExtend( S25:S29,Z25:Z29, AQ25:AQ29,AX25:AX29))</f>
        <v>-3.3790312671055922E-4</v>
      </c>
      <c r="BS25" s="24">
        <f>IF( OR(ISBLANK(S25:S29),ISBLANK(AQ25:AQ29), ISBLANK(AA25:AA29),ISBLANK(AY25:AY29)), "·", bdRateExtend( S25:S29,AA25:AA29, AQ25:AQ29,AY25:AY29))</f>
        <v>2.7620829899785981E-3</v>
      </c>
    </row>
    <row r="26" spans="1:71" outlineLevel="1" x14ac:dyDescent="0.3">
      <c r="A26" s="25"/>
      <c r="B26" s="25" t="s">
        <v>282</v>
      </c>
      <c r="C26" s="26" t="s">
        <v>267</v>
      </c>
      <c r="D26" s="25">
        <v>250294582</v>
      </c>
      <c r="E26" s="26">
        <v>10</v>
      </c>
      <c r="F26" s="26">
        <v>300</v>
      </c>
      <c r="G26" s="26">
        <v>30</v>
      </c>
      <c r="I26" s="27">
        <f t="shared" si="0"/>
        <v>0.86401040000000007</v>
      </c>
      <c r="J26" s="28">
        <f t="shared" si="1"/>
        <v>3.4519740423306487E-2</v>
      </c>
      <c r="K26" s="28">
        <f t="shared" si="2"/>
        <v>8.5114746910502446E-3</v>
      </c>
      <c r="L26" s="28">
        <f t="shared" si="3"/>
        <v>5.2884564636720742E-3</v>
      </c>
      <c r="M26" s="28">
        <f t="shared" si="4"/>
        <v>2.6008265732256241E-2</v>
      </c>
      <c r="N26" s="25">
        <f t="shared" si="5"/>
        <v>2130376</v>
      </c>
      <c r="O26" s="28">
        <f t="shared" si="6"/>
        <v>0.34684834664120362</v>
      </c>
      <c r="P26" s="4">
        <v>24910322</v>
      </c>
      <c r="Q26" s="4">
        <v>778447.5625</v>
      </c>
      <c r="R26" s="4">
        <v>22976.21875</v>
      </c>
      <c r="S26" s="4">
        <v>8640104</v>
      </c>
      <c r="T26" s="4">
        <v>1323672</v>
      </c>
      <c r="U26" s="4">
        <v>806704</v>
      </c>
      <c r="V26" s="4">
        <v>6509728</v>
      </c>
      <c r="W26" s="4">
        <v>68.02123125</v>
      </c>
      <c r="X26" s="4">
        <v>70.010334374999999</v>
      </c>
      <c r="Y26" s="4">
        <v>29.909909375000002</v>
      </c>
      <c r="Z26" s="4">
        <v>34.459200000000003</v>
      </c>
      <c r="AA26" s="4">
        <v>34.045915624999999</v>
      </c>
      <c r="AB26" s="4">
        <v>2960.99</v>
      </c>
      <c r="AC26" s="4">
        <v>1717.9</v>
      </c>
      <c r="AD26" s="4">
        <v>8.9540000000000006</v>
      </c>
      <c r="AE26" s="4">
        <v>27.099</v>
      </c>
      <c r="AG26" s="27">
        <f t="shared" si="7"/>
        <v>0.86401600000000001</v>
      </c>
      <c r="AH26" s="28">
        <f t="shared" si="8"/>
        <v>3.4519964159671665E-2</v>
      </c>
      <c r="AI26" s="28">
        <f t="shared" si="9"/>
        <v>8.5116984274154206E-3</v>
      </c>
      <c r="AJ26" s="28">
        <f t="shared" si="10"/>
        <v>5.2884564636720742E-3</v>
      </c>
      <c r="AK26" s="28">
        <f t="shared" si="11"/>
        <v>2.6008265732256241E-2</v>
      </c>
      <c r="AL26" s="25">
        <f t="shared" si="12"/>
        <v>2130432</v>
      </c>
      <c r="AM26" s="28">
        <f t="shared" si="13"/>
        <v>0.34685059470527918</v>
      </c>
      <c r="AN26" s="4">
        <v>24910322</v>
      </c>
      <c r="AO26" s="4">
        <v>778447.5625</v>
      </c>
      <c r="AP26" s="4">
        <v>22976.21875</v>
      </c>
      <c r="AQ26" s="4">
        <v>8640160</v>
      </c>
      <c r="AR26" s="4">
        <v>1323672</v>
      </c>
      <c r="AS26" s="4">
        <v>806760</v>
      </c>
      <c r="AT26" s="4">
        <v>6509728</v>
      </c>
      <c r="AU26" s="4">
        <v>68.02123125</v>
      </c>
      <c r="AV26" s="4">
        <v>70.010334374999999</v>
      </c>
      <c r="AW26" s="4">
        <v>29.876362499999999</v>
      </c>
      <c r="AX26" s="4">
        <v>34.468346875000002</v>
      </c>
      <c r="AY26" s="4">
        <v>34.049087499999999</v>
      </c>
      <c r="AZ26" s="4">
        <v>4673.63</v>
      </c>
      <c r="BA26" s="4">
        <v>1948.33</v>
      </c>
      <c r="BB26" s="4">
        <v>22.957000000000001</v>
      </c>
      <c r="BC26" s="4">
        <v>27.15</v>
      </c>
      <c r="BE26" s="33">
        <f t="shared" si="14"/>
        <v>0</v>
      </c>
      <c r="BF26" s="33">
        <f t="shared" si="15"/>
        <v>4.88326299658004E-6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282</v>
      </c>
      <c r="C27" s="16" t="s">
        <v>268</v>
      </c>
      <c r="D27" s="15">
        <v>250294582</v>
      </c>
      <c r="E27" s="16">
        <v>10</v>
      </c>
      <c r="F27" s="16">
        <v>300</v>
      </c>
      <c r="G27" s="16">
        <v>30</v>
      </c>
      <c r="I27" s="17">
        <f t="shared" si="0"/>
        <v>1.56362</v>
      </c>
      <c r="J27" s="18">
        <f t="shared" si="1"/>
        <v>6.2471188449456726E-2</v>
      </c>
      <c r="K27" s="18">
        <f t="shared" si="2"/>
        <v>1.0661964708449023E-2</v>
      </c>
      <c r="L27" s="18">
        <f t="shared" si="3"/>
        <v>7.4389464810708525E-3</v>
      </c>
      <c r="M27" s="18">
        <f t="shared" si="4"/>
        <v>5.1809223741007708E-2</v>
      </c>
      <c r="N27" s="15">
        <f t="shared" si="5"/>
        <v>2668632</v>
      </c>
      <c r="O27" s="18">
        <f t="shared" si="6"/>
        <v>0.61891890073239386</v>
      </c>
      <c r="P27" s="4">
        <v>25263730</v>
      </c>
      <c r="Q27" s="4">
        <v>789491.5625</v>
      </c>
      <c r="R27" s="4">
        <v>24358.5625</v>
      </c>
      <c r="S27" s="4">
        <v>15636200</v>
      </c>
      <c r="T27" s="4">
        <v>1861928</v>
      </c>
      <c r="U27" s="4">
        <v>806704</v>
      </c>
      <c r="V27" s="4">
        <v>12967568</v>
      </c>
      <c r="W27" s="4">
        <v>69.395956249999998</v>
      </c>
      <c r="X27" s="4">
        <v>71.756546874999998</v>
      </c>
      <c r="Y27" s="4">
        <v>32.411843750000003</v>
      </c>
      <c r="Z27" s="4">
        <v>35.723746875000003</v>
      </c>
      <c r="AA27" s="4">
        <v>35.391134375</v>
      </c>
      <c r="AB27" s="4">
        <v>2854.9</v>
      </c>
      <c r="AC27" s="4">
        <v>1827.45</v>
      </c>
      <c r="AD27" s="4">
        <v>7.2679999999999998</v>
      </c>
      <c r="AE27" s="4">
        <v>27.202999999999999</v>
      </c>
      <c r="AG27" s="17">
        <f t="shared" si="7"/>
        <v>1.5636256000000002</v>
      </c>
      <c r="AH27" s="18">
        <f t="shared" si="8"/>
        <v>6.2471412185821903E-2</v>
      </c>
      <c r="AI27" s="18">
        <f t="shared" si="9"/>
        <v>1.0662188444814199E-2</v>
      </c>
      <c r="AJ27" s="18">
        <f t="shared" si="10"/>
        <v>7.4389464810708525E-3</v>
      </c>
      <c r="AK27" s="18">
        <f t="shared" si="11"/>
        <v>5.1809223741007708E-2</v>
      </c>
      <c r="AL27" s="15">
        <f t="shared" si="12"/>
        <v>2668688</v>
      </c>
      <c r="AM27" s="18">
        <f t="shared" si="13"/>
        <v>0.61892111734886335</v>
      </c>
      <c r="AN27" s="4">
        <v>25263730</v>
      </c>
      <c r="AO27" s="4">
        <v>789491.5625</v>
      </c>
      <c r="AP27" s="4">
        <v>24358.5625</v>
      </c>
      <c r="AQ27" s="4">
        <v>15636256</v>
      </c>
      <c r="AR27" s="4">
        <v>1861928</v>
      </c>
      <c r="AS27" s="4">
        <v>806760</v>
      </c>
      <c r="AT27" s="4">
        <v>12967568</v>
      </c>
      <c r="AU27" s="4">
        <v>69.395956249999998</v>
      </c>
      <c r="AV27" s="4">
        <v>71.756546874999998</v>
      </c>
      <c r="AW27" s="4">
        <v>32.334253124999996</v>
      </c>
      <c r="AX27" s="4">
        <v>35.725021875000003</v>
      </c>
      <c r="AY27" s="4">
        <v>35.383153125</v>
      </c>
      <c r="AZ27" s="4">
        <v>4638.3999999999996</v>
      </c>
      <c r="BA27" s="4">
        <v>2023.06</v>
      </c>
      <c r="BB27" s="4">
        <v>19.925999999999998</v>
      </c>
      <c r="BC27" s="4">
        <v>28.609000000000002</v>
      </c>
      <c r="BE27" s="23">
        <f t="shared" si="14"/>
        <v>0</v>
      </c>
      <c r="BF27" s="23">
        <f t="shared" si="15"/>
        <v>2.9701786506408645E-6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282</v>
      </c>
      <c r="C28" s="26" t="s">
        <v>269</v>
      </c>
      <c r="D28" s="25">
        <v>250294582</v>
      </c>
      <c r="E28" s="26">
        <v>10</v>
      </c>
      <c r="F28" s="26">
        <v>300</v>
      </c>
      <c r="G28" s="26">
        <v>30</v>
      </c>
      <c r="I28" s="27">
        <f t="shared" si="0"/>
        <v>2.9672896</v>
      </c>
      <c r="J28" s="28">
        <f t="shared" si="1"/>
        <v>0.1185518909873966</v>
      </c>
      <c r="K28" s="28">
        <f t="shared" si="2"/>
        <v>1.4228705917413745E-2</v>
      </c>
      <c r="L28" s="28">
        <f t="shared" si="3"/>
        <v>1.1005687690035576E-2</v>
      </c>
      <c r="M28" s="28">
        <f t="shared" si="4"/>
        <v>0.10432318506998285</v>
      </c>
      <c r="N28" s="25">
        <f t="shared" si="5"/>
        <v>3561368</v>
      </c>
      <c r="O28" s="28">
        <f t="shared" si="6"/>
        <v>1.1329421150953793</v>
      </c>
      <c r="P28" s="4">
        <v>26191008</v>
      </c>
      <c r="Q28" s="4">
        <v>818469</v>
      </c>
      <c r="R28" s="4">
        <v>27710.09375</v>
      </c>
      <c r="S28" s="4">
        <v>29672896</v>
      </c>
      <c r="T28" s="4">
        <v>2754664</v>
      </c>
      <c r="U28" s="4">
        <v>806704</v>
      </c>
      <c r="V28" s="4">
        <v>26111528</v>
      </c>
      <c r="W28" s="4">
        <v>70.477725000000007</v>
      </c>
      <c r="X28" s="4">
        <v>73.046315625000005</v>
      </c>
      <c r="Y28" s="4">
        <v>34.881925000000003</v>
      </c>
      <c r="Z28" s="4">
        <v>37.544525</v>
      </c>
      <c r="AA28" s="4">
        <v>37.154428125000003</v>
      </c>
      <c r="AB28" s="4">
        <v>2883.17</v>
      </c>
      <c r="AC28" s="4">
        <v>2047.96</v>
      </c>
      <c r="AD28" s="4">
        <v>7.3390000000000004</v>
      </c>
      <c r="AE28" s="4">
        <v>28.094000000000001</v>
      </c>
      <c r="AG28" s="27">
        <f t="shared" si="7"/>
        <v>2.9672952000000001</v>
      </c>
      <c r="AH28" s="28">
        <f t="shared" si="8"/>
        <v>0.11855211472376177</v>
      </c>
      <c r="AI28" s="28">
        <f t="shared" si="9"/>
        <v>1.4228929653778921E-2</v>
      </c>
      <c r="AJ28" s="28">
        <f t="shared" si="10"/>
        <v>1.1005687690035576E-2</v>
      </c>
      <c r="AK28" s="28">
        <f t="shared" si="11"/>
        <v>0.10432318506998285</v>
      </c>
      <c r="AL28" s="25">
        <f t="shared" si="12"/>
        <v>3561424</v>
      </c>
      <c r="AM28" s="28">
        <f t="shared" si="13"/>
        <v>1.1329442532337817</v>
      </c>
      <c r="AN28" s="4">
        <v>26191008</v>
      </c>
      <c r="AO28" s="4">
        <v>818469</v>
      </c>
      <c r="AP28" s="4">
        <v>27710.09375</v>
      </c>
      <c r="AQ28" s="4">
        <v>29672952</v>
      </c>
      <c r="AR28" s="4">
        <v>2754664</v>
      </c>
      <c r="AS28" s="4">
        <v>806760</v>
      </c>
      <c r="AT28" s="4">
        <v>26111528</v>
      </c>
      <c r="AU28" s="4">
        <v>70.477725000000007</v>
      </c>
      <c r="AV28" s="4">
        <v>73.046315625000005</v>
      </c>
      <c r="AW28" s="4">
        <v>34.7387625</v>
      </c>
      <c r="AX28" s="4">
        <v>37.533984375000003</v>
      </c>
      <c r="AY28" s="4">
        <v>37.130800000000001</v>
      </c>
      <c r="AZ28" s="4">
        <v>4562.0200000000004</v>
      </c>
      <c r="BA28" s="4">
        <v>2348.15</v>
      </c>
      <c r="BB28" s="4">
        <v>22.038</v>
      </c>
      <c r="BC28" s="4">
        <v>32.194000000000003</v>
      </c>
      <c r="BE28" s="33">
        <f t="shared" si="14"/>
        <v>0</v>
      </c>
      <c r="BF28" s="33">
        <f t="shared" si="15"/>
        <v>1.6607322723682927E-6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ht="15" outlineLevel="1" thickBot="1" x14ac:dyDescent="0.35">
      <c r="A29" s="35"/>
      <c r="B29" s="35" t="s">
        <v>282</v>
      </c>
      <c r="C29" s="36" t="s">
        <v>270</v>
      </c>
      <c r="D29" s="35">
        <v>250294582</v>
      </c>
      <c r="E29" s="36">
        <v>10</v>
      </c>
      <c r="F29" s="36">
        <v>300</v>
      </c>
      <c r="G29" s="36">
        <v>30</v>
      </c>
      <c r="I29" s="37">
        <f t="shared" si="0"/>
        <v>5.1914232</v>
      </c>
      <c r="J29" s="38">
        <f t="shared" si="1"/>
        <v>0.20741252801069421</v>
      </c>
      <c r="K29" s="38">
        <f t="shared" si="2"/>
        <v>2.2774060686619257E-2</v>
      </c>
      <c r="L29" s="38">
        <f t="shared" si="3"/>
        <v>1.6773834920645627E-2</v>
      </c>
      <c r="M29" s="38">
        <f t="shared" si="4"/>
        <v>0.18463846732407496</v>
      </c>
      <c r="N29" s="35">
        <f t="shared" si="5"/>
        <v>5700224</v>
      </c>
      <c r="O29" s="38">
        <f t="shared" si="6"/>
        <v>2.0711826310604433</v>
      </c>
      <c r="P29" s="4">
        <v>25065019</v>
      </c>
      <c r="Q29" s="4">
        <v>783281.84375</v>
      </c>
      <c r="R29" s="4">
        <v>12457.625</v>
      </c>
      <c r="S29" s="4">
        <v>51914232</v>
      </c>
      <c r="T29" s="4">
        <v>4198400</v>
      </c>
      <c r="U29" s="4">
        <v>1501824</v>
      </c>
      <c r="V29" s="4">
        <v>46214008</v>
      </c>
      <c r="W29" s="4">
        <v>71.463471874999996</v>
      </c>
      <c r="X29" s="4">
        <v>74.904015625</v>
      </c>
      <c r="Y29" s="4">
        <v>36.553334374999999</v>
      </c>
      <c r="Z29" s="4">
        <v>39.619340625</v>
      </c>
      <c r="AA29" s="4">
        <v>39.013768749999997</v>
      </c>
      <c r="AB29" s="4">
        <v>2957.37</v>
      </c>
      <c r="AC29" s="4">
        <v>2383.42</v>
      </c>
      <c r="AD29" s="4">
        <v>8.2639999999999993</v>
      </c>
      <c r="AE29" s="4">
        <v>29.86</v>
      </c>
      <c r="AG29" s="37">
        <f t="shared" si="7"/>
        <v>5.1914287999999997</v>
      </c>
      <c r="AH29" s="38">
        <f t="shared" si="8"/>
        <v>0.20741275174705939</v>
      </c>
      <c r="AI29" s="38">
        <f t="shared" si="9"/>
        <v>2.2774284422984434E-2</v>
      </c>
      <c r="AJ29" s="38">
        <f t="shared" si="10"/>
        <v>1.6773834920645627E-2</v>
      </c>
      <c r="AK29" s="38">
        <f t="shared" si="11"/>
        <v>0.18463846732407496</v>
      </c>
      <c r="AL29" s="35">
        <f t="shared" si="12"/>
        <v>5700280</v>
      </c>
      <c r="AM29" s="38">
        <f t="shared" si="13"/>
        <v>2.0711848652498528</v>
      </c>
      <c r="AN29" s="4">
        <v>25065019</v>
      </c>
      <c r="AO29" s="4">
        <v>783281.84375</v>
      </c>
      <c r="AP29" s="4">
        <v>12457.625</v>
      </c>
      <c r="AQ29" s="4">
        <v>51914288</v>
      </c>
      <c r="AR29" s="4">
        <v>4198400</v>
      </c>
      <c r="AS29" s="4">
        <v>1501880</v>
      </c>
      <c r="AT29" s="4">
        <v>46214008</v>
      </c>
      <c r="AU29" s="4">
        <v>71.463471874999996</v>
      </c>
      <c r="AV29" s="4">
        <v>74.904015625</v>
      </c>
      <c r="AW29" s="4">
        <v>36.553334374999999</v>
      </c>
      <c r="AX29" s="4">
        <v>39.619340625</v>
      </c>
      <c r="AY29" s="4">
        <v>39.013768749999997</v>
      </c>
      <c r="AZ29" s="4">
        <v>4567.74</v>
      </c>
      <c r="BA29" s="4">
        <v>2605.36</v>
      </c>
      <c r="BB29" s="4">
        <v>57.933</v>
      </c>
      <c r="BC29" s="4">
        <v>35.634999999999998</v>
      </c>
      <c r="BE29" s="43">
        <f t="shared" si="14"/>
        <v>0</v>
      </c>
      <c r="BF29" s="43">
        <f t="shared" si="15"/>
        <v>9.6025886786588188E-7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286</v>
      </c>
      <c r="J30" s="56">
        <f>AVERAGE(J5:J24)</f>
        <v>4.7422352669548709E-2</v>
      </c>
      <c r="K30" s="56">
        <f>AVERAGE(K5:K24)</f>
        <v>1.3684615133352059E-2</v>
      </c>
      <c r="L30" s="56">
        <f>AVERAGE(L5:L24)</f>
        <v>9.317799361451818E-3</v>
      </c>
      <c r="M30" s="56">
        <f>AVERAGE(M5:M24)</f>
        <v>3.3737737536196633E-2</v>
      </c>
      <c r="AH30" s="56">
        <f>AVERAGE(AH5:AH24)</f>
        <v>4.742257490546415E-2</v>
      </c>
      <c r="AI30" s="56">
        <f>AVERAGE(AI5:AI24)</f>
        <v>1.3684837369267519E-2</v>
      </c>
      <c r="AJ30" s="56">
        <f>AVERAGE(AJ5:AJ24)</f>
        <v>9.317799361451818E-3</v>
      </c>
      <c r="AK30" s="56">
        <f>AVERAGE(AK5:AK24)</f>
        <v>3.3737737536196633E-2</v>
      </c>
      <c r="BG30" s="8">
        <f>AVERAGE(BG5:BG24)</f>
        <v>4.4161562435390822E-6</v>
      </c>
      <c r="BI30" s="5">
        <f>AVERAGE(BI5:BI24)</f>
        <v>2.0772026195325921E-5</v>
      </c>
      <c r="BJ30" s="5">
        <f>AVERAGE(BJ5:BJ24)</f>
        <v>1.9635590263022973E-5</v>
      </c>
      <c r="BK30" s="5">
        <f>AVERAGE(BK5:BK24)</f>
        <v>3.4812929707372486E-2</v>
      </c>
      <c r="BL30" s="5">
        <f>AVERAGE(BL5:BL24)</f>
        <v>-1.2623137037238275E-2</v>
      </c>
      <c r="BM30" s="5">
        <f>AVERAGE(BM5:BM24)</f>
        <v>-2.6829562247858152E-3</v>
      </c>
      <c r="BO30" s="5">
        <f>AVERAGE(BO5:BO24)</f>
        <v>8.5659177603836234E-6</v>
      </c>
      <c r="BP30" s="5">
        <f>AVERAGE(BP5:BP24)</f>
        <v>7.8172430009182392E-6</v>
      </c>
      <c r="BQ30" s="5">
        <f>AVERAGE(BQ5:BQ24)</f>
        <v>2.8799513537484445E-2</v>
      </c>
      <c r="BR30" s="5">
        <f>AVERAGE(BR5:BR24)</f>
        <v>-8.6190878189188469E-3</v>
      </c>
      <c r="BS30" s="5">
        <f>AVERAGE(BS5:BS24)</f>
        <v>-7.0164557784407888E-4</v>
      </c>
    </row>
    <row r="31" spans="1:71" x14ac:dyDescent="0.3">
      <c r="B31" s="55" t="s">
        <v>287</v>
      </c>
      <c r="J31" s="56">
        <f>AVERAGE(J25:J29)</f>
        <v>8.8594793474195146E-2</v>
      </c>
      <c r="K31" s="56">
        <f>AVERAGE(K25:K29)</f>
        <v>1.2642434265716545E-2</v>
      </c>
      <c r="L31" s="56">
        <f>AVERAGE(L25:L29)</f>
        <v>8.8639745306192848E-3</v>
      </c>
      <c r="M31" s="56">
        <f>AVERAGE(M25:M29)</f>
        <v>7.5952359208478593E-2</v>
      </c>
      <c r="AH31" s="56">
        <f>AVERAGE(AH25:AH29)</f>
        <v>8.8595017210560317E-2</v>
      </c>
      <c r="AI31" s="56">
        <f>AVERAGE(AI25:AI29)</f>
        <v>1.2642658002081721E-2</v>
      </c>
      <c r="AJ31" s="56">
        <f>AVERAGE(AJ25:AJ29)</f>
        <v>8.8639745306192848E-3</v>
      </c>
      <c r="AK31" s="56">
        <f>AVERAGE(AK25:AK29)</f>
        <v>7.5952359208478593E-2</v>
      </c>
      <c r="BG31" s="8">
        <f>AVERAGE(BG25:BG29)</f>
        <v>3.5445158596547621E-6</v>
      </c>
      <c r="BI31" s="5">
        <f>AVERAGE(BI25:BI29)</f>
        <v>2.2516213676881947E-5</v>
      </c>
      <c r="BJ31" s="5">
        <f>AVERAGE(BJ25:BJ29)</f>
        <v>2.1248243400773248E-5</v>
      </c>
      <c r="BK31" s="5">
        <f>AVERAGE(BK25:BK29)</f>
        <v>2.0447767485468393E-2</v>
      </c>
      <c r="BL31" s="5">
        <f>AVERAGE(BL25:BL29)</f>
        <v>-6.5660011376911243E-4</v>
      </c>
      <c r="BM31" s="5">
        <f>AVERAGE(BM25:BM29)</f>
        <v>2.8183346983710056E-3</v>
      </c>
      <c r="BO31" s="5">
        <f>AVERAGE(BO25:BO29)</f>
        <v>5.1586502989309224E-6</v>
      </c>
      <c r="BP31" s="5">
        <f>AVERAGE(BP25:BP29)</f>
        <v>4.627249294619773E-6</v>
      </c>
      <c r="BQ31" s="5">
        <f>AVERAGE(BQ25:BQ29)</f>
        <v>1.8592683260563625E-2</v>
      </c>
      <c r="BR31" s="5">
        <f>AVERAGE(BR25:BR29)</f>
        <v>-3.3790312671055922E-4</v>
      </c>
      <c r="BS31" s="5">
        <f>AVERAGE(BS25:BS29)</f>
        <v>2.7620829899785981E-3</v>
      </c>
    </row>
    <row r="32" spans="1:71" collapsed="1" x14ac:dyDescent="0.3">
      <c r="B32" s="55" t="s">
        <v>288</v>
      </c>
      <c r="J32" s="56">
        <f>AVERAGE(J5:J29)</f>
        <v>5.5656840830477991E-2</v>
      </c>
      <c r="K32" s="56">
        <f>AVERAGE(K5:K29)</f>
        <v>1.3476178959824957E-2</v>
      </c>
      <c r="L32" s="56">
        <f>AVERAGE(L5:L29)</f>
        <v>9.2270343952853117E-3</v>
      </c>
      <c r="M32" s="56">
        <f>AVERAGE(M5:M29)</f>
        <v>4.2180661870653023E-2</v>
      </c>
      <c r="AH32" s="56">
        <f>AVERAGE(AH5:AH29)</f>
        <v>5.5657063366483378E-2</v>
      </c>
      <c r="AI32" s="56">
        <f>AVERAGE(AI5:AI29)</f>
        <v>1.3476401495830358E-2</v>
      </c>
      <c r="AJ32" s="56">
        <f>AVERAGE(AJ5:AJ29)</f>
        <v>9.2270343952853117E-3</v>
      </c>
      <c r="AK32" s="56">
        <f>AVERAGE(AK5:AK29)</f>
        <v>4.2180661870653023E-2</v>
      </c>
      <c r="BG32" s="8">
        <f>AVERAGE(BG5:BG29)</f>
        <v>4.2418281667622184E-6</v>
      </c>
      <c r="BI32" s="5">
        <f>AVERAGE(BI5:BI29)</f>
        <v>2.1120863691637125E-5</v>
      </c>
      <c r="BJ32" s="5">
        <f>AVERAGE(BJ5:BJ29)</f>
        <v>1.9958120890573029E-5</v>
      </c>
      <c r="BK32" s="5">
        <f>AVERAGE(BK5:BK29)</f>
        <v>3.1939897262991665E-2</v>
      </c>
      <c r="BL32" s="5">
        <f>AVERAGE(BL5:BL29)</f>
        <v>-1.0229829652544441E-2</v>
      </c>
      <c r="BM32" s="5">
        <f>AVERAGE(BM5:BM29)</f>
        <v>-1.5826980401544509E-3</v>
      </c>
      <c r="BO32" s="5">
        <f>AVERAGE(BO5:BO29)</f>
        <v>7.8844642680930839E-6</v>
      </c>
      <c r="BP32" s="5">
        <f>AVERAGE(BP5:BP29)</f>
        <v>7.1792442596585456E-6</v>
      </c>
      <c r="BQ32" s="5">
        <f>AVERAGE(BQ5:BQ29)</f>
        <v>2.6758147482100279E-2</v>
      </c>
      <c r="BR32" s="5">
        <f>AVERAGE(BR5:BR29)</f>
        <v>-6.962850880477189E-3</v>
      </c>
      <c r="BS32" s="5">
        <f>AVERAGE(BS5:BS29)</f>
        <v>-8.899864279543479E-6</v>
      </c>
    </row>
    <row r="33" spans="1:56" hidden="1" outlineLevel="2" x14ac:dyDescent="0.3">
      <c r="A33" s="55" t="s">
        <v>289</v>
      </c>
      <c r="B33" s="55" t="s">
        <v>290</v>
      </c>
      <c r="AB33" s="57">
        <f>SUM(AB5:AB24,AB25:AB29)</f>
        <v>79318.419999999984</v>
      </c>
      <c r="AC33" s="57">
        <f>SUM(AC5:AC24,AC25:AC29)</f>
        <v>41924.129999999997</v>
      </c>
      <c r="AD33" s="57">
        <f>SUM(AD5:AD24,AD25:AD29)</f>
        <v>208.298</v>
      </c>
      <c r="AE33" s="57">
        <f>SUM(AE5:AE24,AE25:AE29)</f>
        <v>649.96799999999996</v>
      </c>
      <c r="AZ33" s="57">
        <f>SUM(AZ5:AZ24,AZ25:AZ29)</f>
        <v>126161.70000000004</v>
      </c>
      <c r="BA33" s="57">
        <f>SUM(BA5:BA24,BA25:BA29)</f>
        <v>46072.98</v>
      </c>
      <c r="BB33" s="57">
        <f>SUM(BB5:BB24,BB25:BB29)</f>
        <v>741.00800000000004</v>
      </c>
      <c r="BC33" s="57">
        <f>SUM(BC5:BC24,BC25:BC29)</f>
        <v>666.24699999999984</v>
      </c>
    </row>
    <row r="34" spans="1:56" hidden="1" outlineLevel="2" x14ac:dyDescent="0.3">
      <c r="B34" s="55" t="s">
        <v>291</v>
      </c>
      <c r="AZ34" s="8">
        <f>AZ33/AB33</f>
        <v>1.5905725303151534</v>
      </c>
      <c r="BA34" s="8">
        <f>BA33/AC33</f>
        <v>1.0989609086700192</v>
      </c>
      <c r="BB34" s="8">
        <f>BB33/AD33</f>
        <v>3.5574417421194635</v>
      </c>
      <c r="BC34" s="8">
        <f>BC33/AE33</f>
        <v>1.0250458484109986</v>
      </c>
    </row>
    <row r="35" spans="1:56" hidden="1" outlineLevel="2" x14ac:dyDescent="0.3">
      <c r="B35" s="55" t="s">
        <v>292</v>
      </c>
      <c r="AB35" s="57">
        <f>GEOMEAN(AB5:AB24,AB25:AB29)</f>
        <v>3132.3644330256816</v>
      </c>
      <c r="AC35" s="57">
        <f>GEOMEAN(AC5:AC24,AC25:AC29)</f>
        <v>1652.2865261069819</v>
      </c>
      <c r="AD35" s="57">
        <f>GEOMEAN(AD5:AD24,AD25:AD29)</f>
        <v>8.2529480486113656</v>
      </c>
      <c r="AE35" s="57">
        <f>GEOMEAN(AE5:AE24,AE25:AE29)</f>
        <v>25.798225807243703</v>
      </c>
      <c r="AZ35" s="57">
        <f>GEOMEAN(AZ5:AZ24,AZ25:AZ29)</f>
        <v>4983.5573486533413</v>
      </c>
      <c r="BA35" s="57">
        <f>GEOMEAN(BA5:BA24,BA25:BA29)</f>
        <v>1818.4532189620281</v>
      </c>
      <c r="BB35" s="57">
        <f>GEOMEAN(BB5:BB24,BB25:BB29)</f>
        <v>26.895640597017845</v>
      </c>
      <c r="BC35" s="57">
        <f>GEOMEAN(BC5:BC24,BC25:BC29)</f>
        <v>26.314616303032466</v>
      </c>
    </row>
    <row r="36" spans="1:56" outlineLevel="2" collapsed="1" x14ac:dyDescent="0.3">
      <c r="B36" s="55" t="s">
        <v>293</v>
      </c>
      <c r="AZ36" s="8">
        <f>AZ35/AB35</f>
        <v>1.5909889973560691</v>
      </c>
      <c r="BA36" s="8">
        <f>BA35/AC35</f>
        <v>1.1005677225042549</v>
      </c>
      <c r="BB36" s="8">
        <f>BB35/AD35</f>
        <v>3.2589131106360574</v>
      </c>
      <c r="BC36" s="8">
        <f>BC35/AE35</f>
        <v>1.020016511974392</v>
      </c>
    </row>
    <row r="39" spans="1:56" x14ac:dyDescent="0.3"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</row>
    <row r="40" spans="1:56" x14ac:dyDescent="0.3"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</row>
    <row r="41" spans="1:56" x14ac:dyDescent="0.3"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</row>
    <row r="42" spans="1:56" x14ac:dyDescent="0.3"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</row>
    <row r="43" spans="1:56" x14ac:dyDescent="0.3"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</row>
    <row r="44" spans="1:56" x14ac:dyDescent="0.3"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</row>
    <row r="45" spans="1:56" x14ac:dyDescent="0.3"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</row>
    <row r="46" spans="1:56" x14ac:dyDescent="0.3"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</row>
    <row r="47" spans="1:56" x14ac:dyDescent="0.3"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</row>
    <row r="48" spans="1:56" x14ac:dyDescent="0.3"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</row>
    <row r="49" spans="15:56" x14ac:dyDescent="0.3"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</row>
    <row r="50" spans="15:56" x14ac:dyDescent="0.3"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</row>
    <row r="51" spans="15:56" x14ac:dyDescent="0.3"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</row>
    <row r="52" spans="15:56" x14ac:dyDescent="0.3"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</row>
    <row r="53" spans="15:56" x14ac:dyDescent="0.3"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</row>
    <row r="54" spans="15:56" x14ac:dyDescent="0.3"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</row>
    <row r="55" spans="15:56" x14ac:dyDescent="0.3"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</row>
    <row r="56" spans="15:56" x14ac:dyDescent="0.3"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</row>
    <row r="57" spans="15:56" x14ac:dyDescent="0.3"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</row>
    <row r="58" spans="15:56" x14ac:dyDescent="0.3"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</row>
    <row r="59" spans="15:56" x14ac:dyDescent="0.3"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</row>
    <row r="60" spans="15:56" x14ac:dyDescent="0.3"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</row>
    <row r="61" spans="15:56" x14ac:dyDescent="0.3"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</row>
    <row r="62" spans="15:56" x14ac:dyDescent="0.3"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</row>
    <row r="63" spans="15:56" x14ac:dyDescent="0.3"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</row>
    <row r="64" spans="15:56" x14ac:dyDescent="0.3"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</row>
    <row r="65" spans="15:56" x14ac:dyDescent="0.3"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</row>
    <row r="66" spans="15:56" x14ac:dyDescent="0.3"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</row>
    <row r="67" spans="15:56" x14ac:dyDescent="0.3"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/>
  </sheetPr>
  <dimension ref="A1:BS36"/>
  <sheetViews>
    <sheetView tabSelected="1" topLeftCell="A20" zoomScale="85" zoomScaleNormal="85" workbookViewId="0">
      <pane xSplit="2" topLeftCell="AP1" activePane="topRight" state="frozen"/>
      <selection pane="topRight" activeCell="AM41" sqref="AM41:BC45"/>
    </sheetView>
  </sheetViews>
  <sheetFormatPr defaultRowHeight="14.4" outlineLevelRow="2" x14ac:dyDescent="0.3"/>
  <cols>
    <col min="1" max="1" width="8.88671875" style="4"/>
    <col min="2" max="2" width="24.6640625" style="4" customWidth="1"/>
    <col min="3" max="3" width="8.88671875" style="4"/>
    <col min="4" max="5" width="10.6640625" style="4" customWidth="1"/>
    <col min="6" max="7" width="8.88671875" style="4"/>
    <col min="8" max="8" width="1.6640625" style="4" customWidth="1"/>
    <col min="9" max="9" width="8.88671875" style="4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7" max="18" width="8.88671875" style="4"/>
    <col min="19" max="22" width="12.6640625" style="4" customWidth="1"/>
    <col min="23" max="27" width="11.6640625" style="4" customWidth="1"/>
    <col min="28" max="31" width="8.88671875" style="4"/>
    <col min="32" max="32" width="1.6640625" style="4" customWidth="1"/>
    <col min="33" max="33" width="8.88671875" style="4"/>
    <col min="34" max="37" width="10.6640625" style="4" customWidth="1"/>
    <col min="38" max="38" width="24.6640625" style="4" hidden="1" customWidth="1"/>
    <col min="39" max="39" width="12.6640625" style="4" customWidth="1"/>
    <col min="40" max="40" width="10.6640625" style="4" customWidth="1"/>
    <col min="41" max="42" width="8.88671875" style="4"/>
    <col min="43" max="46" width="12.6640625" style="4" customWidth="1"/>
    <col min="47" max="51" width="11.6640625" style="4" customWidth="1"/>
    <col min="52" max="55" width="8.88671875" style="4"/>
    <col min="56" max="56" width="1.6640625" style="4" customWidth="1"/>
    <col min="57" max="59" width="8.88671875" style="4"/>
    <col min="60" max="60" width="1.6640625" style="4" customWidth="1"/>
    <col min="61" max="62" width="8.88671875" style="4"/>
    <col min="63" max="65" width="11.6640625" style="4" customWidth="1"/>
    <col min="66" max="66" width="1.6640625" style="4" customWidth="1"/>
    <col min="67" max="68" width="8.88671875" style="4"/>
    <col min="69" max="71" width="11.6640625" style="4" customWidth="1"/>
    <col min="72" max="72" width="1.6640625" style="4" customWidth="1"/>
    <col min="73" max="16384" width="8.88671875" style="4"/>
  </cols>
  <sheetData>
    <row r="1" spans="1:71" x14ac:dyDescent="0.3">
      <c r="A1" s="73" t="s">
        <v>259</v>
      </c>
      <c r="B1" s="73"/>
      <c r="C1" s="73"/>
      <c r="D1" s="73"/>
      <c r="E1" s="73"/>
      <c r="F1" s="73"/>
      <c r="G1" s="73"/>
      <c r="I1" s="66" t="s">
        <v>549</v>
      </c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G1" s="67" t="s">
        <v>550</v>
      </c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</row>
    <row r="2" spans="1:71" ht="30" customHeight="1" thickBot="1" x14ac:dyDescent="0.35">
      <c r="A2" s="69" t="s">
        <v>91</v>
      </c>
      <c r="B2" s="70" t="s">
        <v>94</v>
      </c>
      <c r="C2" s="69" t="s">
        <v>97</v>
      </c>
      <c r="D2" s="70" t="s">
        <v>100</v>
      </c>
      <c r="E2" s="69" t="s">
        <v>103</v>
      </c>
      <c r="F2" s="70" t="s">
        <v>106</v>
      </c>
      <c r="G2" s="69" t="s">
        <v>109</v>
      </c>
      <c r="I2" s="70" t="s">
        <v>112</v>
      </c>
      <c r="J2" s="71" t="s">
        <v>115</v>
      </c>
      <c r="K2" s="71"/>
      <c r="L2" s="71"/>
      <c r="M2" s="71"/>
      <c r="N2" s="69" t="s">
        <v>128</v>
      </c>
      <c r="O2" s="70" t="s">
        <v>131</v>
      </c>
      <c r="P2" s="69" t="s">
        <v>22</v>
      </c>
      <c r="Q2" s="70" t="s">
        <v>24</v>
      </c>
      <c r="R2" s="69" t="s">
        <v>20</v>
      </c>
      <c r="S2" s="72" t="s">
        <v>140</v>
      </c>
      <c r="T2" s="72"/>
      <c r="U2" s="72"/>
      <c r="V2" s="72"/>
      <c r="W2" s="71" t="s">
        <v>151</v>
      </c>
      <c r="X2" s="71"/>
      <c r="Y2" s="72" t="s">
        <v>158</v>
      </c>
      <c r="Z2" s="72"/>
      <c r="AA2" s="72"/>
      <c r="AB2" s="71" t="s">
        <v>168</v>
      </c>
      <c r="AC2" s="71"/>
      <c r="AD2" s="72" t="s">
        <v>175</v>
      </c>
      <c r="AE2" s="72"/>
      <c r="AG2" s="69" t="s">
        <v>112</v>
      </c>
      <c r="AH2" s="72" t="s">
        <v>115</v>
      </c>
      <c r="AI2" s="72"/>
      <c r="AJ2" s="72"/>
      <c r="AK2" s="72"/>
      <c r="AL2" s="70" t="s">
        <v>190</v>
      </c>
      <c r="AM2" s="69" t="s">
        <v>131</v>
      </c>
      <c r="AN2" s="70" t="s">
        <v>22</v>
      </c>
      <c r="AO2" s="69" t="s">
        <v>24</v>
      </c>
      <c r="AP2" s="70" t="s">
        <v>20</v>
      </c>
      <c r="AQ2" s="71" t="s">
        <v>140</v>
      </c>
      <c r="AR2" s="71"/>
      <c r="AS2" s="71"/>
      <c r="AT2" s="71"/>
      <c r="AU2" s="72" t="s">
        <v>151</v>
      </c>
      <c r="AV2" s="72"/>
      <c r="AW2" s="71" t="s">
        <v>158</v>
      </c>
      <c r="AX2" s="71"/>
      <c r="AY2" s="71"/>
      <c r="AZ2" s="72" t="s">
        <v>168</v>
      </c>
      <c r="BA2" s="72"/>
      <c r="BB2" s="71" t="s">
        <v>175</v>
      </c>
      <c r="BC2" s="71"/>
      <c r="BE2" s="70" t="s">
        <v>227</v>
      </c>
      <c r="BF2" s="69" t="s">
        <v>230</v>
      </c>
      <c r="BG2" s="70" t="s">
        <v>230</v>
      </c>
      <c r="BI2" s="71" t="s">
        <v>235</v>
      </c>
      <c r="BJ2" s="71"/>
      <c r="BK2" s="72" t="s">
        <v>240</v>
      </c>
      <c r="BL2" s="72"/>
      <c r="BM2" s="72"/>
      <c r="BO2" s="71" t="s">
        <v>247</v>
      </c>
      <c r="BP2" s="71"/>
      <c r="BQ2" s="72" t="s">
        <v>252</v>
      </c>
      <c r="BR2" s="72"/>
      <c r="BS2" s="72"/>
    </row>
    <row r="3" spans="1:71" ht="15" thickBot="1" x14ac:dyDescent="0.35">
      <c r="A3" s="69"/>
      <c r="B3" s="70"/>
      <c r="C3" s="69"/>
      <c r="D3" s="70"/>
      <c r="E3" s="69"/>
      <c r="F3" s="70"/>
      <c r="G3" s="69"/>
      <c r="I3" s="70"/>
      <c r="J3" s="59" t="s">
        <v>116</v>
      </c>
      <c r="K3" s="59" t="s">
        <v>119</v>
      </c>
      <c r="L3" s="59" t="s">
        <v>122</v>
      </c>
      <c r="M3" s="59" t="s">
        <v>125</v>
      </c>
      <c r="N3" s="69"/>
      <c r="O3" s="70"/>
      <c r="P3" s="69"/>
      <c r="Q3" s="70"/>
      <c r="R3" s="69"/>
      <c r="S3" s="60" t="s">
        <v>116</v>
      </c>
      <c r="T3" s="60" t="s">
        <v>122</v>
      </c>
      <c r="U3" s="60" t="s">
        <v>145</v>
      </c>
      <c r="V3" s="60" t="s">
        <v>148</v>
      </c>
      <c r="W3" s="59" t="s">
        <v>152</v>
      </c>
      <c r="X3" s="59" t="s">
        <v>155</v>
      </c>
      <c r="Y3" s="60" t="s">
        <v>159</v>
      </c>
      <c r="Z3" s="60" t="s">
        <v>162</v>
      </c>
      <c r="AA3" s="60" t="s">
        <v>165</v>
      </c>
      <c r="AB3" s="59" t="s">
        <v>169</v>
      </c>
      <c r="AC3" s="59" t="s">
        <v>172</v>
      </c>
      <c r="AD3" s="60" t="s">
        <v>169</v>
      </c>
      <c r="AE3" s="60" t="s">
        <v>172</v>
      </c>
      <c r="AG3" s="69"/>
      <c r="AH3" s="60" t="s">
        <v>116</v>
      </c>
      <c r="AI3" s="60" t="s">
        <v>119</v>
      </c>
      <c r="AJ3" s="60" t="s">
        <v>122</v>
      </c>
      <c r="AK3" s="60" t="s">
        <v>125</v>
      </c>
      <c r="AL3" s="70"/>
      <c r="AM3" s="69"/>
      <c r="AN3" s="70"/>
      <c r="AO3" s="69"/>
      <c r="AP3" s="70"/>
      <c r="AQ3" s="59" t="s">
        <v>116</v>
      </c>
      <c r="AR3" s="59" t="s">
        <v>122</v>
      </c>
      <c r="AS3" s="59" t="s">
        <v>145</v>
      </c>
      <c r="AT3" s="59" t="s">
        <v>148</v>
      </c>
      <c r="AU3" s="60" t="s">
        <v>152</v>
      </c>
      <c r="AV3" s="60" t="s">
        <v>155</v>
      </c>
      <c r="AW3" s="59" t="s">
        <v>159</v>
      </c>
      <c r="AX3" s="59" t="s">
        <v>162</v>
      </c>
      <c r="AY3" s="59" t="s">
        <v>165</v>
      </c>
      <c r="AZ3" s="60" t="s">
        <v>169</v>
      </c>
      <c r="BA3" s="60" t="s">
        <v>172</v>
      </c>
      <c r="BB3" s="59" t="s">
        <v>169</v>
      </c>
      <c r="BC3" s="59" t="s">
        <v>172</v>
      </c>
      <c r="BE3" s="70"/>
      <c r="BF3" s="69"/>
      <c r="BG3" s="70"/>
      <c r="BI3" s="59" t="s">
        <v>152</v>
      </c>
      <c r="BJ3" s="59" t="s">
        <v>155</v>
      </c>
      <c r="BK3" s="60" t="s">
        <v>159</v>
      </c>
      <c r="BL3" s="60" t="s">
        <v>162</v>
      </c>
      <c r="BM3" s="60" t="s">
        <v>165</v>
      </c>
      <c r="BO3" s="59" t="s">
        <v>152</v>
      </c>
      <c r="BP3" s="59" t="s">
        <v>155</v>
      </c>
      <c r="BQ3" s="60" t="s">
        <v>159</v>
      </c>
      <c r="BR3" s="60" t="s">
        <v>162</v>
      </c>
      <c r="BS3" s="60" t="s">
        <v>165</v>
      </c>
    </row>
    <row r="4" spans="1:71" ht="124.2" hidden="1" thickBot="1" x14ac:dyDescent="0.3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1" x14ac:dyDescent="0.3">
      <c r="A5" s="15" t="s">
        <v>265</v>
      </c>
      <c r="B5" s="15" t="s">
        <v>264</v>
      </c>
      <c r="C5" s="16" t="s">
        <v>266</v>
      </c>
      <c r="D5" s="15">
        <v>238146391</v>
      </c>
      <c r="E5" s="16">
        <v>10</v>
      </c>
      <c r="F5" s="16">
        <v>300</v>
      </c>
      <c r="G5" s="16">
        <v>30</v>
      </c>
      <c r="I5" s="17">
        <f t="shared" ref="I5:I29" si="0">IF(OR(ISBLANK(S5),ISBLANK(G5)),"·",S5*G5/F5/1000000)</f>
        <v>0.128972</v>
      </c>
      <c r="J5" s="18">
        <f t="shared" ref="J5:J29" si="1">IF(ISBLANK(S5),"·",S5/D5)</f>
        <v>5.4156604875863941E-3</v>
      </c>
      <c r="K5" s="18">
        <f t="shared" ref="K5:K29" si="2">IF(N5="","·",N5/D5)</f>
        <v>4.5595148238043214E-3</v>
      </c>
      <c r="L5" s="18">
        <f t="shared" ref="L5:L29" si="3">IF(T5="","·",T5/D5)</f>
        <v>2.7255840295308106E-3</v>
      </c>
      <c r="M5" s="18">
        <f t="shared" ref="M5:M29" si="4">IF(ISBLANK(V5),"·",V5/D5)</f>
        <v>8.561456637820726E-4</v>
      </c>
      <c r="N5" s="15">
        <f t="shared" ref="N5:N29" si="5">IF(OR(ISBLANK(T5),ISBLANK(U5)),"",T5+U5)</f>
        <v>1085832</v>
      </c>
      <c r="O5" s="18">
        <f t="shared" ref="O5:O29" si="6">IF(ISBLANK(S5),"·",S5/P5)</f>
        <v>5.5347079211226446E-2</v>
      </c>
      <c r="P5" s="4">
        <v>23302404</v>
      </c>
      <c r="Q5" s="4">
        <v>728200.125</v>
      </c>
      <c r="R5" s="4">
        <v>16826.25</v>
      </c>
      <c r="S5" s="4">
        <v>1289720</v>
      </c>
      <c r="T5" s="4">
        <v>649088</v>
      </c>
      <c r="U5" s="4">
        <v>436744</v>
      </c>
      <c r="V5" s="4">
        <v>203888</v>
      </c>
      <c r="W5" s="4">
        <v>66.752006249999994</v>
      </c>
      <c r="X5" s="4">
        <v>68.487637500000005</v>
      </c>
      <c r="Y5" s="4">
        <v>31.688140624999999</v>
      </c>
      <c r="Z5" s="4">
        <v>44.365662499999999</v>
      </c>
      <c r="AA5" s="4">
        <v>43.64815625</v>
      </c>
      <c r="AB5" s="4">
        <v>2384.48</v>
      </c>
      <c r="AC5" s="4">
        <v>2765.98</v>
      </c>
      <c r="AD5" s="4">
        <v>5.8330000000000002</v>
      </c>
      <c r="AE5" s="4">
        <v>17.927</v>
      </c>
      <c r="AG5" s="17">
        <f t="shared" ref="AG5:AG29" si="7">IF(OR(ISBLANK(AQ5),ISBLANK(G5)),"·",AQ5*G5/F5/1000000)</f>
        <v>0.1289776</v>
      </c>
      <c r="AH5" s="18">
        <f t="shared" ref="AH5:AH29" si="8">IF(ISBLANK(AQ5),"·",AQ5/D5)</f>
        <v>5.4158956370663619E-3</v>
      </c>
      <c r="AI5" s="18">
        <f t="shared" ref="AI5:AI29" si="9">IF(AL5="","·",AL5/D5)</f>
        <v>4.5597499732842901E-3</v>
      </c>
      <c r="AJ5" s="18">
        <f t="shared" ref="AJ5:AJ29" si="10">IF(AR5="","·",AR5/D5)</f>
        <v>2.7255840295308106E-3</v>
      </c>
      <c r="AK5" s="18">
        <f t="shared" ref="AK5:AK29" si="11">IF(ISBLANK(AT5),"·",AT5/D5)</f>
        <v>8.561456637820726E-4</v>
      </c>
      <c r="AL5" s="15">
        <f t="shared" ref="AL5:AL29" si="12">IF(OR(ISBLANK(AR5),ISBLANK(AS5)),"",AR5+AS5)</f>
        <v>1085888</v>
      </c>
      <c r="AM5" s="18">
        <f t="shared" ref="AM5:AM29" si="13">IF(ISBLANK(AQ5),"·",AQ5/AN5)</f>
        <v>5.5349482396751852E-2</v>
      </c>
      <c r="AN5" s="4">
        <v>23302404</v>
      </c>
      <c r="AO5" s="4">
        <v>728200.125</v>
      </c>
      <c r="AP5" s="4">
        <v>16826.25</v>
      </c>
      <c r="AQ5" s="4">
        <v>1289776</v>
      </c>
      <c r="AR5" s="4">
        <v>649088</v>
      </c>
      <c r="AS5" s="4">
        <v>436800</v>
      </c>
      <c r="AT5" s="4">
        <v>203888</v>
      </c>
      <c r="AU5" s="4">
        <v>66.752006249999994</v>
      </c>
      <c r="AV5" s="4">
        <v>68.487637500000005</v>
      </c>
      <c r="AW5" s="4">
        <v>31.714400000000001</v>
      </c>
      <c r="AX5" s="4">
        <v>44.450612499999998</v>
      </c>
      <c r="AY5" s="4">
        <v>43.747725000000003</v>
      </c>
      <c r="AZ5" s="4">
        <v>3022.79</v>
      </c>
      <c r="BA5" s="4">
        <v>2750.61</v>
      </c>
      <c r="BB5" s="4">
        <v>17.678999999999998</v>
      </c>
      <c r="BC5" s="4">
        <v>16.334</v>
      </c>
      <c r="BE5" s="23">
        <f t="shared" ref="BE5:BE29" si="14">(AP5/AO5) - (R5/Q5)</f>
        <v>0</v>
      </c>
      <c r="BF5" s="23">
        <f t="shared" ref="BF5:BF29" si="15">(AL5/AQ5) - (N5/S5)</f>
        <v>6.863884497776418E-6</v>
      </c>
      <c r="BG5" s="23">
        <f t="array" ref="BG5">AVERAGE(AL5:AL9/AQ5:AQ9) - AVERAGE(N5:N9/S5:S9)</f>
        <v>6.3067452324983009E-6</v>
      </c>
      <c r="BI5" s="24">
        <f>IF( OR(ISBLANK(N5:N9),ISBLANK(AL5:AL9), ISBLANK(W5:W9),ISBLANK(AU5:AU9)), "·", bdRateExtend( N5:N9,W5:W9, AL5:AL9,AU5:AU9))</f>
        <v>3.593155153858163E-5</v>
      </c>
      <c r="BJ5" s="24">
        <f>IF( OR(ISBLANK(N5:N9),ISBLANK(AL5:AL9), ISBLANK(X5:X9),ISBLANK(AV5:AV9)), "·", bdRateExtend( N5:N9,X5:X9, AL5:AL9,AV5:AV9))</f>
        <v>3.4831112332378567E-5</v>
      </c>
      <c r="BK5" s="24">
        <f>IF( OR(ISBLANK(V5:V9),ISBLANK(AT5:AT9), ISBLANK(Y5:Y9),ISBLANK(AW5:AW9)), "·", bdRateExtend( V5:V9,Y5:Y9, AT5:AT9,AW5:AW9))</f>
        <v>1.0670547758795168E-2</v>
      </c>
      <c r="BL5" s="24">
        <f>IF( OR(ISBLANK(V5:V9),ISBLANK(AT5:AT9), ISBLANK(Z5:Z9),ISBLANK(AX5:AX9)), "·", bdRateExtend( V5:V9,Z5:Z9, AT5:AT9,AX5:AX9))</f>
        <v>-2.7578442729883634E-2</v>
      </c>
      <c r="BM5" s="24">
        <f>IF( OR(ISBLANK(V5:V9),ISBLANK(AT5:AT9), ISBLANK(AA5:AA9),ISBLANK(AY5:AY9)), "·", bdRateExtend( V5:V9,AA5:AA9, AT5:AT9,AY5:AY9))</f>
        <v>-3.1573529536013667E-2</v>
      </c>
      <c r="BO5" s="24">
        <f>IF( OR(ISBLANK(S5:S9),ISBLANK(AQ5:AQ9), ISBLANK(W5:W9),ISBLANK(AU5:AU9)), "·", bdRateExtend( S5:S9,W5:W9, AQ5:AQ9,AU5:AU9))</f>
        <v>2.6338101376754963E-5</v>
      </c>
      <c r="BP5" s="24">
        <f>IF( OR(ISBLANK(S5:S9),ISBLANK(AQ5:AQ9), ISBLANK(X5:X9),ISBLANK(AV5:AV9)), "·", bdRateExtend( S5:S9,X5:X9, AQ5:AQ9,AV5:AV9))</f>
        <v>2.5257474504547517E-5</v>
      </c>
      <c r="BQ5" s="24">
        <f>IF( OR(ISBLANK(S5:S9),ISBLANK(AQ5:AQ9), ISBLANK(Y5:Y9),ISBLANK(AW5:AW9)), "·", bdRateExtend( S5:S9,Y5:Y9, AQ5:AQ9,AW5:AW9))</f>
        <v>7.3634522497858512E-3</v>
      </c>
      <c r="BR5" s="24">
        <f>IF( OR(ISBLANK(S5:S9),ISBLANK(AQ5:AQ9), ISBLANK(Z5:Z9),ISBLANK(AX5:AX9)), "·", bdRateExtend( S5:S9,Z5:Z9, AQ5:AQ9,AX5:AX9))</f>
        <v>-1.5173862941351257E-2</v>
      </c>
      <c r="BS5" s="24">
        <f>IF( OR(ISBLANK(S5:S9),ISBLANK(AQ5:AQ9), ISBLANK(AA5:AA9),ISBLANK(AY5:AY9)), "·", bdRateExtend( S5:S9,AA5:AA9, AQ5:AQ9,AY5:AY9))</f>
        <v>-1.7568251431455129E-2</v>
      </c>
    </row>
    <row r="6" spans="1:71" outlineLevel="1" x14ac:dyDescent="0.3">
      <c r="A6" s="25"/>
      <c r="B6" s="25" t="s">
        <v>264</v>
      </c>
      <c r="C6" s="26" t="s">
        <v>267</v>
      </c>
      <c r="D6" s="25">
        <v>238146391</v>
      </c>
      <c r="E6" s="26">
        <v>10</v>
      </c>
      <c r="F6" s="26">
        <v>300</v>
      </c>
      <c r="G6" s="26">
        <v>30</v>
      </c>
      <c r="I6" s="27">
        <f t="shared" si="0"/>
        <v>0.16567999999999999</v>
      </c>
      <c r="J6" s="28">
        <f t="shared" si="1"/>
        <v>6.957065328779221E-3</v>
      </c>
      <c r="K6" s="28">
        <f t="shared" si="2"/>
        <v>5.4467338117250748E-3</v>
      </c>
      <c r="L6" s="28">
        <f t="shared" si="3"/>
        <v>3.612803017451564E-3</v>
      </c>
      <c r="M6" s="28">
        <f t="shared" si="4"/>
        <v>1.5103315170541469E-3</v>
      </c>
      <c r="N6" s="25">
        <f t="shared" si="5"/>
        <v>1297120</v>
      </c>
      <c r="O6" s="28">
        <f t="shared" si="6"/>
        <v>6.7267363246035175E-2</v>
      </c>
      <c r="P6" s="4">
        <v>24630072</v>
      </c>
      <c r="Q6" s="4">
        <v>769689.75</v>
      </c>
      <c r="R6" s="4">
        <v>20472</v>
      </c>
      <c r="S6" s="4">
        <v>1656800</v>
      </c>
      <c r="T6" s="4">
        <v>860376</v>
      </c>
      <c r="U6" s="4">
        <v>436744</v>
      </c>
      <c r="V6" s="4">
        <v>359680</v>
      </c>
      <c r="W6" s="4">
        <v>68.475899999999996</v>
      </c>
      <c r="X6" s="4">
        <v>70.525837499999994</v>
      </c>
      <c r="Y6" s="4">
        <v>33.833806250000002</v>
      </c>
      <c r="Z6" s="4">
        <v>45.278478124999999</v>
      </c>
      <c r="AA6" s="4">
        <v>44.955465625000002</v>
      </c>
      <c r="AB6" s="4">
        <v>2386.4899999999998</v>
      </c>
      <c r="AC6" s="4">
        <v>2958.03</v>
      </c>
      <c r="AD6" s="4">
        <v>5.6260000000000003</v>
      </c>
      <c r="AE6" s="4">
        <v>18.042999999999999</v>
      </c>
      <c r="AG6" s="27">
        <f t="shared" si="7"/>
        <v>0.16568560000000002</v>
      </c>
      <c r="AH6" s="28">
        <f t="shared" si="8"/>
        <v>6.9573004782591897E-3</v>
      </c>
      <c r="AI6" s="28">
        <f t="shared" si="9"/>
        <v>5.4469689612050426E-3</v>
      </c>
      <c r="AJ6" s="28">
        <f t="shared" si="10"/>
        <v>3.612803017451564E-3</v>
      </c>
      <c r="AK6" s="28">
        <f t="shared" si="11"/>
        <v>1.5103315170541469E-3</v>
      </c>
      <c r="AL6" s="25">
        <f t="shared" si="12"/>
        <v>1297176</v>
      </c>
      <c r="AM6" s="28">
        <f t="shared" si="13"/>
        <v>6.7269636889409012E-2</v>
      </c>
      <c r="AN6" s="4">
        <v>24630072</v>
      </c>
      <c r="AO6" s="4">
        <v>769689.75</v>
      </c>
      <c r="AP6" s="4">
        <v>20472</v>
      </c>
      <c r="AQ6" s="4">
        <v>1656856</v>
      </c>
      <c r="AR6" s="4">
        <v>860376</v>
      </c>
      <c r="AS6" s="4">
        <v>436800</v>
      </c>
      <c r="AT6" s="4">
        <v>359680</v>
      </c>
      <c r="AU6" s="4">
        <v>68.475899999999996</v>
      </c>
      <c r="AV6" s="4">
        <v>70.525837499999994</v>
      </c>
      <c r="AW6" s="4">
        <v>33.840949999999999</v>
      </c>
      <c r="AX6" s="4">
        <v>45.348853124999998</v>
      </c>
      <c r="AY6" s="4">
        <v>45.036074999999997</v>
      </c>
      <c r="AZ6" s="4">
        <v>3028.69</v>
      </c>
      <c r="BA6" s="4">
        <v>2946.62</v>
      </c>
      <c r="BB6" s="4">
        <v>18.706</v>
      </c>
      <c r="BC6" s="4">
        <v>16.808</v>
      </c>
      <c r="BE6" s="33">
        <f t="shared" si="14"/>
        <v>0</v>
      </c>
      <c r="BF6" s="33">
        <f t="shared" si="15"/>
        <v>7.3375228354377597E-6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264</v>
      </c>
      <c r="C7" s="16" t="s">
        <v>268</v>
      </c>
      <c r="D7" s="15">
        <v>238146391</v>
      </c>
      <c r="E7" s="16">
        <v>10</v>
      </c>
      <c r="F7" s="16">
        <v>300</v>
      </c>
      <c r="G7" s="16">
        <v>30</v>
      </c>
      <c r="I7" s="17">
        <f t="shared" si="0"/>
        <v>0.22814079999999998</v>
      </c>
      <c r="J7" s="18">
        <f t="shared" si="1"/>
        <v>9.5798554427809907E-3</v>
      </c>
      <c r="K7" s="18">
        <f t="shared" si="2"/>
        <v>6.6526811233515604E-3</v>
      </c>
      <c r="L7" s="18">
        <f t="shared" si="3"/>
        <v>4.8187503290780505E-3</v>
      </c>
      <c r="M7" s="18">
        <f t="shared" si="4"/>
        <v>2.9271743194294302E-3</v>
      </c>
      <c r="N7" s="15">
        <f t="shared" si="5"/>
        <v>1584312</v>
      </c>
      <c r="O7" s="18">
        <f t="shared" si="6"/>
        <v>9.1552687034252317E-2</v>
      </c>
      <c r="P7" s="4">
        <v>24919072</v>
      </c>
      <c r="Q7" s="4">
        <v>778721</v>
      </c>
      <c r="R7" s="4">
        <v>21738.03125</v>
      </c>
      <c r="S7" s="4">
        <v>2281408</v>
      </c>
      <c r="T7" s="4">
        <v>1147568</v>
      </c>
      <c r="U7" s="4">
        <v>436744</v>
      </c>
      <c r="V7" s="4">
        <v>697096</v>
      </c>
      <c r="W7" s="4">
        <v>69.794506249999998</v>
      </c>
      <c r="X7" s="4">
        <v>72.181965625000004</v>
      </c>
      <c r="Y7" s="4">
        <v>36.260046875</v>
      </c>
      <c r="Z7" s="4">
        <v>46.678375000000003</v>
      </c>
      <c r="AA7" s="4">
        <v>46.573131250000003</v>
      </c>
      <c r="AB7" s="4">
        <v>2425.1</v>
      </c>
      <c r="AC7" s="4">
        <v>3159.61</v>
      </c>
      <c r="AD7" s="4">
        <v>5.851</v>
      </c>
      <c r="AE7" s="4">
        <v>16.888000000000002</v>
      </c>
      <c r="AG7" s="17">
        <f t="shared" si="7"/>
        <v>0.2281464</v>
      </c>
      <c r="AH7" s="18">
        <f t="shared" si="8"/>
        <v>9.5800905922609602E-3</v>
      </c>
      <c r="AI7" s="18">
        <f t="shared" si="9"/>
        <v>6.6529162728315291E-3</v>
      </c>
      <c r="AJ7" s="18">
        <f t="shared" si="10"/>
        <v>4.8187503290780505E-3</v>
      </c>
      <c r="AK7" s="18">
        <f t="shared" si="11"/>
        <v>2.9271743194294302E-3</v>
      </c>
      <c r="AL7" s="15">
        <f t="shared" si="12"/>
        <v>1584368</v>
      </c>
      <c r="AM7" s="18">
        <f t="shared" si="13"/>
        <v>9.1554934308950189E-2</v>
      </c>
      <c r="AN7" s="4">
        <v>24919072</v>
      </c>
      <c r="AO7" s="4">
        <v>778721</v>
      </c>
      <c r="AP7" s="4">
        <v>21738.03125</v>
      </c>
      <c r="AQ7" s="4">
        <v>2281464</v>
      </c>
      <c r="AR7" s="4">
        <v>1147568</v>
      </c>
      <c r="AS7" s="4">
        <v>436800</v>
      </c>
      <c r="AT7" s="4">
        <v>697096</v>
      </c>
      <c r="AU7" s="4">
        <v>69.794506249999998</v>
      </c>
      <c r="AV7" s="4">
        <v>72.181965625000004</v>
      </c>
      <c r="AW7" s="4">
        <v>36.231478125000002</v>
      </c>
      <c r="AX7" s="4">
        <v>46.729984375000001</v>
      </c>
      <c r="AY7" s="4">
        <v>46.655306250000002</v>
      </c>
      <c r="AZ7" s="4">
        <v>2933.51</v>
      </c>
      <c r="BA7" s="4">
        <v>3146.5</v>
      </c>
      <c r="BB7" s="4">
        <v>17.936</v>
      </c>
      <c r="BC7" s="4">
        <v>16.044</v>
      </c>
      <c r="BE7" s="23">
        <f t="shared" si="14"/>
        <v>0</v>
      </c>
      <c r="BF7" s="23">
        <f t="shared" si="15"/>
        <v>7.5000479043962898E-6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264</v>
      </c>
      <c r="C8" s="26" t="s">
        <v>269</v>
      </c>
      <c r="D8" s="25">
        <v>238146391</v>
      </c>
      <c r="E8" s="26">
        <v>10</v>
      </c>
      <c r="F8" s="26">
        <v>300</v>
      </c>
      <c r="G8" s="26">
        <v>30</v>
      </c>
      <c r="I8" s="27">
        <f t="shared" si="0"/>
        <v>0.37502799999999997</v>
      </c>
      <c r="J8" s="28">
        <f t="shared" si="1"/>
        <v>1.5747792709569133E-2</v>
      </c>
      <c r="K8" s="28">
        <f t="shared" si="2"/>
        <v>9.2864224845632861E-3</v>
      </c>
      <c r="L8" s="28">
        <f t="shared" si="3"/>
        <v>7.4524916902897762E-3</v>
      </c>
      <c r="M8" s="28">
        <f t="shared" si="4"/>
        <v>6.4613702250058448E-3</v>
      </c>
      <c r="N8" s="25">
        <f t="shared" si="5"/>
        <v>2211528</v>
      </c>
      <c r="O8" s="28">
        <f t="shared" si="6"/>
        <v>0.14421877408273709</v>
      </c>
      <c r="P8" s="4">
        <v>26004104</v>
      </c>
      <c r="Q8" s="4">
        <v>812628.25</v>
      </c>
      <c r="R8" s="4">
        <v>25193.0625</v>
      </c>
      <c r="S8" s="4">
        <v>3750280</v>
      </c>
      <c r="T8" s="4">
        <v>1774784</v>
      </c>
      <c r="U8" s="4">
        <v>436744</v>
      </c>
      <c r="V8" s="4">
        <v>1538752</v>
      </c>
      <c r="W8" s="4">
        <v>70.819481249999995</v>
      </c>
      <c r="X8" s="4">
        <v>73.369137499999994</v>
      </c>
      <c r="Y8" s="4">
        <v>38.700159374999998</v>
      </c>
      <c r="Z8" s="4">
        <v>48.123684375000003</v>
      </c>
      <c r="AA8" s="4">
        <v>47.955640625000001</v>
      </c>
      <c r="AB8" s="4">
        <v>2379.09</v>
      </c>
      <c r="AC8" s="4">
        <v>3435.45</v>
      </c>
      <c r="AD8" s="4">
        <v>5.9029999999999996</v>
      </c>
      <c r="AE8" s="4">
        <v>17.454999999999998</v>
      </c>
      <c r="AG8" s="27">
        <f t="shared" si="7"/>
        <v>0.37503359999999997</v>
      </c>
      <c r="AH8" s="28">
        <f t="shared" si="8"/>
        <v>1.57480278590491E-2</v>
      </c>
      <c r="AI8" s="28">
        <f t="shared" si="9"/>
        <v>9.2866576340432556E-3</v>
      </c>
      <c r="AJ8" s="28">
        <f t="shared" si="10"/>
        <v>7.4524916902897762E-3</v>
      </c>
      <c r="AK8" s="28">
        <f t="shared" si="11"/>
        <v>6.4613702250058448E-3</v>
      </c>
      <c r="AL8" s="25">
        <f t="shared" si="12"/>
        <v>2211584</v>
      </c>
      <c r="AM8" s="28">
        <f t="shared" si="13"/>
        <v>0.14422092758896826</v>
      </c>
      <c r="AN8" s="4">
        <v>26004104</v>
      </c>
      <c r="AO8" s="4">
        <v>812628.25</v>
      </c>
      <c r="AP8" s="4">
        <v>25193.0625</v>
      </c>
      <c r="AQ8" s="4">
        <v>3750336</v>
      </c>
      <c r="AR8" s="4">
        <v>1774784</v>
      </c>
      <c r="AS8" s="4">
        <v>436800</v>
      </c>
      <c r="AT8" s="4">
        <v>1538752</v>
      </c>
      <c r="AU8" s="4">
        <v>70.819481249999995</v>
      </c>
      <c r="AV8" s="4">
        <v>73.369137499999994</v>
      </c>
      <c r="AW8" s="4">
        <v>38.613131250000002</v>
      </c>
      <c r="AX8" s="4">
        <v>48.167159374999997</v>
      </c>
      <c r="AY8" s="4">
        <v>48.013071875000001</v>
      </c>
      <c r="AZ8" s="4">
        <v>2939.77</v>
      </c>
      <c r="BA8" s="4">
        <v>3409.46</v>
      </c>
      <c r="BB8" s="4">
        <v>17.834</v>
      </c>
      <c r="BC8" s="4">
        <v>16.931999999999999</v>
      </c>
      <c r="BE8" s="33">
        <f t="shared" si="14"/>
        <v>0</v>
      </c>
      <c r="BF8" s="33">
        <f t="shared" si="15"/>
        <v>6.1266459641107218E-6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ht="15" outlineLevel="1" thickBot="1" x14ac:dyDescent="0.35">
      <c r="A9" s="15"/>
      <c r="B9" s="35" t="s">
        <v>264</v>
      </c>
      <c r="C9" s="36" t="s">
        <v>270</v>
      </c>
      <c r="D9" s="35">
        <v>238146391</v>
      </c>
      <c r="E9" s="36">
        <v>10</v>
      </c>
      <c r="F9" s="36">
        <v>300</v>
      </c>
      <c r="G9" s="36">
        <v>30</v>
      </c>
      <c r="I9" s="37">
        <f t="shared" si="0"/>
        <v>0.80081360000000001</v>
      </c>
      <c r="J9" s="38">
        <f t="shared" si="1"/>
        <v>3.3626946712788944E-2</v>
      </c>
      <c r="K9" s="38">
        <f t="shared" si="2"/>
        <v>1.58074534919154E-2</v>
      </c>
      <c r="L9" s="38">
        <f t="shared" si="3"/>
        <v>1.1993732040222268E-2</v>
      </c>
      <c r="M9" s="38">
        <f t="shared" si="4"/>
        <v>1.7819493220873544E-2</v>
      </c>
      <c r="N9" s="35">
        <f t="shared" si="5"/>
        <v>3764488</v>
      </c>
      <c r="O9" s="38">
        <f t="shared" si="6"/>
        <v>0.31999590821372154</v>
      </c>
      <c r="P9" s="4">
        <v>25025745</v>
      </c>
      <c r="Q9" s="4">
        <v>782054.53125</v>
      </c>
      <c r="R9" s="4">
        <v>10595.8125</v>
      </c>
      <c r="S9" s="4">
        <v>8008136</v>
      </c>
      <c r="T9" s="4">
        <v>2856264</v>
      </c>
      <c r="U9" s="4">
        <v>908224</v>
      </c>
      <c r="V9" s="4">
        <v>4243648</v>
      </c>
      <c r="W9" s="4">
        <v>72.017856249999994</v>
      </c>
      <c r="X9" s="4">
        <v>75.226809375000002</v>
      </c>
      <c r="Y9" s="4">
        <v>41.126915625000002</v>
      </c>
      <c r="Z9" s="4">
        <v>49.590334374999998</v>
      </c>
      <c r="AA9" s="4">
        <v>49.667465624999998</v>
      </c>
      <c r="AB9" s="4">
        <v>2376.23</v>
      </c>
      <c r="AC9" s="4">
        <v>3852.21</v>
      </c>
      <c r="AD9" s="4">
        <v>5.4509999999999996</v>
      </c>
      <c r="AE9" s="4">
        <v>19.434000000000001</v>
      </c>
      <c r="AG9" s="37">
        <f t="shared" si="7"/>
        <v>0.80081919999999995</v>
      </c>
      <c r="AH9" s="38">
        <f t="shared" si="8"/>
        <v>3.3627181862268908E-2</v>
      </c>
      <c r="AI9" s="38">
        <f t="shared" si="9"/>
        <v>1.5807688641395368E-2</v>
      </c>
      <c r="AJ9" s="38">
        <f t="shared" si="10"/>
        <v>1.1993732040222268E-2</v>
      </c>
      <c r="AK9" s="38">
        <f t="shared" si="11"/>
        <v>1.7819493220873544E-2</v>
      </c>
      <c r="AL9" s="35">
        <f t="shared" si="12"/>
        <v>3764544</v>
      </c>
      <c r="AM9" s="38">
        <f t="shared" si="13"/>
        <v>0.31999814590934256</v>
      </c>
      <c r="AN9" s="4">
        <v>25025745</v>
      </c>
      <c r="AO9" s="4">
        <v>782054.53125</v>
      </c>
      <c r="AP9" s="4">
        <v>10595.8125</v>
      </c>
      <c r="AQ9" s="4">
        <v>8008192</v>
      </c>
      <c r="AR9" s="4">
        <v>2856264</v>
      </c>
      <c r="AS9" s="4">
        <v>908280</v>
      </c>
      <c r="AT9" s="4">
        <v>4243648</v>
      </c>
      <c r="AU9" s="4">
        <v>72.017856249999994</v>
      </c>
      <c r="AV9" s="4">
        <v>75.226809375000002</v>
      </c>
      <c r="AW9" s="4">
        <v>41.126915625000002</v>
      </c>
      <c r="AX9" s="4">
        <v>49.590334374999998</v>
      </c>
      <c r="AY9" s="4">
        <v>49.667465624999998</v>
      </c>
      <c r="AZ9" s="4">
        <v>3019.69</v>
      </c>
      <c r="BA9" s="4">
        <v>3840.32</v>
      </c>
      <c r="BB9" s="4">
        <v>50.848999999999997</v>
      </c>
      <c r="BC9" s="4">
        <v>19.126000000000001</v>
      </c>
      <c r="BE9" s="43">
        <f t="shared" si="14"/>
        <v>0</v>
      </c>
      <c r="BF9" s="43">
        <f t="shared" si="15"/>
        <v>3.7056249603817371E-6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273</v>
      </c>
      <c r="C10" s="26" t="s">
        <v>266</v>
      </c>
      <c r="D10" s="25">
        <v>218121242</v>
      </c>
      <c r="E10" s="26">
        <v>10</v>
      </c>
      <c r="F10" s="26">
        <v>300</v>
      </c>
      <c r="G10" s="26">
        <v>30</v>
      </c>
      <c r="I10" s="27">
        <f t="shared" si="0"/>
        <v>0.219692</v>
      </c>
      <c r="J10" s="28">
        <f t="shared" si="1"/>
        <v>1.0072013068768424E-2</v>
      </c>
      <c r="K10" s="28">
        <f t="shared" si="2"/>
        <v>7.4085035697715306E-3</v>
      </c>
      <c r="L10" s="28">
        <f t="shared" si="3"/>
        <v>4.0634648504339621E-3</v>
      </c>
      <c r="M10" s="28">
        <f t="shared" si="4"/>
        <v>2.663509498996893E-3</v>
      </c>
      <c r="N10" s="25">
        <f t="shared" si="5"/>
        <v>1615952</v>
      </c>
      <c r="O10" s="28">
        <f t="shared" si="6"/>
        <v>0.10526148849764345</v>
      </c>
      <c r="P10" s="4">
        <v>20871071</v>
      </c>
      <c r="Q10" s="4">
        <v>652220.96875</v>
      </c>
      <c r="R10" s="4">
        <v>19646.59375</v>
      </c>
      <c r="S10" s="4">
        <v>2196920</v>
      </c>
      <c r="T10" s="4">
        <v>886328</v>
      </c>
      <c r="U10" s="4">
        <v>729624</v>
      </c>
      <c r="V10" s="4">
        <v>580968</v>
      </c>
      <c r="W10" s="4">
        <v>65.967487500000004</v>
      </c>
      <c r="X10" s="4">
        <v>67.901171875000003</v>
      </c>
      <c r="Y10" s="4">
        <v>31.046787500000001</v>
      </c>
      <c r="Z10" s="4">
        <v>38.578196875000003</v>
      </c>
      <c r="AA10" s="4">
        <v>30.0956625</v>
      </c>
      <c r="AB10" s="4">
        <v>2168.5300000000002</v>
      </c>
      <c r="AC10" s="4">
        <v>3740.93</v>
      </c>
      <c r="AD10" s="4">
        <v>5.3289999999999997</v>
      </c>
      <c r="AE10" s="4">
        <v>21.120999999999999</v>
      </c>
      <c r="AG10" s="27">
        <f t="shared" si="7"/>
        <v>0.21969759999999999</v>
      </c>
      <c r="AH10" s="28">
        <f t="shared" si="8"/>
        <v>1.0072269806716027E-2</v>
      </c>
      <c r="AI10" s="28">
        <f t="shared" si="9"/>
        <v>7.4087603077191352E-3</v>
      </c>
      <c r="AJ10" s="28">
        <f t="shared" si="10"/>
        <v>4.0634648504339621E-3</v>
      </c>
      <c r="AK10" s="28">
        <f t="shared" si="11"/>
        <v>2.663509498996893E-3</v>
      </c>
      <c r="AL10" s="25">
        <f t="shared" si="12"/>
        <v>1616008</v>
      </c>
      <c r="AM10" s="28">
        <f t="shared" si="13"/>
        <v>0.10526417163738268</v>
      </c>
      <c r="AN10" s="4">
        <v>20871071</v>
      </c>
      <c r="AO10" s="4">
        <v>652220.96875</v>
      </c>
      <c r="AP10" s="4">
        <v>19646.59375</v>
      </c>
      <c r="AQ10" s="4">
        <v>2196976</v>
      </c>
      <c r="AR10" s="4">
        <v>886328</v>
      </c>
      <c r="AS10" s="4">
        <v>729680</v>
      </c>
      <c r="AT10" s="4">
        <v>580968</v>
      </c>
      <c r="AU10" s="4">
        <v>65.967487500000004</v>
      </c>
      <c r="AV10" s="4">
        <v>67.901171875000003</v>
      </c>
      <c r="AW10" s="4">
        <v>31.099206250000002</v>
      </c>
      <c r="AX10" s="4">
        <v>38.628950000000003</v>
      </c>
      <c r="AY10" s="4">
        <v>30.117984374999999</v>
      </c>
      <c r="AZ10" s="4">
        <v>2761.11</v>
      </c>
      <c r="BA10" s="4">
        <v>3719.82</v>
      </c>
      <c r="BB10" s="4">
        <v>16.638999999999999</v>
      </c>
      <c r="BC10" s="4">
        <v>18.588000000000001</v>
      </c>
      <c r="BE10" s="33">
        <f t="shared" si="14"/>
        <v>0</v>
      </c>
      <c r="BF10" s="33">
        <f t="shared" si="15"/>
        <v>6.7406330228614308E-6</v>
      </c>
      <c r="BG10" s="33">
        <f t="array" ref="BG10">AVERAGE(AL10:AL14/AQ10:AQ14) - AVERAGE(N10:N14/S10:S14)</f>
        <v>5.0604085312100366E-6</v>
      </c>
      <c r="BI10" s="34">
        <f>IF( OR(ISBLANK(N10:N14),ISBLANK(AL10:AL14), ISBLANK(W10:W14),ISBLANK(AU10:AU14)), "·", bdRateExtend( N10:N14,W10:W14, AL10:AL14,AU10:AU14))</f>
        <v>2.4137989827366368E-5</v>
      </c>
      <c r="BJ10" s="34">
        <f>IF( OR(ISBLANK(N10:N14),ISBLANK(AL10:AL14), ISBLANK(X10:X14),ISBLANK(AV10:AV14)), "·", bdRateExtend( N10:N14,X10:X14, AL10:AL14,AV10:AV14))</f>
        <v>2.2489782791845769E-5</v>
      </c>
      <c r="BK10" s="34">
        <f>IF( OR(ISBLANK(V10:V14),ISBLANK(AT10:AT14), ISBLANK(Y10:Y14),ISBLANK(AW10:AW14)), "·", bdRateExtend( V10:V14,Y10:Y14, AT10:AT14,AW10:AW14))</f>
        <v>6.1617186716687034E-3</v>
      </c>
      <c r="BL10" s="34">
        <f>IF( OR(ISBLANK(V10:V14),ISBLANK(AT10:AT14), ISBLANK(Z10:Z14),ISBLANK(AX10:AX14)), "·", bdRateExtend( V10:V14,Z10:Z14, AT10:AT14,AX10:AX14))</f>
        <v>-1.506863840883621E-2</v>
      </c>
      <c r="BM10" s="34">
        <f>IF( OR(ISBLANK(V10:V14),ISBLANK(AT10:AT14), ISBLANK(AA10:AA14),ISBLANK(AY10:AY14)), "·", bdRateExtend( V10:V14,AA10:AA14, AT10:AT14,AY10:AY14))</f>
        <v>6.7210944654163551E-3</v>
      </c>
      <c r="BO10" s="34">
        <f>IF( OR(ISBLANK(S10:S14),ISBLANK(AQ10:AQ14), ISBLANK(W10:W14),ISBLANK(AU10:AU14)), "·", bdRateExtend( S10:S14,W10:W14, AQ10:AQ14,AU10:AU14))</f>
        <v>1.504077609770782E-5</v>
      </c>
      <c r="BP10" s="34">
        <f>IF( OR(ISBLANK(S10:S14),ISBLANK(AQ10:AQ14), ISBLANK(X10:X14),ISBLANK(AV10:AV14)), "·", bdRateExtend( S10:S14,X10:X14, AQ10:AQ14,AV10:AV14))</f>
        <v>1.3646446934467704E-5</v>
      </c>
      <c r="BQ10" s="34">
        <f>IF( OR(ISBLANK(S10:S14),ISBLANK(AQ10:AQ14), ISBLANK(Y10:Y14),ISBLANK(AW10:AW14)), "·", bdRateExtend( S10:S14,Y10:Y14, AQ10:AQ14,AW10:AW14))</f>
        <v>5.2994979062044312E-3</v>
      </c>
      <c r="BR10" s="34">
        <f>IF( OR(ISBLANK(S10:S14),ISBLANK(AQ10:AQ14), ISBLANK(Z10:Z14),ISBLANK(AX10:AX14)), "·", bdRateExtend( S10:S14,Z10:Z14, AQ10:AQ14,AX10:AX14))</f>
        <v>-9.5442404354980637E-3</v>
      </c>
      <c r="BS10" s="34">
        <f>IF( OR(ISBLANK(S10:S14),ISBLANK(AQ10:AQ14), ISBLANK(AA10:AA14),ISBLANK(AY10:AY14)), "·", bdRateExtend( S10:S14,AA10:AA14, AQ10:AQ14,AY10:AY14))</f>
        <v>5.2614377956987646E-3</v>
      </c>
    </row>
    <row r="11" spans="1:71" outlineLevel="1" x14ac:dyDescent="0.3">
      <c r="A11" s="15"/>
      <c r="B11" s="15" t="s">
        <v>273</v>
      </c>
      <c r="C11" s="16" t="s">
        <v>267</v>
      </c>
      <c r="D11" s="15">
        <v>218121242</v>
      </c>
      <c r="E11" s="16">
        <v>10</v>
      </c>
      <c r="F11" s="16">
        <v>300</v>
      </c>
      <c r="G11" s="16">
        <v>30</v>
      </c>
      <c r="I11" s="17">
        <f t="shared" si="0"/>
        <v>0.29803440000000003</v>
      </c>
      <c r="J11" s="18">
        <f t="shared" si="1"/>
        <v>1.3663703602054494E-2</v>
      </c>
      <c r="K11" s="18">
        <f t="shared" si="2"/>
        <v>8.970350535597995E-3</v>
      </c>
      <c r="L11" s="18">
        <f t="shared" si="3"/>
        <v>5.6253118162604265E-3</v>
      </c>
      <c r="M11" s="18">
        <f t="shared" si="4"/>
        <v>4.6933530664564982E-3</v>
      </c>
      <c r="N11" s="15">
        <f t="shared" si="5"/>
        <v>1956624</v>
      </c>
      <c r="O11" s="18">
        <f t="shared" si="6"/>
        <v>0.13317455515672344</v>
      </c>
      <c r="P11" s="4">
        <v>22379230</v>
      </c>
      <c r="Q11" s="4">
        <v>699350.9375</v>
      </c>
      <c r="R11" s="4">
        <v>24946.875</v>
      </c>
      <c r="S11" s="4">
        <v>2980344</v>
      </c>
      <c r="T11" s="4">
        <v>1227000</v>
      </c>
      <c r="U11" s="4">
        <v>729624</v>
      </c>
      <c r="V11" s="4">
        <v>1023720</v>
      </c>
      <c r="W11" s="4">
        <v>67.695115625</v>
      </c>
      <c r="X11" s="4">
        <v>69.805903125</v>
      </c>
      <c r="Y11" s="4">
        <v>32.912581250000002</v>
      </c>
      <c r="Z11" s="4">
        <v>39.662624999999998</v>
      </c>
      <c r="AA11" s="4">
        <v>32.294812499999999</v>
      </c>
      <c r="AB11" s="4">
        <v>2204.54</v>
      </c>
      <c r="AC11" s="4">
        <v>4017.11</v>
      </c>
      <c r="AD11" s="4">
        <v>5.4</v>
      </c>
      <c r="AE11" s="4">
        <v>20.356999999999999</v>
      </c>
      <c r="AG11" s="17">
        <f t="shared" si="7"/>
        <v>0.29804000000000003</v>
      </c>
      <c r="AH11" s="18">
        <f t="shared" si="8"/>
        <v>1.3663960340002099E-2</v>
      </c>
      <c r="AI11" s="18">
        <f t="shared" si="9"/>
        <v>8.9706072735455996E-3</v>
      </c>
      <c r="AJ11" s="18">
        <f t="shared" si="10"/>
        <v>5.6253118162604265E-3</v>
      </c>
      <c r="AK11" s="18">
        <f t="shared" si="11"/>
        <v>4.6933530664564982E-3</v>
      </c>
      <c r="AL11" s="15">
        <f t="shared" si="12"/>
        <v>1956680</v>
      </c>
      <c r="AM11" s="18">
        <f t="shared" si="13"/>
        <v>0.13317705747695519</v>
      </c>
      <c r="AN11" s="4">
        <v>22379230</v>
      </c>
      <c r="AO11" s="4">
        <v>699350.9375</v>
      </c>
      <c r="AP11" s="4">
        <v>24946.875</v>
      </c>
      <c r="AQ11" s="4">
        <v>2980400</v>
      </c>
      <c r="AR11" s="4">
        <v>1227000</v>
      </c>
      <c r="AS11" s="4">
        <v>729680</v>
      </c>
      <c r="AT11" s="4">
        <v>1023720</v>
      </c>
      <c r="AU11" s="4">
        <v>67.695115625</v>
      </c>
      <c r="AV11" s="4">
        <v>69.805903125</v>
      </c>
      <c r="AW11" s="4">
        <v>32.938256250000002</v>
      </c>
      <c r="AX11" s="4">
        <v>39.702853124999997</v>
      </c>
      <c r="AY11" s="4">
        <v>32.300731249999998</v>
      </c>
      <c r="AZ11" s="4">
        <v>2705.17</v>
      </c>
      <c r="BA11" s="4">
        <v>3989.32</v>
      </c>
      <c r="BB11" s="4">
        <v>17.847000000000001</v>
      </c>
      <c r="BC11" s="4">
        <v>19.888999999999999</v>
      </c>
      <c r="BE11" s="23">
        <f t="shared" si="14"/>
        <v>0</v>
      </c>
      <c r="BF11" s="23">
        <f t="shared" si="15"/>
        <v>6.4539896674764563E-6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273</v>
      </c>
      <c r="C12" s="26" t="s">
        <v>268</v>
      </c>
      <c r="D12" s="25">
        <v>218121242</v>
      </c>
      <c r="E12" s="26">
        <v>10</v>
      </c>
      <c r="F12" s="26">
        <v>300</v>
      </c>
      <c r="G12" s="26">
        <v>30</v>
      </c>
      <c r="I12" s="27">
        <f t="shared" si="0"/>
        <v>0.42198559999999996</v>
      </c>
      <c r="J12" s="28">
        <f t="shared" si="1"/>
        <v>1.9346378011179673E-2</v>
      </c>
      <c r="K12" s="28">
        <f t="shared" si="2"/>
        <v>1.1248423021541387E-2</v>
      </c>
      <c r="L12" s="28">
        <f t="shared" si="3"/>
        <v>7.9033843022038169E-3</v>
      </c>
      <c r="M12" s="28">
        <f t="shared" si="4"/>
        <v>8.0979549896382855E-3</v>
      </c>
      <c r="N12" s="25">
        <f t="shared" si="5"/>
        <v>2453520</v>
      </c>
      <c r="O12" s="28">
        <f t="shared" si="6"/>
        <v>0.18575834602872079</v>
      </c>
      <c r="P12" s="4">
        <v>22716912</v>
      </c>
      <c r="Q12" s="4">
        <v>709903.5</v>
      </c>
      <c r="R12" s="4">
        <v>26447.25</v>
      </c>
      <c r="S12" s="4">
        <v>4219856</v>
      </c>
      <c r="T12" s="4">
        <v>1723896</v>
      </c>
      <c r="U12" s="4">
        <v>729624</v>
      </c>
      <c r="V12" s="4">
        <v>1766336</v>
      </c>
      <c r="W12" s="4">
        <v>69.043271875000002</v>
      </c>
      <c r="X12" s="4">
        <v>71.43065</v>
      </c>
      <c r="Y12" s="4">
        <v>34.941534375000003</v>
      </c>
      <c r="Z12" s="4">
        <v>40.644865625000001</v>
      </c>
      <c r="AA12" s="4">
        <v>34.219406249999999</v>
      </c>
      <c r="AB12" s="4">
        <v>2188.9899999999998</v>
      </c>
      <c r="AC12" s="4">
        <v>4276.22</v>
      </c>
      <c r="AD12" s="4">
        <v>5.3819999999999997</v>
      </c>
      <c r="AE12" s="4">
        <v>20.96</v>
      </c>
      <c r="AG12" s="27">
        <f t="shared" si="7"/>
        <v>0.42199120000000001</v>
      </c>
      <c r="AH12" s="28">
        <f t="shared" si="8"/>
        <v>1.9346634749127276E-2</v>
      </c>
      <c r="AI12" s="28">
        <f t="shared" si="9"/>
        <v>1.1248679759488992E-2</v>
      </c>
      <c r="AJ12" s="28">
        <f t="shared" si="10"/>
        <v>7.9033843022038169E-3</v>
      </c>
      <c r="AK12" s="28">
        <f t="shared" si="11"/>
        <v>8.0979549896382855E-3</v>
      </c>
      <c r="AL12" s="25">
        <f t="shared" si="12"/>
        <v>2453576</v>
      </c>
      <c r="AM12" s="28">
        <f t="shared" si="13"/>
        <v>0.1857608111525017</v>
      </c>
      <c r="AN12" s="4">
        <v>22716912</v>
      </c>
      <c r="AO12" s="4">
        <v>709903.5</v>
      </c>
      <c r="AP12" s="4">
        <v>26447.25</v>
      </c>
      <c r="AQ12" s="4">
        <v>4219912</v>
      </c>
      <c r="AR12" s="4">
        <v>1723896</v>
      </c>
      <c r="AS12" s="4">
        <v>729680</v>
      </c>
      <c r="AT12" s="4">
        <v>1766336</v>
      </c>
      <c r="AU12" s="4">
        <v>69.043271875000002</v>
      </c>
      <c r="AV12" s="4">
        <v>71.43065</v>
      </c>
      <c r="AW12" s="4">
        <v>34.9264875</v>
      </c>
      <c r="AX12" s="4">
        <v>40.672971875000002</v>
      </c>
      <c r="AY12" s="4">
        <v>34.201696875000003</v>
      </c>
      <c r="AZ12" s="4">
        <v>2859.32</v>
      </c>
      <c r="BA12" s="4">
        <v>4246.74</v>
      </c>
      <c r="BB12" s="4">
        <v>17.670999999999999</v>
      </c>
      <c r="BC12" s="4">
        <v>20.414999999999999</v>
      </c>
      <c r="BE12" s="33">
        <f t="shared" si="14"/>
        <v>0</v>
      </c>
      <c r="BF12" s="33">
        <f t="shared" si="15"/>
        <v>5.5546963342312239E-6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273</v>
      </c>
      <c r="C13" s="16" t="s">
        <v>269</v>
      </c>
      <c r="D13" s="15">
        <v>218121242</v>
      </c>
      <c r="E13" s="16">
        <v>10</v>
      </c>
      <c r="F13" s="16">
        <v>300</v>
      </c>
      <c r="G13" s="16">
        <v>30</v>
      </c>
      <c r="I13" s="17">
        <f t="shared" si="0"/>
        <v>0.68882559999999993</v>
      </c>
      <c r="J13" s="18">
        <f t="shared" si="1"/>
        <v>3.1579941214528756E-2</v>
      </c>
      <c r="K13" s="18">
        <f t="shared" si="2"/>
        <v>1.5422321866294893E-2</v>
      </c>
      <c r="L13" s="18">
        <f t="shared" si="3"/>
        <v>1.2077283146957324E-2</v>
      </c>
      <c r="M13" s="18">
        <f t="shared" si="4"/>
        <v>1.615761934823386E-2</v>
      </c>
      <c r="N13" s="15">
        <f t="shared" si="5"/>
        <v>3363936</v>
      </c>
      <c r="O13" s="18">
        <f t="shared" si="6"/>
        <v>0.29145765469762941</v>
      </c>
      <c r="P13" s="4">
        <v>23633814</v>
      </c>
      <c r="Q13" s="4">
        <v>738556.6875</v>
      </c>
      <c r="R13" s="4">
        <v>30449.4375</v>
      </c>
      <c r="S13" s="4">
        <v>6888256</v>
      </c>
      <c r="T13" s="4">
        <v>2634312</v>
      </c>
      <c r="U13" s="4">
        <v>729624</v>
      </c>
      <c r="V13" s="4">
        <v>3524320</v>
      </c>
      <c r="W13" s="4">
        <v>70.084293750000001</v>
      </c>
      <c r="X13" s="4">
        <v>72.629971874999995</v>
      </c>
      <c r="Y13" s="4">
        <v>37.144231249999997</v>
      </c>
      <c r="Z13" s="4">
        <v>41.726453124999999</v>
      </c>
      <c r="AA13" s="4">
        <v>36.230278124999998</v>
      </c>
      <c r="AB13" s="4">
        <v>2262.2199999999998</v>
      </c>
      <c r="AC13" s="4">
        <v>4573.83</v>
      </c>
      <c r="AD13" s="4">
        <v>5.5739999999999998</v>
      </c>
      <c r="AE13" s="4">
        <v>21.309000000000001</v>
      </c>
      <c r="AG13" s="17">
        <f t="shared" si="7"/>
        <v>0.68883119999999998</v>
      </c>
      <c r="AH13" s="18">
        <f t="shared" si="8"/>
        <v>3.1580197952476359E-2</v>
      </c>
      <c r="AI13" s="18">
        <f t="shared" si="9"/>
        <v>1.5422578604242497E-2</v>
      </c>
      <c r="AJ13" s="18">
        <f t="shared" si="10"/>
        <v>1.2077283146957324E-2</v>
      </c>
      <c r="AK13" s="18">
        <f t="shared" si="11"/>
        <v>1.615761934823386E-2</v>
      </c>
      <c r="AL13" s="15">
        <f t="shared" si="12"/>
        <v>3363992</v>
      </c>
      <c r="AM13" s="18">
        <f t="shared" si="13"/>
        <v>0.2914600241839933</v>
      </c>
      <c r="AN13" s="4">
        <v>23633814</v>
      </c>
      <c r="AO13" s="4">
        <v>738556.6875</v>
      </c>
      <c r="AP13" s="4">
        <v>30449.4375</v>
      </c>
      <c r="AQ13" s="4">
        <v>6888312</v>
      </c>
      <c r="AR13" s="4">
        <v>2634312</v>
      </c>
      <c r="AS13" s="4">
        <v>729680</v>
      </c>
      <c r="AT13" s="4">
        <v>3524320</v>
      </c>
      <c r="AU13" s="4">
        <v>70.084293750000001</v>
      </c>
      <c r="AV13" s="4">
        <v>72.629971874999995</v>
      </c>
      <c r="AW13" s="4">
        <v>37.067703125000001</v>
      </c>
      <c r="AX13" s="4">
        <v>41.742990624999997</v>
      </c>
      <c r="AY13" s="4">
        <v>36.171109375</v>
      </c>
      <c r="AZ13" s="4">
        <v>2832.27</v>
      </c>
      <c r="BA13" s="4">
        <v>4553.01</v>
      </c>
      <c r="BB13" s="4">
        <v>17.956</v>
      </c>
      <c r="BC13" s="4">
        <v>20.547999999999998</v>
      </c>
      <c r="BE13" s="23">
        <f t="shared" si="14"/>
        <v>0</v>
      </c>
      <c r="BF13" s="23">
        <f t="shared" si="15"/>
        <v>4.1595013770545641E-6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ht="15" outlineLevel="1" thickBot="1" x14ac:dyDescent="0.35">
      <c r="A14" s="25"/>
      <c r="B14" s="45" t="s">
        <v>273</v>
      </c>
      <c r="C14" s="46" t="s">
        <v>270</v>
      </c>
      <c r="D14" s="45">
        <v>218121242</v>
      </c>
      <c r="E14" s="46">
        <v>10</v>
      </c>
      <c r="F14" s="46">
        <v>300</v>
      </c>
      <c r="G14" s="46">
        <v>30</v>
      </c>
      <c r="I14" s="47">
        <f t="shared" si="0"/>
        <v>1.3969240000000001</v>
      </c>
      <c r="J14" s="48">
        <f t="shared" si="1"/>
        <v>6.4043464414162837E-2</v>
      </c>
      <c r="K14" s="48">
        <f t="shared" si="2"/>
        <v>2.5809939226368424E-2</v>
      </c>
      <c r="L14" s="48">
        <f t="shared" si="3"/>
        <v>1.9354006795908488E-2</v>
      </c>
      <c r="M14" s="48">
        <f t="shared" si="4"/>
        <v>3.8233525187794409E-2</v>
      </c>
      <c r="N14" s="45">
        <f t="shared" si="5"/>
        <v>5629696</v>
      </c>
      <c r="O14" s="48">
        <f t="shared" si="6"/>
        <v>0.62344810103532822</v>
      </c>
      <c r="P14" s="4">
        <v>22406420</v>
      </c>
      <c r="Q14" s="4">
        <v>700200.625</v>
      </c>
      <c r="R14" s="4">
        <v>13996.25</v>
      </c>
      <c r="S14" s="4">
        <v>13969240</v>
      </c>
      <c r="T14" s="4">
        <v>4221520</v>
      </c>
      <c r="U14" s="4">
        <v>1408176</v>
      </c>
      <c r="V14" s="4">
        <v>8339544</v>
      </c>
      <c r="W14" s="4">
        <v>71.105081249999998</v>
      </c>
      <c r="X14" s="4">
        <v>74.689218749999995</v>
      </c>
      <c r="Y14" s="4">
        <v>39.593449999999997</v>
      </c>
      <c r="Z14" s="4">
        <v>43.007031249999997</v>
      </c>
      <c r="AA14" s="4">
        <v>38.462375000000002</v>
      </c>
      <c r="AB14" s="4">
        <v>2219.42</v>
      </c>
      <c r="AC14" s="4">
        <v>5099.07</v>
      </c>
      <c r="AD14" s="4">
        <v>5.4359999999999999</v>
      </c>
      <c r="AE14" s="4">
        <v>22.588999999999999</v>
      </c>
      <c r="AG14" s="47">
        <f t="shared" si="7"/>
        <v>1.3969296</v>
      </c>
      <c r="AH14" s="48">
        <f t="shared" si="8"/>
        <v>6.4043721152110433E-2</v>
      </c>
      <c r="AI14" s="48">
        <f t="shared" si="9"/>
        <v>2.5810195964316031E-2</v>
      </c>
      <c r="AJ14" s="48">
        <f t="shared" si="10"/>
        <v>1.9354006795908488E-2</v>
      </c>
      <c r="AK14" s="48">
        <f t="shared" si="11"/>
        <v>3.8233525187794409E-2</v>
      </c>
      <c r="AL14" s="45">
        <f t="shared" si="12"/>
        <v>5629752</v>
      </c>
      <c r="AM14" s="48">
        <f t="shared" si="13"/>
        <v>0.62345060031901567</v>
      </c>
      <c r="AN14" s="4">
        <v>22406420</v>
      </c>
      <c r="AO14" s="4">
        <v>700200.625</v>
      </c>
      <c r="AP14" s="4">
        <v>13996.25</v>
      </c>
      <c r="AQ14" s="4">
        <v>13969296</v>
      </c>
      <c r="AR14" s="4">
        <v>4221520</v>
      </c>
      <c r="AS14" s="4">
        <v>1408232</v>
      </c>
      <c r="AT14" s="4">
        <v>8339544</v>
      </c>
      <c r="AU14" s="4">
        <v>71.105081249999998</v>
      </c>
      <c r="AV14" s="4">
        <v>74.689218749999995</v>
      </c>
      <c r="AW14" s="4">
        <v>39.593449999999997</v>
      </c>
      <c r="AX14" s="4">
        <v>43.007031249999997</v>
      </c>
      <c r="AY14" s="4">
        <v>38.462375000000002</v>
      </c>
      <c r="AZ14" s="4">
        <v>2866.96</v>
      </c>
      <c r="BA14" s="4">
        <v>5070.17</v>
      </c>
      <c r="BB14" s="4">
        <v>57.779000000000003</v>
      </c>
      <c r="BC14" s="4">
        <v>20.638999999999999</v>
      </c>
      <c r="BE14" s="53">
        <f t="shared" si="14"/>
        <v>0</v>
      </c>
      <c r="BF14" s="53">
        <f t="shared" si="15"/>
        <v>2.3932222545375303E-6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276</v>
      </c>
      <c r="C15" s="16" t="s">
        <v>266</v>
      </c>
      <c r="D15" s="15">
        <v>322589704</v>
      </c>
      <c r="E15" s="16">
        <v>10</v>
      </c>
      <c r="F15" s="16">
        <v>300</v>
      </c>
      <c r="G15" s="16">
        <v>30</v>
      </c>
      <c r="I15" s="17">
        <f t="shared" si="0"/>
        <v>0.2033672</v>
      </c>
      <c r="J15" s="18">
        <f t="shared" si="1"/>
        <v>6.3042061627608548E-3</v>
      </c>
      <c r="K15" s="18">
        <f t="shared" si="2"/>
        <v>5.1928005736971688E-3</v>
      </c>
      <c r="L15" s="18">
        <f t="shared" si="3"/>
        <v>2.7158213332189921E-3</v>
      </c>
      <c r="M15" s="18">
        <f t="shared" si="4"/>
        <v>1.1114055890636856E-3</v>
      </c>
      <c r="N15" s="15">
        <f t="shared" si="5"/>
        <v>1675144</v>
      </c>
      <c r="O15" s="18">
        <f t="shared" si="6"/>
        <v>6.2366019082970459E-2</v>
      </c>
      <c r="P15" s="4">
        <v>32608655</v>
      </c>
      <c r="Q15" s="4">
        <v>1019020.46875</v>
      </c>
      <c r="R15" s="4">
        <v>35305.65625</v>
      </c>
      <c r="S15" s="4">
        <v>2033672</v>
      </c>
      <c r="T15" s="4">
        <v>876096</v>
      </c>
      <c r="U15" s="4">
        <v>799048</v>
      </c>
      <c r="V15" s="4">
        <v>358528</v>
      </c>
      <c r="W15" s="4">
        <v>66.358962500000004</v>
      </c>
      <c r="X15" s="4">
        <v>67.925775000000002</v>
      </c>
      <c r="Y15" s="4">
        <v>29.325500000000002</v>
      </c>
      <c r="Z15" s="4">
        <v>43.190159375</v>
      </c>
      <c r="AA15" s="4">
        <v>43.560009375</v>
      </c>
      <c r="AB15" s="4">
        <v>3357.37</v>
      </c>
      <c r="AC15" s="4">
        <v>3600.52</v>
      </c>
      <c r="AD15" s="4">
        <v>7.5819999999999999</v>
      </c>
      <c r="AE15" s="4">
        <v>22.102</v>
      </c>
      <c r="AG15" s="17">
        <f t="shared" si="7"/>
        <v>0.20337279999999999</v>
      </c>
      <c r="AH15" s="18">
        <f t="shared" si="8"/>
        <v>6.3043797578858874E-3</v>
      </c>
      <c r="AI15" s="18">
        <f t="shared" si="9"/>
        <v>5.1929741688222014E-3</v>
      </c>
      <c r="AJ15" s="18">
        <f t="shared" si="10"/>
        <v>2.7158213332189921E-3</v>
      </c>
      <c r="AK15" s="18">
        <f t="shared" si="11"/>
        <v>1.1114055890636856E-3</v>
      </c>
      <c r="AL15" s="15">
        <f t="shared" si="12"/>
        <v>1675200</v>
      </c>
      <c r="AM15" s="18">
        <f t="shared" si="13"/>
        <v>6.2367736418444737E-2</v>
      </c>
      <c r="AN15" s="4">
        <v>32608655</v>
      </c>
      <c r="AO15" s="4">
        <v>1019020.46875</v>
      </c>
      <c r="AP15" s="4">
        <v>35305.65625</v>
      </c>
      <c r="AQ15" s="4">
        <v>2033728</v>
      </c>
      <c r="AR15" s="4">
        <v>876096</v>
      </c>
      <c r="AS15" s="4">
        <v>799104</v>
      </c>
      <c r="AT15" s="4">
        <v>358528</v>
      </c>
      <c r="AU15" s="4">
        <v>66.358962500000004</v>
      </c>
      <c r="AV15" s="4">
        <v>67.925775000000002</v>
      </c>
      <c r="AW15" s="4">
        <v>29.348140624999999</v>
      </c>
      <c r="AX15" s="4">
        <v>43.227056249999997</v>
      </c>
      <c r="AY15" s="4">
        <v>43.600996875</v>
      </c>
      <c r="AZ15" s="4">
        <v>3942.68</v>
      </c>
      <c r="BA15" s="4">
        <v>3588.68</v>
      </c>
      <c r="BB15" s="4">
        <v>22.361999999999998</v>
      </c>
      <c r="BC15" s="4">
        <v>21.823</v>
      </c>
      <c r="BE15" s="23">
        <f t="shared" si="14"/>
        <v>0</v>
      </c>
      <c r="BF15" s="23">
        <f t="shared" si="15"/>
        <v>4.8544197754907259E-6</v>
      </c>
      <c r="BG15" s="23">
        <f t="array" ref="BG15">AVERAGE(AL15:AL19/AQ15:AQ19) - AVERAGE(N15:N19/S15:S19)</f>
        <v>4.5132892536603464E-6</v>
      </c>
      <c r="BI15" s="24">
        <f>IF( OR(ISBLANK(N15:N19),ISBLANK(AL15:AL19), ISBLANK(W15:W19),ISBLANK(AU15:AU19)), "·", bdRateExtend( N15:N19,W15:W19, AL15:AL19,AU15:AU19))</f>
        <v>2.4667117167531671E-5</v>
      </c>
      <c r="BJ15" s="24">
        <f>IF( OR(ISBLANK(N15:N19),ISBLANK(AL15:AL19), ISBLANK(X15:X19),ISBLANK(AV15:AV19)), "·", bdRateExtend( N15:N19,X15:X19, AL15:AL19,AV15:AV19))</f>
        <v>2.3462347656710847E-5</v>
      </c>
      <c r="BK15" s="24">
        <f>IF( OR(ISBLANK(V15:V19),ISBLANK(AT15:AT19), ISBLANK(Y15:Y19),ISBLANK(AW15:AW19)), "·", bdRateExtend( V15:V19,Y15:Y19, AT15:AT19,AW15:AW19))</f>
        <v>3.1233939444786252E-2</v>
      </c>
      <c r="BL15" s="24">
        <f>IF( OR(ISBLANK(V15:V19),ISBLANK(AT15:AT19), ISBLANK(Z15:Z19),ISBLANK(AX15:AX19)), "·", bdRateExtend( V15:V19,Z15:Z19, AT15:AT19,AX15:AX19))</f>
        <v>-1.5990980234799834E-2</v>
      </c>
      <c r="BM15" s="24">
        <f>IF( OR(ISBLANK(V15:V19),ISBLANK(AT15:AT19), ISBLANK(AA15:AA19),ISBLANK(AY15:AY19)), "·", bdRateExtend( V15:V19,AA15:AA19, AT15:AT19,AY15:AY19))</f>
        <v>-1.7049515838969298E-2</v>
      </c>
      <c r="BO15" s="24">
        <f>IF( OR(ISBLANK(S15:S19),ISBLANK(AQ15:AQ19), ISBLANK(W15:W19),ISBLANK(AU15:AU19)), "·", bdRateExtend( S15:S19,W15:W19, AQ15:AQ19,AU15:AU19))</f>
        <v>1.6974853871642992E-5</v>
      </c>
      <c r="BP15" s="24">
        <f>IF( OR(ISBLANK(S15:S19),ISBLANK(AQ15:AQ19), ISBLANK(X15:X19),ISBLANK(AV15:AV19)), "·", bdRateExtend( S15:S19,X15:X19, AQ15:AQ19,AV15:AV19))</f>
        <v>1.5773331811352875E-5</v>
      </c>
      <c r="BQ15" s="24">
        <f>IF( OR(ISBLANK(S15:S19),ISBLANK(AQ15:AQ19), ISBLANK(Y15:Y19),ISBLANK(AW15:AW19)), "·", bdRateExtend( S15:S19,Y15:Y19, AQ15:AQ19,AW15:AW19))</f>
        <v>2.1061641730013125E-2</v>
      </c>
      <c r="BR15" s="24">
        <f>IF( OR(ISBLANK(S15:S19),ISBLANK(AQ15:AQ19), ISBLANK(Z15:Z19),ISBLANK(AX15:AX19)), "·", bdRateExtend( S15:S19,Z15:Z19, AQ15:AQ19,AX15:AX19))</f>
        <v>-9.0396995022479221E-3</v>
      </c>
      <c r="BS15" s="24">
        <f>IF( OR(ISBLANK(S15:S19),ISBLANK(AQ15:AQ19), ISBLANK(AA15:AA19),ISBLANK(AY15:AY19)), "·", bdRateExtend( S15:S19,AA15:AA19, AQ15:AQ19,AY15:AY19))</f>
        <v>-9.6641924609678354E-3</v>
      </c>
    </row>
    <row r="16" spans="1:71" outlineLevel="1" x14ac:dyDescent="0.3">
      <c r="A16" s="25"/>
      <c r="B16" s="25" t="s">
        <v>276</v>
      </c>
      <c r="C16" s="26" t="s">
        <v>267</v>
      </c>
      <c r="D16" s="25">
        <v>322589704</v>
      </c>
      <c r="E16" s="26">
        <v>10</v>
      </c>
      <c r="F16" s="26">
        <v>300</v>
      </c>
      <c r="G16" s="26">
        <v>30</v>
      </c>
      <c r="I16" s="27">
        <f t="shared" si="0"/>
        <v>0.26086560000000003</v>
      </c>
      <c r="J16" s="28">
        <f t="shared" si="1"/>
        <v>8.0866065086813814E-3</v>
      </c>
      <c r="K16" s="28">
        <f t="shared" si="2"/>
        <v>6.0574282928757082E-3</v>
      </c>
      <c r="L16" s="28">
        <f t="shared" si="3"/>
        <v>3.5804490523975311E-3</v>
      </c>
      <c r="M16" s="28">
        <f t="shared" si="4"/>
        <v>2.0291782158056723E-3</v>
      </c>
      <c r="N16" s="25">
        <f t="shared" si="5"/>
        <v>1954064</v>
      </c>
      <c r="O16" s="28">
        <f t="shared" si="6"/>
        <v>7.6489960842179613E-2</v>
      </c>
      <c r="P16" s="4">
        <v>34104554</v>
      </c>
      <c r="Q16" s="4">
        <v>1065767.3125</v>
      </c>
      <c r="R16" s="4">
        <v>40827.1875</v>
      </c>
      <c r="S16" s="4">
        <v>2608656</v>
      </c>
      <c r="T16" s="4">
        <v>1155016</v>
      </c>
      <c r="U16" s="4">
        <v>799048</v>
      </c>
      <c r="V16" s="4">
        <v>654592</v>
      </c>
      <c r="W16" s="4">
        <v>68.117984375000006</v>
      </c>
      <c r="X16" s="4">
        <v>70.124571875000001</v>
      </c>
      <c r="Y16" s="4">
        <v>31.713349999999998</v>
      </c>
      <c r="Z16" s="4">
        <v>44.064971874999998</v>
      </c>
      <c r="AA16" s="4">
        <v>44.458581250000002</v>
      </c>
      <c r="AB16" s="4">
        <v>3273.16</v>
      </c>
      <c r="AC16" s="4">
        <v>3824.78</v>
      </c>
      <c r="AD16" s="4">
        <v>8.0850000000000009</v>
      </c>
      <c r="AE16" s="4">
        <v>22.616</v>
      </c>
      <c r="AG16" s="27">
        <f t="shared" si="7"/>
        <v>0.26087120000000003</v>
      </c>
      <c r="AH16" s="28">
        <f t="shared" si="8"/>
        <v>8.0867801038064131E-3</v>
      </c>
      <c r="AI16" s="28">
        <f t="shared" si="9"/>
        <v>6.0576018880007408E-3</v>
      </c>
      <c r="AJ16" s="28">
        <f t="shared" si="10"/>
        <v>3.5804490523975311E-3</v>
      </c>
      <c r="AK16" s="28">
        <f t="shared" si="11"/>
        <v>2.0291782158056723E-3</v>
      </c>
      <c r="AL16" s="25">
        <f t="shared" si="12"/>
        <v>1954120</v>
      </c>
      <c r="AM16" s="28">
        <f t="shared" si="13"/>
        <v>7.6491602851630897E-2</v>
      </c>
      <c r="AN16" s="4">
        <v>34104554</v>
      </c>
      <c r="AO16" s="4">
        <v>1065767.3125</v>
      </c>
      <c r="AP16" s="4">
        <v>40827.1875</v>
      </c>
      <c r="AQ16" s="4">
        <v>2608712</v>
      </c>
      <c r="AR16" s="4">
        <v>1155016</v>
      </c>
      <c r="AS16" s="4">
        <v>799104</v>
      </c>
      <c r="AT16" s="4">
        <v>654592</v>
      </c>
      <c r="AU16" s="4">
        <v>68.117984375000006</v>
      </c>
      <c r="AV16" s="4">
        <v>70.124571875000001</v>
      </c>
      <c r="AW16" s="4">
        <v>31.697228124999999</v>
      </c>
      <c r="AX16" s="4">
        <v>44.095399999999998</v>
      </c>
      <c r="AY16" s="4">
        <v>44.491109375000001</v>
      </c>
      <c r="AZ16" s="4">
        <v>3971.11</v>
      </c>
      <c r="BA16" s="4">
        <v>3823.42</v>
      </c>
      <c r="BB16" s="4">
        <v>24.164000000000001</v>
      </c>
      <c r="BC16" s="4">
        <v>21.753</v>
      </c>
      <c r="BE16" s="33">
        <f t="shared" si="14"/>
        <v>0</v>
      </c>
      <c r="BF16" s="33">
        <f t="shared" si="15"/>
        <v>5.38661295645948E-6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276</v>
      </c>
      <c r="C17" s="16" t="s">
        <v>268</v>
      </c>
      <c r="D17" s="15">
        <v>322589704</v>
      </c>
      <c r="E17" s="16">
        <v>10</v>
      </c>
      <c r="F17" s="16">
        <v>300</v>
      </c>
      <c r="G17" s="16">
        <v>30</v>
      </c>
      <c r="I17" s="17">
        <f t="shared" si="0"/>
        <v>0.36370959999999997</v>
      </c>
      <c r="J17" s="18">
        <f t="shared" si="1"/>
        <v>1.127468097989885E-2</v>
      </c>
      <c r="K17" s="18">
        <f t="shared" si="2"/>
        <v>7.1000902124266187E-3</v>
      </c>
      <c r="L17" s="18">
        <f t="shared" si="3"/>
        <v>4.6231109719484416E-3</v>
      </c>
      <c r="M17" s="18">
        <f t="shared" si="4"/>
        <v>4.1745907674722313E-3</v>
      </c>
      <c r="N17" s="15">
        <f t="shared" si="5"/>
        <v>2290416</v>
      </c>
      <c r="O17" s="18">
        <f t="shared" si="6"/>
        <v>0.10622408830040746</v>
      </c>
      <c r="P17" s="4">
        <v>34239842</v>
      </c>
      <c r="Q17" s="4">
        <v>1069995.0625</v>
      </c>
      <c r="R17" s="4">
        <v>41855.28125</v>
      </c>
      <c r="S17" s="4">
        <v>3637096</v>
      </c>
      <c r="T17" s="4">
        <v>1491368</v>
      </c>
      <c r="U17" s="4">
        <v>799048</v>
      </c>
      <c r="V17" s="4">
        <v>1346680</v>
      </c>
      <c r="W17" s="4">
        <v>69.468381249999993</v>
      </c>
      <c r="X17" s="4">
        <v>71.904746875000001</v>
      </c>
      <c r="Y17" s="4">
        <v>34.160940625000002</v>
      </c>
      <c r="Z17" s="4">
        <v>45.226421875</v>
      </c>
      <c r="AA17" s="4">
        <v>45.680915624999997</v>
      </c>
      <c r="AB17" s="4">
        <v>3236.07</v>
      </c>
      <c r="AC17" s="4">
        <v>4071.02</v>
      </c>
      <c r="AD17" s="4">
        <v>7.78</v>
      </c>
      <c r="AE17" s="4">
        <v>23.088000000000001</v>
      </c>
      <c r="AG17" s="17">
        <f t="shared" si="7"/>
        <v>0.36371520000000002</v>
      </c>
      <c r="AH17" s="18">
        <f t="shared" si="8"/>
        <v>1.1274854575023882E-2</v>
      </c>
      <c r="AI17" s="18">
        <f t="shared" si="9"/>
        <v>7.1002638075516504E-3</v>
      </c>
      <c r="AJ17" s="18">
        <f t="shared" si="10"/>
        <v>4.6231109719484416E-3</v>
      </c>
      <c r="AK17" s="18">
        <f t="shared" si="11"/>
        <v>4.1745907674722313E-3</v>
      </c>
      <c r="AL17" s="15">
        <f t="shared" si="12"/>
        <v>2290472</v>
      </c>
      <c r="AM17" s="18">
        <f t="shared" si="13"/>
        <v>0.10622572382197325</v>
      </c>
      <c r="AN17" s="4">
        <v>34239842</v>
      </c>
      <c r="AO17" s="4">
        <v>1069995.0625</v>
      </c>
      <c r="AP17" s="4">
        <v>41855.28125</v>
      </c>
      <c r="AQ17" s="4">
        <v>3637152</v>
      </c>
      <c r="AR17" s="4">
        <v>1491368</v>
      </c>
      <c r="AS17" s="4">
        <v>799104</v>
      </c>
      <c r="AT17" s="4">
        <v>1346680</v>
      </c>
      <c r="AU17" s="4">
        <v>69.468381249999993</v>
      </c>
      <c r="AV17" s="4">
        <v>71.904746875000001</v>
      </c>
      <c r="AW17" s="4">
        <v>34.073784375000002</v>
      </c>
      <c r="AX17" s="4">
        <v>45.254465625000002</v>
      </c>
      <c r="AY17" s="4">
        <v>45.712306249999997</v>
      </c>
      <c r="AZ17" s="4">
        <v>4020.61</v>
      </c>
      <c r="BA17" s="4">
        <v>4055.33</v>
      </c>
      <c r="BB17" s="4">
        <v>23.181999999999999</v>
      </c>
      <c r="BC17" s="4">
        <v>21.68</v>
      </c>
      <c r="BE17" s="23">
        <f t="shared" si="14"/>
        <v>0</v>
      </c>
      <c r="BF17" s="23">
        <f t="shared" si="15"/>
        <v>5.7008054742402337E-6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276</v>
      </c>
      <c r="C18" s="26" t="s">
        <v>269</v>
      </c>
      <c r="D18" s="25">
        <v>322589704</v>
      </c>
      <c r="E18" s="26">
        <v>10</v>
      </c>
      <c r="F18" s="26">
        <v>300</v>
      </c>
      <c r="G18" s="26">
        <v>30</v>
      </c>
      <c r="I18" s="27">
        <f t="shared" si="0"/>
        <v>0.66091919999999993</v>
      </c>
      <c r="J18" s="28">
        <f t="shared" si="1"/>
        <v>2.0487919850039605E-2</v>
      </c>
      <c r="K18" s="28">
        <f t="shared" si="2"/>
        <v>1.0032979849846664E-2</v>
      </c>
      <c r="L18" s="28">
        <f t="shared" si="3"/>
        <v>7.5560006093684873E-3</v>
      </c>
      <c r="M18" s="28">
        <f t="shared" si="4"/>
        <v>1.0454940000192939E-2</v>
      </c>
      <c r="N18" s="25">
        <f t="shared" si="5"/>
        <v>3236536</v>
      </c>
      <c r="O18" s="28">
        <f t="shared" si="6"/>
        <v>0.18585967571873638</v>
      </c>
      <c r="P18" s="4">
        <v>35560118</v>
      </c>
      <c r="Q18" s="4">
        <v>1111253.6875</v>
      </c>
      <c r="R18" s="4">
        <v>47137.125</v>
      </c>
      <c r="S18" s="4">
        <v>6609192</v>
      </c>
      <c r="T18" s="4">
        <v>2437488</v>
      </c>
      <c r="U18" s="4">
        <v>799048</v>
      </c>
      <c r="V18" s="4">
        <v>3372656</v>
      </c>
      <c r="W18" s="4">
        <v>70.527187499999997</v>
      </c>
      <c r="X18" s="4">
        <v>73.167634375000006</v>
      </c>
      <c r="Y18" s="4">
        <v>36.506765625</v>
      </c>
      <c r="Z18" s="4">
        <v>46.557609374999998</v>
      </c>
      <c r="AA18" s="4">
        <v>47.076759375000002</v>
      </c>
      <c r="AB18" s="4">
        <v>3322.29</v>
      </c>
      <c r="AC18" s="4">
        <v>4482.71</v>
      </c>
      <c r="AD18" s="4">
        <v>8.1080000000000005</v>
      </c>
      <c r="AE18" s="4">
        <v>24.05</v>
      </c>
      <c r="AG18" s="27">
        <f t="shared" si="7"/>
        <v>0.66092480000000009</v>
      </c>
      <c r="AH18" s="28">
        <f t="shared" si="8"/>
        <v>2.0488093445164637E-2</v>
      </c>
      <c r="AI18" s="28">
        <f t="shared" si="9"/>
        <v>1.0033153444971696E-2</v>
      </c>
      <c r="AJ18" s="28">
        <f t="shared" si="10"/>
        <v>7.5560006093684873E-3</v>
      </c>
      <c r="AK18" s="28">
        <f t="shared" si="11"/>
        <v>1.0454940000192939E-2</v>
      </c>
      <c r="AL18" s="25">
        <f t="shared" si="12"/>
        <v>3236592</v>
      </c>
      <c r="AM18" s="28">
        <f t="shared" si="13"/>
        <v>0.18586125051666028</v>
      </c>
      <c r="AN18" s="4">
        <v>35560118</v>
      </c>
      <c r="AO18" s="4">
        <v>1111253.6875</v>
      </c>
      <c r="AP18" s="4">
        <v>47137.125</v>
      </c>
      <c r="AQ18" s="4">
        <v>6609248</v>
      </c>
      <c r="AR18" s="4">
        <v>2437488</v>
      </c>
      <c r="AS18" s="4">
        <v>799104</v>
      </c>
      <c r="AT18" s="4">
        <v>3372656</v>
      </c>
      <c r="AU18" s="4">
        <v>70.527187499999997</v>
      </c>
      <c r="AV18" s="4">
        <v>73.167634375000006</v>
      </c>
      <c r="AW18" s="4">
        <v>36.321578125000002</v>
      </c>
      <c r="AX18" s="4">
        <v>46.5827375</v>
      </c>
      <c r="AY18" s="4">
        <v>47.104734375</v>
      </c>
      <c r="AZ18" s="4">
        <v>3961.32</v>
      </c>
      <c r="BA18" s="4">
        <v>4453.7700000000004</v>
      </c>
      <c r="BB18" s="4">
        <v>23.728999999999999</v>
      </c>
      <c r="BC18" s="4">
        <v>22.760999999999999</v>
      </c>
      <c r="BE18" s="33">
        <f t="shared" si="14"/>
        <v>0</v>
      </c>
      <c r="BF18" s="33">
        <f t="shared" si="15"/>
        <v>4.3237408606788819E-6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ht="15" outlineLevel="1" thickBot="1" x14ac:dyDescent="0.35">
      <c r="A19" s="15"/>
      <c r="B19" s="35" t="s">
        <v>276</v>
      </c>
      <c r="C19" s="36" t="s">
        <v>270</v>
      </c>
      <c r="D19" s="35">
        <v>322589704</v>
      </c>
      <c r="E19" s="36">
        <v>10</v>
      </c>
      <c r="F19" s="36">
        <v>300</v>
      </c>
      <c r="G19" s="36">
        <v>30</v>
      </c>
      <c r="I19" s="37">
        <f t="shared" si="0"/>
        <v>1.5541832</v>
      </c>
      <c r="J19" s="38">
        <f t="shared" si="1"/>
        <v>4.8178326236971283E-2</v>
      </c>
      <c r="K19" s="38">
        <f t="shared" si="2"/>
        <v>1.7413178196164624E-2</v>
      </c>
      <c r="L19" s="38">
        <f t="shared" si="3"/>
        <v>1.2281086317621594E-2</v>
      </c>
      <c r="M19" s="38">
        <f t="shared" si="4"/>
        <v>3.0765148040806659E-2</v>
      </c>
      <c r="N19" s="35">
        <f t="shared" si="5"/>
        <v>5617312</v>
      </c>
      <c r="O19" s="38">
        <f t="shared" si="6"/>
        <v>0.4623126214821941</v>
      </c>
      <c r="P19" s="4">
        <v>33617581</v>
      </c>
      <c r="Q19" s="4">
        <v>1050549.40625</v>
      </c>
      <c r="R19" s="4">
        <v>20673.75</v>
      </c>
      <c r="S19" s="4">
        <v>15541832</v>
      </c>
      <c r="T19" s="4">
        <v>3961752</v>
      </c>
      <c r="U19" s="4">
        <v>1655560</v>
      </c>
      <c r="V19" s="4">
        <v>9924520</v>
      </c>
      <c r="W19" s="4">
        <v>71.472956249999996</v>
      </c>
      <c r="X19" s="4">
        <v>75.084715625000001</v>
      </c>
      <c r="Y19" s="4">
        <v>38.794040625000001</v>
      </c>
      <c r="Z19" s="4">
        <v>48.287143749999998</v>
      </c>
      <c r="AA19" s="4">
        <v>48.817556250000003</v>
      </c>
      <c r="AB19" s="4">
        <v>3265.38</v>
      </c>
      <c r="AC19" s="4">
        <v>5132.1099999999997</v>
      </c>
      <c r="AD19" s="4">
        <v>7.4269999999999996</v>
      </c>
      <c r="AE19" s="4">
        <v>25.213999999999999</v>
      </c>
      <c r="AG19" s="37">
        <f t="shared" si="7"/>
        <v>1.5541888000000001</v>
      </c>
      <c r="AH19" s="38">
        <f t="shared" si="8"/>
        <v>4.8178499832096315E-2</v>
      </c>
      <c r="AI19" s="38">
        <f t="shared" si="9"/>
        <v>1.7413351791289656E-2</v>
      </c>
      <c r="AJ19" s="38">
        <f t="shared" si="10"/>
        <v>1.2281086317621594E-2</v>
      </c>
      <c r="AK19" s="38">
        <f t="shared" si="11"/>
        <v>3.0765148040806659E-2</v>
      </c>
      <c r="AL19" s="35">
        <f t="shared" si="12"/>
        <v>5617368</v>
      </c>
      <c r="AM19" s="38">
        <f t="shared" si="13"/>
        <v>0.46231428727724344</v>
      </c>
      <c r="AN19" s="4">
        <v>33617581</v>
      </c>
      <c r="AO19" s="4">
        <v>1050549.40625</v>
      </c>
      <c r="AP19" s="4">
        <v>20673.75</v>
      </c>
      <c r="AQ19" s="4">
        <v>15541888</v>
      </c>
      <c r="AR19" s="4">
        <v>3961752</v>
      </c>
      <c r="AS19" s="4">
        <v>1655616</v>
      </c>
      <c r="AT19" s="4">
        <v>9924520</v>
      </c>
      <c r="AU19" s="4">
        <v>71.472956249999996</v>
      </c>
      <c r="AV19" s="4">
        <v>75.084715625000001</v>
      </c>
      <c r="AW19" s="4">
        <v>38.794040625000001</v>
      </c>
      <c r="AX19" s="4">
        <v>48.287143749999998</v>
      </c>
      <c r="AY19" s="4">
        <v>48.817556250000003</v>
      </c>
      <c r="AZ19" s="4">
        <v>4098.57</v>
      </c>
      <c r="BA19" s="4">
        <v>5126.26</v>
      </c>
      <c r="BB19" s="4">
        <v>64.201999999999998</v>
      </c>
      <c r="BC19" s="4">
        <v>24.352</v>
      </c>
      <c r="BE19" s="43">
        <f t="shared" si="14"/>
        <v>0</v>
      </c>
      <c r="BF19" s="43">
        <f t="shared" si="15"/>
        <v>2.3008672006552544E-6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279</v>
      </c>
      <c r="C20" s="26" t="s">
        <v>266</v>
      </c>
      <c r="D20" s="25">
        <v>250602891</v>
      </c>
      <c r="E20" s="26">
        <v>10</v>
      </c>
      <c r="F20" s="26">
        <v>250</v>
      </c>
      <c r="G20" s="26">
        <v>50</v>
      </c>
      <c r="I20" s="27">
        <f t="shared" si="0"/>
        <v>0.29286240000000002</v>
      </c>
      <c r="J20" s="28">
        <f t="shared" si="1"/>
        <v>5.8431568532862615E-3</v>
      </c>
      <c r="K20" s="28">
        <f t="shared" si="2"/>
        <v>4.3822638901639807E-3</v>
      </c>
      <c r="L20" s="28">
        <f t="shared" si="3"/>
        <v>2.4252234185119597E-3</v>
      </c>
      <c r="M20" s="28">
        <f t="shared" si="4"/>
        <v>1.460892963122281E-3</v>
      </c>
      <c r="N20" s="25">
        <f t="shared" si="5"/>
        <v>1098208</v>
      </c>
      <c r="O20" s="28">
        <f t="shared" si="6"/>
        <v>4.753980984102036E-2</v>
      </c>
      <c r="P20" s="4">
        <v>30801806</v>
      </c>
      <c r="Q20" s="4">
        <v>962556.4375</v>
      </c>
      <c r="R20" s="4">
        <v>29649.5</v>
      </c>
      <c r="S20" s="4">
        <v>1464312</v>
      </c>
      <c r="T20" s="4">
        <v>607768</v>
      </c>
      <c r="U20" s="4">
        <v>490440</v>
      </c>
      <c r="V20" s="4">
        <v>366104</v>
      </c>
      <c r="W20" s="4">
        <v>67.159846874999999</v>
      </c>
      <c r="X20" s="4">
        <v>68.824628125000004</v>
      </c>
      <c r="Y20" s="4">
        <v>30.032293750000001</v>
      </c>
      <c r="Z20" s="4">
        <v>39.304634374999999</v>
      </c>
      <c r="AA20" s="4">
        <v>37.983246874999999</v>
      </c>
      <c r="AB20" s="4">
        <v>3805.11</v>
      </c>
      <c r="AC20" s="4">
        <v>3495.96</v>
      </c>
      <c r="AD20" s="4">
        <v>7.431</v>
      </c>
      <c r="AE20" s="4">
        <v>23.48</v>
      </c>
      <c r="AG20" s="27">
        <f t="shared" si="7"/>
        <v>0.29287359999999996</v>
      </c>
      <c r="AH20" s="28">
        <f t="shared" si="8"/>
        <v>5.8433803143954953E-3</v>
      </c>
      <c r="AI20" s="28">
        <f t="shared" si="9"/>
        <v>4.3824873512732145E-3</v>
      </c>
      <c r="AJ20" s="28">
        <f t="shared" si="10"/>
        <v>2.4252234185119597E-3</v>
      </c>
      <c r="AK20" s="28">
        <f t="shared" si="11"/>
        <v>1.460892963122281E-3</v>
      </c>
      <c r="AL20" s="25">
        <f t="shared" si="12"/>
        <v>1098264</v>
      </c>
      <c r="AM20" s="28">
        <f t="shared" si="13"/>
        <v>4.7541627916233224E-2</v>
      </c>
      <c r="AN20" s="4">
        <v>30801806</v>
      </c>
      <c r="AO20" s="4">
        <v>962556.4375</v>
      </c>
      <c r="AP20" s="4">
        <v>29649.5</v>
      </c>
      <c r="AQ20" s="4">
        <v>1464368</v>
      </c>
      <c r="AR20" s="4">
        <v>607768</v>
      </c>
      <c r="AS20" s="4">
        <v>490496</v>
      </c>
      <c r="AT20" s="4">
        <v>366104</v>
      </c>
      <c r="AU20" s="4">
        <v>67.159846874999999</v>
      </c>
      <c r="AV20" s="4">
        <v>68.824628125000004</v>
      </c>
      <c r="AW20" s="4">
        <v>30.012753125</v>
      </c>
      <c r="AX20" s="4">
        <v>39.400121875000004</v>
      </c>
      <c r="AY20" s="4">
        <v>38.055646875000001</v>
      </c>
      <c r="AZ20" s="4">
        <v>5949.84</v>
      </c>
      <c r="BA20" s="4">
        <v>3607.53</v>
      </c>
      <c r="BB20" s="4">
        <v>24.428999999999998</v>
      </c>
      <c r="BC20" s="4">
        <v>24.25</v>
      </c>
      <c r="BE20" s="33">
        <f t="shared" si="14"/>
        <v>0</v>
      </c>
      <c r="BF20" s="33">
        <f t="shared" si="15"/>
        <v>9.561117371936767E-6</v>
      </c>
      <c r="BG20" s="33">
        <f t="array" ref="BG20">AVERAGE(AL20:AL24/AQ20:AQ24) - AVERAGE(N20:N24/S20:S24)</f>
        <v>7.6380974557421766E-6</v>
      </c>
      <c r="BI20" s="34">
        <f>IF( OR(ISBLANK(N20:N24),ISBLANK(AL20:AL24), ISBLANK(W20:W24),ISBLANK(AU20:AU24)), "·", bdRateExtend( N20:N24,W20:W24, AL20:AL24,AU20:AU24))</f>
        <v>3.7667599462443135E-5</v>
      </c>
      <c r="BJ20" s="34">
        <f>IF( OR(ISBLANK(N20:N24),ISBLANK(AL20:AL24), ISBLANK(X20:X24),ISBLANK(AV20:AV24)), "·", bdRateExtend( N20:N24,X20:X24, AL20:AL24,AV20:AV24))</f>
        <v>3.5105386738454314E-5</v>
      </c>
      <c r="BK20" s="34">
        <f>IF( OR(ISBLANK(V20:V24),ISBLANK(AT20:AT24), ISBLANK(Y20:Y24),ISBLANK(AW20:AW24)), "·", bdRateExtend( V20:V24,Y20:Y24, AT20:AT24,AW20:AW24))</f>
        <v>5.6179720129083011E-2</v>
      </c>
      <c r="BL20" s="34">
        <f>IF( OR(ISBLANK(V20:V24),ISBLANK(AT20:AT24), ISBLANK(Z20:Z24),ISBLANK(AX20:AX24)), "·", bdRateExtend( V20:V24,Z20:Z24, AT20:AT24,AX20:AX24))</f>
        <v>-7.6745925716892316E-3</v>
      </c>
      <c r="BM20" s="34">
        <f>IF( OR(ISBLANK(V20:V24),ISBLANK(AT20:AT24), ISBLANK(AA20:AA24),ISBLANK(AY20:AY24)), "·", bdRateExtend( V20:V24,AA20:AA24, AT20:AT24,AY20:AY24))</f>
        <v>5.3256449054068788E-3</v>
      </c>
      <c r="BO20" s="34">
        <f>IF( OR(ISBLANK(S20:S24),ISBLANK(AQ20:AQ24), ISBLANK(W20:W24),ISBLANK(AU20:AU24)), "·", bdRateExtend( S20:S24,W20:W24, AQ20:AQ24,AU20:AU24))</f>
        <v>2.1532170123572669E-5</v>
      </c>
      <c r="BP20" s="34">
        <f>IF( OR(ISBLANK(S20:S24),ISBLANK(AQ20:AQ24), ISBLANK(X20:X24),ISBLANK(AV20:AV24)), "·", bdRateExtend( S20:S24,X20:X24, AQ20:AQ24,AV20:AV24))</f>
        <v>1.9308706473042392E-5</v>
      </c>
      <c r="BQ20" s="34">
        <f>IF( OR(ISBLANK(S20:S24),ISBLANK(AQ20:AQ24), ISBLANK(Y20:Y24),ISBLANK(AW20:AW24)), "·", bdRateExtend( S20:S24,Y20:Y24, AQ20:AQ24,AW20:AW24))</f>
        <v>4.0802041724741667E-2</v>
      </c>
      <c r="BR20" s="34">
        <f>IF( OR(ISBLANK(S20:S24),ISBLANK(AQ20:AQ24), ISBLANK(Z20:Z24),ISBLANK(AX20:AX24)), "·", bdRateExtend( S20:S24,Z20:Z24, AQ20:AQ24,AX20:AX24))</f>
        <v>-1.031394426197707E-3</v>
      </c>
      <c r="BS20" s="34">
        <f>IF( OR(ISBLANK(S20:S24),ISBLANK(AQ20:AQ24), ISBLANK(AA20:AA24),ISBLANK(AY20:AY24)), "·", bdRateExtend( S20:S24,AA20:AA24, AQ20:AQ24,AY20:AY24))</f>
        <v>7.1180078860808571E-3</v>
      </c>
    </row>
    <row r="21" spans="1:71" outlineLevel="1" x14ac:dyDescent="0.3">
      <c r="A21" s="15"/>
      <c r="B21" s="15" t="s">
        <v>279</v>
      </c>
      <c r="C21" s="16" t="s">
        <v>267</v>
      </c>
      <c r="D21" s="15">
        <v>250602891</v>
      </c>
      <c r="E21" s="16">
        <v>10</v>
      </c>
      <c r="F21" s="16">
        <v>250</v>
      </c>
      <c r="G21" s="16">
        <v>50</v>
      </c>
      <c r="I21" s="17">
        <f t="shared" si="0"/>
        <v>0.4001904</v>
      </c>
      <c r="J21" s="18">
        <f t="shared" si="1"/>
        <v>7.984552740055979E-3</v>
      </c>
      <c r="K21" s="18">
        <f t="shared" si="2"/>
        <v>5.0976586698674598E-3</v>
      </c>
      <c r="L21" s="18">
        <f t="shared" si="3"/>
        <v>3.1406181982154388E-3</v>
      </c>
      <c r="M21" s="18">
        <f t="shared" si="4"/>
        <v>2.88689407018852E-3</v>
      </c>
      <c r="N21" s="15">
        <f t="shared" si="5"/>
        <v>1277488</v>
      </c>
      <c r="O21" s="18">
        <f t="shared" si="6"/>
        <v>6.3265962162252914E-2</v>
      </c>
      <c r="P21" s="4">
        <v>31627623</v>
      </c>
      <c r="Q21" s="4">
        <v>988363.21875</v>
      </c>
      <c r="R21" s="4">
        <v>33732.15625</v>
      </c>
      <c r="S21" s="4">
        <v>2000952</v>
      </c>
      <c r="T21" s="4">
        <v>787048</v>
      </c>
      <c r="U21" s="4">
        <v>490440</v>
      </c>
      <c r="V21" s="4">
        <v>723464</v>
      </c>
      <c r="W21" s="4">
        <v>68.823096875000005</v>
      </c>
      <c r="X21" s="4">
        <v>70.936893749999996</v>
      </c>
      <c r="Y21" s="4">
        <v>31.560403125000001</v>
      </c>
      <c r="Z21" s="4">
        <v>40.488471875000002</v>
      </c>
      <c r="AA21" s="4">
        <v>39.290503125000001</v>
      </c>
      <c r="AB21" s="4">
        <v>3759.65</v>
      </c>
      <c r="AC21" s="4">
        <v>3759.64</v>
      </c>
      <c r="AD21" s="4">
        <v>8.1349999999999998</v>
      </c>
      <c r="AE21" s="4">
        <v>23.053999999999998</v>
      </c>
      <c r="AG21" s="17">
        <f t="shared" si="7"/>
        <v>0.40020159999999999</v>
      </c>
      <c r="AH21" s="18">
        <f t="shared" si="8"/>
        <v>7.9847762011652137E-3</v>
      </c>
      <c r="AI21" s="18">
        <f t="shared" si="9"/>
        <v>5.0978821309766937E-3</v>
      </c>
      <c r="AJ21" s="18">
        <f t="shared" si="10"/>
        <v>3.1406181982154388E-3</v>
      </c>
      <c r="AK21" s="18">
        <f t="shared" si="11"/>
        <v>2.88689407018852E-3</v>
      </c>
      <c r="AL21" s="15">
        <f t="shared" si="12"/>
        <v>1277544</v>
      </c>
      <c r="AM21" s="18">
        <f t="shared" si="13"/>
        <v>6.3267732766385892E-2</v>
      </c>
      <c r="AN21" s="4">
        <v>31627623</v>
      </c>
      <c r="AO21" s="4">
        <v>988363.21875</v>
      </c>
      <c r="AP21" s="4">
        <v>33732.15625</v>
      </c>
      <c r="AQ21" s="4">
        <v>2001008</v>
      </c>
      <c r="AR21" s="4">
        <v>787048</v>
      </c>
      <c r="AS21" s="4">
        <v>490496</v>
      </c>
      <c r="AT21" s="4">
        <v>723464</v>
      </c>
      <c r="AU21" s="4">
        <v>68.823096875000005</v>
      </c>
      <c r="AV21" s="4">
        <v>70.936893749999996</v>
      </c>
      <c r="AW21" s="4">
        <v>31.495996874999999</v>
      </c>
      <c r="AX21" s="4">
        <v>40.53685625</v>
      </c>
      <c r="AY21" s="4">
        <v>39.314050000000002</v>
      </c>
      <c r="AZ21" s="4">
        <v>5768.25</v>
      </c>
      <c r="BA21" s="4">
        <v>3845.81</v>
      </c>
      <c r="BB21" s="4">
        <v>21.795000000000002</v>
      </c>
      <c r="BC21" s="4">
        <v>21.507999999999999</v>
      </c>
      <c r="BE21" s="23">
        <f t="shared" si="14"/>
        <v>0</v>
      </c>
      <c r="BF21" s="23">
        <f t="shared" si="15"/>
        <v>1.0118577366768911E-5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279</v>
      </c>
      <c r="C22" s="26" t="s">
        <v>268</v>
      </c>
      <c r="D22" s="25">
        <v>250602891</v>
      </c>
      <c r="E22" s="26">
        <v>10</v>
      </c>
      <c r="F22" s="26">
        <v>250</v>
      </c>
      <c r="G22" s="26">
        <v>50</v>
      </c>
      <c r="I22" s="27">
        <f t="shared" si="0"/>
        <v>0.65696319999999997</v>
      </c>
      <c r="J22" s="28">
        <f t="shared" si="1"/>
        <v>1.3107654053360462E-2</v>
      </c>
      <c r="K22" s="28">
        <f t="shared" si="2"/>
        <v>5.9973130956418215E-3</v>
      </c>
      <c r="L22" s="28">
        <f t="shared" si="3"/>
        <v>4.0402726239898009E-3</v>
      </c>
      <c r="M22" s="28">
        <f t="shared" si="4"/>
        <v>7.1103409577186402E-3</v>
      </c>
      <c r="N22" s="25">
        <f t="shared" si="5"/>
        <v>1502944</v>
      </c>
      <c r="O22" s="28">
        <f t="shared" si="6"/>
        <v>0.10031007780344964</v>
      </c>
      <c r="P22" s="4">
        <v>32746620</v>
      </c>
      <c r="Q22" s="4">
        <v>1023331.875</v>
      </c>
      <c r="R22" s="4">
        <v>36056.5625</v>
      </c>
      <c r="S22" s="4">
        <v>3284816</v>
      </c>
      <c r="T22" s="4">
        <v>1012504</v>
      </c>
      <c r="U22" s="4">
        <v>490440</v>
      </c>
      <c r="V22" s="4">
        <v>1781872</v>
      </c>
      <c r="W22" s="4">
        <v>70.031874999999999</v>
      </c>
      <c r="X22" s="4">
        <v>72.483656249999996</v>
      </c>
      <c r="Y22" s="4">
        <v>33.566303124999997</v>
      </c>
      <c r="Z22" s="4">
        <v>41.756265624999997</v>
      </c>
      <c r="AA22" s="4">
        <v>40.573128124999997</v>
      </c>
      <c r="AB22" s="4">
        <v>3822.47</v>
      </c>
      <c r="AC22" s="4">
        <v>3940.9</v>
      </c>
      <c r="AD22" s="4">
        <v>8.23</v>
      </c>
      <c r="AE22" s="4">
        <v>19.605</v>
      </c>
      <c r="AG22" s="27">
        <f t="shared" si="7"/>
        <v>0.65697440000000007</v>
      </c>
      <c r="AH22" s="28">
        <f t="shared" si="8"/>
        <v>1.3107877514469695E-2</v>
      </c>
      <c r="AI22" s="28">
        <f t="shared" si="9"/>
        <v>5.9975365567510553E-3</v>
      </c>
      <c r="AJ22" s="28">
        <f t="shared" si="10"/>
        <v>4.0402726239898009E-3</v>
      </c>
      <c r="AK22" s="28">
        <f t="shared" si="11"/>
        <v>7.1103409577186402E-3</v>
      </c>
      <c r="AL22" s="25">
        <f t="shared" si="12"/>
        <v>1503000</v>
      </c>
      <c r="AM22" s="28">
        <f t="shared" si="13"/>
        <v>0.10031178790360654</v>
      </c>
      <c r="AN22" s="4">
        <v>32746620</v>
      </c>
      <c r="AO22" s="4">
        <v>1023331.875</v>
      </c>
      <c r="AP22" s="4">
        <v>36056.5625</v>
      </c>
      <c r="AQ22" s="4">
        <v>3284872</v>
      </c>
      <c r="AR22" s="4">
        <v>1012504</v>
      </c>
      <c r="AS22" s="4">
        <v>490496</v>
      </c>
      <c r="AT22" s="4">
        <v>1781872</v>
      </c>
      <c r="AU22" s="4">
        <v>70.031874999999999</v>
      </c>
      <c r="AV22" s="4">
        <v>72.483656249999996</v>
      </c>
      <c r="AW22" s="4">
        <v>33.431437500000001</v>
      </c>
      <c r="AX22" s="4">
        <v>41.747746874999997</v>
      </c>
      <c r="AY22" s="4">
        <v>40.549303125000002</v>
      </c>
      <c r="AZ22" s="4">
        <v>5874.01</v>
      </c>
      <c r="BA22" s="4">
        <v>3923.2</v>
      </c>
      <c r="BB22" s="4">
        <v>21.428999999999998</v>
      </c>
      <c r="BC22" s="4">
        <v>23.581</v>
      </c>
      <c r="BE22" s="33">
        <f t="shared" si="14"/>
        <v>0</v>
      </c>
      <c r="BF22" s="33">
        <f t="shared" si="15"/>
        <v>9.2477276642521922E-6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279</v>
      </c>
      <c r="C23" s="16" t="s">
        <v>269</v>
      </c>
      <c r="D23" s="15">
        <v>250602891</v>
      </c>
      <c r="E23" s="16">
        <v>10</v>
      </c>
      <c r="F23" s="16">
        <v>250</v>
      </c>
      <c r="G23" s="16">
        <v>50</v>
      </c>
      <c r="I23" s="17">
        <f t="shared" si="0"/>
        <v>1.2164831999999999</v>
      </c>
      <c r="J23" s="18">
        <f t="shared" si="1"/>
        <v>2.4271132610357637E-2</v>
      </c>
      <c r="K23" s="18">
        <f t="shared" si="2"/>
        <v>8.5072921205845142E-3</v>
      </c>
      <c r="L23" s="18">
        <f t="shared" si="3"/>
        <v>6.5502516489324937E-3</v>
      </c>
      <c r="M23" s="18">
        <f t="shared" si="4"/>
        <v>1.5763840489773119E-2</v>
      </c>
      <c r="N23" s="15">
        <f t="shared" si="5"/>
        <v>2131952</v>
      </c>
      <c r="O23" s="18">
        <f t="shared" si="6"/>
        <v>0.18403558996407166</v>
      </c>
      <c r="P23" s="4">
        <v>33050216</v>
      </c>
      <c r="Q23" s="4">
        <v>1032819.25</v>
      </c>
      <c r="R23" s="4">
        <v>38307</v>
      </c>
      <c r="S23" s="4">
        <v>6082416</v>
      </c>
      <c r="T23" s="4">
        <v>1641512</v>
      </c>
      <c r="U23" s="4">
        <v>490440</v>
      </c>
      <c r="V23" s="4">
        <v>3950464</v>
      </c>
      <c r="W23" s="4">
        <v>70.96858125</v>
      </c>
      <c r="X23" s="4">
        <v>73.709149999999994</v>
      </c>
      <c r="Y23" s="4">
        <v>35.484331249999997</v>
      </c>
      <c r="Z23" s="4">
        <v>42.764449999999997</v>
      </c>
      <c r="AA23" s="4">
        <v>41.595806250000003</v>
      </c>
      <c r="AB23" s="4">
        <v>3714.12</v>
      </c>
      <c r="AC23" s="4">
        <v>4175.1899999999996</v>
      </c>
      <c r="AD23" s="4">
        <v>8.2059999999999995</v>
      </c>
      <c r="AE23" s="4">
        <v>23.957000000000001</v>
      </c>
      <c r="AG23" s="17">
        <f t="shared" si="7"/>
        <v>1.2164944</v>
      </c>
      <c r="AH23" s="18">
        <f t="shared" si="8"/>
        <v>2.4271356071466868E-2</v>
      </c>
      <c r="AI23" s="18">
        <f t="shared" si="9"/>
        <v>8.5075155816937489E-3</v>
      </c>
      <c r="AJ23" s="18">
        <f t="shared" si="10"/>
        <v>6.5502516489324937E-3</v>
      </c>
      <c r="AK23" s="18">
        <f t="shared" si="11"/>
        <v>1.5763840489773119E-2</v>
      </c>
      <c r="AL23" s="15">
        <f t="shared" si="12"/>
        <v>2132008</v>
      </c>
      <c r="AM23" s="18">
        <f t="shared" si="13"/>
        <v>0.18403728435541844</v>
      </c>
      <c r="AN23" s="4">
        <v>33050216</v>
      </c>
      <c r="AO23" s="4">
        <v>1032819.25</v>
      </c>
      <c r="AP23" s="4">
        <v>38307</v>
      </c>
      <c r="AQ23" s="4">
        <v>6082472</v>
      </c>
      <c r="AR23" s="4">
        <v>1641512</v>
      </c>
      <c r="AS23" s="4">
        <v>490496</v>
      </c>
      <c r="AT23" s="4">
        <v>3950464</v>
      </c>
      <c r="AU23" s="4">
        <v>70.96858125</v>
      </c>
      <c r="AV23" s="4">
        <v>73.709149999999994</v>
      </c>
      <c r="AW23" s="4">
        <v>35.249331249999997</v>
      </c>
      <c r="AX23" s="4">
        <v>42.735578125000004</v>
      </c>
      <c r="AY23" s="4">
        <v>41.549346874999998</v>
      </c>
      <c r="AZ23" s="4">
        <v>5937.01</v>
      </c>
      <c r="BA23" s="4">
        <v>4325.4799999999996</v>
      </c>
      <c r="BB23" s="4">
        <v>23.966000000000001</v>
      </c>
      <c r="BC23" s="4">
        <v>20.969000000000001</v>
      </c>
      <c r="BE23" s="23">
        <f t="shared" si="14"/>
        <v>0</v>
      </c>
      <c r="BF23" s="23">
        <f t="shared" si="15"/>
        <v>5.9797068997502478E-6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ht="15" outlineLevel="1" thickBot="1" x14ac:dyDescent="0.35">
      <c r="A24" s="45"/>
      <c r="B24" s="45" t="s">
        <v>279</v>
      </c>
      <c r="C24" s="46" t="s">
        <v>270</v>
      </c>
      <c r="D24" s="45">
        <v>250602891</v>
      </c>
      <c r="E24" s="46">
        <v>10</v>
      </c>
      <c r="F24" s="46">
        <v>250</v>
      </c>
      <c r="G24" s="46">
        <v>50</v>
      </c>
      <c r="I24" s="47">
        <f t="shared" si="0"/>
        <v>2.3671199999999999</v>
      </c>
      <c r="J24" s="48">
        <f t="shared" si="1"/>
        <v>4.7228505436515494E-2</v>
      </c>
      <c r="K24" s="48">
        <f t="shared" si="2"/>
        <v>1.445470954283604E-2</v>
      </c>
      <c r="L24" s="48">
        <f t="shared" si="3"/>
        <v>1.0395889646779854E-2</v>
      </c>
      <c r="M24" s="48">
        <f t="shared" si="4"/>
        <v>3.2773795893679458E-2</v>
      </c>
      <c r="N24" s="45">
        <f t="shared" si="5"/>
        <v>3622392</v>
      </c>
      <c r="O24" s="48">
        <f t="shared" si="6"/>
        <v>0.37582208700016489</v>
      </c>
      <c r="P24" s="4">
        <v>31492561</v>
      </c>
      <c r="Q24" s="4">
        <v>984142.53125</v>
      </c>
      <c r="R24" s="4">
        <v>18541.96875</v>
      </c>
      <c r="S24" s="4">
        <v>11835600</v>
      </c>
      <c r="T24" s="4">
        <v>2605240</v>
      </c>
      <c r="U24" s="4">
        <v>1017152</v>
      </c>
      <c r="V24" s="4">
        <v>8213208</v>
      </c>
      <c r="W24" s="4">
        <v>71.867959374999998</v>
      </c>
      <c r="X24" s="4">
        <v>75.793768749999998</v>
      </c>
      <c r="Y24" s="4">
        <v>36.933634374999997</v>
      </c>
      <c r="Z24" s="4">
        <v>43.580706249999999</v>
      </c>
      <c r="AA24" s="4">
        <v>42.191409374999999</v>
      </c>
      <c r="AB24" s="4">
        <v>3794.41</v>
      </c>
      <c r="AC24" s="4">
        <v>4741.99</v>
      </c>
      <c r="AD24" s="4">
        <v>8.17</v>
      </c>
      <c r="AE24" s="4">
        <v>25.114000000000001</v>
      </c>
      <c r="AG24" s="47">
        <f t="shared" si="7"/>
        <v>2.3671312000000002</v>
      </c>
      <c r="AH24" s="48">
        <f t="shared" si="8"/>
        <v>4.7228728897624729E-2</v>
      </c>
      <c r="AI24" s="48">
        <f t="shared" si="9"/>
        <v>1.4454933003945274E-2</v>
      </c>
      <c r="AJ24" s="48">
        <f t="shared" si="10"/>
        <v>1.0395889646779854E-2</v>
      </c>
      <c r="AK24" s="48">
        <f t="shared" si="11"/>
        <v>3.2773795893679458E-2</v>
      </c>
      <c r="AL24" s="45">
        <f t="shared" si="12"/>
        <v>3622448</v>
      </c>
      <c r="AM24" s="48">
        <f t="shared" si="13"/>
        <v>0.37582386519787958</v>
      </c>
      <c r="AN24" s="4">
        <v>31492561</v>
      </c>
      <c r="AO24" s="4">
        <v>984142.53125</v>
      </c>
      <c r="AP24" s="4">
        <v>18541.96875</v>
      </c>
      <c r="AQ24" s="4">
        <v>11835656</v>
      </c>
      <c r="AR24" s="4">
        <v>2605240</v>
      </c>
      <c r="AS24" s="4">
        <v>1017208</v>
      </c>
      <c r="AT24" s="4">
        <v>8213208</v>
      </c>
      <c r="AU24" s="4">
        <v>71.867959374999998</v>
      </c>
      <c r="AV24" s="4">
        <v>75.793768749999998</v>
      </c>
      <c r="AW24" s="4">
        <v>36.933634374999997</v>
      </c>
      <c r="AX24" s="4">
        <v>43.580706249999999</v>
      </c>
      <c r="AY24" s="4">
        <v>42.191409374999999</v>
      </c>
      <c r="AZ24" s="4">
        <v>5869.09</v>
      </c>
      <c r="BA24" s="4">
        <v>4825.54</v>
      </c>
      <c r="BB24" s="4">
        <v>60.298000000000002</v>
      </c>
      <c r="BC24" s="4">
        <v>24.149000000000001</v>
      </c>
      <c r="BE24" s="53">
        <f t="shared" si="14"/>
        <v>0</v>
      </c>
      <c r="BF24" s="53">
        <f t="shared" si="15"/>
        <v>3.2833579759472542E-6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283</v>
      </c>
      <c r="B25" s="15" t="s">
        <v>282</v>
      </c>
      <c r="C25" s="16" t="s">
        <v>266</v>
      </c>
      <c r="D25" s="15">
        <v>250294582</v>
      </c>
      <c r="E25" s="16">
        <v>10</v>
      </c>
      <c r="F25" s="16">
        <v>300</v>
      </c>
      <c r="G25" s="16">
        <v>30</v>
      </c>
      <c r="I25" s="17">
        <f t="shared" si="0"/>
        <v>0.2417416</v>
      </c>
      <c r="J25" s="18">
        <f t="shared" si="1"/>
        <v>9.6582833742681652E-3</v>
      </c>
      <c r="K25" s="18">
        <f t="shared" si="2"/>
        <v>6.1958672361513605E-3</v>
      </c>
      <c r="L25" s="18">
        <f t="shared" si="3"/>
        <v>3.6402226237561945E-3</v>
      </c>
      <c r="M25" s="18">
        <f t="shared" si="4"/>
        <v>3.4624161381168052E-3</v>
      </c>
      <c r="N25" s="15">
        <f t="shared" si="5"/>
        <v>1550792</v>
      </c>
      <c r="O25" s="18">
        <f t="shared" si="6"/>
        <v>0.1037819722368104</v>
      </c>
      <c r="P25" s="4">
        <v>23293217</v>
      </c>
      <c r="Q25" s="4">
        <v>727913.03125</v>
      </c>
      <c r="R25" s="4">
        <v>18554.28125</v>
      </c>
      <c r="S25" s="4">
        <v>2417416</v>
      </c>
      <c r="T25" s="4">
        <v>911128</v>
      </c>
      <c r="U25" s="4">
        <v>639664</v>
      </c>
      <c r="V25" s="4">
        <v>866624</v>
      </c>
      <c r="W25" s="4">
        <v>66.257625000000004</v>
      </c>
      <c r="X25" s="4">
        <v>68.040481249999999</v>
      </c>
      <c r="Y25" s="4">
        <v>26.009984374999998</v>
      </c>
      <c r="Z25" s="4">
        <v>32.554171875000002</v>
      </c>
      <c r="AA25" s="4">
        <v>31.727709375</v>
      </c>
      <c r="AB25" s="4">
        <v>2935.11</v>
      </c>
      <c r="AC25" s="4">
        <v>5838.57</v>
      </c>
      <c r="AD25" s="4">
        <v>7.12</v>
      </c>
      <c r="AE25" s="4">
        <v>35.167000000000002</v>
      </c>
      <c r="AG25" s="17">
        <f t="shared" si="7"/>
        <v>0.24174720000000002</v>
      </c>
      <c r="AH25" s="18">
        <f t="shared" si="8"/>
        <v>9.6585071106333412E-3</v>
      </c>
      <c r="AI25" s="18">
        <f t="shared" si="9"/>
        <v>6.1960909725165365E-3</v>
      </c>
      <c r="AJ25" s="18">
        <f t="shared" si="10"/>
        <v>3.6402226237561945E-3</v>
      </c>
      <c r="AK25" s="18">
        <f t="shared" si="11"/>
        <v>3.4624161381168052E-3</v>
      </c>
      <c r="AL25" s="15">
        <f t="shared" si="12"/>
        <v>1550848</v>
      </c>
      <c r="AM25" s="18">
        <f t="shared" si="13"/>
        <v>0.10378437637016819</v>
      </c>
      <c r="AN25" s="4">
        <v>23293217</v>
      </c>
      <c r="AO25" s="4">
        <v>727913.03125</v>
      </c>
      <c r="AP25" s="4">
        <v>18554.28125</v>
      </c>
      <c r="AQ25" s="4">
        <v>2417472</v>
      </c>
      <c r="AR25" s="4">
        <v>911128</v>
      </c>
      <c r="AS25" s="4">
        <v>639720</v>
      </c>
      <c r="AT25" s="4">
        <v>866624</v>
      </c>
      <c r="AU25" s="4">
        <v>66.257625000000004</v>
      </c>
      <c r="AV25" s="4">
        <v>68.040481249999999</v>
      </c>
      <c r="AW25" s="4">
        <v>26.018084375000001</v>
      </c>
      <c r="AX25" s="4">
        <v>32.580174999999997</v>
      </c>
      <c r="AY25" s="4">
        <v>31.749681249999998</v>
      </c>
      <c r="AZ25" s="4">
        <v>4609.92</v>
      </c>
      <c r="BA25" s="4">
        <v>6049.77</v>
      </c>
      <c r="BB25" s="4">
        <v>18.065999999999999</v>
      </c>
      <c r="BC25" s="4">
        <v>31.2</v>
      </c>
      <c r="BE25" s="23">
        <f t="shared" si="14"/>
        <v>0</v>
      </c>
      <c r="BF25" s="23">
        <f t="shared" si="15"/>
        <v>8.3043547671746154E-6</v>
      </c>
      <c r="BG25" s="23">
        <f t="array" ref="BG25">AVERAGE(AL25:AL29/AQ25:AQ29) - AVERAGE(N25:N29/S25:S29)</f>
        <v>5.2032982209571088E-6</v>
      </c>
      <c r="BI25" s="24">
        <f>IF( OR(ISBLANK(N25:N29),ISBLANK(AL25:AL29), ISBLANK(W25:W29),ISBLANK(AU25:AU29)), "·", bdRateExtend( N25:N29,W25:W29, AL25:AL29,AU25:AU29))</f>
        <v>2.510846824921309E-5</v>
      </c>
      <c r="BJ25" s="24">
        <f>IF( OR(ISBLANK(N25:N29),ISBLANK(AL25:AL29), ISBLANK(X25:X29),ISBLANK(AV25:AV29)), "·", bdRateExtend( N25:N29,X25:X29, AL25:AL29,AV25:AV29))</f>
        <v>2.375614881811039E-5</v>
      </c>
      <c r="BK25" s="24">
        <f>IF( OR(ISBLANK(V25:V29),ISBLANK(AT25:AT29), ISBLANK(Y25:Y29),ISBLANK(AW25:AW29)), "·", bdRateExtend( V25:V29,Y25:Y29, AT25:AT29,AW25:AW29))</f>
        <v>1.2408732223967212E-2</v>
      </c>
      <c r="BL25" s="24">
        <f>IF( OR(ISBLANK(V25:V29),ISBLANK(AT25:AT29), ISBLANK(Z25:Z29),ISBLANK(AX25:AX29)), "·", bdRateExtend( V25:V29,Z25:Z29, AT25:AT29,AX25:AX29))</f>
        <v>-4.3597199455929214E-3</v>
      </c>
      <c r="BM25" s="24">
        <f>IF( OR(ISBLANK(V25:V29),ISBLANK(AT25:AT29), ISBLANK(AA25:AA29),ISBLANK(AY25:AY29)), "·", bdRateExtend( V25:V29,AA25:AA29, AT25:AT29,AY25:AY29))</f>
        <v>-6.7295066786576818E-4</v>
      </c>
      <c r="BO25" s="24">
        <f>IF( OR(ISBLANK(S25:S29),ISBLANK(AQ25:AQ29), ISBLANK(W25:W29),ISBLANK(AU25:AU29)), "·", bdRateExtend( S25:S29,W25:W29, AQ25:AQ29,AU25:AU29))</f>
        <v>1.1711361072475057E-5</v>
      </c>
      <c r="BP25" s="24">
        <f>IF( OR(ISBLANK(S25:S29),ISBLANK(AQ25:AQ29), ISBLANK(X25:X29),ISBLANK(AV25:AV29)), "·", bdRateExtend( S25:S29,X25:X29, AQ25:AQ29,AV25:AV29))</f>
        <v>1.0633011722882557E-5</v>
      </c>
      <c r="BQ25" s="24">
        <f>IF( OR(ISBLANK(S25:S29),ISBLANK(AQ25:AQ29), ISBLANK(Y25:Y29),ISBLANK(AW25:AW29)), "·", bdRateExtend( S25:S29,Y25:Y29, AQ25:AQ29,AW25:AW29))</f>
        <v>1.0100346633554302E-2</v>
      </c>
      <c r="BR25" s="24">
        <f>IF( OR(ISBLANK(S25:S29),ISBLANK(AQ25:AQ29), ISBLANK(Z25:Z29),ISBLANK(AX25:AX29)), "·", bdRateExtend( S25:S29,Z25:Z29, AQ25:AQ29,AX25:AX29))</f>
        <v>-2.7303383065071518E-3</v>
      </c>
      <c r="BS25" s="24">
        <f>IF( OR(ISBLANK(S25:S29),ISBLANK(AQ25:AQ29), ISBLANK(AA25:AA29),ISBLANK(AY25:AY29)), "·", bdRateExtend( S25:S29,AA25:AA29, AQ25:AQ29,AY25:AY29))</f>
        <v>4.5890263285830457E-5</v>
      </c>
    </row>
    <row r="26" spans="1:71" outlineLevel="1" x14ac:dyDescent="0.3">
      <c r="A26" s="25"/>
      <c r="B26" s="25" t="s">
        <v>282</v>
      </c>
      <c r="C26" s="26" t="s">
        <v>267</v>
      </c>
      <c r="D26" s="25">
        <v>250294582</v>
      </c>
      <c r="E26" s="26">
        <v>10</v>
      </c>
      <c r="F26" s="26">
        <v>300</v>
      </c>
      <c r="G26" s="26">
        <v>30</v>
      </c>
      <c r="I26" s="27">
        <f t="shared" si="0"/>
        <v>0.37010959999999998</v>
      </c>
      <c r="J26" s="28">
        <f t="shared" si="1"/>
        <v>1.4786960110866483E-2</v>
      </c>
      <c r="K26" s="28">
        <f t="shared" si="2"/>
        <v>7.5883704106707349E-3</v>
      </c>
      <c r="L26" s="28">
        <f t="shared" si="3"/>
        <v>5.0327257982755698E-3</v>
      </c>
      <c r="M26" s="28">
        <f t="shared" si="4"/>
        <v>7.1985897001957478E-3</v>
      </c>
      <c r="N26" s="25">
        <f t="shared" si="5"/>
        <v>1899328</v>
      </c>
      <c r="O26" s="28">
        <f t="shared" si="6"/>
        <v>0.14829655512552051</v>
      </c>
      <c r="P26" s="4">
        <v>24957397</v>
      </c>
      <c r="Q26" s="4">
        <v>779918.65625</v>
      </c>
      <c r="R26" s="4">
        <v>23037.71875</v>
      </c>
      <c r="S26" s="4">
        <v>3701096</v>
      </c>
      <c r="T26" s="4">
        <v>1259664</v>
      </c>
      <c r="U26" s="4">
        <v>639664</v>
      </c>
      <c r="V26" s="4">
        <v>1801768</v>
      </c>
      <c r="W26" s="4">
        <v>68.065106249999999</v>
      </c>
      <c r="X26" s="4">
        <v>70.069171874999995</v>
      </c>
      <c r="Y26" s="4">
        <v>28.06511875</v>
      </c>
      <c r="Z26" s="4">
        <v>33.750618750000001</v>
      </c>
      <c r="AA26" s="4">
        <v>33.151540625000003</v>
      </c>
      <c r="AB26" s="4">
        <v>2867.29</v>
      </c>
      <c r="AC26" s="4">
        <v>6290.58</v>
      </c>
      <c r="AD26" s="4">
        <v>7.7880000000000003</v>
      </c>
      <c r="AE26" s="4">
        <v>30.727</v>
      </c>
      <c r="AG26" s="27">
        <f t="shared" si="7"/>
        <v>0.37011520000000003</v>
      </c>
      <c r="AH26" s="28">
        <f t="shared" si="8"/>
        <v>1.4787183847231659E-2</v>
      </c>
      <c r="AI26" s="28">
        <f t="shared" si="9"/>
        <v>7.5885941470359118E-3</v>
      </c>
      <c r="AJ26" s="28">
        <f t="shared" si="10"/>
        <v>5.0327257982755698E-3</v>
      </c>
      <c r="AK26" s="28">
        <f t="shared" si="11"/>
        <v>7.1985897001957478E-3</v>
      </c>
      <c r="AL26" s="25">
        <f t="shared" si="12"/>
        <v>1899384</v>
      </c>
      <c r="AM26" s="28">
        <f t="shared" si="13"/>
        <v>0.14829879894926543</v>
      </c>
      <c r="AN26" s="4">
        <v>24957397</v>
      </c>
      <c r="AO26" s="4">
        <v>779918.65625</v>
      </c>
      <c r="AP26" s="4">
        <v>23037.71875</v>
      </c>
      <c r="AQ26" s="4">
        <v>3701152</v>
      </c>
      <c r="AR26" s="4">
        <v>1259664</v>
      </c>
      <c r="AS26" s="4">
        <v>639720</v>
      </c>
      <c r="AT26" s="4">
        <v>1801768</v>
      </c>
      <c r="AU26" s="4">
        <v>68.065106249999999</v>
      </c>
      <c r="AV26" s="4">
        <v>70.069171874999995</v>
      </c>
      <c r="AW26" s="4">
        <v>28.057578124999999</v>
      </c>
      <c r="AX26" s="4">
        <v>33.766231249999997</v>
      </c>
      <c r="AY26" s="4">
        <v>33.161809374999997</v>
      </c>
      <c r="AZ26" s="4">
        <v>4598.4799999999996</v>
      </c>
      <c r="BA26" s="4">
        <v>6426.21</v>
      </c>
      <c r="BB26" s="4">
        <v>20.161000000000001</v>
      </c>
      <c r="BC26" s="4">
        <v>28.649000000000001</v>
      </c>
      <c r="BE26" s="33">
        <f t="shared" si="14"/>
        <v>0</v>
      </c>
      <c r="BF26" s="33">
        <f t="shared" si="15"/>
        <v>7.365794957192584E-6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282</v>
      </c>
      <c r="C27" s="16" t="s">
        <v>268</v>
      </c>
      <c r="D27" s="15">
        <v>250294582</v>
      </c>
      <c r="E27" s="16">
        <v>10</v>
      </c>
      <c r="F27" s="16">
        <v>300</v>
      </c>
      <c r="G27" s="16">
        <v>30</v>
      </c>
      <c r="I27" s="17">
        <f t="shared" si="0"/>
        <v>0.62817840000000003</v>
      </c>
      <c r="J27" s="18">
        <f t="shared" si="1"/>
        <v>2.5097562838975077E-2</v>
      </c>
      <c r="K27" s="18">
        <f t="shared" si="2"/>
        <v>9.588445665995279E-3</v>
      </c>
      <c r="L27" s="18">
        <f t="shared" si="3"/>
        <v>7.0328010536001139E-3</v>
      </c>
      <c r="M27" s="18">
        <f t="shared" si="4"/>
        <v>1.5509117172979797E-2</v>
      </c>
      <c r="N27" s="15">
        <f t="shared" si="5"/>
        <v>2399936</v>
      </c>
      <c r="O27" s="18">
        <f t="shared" si="6"/>
        <v>0.24864555355046356</v>
      </c>
      <c r="P27" s="4">
        <v>25264011</v>
      </c>
      <c r="Q27" s="4">
        <v>789500.34375</v>
      </c>
      <c r="R27" s="4">
        <v>24266.09375</v>
      </c>
      <c r="S27" s="4">
        <v>6281784</v>
      </c>
      <c r="T27" s="4">
        <v>1760272</v>
      </c>
      <c r="U27" s="4">
        <v>639664</v>
      </c>
      <c r="V27" s="4">
        <v>3881848</v>
      </c>
      <c r="W27" s="4">
        <v>69.418956249999994</v>
      </c>
      <c r="X27" s="4">
        <v>71.791159375000007</v>
      </c>
      <c r="Y27" s="4">
        <v>30.34155625</v>
      </c>
      <c r="Z27" s="4">
        <v>35.029531249999998</v>
      </c>
      <c r="AA27" s="4">
        <v>34.489515625000003</v>
      </c>
      <c r="AB27" s="4">
        <v>2512.92</v>
      </c>
      <c r="AC27" s="4">
        <v>5335.91</v>
      </c>
      <c r="AD27" s="4">
        <v>6.165</v>
      </c>
      <c r="AE27" s="4">
        <v>27.228000000000002</v>
      </c>
      <c r="AG27" s="17">
        <f t="shared" si="7"/>
        <v>0.62818399999999996</v>
      </c>
      <c r="AH27" s="18">
        <f t="shared" si="8"/>
        <v>2.5097786575340252E-2</v>
      </c>
      <c r="AI27" s="18">
        <f t="shared" si="9"/>
        <v>9.588669402360455E-3</v>
      </c>
      <c r="AJ27" s="18">
        <f t="shared" si="10"/>
        <v>7.0328010536001139E-3</v>
      </c>
      <c r="AK27" s="18">
        <f t="shared" si="11"/>
        <v>1.5509117172979797E-2</v>
      </c>
      <c r="AL27" s="15">
        <f t="shared" si="12"/>
        <v>2399992</v>
      </c>
      <c r="AM27" s="18">
        <f t="shared" si="13"/>
        <v>0.24864777014227868</v>
      </c>
      <c r="AN27" s="4">
        <v>25264011</v>
      </c>
      <c r="AO27" s="4">
        <v>789500.34375</v>
      </c>
      <c r="AP27" s="4">
        <v>24266.09375</v>
      </c>
      <c r="AQ27" s="4">
        <v>6281840</v>
      </c>
      <c r="AR27" s="4">
        <v>1760272</v>
      </c>
      <c r="AS27" s="4">
        <v>639720</v>
      </c>
      <c r="AT27" s="4">
        <v>3881848</v>
      </c>
      <c r="AU27" s="4">
        <v>69.418956249999994</v>
      </c>
      <c r="AV27" s="4">
        <v>71.791159375000007</v>
      </c>
      <c r="AW27" s="4">
        <v>30.305753124999999</v>
      </c>
      <c r="AX27" s="4">
        <v>35.038309374999997</v>
      </c>
      <c r="AY27" s="4">
        <v>34.490946874999999</v>
      </c>
      <c r="AZ27" s="4">
        <v>2972.16</v>
      </c>
      <c r="BA27" s="4">
        <v>5319.47</v>
      </c>
      <c r="BB27" s="4">
        <v>17.890999999999998</v>
      </c>
      <c r="BC27" s="4">
        <v>24.99</v>
      </c>
      <c r="BE27" s="23">
        <f t="shared" si="14"/>
        <v>0</v>
      </c>
      <c r="BF27" s="23">
        <f t="shared" si="15"/>
        <v>5.5087959139887843E-6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282</v>
      </c>
      <c r="C28" s="26" t="s">
        <v>269</v>
      </c>
      <c r="D28" s="25">
        <v>250294582</v>
      </c>
      <c r="E28" s="26">
        <v>10</v>
      </c>
      <c r="F28" s="26">
        <v>300</v>
      </c>
      <c r="G28" s="26">
        <v>30</v>
      </c>
      <c r="I28" s="27">
        <f t="shared" si="0"/>
        <v>1.2671071999999999</v>
      </c>
      <c r="J28" s="28">
        <f t="shared" si="1"/>
        <v>5.0624635574412873E-2</v>
      </c>
      <c r="K28" s="28">
        <f t="shared" si="2"/>
        <v>1.3059523597678195E-2</v>
      </c>
      <c r="L28" s="28">
        <f t="shared" si="3"/>
        <v>1.050387898528303E-2</v>
      </c>
      <c r="M28" s="28">
        <f t="shared" si="4"/>
        <v>3.7565111976734678E-2</v>
      </c>
      <c r="N28" s="25">
        <f t="shared" si="5"/>
        <v>3268728</v>
      </c>
      <c r="O28" s="28">
        <f t="shared" si="6"/>
        <v>0.48305381294117106</v>
      </c>
      <c r="P28" s="4">
        <v>26231181</v>
      </c>
      <c r="Q28" s="4">
        <v>819724.40625</v>
      </c>
      <c r="R28" s="4">
        <v>27801.375</v>
      </c>
      <c r="S28" s="4">
        <v>12671072</v>
      </c>
      <c r="T28" s="4">
        <v>2629064</v>
      </c>
      <c r="U28" s="4">
        <v>639664</v>
      </c>
      <c r="V28" s="4">
        <v>9402344</v>
      </c>
      <c r="W28" s="4">
        <v>70.467950000000002</v>
      </c>
      <c r="X28" s="4">
        <v>73.026318750000002</v>
      </c>
      <c r="Y28" s="4">
        <v>32.826765625</v>
      </c>
      <c r="Z28" s="4">
        <v>36.565159375</v>
      </c>
      <c r="AA28" s="4">
        <v>36.043981250000002</v>
      </c>
      <c r="AB28" s="4">
        <v>2470.46</v>
      </c>
      <c r="AC28" s="4">
        <v>5774.89</v>
      </c>
      <c r="AD28" s="4">
        <v>5.8840000000000003</v>
      </c>
      <c r="AE28" s="4">
        <v>26.963000000000001</v>
      </c>
      <c r="AG28" s="27">
        <f t="shared" si="7"/>
        <v>1.2671128</v>
      </c>
      <c r="AH28" s="28">
        <f t="shared" si="8"/>
        <v>5.062485931077805E-2</v>
      </c>
      <c r="AI28" s="28">
        <f t="shared" si="9"/>
        <v>1.3059747334043371E-2</v>
      </c>
      <c r="AJ28" s="28">
        <f t="shared" si="10"/>
        <v>1.050387898528303E-2</v>
      </c>
      <c r="AK28" s="28">
        <f t="shared" si="11"/>
        <v>3.7565111976734678E-2</v>
      </c>
      <c r="AL28" s="25">
        <f t="shared" si="12"/>
        <v>3268784</v>
      </c>
      <c r="AM28" s="28">
        <f t="shared" si="13"/>
        <v>0.48305594780501876</v>
      </c>
      <c r="AN28" s="4">
        <v>26231181</v>
      </c>
      <c r="AO28" s="4">
        <v>819724.40625</v>
      </c>
      <c r="AP28" s="4">
        <v>27801.375</v>
      </c>
      <c r="AQ28" s="4">
        <v>12671128</v>
      </c>
      <c r="AR28" s="4">
        <v>2629064</v>
      </c>
      <c r="AS28" s="4">
        <v>639720</v>
      </c>
      <c r="AT28" s="4">
        <v>9402344</v>
      </c>
      <c r="AU28" s="4">
        <v>70.467950000000002</v>
      </c>
      <c r="AV28" s="4">
        <v>73.026318750000002</v>
      </c>
      <c r="AW28" s="4">
        <v>32.748162499999999</v>
      </c>
      <c r="AX28" s="4">
        <v>36.564749999999997</v>
      </c>
      <c r="AY28" s="4">
        <v>36.033903125000002</v>
      </c>
      <c r="AZ28" s="4">
        <v>3054.86</v>
      </c>
      <c r="BA28" s="4">
        <v>5730.74</v>
      </c>
      <c r="BB28" s="4">
        <v>18.565000000000001</v>
      </c>
      <c r="BC28" s="4">
        <v>26.475000000000001</v>
      </c>
      <c r="BE28" s="33">
        <f t="shared" si="14"/>
        <v>0</v>
      </c>
      <c r="BF28" s="33">
        <f t="shared" si="15"/>
        <v>3.27940856631459E-6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ht="15" outlineLevel="1" thickBot="1" x14ac:dyDescent="0.35">
      <c r="A29" s="35"/>
      <c r="B29" s="35" t="s">
        <v>282</v>
      </c>
      <c r="C29" s="36" t="s">
        <v>270</v>
      </c>
      <c r="D29" s="35">
        <v>250294582</v>
      </c>
      <c r="E29" s="36">
        <v>10</v>
      </c>
      <c r="F29" s="36">
        <v>300</v>
      </c>
      <c r="G29" s="36">
        <v>30</v>
      </c>
      <c r="I29" s="37">
        <f t="shared" si="0"/>
        <v>2.9398376000000002</v>
      </c>
      <c r="J29" s="38">
        <f t="shared" si="1"/>
        <v>0.11745510336296452</v>
      </c>
      <c r="K29" s="38">
        <f t="shared" si="2"/>
        <v>2.1379384073123883E-2</v>
      </c>
      <c r="L29" s="38">
        <f t="shared" si="3"/>
        <v>1.6373378789317942E-2</v>
      </c>
      <c r="M29" s="38">
        <f t="shared" si="4"/>
        <v>9.6075719289840641E-2</v>
      </c>
      <c r="N29" s="35">
        <f t="shared" si="5"/>
        <v>5351144</v>
      </c>
      <c r="O29" s="38">
        <f t="shared" si="6"/>
        <v>1.1725985281480076</v>
      </c>
      <c r="P29" s="4">
        <v>25071135</v>
      </c>
      <c r="Q29" s="4">
        <v>783472.96875</v>
      </c>
      <c r="R29" s="4">
        <v>12422.65625</v>
      </c>
      <c r="S29" s="4">
        <v>29398376</v>
      </c>
      <c r="T29" s="4">
        <v>4098168</v>
      </c>
      <c r="U29" s="4">
        <v>1252976</v>
      </c>
      <c r="V29" s="4">
        <v>24047232</v>
      </c>
      <c r="W29" s="4">
        <v>71.453581249999999</v>
      </c>
      <c r="X29" s="4">
        <v>74.876946875000002</v>
      </c>
      <c r="Y29" s="4">
        <v>35.518815625000002</v>
      </c>
      <c r="Z29" s="4">
        <v>38.555912499999998</v>
      </c>
      <c r="AA29" s="4">
        <v>37.9973375</v>
      </c>
      <c r="AB29" s="4">
        <v>2474.02</v>
      </c>
      <c r="AC29" s="4">
        <v>6485.03</v>
      </c>
      <c r="AD29" s="4">
        <v>5.5919999999999996</v>
      </c>
      <c r="AE29" s="4">
        <v>29.343</v>
      </c>
      <c r="AG29" s="37">
        <f t="shared" si="7"/>
        <v>2.9398432000000003</v>
      </c>
      <c r="AH29" s="38">
        <f t="shared" si="8"/>
        <v>0.1174553270993297</v>
      </c>
      <c r="AI29" s="38">
        <f t="shared" si="9"/>
        <v>2.1379607809489061E-2</v>
      </c>
      <c r="AJ29" s="38">
        <f t="shared" si="10"/>
        <v>1.6373378789317942E-2</v>
      </c>
      <c r="AK29" s="38">
        <f t="shared" si="11"/>
        <v>9.6075719289840641E-2</v>
      </c>
      <c r="AL29" s="35">
        <f t="shared" si="12"/>
        <v>5351200</v>
      </c>
      <c r="AM29" s="38">
        <f t="shared" si="13"/>
        <v>1.1726007617923959</v>
      </c>
      <c r="AN29" s="4">
        <v>25071135</v>
      </c>
      <c r="AO29" s="4">
        <v>783472.96875</v>
      </c>
      <c r="AP29" s="4">
        <v>12422.65625</v>
      </c>
      <c r="AQ29" s="4">
        <v>29398432</v>
      </c>
      <c r="AR29" s="4">
        <v>4098168</v>
      </c>
      <c r="AS29" s="4">
        <v>1253032</v>
      </c>
      <c r="AT29" s="4">
        <v>24047232</v>
      </c>
      <c r="AU29" s="4">
        <v>71.453581249999999</v>
      </c>
      <c r="AV29" s="4">
        <v>74.876946875000002</v>
      </c>
      <c r="AW29" s="4">
        <v>35.518815625000002</v>
      </c>
      <c r="AX29" s="4">
        <v>38.555912499999998</v>
      </c>
      <c r="AY29" s="4">
        <v>37.9973375</v>
      </c>
      <c r="AZ29" s="4">
        <v>3094.3</v>
      </c>
      <c r="BA29" s="4">
        <v>6472.42</v>
      </c>
      <c r="BB29" s="4">
        <v>63.558</v>
      </c>
      <c r="BC29" s="4">
        <v>27.722000000000001</v>
      </c>
      <c r="BE29" s="43">
        <f t="shared" si="14"/>
        <v>0</v>
      </c>
      <c r="BF29" s="43">
        <f t="shared" si="15"/>
        <v>1.5581369002259926E-6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286</v>
      </c>
      <c r="J30" s="56">
        <f>AVERAGE(J5:J24)</f>
        <v>2.0139978121206333E-2</v>
      </c>
      <c r="K30" s="56">
        <f>AVERAGE(K5:K24)</f>
        <v>9.7424029199519244E-3</v>
      </c>
      <c r="L30" s="56">
        <f>AVERAGE(L5:L24)</f>
        <v>6.8467767919660541E-3</v>
      </c>
      <c r="M30" s="56">
        <f>AVERAGE(M5:M24)</f>
        <v>1.039757520125441E-2</v>
      </c>
      <c r="AH30" s="56">
        <f>AVERAGE(AH5:AH24)</f>
        <v>2.0140200357121794E-2</v>
      </c>
      <c r="AI30" s="56">
        <f>AVERAGE(AI5:AI24)</f>
        <v>9.7426251558673828E-3</v>
      </c>
      <c r="AJ30" s="56">
        <f>AVERAGE(AJ5:AJ24)</f>
        <v>6.8467767919660541E-3</v>
      </c>
      <c r="AK30" s="56">
        <f>AVERAGE(AK5:AK24)</f>
        <v>1.039757520125441E-2</v>
      </c>
      <c r="BG30" s="58">
        <f>AVERAGE(BG5:BG24)</f>
        <v>5.8796351182777151E-6</v>
      </c>
      <c r="BI30" s="5">
        <f>AVERAGE(BI5:BI24)</f>
        <v>3.0601064498980701E-5</v>
      </c>
      <c r="BJ30" s="5">
        <f>AVERAGE(BJ5:BJ24)</f>
        <v>2.8972157379847374E-5</v>
      </c>
      <c r="BK30" s="5">
        <f>AVERAGE(BK5:BK24)</f>
        <v>2.6061481501083283E-2</v>
      </c>
      <c r="BL30" s="5">
        <f>AVERAGE(BL5:BL24)</f>
        <v>-1.6578163486302228E-2</v>
      </c>
      <c r="BM30" s="5">
        <f>AVERAGE(BM5:BM24)</f>
        <v>-9.1440765010399327E-3</v>
      </c>
      <c r="BO30" s="5">
        <f>AVERAGE(BO5:BO24)</f>
        <v>1.9971475367419611E-5</v>
      </c>
      <c r="BP30" s="5">
        <f>AVERAGE(BP5:BP24)</f>
        <v>1.8496489930852622E-5</v>
      </c>
      <c r="BQ30" s="5">
        <f>AVERAGE(BQ5:BQ24)</f>
        <v>1.8631658402686269E-2</v>
      </c>
      <c r="BR30" s="5">
        <f>AVERAGE(BR5:BR24)</f>
        <v>-8.6972993263237375E-3</v>
      </c>
      <c r="BS30" s="5">
        <f>AVERAGE(BS5:BS24)</f>
        <v>-3.7132495526608356E-3</v>
      </c>
    </row>
    <row r="31" spans="1:71" x14ac:dyDescent="0.3">
      <c r="B31" s="55" t="s">
        <v>287</v>
      </c>
      <c r="J31" s="56">
        <f>AVERAGE(J25:J29)</f>
        <v>4.3524509052297419E-2</v>
      </c>
      <c r="K31" s="56">
        <f>AVERAGE(K25:K29)</f>
        <v>1.1562318196723891E-2</v>
      </c>
      <c r="L31" s="56">
        <f>AVERAGE(L25:L29)</f>
        <v>8.5166014500465716E-3</v>
      </c>
      <c r="M31" s="56">
        <f>AVERAGE(M25:M29)</f>
        <v>3.1962190855573537E-2</v>
      </c>
      <c r="AH31" s="56">
        <f>AVERAGE(AH25:AH29)</f>
        <v>4.3524732788662604E-2</v>
      </c>
      <c r="AI31" s="56">
        <f>AVERAGE(AI25:AI29)</f>
        <v>1.1562541933089067E-2</v>
      </c>
      <c r="AJ31" s="56">
        <f>AVERAGE(AJ25:AJ29)</f>
        <v>8.5166014500465716E-3</v>
      </c>
      <c r="AK31" s="56">
        <f>AVERAGE(AK25:AK29)</f>
        <v>3.1962190855573537E-2</v>
      </c>
      <c r="BG31" s="58">
        <f>AVERAGE(BG25:BG29)</f>
        <v>5.2032982209571088E-6</v>
      </c>
      <c r="BI31" s="5">
        <f>AVERAGE(BI25:BI29)</f>
        <v>2.510846824921309E-5</v>
      </c>
      <c r="BJ31" s="5">
        <f>AVERAGE(BJ25:BJ29)</f>
        <v>2.375614881811039E-5</v>
      </c>
      <c r="BK31" s="5">
        <f>AVERAGE(BK25:BK29)</f>
        <v>1.2408732223967212E-2</v>
      </c>
      <c r="BL31" s="5">
        <f>AVERAGE(BL25:BL29)</f>
        <v>-4.3597199455929214E-3</v>
      </c>
      <c r="BM31" s="5">
        <f>AVERAGE(BM25:BM29)</f>
        <v>-6.7295066786576818E-4</v>
      </c>
      <c r="BO31" s="5">
        <f>AVERAGE(BO25:BO29)</f>
        <v>1.1711361072475057E-5</v>
      </c>
      <c r="BP31" s="5">
        <f>AVERAGE(BP25:BP29)</f>
        <v>1.0633011722882557E-5</v>
      </c>
      <c r="BQ31" s="5">
        <f>AVERAGE(BQ25:BQ29)</f>
        <v>1.0100346633554302E-2</v>
      </c>
      <c r="BR31" s="5">
        <f>AVERAGE(BR25:BR29)</f>
        <v>-2.7303383065071518E-3</v>
      </c>
      <c r="BS31" s="5">
        <f>AVERAGE(BS25:BS29)</f>
        <v>4.5890263285830457E-5</v>
      </c>
    </row>
    <row r="32" spans="1:71" collapsed="1" x14ac:dyDescent="0.3">
      <c r="B32" s="55" t="s">
        <v>288</v>
      </c>
      <c r="J32" s="56">
        <f>AVERAGE(J5:J29)</f>
        <v>2.4816884307424548E-2</v>
      </c>
      <c r="K32" s="56">
        <f>AVERAGE(K5:K29)</f>
        <v>1.0106385975306317E-2</v>
      </c>
      <c r="L32" s="56">
        <f>AVERAGE(L5:L29)</f>
        <v>7.180741723582156E-3</v>
      </c>
      <c r="M32" s="56">
        <f>AVERAGE(M5:M29)</f>
        <v>1.4710498332118233E-2</v>
      </c>
      <c r="AH32" s="56">
        <f>AVERAGE(AH5:AH29)</f>
        <v>2.4817106843429953E-2</v>
      </c>
      <c r="AI32" s="56">
        <f>AVERAGE(AI5:AI29)</f>
        <v>1.0106608511311718E-2</v>
      </c>
      <c r="AJ32" s="56">
        <f>AVERAGE(AJ5:AJ29)</f>
        <v>7.180741723582156E-3</v>
      </c>
      <c r="AK32" s="56">
        <f>AVERAGE(AK5:AK29)</f>
        <v>1.4710498332118233E-2</v>
      </c>
      <c r="BG32" s="58">
        <f>AVERAGE(BG5:BG29)</f>
        <v>5.7443677388135939E-6</v>
      </c>
      <c r="BI32" s="5">
        <f>AVERAGE(BI5:BI29)</f>
        <v>2.9502545249027179E-5</v>
      </c>
      <c r="BJ32" s="5">
        <f>AVERAGE(BJ5:BJ29)</f>
        <v>2.7928955667499977E-5</v>
      </c>
      <c r="BK32" s="5">
        <f>AVERAGE(BK5:BK29)</f>
        <v>2.333093164566007E-2</v>
      </c>
      <c r="BL32" s="5">
        <f>AVERAGE(BL5:BL29)</f>
        <v>-1.4134474778160367E-2</v>
      </c>
      <c r="BM32" s="5">
        <f>AVERAGE(BM5:BM29)</f>
        <v>-7.4498513344050995E-3</v>
      </c>
      <c r="BO32" s="5">
        <f>AVERAGE(BO5:BO29)</f>
        <v>1.8319452508430702E-5</v>
      </c>
      <c r="BP32" s="5">
        <f>AVERAGE(BP5:BP29)</f>
        <v>1.692379428925861E-5</v>
      </c>
      <c r="BQ32" s="5">
        <f>AVERAGE(BQ5:BQ29)</f>
        <v>1.6925396048859877E-2</v>
      </c>
      <c r="BR32" s="5">
        <f>AVERAGE(BR5:BR29)</f>
        <v>-7.5039071223604202E-3</v>
      </c>
      <c r="BS32" s="5">
        <f>AVERAGE(BS5:BS29)</f>
        <v>-2.9614215894715025E-3</v>
      </c>
    </row>
    <row r="33" spans="1:55" hidden="1" outlineLevel="2" x14ac:dyDescent="0.3">
      <c r="A33" s="55" t="s">
        <v>289</v>
      </c>
      <c r="B33" s="55" t="s">
        <v>290</v>
      </c>
      <c r="AB33" s="57">
        <f>SUM(AB5:AB24,AB25:AB29)</f>
        <v>71604.920000000013</v>
      </c>
      <c r="AC33" s="57">
        <f>SUM(AC5:AC24,AC25:AC29)</f>
        <v>108828.23999999999</v>
      </c>
      <c r="AD33" s="57">
        <f>SUM(AD5:AD24,AD25:AD29)</f>
        <v>167.48800000000003</v>
      </c>
      <c r="AE33" s="57">
        <f>SUM(AE5:AE24,AE25:AE29)</f>
        <v>577.79099999999983</v>
      </c>
      <c r="AZ33" s="57">
        <f>SUM(AZ5:AZ24,AZ25:AZ29)</f>
        <v>96691.489999999991</v>
      </c>
      <c r="BA33" s="57">
        <f>SUM(BA5:BA24,BA25:BA29)</f>
        <v>109246.20000000001</v>
      </c>
      <c r="BB33" s="57">
        <f>SUM(BB5:BB24,BB25:BB29)</f>
        <v>698.6930000000001</v>
      </c>
      <c r="BC33" s="57">
        <f>SUM(BC5:BC24,BC25:BC29)</f>
        <v>551.18499999999995</v>
      </c>
    </row>
    <row r="34" spans="1:55" hidden="1" outlineLevel="2" x14ac:dyDescent="0.3">
      <c r="B34" s="55" t="s">
        <v>291</v>
      </c>
      <c r="AZ34" s="58">
        <f>AZ33/AB33</f>
        <v>1.3503470152609622</v>
      </c>
      <c r="BA34" s="58">
        <f>BA33/AC33</f>
        <v>1.0038405472697163</v>
      </c>
      <c r="BB34" s="58">
        <f>BB33/AD33</f>
        <v>4.1716003534581585</v>
      </c>
      <c r="BC34" s="58">
        <f>BC33/AE33</f>
        <v>0.9539522076321717</v>
      </c>
    </row>
    <row r="35" spans="1:55" hidden="1" outlineLevel="2" x14ac:dyDescent="0.3">
      <c r="B35" s="55" t="s">
        <v>292</v>
      </c>
      <c r="AB35" s="57">
        <f>GEOMEAN(AB5:AB24,AB25:AB29)</f>
        <v>2804.7500337578822</v>
      </c>
      <c r="AC35" s="57">
        <f>GEOMEAN(AC5:AC24,AC25:AC29)</f>
        <v>4245.030717593846</v>
      </c>
      <c r="AD35" s="57">
        <f>GEOMEAN(AD5:AD24,AD25:AD29)</f>
        <v>6.6037149622735907</v>
      </c>
      <c r="AE35" s="57">
        <f>GEOMEAN(AE5:AE24,AE25:AE29)</f>
        <v>22.745213113466697</v>
      </c>
      <c r="AZ35" s="57">
        <f>GEOMEAN(AZ5:AZ24,AZ25:AZ29)</f>
        <v>3714.4788630451517</v>
      </c>
      <c r="BA35" s="57">
        <f>GEOMEAN(BA5:BA24,BA25:BA29)</f>
        <v>4258.1919422830279</v>
      </c>
      <c r="BB35" s="57">
        <f>GEOMEAN(BB5:BB24,BB25:BB29)</f>
        <v>24.77495932338061</v>
      </c>
      <c r="BC35" s="57">
        <f>GEOMEAN(BC5:BC24,BC25:BC29)</f>
        <v>21.726546388690622</v>
      </c>
    </row>
    <row r="36" spans="1:55" outlineLevel="2" collapsed="1" x14ac:dyDescent="0.3">
      <c r="B36" s="55" t="s">
        <v>293</v>
      </c>
      <c r="AZ36" s="58">
        <f>AZ35/AB35</f>
        <v>1.3243529078662277</v>
      </c>
      <c r="BA36" s="58">
        <f>BA35/AC35</f>
        <v>1.0031003838522614</v>
      </c>
      <c r="BB36" s="58">
        <f>BB35/AD35</f>
        <v>3.751670001645687</v>
      </c>
      <c r="BC36" s="58">
        <f>BC35/AE35</f>
        <v>0.95521401713431486</v>
      </c>
    </row>
  </sheetData>
  <mergeCells count="41">
    <mergeCell ref="A1:G1"/>
    <mergeCell ref="I1:AE1"/>
    <mergeCell ref="AG1:BC1"/>
    <mergeCell ref="A2:A3"/>
    <mergeCell ref="B2:B3"/>
    <mergeCell ref="C2:C3"/>
    <mergeCell ref="D2:D3"/>
    <mergeCell ref="E2:E3"/>
    <mergeCell ref="F2:F3"/>
    <mergeCell ref="G2:G3"/>
    <mergeCell ref="AD2:AE2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BB2:BC2"/>
    <mergeCell ref="AG2:AG3"/>
    <mergeCell ref="AH2:AK2"/>
    <mergeCell ref="AL2:AL3"/>
    <mergeCell ref="AM2:AM3"/>
    <mergeCell ref="AN2:AN3"/>
    <mergeCell ref="AO2:AO3"/>
    <mergeCell ref="AP2:AP3"/>
    <mergeCell ref="AQ2:AT2"/>
    <mergeCell ref="AU2:AV2"/>
    <mergeCell ref="AW2:AY2"/>
    <mergeCell ref="AZ2:BA2"/>
    <mergeCell ref="BQ2:BS2"/>
    <mergeCell ref="BE2:BE3"/>
    <mergeCell ref="BF2:BF3"/>
    <mergeCell ref="BG2:BG3"/>
    <mergeCell ref="BI2:BJ2"/>
    <mergeCell ref="BK2:BM2"/>
    <mergeCell ref="BO2:BP2"/>
  </mergeCells>
  <conditionalFormatting sqref="BI5:BI32">
    <cfRule type="cellIs" dxfId="31" priority="13" operator="greaterThanOrEqual">
      <formula>0.03</formula>
    </cfRule>
    <cfRule type="cellIs" dxfId="30" priority="14" operator="lessThanOrEqual">
      <formula>-0.03</formula>
    </cfRule>
  </conditionalFormatting>
  <conditionalFormatting sqref="BJ5:BJ32">
    <cfRule type="cellIs" dxfId="29" priority="11" operator="greaterThanOrEqual">
      <formula>0.03</formula>
    </cfRule>
    <cfRule type="cellIs" dxfId="28" priority="12" operator="lessThanOrEqual">
      <formula>-0.03</formula>
    </cfRule>
  </conditionalFormatting>
  <conditionalFormatting sqref="BK5:BK32">
    <cfRule type="cellIs" dxfId="27" priority="17" operator="greaterThanOrEqual">
      <formula>0.03</formula>
    </cfRule>
    <cfRule type="cellIs" dxfId="26" priority="18" operator="lessThanOrEqual">
      <formula>-0.03</formula>
    </cfRule>
  </conditionalFormatting>
  <conditionalFormatting sqref="BL5:BL32">
    <cfRule type="cellIs" dxfId="25" priority="9" operator="greaterThanOrEqual">
      <formula>0.03</formula>
    </cfRule>
    <cfRule type="cellIs" dxfId="24" priority="10" operator="lessThanOrEqual">
      <formula>-0.03</formula>
    </cfRule>
  </conditionalFormatting>
  <conditionalFormatting sqref="BM5:BM32">
    <cfRule type="cellIs" dxfId="23" priority="5" operator="greaterThanOrEqual">
      <formula>0.03</formula>
    </cfRule>
    <cfRule type="cellIs" dxfId="22" priority="6" operator="lessThanOrEqual">
      <formula>-0.03</formula>
    </cfRule>
  </conditionalFormatting>
  <conditionalFormatting sqref="BO5:BO32">
    <cfRule type="cellIs" dxfId="21" priority="3" operator="greaterThanOrEqual">
      <formula>0.03</formula>
    </cfRule>
    <cfRule type="cellIs" dxfId="20" priority="4" operator="lessThanOrEqual">
      <formula>-0.03</formula>
    </cfRule>
  </conditionalFormatting>
  <conditionalFormatting sqref="BP5:BP32">
    <cfRule type="cellIs" dxfId="19" priority="19" operator="greaterThanOrEqual">
      <formula>0.03</formula>
    </cfRule>
    <cfRule type="cellIs" dxfId="18" priority="20" operator="lessThanOrEqual">
      <formula>-0.03</formula>
    </cfRule>
  </conditionalFormatting>
  <conditionalFormatting sqref="BQ5:BQ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R5:BR32">
    <cfRule type="cellIs" dxfId="15" priority="1" operator="greaterThanOrEqual">
      <formula>0.03</formula>
    </cfRule>
    <cfRule type="cellIs" dxfId="14" priority="2" operator="lessThanOrEqual">
      <formula>-0.03</formula>
    </cfRule>
  </conditionalFormatting>
  <conditionalFormatting sqref="BS5:BS32">
    <cfRule type="cellIs" dxfId="13" priority="7" operator="greaterThanOrEqual">
      <formula>0.03</formula>
    </cfRule>
    <cfRule type="cellIs" dxfId="12" priority="8" operator="lessThanOrEqual">
      <formula>-0.03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74"/>
  <sheetViews>
    <sheetView workbookViewId="0"/>
  </sheetViews>
  <sheetFormatPr defaultRowHeight="14.4" x14ac:dyDescent="0.3"/>
  <sheetData>
    <row r="1" spans="1:2" x14ac:dyDescent="0.3">
      <c r="A1" t="s">
        <v>93</v>
      </c>
      <c r="B1">
        <v>1</v>
      </c>
    </row>
    <row r="2" spans="1:2" x14ac:dyDescent="0.3">
      <c r="A2" t="s">
        <v>96</v>
      </c>
      <c r="B2">
        <v>2</v>
      </c>
    </row>
    <row r="3" spans="1:2" x14ac:dyDescent="0.3">
      <c r="A3" t="s">
        <v>99</v>
      </c>
      <c r="B3">
        <v>3</v>
      </c>
    </row>
    <row r="4" spans="1:2" x14ac:dyDescent="0.3">
      <c r="A4" t="s">
        <v>102</v>
      </c>
      <c r="B4">
        <v>4</v>
      </c>
    </row>
    <row r="5" spans="1:2" x14ac:dyDescent="0.3">
      <c r="A5" t="s">
        <v>105</v>
      </c>
      <c r="B5">
        <v>5</v>
      </c>
    </row>
    <row r="6" spans="1:2" x14ac:dyDescent="0.3">
      <c r="A6" t="s">
        <v>108</v>
      </c>
      <c r="B6">
        <v>6</v>
      </c>
    </row>
    <row r="7" spans="1:2" x14ac:dyDescent="0.3">
      <c r="A7" t="s">
        <v>111</v>
      </c>
      <c r="B7">
        <v>7</v>
      </c>
    </row>
    <row r="8" spans="1:2" x14ac:dyDescent="0.3">
      <c r="A8" t="s">
        <v>114</v>
      </c>
      <c r="B8">
        <v>9</v>
      </c>
    </row>
    <row r="9" spans="1:2" x14ac:dyDescent="0.3">
      <c r="A9" t="s">
        <v>118</v>
      </c>
      <c r="B9">
        <v>10</v>
      </c>
    </row>
    <row r="10" spans="1:2" x14ac:dyDescent="0.3">
      <c r="A10" t="s">
        <v>121</v>
      </c>
      <c r="B10">
        <v>11</v>
      </c>
    </row>
    <row r="11" spans="1:2" x14ac:dyDescent="0.3">
      <c r="A11" t="s">
        <v>124</v>
      </c>
      <c r="B11">
        <v>12</v>
      </c>
    </row>
    <row r="12" spans="1:2" x14ac:dyDescent="0.3">
      <c r="A12" t="s">
        <v>127</v>
      </c>
      <c r="B12">
        <v>13</v>
      </c>
    </row>
    <row r="13" spans="1:2" x14ac:dyDescent="0.3">
      <c r="A13" t="s">
        <v>130</v>
      </c>
      <c r="B13">
        <v>14</v>
      </c>
    </row>
    <row r="14" spans="1:2" x14ac:dyDescent="0.3">
      <c r="A14" t="s">
        <v>133</v>
      </c>
      <c r="B14">
        <v>15</v>
      </c>
    </row>
    <row r="15" spans="1:2" x14ac:dyDescent="0.3">
      <c r="A15" t="s">
        <v>135</v>
      </c>
      <c r="B15">
        <v>16</v>
      </c>
    </row>
    <row r="16" spans="1:2" x14ac:dyDescent="0.3">
      <c r="A16" t="s">
        <v>137</v>
      </c>
      <c r="B16">
        <v>17</v>
      </c>
    </row>
    <row r="17" spans="1:2" x14ac:dyDescent="0.3">
      <c r="A17" t="s">
        <v>139</v>
      </c>
      <c r="B17">
        <v>18</v>
      </c>
    </row>
    <row r="18" spans="1:2" x14ac:dyDescent="0.3">
      <c r="A18" t="s">
        <v>142</v>
      </c>
      <c r="B18">
        <v>19</v>
      </c>
    </row>
    <row r="19" spans="1:2" x14ac:dyDescent="0.3">
      <c r="A19" t="s">
        <v>144</v>
      </c>
      <c r="B19">
        <v>20</v>
      </c>
    </row>
    <row r="20" spans="1:2" x14ac:dyDescent="0.3">
      <c r="A20" t="s">
        <v>147</v>
      </c>
      <c r="B20">
        <v>21</v>
      </c>
    </row>
    <row r="21" spans="1:2" x14ac:dyDescent="0.3">
      <c r="A21" t="s">
        <v>150</v>
      </c>
      <c r="B21">
        <v>22</v>
      </c>
    </row>
    <row r="22" spans="1:2" x14ac:dyDescent="0.3">
      <c r="A22" t="s">
        <v>154</v>
      </c>
      <c r="B22">
        <v>23</v>
      </c>
    </row>
    <row r="23" spans="1:2" x14ac:dyDescent="0.3">
      <c r="A23" t="s">
        <v>157</v>
      </c>
      <c r="B23">
        <v>24</v>
      </c>
    </row>
    <row r="24" spans="1:2" x14ac:dyDescent="0.3">
      <c r="A24" t="s">
        <v>161</v>
      </c>
      <c r="B24">
        <v>25</v>
      </c>
    </row>
    <row r="25" spans="1:2" x14ac:dyDescent="0.3">
      <c r="A25" t="s">
        <v>164</v>
      </c>
      <c r="B25">
        <v>26</v>
      </c>
    </row>
    <row r="26" spans="1:2" x14ac:dyDescent="0.3">
      <c r="A26" t="s">
        <v>167</v>
      </c>
      <c r="B26">
        <v>27</v>
      </c>
    </row>
    <row r="27" spans="1:2" x14ac:dyDescent="0.3">
      <c r="A27" t="s">
        <v>171</v>
      </c>
      <c r="B27">
        <v>28</v>
      </c>
    </row>
    <row r="28" spans="1:2" x14ac:dyDescent="0.3">
      <c r="A28" t="s">
        <v>174</v>
      </c>
      <c r="B28">
        <v>29</v>
      </c>
    </row>
    <row r="29" spans="1:2" x14ac:dyDescent="0.3">
      <c r="A29" t="s">
        <v>177</v>
      </c>
      <c r="B29">
        <v>30</v>
      </c>
    </row>
    <row r="30" spans="1:2" x14ac:dyDescent="0.3">
      <c r="A30" t="s">
        <v>179</v>
      </c>
      <c r="B30">
        <v>31</v>
      </c>
    </row>
    <row r="31" spans="1:2" x14ac:dyDescent="0.3">
      <c r="A31" t="s">
        <v>181</v>
      </c>
      <c r="B31">
        <v>33</v>
      </c>
    </row>
    <row r="32" spans="1:2" x14ac:dyDescent="0.3">
      <c r="A32" t="s">
        <v>183</v>
      </c>
      <c r="B32">
        <v>34</v>
      </c>
    </row>
    <row r="33" spans="1:2" x14ac:dyDescent="0.3">
      <c r="A33" t="s">
        <v>185</v>
      </c>
      <c r="B33">
        <v>35</v>
      </c>
    </row>
    <row r="34" spans="1:2" x14ac:dyDescent="0.3">
      <c r="A34" t="s">
        <v>187</v>
      </c>
      <c r="B34">
        <v>36</v>
      </c>
    </row>
    <row r="35" spans="1:2" x14ac:dyDescent="0.3">
      <c r="A35" t="s">
        <v>189</v>
      </c>
      <c r="B35">
        <v>37</v>
      </c>
    </row>
    <row r="36" spans="1:2" x14ac:dyDescent="0.3">
      <c r="A36" t="s">
        <v>192</v>
      </c>
      <c r="B36">
        <v>38</v>
      </c>
    </row>
    <row r="37" spans="1:2" x14ac:dyDescent="0.3">
      <c r="A37" t="s">
        <v>194</v>
      </c>
      <c r="B37">
        <v>39</v>
      </c>
    </row>
    <row r="38" spans="1:2" x14ac:dyDescent="0.3">
      <c r="A38" t="s">
        <v>196</v>
      </c>
      <c r="B38">
        <v>40</v>
      </c>
    </row>
    <row r="39" spans="1:2" x14ac:dyDescent="0.3">
      <c r="A39" t="s">
        <v>198</v>
      </c>
      <c r="B39">
        <v>41</v>
      </c>
    </row>
    <row r="40" spans="1:2" x14ac:dyDescent="0.3">
      <c r="A40" t="s">
        <v>200</v>
      </c>
      <c r="B40">
        <v>42</v>
      </c>
    </row>
    <row r="41" spans="1:2" x14ac:dyDescent="0.3">
      <c r="A41" t="s">
        <v>202</v>
      </c>
      <c r="B41">
        <v>43</v>
      </c>
    </row>
    <row r="42" spans="1:2" x14ac:dyDescent="0.3">
      <c r="A42" t="s">
        <v>204</v>
      </c>
      <c r="B42">
        <v>44</v>
      </c>
    </row>
    <row r="43" spans="1:2" x14ac:dyDescent="0.3">
      <c r="A43" t="s">
        <v>206</v>
      </c>
      <c r="B43">
        <v>45</v>
      </c>
    </row>
    <row r="44" spans="1:2" x14ac:dyDescent="0.3">
      <c r="A44" t="s">
        <v>208</v>
      </c>
      <c r="B44">
        <v>46</v>
      </c>
    </row>
    <row r="45" spans="1:2" x14ac:dyDescent="0.3">
      <c r="A45" t="s">
        <v>210</v>
      </c>
      <c r="B45">
        <v>47</v>
      </c>
    </row>
    <row r="46" spans="1:2" x14ac:dyDescent="0.3">
      <c r="A46" t="s">
        <v>212</v>
      </c>
      <c r="B46">
        <v>48</v>
      </c>
    </row>
    <row r="47" spans="1:2" x14ac:dyDescent="0.3">
      <c r="A47" t="s">
        <v>214</v>
      </c>
      <c r="B47">
        <v>49</v>
      </c>
    </row>
    <row r="48" spans="1:2" x14ac:dyDescent="0.3">
      <c r="A48" t="s">
        <v>216</v>
      </c>
      <c r="B48">
        <v>50</v>
      </c>
    </row>
    <row r="49" spans="1:2" x14ac:dyDescent="0.3">
      <c r="A49" t="s">
        <v>218</v>
      </c>
      <c r="B49">
        <v>51</v>
      </c>
    </row>
    <row r="50" spans="1:2" x14ac:dyDescent="0.3">
      <c r="A50" t="s">
        <v>220</v>
      </c>
      <c r="B50">
        <v>52</v>
      </c>
    </row>
    <row r="51" spans="1:2" x14ac:dyDescent="0.3">
      <c r="A51" t="s">
        <v>222</v>
      </c>
      <c r="B51">
        <v>53</v>
      </c>
    </row>
    <row r="52" spans="1:2" x14ac:dyDescent="0.3">
      <c r="A52" t="s">
        <v>224</v>
      </c>
      <c r="B52">
        <v>54</v>
      </c>
    </row>
    <row r="53" spans="1:2" x14ac:dyDescent="0.3">
      <c r="A53" t="s">
        <v>226</v>
      </c>
      <c r="B53">
        <v>55</v>
      </c>
    </row>
    <row r="54" spans="1:2" x14ac:dyDescent="0.3">
      <c r="A54" t="s">
        <v>229</v>
      </c>
      <c r="B54">
        <v>57</v>
      </c>
    </row>
    <row r="55" spans="1:2" x14ac:dyDescent="0.3">
      <c r="A55" t="s">
        <v>232</v>
      </c>
      <c r="B55">
        <v>58</v>
      </c>
    </row>
    <row r="56" spans="1:2" x14ac:dyDescent="0.3">
      <c r="A56" t="s">
        <v>234</v>
      </c>
      <c r="B56">
        <v>59</v>
      </c>
    </row>
    <row r="57" spans="1:2" x14ac:dyDescent="0.3">
      <c r="A57" t="s">
        <v>237</v>
      </c>
      <c r="B57">
        <v>61</v>
      </c>
    </row>
    <row r="58" spans="1:2" x14ac:dyDescent="0.3">
      <c r="A58" t="s">
        <v>239</v>
      </c>
      <c r="B58">
        <v>62</v>
      </c>
    </row>
    <row r="59" spans="1:2" x14ac:dyDescent="0.3">
      <c r="A59" t="s">
        <v>242</v>
      </c>
      <c r="B59">
        <v>63</v>
      </c>
    </row>
    <row r="60" spans="1:2" x14ac:dyDescent="0.3">
      <c r="A60" t="s">
        <v>244</v>
      </c>
      <c r="B60">
        <v>64</v>
      </c>
    </row>
    <row r="61" spans="1:2" x14ac:dyDescent="0.3">
      <c r="A61" t="s">
        <v>246</v>
      </c>
      <c r="B61">
        <v>65</v>
      </c>
    </row>
    <row r="62" spans="1:2" x14ac:dyDescent="0.3">
      <c r="A62" t="s">
        <v>249</v>
      </c>
      <c r="B62">
        <v>67</v>
      </c>
    </row>
    <row r="63" spans="1:2" x14ac:dyDescent="0.3">
      <c r="A63" t="s">
        <v>251</v>
      </c>
      <c r="B63">
        <v>68</v>
      </c>
    </row>
    <row r="64" spans="1:2" x14ac:dyDescent="0.3">
      <c r="A64" t="s">
        <v>254</v>
      </c>
      <c r="B64">
        <v>69</v>
      </c>
    </row>
    <row r="65" spans="1:24" x14ac:dyDescent="0.3">
      <c r="A65" t="s">
        <v>256</v>
      </c>
      <c r="B65">
        <v>70</v>
      </c>
    </row>
    <row r="66" spans="1:24" x14ac:dyDescent="0.3">
      <c r="A66" t="s">
        <v>258</v>
      </c>
      <c r="B66">
        <v>71</v>
      </c>
    </row>
    <row r="67" spans="1:24" x14ac:dyDescent="0.3">
      <c r="A67" t="s">
        <v>260</v>
      </c>
      <c r="B67" t="s">
        <v>261</v>
      </c>
    </row>
    <row r="68" spans="1:24" x14ac:dyDescent="0.3">
      <c r="A68" t="s">
        <v>262</v>
      </c>
      <c r="B68" t="s">
        <v>263</v>
      </c>
    </row>
    <row r="69" spans="1:24" x14ac:dyDescent="0.3">
      <c r="A69" t="s">
        <v>271</v>
      </c>
      <c r="B69" t="s">
        <v>272</v>
      </c>
    </row>
    <row r="70" spans="1:24" x14ac:dyDescent="0.3">
      <c r="A70" t="s">
        <v>274</v>
      </c>
      <c r="B70" t="s">
        <v>275</v>
      </c>
    </row>
    <row r="71" spans="1:24" x14ac:dyDescent="0.3">
      <c r="A71" t="s">
        <v>277</v>
      </c>
      <c r="B71" t="s">
        <v>278</v>
      </c>
    </row>
    <row r="72" spans="1:24" x14ac:dyDescent="0.3">
      <c r="A72" t="s">
        <v>280</v>
      </c>
      <c r="B72" t="s">
        <v>281</v>
      </c>
    </row>
    <row r="73" spans="1:24" x14ac:dyDescent="0.3">
      <c r="A73" t="s">
        <v>284</v>
      </c>
      <c r="B73" t="s">
        <v>285</v>
      </c>
    </row>
    <row r="74" spans="1:24" x14ac:dyDescent="0.3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 x14ac:dyDescent="0.3">
      <c r="A75" t="s">
        <v>302</v>
      </c>
      <c r="B75">
        <v>1</v>
      </c>
    </row>
    <row r="76" spans="1:24" x14ac:dyDescent="0.3">
      <c r="A76" t="s">
        <v>303</v>
      </c>
      <c r="B76">
        <v>2</v>
      </c>
    </row>
    <row r="77" spans="1:24" x14ac:dyDescent="0.3">
      <c r="A77" t="s">
        <v>304</v>
      </c>
      <c r="B77">
        <v>3</v>
      </c>
    </row>
    <row r="78" spans="1:24" x14ac:dyDescent="0.3">
      <c r="A78" t="s">
        <v>305</v>
      </c>
      <c r="B78">
        <v>4</v>
      </c>
    </row>
    <row r="79" spans="1:24" x14ac:dyDescent="0.3">
      <c r="A79" t="s">
        <v>306</v>
      </c>
      <c r="B79">
        <v>5</v>
      </c>
    </row>
    <row r="80" spans="1:24" x14ac:dyDescent="0.3">
      <c r="A80" t="s">
        <v>307</v>
      </c>
      <c r="B80">
        <v>6</v>
      </c>
    </row>
    <row r="81" spans="1:2" x14ac:dyDescent="0.3">
      <c r="A81" t="s">
        <v>310</v>
      </c>
      <c r="B81">
        <v>8</v>
      </c>
    </row>
    <row r="82" spans="1:2" x14ac:dyDescent="0.3">
      <c r="A82" t="s">
        <v>311</v>
      </c>
      <c r="B82">
        <v>9</v>
      </c>
    </row>
    <row r="83" spans="1:2" x14ac:dyDescent="0.3">
      <c r="A83" t="s">
        <v>312</v>
      </c>
      <c r="B83">
        <v>10</v>
      </c>
    </row>
    <row r="84" spans="1:2" x14ac:dyDescent="0.3">
      <c r="A84" t="s">
        <v>313</v>
      </c>
      <c r="B84">
        <v>11</v>
      </c>
    </row>
    <row r="85" spans="1:2" x14ac:dyDescent="0.3">
      <c r="A85" t="s">
        <v>314</v>
      </c>
      <c r="B85">
        <v>12</v>
      </c>
    </row>
    <row r="86" spans="1:2" x14ac:dyDescent="0.3">
      <c r="A86" t="s">
        <v>315</v>
      </c>
      <c r="B86">
        <v>13</v>
      </c>
    </row>
    <row r="87" spans="1:2" x14ac:dyDescent="0.3">
      <c r="A87" t="s">
        <v>316</v>
      </c>
      <c r="B87">
        <v>14</v>
      </c>
    </row>
    <row r="88" spans="1:2" x14ac:dyDescent="0.3">
      <c r="A88" t="s">
        <v>317</v>
      </c>
      <c r="B88">
        <v>15</v>
      </c>
    </row>
    <row r="89" spans="1:2" x14ac:dyDescent="0.3">
      <c r="A89" t="s">
        <v>318</v>
      </c>
      <c r="B89">
        <v>16</v>
      </c>
    </row>
    <row r="90" spans="1:2" x14ac:dyDescent="0.3">
      <c r="A90" t="s">
        <v>319</v>
      </c>
      <c r="B90">
        <v>17</v>
      </c>
    </row>
    <row r="91" spans="1:2" x14ac:dyDescent="0.3">
      <c r="A91" t="s">
        <v>320</v>
      </c>
      <c r="B91">
        <v>18</v>
      </c>
    </row>
    <row r="92" spans="1:2" x14ac:dyDescent="0.3">
      <c r="A92" t="s">
        <v>321</v>
      </c>
      <c r="B92">
        <v>19</v>
      </c>
    </row>
    <row r="93" spans="1:2" x14ac:dyDescent="0.3">
      <c r="A93" t="s">
        <v>322</v>
      </c>
      <c r="B93">
        <v>20</v>
      </c>
    </row>
    <row r="94" spans="1:2" x14ac:dyDescent="0.3">
      <c r="A94" t="s">
        <v>323</v>
      </c>
      <c r="B94">
        <v>21</v>
      </c>
    </row>
    <row r="95" spans="1:2" x14ac:dyDescent="0.3">
      <c r="A95" t="s">
        <v>324</v>
      </c>
      <c r="B95">
        <v>22</v>
      </c>
    </row>
    <row r="96" spans="1:2" x14ac:dyDescent="0.3">
      <c r="A96" t="s">
        <v>325</v>
      </c>
      <c r="B96">
        <v>23</v>
      </c>
    </row>
    <row r="97" spans="1:2" x14ac:dyDescent="0.3">
      <c r="A97" t="s">
        <v>326</v>
      </c>
      <c r="B97">
        <v>24</v>
      </c>
    </row>
    <row r="98" spans="1:2" x14ac:dyDescent="0.3">
      <c r="A98" t="s">
        <v>327</v>
      </c>
      <c r="B98">
        <v>25</v>
      </c>
    </row>
    <row r="99" spans="1:2" x14ac:dyDescent="0.3">
      <c r="A99" t="s">
        <v>328</v>
      </c>
      <c r="B99">
        <v>26</v>
      </c>
    </row>
    <row r="100" spans="1:2" x14ac:dyDescent="0.3">
      <c r="A100" t="s">
        <v>329</v>
      </c>
      <c r="B100">
        <v>27</v>
      </c>
    </row>
    <row r="101" spans="1:2" x14ac:dyDescent="0.3">
      <c r="A101" t="s">
        <v>330</v>
      </c>
      <c r="B101">
        <v>28</v>
      </c>
    </row>
    <row r="102" spans="1:2" x14ac:dyDescent="0.3">
      <c r="A102" t="s">
        <v>331</v>
      </c>
      <c r="B102">
        <v>29</v>
      </c>
    </row>
    <row r="103" spans="1:2" x14ac:dyDescent="0.3">
      <c r="A103" t="s">
        <v>333</v>
      </c>
      <c r="B103">
        <v>31</v>
      </c>
    </row>
    <row r="104" spans="1:2" x14ac:dyDescent="0.3">
      <c r="A104" t="s">
        <v>334</v>
      </c>
      <c r="B104">
        <v>32</v>
      </c>
    </row>
    <row r="105" spans="1:2" x14ac:dyDescent="0.3">
      <c r="A105" t="s">
        <v>335</v>
      </c>
      <c r="B105">
        <v>33</v>
      </c>
    </row>
    <row r="106" spans="1:2" x14ac:dyDescent="0.3">
      <c r="A106" t="s">
        <v>336</v>
      </c>
      <c r="B106">
        <v>34</v>
      </c>
    </row>
    <row r="107" spans="1:2" x14ac:dyDescent="0.3">
      <c r="A107" t="s">
        <v>337</v>
      </c>
      <c r="B107">
        <v>35</v>
      </c>
    </row>
    <row r="108" spans="1:2" x14ac:dyDescent="0.3">
      <c r="A108" t="s">
        <v>338</v>
      </c>
      <c r="B108">
        <v>36</v>
      </c>
    </row>
    <row r="109" spans="1:2" x14ac:dyDescent="0.3">
      <c r="A109" t="s">
        <v>339</v>
      </c>
      <c r="B109">
        <v>37</v>
      </c>
    </row>
    <row r="110" spans="1:2" x14ac:dyDescent="0.3">
      <c r="A110" t="s">
        <v>340</v>
      </c>
      <c r="B110">
        <v>38</v>
      </c>
    </row>
    <row r="111" spans="1:2" x14ac:dyDescent="0.3">
      <c r="A111" t="s">
        <v>341</v>
      </c>
      <c r="B111">
        <v>39</v>
      </c>
    </row>
    <row r="112" spans="1:2" x14ac:dyDescent="0.3">
      <c r="A112" t="s">
        <v>342</v>
      </c>
      <c r="B112">
        <v>40</v>
      </c>
    </row>
    <row r="113" spans="1:2" x14ac:dyDescent="0.3">
      <c r="A113" t="s">
        <v>343</v>
      </c>
      <c r="B113">
        <v>41</v>
      </c>
    </row>
    <row r="114" spans="1:2" x14ac:dyDescent="0.3">
      <c r="A114" t="s">
        <v>344</v>
      </c>
      <c r="B114">
        <v>42</v>
      </c>
    </row>
    <row r="115" spans="1:2" x14ac:dyDescent="0.3">
      <c r="A115" t="s">
        <v>345</v>
      </c>
      <c r="B115">
        <v>43</v>
      </c>
    </row>
    <row r="116" spans="1:2" x14ac:dyDescent="0.3">
      <c r="A116" t="s">
        <v>346</v>
      </c>
      <c r="B116">
        <v>44</v>
      </c>
    </row>
    <row r="117" spans="1:2" x14ac:dyDescent="0.3">
      <c r="A117" t="s">
        <v>347</v>
      </c>
      <c r="B117">
        <v>45</v>
      </c>
    </row>
    <row r="118" spans="1:2" x14ac:dyDescent="0.3">
      <c r="A118" t="s">
        <v>348</v>
      </c>
      <c r="B118">
        <v>46</v>
      </c>
    </row>
    <row r="119" spans="1:2" x14ac:dyDescent="0.3">
      <c r="A119" t="s">
        <v>349</v>
      </c>
      <c r="B119">
        <v>47</v>
      </c>
    </row>
    <row r="120" spans="1:2" x14ac:dyDescent="0.3">
      <c r="A120" t="s">
        <v>350</v>
      </c>
      <c r="B120">
        <v>48</v>
      </c>
    </row>
    <row r="121" spans="1:2" x14ac:dyDescent="0.3">
      <c r="A121" t="s">
        <v>351</v>
      </c>
      <c r="B121">
        <v>49</v>
      </c>
    </row>
    <row r="122" spans="1:2" x14ac:dyDescent="0.3">
      <c r="A122" t="s">
        <v>352</v>
      </c>
      <c r="B122">
        <v>50</v>
      </c>
    </row>
    <row r="123" spans="1:2" x14ac:dyDescent="0.3">
      <c r="A123" t="s">
        <v>353</v>
      </c>
      <c r="B123">
        <v>51</v>
      </c>
    </row>
    <row r="124" spans="1:2" x14ac:dyDescent="0.3">
      <c r="A124" t="s">
        <v>354</v>
      </c>
      <c r="B124">
        <v>52</v>
      </c>
    </row>
    <row r="125" spans="1:2" x14ac:dyDescent="0.3">
      <c r="A125" t="s">
        <v>357</v>
      </c>
      <c r="B125">
        <v>54</v>
      </c>
    </row>
    <row r="126" spans="1:2" x14ac:dyDescent="0.3">
      <c r="A126" t="s">
        <v>359</v>
      </c>
      <c r="B126">
        <v>55</v>
      </c>
    </row>
    <row r="127" spans="1:2" x14ac:dyDescent="0.3">
      <c r="A127" t="s">
        <v>361</v>
      </c>
      <c r="B127">
        <v>56</v>
      </c>
    </row>
    <row r="128" spans="1:2" x14ac:dyDescent="0.3">
      <c r="A128" t="s">
        <v>362</v>
      </c>
      <c r="B128">
        <v>57</v>
      </c>
    </row>
    <row r="129" spans="1:23" x14ac:dyDescent="0.3">
      <c r="A129" t="s">
        <v>363</v>
      </c>
      <c r="B129">
        <v>58</v>
      </c>
    </row>
    <row r="130" spans="1:23" x14ac:dyDescent="0.3">
      <c r="A130" t="s">
        <v>365</v>
      </c>
      <c r="B130" t="s">
        <v>366</v>
      </c>
    </row>
    <row r="131" spans="1:23" x14ac:dyDescent="0.3">
      <c r="A131" t="s">
        <v>367</v>
      </c>
      <c r="B131" t="s">
        <v>368</v>
      </c>
    </row>
    <row r="132" spans="1:23" x14ac:dyDescent="0.3">
      <c r="A132" t="s">
        <v>369</v>
      </c>
      <c r="B132" t="s">
        <v>370</v>
      </c>
    </row>
    <row r="133" spans="1:23" x14ac:dyDescent="0.3">
      <c r="A133" t="s">
        <v>371</v>
      </c>
      <c r="B133" t="s">
        <v>372</v>
      </c>
    </row>
    <row r="134" spans="1:23" x14ac:dyDescent="0.3">
      <c r="A134" t="s">
        <v>373</v>
      </c>
      <c r="B134" t="s">
        <v>374</v>
      </c>
    </row>
    <row r="135" spans="1:23" x14ac:dyDescent="0.3">
      <c r="A135" t="s">
        <v>375</v>
      </c>
      <c r="B135" t="s">
        <v>376</v>
      </c>
    </row>
    <row r="136" spans="1:23" x14ac:dyDescent="0.3">
      <c r="A136" t="s">
        <v>377</v>
      </c>
      <c r="B136" t="s">
        <v>378</v>
      </c>
    </row>
    <row r="137" spans="1:23" x14ac:dyDescent="0.3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 x14ac:dyDescent="0.3">
      <c r="A138" t="s">
        <v>384</v>
      </c>
      <c r="B138">
        <v>1</v>
      </c>
    </row>
    <row r="139" spans="1:23" x14ac:dyDescent="0.3">
      <c r="A139" t="s">
        <v>385</v>
      </c>
      <c r="B139">
        <v>2</v>
      </c>
    </row>
    <row r="140" spans="1:23" x14ac:dyDescent="0.3">
      <c r="A140" t="s">
        <v>386</v>
      </c>
      <c r="B140">
        <v>3</v>
      </c>
    </row>
    <row r="141" spans="1:23" x14ac:dyDescent="0.3">
      <c r="A141" t="s">
        <v>387</v>
      </c>
      <c r="B141">
        <v>4</v>
      </c>
    </row>
    <row r="142" spans="1:23" x14ac:dyDescent="0.3">
      <c r="A142" t="s">
        <v>388</v>
      </c>
      <c r="B142">
        <v>5</v>
      </c>
    </row>
    <row r="143" spans="1:23" x14ac:dyDescent="0.3">
      <c r="A143" t="s">
        <v>389</v>
      </c>
      <c r="B143">
        <v>6</v>
      </c>
    </row>
    <row r="144" spans="1:23" x14ac:dyDescent="0.3">
      <c r="A144" t="s">
        <v>390</v>
      </c>
      <c r="B144">
        <v>8</v>
      </c>
    </row>
    <row r="145" spans="1:2" x14ac:dyDescent="0.3">
      <c r="A145" t="s">
        <v>391</v>
      </c>
      <c r="B145">
        <v>9</v>
      </c>
    </row>
    <row r="146" spans="1:2" x14ac:dyDescent="0.3">
      <c r="A146" t="s">
        <v>392</v>
      </c>
      <c r="B146">
        <v>10</v>
      </c>
    </row>
    <row r="147" spans="1:2" x14ac:dyDescent="0.3">
      <c r="A147" t="s">
        <v>393</v>
      </c>
      <c r="B147">
        <v>11</v>
      </c>
    </row>
    <row r="148" spans="1:2" x14ac:dyDescent="0.3">
      <c r="A148" t="s">
        <v>394</v>
      </c>
      <c r="B148">
        <v>12</v>
      </c>
    </row>
    <row r="149" spans="1:2" x14ac:dyDescent="0.3">
      <c r="A149" t="s">
        <v>395</v>
      </c>
      <c r="B149">
        <v>13</v>
      </c>
    </row>
    <row r="150" spans="1:2" x14ac:dyDescent="0.3">
      <c r="A150" t="s">
        <v>396</v>
      </c>
      <c r="B150">
        <v>14</v>
      </c>
    </row>
    <row r="151" spans="1:2" x14ac:dyDescent="0.3">
      <c r="A151" t="s">
        <v>397</v>
      </c>
      <c r="B151">
        <v>15</v>
      </c>
    </row>
    <row r="152" spans="1:2" x14ac:dyDescent="0.3">
      <c r="A152" t="s">
        <v>398</v>
      </c>
      <c r="B152">
        <v>16</v>
      </c>
    </row>
    <row r="153" spans="1:2" x14ac:dyDescent="0.3">
      <c r="A153" t="s">
        <v>399</v>
      </c>
      <c r="B153">
        <v>17</v>
      </c>
    </row>
    <row r="154" spans="1:2" x14ac:dyDescent="0.3">
      <c r="A154" t="s">
        <v>400</v>
      </c>
      <c r="B154">
        <v>18</v>
      </c>
    </row>
    <row r="155" spans="1:2" x14ac:dyDescent="0.3">
      <c r="A155" t="s">
        <v>401</v>
      </c>
      <c r="B155">
        <v>19</v>
      </c>
    </row>
    <row r="156" spans="1:2" x14ac:dyDescent="0.3">
      <c r="A156" t="s">
        <v>402</v>
      </c>
      <c r="B156">
        <v>20</v>
      </c>
    </row>
    <row r="157" spans="1:2" x14ac:dyDescent="0.3">
      <c r="A157" t="s">
        <v>403</v>
      </c>
      <c r="B157">
        <v>21</v>
      </c>
    </row>
    <row r="158" spans="1:2" x14ac:dyDescent="0.3">
      <c r="A158" t="s">
        <v>404</v>
      </c>
      <c r="B158">
        <v>22</v>
      </c>
    </row>
    <row r="159" spans="1:2" x14ac:dyDescent="0.3">
      <c r="A159" t="s">
        <v>405</v>
      </c>
      <c r="B159">
        <v>23</v>
      </c>
    </row>
    <row r="160" spans="1:2" x14ac:dyDescent="0.3">
      <c r="A160" t="s">
        <v>406</v>
      </c>
      <c r="B160">
        <v>24</v>
      </c>
    </row>
    <row r="161" spans="1:2" x14ac:dyDescent="0.3">
      <c r="A161" t="s">
        <v>407</v>
      </c>
      <c r="B161">
        <v>25</v>
      </c>
    </row>
    <row r="162" spans="1:2" x14ac:dyDescent="0.3">
      <c r="A162" t="s">
        <v>408</v>
      </c>
      <c r="B162">
        <v>26</v>
      </c>
    </row>
    <row r="163" spans="1:2" x14ac:dyDescent="0.3">
      <c r="A163" t="s">
        <v>409</v>
      </c>
      <c r="B163">
        <v>27</v>
      </c>
    </row>
    <row r="164" spans="1:2" x14ac:dyDescent="0.3">
      <c r="A164" t="s">
        <v>410</v>
      </c>
      <c r="B164">
        <v>28</v>
      </c>
    </row>
    <row r="165" spans="1:2" x14ac:dyDescent="0.3">
      <c r="A165" t="s">
        <v>411</v>
      </c>
      <c r="B165">
        <v>29</v>
      </c>
    </row>
    <row r="166" spans="1:2" x14ac:dyDescent="0.3">
      <c r="A166" t="s">
        <v>412</v>
      </c>
      <c r="B166">
        <v>31</v>
      </c>
    </row>
    <row r="167" spans="1:2" x14ac:dyDescent="0.3">
      <c r="A167" t="s">
        <v>413</v>
      </c>
      <c r="B167">
        <v>32</v>
      </c>
    </row>
    <row r="168" spans="1:2" x14ac:dyDescent="0.3">
      <c r="A168" t="s">
        <v>414</v>
      </c>
      <c r="B168">
        <v>33</v>
      </c>
    </row>
    <row r="169" spans="1:2" x14ac:dyDescent="0.3">
      <c r="A169" t="s">
        <v>415</v>
      </c>
      <c r="B169">
        <v>34</v>
      </c>
    </row>
    <row r="170" spans="1:2" x14ac:dyDescent="0.3">
      <c r="A170" t="s">
        <v>416</v>
      </c>
      <c r="B170">
        <v>35</v>
      </c>
    </row>
    <row r="171" spans="1:2" x14ac:dyDescent="0.3">
      <c r="A171" t="s">
        <v>417</v>
      </c>
      <c r="B171">
        <v>36</v>
      </c>
    </row>
    <row r="172" spans="1:2" x14ac:dyDescent="0.3">
      <c r="A172" t="s">
        <v>418</v>
      </c>
      <c r="B172">
        <v>37</v>
      </c>
    </row>
    <row r="173" spans="1:2" x14ac:dyDescent="0.3">
      <c r="A173" t="s">
        <v>419</v>
      </c>
      <c r="B173">
        <v>38</v>
      </c>
    </row>
    <row r="174" spans="1:2" x14ac:dyDescent="0.3">
      <c r="A174" t="s">
        <v>420</v>
      </c>
      <c r="B174">
        <v>39</v>
      </c>
    </row>
    <row r="175" spans="1:2" x14ac:dyDescent="0.3">
      <c r="A175" t="s">
        <v>421</v>
      </c>
      <c r="B175">
        <v>40</v>
      </c>
    </row>
    <row r="176" spans="1:2" x14ac:dyDescent="0.3">
      <c r="A176" t="s">
        <v>422</v>
      </c>
      <c r="B176">
        <v>41</v>
      </c>
    </row>
    <row r="177" spans="1:2" x14ac:dyDescent="0.3">
      <c r="A177" t="s">
        <v>423</v>
      </c>
      <c r="B177">
        <v>42</v>
      </c>
    </row>
    <row r="178" spans="1:2" x14ac:dyDescent="0.3">
      <c r="A178" t="s">
        <v>424</v>
      </c>
      <c r="B178">
        <v>43</v>
      </c>
    </row>
    <row r="179" spans="1:2" x14ac:dyDescent="0.3">
      <c r="A179" t="s">
        <v>425</v>
      </c>
      <c r="B179">
        <v>44</v>
      </c>
    </row>
    <row r="180" spans="1:2" x14ac:dyDescent="0.3">
      <c r="A180" t="s">
        <v>426</v>
      </c>
      <c r="B180">
        <v>45</v>
      </c>
    </row>
    <row r="181" spans="1:2" x14ac:dyDescent="0.3">
      <c r="A181" t="s">
        <v>427</v>
      </c>
      <c r="B181">
        <v>46</v>
      </c>
    </row>
    <row r="182" spans="1:2" x14ac:dyDescent="0.3">
      <c r="A182" t="s">
        <v>428</v>
      </c>
      <c r="B182">
        <v>47</v>
      </c>
    </row>
    <row r="183" spans="1:2" x14ac:dyDescent="0.3">
      <c r="A183" t="s">
        <v>429</v>
      </c>
      <c r="B183">
        <v>48</v>
      </c>
    </row>
    <row r="184" spans="1:2" x14ac:dyDescent="0.3">
      <c r="A184" t="s">
        <v>430</v>
      </c>
      <c r="B184">
        <v>49</v>
      </c>
    </row>
    <row r="185" spans="1:2" x14ac:dyDescent="0.3">
      <c r="A185" t="s">
        <v>431</v>
      </c>
      <c r="B185">
        <v>50</v>
      </c>
    </row>
    <row r="186" spans="1:2" x14ac:dyDescent="0.3">
      <c r="A186" t="s">
        <v>432</v>
      </c>
      <c r="B186">
        <v>51</v>
      </c>
    </row>
    <row r="187" spans="1:2" x14ac:dyDescent="0.3">
      <c r="A187" t="s">
        <v>433</v>
      </c>
      <c r="B187">
        <v>52</v>
      </c>
    </row>
    <row r="188" spans="1:2" x14ac:dyDescent="0.3">
      <c r="A188" t="s">
        <v>434</v>
      </c>
      <c r="B188">
        <v>54</v>
      </c>
    </row>
    <row r="189" spans="1:2" x14ac:dyDescent="0.3">
      <c r="A189" t="s">
        <v>435</v>
      </c>
      <c r="B189">
        <v>55</v>
      </c>
    </row>
    <row r="190" spans="1:2" x14ac:dyDescent="0.3">
      <c r="A190" t="s">
        <v>436</v>
      </c>
      <c r="B190">
        <v>56</v>
      </c>
    </row>
    <row r="191" spans="1:2" x14ac:dyDescent="0.3">
      <c r="A191" t="s">
        <v>437</v>
      </c>
      <c r="B191">
        <v>57</v>
      </c>
    </row>
    <row r="192" spans="1:2" x14ac:dyDescent="0.3">
      <c r="A192" t="s">
        <v>438</v>
      </c>
      <c r="B192">
        <v>58</v>
      </c>
    </row>
    <row r="193" spans="1:23" x14ac:dyDescent="0.3">
      <c r="A193" t="s">
        <v>440</v>
      </c>
      <c r="B193" t="s">
        <v>441</v>
      </c>
    </row>
    <row r="194" spans="1:23" x14ac:dyDescent="0.3">
      <c r="A194" t="s">
        <v>442</v>
      </c>
      <c r="B194" t="s">
        <v>443</v>
      </c>
    </row>
    <row r="195" spans="1:23" x14ac:dyDescent="0.3">
      <c r="A195" t="s">
        <v>444</v>
      </c>
      <c r="B195" t="s">
        <v>445</v>
      </c>
    </row>
    <row r="196" spans="1:23" x14ac:dyDescent="0.3">
      <c r="A196" t="s">
        <v>446</v>
      </c>
      <c r="B196" t="s">
        <v>447</v>
      </c>
    </row>
    <row r="197" spans="1:23" x14ac:dyDescent="0.3">
      <c r="A197" t="s">
        <v>448</v>
      </c>
      <c r="B197" t="s">
        <v>449</v>
      </c>
    </row>
    <row r="198" spans="1:23" x14ac:dyDescent="0.3">
      <c r="A198" t="s">
        <v>450</v>
      </c>
      <c r="B198" t="s">
        <v>451</v>
      </c>
    </row>
    <row r="199" spans="1:23" x14ac:dyDescent="0.3">
      <c r="A199" t="s">
        <v>452</v>
      </c>
      <c r="B199" t="s">
        <v>453</v>
      </c>
    </row>
    <row r="200" spans="1:23" x14ac:dyDescent="0.3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 x14ac:dyDescent="0.3">
      <c r="A201" t="s">
        <v>460</v>
      </c>
      <c r="B201">
        <v>1</v>
      </c>
    </row>
    <row r="202" spans="1:23" x14ac:dyDescent="0.3">
      <c r="A202" t="s">
        <v>461</v>
      </c>
      <c r="B202">
        <v>2</v>
      </c>
    </row>
    <row r="203" spans="1:23" x14ac:dyDescent="0.3">
      <c r="A203" t="s">
        <v>462</v>
      </c>
      <c r="B203">
        <v>3</v>
      </c>
    </row>
    <row r="204" spans="1:23" x14ac:dyDescent="0.3">
      <c r="A204" t="s">
        <v>463</v>
      </c>
      <c r="B204">
        <v>4</v>
      </c>
    </row>
    <row r="205" spans="1:23" x14ac:dyDescent="0.3">
      <c r="A205" t="s">
        <v>464</v>
      </c>
      <c r="B205">
        <v>5</v>
      </c>
    </row>
    <row r="206" spans="1:23" x14ac:dyDescent="0.3">
      <c r="A206" t="s">
        <v>465</v>
      </c>
      <c r="B206">
        <v>6</v>
      </c>
    </row>
    <row r="207" spans="1:23" x14ac:dyDescent="0.3">
      <c r="A207" t="s">
        <v>466</v>
      </c>
      <c r="B207">
        <v>7</v>
      </c>
    </row>
    <row r="208" spans="1:23" x14ac:dyDescent="0.3">
      <c r="A208" t="s">
        <v>467</v>
      </c>
      <c r="B208">
        <v>9</v>
      </c>
    </row>
    <row r="209" spans="1:2" x14ac:dyDescent="0.3">
      <c r="A209" t="s">
        <v>468</v>
      </c>
      <c r="B209">
        <v>10</v>
      </c>
    </row>
    <row r="210" spans="1:2" x14ac:dyDescent="0.3">
      <c r="A210" t="s">
        <v>469</v>
      </c>
      <c r="B210">
        <v>11</v>
      </c>
    </row>
    <row r="211" spans="1:2" x14ac:dyDescent="0.3">
      <c r="A211" t="s">
        <v>470</v>
      </c>
      <c r="B211">
        <v>12</v>
      </c>
    </row>
    <row r="212" spans="1:2" x14ac:dyDescent="0.3">
      <c r="A212" t="s">
        <v>471</v>
      </c>
      <c r="B212">
        <v>13</v>
      </c>
    </row>
    <row r="213" spans="1:2" x14ac:dyDescent="0.3">
      <c r="A213" t="s">
        <v>472</v>
      </c>
      <c r="B213">
        <v>14</v>
      </c>
    </row>
    <row r="214" spans="1:2" x14ac:dyDescent="0.3">
      <c r="A214" t="s">
        <v>473</v>
      </c>
      <c r="B214">
        <v>15</v>
      </c>
    </row>
    <row r="215" spans="1:2" x14ac:dyDescent="0.3">
      <c r="A215" t="s">
        <v>474</v>
      </c>
      <c r="B215">
        <v>16</v>
      </c>
    </row>
    <row r="216" spans="1:2" x14ac:dyDescent="0.3">
      <c r="A216" t="s">
        <v>475</v>
      </c>
      <c r="B216">
        <v>17</v>
      </c>
    </row>
    <row r="217" spans="1:2" x14ac:dyDescent="0.3">
      <c r="A217" t="s">
        <v>476</v>
      </c>
      <c r="B217">
        <v>18</v>
      </c>
    </row>
    <row r="218" spans="1:2" x14ac:dyDescent="0.3">
      <c r="A218" t="s">
        <v>477</v>
      </c>
      <c r="B218">
        <v>19</v>
      </c>
    </row>
    <row r="219" spans="1:2" x14ac:dyDescent="0.3">
      <c r="A219" t="s">
        <v>478</v>
      </c>
      <c r="B219">
        <v>20</v>
      </c>
    </row>
    <row r="220" spans="1:2" x14ac:dyDescent="0.3">
      <c r="A220" t="s">
        <v>479</v>
      </c>
      <c r="B220">
        <v>21</v>
      </c>
    </row>
    <row r="221" spans="1:2" x14ac:dyDescent="0.3">
      <c r="A221" t="s">
        <v>480</v>
      </c>
      <c r="B221">
        <v>22</v>
      </c>
    </row>
    <row r="222" spans="1:2" x14ac:dyDescent="0.3">
      <c r="A222" t="s">
        <v>481</v>
      </c>
      <c r="B222">
        <v>23</v>
      </c>
    </row>
    <row r="223" spans="1:2" x14ac:dyDescent="0.3">
      <c r="A223" t="s">
        <v>482</v>
      </c>
      <c r="B223">
        <v>24</v>
      </c>
    </row>
    <row r="224" spans="1:2" x14ac:dyDescent="0.3">
      <c r="A224" t="s">
        <v>483</v>
      </c>
      <c r="B224">
        <v>25</v>
      </c>
    </row>
    <row r="225" spans="1:2" x14ac:dyDescent="0.3">
      <c r="A225" t="s">
        <v>484</v>
      </c>
      <c r="B225">
        <v>26</v>
      </c>
    </row>
    <row r="226" spans="1:2" x14ac:dyDescent="0.3">
      <c r="A226" t="s">
        <v>485</v>
      </c>
      <c r="B226">
        <v>27</v>
      </c>
    </row>
    <row r="227" spans="1:2" x14ac:dyDescent="0.3">
      <c r="A227" t="s">
        <v>486</v>
      </c>
      <c r="B227">
        <v>28</v>
      </c>
    </row>
    <row r="228" spans="1:2" x14ac:dyDescent="0.3">
      <c r="A228" t="s">
        <v>487</v>
      </c>
      <c r="B228">
        <v>29</v>
      </c>
    </row>
    <row r="229" spans="1:2" x14ac:dyDescent="0.3">
      <c r="A229" t="s">
        <v>488</v>
      </c>
      <c r="B229">
        <v>30</v>
      </c>
    </row>
    <row r="230" spans="1:2" x14ac:dyDescent="0.3">
      <c r="A230" t="s">
        <v>489</v>
      </c>
      <c r="B230">
        <v>31</v>
      </c>
    </row>
    <row r="231" spans="1:2" x14ac:dyDescent="0.3">
      <c r="A231" t="s">
        <v>490</v>
      </c>
      <c r="B231">
        <v>33</v>
      </c>
    </row>
    <row r="232" spans="1:2" x14ac:dyDescent="0.3">
      <c r="A232" t="s">
        <v>491</v>
      </c>
      <c r="B232">
        <v>34</v>
      </c>
    </row>
    <row r="233" spans="1:2" x14ac:dyDescent="0.3">
      <c r="A233" t="s">
        <v>492</v>
      </c>
      <c r="B233">
        <v>35</v>
      </c>
    </row>
    <row r="234" spans="1:2" x14ac:dyDescent="0.3">
      <c r="A234" t="s">
        <v>493</v>
      </c>
      <c r="B234">
        <v>36</v>
      </c>
    </row>
    <row r="235" spans="1:2" x14ac:dyDescent="0.3">
      <c r="A235" t="s">
        <v>494</v>
      </c>
      <c r="B235">
        <v>37</v>
      </c>
    </row>
    <row r="236" spans="1:2" x14ac:dyDescent="0.3">
      <c r="A236" t="s">
        <v>495</v>
      </c>
      <c r="B236">
        <v>38</v>
      </c>
    </row>
    <row r="237" spans="1:2" x14ac:dyDescent="0.3">
      <c r="A237" t="s">
        <v>496</v>
      </c>
      <c r="B237">
        <v>39</v>
      </c>
    </row>
    <row r="238" spans="1:2" x14ac:dyDescent="0.3">
      <c r="A238" t="s">
        <v>497</v>
      </c>
      <c r="B238">
        <v>40</v>
      </c>
    </row>
    <row r="239" spans="1:2" x14ac:dyDescent="0.3">
      <c r="A239" t="s">
        <v>498</v>
      </c>
      <c r="B239">
        <v>41</v>
      </c>
    </row>
    <row r="240" spans="1:2" x14ac:dyDescent="0.3">
      <c r="A240" t="s">
        <v>499</v>
      </c>
      <c r="B240">
        <v>42</v>
      </c>
    </row>
    <row r="241" spans="1:2" x14ac:dyDescent="0.3">
      <c r="A241" t="s">
        <v>500</v>
      </c>
      <c r="B241">
        <v>43</v>
      </c>
    </row>
    <row r="242" spans="1:2" x14ac:dyDescent="0.3">
      <c r="A242" t="s">
        <v>501</v>
      </c>
      <c r="B242">
        <v>44</v>
      </c>
    </row>
    <row r="243" spans="1:2" x14ac:dyDescent="0.3">
      <c r="A243" t="s">
        <v>502</v>
      </c>
      <c r="B243">
        <v>45</v>
      </c>
    </row>
    <row r="244" spans="1:2" x14ac:dyDescent="0.3">
      <c r="A244" t="s">
        <v>503</v>
      </c>
      <c r="B244">
        <v>46</v>
      </c>
    </row>
    <row r="245" spans="1:2" x14ac:dyDescent="0.3">
      <c r="A245" t="s">
        <v>504</v>
      </c>
      <c r="B245">
        <v>47</v>
      </c>
    </row>
    <row r="246" spans="1:2" x14ac:dyDescent="0.3">
      <c r="A246" t="s">
        <v>505</v>
      </c>
      <c r="B246">
        <v>48</v>
      </c>
    </row>
    <row r="247" spans="1:2" x14ac:dyDescent="0.3">
      <c r="A247" t="s">
        <v>506</v>
      </c>
      <c r="B247">
        <v>49</v>
      </c>
    </row>
    <row r="248" spans="1:2" x14ac:dyDescent="0.3">
      <c r="A248" t="s">
        <v>507</v>
      </c>
      <c r="B248">
        <v>50</v>
      </c>
    </row>
    <row r="249" spans="1:2" x14ac:dyDescent="0.3">
      <c r="A249" t="s">
        <v>508</v>
      </c>
      <c r="B249">
        <v>51</v>
      </c>
    </row>
    <row r="250" spans="1:2" x14ac:dyDescent="0.3">
      <c r="A250" t="s">
        <v>509</v>
      </c>
      <c r="B250">
        <v>52</v>
      </c>
    </row>
    <row r="251" spans="1:2" x14ac:dyDescent="0.3">
      <c r="A251" t="s">
        <v>510</v>
      </c>
      <c r="B251">
        <v>53</v>
      </c>
    </row>
    <row r="252" spans="1:2" x14ac:dyDescent="0.3">
      <c r="A252" t="s">
        <v>511</v>
      </c>
      <c r="B252">
        <v>54</v>
      </c>
    </row>
    <row r="253" spans="1:2" x14ac:dyDescent="0.3">
      <c r="A253" t="s">
        <v>512</v>
      </c>
      <c r="B253">
        <v>55</v>
      </c>
    </row>
    <row r="254" spans="1:2" x14ac:dyDescent="0.3">
      <c r="A254" t="s">
        <v>513</v>
      </c>
      <c r="B254">
        <v>57</v>
      </c>
    </row>
    <row r="255" spans="1:2" x14ac:dyDescent="0.3">
      <c r="A255" t="s">
        <v>514</v>
      </c>
      <c r="B255">
        <v>58</v>
      </c>
    </row>
    <row r="256" spans="1:2" x14ac:dyDescent="0.3">
      <c r="A256" t="s">
        <v>515</v>
      </c>
      <c r="B256">
        <v>59</v>
      </c>
    </row>
    <row r="257" spans="1:2" x14ac:dyDescent="0.3">
      <c r="A257" t="s">
        <v>516</v>
      </c>
      <c r="B257">
        <v>61</v>
      </c>
    </row>
    <row r="258" spans="1:2" x14ac:dyDescent="0.3">
      <c r="A258" t="s">
        <v>517</v>
      </c>
      <c r="B258">
        <v>62</v>
      </c>
    </row>
    <row r="259" spans="1:2" x14ac:dyDescent="0.3">
      <c r="A259" t="s">
        <v>518</v>
      </c>
      <c r="B259">
        <v>63</v>
      </c>
    </row>
    <row r="260" spans="1:2" x14ac:dyDescent="0.3">
      <c r="A260" t="s">
        <v>519</v>
      </c>
      <c r="B260">
        <v>64</v>
      </c>
    </row>
    <row r="261" spans="1:2" x14ac:dyDescent="0.3">
      <c r="A261" t="s">
        <v>520</v>
      </c>
      <c r="B261">
        <v>65</v>
      </c>
    </row>
    <row r="262" spans="1:2" x14ac:dyDescent="0.3">
      <c r="A262" t="s">
        <v>521</v>
      </c>
      <c r="B262">
        <v>67</v>
      </c>
    </row>
    <row r="263" spans="1:2" x14ac:dyDescent="0.3">
      <c r="A263" t="s">
        <v>522</v>
      </c>
      <c r="B263">
        <v>68</v>
      </c>
    </row>
    <row r="264" spans="1:2" x14ac:dyDescent="0.3">
      <c r="A264" t="s">
        <v>523</v>
      </c>
      <c r="B264">
        <v>69</v>
      </c>
    </row>
    <row r="265" spans="1:2" x14ac:dyDescent="0.3">
      <c r="A265" t="s">
        <v>524</v>
      </c>
      <c r="B265">
        <v>70</v>
      </c>
    </row>
    <row r="266" spans="1:2" x14ac:dyDescent="0.3">
      <c r="A266" t="s">
        <v>525</v>
      </c>
      <c r="B266">
        <v>71</v>
      </c>
    </row>
    <row r="267" spans="1:2" x14ac:dyDescent="0.3">
      <c r="A267" t="s">
        <v>526</v>
      </c>
      <c r="B267" t="s">
        <v>527</v>
      </c>
    </row>
    <row r="268" spans="1:2" x14ac:dyDescent="0.3">
      <c r="A268" t="s">
        <v>528</v>
      </c>
      <c r="B268" t="s">
        <v>529</v>
      </c>
    </row>
    <row r="269" spans="1:2" x14ac:dyDescent="0.3">
      <c r="A269" t="s">
        <v>530</v>
      </c>
      <c r="B269" t="s">
        <v>531</v>
      </c>
    </row>
    <row r="270" spans="1:2" x14ac:dyDescent="0.3">
      <c r="A270" t="s">
        <v>532</v>
      </c>
      <c r="B270" t="s">
        <v>533</v>
      </c>
    </row>
    <row r="271" spans="1:2" x14ac:dyDescent="0.3">
      <c r="A271" t="s">
        <v>534</v>
      </c>
      <c r="B271" t="s">
        <v>535</v>
      </c>
    </row>
    <row r="272" spans="1:2" x14ac:dyDescent="0.3">
      <c r="A272" t="s">
        <v>536</v>
      </c>
      <c r="B272" t="s">
        <v>537</v>
      </c>
    </row>
    <row r="273" spans="1:24" x14ac:dyDescent="0.3">
      <c r="A273" t="s">
        <v>538</v>
      </c>
      <c r="B273" t="s">
        <v>539</v>
      </c>
    </row>
    <row r="274" spans="1:24" x14ac:dyDescent="0.3">
      <c r="A274" t="s">
        <v>544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/>
  </sheetPr>
  <dimension ref="A1:BF16"/>
  <sheetViews>
    <sheetView workbookViewId="0">
      <pane xSplit="2" topLeftCell="AI1" activePane="topRight" state="frozen"/>
      <selection pane="topRight" activeCell="AZ9" sqref="AM5:AZ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73" t="s">
        <v>364</v>
      </c>
      <c r="B1" s="73"/>
      <c r="C1" s="73"/>
      <c r="D1" s="73"/>
      <c r="E1" s="73"/>
      <c r="F1" s="73"/>
      <c r="H1" s="66" t="str">
        <f>Summary!C1</f>
        <v>R5.0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E1" s="67" t="str">
        <f>Summary!C2</f>
        <v>tested</v>
      </c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</row>
    <row r="2" spans="1:58" ht="30" customHeight="1" x14ac:dyDescent="0.3">
      <c r="A2" s="69" t="s">
        <v>91</v>
      </c>
      <c r="B2" s="70" t="s">
        <v>94</v>
      </c>
      <c r="C2" s="69" t="s">
        <v>100</v>
      </c>
      <c r="D2" s="70" t="s">
        <v>103</v>
      </c>
      <c r="E2" s="69" t="s">
        <v>106</v>
      </c>
      <c r="F2" s="70" t="s">
        <v>109</v>
      </c>
      <c r="H2" s="69" t="s">
        <v>308</v>
      </c>
      <c r="I2" s="70" t="s">
        <v>112</v>
      </c>
      <c r="J2" s="71" t="s">
        <v>115</v>
      </c>
      <c r="K2" s="71"/>
      <c r="L2" s="71"/>
      <c r="M2" s="71"/>
      <c r="N2" s="69" t="s">
        <v>128</v>
      </c>
      <c r="O2" s="70" t="s">
        <v>131</v>
      </c>
      <c r="P2" s="69" t="s">
        <v>22</v>
      </c>
      <c r="Q2" s="72" t="s">
        <v>140</v>
      </c>
      <c r="R2" s="72"/>
      <c r="S2" s="72"/>
      <c r="T2" s="72"/>
      <c r="U2" s="71" t="s">
        <v>151</v>
      </c>
      <c r="V2" s="71"/>
      <c r="W2" s="72" t="s">
        <v>158</v>
      </c>
      <c r="X2" s="72"/>
      <c r="Y2" s="72"/>
      <c r="Z2" s="71" t="s">
        <v>168</v>
      </c>
      <c r="AA2" s="71"/>
      <c r="AB2" s="72" t="s">
        <v>175</v>
      </c>
      <c r="AC2" s="72"/>
      <c r="AE2" s="69" t="s">
        <v>308</v>
      </c>
      <c r="AF2" s="70" t="s">
        <v>112</v>
      </c>
      <c r="AG2" s="71" t="s">
        <v>115</v>
      </c>
      <c r="AH2" s="71"/>
      <c r="AI2" s="71"/>
      <c r="AJ2" s="71"/>
      <c r="AK2" s="69" t="s">
        <v>190</v>
      </c>
      <c r="AL2" s="70" t="s">
        <v>131</v>
      </c>
      <c r="AM2" s="69" t="s">
        <v>22</v>
      </c>
      <c r="AN2" s="72" t="s">
        <v>140</v>
      </c>
      <c r="AO2" s="72"/>
      <c r="AP2" s="72"/>
      <c r="AQ2" s="72"/>
      <c r="AR2" s="71" t="s">
        <v>151</v>
      </c>
      <c r="AS2" s="71"/>
      <c r="AT2" s="72" t="s">
        <v>158</v>
      </c>
      <c r="AU2" s="72"/>
      <c r="AV2" s="72"/>
      <c r="AW2" s="71" t="s">
        <v>168</v>
      </c>
      <c r="AX2" s="71"/>
      <c r="AY2" s="72" t="s">
        <v>175</v>
      </c>
      <c r="AZ2" s="72"/>
      <c r="BB2" s="71" t="s">
        <v>355</v>
      </c>
      <c r="BC2" s="71"/>
      <c r="BD2" s="71"/>
      <c r="BE2" s="70" t="s">
        <v>230</v>
      </c>
      <c r="BF2" s="69" t="s">
        <v>230</v>
      </c>
    </row>
    <row r="3" spans="1:58" ht="28.8" x14ac:dyDescent="0.3">
      <c r="A3" s="69"/>
      <c r="B3" s="70"/>
      <c r="C3" s="69"/>
      <c r="D3" s="70"/>
      <c r="E3" s="69"/>
      <c r="F3" s="70"/>
      <c r="H3" s="69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69"/>
      <c r="O3" s="70"/>
      <c r="P3" s="69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69"/>
      <c r="AF3" s="70"/>
      <c r="AG3" s="11" t="s">
        <v>116</v>
      </c>
      <c r="AH3" s="11" t="s">
        <v>119</v>
      </c>
      <c r="AI3" s="11" t="s">
        <v>122</v>
      </c>
      <c r="AJ3" s="11" t="s">
        <v>125</v>
      </c>
      <c r="AK3" s="69"/>
      <c r="AL3" s="70"/>
      <c r="AM3" s="69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0"/>
      <c r="BF3" s="69"/>
    </row>
    <row r="4" spans="1:58" ht="123" hidden="1" x14ac:dyDescent="0.3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58" collapsed="1" x14ac:dyDescent="0.3">
      <c r="A5" s="15" t="s">
        <v>265</v>
      </c>
      <c r="B5" s="15" t="s">
        <v>264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0.3018376395774704</v>
      </c>
      <c r="I5" s="17">
        <f>IF(OR(ISBLANK(Q5),ISBLANK(F5)),"·",Q5*F5/E5/1000000)</f>
        <v>215.64463359999999</v>
      </c>
      <c r="J5" s="18">
        <f>IF(ISBLANK(Q5),"·",Q5/C5)</f>
        <v>9.0551291873241109</v>
      </c>
      <c r="K5" s="18">
        <f>IF(N5="","·",N5/C5)</f>
        <v>1.4092676970275817</v>
      </c>
      <c r="L5" s="18">
        <f>IF(R5="","·",R5/C5)</f>
        <v>1.3172218931505875</v>
      </c>
      <c r="M5" s="18">
        <f>IF(ISBLANK(T5),"·",T5/C5)</f>
        <v>7.6457661875715761</v>
      </c>
      <c r="N5" s="15">
        <f>IF(OR(ISBLANK(R5),ISBLANK(S5)),"",R5+S5)</f>
        <v>335612016</v>
      </c>
      <c r="O5" s="18">
        <f>IF(ISBLANK(Q5),"·",Q5/P5)</f>
        <v>9.0551291873241109</v>
      </c>
      <c r="P5" s="19">
        <v>238146391</v>
      </c>
      <c r="Q5" s="20">
        <v>2156446336</v>
      </c>
      <c r="R5" s="20">
        <v>313691640</v>
      </c>
      <c r="S5" s="20">
        <v>21920376</v>
      </c>
      <c r="T5" s="20">
        <v>1820811624</v>
      </c>
      <c r="U5" s="21" t="s">
        <v>546</v>
      </c>
      <c r="V5" s="21" t="s">
        <v>546</v>
      </c>
      <c r="W5" s="21" t="s">
        <v>546</v>
      </c>
      <c r="X5" s="21" t="s">
        <v>546</v>
      </c>
      <c r="Y5" s="21" t="s">
        <v>546</v>
      </c>
      <c r="Z5" s="22">
        <v>27086.3</v>
      </c>
      <c r="AA5" s="22">
        <v>61412.800000000003</v>
      </c>
      <c r="AB5" s="22">
        <v>28.824999999999999</v>
      </c>
      <c r="AC5" s="22">
        <v>234.02099999999999</v>
      </c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</row>
    <row r="6" spans="1:58" collapsed="1" x14ac:dyDescent="0.3">
      <c r="A6" s="25"/>
      <c r="B6" s="25" t="s">
        <v>273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0.42961022200671312</v>
      </c>
      <c r="I6" s="27">
        <f>IF(OR(ISBLANK(Q6),ISBLANK(F6)),"·",Q6*F6/E6/1000000)</f>
        <v>281.12134560000004</v>
      </c>
      <c r="J6" s="28">
        <f>IF(ISBLANK(Q6),"·",Q6/C6)</f>
        <v>12.888306660201394</v>
      </c>
      <c r="K6" s="28">
        <f>IF(N6="","·",N6/C6)</f>
        <v>1.7245971485894986</v>
      </c>
      <c r="L6" s="28">
        <f>IF(R6="","·",R6/C6)</f>
        <v>1.5713167817007021</v>
      </c>
      <c r="M6" s="28">
        <f>IF(ISBLANK(T6),"·",T6/C6)</f>
        <v>11.163605459389416</v>
      </c>
      <c r="N6" s="25">
        <f>IF(OR(ISBLANK(R6),ISBLANK(S6)),"",R6+S6)</f>
        <v>376171272</v>
      </c>
      <c r="O6" s="28">
        <f>IF(ISBLANK(Q6),"·",Q6/P6)</f>
        <v>12.888306660201394</v>
      </c>
      <c r="P6" s="29">
        <v>218121242</v>
      </c>
      <c r="Q6" s="30">
        <v>2811213456</v>
      </c>
      <c r="R6" s="30">
        <v>342737568</v>
      </c>
      <c r="S6" s="30">
        <v>33433704</v>
      </c>
      <c r="T6" s="30">
        <v>2435019488</v>
      </c>
      <c r="U6" s="31" t="s">
        <v>546</v>
      </c>
      <c r="V6" s="31" t="s">
        <v>546</v>
      </c>
      <c r="W6" s="31" t="s">
        <v>546</v>
      </c>
      <c r="X6" s="31" t="s">
        <v>546</v>
      </c>
      <c r="Y6" s="31" t="s">
        <v>546</v>
      </c>
      <c r="Z6" s="32">
        <v>25117.8</v>
      </c>
      <c r="AA6" s="32">
        <v>60163.6</v>
      </c>
      <c r="AB6" s="32">
        <v>27.629000000000001</v>
      </c>
      <c r="AC6" s="32">
        <v>231.93799999999999</v>
      </c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</row>
    <row r="7" spans="1:58" collapsed="1" x14ac:dyDescent="0.3">
      <c r="A7" s="15"/>
      <c r="B7" s="15" t="s">
        <v>276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0.3328091058149002</v>
      </c>
      <c r="I7" s="17">
        <f>IF(OR(ISBLANK(Q7),ISBLANK(F7)),"·",Q7*F7/E7/1000000)</f>
        <v>322.08237280000003</v>
      </c>
      <c r="J7" s="18">
        <f>IF(ISBLANK(Q7),"·",Q7/C7)</f>
        <v>9.9842731744470061</v>
      </c>
      <c r="K7" s="18">
        <f>IF(N7="","·",N7/C7)</f>
        <v>1.5513997929704539</v>
      </c>
      <c r="L7" s="18">
        <f>IF(R7="","·",R7/C7)</f>
        <v>1.4377344665656162</v>
      </c>
      <c r="M7" s="18">
        <f>IF(ISBLANK(T7),"·",T7/C7)</f>
        <v>8.4328030258523068</v>
      </c>
      <c r="N7" s="15">
        <f>IF(OR(ISBLANK(R7),ISBLANK(S7)),"",R7+S7)</f>
        <v>500465600</v>
      </c>
      <c r="O7" s="18">
        <f>IF(ISBLANK(Q7),"·",Q7/P7)</f>
        <v>9.9842731744470061</v>
      </c>
      <c r="P7" s="19">
        <v>322589704</v>
      </c>
      <c r="Q7" s="20">
        <v>3220823728</v>
      </c>
      <c r="R7" s="20">
        <v>463798336</v>
      </c>
      <c r="S7" s="20">
        <v>36667264</v>
      </c>
      <c r="T7" s="20">
        <v>2720335432</v>
      </c>
      <c r="U7" s="21" t="s">
        <v>546</v>
      </c>
      <c r="V7" s="21" t="s">
        <v>546</v>
      </c>
      <c r="W7" s="21" t="s">
        <v>546</v>
      </c>
      <c r="X7" s="21" t="s">
        <v>546</v>
      </c>
      <c r="Y7" s="21" t="s">
        <v>546</v>
      </c>
      <c r="Z7" s="22">
        <v>36250.1</v>
      </c>
      <c r="AA7" s="22">
        <v>79248.100000000006</v>
      </c>
      <c r="AB7" s="22">
        <v>38.261000000000003</v>
      </c>
      <c r="AC7" s="22">
        <v>262.38900000000001</v>
      </c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</row>
    <row r="8" spans="1:58" collapsed="1" x14ac:dyDescent="0.3">
      <c r="A8" s="45"/>
      <c r="B8" s="45" t="s">
        <v>279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0.28148641695704407</v>
      </c>
      <c r="I8" s="47">
        <f>IF(OR(ISBLANK(Q8),ISBLANK(F8)),"·",Q8*F8/E8/1000000)</f>
        <v>423.24785919999999</v>
      </c>
      <c r="J8" s="48">
        <f>IF(ISBLANK(Q8),"·",Q8/C8)</f>
        <v>8.4445925087113221</v>
      </c>
      <c r="K8" s="48">
        <f>IF(N8="","·",N8/C8)</f>
        <v>1.0431245663482789</v>
      </c>
      <c r="L8" s="48">
        <f>IF(R8="","·",R8/C8)</f>
        <v>0.90841659125153507</v>
      </c>
      <c r="M8" s="48">
        <f>IF(ISBLANK(T8),"·",T8/C8)</f>
        <v>7.4013928275073253</v>
      </c>
      <c r="N8" s="45">
        <f>IF(OR(ISBLANK(R8),ISBLANK(S8)),"",R8+S8)</f>
        <v>261410032</v>
      </c>
      <c r="O8" s="48">
        <f>IF(ISBLANK(Q8),"·",Q8/P8)</f>
        <v>8.4445925087113221</v>
      </c>
      <c r="P8" s="49">
        <v>250602891</v>
      </c>
      <c r="Q8" s="50">
        <v>2116239296</v>
      </c>
      <c r="R8" s="50">
        <v>227651824</v>
      </c>
      <c r="S8" s="50">
        <v>33758208</v>
      </c>
      <c r="T8" s="50">
        <v>1854810440</v>
      </c>
      <c r="U8" s="51" t="s">
        <v>546</v>
      </c>
      <c r="V8" s="51" t="s">
        <v>546</v>
      </c>
      <c r="W8" s="51" t="s">
        <v>546</v>
      </c>
      <c r="X8" s="51" t="s">
        <v>546</v>
      </c>
      <c r="Y8" s="51" t="s">
        <v>546</v>
      </c>
      <c r="Z8" s="52">
        <v>29623.3</v>
      </c>
      <c r="AA8" s="52">
        <v>50028.2</v>
      </c>
      <c r="AB8" s="52">
        <v>26.805</v>
      </c>
      <c r="AC8" s="52">
        <v>183.73599999999999</v>
      </c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</row>
    <row r="9" spans="1:58" collapsed="1" x14ac:dyDescent="0.3">
      <c r="A9" s="35" t="s">
        <v>283</v>
      </c>
      <c r="B9" s="35" t="s">
        <v>282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0.49582783857462803</v>
      </c>
      <c r="I9" s="37">
        <f>IF(OR(ISBLANK(Q9),ISBLANK(F9)),"·",Q9*F9/E9/1000000)</f>
        <v>372.30906479999999</v>
      </c>
      <c r="J9" s="38">
        <f>IF(ISBLANK(Q9),"·",Q9/C9)</f>
        <v>14.874835157238842</v>
      </c>
      <c r="K9" s="38">
        <f>IF(N9="","·",N9/C9)</f>
        <v>1.5132851097831594</v>
      </c>
      <c r="L9" s="38">
        <f>IF(R9="","·",R9/C9)</f>
        <v>1.4122639858021377</v>
      </c>
      <c r="M9" s="38">
        <f>IF(ISBLANK(T9),"·",T9/C9)</f>
        <v>13.361459370303109</v>
      </c>
      <c r="N9" s="35">
        <f>IF(OR(ISBLANK(R9),ISBLANK(S9)),"",R9+S9)</f>
        <v>378767064</v>
      </c>
      <c r="O9" s="38">
        <f>IF(ISBLANK(Q9),"·",Q9/P9)</f>
        <v>14.874835157238842</v>
      </c>
      <c r="P9" s="39">
        <v>250294582</v>
      </c>
      <c r="Q9" s="40">
        <v>3723090648</v>
      </c>
      <c r="R9" s="40">
        <v>353482024</v>
      </c>
      <c r="S9" s="40">
        <v>25285040</v>
      </c>
      <c r="T9" s="40">
        <v>3344300888</v>
      </c>
      <c r="U9" s="41" t="s">
        <v>546</v>
      </c>
      <c r="V9" s="41" t="s">
        <v>546</v>
      </c>
      <c r="W9" s="41" t="s">
        <v>546</v>
      </c>
      <c r="X9" s="41" t="s">
        <v>546</v>
      </c>
      <c r="Y9" s="41" t="s">
        <v>546</v>
      </c>
      <c r="Z9" s="42">
        <v>28891.5</v>
      </c>
      <c r="AA9" s="42">
        <v>68073.8</v>
      </c>
      <c r="AB9" s="42">
        <v>30.648</v>
      </c>
      <c r="AC9" s="42">
        <v>262.38</v>
      </c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</row>
    <row r="10" spans="1:58" x14ac:dyDescent="0.3">
      <c r="B10" s="55" t="s">
        <v>286</v>
      </c>
      <c r="J10" s="56">
        <f>AVERAGE(J5:J8)</f>
        <v>10.093075382670959</v>
      </c>
      <c r="K10" s="56">
        <f>AVERAGE(K5:K8)</f>
        <v>1.4320973012339533</v>
      </c>
      <c r="L10" s="56">
        <f>AVERAGE(L5:L8)</f>
        <v>1.30867243316711</v>
      </c>
      <c r="M10" s="56">
        <f>AVERAGE(M5:M8)</f>
        <v>8.6608918750801553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58" x14ac:dyDescent="0.3">
      <c r="B11" s="55" t="s">
        <v>287</v>
      </c>
      <c r="J11" s="56">
        <f>AVERAGE(J9:J9)</f>
        <v>14.874835157238842</v>
      </c>
      <c r="K11" s="56">
        <f>AVERAGE(K9:K9)</f>
        <v>1.5132851097831594</v>
      </c>
      <c r="L11" s="56">
        <f>AVERAGE(L9:L9)</f>
        <v>1.4122639858021377</v>
      </c>
      <c r="M11" s="56">
        <f>AVERAGE(M9:M9)</f>
        <v>13.361459370303109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58" collapsed="1" x14ac:dyDescent="0.3">
      <c r="B12" s="55" t="s">
        <v>288</v>
      </c>
      <c r="J12" s="56">
        <f>AVERAGE(J5:J9)</f>
        <v>11.049427337584536</v>
      </c>
      <c r="K12" s="56">
        <f>AVERAGE(K5:K9)</f>
        <v>1.4483348629437944</v>
      </c>
      <c r="L12" s="56">
        <f>AVERAGE(L5:L9)</f>
        <v>1.3293907436941157</v>
      </c>
      <c r="M12" s="56">
        <f>AVERAGE(M5:M9)</f>
        <v>9.6010053741247461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58" hidden="1" outlineLevel="2" x14ac:dyDescent="0.3">
      <c r="A13" s="55" t="s">
        <v>289</v>
      </c>
      <c r="B13" s="55" t="s">
        <v>290</v>
      </c>
      <c r="Z13" s="57">
        <f>SUM(Z5:Z8,Z9:Z9)</f>
        <v>146969</v>
      </c>
      <c r="AA13" s="57">
        <f>SUM(AA5:AA8,AA9:AA9)</f>
        <v>318926.5</v>
      </c>
      <c r="AB13" s="57">
        <f>SUM(AB5:AB8,AB9:AB9)</f>
        <v>152.16800000000001</v>
      </c>
      <c r="AC13" s="57">
        <f>SUM(AC5:AC8,AC9:AC9)</f>
        <v>1174.4639999999999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58" hidden="1" outlineLevel="2" x14ac:dyDescent="0.3">
      <c r="B14" s="55" t="s">
        <v>291</v>
      </c>
      <c r="AW14" s="8">
        <f>AW13/Z13</f>
        <v>0</v>
      </c>
      <c r="AX14" s="8">
        <f>AX13/AA13</f>
        <v>0</v>
      </c>
      <c r="AY14" s="8">
        <f>AY13/AB13</f>
        <v>0</v>
      </c>
      <c r="AZ14" s="8">
        <f>AZ13/AC13</f>
        <v>0</v>
      </c>
    </row>
    <row r="15" spans="1:58" hidden="1" outlineLevel="2" x14ac:dyDescent="0.3">
      <c r="B15" s="55" t="s">
        <v>292</v>
      </c>
      <c r="Z15" s="57">
        <f>GEOMEAN(Z5:Z8,Z9:Z9)</f>
        <v>29166.801344902527</v>
      </c>
      <c r="AA15" s="57">
        <f>GEOMEAN(AA5:AA8,AA9:AA9)</f>
        <v>63060.192019358932</v>
      </c>
      <c r="AB15" s="57">
        <f>GEOMEAN(AB5:AB8,AB9:AB9)</f>
        <v>30.178784920310918</v>
      </c>
      <c r="AC15" s="57">
        <f>GEOMEAN(AC5:AC8,AC9:AC9)</f>
        <v>232.99117396362251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58" outlineLevel="2" collapsed="1" x14ac:dyDescent="0.3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11" priority="3" operator="greaterThanOrEqual">
      <formula>1.03</formula>
    </cfRule>
    <cfRule type="cellIs" dxfId="10" priority="4" operator="lessThanOrEqual">
      <formula>0.97</formula>
    </cfRule>
  </conditionalFormatting>
  <conditionalFormatting sqref="BC10 BC11 BC12">
    <cfRule type="cellIs" dxfId="9" priority="5" operator="greaterThanOrEqual">
      <formula>1.03</formula>
    </cfRule>
    <cfRule type="cellIs" dxfId="8" priority="6" operator="lessThanOrEqual">
      <formula>0.97</formula>
    </cfRule>
  </conditionalFormatting>
  <conditionalFormatting sqref="BD10 BD11 BD12">
    <cfRule type="cellIs" dxfId="7" priority="1" operator="greaterThanOrEqual">
      <formula>1.03</formula>
    </cfRule>
    <cfRule type="cellIs" dxfId="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/>
  </sheetPr>
  <dimension ref="A1:BF16"/>
  <sheetViews>
    <sheetView workbookViewId="0">
      <pane xSplit="2" topLeftCell="AH1" activePane="topRight" state="frozen"/>
      <selection pane="topRight" activeCell="AZ9" sqref="AM5:AZ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73" t="s">
        <v>439</v>
      </c>
      <c r="B1" s="73"/>
      <c r="C1" s="73"/>
      <c r="D1" s="73"/>
      <c r="E1" s="73"/>
      <c r="F1" s="73"/>
      <c r="H1" s="66" t="str">
        <f>Summary!C1</f>
        <v>R5.0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E1" s="67" t="str">
        <f>Summary!C2</f>
        <v>tested</v>
      </c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</row>
    <row r="2" spans="1:58" ht="30" customHeight="1" x14ac:dyDescent="0.3">
      <c r="A2" s="69" t="s">
        <v>91</v>
      </c>
      <c r="B2" s="70" t="s">
        <v>94</v>
      </c>
      <c r="C2" s="69" t="s">
        <v>100</v>
      </c>
      <c r="D2" s="70" t="s">
        <v>103</v>
      </c>
      <c r="E2" s="69" t="s">
        <v>106</v>
      </c>
      <c r="F2" s="70" t="s">
        <v>109</v>
      </c>
      <c r="H2" s="69" t="s">
        <v>308</v>
      </c>
      <c r="I2" s="70" t="s">
        <v>112</v>
      </c>
      <c r="J2" s="71" t="s">
        <v>115</v>
      </c>
      <c r="K2" s="71"/>
      <c r="L2" s="71"/>
      <c r="M2" s="71"/>
      <c r="N2" s="69" t="s">
        <v>128</v>
      </c>
      <c r="O2" s="70" t="s">
        <v>131</v>
      </c>
      <c r="P2" s="69" t="s">
        <v>22</v>
      </c>
      <c r="Q2" s="72" t="s">
        <v>140</v>
      </c>
      <c r="R2" s="72"/>
      <c r="S2" s="72"/>
      <c r="T2" s="72"/>
      <c r="U2" s="71" t="s">
        <v>151</v>
      </c>
      <c r="V2" s="71"/>
      <c r="W2" s="72" t="s">
        <v>158</v>
      </c>
      <c r="X2" s="72"/>
      <c r="Y2" s="72"/>
      <c r="Z2" s="71" t="s">
        <v>168</v>
      </c>
      <c r="AA2" s="71"/>
      <c r="AB2" s="72" t="s">
        <v>175</v>
      </c>
      <c r="AC2" s="72"/>
      <c r="AE2" s="69" t="s">
        <v>308</v>
      </c>
      <c r="AF2" s="70" t="s">
        <v>112</v>
      </c>
      <c r="AG2" s="71" t="s">
        <v>115</v>
      </c>
      <c r="AH2" s="71"/>
      <c r="AI2" s="71"/>
      <c r="AJ2" s="71"/>
      <c r="AK2" s="69" t="s">
        <v>190</v>
      </c>
      <c r="AL2" s="70" t="s">
        <v>131</v>
      </c>
      <c r="AM2" s="69" t="s">
        <v>22</v>
      </c>
      <c r="AN2" s="72" t="s">
        <v>140</v>
      </c>
      <c r="AO2" s="72"/>
      <c r="AP2" s="72"/>
      <c r="AQ2" s="72"/>
      <c r="AR2" s="71" t="s">
        <v>151</v>
      </c>
      <c r="AS2" s="71"/>
      <c r="AT2" s="72" t="s">
        <v>158</v>
      </c>
      <c r="AU2" s="72"/>
      <c r="AV2" s="72"/>
      <c r="AW2" s="71" t="s">
        <v>168</v>
      </c>
      <c r="AX2" s="71"/>
      <c r="AY2" s="72" t="s">
        <v>175</v>
      </c>
      <c r="AZ2" s="72"/>
      <c r="BB2" s="71" t="s">
        <v>355</v>
      </c>
      <c r="BC2" s="71"/>
      <c r="BD2" s="71"/>
      <c r="BE2" s="70" t="s">
        <v>230</v>
      </c>
      <c r="BF2" s="69" t="s">
        <v>230</v>
      </c>
    </row>
    <row r="3" spans="1:58" ht="28.8" x14ac:dyDescent="0.3">
      <c r="A3" s="69"/>
      <c r="B3" s="70"/>
      <c r="C3" s="69"/>
      <c r="D3" s="70"/>
      <c r="E3" s="69"/>
      <c r="F3" s="70"/>
      <c r="H3" s="69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69"/>
      <c r="O3" s="70"/>
      <c r="P3" s="69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69"/>
      <c r="AF3" s="70"/>
      <c r="AG3" s="11" t="s">
        <v>116</v>
      </c>
      <c r="AH3" s="11" t="s">
        <v>119</v>
      </c>
      <c r="AI3" s="11" t="s">
        <v>122</v>
      </c>
      <c r="AJ3" s="11" t="s">
        <v>125</v>
      </c>
      <c r="AK3" s="69"/>
      <c r="AL3" s="70"/>
      <c r="AM3" s="69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0"/>
      <c r="BF3" s="69"/>
    </row>
    <row r="4" spans="1:58" ht="123" hidden="1" x14ac:dyDescent="0.3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58" collapsed="1" x14ac:dyDescent="0.3">
      <c r="A5" s="15" t="s">
        <v>265</v>
      </c>
      <c r="B5" s="15" t="s">
        <v>264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0.29949184771255538</v>
      </c>
      <c r="I5" s="17">
        <f>IF(OR(ISBLANK(Q5),ISBLANK(F5)),"·",Q5*F5/E5/1000000)</f>
        <v>213.96870799999999</v>
      </c>
      <c r="J5" s="18">
        <f>IF(ISBLANK(Q5),"·",Q5/C5)</f>
        <v>8.9847554313766604</v>
      </c>
      <c r="K5" s="18">
        <f>IF(N5="","·",N5/C5)</f>
        <v>1.4073378588382639</v>
      </c>
      <c r="L5" s="18">
        <f>IF(R5="","·",R5/C5)</f>
        <v>1.3125757761325889</v>
      </c>
      <c r="M5" s="18">
        <f>IF(ISBLANK(T5),"·",T5/C5)</f>
        <v>7.5773222698134441</v>
      </c>
      <c r="N5" s="15">
        <f>IF(OR(ISBLANK(R5),ISBLANK(S5)),"",R5+S5)</f>
        <v>335152432</v>
      </c>
      <c r="O5" s="18">
        <f>IF(ISBLANK(Q5),"·",Q5/P5)</f>
        <v>8.9847554313766604</v>
      </c>
      <c r="P5" s="19">
        <v>238146391</v>
      </c>
      <c r="Q5" s="20">
        <v>2139687080</v>
      </c>
      <c r="R5" s="20">
        <v>312585184</v>
      </c>
      <c r="S5" s="20">
        <v>22567248</v>
      </c>
      <c r="T5" s="20">
        <v>1804511952</v>
      </c>
      <c r="U5" s="21" t="s">
        <v>546</v>
      </c>
      <c r="V5" s="21" t="s">
        <v>546</v>
      </c>
      <c r="W5" s="21" t="s">
        <v>546</v>
      </c>
      <c r="X5" s="21" t="s">
        <v>546</v>
      </c>
      <c r="Y5" s="21" t="s">
        <v>546</v>
      </c>
      <c r="Z5" s="22">
        <v>27234.3</v>
      </c>
      <c r="AA5" s="22">
        <v>83441.899999999994</v>
      </c>
      <c r="AB5" s="22">
        <v>28.568999999999999</v>
      </c>
      <c r="AC5" s="22">
        <v>216.15</v>
      </c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</row>
    <row r="6" spans="1:58" collapsed="1" x14ac:dyDescent="0.3">
      <c r="A6" s="25"/>
      <c r="B6" s="25" t="s">
        <v>273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0.42700599819006468</v>
      </c>
      <c r="I6" s="27">
        <f>IF(OR(ISBLANK(Q6),ISBLANK(F6)),"·",Q6*F6/E6/1000000)</f>
        <v>279.417236</v>
      </c>
      <c r="J6" s="28">
        <f>IF(ISBLANK(Q6),"·",Q6/C6)</f>
        <v>12.810179945701941</v>
      </c>
      <c r="K6" s="28">
        <f>IF(N6="","·",N6/C6)</f>
        <v>1.7316856833228558</v>
      </c>
      <c r="L6" s="28">
        <f>IF(R6="","·",R6/C6)</f>
        <v>1.5700844762290507</v>
      </c>
      <c r="M6" s="28">
        <f>IF(ISBLANK(T6),"·",T6/C6)</f>
        <v>11.078390210156606</v>
      </c>
      <c r="N6" s="25">
        <f>IF(OR(ISBLANK(R6),ISBLANK(S6)),"",R6+S6)</f>
        <v>377717432</v>
      </c>
      <c r="O6" s="28">
        <f>IF(ISBLANK(Q6),"·",Q6/P6)</f>
        <v>12.810179945701941</v>
      </c>
      <c r="P6" s="29">
        <v>218121242</v>
      </c>
      <c r="Q6" s="30">
        <v>2794172360</v>
      </c>
      <c r="R6" s="30">
        <v>342468776</v>
      </c>
      <c r="S6" s="30">
        <v>35248656</v>
      </c>
      <c r="T6" s="30">
        <v>2416432232</v>
      </c>
      <c r="U6" s="31" t="s">
        <v>546</v>
      </c>
      <c r="V6" s="31" t="s">
        <v>546</v>
      </c>
      <c r="W6" s="31" t="s">
        <v>546</v>
      </c>
      <c r="X6" s="31" t="s">
        <v>546</v>
      </c>
      <c r="Y6" s="31" t="s">
        <v>546</v>
      </c>
      <c r="Z6" s="32">
        <v>24725.9</v>
      </c>
      <c r="AA6" s="32">
        <v>98082.2</v>
      </c>
      <c r="AB6" s="32">
        <v>27.085000000000001</v>
      </c>
      <c r="AC6" s="32">
        <v>237.12100000000001</v>
      </c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</row>
    <row r="7" spans="1:58" collapsed="1" x14ac:dyDescent="0.3">
      <c r="A7" s="15"/>
      <c r="B7" s="15" t="s">
        <v>276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0.3282031402548008</v>
      </c>
      <c r="I7" s="17">
        <f>IF(OR(ISBLANK(Q7),ISBLANK(F7)),"·",Q7*F7/E7/1000000)</f>
        <v>317.62486160000003</v>
      </c>
      <c r="J7" s="18">
        <f>IF(ISBLANK(Q7),"·",Q7/C7)</f>
        <v>9.8460942076440237</v>
      </c>
      <c r="K7" s="18">
        <f>IF(N7="","·",N7/C7)</f>
        <v>1.5360439154003502</v>
      </c>
      <c r="L7" s="18">
        <f>IF(R7="","·",R7/C7)</f>
        <v>1.4210076090959183</v>
      </c>
      <c r="M7" s="18">
        <f>IF(ISBLANK(T7),"·",T7/C7)</f>
        <v>8.3099799366194276</v>
      </c>
      <c r="N7" s="15">
        <f>IF(OR(ISBLANK(R7),ISBLANK(S7)),"",R7+S7)</f>
        <v>495511952</v>
      </c>
      <c r="O7" s="18">
        <f>IF(ISBLANK(Q7),"·",Q7/P7)</f>
        <v>9.8460942076440237</v>
      </c>
      <c r="P7" s="19">
        <v>322589704</v>
      </c>
      <c r="Q7" s="20">
        <v>3176248616</v>
      </c>
      <c r="R7" s="20">
        <v>458402424</v>
      </c>
      <c r="S7" s="20">
        <v>37109528</v>
      </c>
      <c r="T7" s="20">
        <v>2680713968</v>
      </c>
      <c r="U7" s="21" t="s">
        <v>546</v>
      </c>
      <c r="V7" s="21" t="s">
        <v>546</v>
      </c>
      <c r="W7" s="21" t="s">
        <v>546</v>
      </c>
      <c r="X7" s="21" t="s">
        <v>546</v>
      </c>
      <c r="Y7" s="21" t="s">
        <v>546</v>
      </c>
      <c r="Z7" s="22">
        <v>35314.1</v>
      </c>
      <c r="AA7" s="22">
        <v>102636</v>
      </c>
      <c r="AB7" s="22">
        <v>39.530999999999999</v>
      </c>
      <c r="AC7" s="22">
        <v>266.166</v>
      </c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</row>
    <row r="8" spans="1:58" collapsed="1" x14ac:dyDescent="0.3">
      <c r="A8" s="45"/>
      <c r="B8" s="45" t="s">
        <v>279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0.2716834600816051</v>
      </c>
      <c r="I8" s="47">
        <f>IF(OR(ISBLANK(Q8),ISBLANK(F8)),"·",Q8*F8/E8/1000000)</f>
        <v>408.50796320000001</v>
      </c>
      <c r="J8" s="48">
        <f>IF(ISBLANK(Q8),"·",Q8/C8)</f>
        <v>8.1505038024481529</v>
      </c>
      <c r="K8" s="48">
        <f>IF(N8="","·",N8/C8)</f>
        <v>0.98303555484521521</v>
      </c>
      <c r="L8" s="48">
        <f>IF(R8="","·",R8/C8)</f>
        <v>0.87260880003176022</v>
      </c>
      <c r="M8" s="48">
        <f>IF(ISBLANK(T8),"·",T8/C8)</f>
        <v>7.16739313274722</v>
      </c>
      <c r="N8" s="45">
        <f>IF(OR(ISBLANK(R8),ISBLANK(S8)),"",R8+S8)</f>
        <v>246351552</v>
      </c>
      <c r="O8" s="48">
        <f>IF(ISBLANK(Q8),"·",Q8/P8)</f>
        <v>8.1505038024481529</v>
      </c>
      <c r="P8" s="49">
        <v>250602891</v>
      </c>
      <c r="Q8" s="50">
        <v>2042539816</v>
      </c>
      <c r="R8" s="50">
        <v>218678288</v>
      </c>
      <c r="S8" s="50">
        <v>27673264</v>
      </c>
      <c r="T8" s="50">
        <v>1796169440</v>
      </c>
      <c r="U8" s="51" t="s">
        <v>546</v>
      </c>
      <c r="V8" s="51" t="s">
        <v>546</v>
      </c>
      <c r="W8" s="51" t="s">
        <v>546</v>
      </c>
      <c r="X8" s="51" t="s">
        <v>546</v>
      </c>
      <c r="Y8" s="51" t="s">
        <v>546</v>
      </c>
      <c r="Z8" s="52">
        <v>29533.4</v>
      </c>
      <c r="AA8" s="52">
        <v>60922.400000000001</v>
      </c>
      <c r="AB8" s="52">
        <v>27.33</v>
      </c>
      <c r="AC8" s="52">
        <v>189.28200000000001</v>
      </c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</row>
    <row r="9" spans="1:58" collapsed="1" x14ac:dyDescent="0.3">
      <c r="A9" s="35" t="s">
        <v>283</v>
      </c>
      <c r="B9" s="35" t="s">
        <v>282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0.49234929743704958</v>
      </c>
      <c r="I9" s="37">
        <f>IF(OR(ISBLANK(Q9),ISBLANK(F9)),"·",Q9*F9/E9/1000000)</f>
        <v>369.69708480000003</v>
      </c>
      <c r="J9" s="38">
        <f>IF(ISBLANK(Q9),"·",Q9/C9)</f>
        <v>14.770478923111488</v>
      </c>
      <c r="K9" s="38">
        <f>IF(N9="","·",N9/C9)</f>
        <v>1.5175815511659776</v>
      </c>
      <c r="L9" s="38">
        <f>IF(R9="","·",R9/C9)</f>
        <v>1.4104620450793457</v>
      </c>
      <c r="M9" s="38">
        <f>IF(ISBLANK(T9),"·",T9/C9)</f>
        <v>13.252806694792937</v>
      </c>
      <c r="N9" s="35">
        <f>IF(OR(ISBLANK(R9),ISBLANK(S9)),"",R9+S9)</f>
        <v>379842440</v>
      </c>
      <c r="O9" s="38">
        <f>IF(ISBLANK(Q9),"·",Q9/P9)</f>
        <v>14.770478923111488</v>
      </c>
      <c r="P9" s="39">
        <v>250294582</v>
      </c>
      <c r="Q9" s="40">
        <v>3696970848</v>
      </c>
      <c r="R9" s="40">
        <v>353031008</v>
      </c>
      <c r="S9" s="40">
        <v>26811432</v>
      </c>
      <c r="T9" s="40">
        <v>3317105712</v>
      </c>
      <c r="U9" s="41" t="s">
        <v>546</v>
      </c>
      <c r="V9" s="41" t="s">
        <v>546</v>
      </c>
      <c r="W9" s="41" t="s">
        <v>546</v>
      </c>
      <c r="X9" s="41" t="s">
        <v>546</v>
      </c>
      <c r="Y9" s="41" t="s">
        <v>546</v>
      </c>
      <c r="Z9" s="42">
        <v>28084.3</v>
      </c>
      <c r="AA9" s="42">
        <v>104313</v>
      </c>
      <c r="AB9" s="42">
        <v>30.34</v>
      </c>
      <c r="AC9" s="42">
        <v>275.70600000000002</v>
      </c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</row>
    <row r="10" spans="1:58" x14ac:dyDescent="0.3">
      <c r="B10" s="55" t="s">
        <v>286</v>
      </c>
      <c r="J10" s="56">
        <f>AVERAGE(J5:J8)</f>
        <v>9.9478833467926933</v>
      </c>
      <c r="K10" s="56">
        <f>AVERAGE(K5:K8)</f>
        <v>1.4145257531016713</v>
      </c>
      <c r="L10" s="56">
        <f>AVERAGE(L5:L8)</f>
        <v>1.2940691653723295</v>
      </c>
      <c r="M10" s="56">
        <f>AVERAGE(M5:M8)</f>
        <v>8.5332713873341746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58" x14ac:dyDescent="0.3">
      <c r="B11" s="55" t="s">
        <v>287</v>
      </c>
      <c r="J11" s="56">
        <f>AVERAGE(J9:J9)</f>
        <v>14.770478923111488</v>
      </c>
      <c r="K11" s="56">
        <f>AVERAGE(K9:K9)</f>
        <v>1.5175815511659776</v>
      </c>
      <c r="L11" s="56">
        <f>AVERAGE(L9:L9)</f>
        <v>1.4104620450793457</v>
      </c>
      <c r="M11" s="56">
        <f>AVERAGE(M9:M9)</f>
        <v>13.252806694792937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58" x14ac:dyDescent="0.3">
      <c r="B12" s="55" t="s">
        <v>288</v>
      </c>
      <c r="J12" s="56">
        <f>AVERAGE(J5:J9)</f>
        <v>10.912402462056452</v>
      </c>
      <c r="K12" s="56">
        <f>AVERAGE(K5:K9)</f>
        <v>1.4351369127145326</v>
      </c>
      <c r="L12" s="56">
        <f>AVERAGE(L5:L9)</f>
        <v>1.3173477413137327</v>
      </c>
      <c r="M12" s="56">
        <f>AVERAGE(M5:M9)</f>
        <v>9.4771784488259279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58" hidden="1" outlineLevel="2" x14ac:dyDescent="0.3">
      <c r="A13" s="55" t="s">
        <v>289</v>
      </c>
      <c r="B13" s="55" t="s">
        <v>290</v>
      </c>
      <c r="Z13" s="57">
        <f>SUM(Z5:Z8,Z9:Z9)</f>
        <v>144891.99999999997</v>
      </c>
      <c r="AA13" s="57">
        <f>SUM(AA5:AA8,AA9:AA9)</f>
        <v>449395.5</v>
      </c>
      <c r="AB13" s="57">
        <f>SUM(AB5:AB8,AB9:AB9)</f>
        <v>152.85499999999999</v>
      </c>
      <c r="AC13" s="57">
        <f>SUM(AC5:AC8,AC9:AC9)</f>
        <v>1184.4250000000002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58" hidden="1" outlineLevel="2" x14ac:dyDescent="0.3">
      <c r="B14" s="55" t="s">
        <v>291</v>
      </c>
      <c r="AW14" s="8">
        <f>AW13/Z13</f>
        <v>0</v>
      </c>
      <c r="AX14" s="8">
        <f>AX13/AA13</f>
        <v>0</v>
      </c>
      <c r="AY14" s="8">
        <f>AY13/AB13</f>
        <v>0</v>
      </c>
      <c r="AZ14" s="8">
        <f>AZ13/AC13</f>
        <v>0</v>
      </c>
    </row>
    <row r="15" spans="1:58" hidden="1" outlineLevel="2" x14ac:dyDescent="0.3">
      <c r="B15" s="55" t="s">
        <v>292</v>
      </c>
      <c r="Z15" s="57">
        <f>GEOMEAN(Z5:Z8,Z9:Z9)</f>
        <v>28773.898270789607</v>
      </c>
      <c r="AA15" s="57">
        <f>GEOMEAN(AA5:AA8,AA9:AA9)</f>
        <v>88201.893411393015</v>
      </c>
      <c r="AB15" s="57">
        <f>GEOMEAN(AB5:AB8,AB9:AB9)</f>
        <v>30.258220094274549</v>
      </c>
      <c r="AC15" s="57">
        <f>GEOMEAN(AC5:AC8,AC9:AC9)</f>
        <v>234.68572492861983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58" outlineLevel="2" collapsed="1" x14ac:dyDescent="0.3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5" priority="3" operator="greaterThanOrEqual">
      <formula>1.03</formula>
    </cfRule>
    <cfRule type="cellIs" dxfId="4" priority="4" operator="lessThanOrEqual">
      <formula>0.97</formula>
    </cfRule>
  </conditionalFormatting>
  <conditionalFormatting sqref="BC10 BC11 BC12">
    <cfRule type="cellIs" dxfId="3" priority="5" operator="greaterThanOrEqual">
      <formula>1.03</formula>
    </cfRule>
    <cfRule type="cellIs" dxfId="2" priority="6" operator="lessThanOrEqual">
      <formula>0.97</formula>
    </cfRule>
  </conditionalFormatting>
  <conditionalFormatting sqref="BD10 BD11 BD12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C2 lossyG,lossyA,interRA</vt:lpstr>
      <vt:lpstr>names</vt:lpstr>
      <vt:lpstr>CW losslG,losslA,intra</vt:lpstr>
      <vt:lpstr>CW losslG,losslA,interLD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Hossein Najaf-Zadeh</cp:lastModifiedBy>
  <dcterms:created xsi:type="dcterms:W3CDTF">2018-08-31T19:13:00Z</dcterms:created>
  <dcterms:modified xsi:type="dcterms:W3CDTF">2019-05-15T04:36:21Z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