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1rc/"/>
    </mc:Choice>
  </mc:AlternateContent>
  <xr:revisionPtr revIDLastSave="0" documentId="13_ncr:1_{DDDDD888-68C5-C247-8ABF-3DE656F805A2}" xr6:coauthVersionLast="36" xr6:coauthVersionMax="41" xr10:uidLastSave="{00000000-0000-0000-0000-000000000000}"/>
  <bookViews>
    <workbookView xWindow="0" yWindow="460" windowWidth="27320" windowHeight="1370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M38" i="7"/>
  <c r="L38" i="7"/>
  <c r="K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K36" i="7"/>
  <c r="J36" i="7"/>
  <c r="I36" i="7"/>
  <c r="BF35" i="7"/>
  <c r="AL35" i="7"/>
  <c r="AK35" i="7"/>
  <c r="AJ35" i="7"/>
  <c r="AH35" i="7"/>
  <c r="AG35" i="7"/>
  <c r="N35" i="7"/>
  <c r="M35" i="7"/>
  <c r="L35" i="7"/>
  <c r="J35" i="7"/>
  <c r="I35" i="7"/>
  <c r="BF34" i="7"/>
  <c r="AL34" i="7"/>
  <c r="AI34" i="7" s="1"/>
  <c r="AK34" i="7"/>
  <c r="AJ34" i="7"/>
  <c r="AH34" i="7"/>
  <c r="AG34" i="7"/>
  <c r="N34" i="7"/>
  <c r="M34" i="7"/>
  <c r="L34" i="7"/>
  <c r="K34" i="7"/>
  <c r="J34" i="7"/>
  <c r="I34" i="7"/>
  <c r="BF33" i="7"/>
  <c r="AL33" i="7"/>
  <c r="AI33" i="7" s="1"/>
  <c r="AK33" i="7"/>
  <c r="AJ33" i="7"/>
  <c r="AH33" i="7"/>
  <c r="AG33" i="7"/>
  <c r="N33" i="7"/>
  <c r="M33" i="7"/>
  <c r="L33" i="7"/>
  <c r="J33" i="7"/>
  <c r="I33" i="7"/>
  <c r="BF32" i="7"/>
  <c r="AL32" i="7"/>
  <c r="AI32" i="7" s="1"/>
  <c r="AK32" i="7"/>
  <c r="AJ32" i="7"/>
  <c r="AH32" i="7"/>
  <c r="AG32" i="7"/>
  <c r="N32" i="7"/>
  <c r="M32" i="7"/>
  <c r="L32" i="7"/>
  <c r="J32" i="7"/>
  <c r="I32" i="7"/>
  <c r="BF31" i="7"/>
  <c r="AL31" i="7"/>
  <c r="AK31" i="7"/>
  <c r="AJ31" i="7"/>
  <c r="AH31" i="7"/>
  <c r="AG31" i="7"/>
  <c r="N31" i="7"/>
  <c r="K31" i="7" s="1"/>
  <c r="M31" i="7"/>
  <c r="L31" i="7"/>
  <c r="J31" i="7"/>
  <c r="I31" i="7"/>
  <c r="BF30" i="7"/>
  <c r="AL30" i="7"/>
  <c r="AK30" i="7"/>
  <c r="AJ30" i="7"/>
  <c r="AH30" i="7"/>
  <c r="AG30" i="7"/>
  <c r="N30" i="7"/>
  <c r="BG30" i="7" s="1"/>
  <c r="M30" i="7"/>
  <c r="L30" i="7"/>
  <c r="J30" i="7"/>
  <c r="J42" i="7" s="1"/>
  <c r="I30" i="7"/>
  <c r="BF29" i="7"/>
  <c r="AL29" i="7"/>
  <c r="AI29" i="7" s="1"/>
  <c r="AK29" i="7"/>
  <c r="AJ29" i="7"/>
  <c r="AH29" i="7"/>
  <c r="AG29" i="7"/>
  <c r="N29" i="7"/>
  <c r="M29" i="7"/>
  <c r="L29" i="7"/>
  <c r="J29" i="7"/>
  <c r="I29" i="7"/>
  <c r="BF28" i="7"/>
  <c r="AL28" i="7"/>
  <c r="AI28" i="7" s="1"/>
  <c r="AK28" i="7"/>
  <c r="AJ28" i="7"/>
  <c r="AH28" i="7"/>
  <c r="AG28" i="7"/>
  <c r="N28" i="7"/>
  <c r="M28" i="7"/>
  <c r="L28" i="7"/>
  <c r="J28" i="7"/>
  <c r="I28" i="7"/>
  <c r="BF27" i="7"/>
  <c r="AL27" i="7"/>
  <c r="AK27" i="7"/>
  <c r="AJ27" i="7"/>
  <c r="AH27" i="7"/>
  <c r="AG27" i="7"/>
  <c r="N27" i="7"/>
  <c r="K27" i="7" s="1"/>
  <c r="M27" i="7"/>
  <c r="L27" i="7"/>
  <c r="J27" i="7"/>
  <c r="I27" i="7"/>
  <c r="BF26" i="7"/>
  <c r="AL26" i="7"/>
  <c r="AI26" i="7" s="1"/>
  <c r="AK26" i="7"/>
  <c r="AJ26" i="7"/>
  <c r="AH26" i="7"/>
  <c r="AG26" i="7"/>
  <c r="N26" i="7"/>
  <c r="K26" i="7" s="1"/>
  <c r="M26" i="7"/>
  <c r="L26" i="7"/>
  <c r="J26" i="7"/>
  <c r="I26" i="7"/>
  <c r="BF25" i="7"/>
  <c r="AL25" i="7"/>
  <c r="AK25" i="7"/>
  <c r="AJ25" i="7"/>
  <c r="AH25" i="7"/>
  <c r="AH41" i="7" s="1"/>
  <c r="AG25" i="7"/>
  <c r="N25" i="7"/>
  <c r="M25" i="7"/>
  <c r="M41" i="7" s="1"/>
  <c r="L25" i="7"/>
  <c r="J25" i="7"/>
  <c r="I25" i="7"/>
  <c r="BF24" i="7"/>
  <c r="AL24" i="7"/>
  <c r="AI24" i="7" s="1"/>
  <c r="AK24" i="7"/>
  <c r="AJ24" i="7"/>
  <c r="AH24" i="7"/>
  <c r="AG24" i="7"/>
  <c r="N24" i="7"/>
  <c r="M24" i="7"/>
  <c r="L24" i="7"/>
  <c r="J24" i="7"/>
  <c r="I24" i="7"/>
  <c r="BF23" i="7"/>
  <c r="AL23" i="7"/>
  <c r="AK23" i="7"/>
  <c r="AJ23" i="7"/>
  <c r="AH23" i="7"/>
  <c r="AG23" i="7"/>
  <c r="N23" i="7"/>
  <c r="K23" i="7" s="1"/>
  <c r="M23" i="7"/>
  <c r="L23" i="7"/>
  <c r="J23" i="7"/>
  <c r="I23" i="7"/>
  <c r="BF22" i="7"/>
  <c r="AL22" i="7"/>
  <c r="AI22" i="7" s="1"/>
  <c r="AK22" i="7"/>
  <c r="AJ22" i="7"/>
  <c r="AH22" i="7"/>
  <c r="AG22" i="7"/>
  <c r="N22" i="7"/>
  <c r="M22" i="7"/>
  <c r="L22" i="7"/>
  <c r="K22" i="7"/>
  <c r="J22" i="7"/>
  <c r="I22" i="7"/>
  <c r="BF21" i="7"/>
  <c r="AL21" i="7"/>
  <c r="AI21" i="7" s="1"/>
  <c r="BE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M16" i="7"/>
  <c r="L16" i="7"/>
  <c r="J16" i="7"/>
  <c r="I16" i="7"/>
  <c r="BF15" i="7"/>
  <c r="AL15" i="7"/>
  <c r="AK15" i="7"/>
  <c r="AJ15" i="7"/>
  <c r="AH15" i="7"/>
  <c r="AG15" i="7"/>
  <c r="N15" i="7"/>
  <c r="M15" i="7"/>
  <c r="L15" i="7"/>
  <c r="J15" i="7"/>
  <c r="I15" i="7"/>
  <c r="BF14" i="7"/>
  <c r="AL14" i="7"/>
  <c r="AI14" i="7" s="1"/>
  <c r="AK14" i="7"/>
  <c r="AJ14" i="7"/>
  <c r="AH14" i="7"/>
  <c r="AG14" i="7"/>
  <c r="N14" i="7"/>
  <c r="M14" i="7"/>
  <c r="L14" i="7"/>
  <c r="K14" i="7"/>
  <c r="J14" i="7"/>
  <c r="I14" i="7"/>
  <c r="BF13" i="7"/>
  <c r="AL13" i="7"/>
  <c r="AI13" i="7" s="1"/>
  <c r="AK13" i="7"/>
  <c r="AJ13" i="7"/>
  <c r="AH13" i="7"/>
  <c r="AG13" i="7"/>
  <c r="N13" i="7"/>
  <c r="M13" i="7"/>
  <c r="L13" i="7"/>
  <c r="J13" i="7"/>
  <c r="I13" i="7"/>
  <c r="BF12" i="7"/>
  <c r="AL12" i="7"/>
  <c r="AI12" i="7" s="1"/>
  <c r="AK12" i="7"/>
  <c r="AJ12" i="7"/>
  <c r="AH12" i="7"/>
  <c r="AG12" i="7"/>
  <c r="N12" i="7"/>
  <c r="M12" i="7"/>
  <c r="L12" i="7"/>
  <c r="J12" i="7"/>
  <c r="I12" i="7"/>
  <c r="BF11" i="7"/>
  <c r="AL11" i="7"/>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H5" i="7"/>
  <c r="AG5" i="7"/>
  <c r="N5" i="7"/>
  <c r="M5" i="7"/>
  <c r="L5" i="7"/>
  <c r="J5" i="7"/>
  <c r="J43" i="7" s="1"/>
  <c r="I5" i="7"/>
  <c r="AZ18" i="6"/>
  <c r="AY18" i="6"/>
  <c r="AX18" i="6"/>
  <c r="AW18" i="6"/>
  <c r="AC18" i="6"/>
  <c r="AB18" i="6"/>
  <c r="AA18" i="6"/>
  <c r="Z18" i="6"/>
  <c r="AZ16" i="6"/>
  <c r="AY16" i="6"/>
  <c r="AX16" i="6"/>
  <c r="AX17" i="6" s="1"/>
  <c r="AW16" i="6"/>
  <c r="AC16" i="6"/>
  <c r="AB16" i="6"/>
  <c r="AA16" i="6"/>
  <c r="Z16" i="6"/>
  <c r="AK11" i="6"/>
  <c r="AJ11" i="6"/>
  <c r="AI11" i="6"/>
  <c r="AG11" i="6"/>
  <c r="AF11" i="6"/>
  <c r="AE11" i="6"/>
  <c r="N11" i="6"/>
  <c r="K11" i="6" s="1"/>
  <c r="M11" i="6"/>
  <c r="L11" i="6"/>
  <c r="BD11" i="6" s="1"/>
  <c r="J11" i="6"/>
  <c r="I11" i="6"/>
  <c r="H11" i="6"/>
  <c r="AK10" i="6"/>
  <c r="AJ10" i="6"/>
  <c r="AI10" i="6"/>
  <c r="AH10" i="6"/>
  <c r="AG10" i="6"/>
  <c r="AF10" i="6"/>
  <c r="AE10" i="6"/>
  <c r="N10" i="6"/>
  <c r="M10" i="6"/>
  <c r="L10" i="6"/>
  <c r="L14" i="6" s="1"/>
  <c r="K10" i="6"/>
  <c r="J10" i="6"/>
  <c r="I10" i="6"/>
  <c r="H10" i="6"/>
  <c r="AK9" i="6"/>
  <c r="AJ9" i="6"/>
  <c r="AJ13" i="6" s="1"/>
  <c r="AI9" i="6"/>
  <c r="AI13" i="6" s="1"/>
  <c r="AG9" i="6"/>
  <c r="BB9" i="6" s="1"/>
  <c r="AF9" i="6"/>
  <c r="AE9" i="6"/>
  <c r="N9" i="6"/>
  <c r="K9" i="6" s="1"/>
  <c r="K13" i="6" s="1"/>
  <c r="M9" i="6"/>
  <c r="M13" i="6" s="1"/>
  <c r="L9" i="6"/>
  <c r="J9" i="6"/>
  <c r="J13" i="6" s="1"/>
  <c r="I9" i="6"/>
  <c r="H9" i="6"/>
  <c r="AK8" i="6"/>
  <c r="AJ8" i="6"/>
  <c r="AI8" i="6"/>
  <c r="AG8" i="6"/>
  <c r="BB8" i="6" s="1"/>
  <c r="AF8" i="6"/>
  <c r="AE8" i="6"/>
  <c r="N8" i="6"/>
  <c r="K8" i="6" s="1"/>
  <c r="M8" i="6"/>
  <c r="L8" i="6"/>
  <c r="J8" i="6"/>
  <c r="I8" i="6"/>
  <c r="H8" i="6"/>
  <c r="AK7" i="6"/>
  <c r="AH7" i="6" s="1"/>
  <c r="AJ7" i="6"/>
  <c r="AI7" i="6"/>
  <c r="BD7" i="6" s="1"/>
  <c r="AG7" i="6"/>
  <c r="AF7" i="6"/>
  <c r="AE7" i="6"/>
  <c r="N7" i="6"/>
  <c r="M7" i="6"/>
  <c r="BE7" i="6" s="1"/>
  <c r="L7" i="6"/>
  <c r="J7" i="6"/>
  <c r="BB7" i="6" s="1"/>
  <c r="I7" i="6"/>
  <c r="H7" i="6"/>
  <c r="BG6" i="6" a="1"/>
  <c r="AK6" i="6"/>
  <c r="AJ6" i="6"/>
  <c r="AI6" i="6"/>
  <c r="AH6" i="6"/>
  <c r="AG6" i="6"/>
  <c r="AF6" i="6"/>
  <c r="AE6" i="6"/>
  <c r="N6" i="6"/>
  <c r="BF6" i="6" s="1"/>
  <c r="M6" i="6"/>
  <c r="L6" i="6"/>
  <c r="J6" i="6"/>
  <c r="BB6" i="6" s="1"/>
  <c r="I6" i="6"/>
  <c r="H6" i="6"/>
  <c r="AK5" i="6"/>
  <c r="AJ5" i="6"/>
  <c r="AI5" i="6"/>
  <c r="AG5" i="6"/>
  <c r="AF5" i="6"/>
  <c r="AE5" i="6"/>
  <c r="N5" i="6"/>
  <c r="K5" i="6" s="1"/>
  <c r="M5" i="6"/>
  <c r="L5" i="6"/>
  <c r="J5" i="6"/>
  <c r="I5" i="6"/>
  <c r="H5" i="6"/>
  <c r="AZ18" i="5"/>
  <c r="AY18" i="5"/>
  <c r="AX18" i="5"/>
  <c r="AW18" i="5"/>
  <c r="AC18" i="5"/>
  <c r="AB18" i="5"/>
  <c r="AA18" i="5"/>
  <c r="Z18" i="5"/>
  <c r="AZ16" i="5"/>
  <c r="AY16" i="5"/>
  <c r="AX16" i="5"/>
  <c r="AW16" i="5"/>
  <c r="AC16" i="5"/>
  <c r="AB16" i="5"/>
  <c r="AA16" i="5"/>
  <c r="Z16" i="5"/>
  <c r="AG15" i="5"/>
  <c r="J14" i="5"/>
  <c r="BG11" i="5" a="1"/>
  <c r="AK11" i="5"/>
  <c r="AH11" i="5" s="1"/>
  <c r="AJ11" i="5"/>
  <c r="AI11" i="5"/>
  <c r="AG11" i="5"/>
  <c r="AF11" i="5"/>
  <c r="AE11" i="5"/>
  <c r="N11" i="5"/>
  <c r="M11" i="5"/>
  <c r="L11" i="5"/>
  <c r="K11" i="5"/>
  <c r="J11" i="5"/>
  <c r="I11" i="5"/>
  <c r="H11" i="5"/>
  <c r="BG10" i="5" a="1"/>
  <c r="AK10" i="5"/>
  <c r="AJ10" i="5"/>
  <c r="BE10" i="5" s="1"/>
  <c r="AI10" i="5"/>
  <c r="AI14" i="5" s="1"/>
  <c r="AG10" i="5"/>
  <c r="AF10" i="5"/>
  <c r="AE10" i="5"/>
  <c r="N10" i="5"/>
  <c r="M10" i="5"/>
  <c r="L10" i="5"/>
  <c r="L14" i="5" s="1"/>
  <c r="K10" i="5"/>
  <c r="J10" i="5"/>
  <c r="I10" i="5"/>
  <c r="H10" i="5"/>
  <c r="AK9" i="5"/>
  <c r="BF9" i="5" s="1"/>
  <c r="AJ9" i="5"/>
  <c r="AJ13" i="5" s="1"/>
  <c r="AI9" i="5"/>
  <c r="AI13" i="5" s="1"/>
  <c r="AG9" i="5"/>
  <c r="AG13" i="5" s="1"/>
  <c r="AF9" i="5"/>
  <c r="AE9" i="5"/>
  <c r="N9" i="5"/>
  <c r="K9" i="5" s="1"/>
  <c r="K13" i="5" s="1"/>
  <c r="M9" i="5"/>
  <c r="M13" i="5" s="1"/>
  <c r="L9" i="5"/>
  <c r="BD9" i="5" s="1"/>
  <c r="J9" i="5"/>
  <c r="I9" i="5"/>
  <c r="H9" i="5"/>
  <c r="AK8" i="5"/>
  <c r="BG8" i="5" s="1" a="1"/>
  <c r="AJ8" i="5"/>
  <c r="AI8" i="5"/>
  <c r="BD8" i="5" s="1"/>
  <c r="AH8" i="5"/>
  <c r="AG8" i="5"/>
  <c r="AF8" i="5"/>
  <c r="AE8" i="5"/>
  <c r="N8" i="5"/>
  <c r="BF8" i="5" s="1"/>
  <c r="M8" i="5"/>
  <c r="BE8" i="5" s="1"/>
  <c r="L8" i="5"/>
  <c r="K8" i="5"/>
  <c r="J8" i="5"/>
  <c r="BB8" i="5" s="1"/>
  <c r="I8" i="5"/>
  <c r="H8" i="5"/>
  <c r="BG7" i="5" a="1"/>
  <c r="AK7" i="5"/>
  <c r="AJ7" i="5"/>
  <c r="AI7" i="5"/>
  <c r="AH7" i="5"/>
  <c r="AG7" i="5"/>
  <c r="AF7" i="5"/>
  <c r="AE7" i="5"/>
  <c r="N7" i="5"/>
  <c r="BF7" i="5" s="1"/>
  <c r="M7" i="5"/>
  <c r="L7" i="5"/>
  <c r="J7" i="5"/>
  <c r="BB7" i="5" s="1"/>
  <c r="I7" i="5"/>
  <c r="H7" i="5"/>
  <c r="BG6" i="5" a="1"/>
  <c r="AK6" i="5"/>
  <c r="AJ6" i="5"/>
  <c r="AJ12" i="5" s="1"/>
  <c r="AI6" i="5"/>
  <c r="AG6" i="5"/>
  <c r="BB6" i="5" s="1"/>
  <c r="AF6" i="5"/>
  <c r="AE6" i="5"/>
  <c r="N6" i="5"/>
  <c r="M6" i="5"/>
  <c r="BE6" i="5" s="1"/>
  <c r="L6" i="5"/>
  <c r="K6" i="5"/>
  <c r="J6" i="5"/>
  <c r="I6" i="5"/>
  <c r="H6" i="5"/>
  <c r="BE5" i="5"/>
  <c r="AK5" i="5"/>
  <c r="AJ5" i="5"/>
  <c r="AI5" i="5"/>
  <c r="AH5" i="5"/>
  <c r="AG5" i="5"/>
  <c r="AF5" i="5"/>
  <c r="AE5" i="5"/>
  <c r="N5" i="5"/>
  <c r="K5" i="5" s="1"/>
  <c r="M5" i="5"/>
  <c r="M12" i="5" s="1"/>
  <c r="L5" i="5"/>
  <c r="L15" i="5" s="1"/>
  <c r="J5" i="5"/>
  <c r="I5" i="5"/>
  <c r="H5" i="5"/>
  <c r="BC46" i="3"/>
  <c r="BB46" i="3"/>
  <c r="BA46" i="3"/>
  <c r="AZ46" i="3"/>
  <c r="AE46" i="3"/>
  <c r="AD46" i="3"/>
  <c r="AC46" i="3"/>
  <c r="AB46" i="3"/>
  <c r="BC44" i="3"/>
  <c r="BB44" i="3"/>
  <c r="BA44" i="3"/>
  <c r="AZ44" i="3"/>
  <c r="AE44" i="3"/>
  <c r="AD44" i="3"/>
  <c r="BB45" i="3" s="1"/>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AK37" i="3"/>
  <c r="AJ37" i="3"/>
  <c r="AH37" i="3"/>
  <c r="AG37" i="3"/>
  <c r="N37" i="3"/>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K35" i="3"/>
  <c r="J35" i="3"/>
  <c r="I35" i="3"/>
  <c r="BF34" i="3"/>
  <c r="AL34" i="3"/>
  <c r="AI34" i="3" s="1"/>
  <c r="AK34" i="3"/>
  <c r="AJ34" i="3"/>
  <c r="AH34" i="3"/>
  <c r="AG34" i="3"/>
  <c r="N34" i="3"/>
  <c r="M34" i="3"/>
  <c r="L34" i="3"/>
  <c r="J34" i="3"/>
  <c r="I34" i="3"/>
  <c r="BF33" i="3"/>
  <c r="AL33" i="3"/>
  <c r="AI33" i="3" s="1"/>
  <c r="AK33" i="3"/>
  <c r="AJ33" i="3"/>
  <c r="AH33" i="3"/>
  <c r="AG33" i="3"/>
  <c r="N33" i="3"/>
  <c r="M33" i="3"/>
  <c r="L33" i="3"/>
  <c r="J33" i="3"/>
  <c r="I33" i="3"/>
  <c r="BF32" i="3"/>
  <c r="AL32" i="3"/>
  <c r="AI32" i="3" s="1"/>
  <c r="BE32" i="3" s="1"/>
  <c r="AK32" i="3"/>
  <c r="AJ32" i="3"/>
  <c r="AH32" i="3"/>
  <c r="AG32" i="3"/>
  <c r="N32" i="3"/>
  <c r="K32" i="3" s="1"/>
  <c r="M32" i="3"/>
  <c r="L32" i="3"/>
  <c r="J32" i="3"/>
  <c r="I32" i="3"/>
  <c r="BF31" i="3"/>
  <c r="AL31" i="3"/>
  <c r="AK31" i="3"/>
  <c r="AJ31" i="3"/>
  <c r="AH31" i="3"/>
  <c r="AG31" i="3"/>
  <c r="N31" i="3"/>
  <c r="K31" i="3" s="1"/>
  <c r="M31" i="3"/>
  <c r="L31" i="3"/>
  <c r="J31" i="3"/>
  <c r="I31" i="3"/>
  <c r="BF30" i="3"/>
  <c r="AL30" i="3"/>
  <c r="BH30" i="3" s="1" a="1"/>
  <c r="AK30" i="3"/>
  <c r="AJ30" i="3"/>
  <c r="AH30" i="3"/>
  <c r="AG30" i="3"/>
  <c r="N30" i="3"/>
  <c r="M30" i="3"/>
  <c r="L30" i="3"/>
  <c r="K30" i="3"/>
  <c r="J30" i="3"/>
  <c r="I30" i="3"/>
  <c r="BF29" i="3"/>
  <c r="AL29" i="3"/>
  <c r="AI29" i="3" s="1"/>
  <c r="AK29" i="3"/>
  <c r="AJ29" i="3"/>
  <c r="AH29" i="3"/>
  <c r="AG29" i="3"/>
  <c r="N29" i="3"/>
  <c r="M29" i="3"/>
  <c r="L29" i="3"/>
  <c r="J29" i="3"/>
  <c r="I29" i="3"/>
  <c r="BF28" i="3"/>
  <c r="AL28" i="3"/>
  <c r="BG28" i="3" s="1"/>
  <c r="AK28" i="3"/>
  <c r="AJ28" i="3"/>
  <c r="AH28" i="3"/>
  <c r="AG28" i="3"/>
  <c r="N28" i="3"/>
  <c r="K28" i="3" s="1"/>
  <c r="M28" i="3"/>
  <c r="L28" i="3"/>
  <c r="J28" i="3"/>
  <c r="I28" i="3"/>
  <c r="BF27" i="3"/>
  <c r="AL27" i="3"/>
  <c r="BG27" i="3" s="1"/>
  <c r="AK27" i="3"/>
  <c r="AJ27" i="3"/>
  <c r="AH27" i="3"/>
  <c r="AG27" i="3"/>
  <c r="N27" i="3"/>
  <c r="M27" i="3"/>
  <c r="L27" i="3"/>
  <c r="K27" i="3"/>
  <c r="J27" i="3"/>
  <c r="I27" i="3"/>
  <c r="BF26" i="3"/>
  <c r="AL26" i="3"/>
  <c r="AI26" i="3" s="1"/>
  <c r="AK26" i="3"/>
  <c r="AJ26" i="3"/>
  <c r="AH26" i="3"/>
  <c r="AG26" i="3"/>
  <c r="N26" i="3"/>
  <c r="K26" i="3" s="1"/>
  <c r="M26" i="3"/>
  <c r="L26" i="3"/>
  <c r="J26" i="3"/>
  <c r="I26" i="3"/>
  <c r="BF25" i="3"/>
  <c r="AL25" i="3"/>
  <c r="AI25" i="3" s="1"/>
  <c r="AK25" i="3"/>
  <c r="AJ25" i="3"/>
  <c r="AH25" i="3"/>
  <c r="AG25" i="3"/>
  <c r="N25" i="3"/>
  <c r="M25" i="3"/>
  <c r="M41" i="3" s="1"/>
  <c r="L25" i="3"/>
  <c r="K25" i="3"/>
  <c r="J25" i="3"/>
  <c r="I25" i="3"/>
  <c r="BF24" i="3"/>
  <c r="AL24" i="3"/>
  <c r="AI24" i="3" s="1"/>
  <c r="AK24" i="3"/>
  <c r="AJ24" i="3"/>
  <c r="AH24" i="3"/>
  <c r="AG24" i="3"/>
  <c r="N24" i="3"/>
  <c r="K24" i="3" s="1"/>
  <c r="M24" i="3"/>
  <c r="L24" i="3"/>
  <c r="J24" i="3"/>
  <c r="I24" i="3"/>
  <c r="BF23" i="3"/>
  <c r="AL23" i="3"/>
  <c r="AI23" i="3" s="1"/>
  <c r="AK23" i="3"/>
  <c r="AJ23" i="3"/>
  <c r="AH23" i="3"/>
  <c r="AG23" i="3"/>
  <c r="N23" i="3"/>
  <c r="BG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F20" i="3"/>
  <c r="AL20" i="3"/>
  <c r="AK20" i="3"/>
  <c r="AJ20" i="3"/>
  <c r="AH20" i="3"/>
  <c r="AG20" i="3"/>
  <c r="N20" i="3"/>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H15" i="3" a="1"/>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M13" i="3"/>
  <c r="L13" i="3"/>
  <c r="J13" i="3"/>
  <c r="I13" i="3"/>
  <c r="BF12" i="3"/>
  <c r="AL12" i="3"/>
  <c r="AK12" i="3"/>
  <c r="AJ12" i="3"/>
  <c r="AH12" i="3"/>
  <c r="AG12" i="3"/>
  <c r="N12" i="3"/>
  <c r="K12" i="3" s="1"/>
  <c r="M12" i="3"/>
  <c r="L12" i="3"/>
  <c r="J12" i="3"/>
  <c r="I12" i="3"/>
  <c r="BF11" i="3"/>
  <c r="AL11" i="3"/>
  <c r="AI11" i="3" s="1"/>
  <c r="AK11" i="3"/>
  <c r="AJ11" i="3"/>
  <c r="AH11" i="3"/>
  <c r="AG11" i="3"/>
  <c r="N11" i="3"/>
  <c r="BG11" i="3" s="1"/>
  <c r="M11" i="3"/>
  <c r="L11" i="3"/>
  <c r="J11" i="3"/>
  <c r="I11" i="3"/>
  <c r="BF10" i="3"/>
  <c r="AL10" i="3"/>
  <c r="BG10" i="3" s="1"/>
  <c r="AK10" i="3"/>
  <c r="AJ10" i="3"/>
  <c r="AH10" i="3"/>
  <c r="AG10" i="3"/>
  <c r="N10" i="3"/>
  <c r="M10" i="3"/>
  <c r="L10" i="3"/>
  <c r="J10" i="3"/>
  <c r="I10" i="3"/>
  <c r="BF9" i="3"/>
  <c r="AL9" i="3"/>
  <c r="AI9" i="3" s="1"/>
  <c r="AK9" i="3"/>
  <c r="AJ9" i="3"/>
  <c r="AH9" i="3"/>
  <c r="AG9" i="3"/>
  <c r="N9" i="3"/>
  <c r="M9" i="3"/>
  <c r="L9" i="3"/>
  <c r="J9" i="3"/>
  <c r="I9" i="3"/>
  <c r="BF8" i="3"/>
  <c r="AL8" i="3"/>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M5" i="3"/>
  <c r="L5" i="3"/>
  <c r="K5" i="3"/>
  <c r="J5" i="3"/>
  <c r="I5" i="3"/>
  <c r="B1" i="2"/>
  <c r="B2" i="2" s="1"/>
  <c r="BP35" i="3"/>
  <c r="BN25" i="3"/>
  <c r="BT15" i="3"/>
  <c r="BP10" i="3"/>
  <c r="BN35" i="3"/>
  <c r="BJ30" i="3"/>
  <c r="BP20" i="3"/>
  <c r="BN10" i="3"/>
  <c r="BR20" i="3"/>
  <c r="BT5" i="3"/>
  <c r="BN30" i="3"/>
  <c r="BQ10" i="3"/>
  <c r="BS20" i="3"/>
  <c r="BL5" i="3"/>
  <c r="BM35" i="3"/>
  <c r="BJ25" i="3"/>
  <c r="BQ5" i="3"/>
  <c r="BK25" i="3"/>
  <c r="BP15" i="3"/>
  <c r="BS5" i="3"/>
  <c r="BT30" i="3"/>
  <c r="BS15" i="3"/>
  <c r="BR5" i="3"/>
  <c r="BR35" i="3"/>
  <c r="BQ35" i="3"/>
  <c r="BM15" i="3"/>
  <c r="BJ5" i="3"/>
  <c r="BQ25" i="3"/>
  <c r="BQ15" i="3"/>
  <c r="BJ35" i="3"/>
  <c r="BN20" i="3"/>
  <c r="BQ20" i="3"/>
  <c r="BN5" i="3"/>
  <c r="BM25" i="3"/>
  <c r="BM5" i="3"/>
  <c r="BL10" i="3"/>
  <c r="BM30" i="3"/>
  <c r="BL15" i="3"/>
  <c r="BS25" i="3"/>
  <c r="BT10" i="3"/>
  <c r="BS35" i="3"/>
  <c r="BT20" i="3"/>
  <c r="BS10" i="3"/>
  <c r="BK10" i="3"/>
  <c r="BR15" i="3"/>
  <c r="BM10" i="3"/>
  <c r="BR10" i="3"/>
  <c r="BQ30" i="3"/>
  <c r="BR25" i="3"/>
  <c r="BP5" i="3"/>
  <c r="BL30" i="3"/>
  <c r="BP30" i="3"/>
  <c r="BN15" i="3"/>
  <c r="BS30" i="3"/>
  <c r="BM20" i="3"/>
  <c r="BR30" i="3"/>
  <c r="BT35" i="3"/>
  <c r="BL20" i="3"/>
  <c r="BK5" i="3"/>
  <c r="BK30" i="3"/>
  <c r="BL25" i="3"/>
  <c r="BL35" i="3"/>
  <c r="BP25" i="3"/>
  <c r="BT25" i="3"/>
  <c r="BP35" i="7"/>
  <c r="BR25" i="7"/>
  <c r="BT20" i="7"/>
  <c r="BM5" i="7"/>
  <c r="BR35" i="7"/>
  <c r="BR20" i="7"/>
  <c r="BL15" i="7"/>
  <c r="BR10" i="7"/>
  <c r="BP25" i="7"/>
  <c r="BL25" i="7"/>
  <c r="BT10" i="7"/>
  <c r="BS10" i="7"/>
  <c r="BK20" i="7"/>
  <c r="BN30" i="7"/>
  <c r="BL10" i="7"/>
  <c r="BS15" i="7"/>
  <c r="BL20" i="7"/>
  <c r="BM25" i="7"/>
  <c r="BM20" i="7"/>
  <c r="BP30" i="7"/>
  <c r="BN25" i="7"/>
  <c r="BQ15" i="7"/>
  <c r="BP15" i="7"/>
  <c r="BQ10" i="7"/>
  <c r="BS5" i="7"/>
  <c r="BK15" i="7"/>
  <c r="BP5" i="7"/>
  <c r="BT25" i="7"/>
  <c r="BS20" i="7"/>
  <c r="BN20" i="7"/>
  <c r="BQ5" i="7"/>
  <c r="BM10" i="7"/>
  <c r="BT35" i="7"/>
  <c r="BP10" i="7"/>
  <c r="BQ35" i="7"/>
  <c r="BP20" i="7"/>
  <c r="BQ20" i="7"/>
  <c r="BT15" i="7"/>
  <c r="BM15" i="7"/>
  <c r="BT5" i="7"/>
  <c r="BN5" i="7"/>
  <c r="BR15" i="7"/>
  <c r="BR5" i="7"/>
  <c r="BN35" i="7"/>
  <c r="BK35" i="7"/>
  <c r="BS30" i="7"/>
  <c r="BS25" i="7"/>
  <c r="BM30" i="7"/>
  <c r="BQ30" i="7"/>
  <c r="BT30" i="7"/>
  <c r="BN15" i="7"/>
  <c r="BL5" i="7"/>
  <c r="BN10" i="7"/>
  <c r="BM35" i="7"/>
  <c r="BR30" i="7"/>
  <c r="BL30" i="7"/>
  <c r="BJ25" i="7"/>
  <c r="BS35" i="7"/>
  <c r="BL35" i="7"/>
  <c r="BQ25" i="7"/>
  <c r="BJ5" i="7"/>
  <c r="BC45" i="3" l="1"/>
  <c r="BG5" i="3"/>
  <c r="BG9" i="3"/>
  <c r="BG22" i="7"/>
  <c r="BG24" i="7"/>
  <c r="AK41" i="7"/>
  <c r="BG10" i="7"/>
  <c r="BG18" i="7"/>
  <c r="BG25" i="3"/>
  <c r="AK42" i="3"/>
  <c r="BG13" i="3"/>
  <c r="AH42" i="7"/>
  <c r="BG6" i="7"/>
  <c r="BG8" i="7"/>
  <c r="BG14" i="7"/>
  <c r="BG16" i="7"/>
  <c r="BG26" i="7"/>
  <c r="BG28" i="7"/>
  <c r="BG36" i="7"/>
  <c r="BG38" i="7"/>
  <c r="BG12" i="7"/>
  <c r="AJ41" i="7"/>
  <c r="BG32" i="7"/>
  <c r="BG34" i="7"/>
  <c r="BH30" i="3"/>
  <c r="AK41" i="3"/>
  <c r="AI28" i="3"/>
  <c r="AH42" i="3"/>
  <c r="BG38" i="3"/>
  <c r="AJ43" i="3"/>
  <c r="BH15" i="3"/>
  <c r="BG17" i="3"/>
  <c r="BG22" i="3"/>
  <c r="BG30" i="3"/>
  <c r="BG34" i="3"/>
  <c r="BB45" i="7"/>
  <c r="BB47" i="7"/>
  <c r="C48" i="1" s="1"/>
  <c r="BE9" i="7"/>
  <c r="K10" i="7"/>
  <c r="BH20" i="7"/>
  <c r="K30" i="7"/>
  <c r="BC45" i="7"/>
  <c r="BC47" i="7"/>
  <c r="J40" i="7"/>
  <c r="J41" i="7"/>
  <c r="BE36" i="7"/>
  <c r="BE38" i="7"/>
  <c r="AZ45" i="7"/>
  <c r="AZ47" i="7"/>
  <c r="C47" i="1" s="1"/>
  <c r="BA45" i="7"/>
  <c r="BA47" i="7"/>
  <c r="BG19" i="3"/>
  <c r="BE21" i="3"/>
  <c r="K23" i="3"/>
  <c r="BE23" i="3" s="1"/>
  <c r="BG26" i="3"/>
  <c r="BE28" i="3"/>
  <c r="BG32" i="3"/>
  <c r="K34" i="3"/>
  <c r="BA47" i="3"/>
  <c r="K11" i="3"/>
  <c r="BE11" i="3" s="1"/>
  <c r="BG7" i="3"/>
  <c r="J43" i="3"/>
  <c r="BG12" i="3"/>
  <c r="BG21" i="3"/>
  <c r="BG36" i="3"/>
  <c r="AZ45" i="3"/>
  <c r="BG15" i="3"/>
  <c r="J40" i="3"/>
  <c r="BG6" i="3"/>
  <c r="BE15" i="3"/>
  <c r="BG16" i="3"/>
  <c r="BE19" i="3"/>
  <c r="BG20" i="3"/>
  <c r="BE24" i="3"/>
  <c r="J42" i="3"/>
  <c r="BE36" i="3"/>
  <c r="BA45" i="3"/>
  <c r="BC47" i="3"/>
  <c r="AZ47" i="3"/>
  <c r="C13" i="1" s="1"/>
  <c r="AX17" i="5"/>
  <c r="AX19" i="5"/>
  <c r="BF5" i="5"/>
  <c r="BD6" i="5"/>
  <c r="BG6" i="5"/>
  <c r="K7" i="5"/>
  <c r="BC7" i="5" s="1"/>
  <c r="BD13" i="5"/>
  <c r="M14" i="5"/>
  <c r="BB10" i="5"/>
  <c r="BD10" i="5"/>
  <c r="BD11" i="5"/>
  <c r="L12" i="5"/>
  <c r="M15" i="5"/>
  <c r="AY19" i="5"/>
  <c r="C24" i="1" s="1"/>
  <c r="BE12" i="5"/>
  <c r="D19" i="1" s="1"/>
  <c r="BE7" i="5"/>
  <c r="BG8" i="5"/>
  <c r="BE13" i="5"/>
  <c r="D20" i="1" s="1"/>
  <c r="BD14" i="5"/>
  <c r="K14" i="5"/>
  <c r="BE11" i="5"/>
  <c r="AZ17" i="5"/>
  <c r="AZ19" i="5"/>
  <c r="BC11" i="5"/>
  <c r="L13" i="5"/>
  <c r="AW17" i="5"/>
  <c r="AW19" i="5"/>
  <c r="C23" i="1" s="1"/>
  <c r="AI15" i="5"/>
  <c r="BD15" i="5" s="1"/>
  <c r="AI12" i="5"/>
  <c r="BD12" i="5" s="1"/>
  <c r="BG7" i="5"/>
  <c r="BC8" i="5"/>
  <c r="AH9" i="5"/>
  <c r="AH13" i="5" s="1"/>
  <c r="BE9" i="5"/>
  <c r="BB11" i="5"/>
  <c r="BF11" i="5"/>
  <c r="AJ14" i="5"/>
  <c r="BE14" i="5" s="1"/>
  <c r="D21" i="1" s="1"/>
  <c r="BG10" i="5"/>
  <c r="BG14" i="5" s="1"/>
  <c r="BG11" i="5"/>
  <c r="AX19" i="6"/>
  <c r="BE5" i="6"/>
  <c r="BG6" i="6"/>
  <c r="AY17" i="6"/>
  <c r="AY19" i="6"/>
  <c r="C36" i="1" s="1"/>
  <c r="K6" i="6"/>
  <c r="BD6" i="6"/>
  <c r="J14" i="6"/>
  <c r="M14" i="6"/>
  <c r="BB11" i="6"/>
  <c r="AZ19" i="6"/>
  <c r="BE6" i="6"/>
  <c r="AW17" i="6"/>
  <c r="AW19" i="6"/>
  <c r="C35" i="1" s="1"/>
  <c r="BC6" i="6"/>
  <c r="BD8" i="6"/>
  <c r="BE8" i="6"/>
  <c r="BC10" i="6"/>
  <c r="BQ43" i="3"/>
  <c r="I12" i="1" s="1"/>
  <c r="BQ40" i="3"/>
  <c r="I9" i="1" s="1"/>
  <c r="BJ41" i="3"/>
  <c r="C10" i="1" s="1"/>
  <c r="BT41" i="3"/>
  <c r="L10" i="1" s="1"/>
  <c r="BR42" i="3"/>
  <c r="J11" i="1" s="1"/>
  <c r="BR43" i="7"/>
  <c r="J46" i="1" s="1"/>
  <c r="BP41" i="7"/>
  <c r="H44" i="1" s="1"/>
  <c r="BL43" i="3"/>
  <c r="E12" i="1" s="1"/>
  <c r="BL40" i="3"/>
  <c r="E9" i="1" s="1"/>
  <c r="BP41" i="3"/>
  <c r="H10" i="1" s="1"/>
  <c r="BM42" i="3"/>
  <c r="F11" i="1" s="1"/>
  <c r="BN42" i="7"/>
  <c r="G45" i="1" s="1"/>
  <c r="BQ41" i="3"/>
  <c r="I10" i="1" s="1"/>
  <c r="BN42" i="3"/>
  <c r="G11" i="1" s="1"/>
  <c r="BM43" i="7"/>
  <c r="F46" i="1" s="1"/>
  <c r="BJ41" i="7"/>
  <c r="C44" i="1" s="1"/>
  <c r="BS42" i="7"/>
  <c r="K45" i="1" s="1"/>
  <c r="BL41" i="3"/>
  <c r="E10" i="1" s="1"/>
  <c r="BS42" i="3"/>
  <c r="K11" i="1" s="1"/>
  <c r="BT41" i="7"/>
  <c r="L44" i="1" s="1"/>
  <c r="BL41" i="7"/>
  <c r="E44" i="1" s="1"/>
  <c r="BQ41" i="7"/>
  <c r="I44" i="1" s="1"/>
  <c r="BP42" i="7"/>
  <c r="H45" i="1" s="1"/>
  <c r="BT42" i="7"/>
  <c r="L45" i="1" s="1"/>
  <c r="BM41" i="3"/>
  <c r="F10" i="1" s="1"/>
  <c r="BR41" i="3"/>
  <c r="J10" i="1" s="1"/>
  <c r="BJ42" i="3"/>
  <c r="C11" i="1" s="1"/>
  <c r="BP42" i="3"/>
  <c r="H11" i="1" s="1"/>
  <c r="BT42" i="3"/>
  <c r="L11" i="1" s="1"/>
  <c r="BP43" i="7"/>
  <c r="H46" i="1" s="1"/>
  <c r="BT43" i="7"/>
  <c r="L46" i="1" s="1"/>
  <c r="BM41" i="7"/>
  <c r="F44" i="1" s="1"/>
  <c r="BR41" i="7"/>
  <c r="J44" i="1" s="1"/>
  <c r="BL42" i="7"/>
  <c r="E45" i="1" s="1"/>
  <c r="BQ42" i="7"/>
  <c r="I45" i="1" s="1"/>
  <c r="BS43" i="3"/>
  <c r="K12" i="1" s="1"/>
  <c r="BK41" i="3"/>
  <c r="D10" i="1" s="1"/>
  <c r="BN41" i="3"/>
  <c r="G10" i="1" s="1"/>
  <c r="BS41" i="3"/>
  <c r="K10" i="1" s="1"/>
  <c r="BL42" i="3"/>
  <c r="E11" i="1" s="1"/>
  <c r="BQ42" i="3"/>
  <c r="I11" i="1" s="1"/>
  <c r="BL40" i="7"/>
  <c r="E43" i="1" s="1"/>
  <c r="BL43" i="7"/>
  <c r="E46" i="1" s="1"/>
  <c r="BQ43" i="7"/>
  <c r="I46" i="1" s="1"/>
  <c r="BQ40" i="7"/>
  <c r="I43" i="1" s="1"/>
  <c r="BN41" i="7"/>
  <c r="G44" i="1" s="1"/>
  <c r="BS41" i="7"/>
  <c r="K44" i="1" s="1"/>
  <c r="BM42" i="7"/>
  <c r="F45" i="1" s="1"/>
  <c r="BR42" i="7"/>
  <c r="J45" i="1" s="1"/>
  <c r="BH20" i="3" a="1"/>
  <c r="BH20" i="3" s="1"/>
  <c r="L40" i="3"/>
  <c r="BM43" i="3"/>
  <c r="F12" i="1" s="1"/>
  <c r="BM40" i="3"/>
  <c r="F9" i="1" s="1"/>
  <c r="K17" i="3"/>
  <c r="BE17" i="3" s="1"/>
  <c r="AI20" i="3"/>
  <c r="AI27" i="3"/>
  <c r="BE27" i="3" s="1"/>
  <c r="AJ14" i="6"/>
  <c r="BE14" i="6" s="1"/>
  <c r="D33" i="1" s="1"/>
  <c r="BE10" i="6"/>
  <c r="BN43" i="3"/>
  <c r="G12" i="1" s="1"/>
  <c r="BN40" i="3"/>
  <c r="G9" i="1" s="1"/>
  <c r="BG8" i="3"/>
  <c r="K10" i="3"/>
  <c r="BH10" i="3" a="1"/>
  <c r="BH10" i="3" s="1"/>
  <c r="AI10" i="3"/>
  <c r="AI12" i="3"/>
  <c r="BE12" i="3" s="1"/>
  <c r="K13" i="3"/>
  <c r="BE13" i="3" s="1"/>
  <c r="BG18" i="3"/>
  <c r="K20" i="3"/>
  <c r="AI41" i="3"/>
  <c r="BE25" i="3"/>
  <c r="BE26" i="3"/>
  <c r="L42" i="3"/>
  <c r="BG33" i="3"/>
  <c r="K33" i="3"/>
  <c r="K42" i="3" s="1"/>
  <c r="BC13" i="5"/>
  <c r="C20" i="1" s="1"/>
  <c r="BG11" i="6" a="1"/>
  <c r="BG11" i="6" s="1"/>
  <c r="BF11" i="6"/>
  <c r="AH11" i="6"/>
  <c r="AZ17" i="6"/>
  <c r="AK40" i="3"/>
  <c r="AK43" i="3"/>
  <c r="BE18" i="3"/>
  <c r="BE34" i="3"/>
  <c r="BG39" i="3"/>
  <c r="AI39" i="3"/>
  <c r="BE39" i="3" s="1"/>
  <c r="L13" i="6"/>
  <c r="BD13" i="6" s="1"/>
  <c r="BD9" i="6"/>
  <c r="BF9" i="6"/>
  <c r="AH9" i="6"/>
  <c r="BG9" i="6" a="1"/>
  <c r="BG9" i="6" s="1"/>
  <c r="BG13" i="6" s="1"/>
  <c r="BH5" i="3" a="1"/>
  <c r="BH5" i="3" s="1"/>
  <c r="BR43" i="3"/>
  <c r="J12" i="1" s="1"/>
  <c r="BR40" i="3"/>
  <c r="J9" i="1" s="1"/>
  <c r="AI7" i="3"/>
  <c r="BE7" i="3" s="1"/>
  <c r="BE14" i="3"/>
  <c r="AI16" i="3"/>
  <c r="BE16" i="3" s="1"/>
  <c r="BH25" i="3" a="1"/>
  <c r="BH25" i="3" s="1"/>
  <c r="BH41" i="3" s="1"/>
  <c r="M42" i="3"/>
  <c r="BE33" i="3"/>
  <c r="BG35" i="3"/>
  <c r="BH35" i="3" a="1"/>
  <c r="BH35" i="3" s="1"/>
  <c r="BH42" i="3" s="1"/>
  <c r="AI35" i="3"/>
  <c r="BE35" i="3" s="1"/>
  <c r="BG37" i="3"/>
  <c r="K37" i="3"/>
  <c r="BE37" i="3" s="1"/>
  <c r="BB47" i="3"/>
  <c r="C14" i="1" s="1"/>
  <c r="J13" i="5"/>
  <c r="BB13" i="5" s="1"/>
  <c r="E20" i="1" s="1"/>
  <c r="BB9" i="5"/>
  <c r="L12" i="6"/>
  <c r="L15" i="6"/>
  <c r="BD5" i="6"/>
  <c r="BF5" i="6"/>
  <c r="AH5" i="6"/>
  <c r="BG5" i="6" a="1"/>
  <c r="BG5" i="6" s="1"/>
  <c r="M40" i="3"/>
  <c r="M43" i="3"/>
  <c r="BE5" i="3"/>
  <c r="BE6" i="3"/>
  <c r="AJ40" i="3"/>
  <c r="BP43" i="3"/>
  <c r="H12" i="1" s="1"/>
  <c r="BP40" i="3"/>
  <c r="H9" i="1" s="1"/>
  <c r="BT43" i="3"/>
  <c r="L12" i="1" s="1"/>
  <c r="BT40" i="3"/>
  <c r="L9" i="1" s="1"/>
  <c r="L43" i="3"/>
  <c r="AH43" i="3"/>
  <c r="AI8" i="3"/>
  <c r="BE8" i="3" s="1"/>
  <c r="K9" i="3"/>
  <c r="BE9" i="3" s="1"/>
  <c r="BG14" i="3"/>
  <c r="BE22" i="3"/>
  <c r="BG24" i="3"/>
  <c r="J41" i="3"/>
  <c r="AJ41" i="3"/>
  <c r="L41" i="3"/>
  <c r="AH41" i="3"/>
  <c r="BG29" i="3"/>
  <c r="K29" i="3"/>
  <c r="K41" i="3" s="1"/>
  <c r="AJ42" i="3"/>
  <c r="BG31" i="3"/>
  <c r="AI31" i="3"/>
  <c r="BE31" i="3" s="1"/>
  <c r="BE38" i="3"/>
  <c r="AH40" i="3"/>
  <c r="BS40" i="3"/>
  <c r="K9" i="1" s="1"/>
  <c r="J12" i="5"/>
  <c r="J15" i="5"/>
  <c r="BB15" i="5" s="1"/>
  <c r="E22" i="1" s="1"/>
  <c r="BB5" i="5"/>
  <c r="AY17" i="5"/>
  <c r="BF7" i="6"/>
  <c r="K7" i="6"/>
  <c r="BC7" i="6" s="1"/>
  <c r="BG8" i="6" a="1"/>
  <c r="BG8" i="6" s="1"/>
  <c r="BF8" i="6"/>
  <c r="AH8" i="6"/>
  <c r="BC8" i="6" s="1"/>
  <c r="M12" i="6"/>
  <c r="BG39" i="7"/>
  <c r="AI39" i="7"/>
  <c r="BE39" i="7" s="1"/>
  <c r="BD7" i="5"/>
  <c r="M15" i="6"/>
  <c r="AG15" i="6"/>
  <c r="BB5" i="6"/>
  <c r="AG12" i="6"/>
  <c r="BG13" i="7"/>
  <c r="K13" i="7"/>
  <c r="BE13" i="7" s="1"/>
  <c r="BG33" i="7"/>
  <c r="K33" i="7"/>
  <c r="BE33" i="7" s="1"/>
  <c r="AI30" i="3"/>
  <c r="AG12" i="5"/>
  <c r="BG5" i="5" a="1"/>
  <c r="BG5" i="5" s="1"/>
  <c r="BF6" i="5"/>
  <c r="AH6" i="5"/>
  <c r="BC6" i="5" s="1"/>
  <c r="BG9" i="5" a="1"/>
  <c r="BG9" i="5" s="1"/>
  <c r="BG13" i="5" s="1"/>
  <c r="BF10" i="5"/>
  <c r="AH10" i="5"/>
  <c r="AG14" i="5"/>
  <c r="BB14" i="5" s="1"/>
  <c r="E21" i="1" s="1"/>
  <c r="AJ15" i="5"/>
  <c r="BE15" i="5" s="1"/>
  <c r="D22" i="1" s="1"/>
  <c r="J15" i="6"/>
  <c r="BE9" i="6"/>
  <c r="AG13" i="6"/>
  <c r="BB13" i="6" s="1"/>
  <c r="E32" i="1" s="1"/>
  <c r="L43" i="7"/>
  <c r="BN43" i="7"/>
  <c r="G46" i="1" s="1"/>
  <c r="BN40" i="7"/>
  <c r="G43" i="1" s="1"/>
  <c r="BS43" i="7"/>
  <c r="K46" i="1" s="1"/>
  <c r="BS40" i="7"/>
  <c r="K43" i="1" s="1"/>
  <c r="BE6" i="7"/>
  <c r="BG7" i="7"/>
  <c r="AI7" i="7"/>
  <c r="BE7" i="7" s="1"/>
  <c r="BH10" i="7" a="1"/>
  <c r="BH10" i="7" s="1"/>
  <c r="BE14" i="7"/>
  <c r="BG15" i="7"/>
  <c r="BH15" i="7" a="1"/>
  <c r="BH15" i="7" s="1"/>
  <c r="AI15" i="7"/>
  <c r="L41" i="7"/>
  <c r="BE26" i="7"/>
  <c r="BG27" i="7"/>
  <c r="AI27" i="7"/>
  <c r="BE27" i="7" s="1"/>
  <c r="BH30" i="7" a="1"/>
  <c r="BH30" i="7" s="1"/>
  <c r="BE34" i="7"/>
  <c r="BG35" i="7"/>
  <c r="BH35" i="7" a="1"/>
  <c r="BH35" i="7" s="1"/>
  <c r="AI35" i="7"/>
  <c r="K12" i="5"/>
  <c r="K15" i="5"/>
  <c r="AH12" i="5"/>
  <c r="BC12" i="5" s="1"/>
  <c r="C19" i="1" s="1"/>
  <c r="AH15" i="5"/>
  <c r="BC5" i="5"/>
  <c r="BC9" i="5"/>
  <c r="AJ15" i="6"/>
  <c r="BE15" i="6" s="1"/>
  <c r="D34" i="1" s="1"/>
  <c r="AJ12" i="6"/>
  <c r="BE12" i="6" s="1"/>
  <c r="D31" i="1" s="1"/>
  <c r="BG7" i="6" a="1"/>
  <c r="BG7" i="6" s="1"/>
  <c r="BE13" i="6"/>
  <c r="D32" i="1" s="1"/>
  <c r="K14" i="6"/>
  <c r="BD10" i="6"/>
  <c r="AI14" i="6"/>
  <c r="BD14" i="6" s="1"/>
  <c r="BE11" i="6"/>
  <c r="M43" i="7"/>
  <c r="AJ43" i="7"/>
  <c r="AJ40" i="7"/>
  <c r="AH40" i="7"/>
  <c r="AH43" i="7"/>
  <c r="BG11" i="7"/>
  <c r="AI11" i="7"/>
  <c r="BE11" i="7" s="1"/>
  <c r="L42" i="7"/>
  <c r="BG31" i="7"/>
  <c r="AI31" i="7"/>
  <c r="BE31" i="7" s="1"/>
  <c r="AG14" i="6"/>
  <c r="BG10" i="6" a="1"/>
  <c r="BG10" i="6" s="1"/>
  <c r="BF10" i="6"/>
  <c r="J12" i="6"/>
  <c r="K5" i="7"/>
  <c r="AK43" i="7"/>
  <c r="BE17" i="7"/>
  <c r="BE18" i="7"/>
  <c r="BG19" i="7"/>
  <c r="AI19" i="7"/>
  <c r="BE19" i="7" s="1"/>
  <c r="K25" i="7"/>
  <c r="M42" i="7"/>
  <c r="AJ42" i="7"/>
  <c r="BD5" i="5"/>
  <c r="K15" i="6"/>
  <c r="AI12" i="6"/>
  <c r="BD12" i="6" s="1"/>
  <c r="AI15" i="6"/>
  <c r="BB10" i="6"/>
  <c r="K12" i="6"/>
  <c r="BH5" i="7" a="1"/>
  <c r="BH5" i="7" s="1"/>
  <c r="BE22" i="7"/>
  <c r="BG23" i="7"/>
  <c r="AI23" i="7"/>
  <c r="BE23" i="7" s="1"/>
  <c r="BH25" i="7" a="1"/>
  <c r="BH25" i="7" s="1"/>
  <c r="BH41" i="7" s="1"/>
  <c r="BG29" i="7"/>
  <c r="K29" i="7"/>
  <c r="BE29" i="7" s="1"/>
  <c r="AK42" i="7"/>
  <c r="BE37" i="7"/>
  <c r="BG5" i="7"/>
  <c r="BG9" i="7"/>
  <c r="BG17" i="7"/>
  <c r="BG21" i="7"/>
  <c r="BG25" i="7"/>
  <c r="BG37" i="7"/>
  <c r="BM40" i="7"/>
  <c r="F43" i="1" s="1"/>
  <c r="BR40" i="7"/>
  <c r="J43" i="1" s="1"/>
  <c r="K8" i="7"/>
  <c r="BE8" i="7" s="1"/>
  <c r="AI10" i="7"/>
  <c r="BE10" i="7" s="1"/>
  <c r="K12" i="7"/>
  <c r="BE12" i="7" s="1"/>
  <c r="K16" i="7"/>
  <c r="BE16" i="7" s="1"/>
  <c r="K20" i="7"/>
  <c r="BE20" i="7" s="1"/>
  <c r="BG20" i="7"/>
  <c r="K24" i="7"/>
  <c r="BE24" i="7" s="1"/>
  <c r="K28" i="7"/>
  <c r="BE28" i="7" s="1"/>
  <c r="AI30" i="7"/>
  <c r="K32" i="7"/>
  <c r="BE32" i="7" s="1"/>
  <c r="L40" i="7"/>
  <c r="AI5" i="7"/>
  <c r="K15" i="7"/>
  <c r="AI25" i="7"/>
  <c r="K35" i="7"/>
  <c r="M40" i="7"/>
  <c r="AK40" i="7"/>
  <c r="BP40" i="7"/>
  <c r="H43" i="1" s="1"/>
  <c r="BT40" i="7"/>
  <c r="L43" i="1" s="1"/>
  <c r="BJ10" i="3"/>
  <c r="BK20" i="3"/>
  <c r="BJ20" i="3"/>
  <c r="BJ15" i="3"/>
  <c r="BK35" i="3"/>
  <c r="BK15" i="3"/>
  <c r="BK30" i="7"/>
  <c r="BK5" i="7"/>
  <c r="BJ20" i="7"/>
  <c r="BJ10" i="7"/>
  <c r="BJ35" i="7"/>
  <c r="BK25" i="7"/>
  <c r="BK10" i="7"/>
  <c r="BJ30" i="7"/>
  <c r="BJ15" i="7"/>
  <c r="BH42" i="7" l="1"/>
  <c r="BK42" i="7"/>
  <c r="D45" i="1" s="1"/>
  <c r="BE15" i="7"/>
  <c r="BB14" i="6"/>
  <c r="E33" i="1" s="1"/>
  <c r="BJ42" i="7"/>
  <c r="C45" i="1" s="1"/>
  <c r="BJ40" i="7"/>
  <c r="C43" i="1" s="1"/>
  <c r="BJ43" i="7"/>
  <c r="C46" i="1" s="1"/>
  <c r="BK42" i="3"/>
  <c r="D11" i="1" s="1"/>
  <c r="BK40" i="3"/>
  <c r="D9" i="1" s="1"/>
  <c r="BK43" i="3"/>
  <c r="D12" i="1" s="1"/>
  <c r="BJ43" i="3"/>
  <c r="C12" i="1" s="1"/>
  <c r="BJ40" i="3"/>
  <c r="C9" i="1" s="1"/>
  <c r="BK41" i="7"/>
  <c r="D44" i="1" s="1"/>
  <c r="BE41" i="3"/>
  <c r="BD15" i="6"/>
  <c r="BG12" i="5"/>
  <c r="BG15" i="5"/>
  <c r="AH15" i="6"/>
  <c r="BC15" i="6" s="1"/>
  <c r="C34" i="1" s="1"/>
  <c r="BC5" i="6"/>
  <c r="AH12" i="6"/>
  <c r="BC12" i="6" s="1"/>
  <c r="C31" i="1" s="1"/>
  <c r="BH43" i="3"/>
  <c r="BH40" i="3"/>
  <c r="BE29" i="3"/>
  <c r="BE20" i="3"/>
  <c r="K40" i="3"/>
  <c r="BE25" i="7"/>
  <c r="AI41" i="7"/>
  <c r="K42" i="7"/>
  <c r="BH43" i="7"/>
  <c r="BH40" i="7"/>
  <c r="K43" i="7"/>
  <c r="K40" i="7"/>
  <c r="BG14" i="6"/>
  <c r="BB12" i="5"/>
  <c r="E19" i="1" s="1"/>
  <c r="BB15" i="6"/>
  <c r="E34" i="1" s="1"/>
  <c r="AI40" i="3"/>
  <c r="BC11" i="6"/>
  <c r="AH14" i="6"/>
  <c r="BC14" i="6" s="1"/>
  <c r="C33" i="1" s="1"/>
  <c r="K43" i="3"/>
  <c r="BB12" i="6"/>
  <c r="E31" i="1" s="1"/>
  <c r="BG12" i="6"/>
  <c r="BG15" i="6"/>
  <c r="BE5" i="7"/>
  <c r="AI43" i="7"/>
  <c r="AI40" i="7"/>
  <c r="BE40" i="7" s="1"/>
  <c r="BE30" i="7"/>
  <c r="AI42" i="7"/>
  <c r="K41" i="7"/>
  <c r="BK43" i="7"/>
  <c r="D46" i="1" s="1"/>
  <c r="BK40" i="7"/>
  <c r="D43" i="1" s="1"/>
  <c r="BC15" i="5"/>
  <c r="C22" i="1" s="1"/>
  <c r="BE35" i="7"/>
  <c r="BC10" i="5"/>
  <c r="AH14" i="5"/>
  <c r="BC14" i="5" s="1"/>
  <c r="C21" i="1" s="1"/>
  <c r="AI42" i="3"/>
  <c r="BE42" i="3" s="1"/>
  <c r="BE30" i="3"/>
  <c r="AI43" i="3"/>
  <c r="AH13" i="6"/>
  <c r="BC13" i="6" s="1"/>
  <c r="C32" i="1" s="1"/>
  <c r="BC9" i="6"/>
  <c r="BE10" i="3"/>
  <c r="BE43" i="7" l="1"/>
  <c r="BE43" i="3"/>
  <c r="BE40" i="3"/>
  <c r="BE42" i="7"/>
  <c r="BE41" i="7"/>
</calcChain>
</file>

<file path=xl/sharedStrings.xml><?xml version="1.0" encoding="utf-8"?>
<sst xmlns="http://schemas.openxmlformats.org/spreadsheetml/2006/main" count="1520" uniqueCount="594">
  <si>
    <t>Reference:</t>
  </si>
  <si>
    <t>Master+r7.0</t>
  </si>
  <si>
    <t>Tested:</t>
  </si>
  <si>
    <t>CTC</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</si>
  <si>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</si>
  <si>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</si>
  <si>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</si>
  <si>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</si>
  <si>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</si>
  <si>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</si>
  <si>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</si>
  <si>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</si>
  <si>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</si>
  <si>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</si>
  <si>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</si>
  <si>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</si>
  <si>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</si>
  <si>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</si>
  <si>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</si>
  <si>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</si>
  <si>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</si>
  <si>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</si>
  <si>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</si>
  <si>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</si>
  <si>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</si>
  <si>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</si>
  <si>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</si>
  <si>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</si>
  <si>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</si>
  <si>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</si>
  <si>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</si>
  <si>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</si>
  <si>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</si>
  <si>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</si>
  <si>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</si>
  <si>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</si>
  <si>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</si>
  <si>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</si>
  <si>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</si>
  <si>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</si>
  <si>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</si>
  <si>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</si>
  <si>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</si>
  <si>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</si>
  <si>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</si>
  <si>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</si>
  <si>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</si>
  <si>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</si>
  <si>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</si>
  <si>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</si>
  <si>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</si>
  <si>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</si>
  <si>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</si>
  <si>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</si>
  <si>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</si>
  <si>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</si>
  <si>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</si>
  <si>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</si>
  <si>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</si>
  <si>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</si>
  <si>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</si>
  <si>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</si>
  <si>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</si>
  <si>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</si>
  <si>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</si>
  <si>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</si>
  <si>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</si>
  <si>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</si>
  <si>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</si>
  <si>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</si>
  <si>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</si>
  <si>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</si>
  <si>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</si>
  <si>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</si>
  <si>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</si>
  <si>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</si>
  <si>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</si>
  <si>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</si>
  <si>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</si>
  <si>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</si>
  <si>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</si>
  <si>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</si>
  <si>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</si>
  <si>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</si>
  <si>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</si>
  <si>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</si>
  <si>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</si>
  <si>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</si>
  <si>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</si>
  <si>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</si>
  <si>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</si>
  <si>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</si>
  <si>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</si>
  <si>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</si>
  <si>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</si>
  <si>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</si>
  <si>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</si>
  <si>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</si>
  <si>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</si>
  <si>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</si>
  <si>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</si>
  <si>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</si>
  <si>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</si>
  <si>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</si>
  <si>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</si>
  <si>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</si>
  <si>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</si>
  <si>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</si>
  <si>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</si>
  <si>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</si>
  <si>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</si>
  <si>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</si>
  <si>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</si>
  <si>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</si>
  <si>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</si>
  <si>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</si>
  <si>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</si>
  <si>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</si>
  <si>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</si>
  <si>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</si>
  <si>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</si>
  <si>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</si>
  <si>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</si>
  <si>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</si>
  <si>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</si>
  <si>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</si>
  <si>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</si>
  <si>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</si>
  <si>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</si>
  <si>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</si>
  <si>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</si>
  <si>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</si>
  <si>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</si>
  <si>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</si>
  <si>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</si>
  <si>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</si>
  <si>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</si>
  <si>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</si>
  <si>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</si>
  <si>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</si>
  <si>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</si>
  <si>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</si>
  <si>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</si>
  <si>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</si>
  <si>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</si>
  <si>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</si>
  <si>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</si>
  <si>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</si>
  <si>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</si>
  <si>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</si>
  <si>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</si>
  <si>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</si>
  <si>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</si>
  <si>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</si>
  <si>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</si>
  <si>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</si>
  <si>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</si>
  <si>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</si>
  <si>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</si>
  <si>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</si>
  <si>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</si>
  <si>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</si>
  <si>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</si>
  <si>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</si>
  <si>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</si>
  <si>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</si>
  <si>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</si>
  <si>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</si>
  <si>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</si>
  <si>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</si>
  <si>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</si>
  <si>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</si>
  <si>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</si>
  <si>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</si>
  <si>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</si>
  <si>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</si>
  <si>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</si>
  <si>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</si>
  <si>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</si>
  <si>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</si>
  <si>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</si>
  <si>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</si>
  <si>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</si>
  <si>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</si>
  <si>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</si>
  <si>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</si>
  <si>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</si>
  <si>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</si>
  <si>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</si>
  <si>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</si>
  <si>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</si>
  <si>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</si>
  <si>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</si>
  <si>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</si>
  <si>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</si>
  <si>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</si>
  <si>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</si>
  <si>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</si>
  <si>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</si>
  <si>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</si>
  <si>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</si>
  <si>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</si>
  <si>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</si>
  <si>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</si>
  <si>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</si>
  <si>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</si>
  <si>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</si>
  <si>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</si>
  <si>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</si>
  <si>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</si>
  <si>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</si>
  <si>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</si>
  <si>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</si>
  <si>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</si>
  <si>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</si>
  <si>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</si>
  <si>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</si>
  <si>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</si>
  <si>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</si>
  <si>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</si>
  <si>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</si>
  <si>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</si>
  <si>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</si>
  <si>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</si>
  <si>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</si>
  <si>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</si>
  <si>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</si>
  <si>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</si>
  <si>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</si>
  <si>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</si>
  <si>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</si>
  <si>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</si>
  <si>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</si>
  <si>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</si>
  <si>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</si>
  <si>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</si>
  <si>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</si>
  <si>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</si>
  <si>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</si>
  <si>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</si>
  <si>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</si>
  <si>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</si>
  <si>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</si>
  <si>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</si>
  <si>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</si>
  <si>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</si>
  <si>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</si>
  <si>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</si>
  <si>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</si>
  <si>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</si>
  <si>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</si>
  <si>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</si>
  <si>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</si>
  <si>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</si>
  <si>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</si>
  <si>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</si>
  <si>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</si>
  <si>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</si>
  <si>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</si>
  <si>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</si>
  <si>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</si>
  <si>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</si>
  <si>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</si>
  <si>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</si>
  <si>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</si>
  <si>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</si>
  <si>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</si>
  <si>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</si>
  <si>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</si>
  <si>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</si>
  <si>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</si>
  <si>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</si>
  <si>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</si>
  <si>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</si>
  <si>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</si>
  <si>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</si>
  <si>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</si>
  <si>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</si>
  <si>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</si>
  <si>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</si>
  <si>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</si>
  <si>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</si>
  <si>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</si>
  <si>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</si>
  <si>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</si>
  <si>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</si>
  <si>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</si>
  <si>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</si>
  <si>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</si>
  <si>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</si>
  <si>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</si>
  <si>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</si>
  <si>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</si>
  <si>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</si>
  <si>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</si>
  <si>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</si>
  <si>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</si>
  <si>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</si>
  <si>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</si>
  <si>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</si>
  <si>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</si>
  <si>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</si>
  <si>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</si>
  <si>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</si>
  <si>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</si>
  <si>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</si>
  <si>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</si>
  <si>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</si>
  <si>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</si>
  <si>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</si>
  <si>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</si>
  <si>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</si>
  <si>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</si>
  <si>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</si>
  <si>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</si>
  <si>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</si>
  <si>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</si>
  <si>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</si>
  <si>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</si>
  <si>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</si>
  <si>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</si>
  <si>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</si>
  <si>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</si>
  <si>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</si>
  <si>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</si>
  <si>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</si>
  <si>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</si>
  <si>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</si>
  <si>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</si>
  <si>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</si>
  <si>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</si>
  <si>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</si>
  <si>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</si>
  <si>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</si>
  <si>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</si>
  <si>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</si>
  <si>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</si>
  <si>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</si>
  <si>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</si>
  <si>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</si>
  <si>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</si>
  <si>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</si>
  <si>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</si>
  <si>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</si>
  <si>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</si>
  <si>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</si>
  <si>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</si>
  <si>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</si>
  <si>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</si>
  <si>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</si>
  <si>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</si>
  <si>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</si>
  <si>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</si>
  <si>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</si>
  <si>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</si>
  <si>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</si>
  <si>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</si>
  <si>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</si>
  <si>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</si>
  <si>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</si>
  <si>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</si>
  <si>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</si>
  <si>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</si>
  <si>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</si>
  <si>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</si>
  <si>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</si>
  <si>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</si>
  <si>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</si>
  <si>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</si>
  <si>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</si>
  <si>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</si>
  <si>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</si>
  <si>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</si>
  <si>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</si>
  <si>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</si>
  <si>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</si>
  <si>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</si>
  <si>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</si>
  <si>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</si>
  <si>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</si>
  <si>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</si>
  <si>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</si>
  <si>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</si>
  <si>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</si>
  <si>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</si>
  <si>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</si>
  <si>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</si>
  <si>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</si>
  <si>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</si>
  <si>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</si>
  <si>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</si>
  <si>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</si>
  <si>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</si>
  <si>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</si>
  <si>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</si>
  <si>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</si>
  <si>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</si>
  <si>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</si>
  <si>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</si>
  <si>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</si>
  <si>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</si>
  <si>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</si>
  <si>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</si>
  <si>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</si>
  <si>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</si>
  <si>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</si>
  <si>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</si>
  <si>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</si>
  <si>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</si>
  <si>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</si>
  <si>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</si>
  <si>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</si>
  <si>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</si>
  <si>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</si>
  <si>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</si>
  <si>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</si>
  <si>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</si>
  <si>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</si>
  <si>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</si>
  <si>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</si>
  <si>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</si>
  <si>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</si>
  <si>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</si>
  <si>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</si>
  <si>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</si>
  <si>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</si>
  <si>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</si>
  <si>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</si>
  <si>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</si>
  <si>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</si>
  <si>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</si>
  <si>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</si>
  <si>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</si>
  <si>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</si>
  <si>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</si>
  <si>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</si>
  <si>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</si>
  <si>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</si>
  <si>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</si>
  <si>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</si>
  <si>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</si>
  <si>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</si>
  <si>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</si>
  <si>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</si>
  <si>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</si>
  <si>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</si>
  <si>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</si>
  <si>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</si>
  <si>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</si>
  <si>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</si>
  <si>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</si>
  <si>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</si>
  <si>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</si>
  <si>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</si>
  <si>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</si>
  <si>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</si>
  <si>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</si>
  <si>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</si>
  <si>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</si>
  <si>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</si>
  <si>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</si>
  <si>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</si>
  <si>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</si>
  <si>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</si>
  <si>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</si>
  <si>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</si>
  <si>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</si>
  <si>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</si>
  <si>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</si>
  <si>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</si>
  <si>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</si>
  <si>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</si>
  <si>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</si>
  <si>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</si>
  <si>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</si>
  <si>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</si>
  <si>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</si>
  <si>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</si>
  <si>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</si>
  <si>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</si>
  <si>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</si>
  <si>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</si>
  <si>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</si>
  <si>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</si>
  <si>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</si>
  <si>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</si>
  <si>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</si>
  <si>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</si>
  <si>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</si>
  <si>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</si>
  <si>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</si>
  <si>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</si>
  <si>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</si>
  <si>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</si>
  <si>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</si>
  <si>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</si>
  <si>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</si>
  <si>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</si>
  <si>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</si>
  <si>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</si>
  <si>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</si>
  <si>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</si>
  <si>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</si>
  <si>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</si>
  <si>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</si>
  <si>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</si>
  <si>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</si>
  <si>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</si>
  <si>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</si>
  <si>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</si>
  <si>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</si>
  <si>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</si>
  <si>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</si>
  <si>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</si>
  <si>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</si>
  <si>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</si>
  <si>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</si>
  <si>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</si>
  <si>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</si>
  <si>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</si>
  <si>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</si>
  <si>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</si>
  <si>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</si>
  <si>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</si>
  <si>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</si>
  <si>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</si>
  <si>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</si>
  <si>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</si>
  <si>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</si>
  <si>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</si>
  <si>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</si>
  <si>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</si>
  <si>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</si>
  <si>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</si>
  <si>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</si>
  <si>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</si>
  <si>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</si>
  <si>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</si>
  <si>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</si>
  <si>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</si>
  <si>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</si>
  <si>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</si>
  <si>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</si>
  <si>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</si>
  <si>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</si>
  <si>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</si>
  <si>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</si>
  <si>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</si>
  <si>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</si>
  <si>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</si>
  <si>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</si>
  <si>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</si>
  <si>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</si>
  <si>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</si>
  <si>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</si>
  <si>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</si>
  <si>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</si>
  <si>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</si>
  <si>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</si>
  <si>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</si>
  <si>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</si>
  <si>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</si>
  <si>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</si>
  <si>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</si>
  <si>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</si>
  <si>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</si>
  <si>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</si>
  <si>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</si>
  <si>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</si>
  <si>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</si>
  <si>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</si>
  <si>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</si>
  <si>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</si>
  <si>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</si>
  <si>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</si>
  <si>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</si>
  <si>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</si>
  <si>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</si>
  <si>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</si>
  <si>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</si>
  <si>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</si>
  <si>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</si>
  <si>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</si>
  <si>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</si>
  <si>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</si>
  <si>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</si>
  <si>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</si>
  <si>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</si>
  <si>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</si>
  <si>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</si>
  <si>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vpcc8.0rc2</t>
  </si>
  <si>
    <t>vpcc80rc2</t>
  </si>
  <si>
    <t>vpcc8.0rc3_lod22</t>
  </si>
  <si>
    <t>vpcc8.0_rc3_lod22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</si>
</sst>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vpcc8.0rc2</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66.354628124999991</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E988-4D62-A72B-FBFC193CC106}"/>
            </c:ext>
          </c:extLst>
        </c:ser>
        <c:ser>
          <c:idx val="1"/>
          <c:order val="1"/>
          <c:tx>
            <c:strRef>
              <c:f>Graphs!graph_a_B_title</c:f>
              <c:strCache>
                <c:ptCount val="1"/>
                <c:pt idx="0">
                  <c:v>vpcc8.0_rc3_lod22</c:v>
                </c:pt>
              </c:strCache>
            </c:strRef>
          </c:tx>
          <c:spPr>
            <a:ln>
              <a:prstDash val="solid"/>
            </a:ln>
          </c:spPr>
          <c:marker>
            <c:symbol val="none"/>
          </c:marker>
          <c:xVal>
            <c:numRef>
              <c:f>Graphs!graph_a_x_range_B</c:f>
              <c:numCache>
                <c:formatCode>0.00</c:formatCode>
                <c:ptCount val="5"/>
                <c:pt idx="0">
                  <c:v>2.757228430977986E-3</c:v>
                </c:pt>
                <c:pt idx="1">
                  <c:v>3.8504047705682008E-3</c:v>
                </c:pt>
                <c:pt idx="2">
                  <c:v>5.3257326078899091E-3</c:v>
                </c:pt>
                <c:pt idx="3">
                  <c:v>7.9441220673379838E-3</c:v>
                </c:pt>
                <c:pt idx="4">
                  <c:v>1.2296470199290151E-2</c:v>
                </c:pt>
              </c:numCache>
            </c:numRef>
          </c:xVal>
          <c:yVal>
            <c:numRef>
              <c:f>Graphs!graph_a_y_range_B</c:f>
              <c:numCache>
                <c:formatCode>0.00</c:formatCode>
                <c:ptCount val="5"/>
                <c:pt idx="0">
                  <c:v>62.819237000000001</c:v>
                </c:pt>
                <c:pt idx="1">
                  <c:v>64.270771999999994</c:v>
                </c:pt>
                <c:pt idx="2">
                  <c:v>65.177406000000005</c:v>
                </c:pt>
                <c:pt idx="3">
                  <c:v>65.835316000000006</c:v>
                </c:pt>
                <c:pt idx="4">
                  <c:v>66.140416000000002</c:v>
                </c:pt>
              </c:numCache>
            </c:numRef>
          </c:yVal>
          <c:smooth val="1"/>
          <c:extLst>
            <c:ext xmlns:c16="http://schemas.microsoft.com/office/drawing/2014/chart" uri="{C3380CC4-5D6E-409C-BE32-E72D297353CC}">
              <c16:uniqueId val="{00000001-E988-4D62-A72B-FBFC193CC10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vpcc8.0rc2</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68.478524999999991</c:v>
                </c:pt>
                <c:pt idx="1">
                  <c:v>70.438459375000022</c:v>
                </c:pt>
                <c:pt idx="2">
                  <c:v>72.129403124999982</c:v>
                </c:pt>
                <c:pt idx="3">
                  <c:v>73.406981250000001</c:v>
                </c:pt>
                <c:pt idx="4">
                  <c:v>75.319240624999978</c:v>
                </c:pt>
              </c:numCache>
            </c:numRef>
          </c:yVal>
          <c:smooth val="1"/>
          <c:extLst>
            <c:ext xmlns:c16="http://schemas.microsoft.com/office/drawing/2014/chart" uri="{C3380CC4-5D6E-409C-BE32-E72D297353CC}">
              <c16:uniqueId val="{00000000-C383-4933-8DD3-7E6CA1131D4B}"/>
            </c:ext>
          </c:extLst>
        </c:ser>
        <c:ser>
          <c:idx val="1"/>
          <c:order val="1"/>
          <c:tx>
            <c:strRef>
              <c:f>Graphs!graph_b_B_title</c:f>
              <c:strCache>
                <c:ptCount val="1"/>
                <c:pt idx="0">
                  <c:v>vpcc8.0_rc3_lod22</c:v>
                </c:pt>
              </c:strCache>
            </c:strRef>
          </c:tx>
          <c:spPr>
            <a:ln>
              <a:prstDash val="solid"/>
            </a:ln>
          </c:spPr>
          <c:marker>
            <c:symbol val="none"/>
          </c:marker>
          <c:xVal>
            <c:numRef>
              <c:f>Graphs!graph_b_x_range_B</c:f>
              <c:numCache>
                <c:formatCode>0.00</c:formatCode>
                <c:ptCount val="5"/>
                <c:pt idx="0">
                  <c:v>2.757228430977986E-3</c:v>
                </c:pt>
                <c:pt idx="1">
                  <c:v>3.8504047705682008E-3</c:v>
                </c:pt>
                <c:pt idx="2">
                  <c:v>5.3257326078899091E-3</c:v>
                </c:pt>
                <c:pt idx="3">
                  <c:v>7.9441220673379838E-3</c:v>
                </c:pt>
                <c:pt idx="4">
                  <c:v>1.2296470199290151E-2</c:v>
                </c:pt>
              </c:numCache>
            </c:numRef>
          </c:xVal>
          <c:yVal>
            <c:numRef>
              <c:f>Graphs!graph_b_y_range_B</c:f>
              <c:numCache>
                <c:formatCode>0.00</c:formatCode>
                <c:ptCount val="5"/>
                <c:pt idx="0">
                  <c:v>66.184128000000001</c:v>
                </c:pt>
                <c:pt idx="1">
                  <c:v>68.430858999999998</c:v>
                </c:pt>
                <c:pt idx="2">
                  <c:v>70.022677999999999</c:v>
                </c:pt>
                <c:pt idx="3">
                  <c:v>71.153836999999996</c:v>
                </c:pt>
                <c:pt idx="4">
                  <c:v>73.206627999999995</c:v>
                </c:pt>
              </c:numCache>
            </c:numRef>
          </c:yVal>
          <c:smooth val="1"/>
          <c:extLst>
            <c:ext xmlns:c16="http://schemas.microsoft.com/office/drawing/2014/chart" uri="{C3380CC4-5D6E-409C-BE32-E72D297353CC}">
              <c16:uniqueId val="{00000001-C383-4933-8DD3-7E6CA1131D4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vpcc8.0rc2</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32.10944687500001</c:v>
                </c:pt>
                <c:pt idx="1">
                  <c:v>34.365984374999996</c:v>
                </c:pt>
                <c:pt idx="2">
                  <c:v>36.915784375000001</c:v>
                </c:pt>
                <c:pt idx="3">
                  <c:v>39.549353125000003</c:v>
                </c:pt>
                <c:pt idx="4">
                  <c:v>42.149681250000008</c:v>
                </c:pt>
              </c:numCache>
            </c:numRef>
          </c:yVal>
          <c:smooth val="1"/>
          <c:extLst>
            <c:ext xmlns:c16="http://schemas.microsoft.com/office/drawing/2014/chart" uri="{C3380CC4-5D6E-409C-BE32-E72D297353CC}">
              <c16:uniqueId val="{00000000-A5D5-4373-AF77-34927F988F9B}"/>
            </c:ext>
          </c:extLst>
        </c:ser>
        <c:ser>
          <c:idx val="1"/>
          <c:order val="1"/>
          <c:tx>
            <c:strRef>
              <c:f>Graphs!graph_c_B_title</c:f>
              <c:strCache>
                <c:ptCount val="1"/>
                <c:pt idx="0">
                  <c:v>vpcc8.0_rc3_lod22</c:v>
                </c:pt>
              </c:strCache>
            </c:strRef>
          </c:tx>
          <c:spPr>
            <a:ln>
              <a:prstDash val="solid"/>
            </a:ln>
          </c:spPr>
          <c:marker>
            <c:symbol val="none"/>
          </c:marker>
          <c:xVal>
            <c:numRef>
              <c:f>Graphs!graph_c_x_range_B</c:f>
              <c:numCache>
                <c:formatCode>0.00</c:formatCode>
                <c:ptCount val="5"/>
                <c:pt idx="0">
                  <c:v>2.7143640400580332E-3</c:v>
                </c:pt>
                <c:pt idx="1">
                  <c:v>5.2371148467246767E-3</c:v>
                </c:pt>
                <c:pt idx="2">
                  <c:v>1.0529456228459074E-2</c:v>
                </c:pt>
                <c:pt idx="3">
                  <c:v>2.1295372055417795E-2</c:v>
                </c:pt>
                <c:pt idx="4">
                  <c:v>3.971352225950802E-2</c:v>
                </c:pt>
              </c:numCache>
            </c:numRef>
          </c:xVal>
          <c:yVal>
            <c:numRef>
              <c:f>Graphs!graph_c_y_range_B</c:f>
              <c:numCache>
                <c:formatCode>0.00</c:formatCode>
                <c:ptCount val="5"/>
                <c:pt idx="0">
                  <c:v>31.021266000000001</c:v>
                </c:pt>
                <c:pt idx="1">
                  <c:v>32.625065999999997</c:v>
                </c:pt>
                <c:pt idx="2">
                  <c:v>34.651052999999997</c:v>
                </c:pt>
                <c:pt idx="3">
                  <c:v>36.758499999999998</c:v>
                </c:pt>
                <c:pt idx="4">
                  <c:v>38.393411999999998</c:v>
                </c:pt>
              </c:numCache>
            </c:numRef>
          </c:yVal>
          <c:smooth val="1"/>
          <c:extLst>
            <c:ext xmlns:c16="http://schemas.microsoft.com/office/drawing/2014/chart" uri="{C3380CC4-5D6E-409C-BE32-E72D297353CC}">
              <c16:uniqueId val="{00000001-A5D5-4373-AF77-34927F988F9B}"/>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vpcc8.0rc2</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44.148171875000003</c:v>
                </c:pt>
                <c:pt idx="1">
                  <c:v>45.499918749999992</c:v>
                </c:pt>
                <c:pt idx="2">
                  <c:v>46.579393750000023</c:v>
                </c:pt>
                <c:pt idx="3">
                  <c:v>47.886118750000001</c:v>
                </c:pt>
                <c:pt idx="4">
                  <c:v>49.421931249999993</c:v>
                </c:pt>
              </c:numCache>
            </c:numRef>
          </c:yVal>
          <c:smooth val="1"/>
          <c:extLst>
            <c:ext xmlns:c16="http://schemas.microsoft.com/office/drawing/2014/chart" uri="{C3380CC4-5D6E-409C-BE32-E72D297353CC}">
              <c16:uniqueId val="{00000000-7D34-462C-BACD-F13E01468002}"/>
            </c:ext>
          </c:extLst>
        </c:ser>
        <c:ser>
          <c:idx val="1"/>
          <c:order val="1"/>
          <c:tx>
            <c:strRef>
              <c:f>Graphs!graph_d_B_title</c:f>
              <c:strCache>
                <c:ptCount val="1"/>
                <c:pt idx="0">
                  <c:v>vpcc8.0_rc3_lod22</c:v>
                </c:pt>
              </c:strCache>
            </c:strRef>
          </c:tx>
          <c:spPr>
            <a:ln>
              <a:prstDash val="solid"/>
            </a:ln>
          </c:spPr>
          <c:marker>
            <c:symbol val="none"/>
          </c:marker>
          <c:xVal>
            <c:numRef>
              <c:f>Graphs!graph_d_x_range_B</c:f>
              <c:numCache>
                <c:formatCode>0.00</c:formatCode>
                <c:ptCount val="5"/>
                <c:pt idx="0">
                  <c:v>2.7143640400580332E-3</c:v>
                </c:pt>
                <c:pt idx="1">
                  <c:v>5.2371148467246767E-3</c:v>
                </c:pt>
                <c:pt idx="2">
                  <c:v>1.0529456228459074E-2</c:v>
                </c:pt>
                <c:pt idx="3">
                  <c:v>2.1295372055417795E-2</c:v>
                </c:pt>
                <c:pt idx="4">
                  <c:v>3.971352225950802E-2</c:v>
                </c:pt>
              </c:numCache>
            </c:numRef>
          </c:xVal>
          <c:yVal>
            <c:numRef>
              <c:f>Graphs!graph_d_y_range_B</c:f>
              <c:numCache>
                <c:formatCode>0.00</c:formatCode>
                <c:ptCount val="5"/>
                <c:pt idx="0">
                  <c:v>43.051869000000003</c:v>
                </c:pt>
                <c:pt idx="1">
                  <c:v>44.350099999999998</c:v>
                </c:pt>
                <c:pt idx="2">
                  <c:v>45.594580999999998</c:v>
                </c:pt>
                <c:pt idx="3">
                  <c:v>47.083005999999997</c:v>
                </c:pt>
                <c:pt idx="4">
                  <c:v>48.667116</c:v>
                </c:pt>
              </c:numCache>
            </c:numRef>
          </c:yVal>
          <c:smooth val="1"/>
          <c:extLst>
            <c:ext xmlns:c16="http://schemas.microsoft.com/office/drawing/2014/chart" uri="{C3380CC4-5D6E-409C-BE32-E72D297353CC}">
              <c16:uniqueId val="{00000001-7D34-462C-BACD-F13E0146800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vpcc8.0rc2</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43.839812500000001</c:v>
                </c:pt>
                <c:pt idx="1">
                  <c:v>45.231668749999997</c:v>
                </c:pt>
                <c:pt idx="2">
                  <c:v>46.454928125000002</c:v>
                </c:pt>
                <c:pt idx="3">
                  <c:v>47.950350000000007</c:v>
                </c:pt>
                <c:pt idx="4">
                  <c:v>49.547406250000009</c:v>
                </c:pt>
              </c:numCache>
            </c:numRef>
          </c:yVal>
          <c:smooth val="1"/>
          <c:extLst>
            <c:ext xmlns:c16="http://schemas.microsoft.com/office/drawing/2014/chart" uri="{C3380CC4-5D6E-409C-BE32-E72D297353CC}">
              <c16:uniqueId val="{00000000-1990-4847-96F1-3C371FDEC257}"/>
            </c:ext>
          </c:extLst>
        </c:ser>
        <c:ser>
          <c:idx val="1"/>
          <c:order val="1"/>
          <c:tx>
            <c:strRef>
              <c:f>Graphs!graph_e_B_title</c:f>
              <c:strCache>
                <c:ptCount val="1"/>
                <c:pt idx="0">
                  <c:v>vpcc8.0_rc3_lod22</c:v>
                </c:pt>
              </c:strCache>
            </c:strRef>
          </c:tx>
          <c:spPr>
            <a:ln>
              <a:prstDash val="solid"/>
            </a:ln>
          </c:spPr>
          <c:marker>
            <c:symbol val="none"/>
          </c:marker>
          <c:xVal>
            <c:numRef>
              <c:f>Graphs!graph_e_x_range_B</c:f>
              <c:numCache>
                <c:formatCode>0.00</c:formatCode>
                <c:ptCount val="5"/>
                <c:pt idx="0">
                  <c:v>2.7143640400580332E-3</c:v>
                </c:pt>
                <c:pt idx="1">
                  <c:v>5.2371148467246767E-3</c:v>
                </c:pt>
                <c:pt idx="2">
                  <c:v>1.0529456228459074E-2</c:v>
                </c:pt>
                <c:pt idx="3">
                  <c:v>2.1295372055417795E-2</c:v>
                </c:pt>
                <c:pt idx="4">
                  <c:v>3.971352225950802E-2</c:v>
                </c:pt>
              </c:numCache>
            </c:numRef>
          </c:xVal>
          <c:yVal>
            <c:numRef>
              <c:f>Graphs!graph_e_y_range_B</c:f>
              <c:numCache>
                <c:formatCode>0.00</c:formatCode>
                <c:ptCount val="5"/>
                <c:pt idx="0">
                  <c:v>42.415619</c:v>
                </c:pt>
                <c:pt idx="1">
                  <c:v>43.839444</c:v>
                </c:pt>
                <c:pt idx="2">
                  <c:v>45.204956000000003</c:v>
                </c:pt>
                <c:pt idx="3">
                  <c:v>46.846908999999997</c:v>
                </c:pt>
                <c:pt idx="4">
                  <c:v>48.737819000000002</c:v>
                </c:pt>
              </c:numCache>
            </c:numRef>
          </c:yVal>
          <c:smooth val="1"/>
          <c:extLst>
            <c:ext xmlns:c16="http://schemas.microsoft.com/office/drawing/2014/chart" uri="{C3380CC4-5D6E-409C-BE32-E72D297353CC}">
              <c16:uniqueId val="{00000001-1990-4847-96F1-3C371FDEC257}"/>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vpcc8.0rc2</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9ED9-4AA3-A421-E43FEAB91D11}"/>
            </c:ext>
          </c:extLst>
        </c:ser>
        <c:ser>
          <c:idx val="1"/>
          <c:order val="1"/>
          <c:tx>
            <c:strRef>
              <c:f>Graphs!graph_f_B_title</c:f>
              <c:strCache>
                <c:ptCount val="1"/>
                <c:pt idx="0">
                  <c:v>vpcc8.0_rc3_lod22</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9ED9-4AA3-A421-E43FEAB91D1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67" t="s">
        <v>1</v>
      </c>
      <c r="D1" s="59"/>
      <c r="E1" s="59"/>
    </row>
    <row r="2" spans="2:12" x14ac:dyDescent="0.2">
      <c r="B2" t="s">
        <v>2</v>
      </c>
      <c r="C2" s="68" t="s">
        <v>3</v>
      </c>
      <c r="D2" s="59"/>
      <c r="E2" s="59"/>
    </row>
    <row r="4" spans="2:12" s="1" customFormat="1" x14ac:dyDescent="0.2">
      <c r="B4" s="1" t="s">
        <v>4</v>
      </c>
    </row>
    <row r="6" spans="2:12" x14ac:dyDescent="0.2">
      <c r="B6" s="62" t="s">
        <v>5</v>
      </c>
      <c r="C6" s="63" t="s">
        <v>6</v>
      </c>
      <c r="D6" s="64"/>
      <c r="E6" s="64"/>
      <c r="F6" s="64"/>
      <c r="G6" s="64"/>
      <c r="H6" s="64"/>
      <c r="I6" s="64"/>
      <c r="J6" s="64"/>
      <c r="K6" s="64"/>
      <c r="L6" s="64"/>
    </row>
    <row r="7" spans="2:12" x14ac:dyDescent="0.2">
      <c r="B7" s="59"/>
      <c r="C7" s="65" t="s">
        <v>7</v>
      </c>
      <c r="D7" s="59"/>
      <c r="E7" s="66" t="s">
        <v>8</v>
      </c>
      <c r="F7" s="59"/>
      <c r="G7" s="59"/>
      <c r="H7" s="65" t="s">
        <v>9</v>
      </c>
      <c r="I7" s="59"/>
      <c r="J7" s="66" t="s">
        <v>10</v>
      </c>
      <c r="K7" s="59"/>
      <c r="L7" s="59"/>
    </row>
    <row r="8" spans="2:12" ht="16" x14ac:dyDescent="0.2">
      <c r="B8" s="61"/>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0.92270573594234007</v>
      </c>
      <c r="D9" s="51">
        <f>'C2 lossyG,lossyA,intra'!$BK$40:$BK$40</f>
        <v>0.22442937244623556</v>
      </c>
      <c r="E9" s="51">
        <f>'C2 lossyG,lossyA,intra'!$BL$40:$BL$40</f>
        <v>0.26089529725914062</v>
      </c>
      <c r="F9" s="51">
        <f>'C2 lossyG,lossyA,intra'!$BM$40:$BM$40</f>
        <v>0.18150701854691309</v>
      </c>
      <c r="G9" s="51">
        <f>'C2 lossyG,lossyA,intra'!$BN$40:$BN$40</f>
        <v>0.44863307694454585</v>
      </c>
      <c r="H9" s="51">
        <f>'C2 lossyG,lossyA,intra'!$BP$40:$BP$40</f>
        <v>1.962521146822958</v>
      </c>
      <c r="I9" s="51">
        <f>'C2 lossyG,lossyA,intra'!$BQ$40:$BQ$40</f>
        <v>0.47522574958066616</v>
      </c>
      <c r="J9" s="51">
        <f>'C2 lossyG,lossyA,intra'!$BR$40:$BR$40</f>
        <v>0.17655443523180525</v>
      </c>
      <c r="K9" s="51">
        <f>'C2 lossyG,lossyA,intra'!$BS$40:$BS$40</f>
        <v>0.11714631704750306</v>
      </c>
      <c r="L9" s="51">
        <f>'C2 lossyG,lossyA,intra'!$BT$40:$BT$40</f>
        <v>0.30032850247075926</v>
      </c>
    </row>
    <row r="10" spans="2:12" x14ac:dyDescent="0.2">
      <c r="B10" t="s">
        <v>17</v>
      </c>
      <c r="C10" s="51">
        <f>'C2 lossyG,lossyA,intra'!$BJ$41:$BJ$41</f>
        <v>1</v>
      </c>
      <c r="D10" s="51">
        <f>'C2 lossyG,lossyA,intra'!$BK$41:$BK$41</f>
        <v>0.26775059844894278</v>
      </c>
      <c r="E10" s="51">
        <f>'C2 lossyG,lossyA,intra'!$BL$41:$BL$41</f>
        <v>0.5586554549598628</v>
      </c>
      <c r="F10" s="51">
        <f>'C2 lossyG,lossyA,intra'!$BM$41:$BM$41</f>
        <v>0.63060141419437632</v>
      </c>
      <c r="G10" s="51">
        <f>'C2 lossyG,lossyA,intra'!$BN$41:$BN$41</f>
        <v>1.1051966411859464</v>
      </c>
      <c r="H10" s="51">
        <f>'C2 lossyG,lossyA,intra'!$BP$41:$BP$41</f>
        <v>1</v>
      </c>
      <c r="I10" s="51">
        <f>'C2 lossyG,lossyA,intra'!$BQ$41:$BQ$41</f>
        <v>0.58985421611618127</v>
      </c>
      <c r="J10" s="51">
        <f>'C2 lossyG,lossyA,intra'!$BR$41:$BR$41</f>
        <v>0.44888802957930007</v>
      </c>
      <c r="K10" s="51">
        <f>'C2 lossyG,lossyA,intra'!$BS$41:$BS$41</f>
        <v>0.52697713717813199</v>
      </c>
      <c r="L10" s="51">
        <f>'C2 lossyG,lossyA,intra'!$BT$41:$BT$41</f>
        <v>0.90317703896324963</v>
      </c>
    </row>
    <row r="11" spans="2:12" x14ac:dyDescent="0.2">
      <c r="B11" t="s">
        <v>18</v>
      </c>
      <c r="C11" s="51">
        <f>'C2 lossyG,lossyA,intra'!$BJ$42:$BJ$42</f>
        <v>1.4311531714877839</v>
      </c>
      <c r="D11" s="51">
        <f>'C2 lossyG,lossyA,intra'!$BK$42:$BK$42</f>
        <v>7.1455290032021113E-2</v>
      </c>
      <c r="E11" s="51">
        <f>'C2 lossyG,lossyA,intra'!$BL$42:$BL$42</f>
        <v>0.30316440334858885</v>
      </c>
      <c r="F11" s="51">
        <f>'C2 lossyG,lossyA,intra'!$BM$42:$BM$42</f>
        <v>0.20178108901908065</v>
      </c>
      <c r="G11" s="51">
        <f>'C2 lossyG,lossyA,intra'!$BN$42:$BN$42</f>
        <v>0.10454513565087187</v>
      </c>
      <c r="H11" s="51">
        <f>'C2 lossyG,lossyA,intra'!$BP$42:$BP$42</f>
        <v>3.4916841792376978</v>
      </c>
      <c r="I11" s="51">
        <f>'C2 lossyG,lossyA,intra'!$BQ$42:$BQ$42</f>
        <v>0.20096023578498323</v>
      </c>
      <c r="J11" s="51">
        <f>'C2 lossyG,lossyA,intra'!$BR$42:$BR$42</f>
        <v>0.19020895872562416</v>
      </c>
      <c r="K11" s="51">
        <f>'C2 lossyG,lossyA,intra'!$BS$42:$BS$42</f>
        <v>0.12444818718733208</v>
      </c>
      <c r="L11" s="51">
        <f>'C2 lossyG,lossyA,intra'!$BT$42:$BT$42</f>
        <v>5.3005959603901975E-2</v>
      </c>
    </row>
    <row r="12" spans="2:12" x14ac:dyDescent="0.2">
      <c r="B12" s="4" t="s">
        <v>19</v>
      </c>
      <c r="C12" s="5">
        <f>'C2 lossyG,lossyA,intra'!$BJ$43:$BJ$43</f>
        <v>1.0790184695349898</v>
      </c>
      <c r="D12" s="5">
        <f>'C2 lossyG,lossyA,intra'!$BK$43:$BK$43</f>
        <v>0.18691123832827533</v>
      </c>
      <c r="E12" s="5">
        <f>'C2 lossyG,lossyA,intra'!$BL$43:$BL$43</f>
        <v>0.31550935009908615</v>
      </c>
      <c r="F12" s="5">
        <f>'C2 lossyG,lossyA,intra'!$BM$43:$BM$43</f>
        <v>0.25145595234574142</v>
      </c>
      <c r="G12" s="5">
        <f>'C2 lossyG,lossyA,intra'!$BN$43:$BN$43</f>
        <v>0.44411703146655335</v>
      </c>
      <c r="H12" s="5">
        <f>'C2 lossyG,lossyA,intra'!$BP$43:$BP$43</f>
        <v>2.2619218493953182</v>
      </c>
      <c r="I12" s="5">
        <f>'C2 lossyG,lossyA,intra'!$BQ$43:$BQ$43</f>
        <v>0.41323966942983031</v>
      </c>
      <c r="J12" s="5">
        <f>'C2 lossyG,lossyA,intra'!$BR$43:$BR$43</f>
        <v>0.2193605268511099</v>
      </c>
      <c r="K12" s="5">
        <f>'C2 lossyG,lossyA,intra'!$BS$43:$BS$43</f>
        <v>0.17777982567754405</v>
      </c>
      <c r="L12" s="5">
        <f>'C2 lossyG,lossyA,intra'!$BT$43:$BT$43</f>
        <v>0.31578613829344143</v>
      </c>
    </row>
    <row r="13" spans="2:12" x14ac:dyDescent="0.2">
      <c r="B13" t="s">
        <v>20</v>
      </c>
      <c r="C13" s="58">
        <f>'C2 lossyG,lossyA,intra'!AZ47</f>
        <v>1.0638900943243801</v>
      </c>
      <c r="D13" s="59"/>
      <c r="E13" s="59"/>
      <c r="F13" s="59"/>
      <c r="G13" s="59"/>
      <c r="H13" s="59"/>
      <c r="I13" s="59"/>
      <c r="J13" s="59"/>
      <c r="K13" s="59"/>
      <c r="L13" s="59"/>
    </row>
    <row r="14" spans="2:12" x14ac:dyDescent="0.2">
      <c r="B14" s="54" t="s">
        <v>21</v>
      </c>
      <c r="C14" s="60">
        <f>'C2 lossyG,lossyA,intra'!BB47</f>
        <v>0.66213375989395429</v>
      </c>
      <c r="D14" s="61"/>
      <c r="E14" s="61"/>
      <c r="F14" s="61"/>
      <c r="G14" s="61"/>
      <c r="H14" s="61"/>
      <c r="I14" s="61"/>
      <c r="J14" s="61"/>
      <c r="K14" s="61"/>
      <c r="L14" s="61"/>
    </row>
    <row r="16" spans="2:12" x14ac:dyDescent="0.2">
      <c r="B16" s="62" t="s">
        <v>22</v>
      </c>
      <c r="C16" s="63" t="s">
        <v>23</v>
      </c>
      <c r="D16" s="64"/>
      <c r="E16" s="64"/>
    </row>
    <row r="17" spans="2:5" x14ac:dyDescent="0.2">
      <c r="B17" s="59"/>
      <c r="C17" s="65" t="s">
        <v>24</v>
      </c>
      <c r="D17" s="59"/>
      <c r="E17" s="59"/>
    </row>
    <row r="18" spans="2:5" ht="16" x14ac:dyDescent="0.2">
      <c r="B18" s="61"/>
      <c r="C18" s="2" t="s">
        <v>25</v>
      </c>
      <c r="D18" s="2" t="s">
        <v>26</v>
      </c>
      <c r="E18" s="2" t="s">
        <v>27</v>
      </c>
    </row>
    <row r="19" spans="2:5" x14ac:dyDescent="0.2">
      <c r="B19" t="s">
        <v>16</v>
      </c>
      <c r="C19" s="51" t="e">
        <f>'CW losslG,losslA,intra'!BC12</f>
        <v>#DIV/0!</v>
      </c>
      <c r="D19" s="51" t="e">
        <f>'CW losslG,losslA,intra'!BE12</f>
        <v>#DIV/0!</v>
      </c>
      <c r="E19" s="51" t="e">
        <f>'CW losslG,losslA,intra'!BB12</f>
        <v>#DIV/0!</v>
      </c>
    </row>
    <row r="20" spans="2:5" x14ac:dyDescent="0.2">
      <c r="B20" t="s">
        <v>17</v>
      </c>
      <c r="C20" s="51" t="e">
        <f>'CW losslG,losslA,intra'!BC13</f>
        <v>#DIV/0!</v>
      </c>
      <c r="D20" s="51" t="e">
        <f>'CW losslG,losslA,intra'!BE13</f>
        <v>#DIV/0!</v>
      </c>
      <c r="E20" s="51" t="e">
        <f>'CW losslG,losslA,intra'!BB13</f>
        <v>#DIV/0!</v>
      </c>
    </row>
    <row r="21" spans="2:5" x14ac:dyDescent="0.2">
      <c r="B21" t="s">
        <v>18</v>
      </c>
      <c r="C21" s="51" t="e">
        <f>'CW losslG,losslA,intra'!BC14</f>
        <v>#DIV/0!</v>
      </c>
      <c r="D21" s="51" t="e">
        <f>'CW losslG,losslA,intra'!BE14</f>
        <v>#DIV/0!</v>
      </c>
      <c r="E21" s="51" t="e">
        <f>'CW losslG,losslA,intra'!BB14</f>
        <v>#DIV/0!</v>
      </c>
    </row>
    <row r="22" spans="2:5" x14ac:dyDescent="0.2">
      <c r="B22" s="4" t="s">
        <v>19</v>
      </c>
      <c r="C22" s="5" t="e">
        <f>'CW losslG,losslA,intra'!BC15</f>
        <v>#DIV/0!</v>
      </c>
      <c r="D22" s="5" t="e">
        <f>'CW losslG,losslA,intra'!BE15</f>
        <v>#DIV/0!</v>
      </c>
      <c r="E22" s="5" t="e">
        <f>'CW losslG,losslA,intra'!BB15</f>
        <v>#DIV/0!</v>
      </c>
    </row>
    <row r="23" spans="2:5" x14ac:dyDescent="0.2">
      <c r="B23" t="s">
        <v>20</v>
      </c>
      <c r="C23" s="58" t="e">
        <f>'CW losslG,losslA,intra'!AW19</f>
        <v>#NUM!</v>
      </c>
      <c r="D23" s="59"/>
      <c r="E23" s="59"/>
    </row>
    <row r="24" spans="2:5" x14ac:dyDescent="0.2">
      <c r="B24" s="54" t="s">
        <v>21</v>
      </c>
      <c r="C24" s="60" t="e">
        <f>'CW losslG,losslA,intra'!AY19</f>
        <v>#NUM!</v>
      </c>
      <c r="D24" s="61"/>
      <c r="E24" s="61"/>
    </row>
    <row r="26" spans="2:5" s="1" customFormat="1" x14ac:dyDescent="0.2">
      <c r="B26" s="1" t="s">
        <v>28</v>
      </c>
    </row>
    <row r="28" spans="2:5" x14ac:dyDescent="0.2">
      <c r="B28" s="62" t="s">
        <v>29</v>
      </c>
      <c r="C28" s="63" t="s">
        <v>30</v>
      </c>
      <c r="D28" s="64"/>
      <c r="E28" s="64"/>
    </row>
    <row r="29" spans="2:5" x14ac:dyDescent="0.2">
      <c r="B29" s="59"/>
      <c r="C29" s="65" t="s">
        <v>24</v>
      </c>
      <c r="D29" s="59"/>
      <c r="E29" s="59"/>
    </row>
    <row r="30" spans="2:5" ht="16" x14ac:dyDescent="0.2">
      <c r="B30" s="61"/>
      <c r="C30" s="2" t="s">
        <v>25</v>
      </c>
      <c r="D30" s="2" t="s">
        <v>26</v>
      </c>
      <c r="E30" s="2" t="s">
        <v>27</v>
      </c>
    </row>
    <row r="31" spans="2:5" x14ac:dyDescent="0.2">
      <c r="B31" t="s">
        <v>16</v>
      </c>
      <c r="C31" s="51" t="e">
        <f>'CW losslG,losslA,interLD'!BC12</f>
        <v>#DIV/0!</v>
      </c>
      <c r="D31" s="51" t="e">
        <f>'CW losslG,losslA,interLD'!BE12</f>
        <v>#DIV/0!</v>
      </c>
      <c r="E31" s="51" t="e">
        <f>'CW losslG,losslA,interLD'!BB12</f>
        <v>#DIV/0!</v>
      </c>
    </row>
    <row r="32" spans="2:5" x14ac:dyDescent="0.2">
      <c r="B32" t="s">
        <v>17</v>
      </c>
      <c r="C32" s="51" t="e">
        <f>'CW losslG,losslA,interLD'!BC13</f>
        <v>#DIV/0!</v>
      </c>
      <c r="D32" s="51" t="e">
        <f>'CW losslG,losslA,interLD'!BE13</f>
        <v>#DIV/0!</v>
      </c>
      <c r="E32" s="51" t="e">
        <f>'CW losslG,losslA,interLD'!BB13</f>
        <v>#DIV/0!</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t="e">
        <f>'CW losslG,losslA,interLD'!BC15</f>
        <v>#DIV/0!</v>
      </c>
      <c r="D34" s="5" t="e">
        <f>'CW losslG,losslA,interLD'!BE15</f>
        <v>#DIV/0!</v>
      </c>
      <c r="E34" s="5" t="e">
        <f>'CW losslG,losslA,interLD'!BB15</f>
        <v>#DIV/0!</v>
      </c>
    </row>
    <row r="35" spans="2:12" x14ac:dyDescent="0.2">
      <c r="B35" t="s">
        <v>20</v>
      </c>
      <c r="C35" s="58" t="e">
        <f>'CW losslG,losslA,interLD'!AW19</f>
        <v>#NUM!</v>
      </c>
      <c r="D35" s="59"/>
      <c r="E35" s="59"/>
    </row>
    <row r="36" spans="2:12" x14ac:dyDescent="0.2">
      <c r="B36" s="54" t="s">
        <v>21</v>
      </c>
      <c r="C36" s="60" t="e">
        <f>'CW losslG,losslA,interLD'!AY19</f>
        <v>#NUM!</v>
      </c>
      <c r="D36" s="61"/>
      <c r="E36" s="61"/>
    </row>
    <row r="38" spans="2:12" s="1" customFormat="1" x14ac:dyDescent="0.2">
      <c r="B38" s="1" t="s">
        <v>31</v>
      </c>
    </row>
    <row r="40" spans="2:12" x14ac:dyDescent="0.2">
      <c r="B40" s="62" t="s">
        <v>32</v>
      </c>
      <c r="C40" s="63" t="s">
        <v>33</v>
      </c>
      <c r="D40" s="64"/>
      <c r="E40" s="64"/>
      <c r="F40" s="64"/>
      <c r="G40" s="64"/>
      <c r="H40" s="64"/>
      <c r="I40" s="64"/>
      <c r="J40" s="64"/>
      <c r="K40" s="64"/>
      <c r="L40" s="64"/>
    </row>
    <row r="41" spans="2:12" x14ac:dyDescent="0.2">
      <c r="B41" s="59"/>
      <c r="C41" s="65" t="s">
        <v>7</v>
      </c>
      <c r="D41" s="59"/>
      <c r="E41" s="66" t="s">
        <v>8</v>
      </c>
      <c r="F41" s="59"/>
      <c r="G41" s="59"/>
      <c r="H41" s="65" t="s">
        <v>9</v>
      </c>
      <c r="I41" s="59"/>
      <c r="J41" s="66" t="s">
        <v>10</v>
      </c>
      <c r="K41" s="59"/>
      <c r="L41" s="59"/>
    </row>
    <row r="42" spans="2:12" ht="16" x14ac:dyDescent="0.2">
      <c r="B42" s="61"/>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1.0225088709183201</v>
      </c>
      <c r="D43" s="51">
        <f>'C2 lossyG,lossyA,interRA'!$BK$40:$BK$40</f>
        <v>0.25298327925422065</v>
      </c>
      <c r="E43" s="51">
        <f>'C2 lossyG,lossyA,interRA'!$BL$40:$BL$40</f>
        <v>0.39872896662195351</v>
      </c>
      <c r="F43" s="51">
        <f>'C2 lossyG,lossyA,interRA'!$BM$40:$BM$40</f>
        <v>0.34294592768264404</v>
      </c>
      <c r="G43" s="51">
        <f>'C2 lossyG,lossyA,interRA'!$BN$40:$BN$40</f>
        <v>0.54478544741521895</v>
      </c>
      <c r="H43" s="51">
        <f>'C2 lossyG,lossyA,interRA'!$BP$40:$BP$40</f>
        <v>1.9044405740886421</v>
      </c>
      <c r="I43" s="51">
        <f>'C2 lossyG,lossyA,interRA'!$BQ$40:$BQ$40</f>
        <v>0.49824598080936833</v>
      </c>
      <c r="J43" s="51">
        <f>'C2 lossyG,lossyA,interRA'!$BR$40:$BR$40</f>
        <v>0.16059355440224254</v>
      </c>
      <c r="K43" s="51">
        <f>'C2 lossyG,lossyA,interRA'!$BS$40:$BS$40</f>
        <v>0.13668533890711865</v>
      </c>
      <c r="L43" s="51">
        <f>'C2 lossyG,lossyA,interRA'!$BT$40:$BT$40</f>
        <v>0.23768927437457554</v>
      </c>
    </row>
    <row r="44" spans="2:12" x14ac:dyDescent="0.2">
      <c r="B44" t="s">
        <v>17</v>
      </c>
      <c r="C44" s="51">
        <f>'C2 lossyG,lossyA,interRA'!$BJ$41:$BJ$41</f>
        <v>1</v>
      </c>
      <c r="D44" s="51">
        <f>'C2 lossyG,lossyA,interRA'!$BK$41:$BK$41</f>
        <v>0.31214581219054893</v>
      </c>
      <c r="E44" s="51">
        <f>'C2 lossyG,lossyA,interRA'!$BL$41:$BL$41</f>
        <v>0.81267043644488135</v>
      </c>
      <c r="F44" s="51">
        <f>'C2 lossyG,lossyA,interRA'!$BM$41:$BM$41</f>
        <v>1.178245171193987</v>
      </c>
      <c r="G44" s="51">
        <f>'C2 lossyG,lossyA,interRA'!$BN$41:$BN$41</f>
        <v>1.7154909934391531</v>
      </c>
      <c r="H44" s="51">
        <f>'C2 lossyG,lossyA,interRA'!$BP$41:$BP$41</f>
        <v>1</v>
      </c>
      <c r="I44" s="51">
        <f>'C2 lossyG,lossyA,interRA'!$BQ$41:$BQ$41</f>
        <v>0.86034079605107294</v>
      </c>
      <c r="J44" s="51">
        <f>'C2 lossyG,lossyA,interRA'!$BR$41:$BR$41</f>
        <v>0.48912794502010448</v>
      </c>
      <c r="K44" s="51">
        <f>'C2 lossyG,lossyA,interRA'!$BS$41:$BS$41</f>
        <v>0.72117946905304953</v>
      </c>
      <c r="L44" s="51">
        <f>'C2 lossyG,lossyA,interRA'!$BT$41:$BT$41</f>
        <v>1.0086815096357618</v>
      </c>
    </row>
    <row r="45" spans="2:12" x14ac:dyDescent="0.2">
      <c r="B45" t="s">
        <v>18</v>
      </c>
      <c r="C45" s="51">
        <f>'C2 lossyG,lossyA,interRA'!$BJ$42:$BJ$42</f>
        <v>1.0968160927137671</v>
      </c>
      <c r="D45" s="51">
        <f>'C2 lossyG,lossyA,interRA'!$BK$42:$BK$42</f>
        <v>5.9768621108037823E-2</v>
      </c>
      <c r="E45" s="51">
        <f>'C2 lossyG,lossyA,interRA'!$BL$42:$BL$42</f>
        <v>0.20351486293416898</v>
      </c>
      <c r="F45" s="51">
        <f>'C2 lossyG,lossyA,interRA'!$BM$42:$BM$42</f>
        <v>0.23786677678421164</v>
      </c>
      <c r="G45" s="51">
        <f>'C2 lossyG,lossyA,interRA'!$BN$42:$BN$42</f>
        <v>0.115026664921144</v>
      </c>
      <c r="H45" s="51">
        <f>'C2 lossyG,lossyA,interRA'!$BP$42:$BP$42</f>
        <v>1.6518742751523938</v>
      </c>
      <c r="I45" s="51">
        <f>'C2 lossyG,lossyA,interRA'!$BQ$42:$BQ$42</f>
        <v>0.15984468236124838</v>
      </c>
      <c r="J45" s="51">
        <f>'C2 lossyG,lossyA,interRA'!$BR$42:$BR$42</f>
        <v>8.0460819618406676E-2</v>
      </c>
      <c r="K45" s="51">
        <f>'C2 lossyG,lossyA,interRA'!$BS$42:$BS$42</f>
        <v>0.10125202399648192</v>
      </c>
      <c r="L45" s="51">
        <f>'C2 lossyG,lossyA,interRA'!$BT$42:$BT$42</f>
        <v>2.7579635988212725E-2</v>
      </c>
    </row>
    <row r="46" spans="2:12" x14ac:dyDescent="0.2">
      <c r="B46" s="4" t="s">
        <v>19</v>
      </c>
      <c r="C46" s="5">
        <f>'C2 lossyG,lossyA,interRA'!$BJ$43:$BJ$43</f>
        <v>1.0405239527286878</v>
      </c>
      <c r="D46" s="5">
        <f>'C2 lossyG,lossyA,interRA'!$BK$43:$BK$43</f>
        <v>0.2062308816319296</v>
      </c>
      <c r="E46" s="5">
        <f>'C2 lossyG,lossyA,interRA'!$BL$43:$BL$43</f>
        <v>0.4020880041144333</v>
      </c>
      <c r="F46" s="5">
        <f>'C2 lossyG,lossyA,interRA'!$BM$43:$BM$43</f>
        <v>0.43225177649899804</v>
      </c>
      <c r="G46" s="5">
        <f>'C2 lossyG,lossyA,interRA'!$BN$43:$BN$43</f>
        <v>0.58924087327747376</v>
      </c>
      <c r="H46" s="5">
        <f>'C2 lossyG,lossyA,interRA'!$BP$43:$BP$43</f>
        <v>1.7030729780941936</v>
      </c>
      <c r="I46" s="5">
        <f>'C2 lossyG,lossyA,interRA'!$BQ$43:$BQ$43</f>
        <v>0.4532877262872918</v>
      </c>
      <c r="J46" s="5">
        <f>'C2 lossyG,lossyA,interRA'!$BR$43:$BR$43</f>
        <v>0.18463197169512685</v>
      </c>
      <c r="K46" s="5">
        <f>'C2 lossyG,lossyA,interRA'!$BS$43:$BS$43</f>
        <v>0.21006069609635541</v>
      </c>
      <c r="L46" s="5">
        <f>'C2 lossyG,lossyA,interRA'!$BT$43:$BT$43</f>
        <v>0.28779969701578423</v>
      </c>
    </row>
    <row r="47" spans="2:12" x14ac:dyDescent="0.2">
      <c r="B47" t="s">
        <v>20</v>
      </c>
      <c r="C47" s="58">
        <f>'C2 lossyG,lossyA,interRA'!AZ47</f>
        <v>1.06933500427809</v>
      </c>
      <c r="D47" s="59"/>
      <c r="E47" s="59"/>
      <c r="F47" s="59"/>
      <c r="G47" s="59"/>
      <c r="H47" s="59"/>
      <c r="I47" s="59"/>
      <c r="J47" s="59"/>
      <c r="K47" s="59"/>
      <c r="L47" s="59"/>
    </row>
    <row r="48" spans="2:12" x14ac:dyDescent="0.2">
      <c r="B48" s="54" t="s">
        <v>21</v>
      </c>
      <c r="C48" s="60">
        <f>'C2 lossyG,lossyA,interRA'!BB47</f>
        <v>0.62304727407410332</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80" zoomScaleNormal="80" workbookViewId="0">
      <pane xSplit="2" ySplit="4" topLeftCell="AA5" activePane="bottomRight" state="frozen"/>
      <selection pane="topRight" activeCell="C1" sqref="C1"/>
      <selection pane="bottomLeft" activeCell="A5" sqref="A5"/>
      <selection pane="bottomRight" activeCell="AG2" sqref="AG2:AG3"/>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1" t="s">
        <v>138</v>
      </c>
      <c r="B1" s="59"/>
      <c r="C1" s="59"/>
      <c r="D1" s="59"/>
      <c r="E1" s="59"/>
      <c r="F1" s="59"/>
      <c r="G1" s="59"/>
      <c r="I1" s="67" t="s">
        <v>590</v>
      </c>
      <c r="J1" s="59"/>
      <c r="K1" s="59"/>
      <c r="L1" s="59"/>
      <c r="M1" s="59"/>
      <c r="N1" s="59"/>
      <c r="O1" s="59"/>
      <c r="P1" s="59"/>
      <c r="Q1" s="59"/>
      <c r="R1" s="59"/>
      <c r="S1" s="59"/>
      <c r="T1" s="59"/>
      <c r="U1" s="59"/>
      <c r="V1" s="59"/>
      <c r="W1" s="59"/>
      <c r="X1" s="59"/>
      <c r="Y1" s="59"/>
      <c r="Z1" s="59"/>
      <c r="AA1" s="59"/>
      <c r="AB1" s="59"/>
      <c r="AC1" s="59"/>
      <c r="AD1" s="59"/>
      <c r="AE1" s="59"/>
      <c r="AG1" s="68" t="s">
        <v>593</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3" t="s">
        <v>139</v>
      </c>
      <c r="B2" s="72" t="s">
        <v>140</v>
      </c>
      <c r="C2" s="73" t="s">
        <v>141</v>
      </c>
      <c r="D2" s="72" t="s">
        <v>142</v>
      </c>
      <c r="E2" s="73" t="s">
        <v>143</v>
      </c>
      <c r="F2" s="72" t="s">
        <v>144</v>
      </c>
      <c r="G2" s="73" t="s">
        <v>145</v>
      </c>
      <c r="I2" s="72" t="s">
        <v>146</v>
      </c>
      <c r="J2" s="70" t="s">
        <v>147</v>
      </c>
      <c r="K2" s="59"/>
      <c r="L2" s="59"/>
      <c r="M2" s="59"/>
      <c r="N2" s="73" t="s">
        <v>148</v>
      </c>
      <c r="O2" s="72" t="s">
        <v>149</v>
      </c>
      <c r="P2" s="73" t="s">
        <v>86</v>
      </c>
      <c r="Q2" s="72" t="s">
        <v>88</v>
      </c>
      <c r="R2" s="73" t="s">
        <v>84</v>
      </c>
      <c r="S2" s="69" t="s">
        <v>150</v>
      </c>
      <c r="T2" s="59"/>
      <c r="U2" s="59"/>
      <c r="V2" s="59"/>
      <c r="W2" s="70" t="s">
        <v>151</v>
      </c>
      <c r="X2" s="59"/>
      <c r="Y2" s="69" t="s">
        <v>152</v>
      </c>
      <c r="Z2" s="59"/>
      <c r="AA2" s="59"/>
      <c r="AB2" s="70" t="s">
        <v>153</v>
      </c>
      <c r="AC2" s="59"/>
      <c r="AD2" s="69" t="s">
        <v>154</v>
      </c>
      <c r="AE2" s="59"/>
      <c r="AG2" s="73" t="s">
        <v>146</v>
      </c>
      <c r="AH2" s="69" t="s">
        <v>147</v>
      </c>
      <c r="AI2" s="59"/>
      <c r="AJ2" s="59"/>
      <c r="AK2" s="59"/>
      <c r="AL2" s="72" t="s">
        <v>155</v>
      </c>
      <c r="AM2" s="73" t="s">
        <v>149</v>
      </c>
      <c r="AN2" s="72" t="s">
        <v>86</v>
      </c>
      <c r="AO2" s="73" t="s">
        <v>88</v>
      </c>
      <c r="AP2" s="72" t="s">
        <v>84</v>
      </c>
      <c r="AQ2" s="70" t="s">
        <v>150</v>
      </c>
      <c r="AR2" s="59"/>
      <c r="AS2" s="59"/>
      <c r="AT2" s="59"/>
      <c r="AU2" s="69" t="s">
        <v>151</v>
      </c>
      <c r="AV2" s="59"/>
      <c r="AW2" s="70" t="s">
        <v>152</v>
      </c>
      <c r="AX2" s="59"/>
      <c r="AY2" s="59"/>
      <c r="AZ2" s="69" t="s">
        <v>153</v>
      </c>
      <c r="BA2" s="59"/>
      <c r="BB2" s="70" t="s">
        <v>154</v>
      </c>
      <c r="BC2" s="59"/>
      <c r="BE2" s="72" t="s">
        <v>156</v>
      </c>
      <c r="BF2" s="73" t="s">
        <v>157</v>
      </c>
      <c r="BG2" s="72" t="s">
        <v>158</v>
      </c>
      <c r="BH2" s="73" t="s">
        <v>158</v>
      </c>
      <c r="BJ2" s="69" t="s">
        <v>7</v>
      </c>
      <c r="BK2" s="59"/>
      <c r="BL2" s="70" t="s">
        <v>8</v>
      </c>
      <c r="BM2" s="59"/>
      <c r="BN2" s="59"/>
      <c r="BP2" s="69" t="s">
        <v>9</v>
      </c>
      <c r="BQ2" s="59"/>
      <c r="BR2" s="70" t="s">
        <v>10</v>
      </c>
      <c r="BS2" s="59"/>
      <c r="BT2" s="59"/>
      <c r="BV2" s="72" t="s">
        <v>86</v>
      </c>
      <c r="BW2" s="73" t="s">
        <v>88</v>
      </c>
      <c r="BX2" s="72" t="s">
        <v>84</v>
      </c>
      <c r="BY2" s="70" t="s">
        <v>150</v>
      </c>
      <c r="BZ2" s="59"/>
      <c r="CA2" s="59"/>
      <c r="CB2" s="59"/>
      <c r="CC2" s="69" t="s">
        <v>151</v>
      </c>
      <c r="CD2" s="59"/>
      <c r="CE2" s="70" t="s">
        <v>152</v>
      </c>
      <c r="CF2" s="59"/>
      <c r="CG2" s="59"/>
    </row>
    <row r="3" spans="1:88" ht="33" thickBot="1" x14ac:dyDescent="0.25">
      <c r="A3" s="61"/>
      <c r="B3" s="61"/>
      <c r="C3" s="61"/>
      <c r="D3" s="61"/>
      <c r="E3" s="61"/>
      <c r="F3" s="61"/>
      <c r="G3" s="61"/>
      <c r="I3" s="61"/>
      <c r="J3" s="56" t="s">
        <v>27</v>
      </c>
      <c r="K3" s="56" t="s">
        <v>25</v>
      </c>
      <c r="L3" s="56" t="s">
        <v>159</v>
      </c>
      <c r="M3" s="56" t="s">
        <v>160</v>
      </c>
      <c r="N3" s="61"/>
      <c r="O3" s="61"/>
      <c r="P3" s="61"/>
      <c r="Q3" s="61"/>
      <c r="R3" s="61"/>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1"/>
      <c r="AH3" s="57" t="s">
        <v>27</v>
      </c>
      <c r="AI3" s="57" t="s">
        <v>25</v>
      </c>
      <c r="AJ3" s="57" t="s">
        <v>159</v>
      </c>
      <c r="AK3" s="57" t="s">
        <v>160</v>
      </c>
      <c r="AL3" s="61"/>
      <c r="AM3" s="61"/>
      <c r="AN3" s="61"/>
      <c r="AO3" s="61"/>
      <c r="AP3" s="61"/>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1"/>
      <c r="BF3" s="61"/>
      <c r="BG3" s="61"/>
      <c r="BH3" s="61"/>
      <c r="BJ3" s="57" t="s">
        <v>11</v>
      </c>
      <c r="BK3" s="57" t="s">
        <v>12</v>
      </c>
      <c r="BL3" s="56" t="s">
        <v>13</v>
      </c>
      <c r="BM3" s="56" t="s">
        <v>14</v>
      </c>
      <c r="BN3" s="56" t="s">
        <v>15</v>
      </c>
      <c r="BP3" s="57" t="s">
        <v>11</v>
      </c>
      <c r="BQ3" s="57" t="s">
        <v>12</v>
      </c>
      <c r="BR3" s="56" t="s">
        <v>13</v>
      </c>
      <c r="BS3" s="56" t="s">
        <v>14</v>
      </c>
      <c r="BT3" s="56" t="s">
        <v>15</v>
      </c>
      <c r="BV3" s="61"/>
      <c r="BW3" s="61"/>
      <c r="BX3" s="61"/>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2.1858974999999998</v>
      </c>
      <c r="J5" s="11">
        <f t="shared" ref="J5:J39" si="1">IF(ISBLANK(S5),"·",S5/D5)</f>
        <v>9.790717340746935E-3</v>
      </c>
      <c r="K5" s="11">
        <f t="shared" ref="K5:K39" si="2">IF(N5="","·",N5/D5)</f>
        <v>6.211103992753768E-3</v>
      </c>
      <c r="L5" s="11">
        <f t="shared" ref="L5:L39" si="3">IF(T5="","·",T5/D5)</f>
        <v>3.5272086067430685E-3</v>
      </c>
      <c r="M5" s="11">
        <f t="shared" ref="M5:M39" si="4">IF(ISBLANK(V5),"·",V5/D5)</f>
        <v>3.5796133479931679E-3</v>
      </c>
      <c r="N5" s="52">
        <f t="shared" ref="N5:N39" si="5">IF(OR(ISBLANK(T5),ISBLANK(U5)),"",T5+U5)</f>
        <v>1479152</v>
      </c>
      <c r="O5" s="11">
        <v>16</v>
      </c>
      <c r="P5" s="12">
        <v>21785839</v>
      </c>
      <c r="Q5" s="12">
        <v>680807.46875</v>
      </c>
      <c r="R5" s="12">
        <v>13493.8125</v>
      </c>
      <c r="S5" s="13">
        <v>2331624</v>
      </c>
      <c r="T5" s="13">
        <v>839992</v>
      </c>
      <c r="U5" s="13">
        <v>639160</v>
      </c>
      <c r="V5" s="13">
        <v>852472</v>
      </c>
      <c r="W5" s="14">
        <v>66.354628124999991</v>
      </c>
      <c r="X5" s="14">
        <v>68.478524999999991</v>
      </c>
      <c r="Y5" s="14">
        <v>32.10944687500001</v>
      </c>
      <c r="Z5" s="14">
        <v>44.148171875000003</v>
      </c>
      <c r="AA5" s="14">
        <v>43.839812500000001</v>
      </c>
      <c r="AB5" s="15">
        <v>3039.45</v>
      </c>
      <c r="AC5" s="15">
        <v>1517.08</v>
      </c>
      <c r="AD5" s="15">
        <v>9.0839999999999996</v>
      </c>
      <c r="AE5" s="15">
        <v>6.056</v>
      </c>
      <c r="AG5" s="10">
        <f t="shared" ref="AG5:AG39" si="6">IF(OR(ISBLANK(AQ5),ISBLANK(G5)),"·",AQ5*G5/F5/1000000)</f>
        <v>1.7150099999999999</v>
      </c>
      <c r="AH5" s="11">
        <f t="shared" ref="AH5:AH39" si="7">IF(ISBLANK(AQ5),"·",AQ5/D5)</f>
        <v>7.6815944693446984E-3</v>
      </c>
      <c r="AI5" s="11">
        <f t="shared" ref="AI5:AI39" si="8">IF(AL5="","·",AL5/D5)</f>
        <v>4.9672304292866648E-3</v>
      </c>
      <c r="AJ5" s="11">
        <f t="shared" ref="AJ5:AJ39" si="9">IF(AR5="","·",AR5/D5)</f>
        <v>2.757228430977986E-3</v>
      </c>
      <c r="AK5" s="11">
        <f t="shared" ref="AK5:AK39" si="10">IF(ISBLANK(AT5),"·",AT5/D5)</f>
        <v>2.7143640400580332E-3</v>
      </c>
      <c r="AL5" s="52">
        <f t="shared" ref="AL5:AL39" si="11">IF(OR(ISBLANK(AR5),ISBLANK(AS5)),"",AR5+AS5)</f>
        <v>1182928</v>
      </c>
      <c r="AM5" s="11">
        <v>16</v>
      </c>
      <c r="AN5" s="12">
        <v>11863282</v>
      </c>
      <c r="AO5" s="12">
        <v>370727.5625</v>
      </c>
      <c r="AP5" s="12">
        <v>5731.5</v>
      </c>
      <c r="AQ5" s="13">
        <v>1829344</v>
      </c>
      <c r="AR5" s="13">
        <v>656624</v>
      </c>
      <c r="AS5" s="13">
        <v>526304</v>
      </c>
      <c r="AT5" s="13">
        <v>646416</v>
      </c>
      <c r="AU5" s="14">
        <v>62.819237000000001</v>
      </c>
      <c r="AV5" s="14">
        <v>66.184128000000001</v>
      </c>
      <c r="AW5" s="14">
        <v>31.021266000000001</v>
      </c>
      <c r="AX5" s="14">
        <v>43.051869000000003</v>
      </c>
      <c r="AY5" s="14">
        <v>42.415619</v>
      </c>
      <c r="AZ5" s="15">
        <v>3320.01</v>
      </c>
      <c r="BA5" s="15">
        <v>993.75</v>
      </c>
      <c r="BB5" s="15">
        <v>7.21</v>
      </c>
      <c r="BC5" s="15">
        <v>15.318</v>
      </c>
      <c r="BE5" s="50">
        <f t="shared" ref="BE5:BE43" si="12">AI5/K5</f>
        <v>0.79973390158685509</v>
      </c>
      <c r="BF5" s="16">
        <f t="shared" ref="BF5:BF39" si="13">(AP5/AO5) - (R5/Q5)</f>
        <v>-4.3601662578476932E-3</v>
      </c>
      <c r="BG5" s="16">
        <f t="shared" ref="BG5:BG39" si="14">(AL5/AQ5) - (N5/S5)</f>
        <v>1.2253524850561415E-2</v>
      </c>
      <c r="BH5" s="16">
        <f t="array" ref="BH5">AVERAGE(AL5:AL9/AQ5:AQ9) - AVERAGE(N5:N9/S5:S9)</f>
        <v>2.5962707707164134E-2</v>
      </c>
      <c r="BJ5" s="50">
        <f>IF( OR(ISBLANK(N5:N9),ISBLANK(AL5:AL9), ISBLANK(W5:W9),ISBLANK(AU5:AU9)), "·", bdRateExtend( N5:N9,W5:W9, AL5:AL9,AU5:AU9))</f>
        <v>1</v>
      </c>
      <c r="BK5" s="50">
        <f>IF( OR(ISBLANK(N5:N9),ISBLANK(AL5:AL9), ISBLANK(X5:X9),ISBLANK(AV5:AV9)), "·", bdRateExtend( N5:N9,X5:X9, AL5:AL9,AV5:AV9))</f>
        <v>0.16697200394736234</v>
      </c>
      <c r="BL5" s="50">
        <f>IF( OR(ISBLANK(V5:V9),ISBLANK(AT5:AT9), ISBLANK(Y5:Y9),ISBLANK(AW5:AW9)), "·", bdRateExtend( V5:V9,Y5:Y9, AT5:AT9,AW5:AW9))</f>
        <v>0.34474009058164756</v>
      </c>
      <c r="BM5" s="50">
        <f>IF( OR(ISBLANK(V5:V9),ISBLANK(AT5:AT9), ISBLANK(Z5:Z9),ISBLANK(AX5:AX9)), "·", bdRateExtend( V5:V9,Z5:Z9, AT5:AT9,AX5:AX9))</f>
        <v>0.14391160143389992</v>
      </c>
      <c r="BN5" s="50">
        <f>IF( OR(ISBLANK(V5:V9),ISBLANK(AT5:AT9), ISBLANK(AA5:AA9),ISBLANK(AY5:AY9)), "·", bdRateExtend( V5:V9,AA5:AA9, AT5:AT9,AY5:AY9))</f>
        <v>0.22107425564181371</v>
      </c>
      <c r="BP5" s="50">
        <f>IF( OR(ISBLANK(S5:S9),ISBLANK(AQ5:AQ9), ISBLANK(W5:W9),ISBLANK(AU5:AU9)), "·", bdRateExtend( S5:S9,W5:W9, AQ5:AQ9,AU5:AU9))</f>
        <v>1</v>
      </c>
      <c r="BQ5" s="50">
        <f>IF( OR(ISBLANK(S5:S9),ISBLANK(AQ5:AQ9), ISBLANK(X5:X9),ISBLANK(AV5:AV9)), "·", bdRateExtend( S5:S9,X5:X9, AQ5:AQ9,AV5:AV9))</f>
        <v>0.47134399852630904</v>
      </c>
      <c r="BR5" s="50">
        <f>IF( OR(ISBLANK(S5:S9),ISBLANK(AQ5:AQ9), ISBLANK(Y5:Y9),ISBLANK(AW5:AW9)), "·", bdRateExtend( S5:S9,Y5:Y9, AQ5:AQ9,AW5:AW9))</f>
        <v>0.20161616782753766</v>
      </c>
      <c r="BS5" s="50">
        <f>IF( OR(ISBLANK(S5:S9),ISBLANK(AQ5:AQ9), ISBLANK(Z5:Z9),ISBLANK(AX5:AX9)), "·", bdRateExtend( S5:S9,Z5:Z9, AQ5:AQ9,AX5:AX9))</f>
        <v>5.9119870345481607E-2</v>
      </c>
      <c r="BT5" s="50">
        <f>IF( OR(ISBLANK(S5:S9),ISBLANK(AQ5:AQ9), ISBLANK(AA5:AA9),ISBLANK(AY5:AY9)), "·", bdRateExtend( S5:S9,AA5:AA9, AQ5:AQ9,AY5:AY9))</f>
        <v>0.11500937570058389</v>
      </c>
      <c r="BV5" s="53">
        <f>AN5-P5</f>
        <v>-9922557</v>
      </c>
      <c r="BW5" s="53">
        <f t="shared" ref="BW5:CG20" si="15">AO5-Q5</f>
        <v>-310079.90625</v>
      </c>
      <c r="BX5" s="53">
        <f t="shared" si="15"/>
        <v>-7762.3125</v>
      </c>
      <c r="BY5" s="53">
        <f t="shared" si="15"/>
        <v>-502280</v>
      </c>
      <c r="BZ5" s="53">
        <f t="shared" si="15"/>
        <v>-183368</v>
      </c>
      <c r="CA5" s="53">
        <f t="shared" si="15"/>
        <v>-112856</v>
      </c>
      <c r="CB5" s="53">
        <f t="shared" si="15"/>
        <v>-206056</v>
      </c>
      <c r="CC5" s="53">
        <f t="shared" si="15"/>
        <v>-3.5353911249999896</v>
      </c>
      <c r="CD5" s="53">
        <f t="shared" si="15"/>
        <v>-2.2943969999999894</v>
      </c>
      <c r="CE5" s="53">
        <f t="shared" si="15"/>
        <v>-1.0881808750000097</v>
      </c>
      <c r="CF5" s="53">
        <f t="shared" si="15"/>
        <v>-1.0963028749999992</v>
      </c>
      <c r="CG5" s="53">
        <f t="shared" si="15"/>
        <v>-1.4241935000000012</v>
      </c>
      <c r="CJ5" t="s">
        <v>233</v>
      </c>
    </row>
    <row r="6" spans="1:88" outlineLevel="1" x14ac:dyDescent="0.2">
      <c r="A6" s="17"/>
      <c r="B6" s="17" t="s">
        <v>51</v>
      </c>
      <c r="C6" s="18" t="s">
        <v>234</v>
      </c>
      <c r="D6" s="17">
        <v>238146391</v>
      </c>
      <c r="E6" s="18">
        <v>10</v>
      </c>
      <c r="F6" s="18">
        <v>32</v>
      </c>
      <c r="G6" s="18">
        <v>30</v>
      </c>
      <c r="I6" s="19">
        <f t="shared" si="0"/>
        <v>3.4072650000000002</v>
      </c>
      <c r="J6" s="20">
        <f t="shared" si="1"/>
        <v>1.5261268435514523E-2</v>
      </c>
      <c r="K6" s="20">
        <f t="shared" si="2"/>
        <v>7.5753069043989841E-3</v>
      </c>
      <c r="L6" s="20">
        <f t="shared" si="3"/>
        <v>4.8914115183882837E-3</v>
      </c>
      <c r="M6" s="20">
        <f t="shared" si="4"/>
        <v>7.6859615311155394E-3</v>
      </c>
      <c r="N6" s="17">
        <f t="shared" si="5"/>
        <v>1804032</v>
      </c>
      <c r="O6" s="20">
        <v>16</v>
      </c>
      <c r="P6" s="21">
        <v>24191962</v>
      </c>
      <c r="Q6" s="21">
        <v>755998.8125</v>
      </c>
      <c r="R6" s="21">
        <v>19085.96875</v>
      </c>
      <c r="S6" s="22">
        <v>3634416</v>
      </c>
      <c r="T6" s="22">
        <v>1164872</v>
      </c>
      <c r="U6" s="22">
        <v>639160</v>
      </c>
      <c r="V6" s="22">
        <v>1830384</v>
      </c>
      <c r="W6" s="23">
        <v>68.255978124999999</v>
      </c>
      <c r="X6" s="23">
        <v>70.438459375000022</v>
      </c>
      <c r="Y6" s="23">
        <v>34.365984374999996</v>
      </c>
      <c r="Z6" s="23">
        <v>45.499918749999992</v>
      </c>
      <c r="AA6" s="23">
        <v>45.231668749999997</v>
      </c>
      <c r="AB6" s="24">
        <v>3292.79</v>
      </c>
      <c r="AC6" s="24">
        <v>1336.2</v>
      </c>
      <c r="AD6" s="24">
        <v>12.292</v>
      </c>
      <c r="AE6" s="24">
        <v>8.1479999999999997</v>
      </c>
      <c r="AG6" s="19">
        <f t="shared" si="6"/>
        <v>2.5223100000000001</v>
      </c>
      <c r="AH6" s="20">
        <f t="shared" si="7"/>
        <v>1.1297521615601557E-2</v>
      </c>
      <c r="AI6" s="20">
        <f t="shared" si="8"/>
        <v>6.0604067688768797E-3</v>
      </c>
      <c r="AJ6" s="20">
        <f t="shared" si="9"/>
        <v>3.8504047705682008E-3</v>
      </c>
      <c r="AK6" s="20">
        <f t="shared" si="10"/>
        <v>5.2371148467246767E-3</v>
      </c>
      <c r="AL6" s="17">
        <f t="shared" si="11"/>
        <v>1443264</v>
      </c>
      <c r="AM6" s="20">
        <v>16</v>
      </c>
      <c r="AN6" s="21">
        <v>13556018</v>
      </c>
      <c r="AO6" s="21">
        <v>423625.5625</v>
      </c>
      <c r="AP6" s="21">
        <v>8826.125</v>
      </c>
      <c r="AQ6" s="22">
        <v>2690464</v>
      </c>
      <c r="AR6" s="22">
        <v>916960</v>
      </c>
      <c r="AS6" s="22">
        <v>526304</v>
      </c>
      <c r="AT6" s="22">
        <v>1247200</v>
      </c>
      <c r="AU6" s="23">
        <v>64.270771999999994</v>
      </c>
      <c r="AV6" s="23">
        <v>68.430858999999998</v>
      </c>
      <c r="AW6" s="23">
        <v>32.625065999999997</v>
      </c>
      <c r="AX6" s="23">
        <v>44.350099999999998</v>
      </c>
      <c r="AY6" s="23">
        <v>43.839444</v>
      </c>
      <c r="AZ6" s="24">
        <v>3273.35</v>
      </c>
      <c r="BA6" s="24">
        <v>1001.61</v>
      </c>
      <c r="BB6" s="24">
        <v>7.28</v>
      </c>
      <c r="BC6" s="24">
        <v>16.626000000000001</v>
      </c>
      <c r="BE6" s="49">
        <f t="shared" si="12"/>
        <v>0.80002128565346953</v>
      </c>
      <c r="BF6" s="25">
        <f t="shared" si="13"/>
        <v>-4.4112982144917483E-3</v>
      </c>
      <c r="BG6" s="25">
        <f t="shared" si="14"/>
        <v>4.006217939374801E-2</v>
      </c>
      <c r="BH6" s="25"/>
      <c r="BJ6" s="49"/>
      <c r="BK6" s="49"/>
      <c r="BL6" s="49"/>
      <c r="BM6" s="49"/>
      <c r="BN6" s="49"/>
      <c r="BP6" s="49"/>
      <c r="BQ6" s="49"/>
      <c r="BR6" s="49"/>
      <c r="BS6" s="49"/>
      <c r="BT6" s="49"/>
      <c r="BV6" s="53">
        <f t="shared" ref="BV6:CG39" si="16">AN6-P6</f>
        <v>-10635944</v>
      </c>
      <c r="BW6" s="53">
        <f t="shared" si="15"/>
        <v>-332373.25</v>
      </c>
      <c r="BX6" s="53">
        <f t="shared" si="15"/>
        <v>-10259.84375</v>
      </c>
      <c r="BY6" s="53">
        <f t="shared" si="15"/>
        <v>-943952</v>
      </c>
      <c r="BZ6" s="53">
        <f t="shared" si="15"/>
        <v>-247912</v>
      </c>
      <c r="CA6" s="53">
        <f t="shared" si="15"/>
        <v>-112856</v>
      </c>
      <c r="CB6" s="53">
        <f t="shared" si="15"/>
        <v>-583184</v>
      </c>
      <c r="CC6" s="53">
        <f t="shared" si="15"/>
        <v>-3.9852061250000048</v>
      </c>
      <c r="CD6" s="53">
        <f t="shared" si="15"/>
        <v>-2.007600375000024</v>
      </c>
      <c r="CE6" s="53">
        <f t="shared" si="15"/>
        <v>-1.7409183749999997</v>
      </c>
      <c r="CF6" s="53">
        <f t="shared" si="15"/>
        <v>-1.1498187499999943</v>
      </c>
      <c r="CG6" s="53">
        <f t="shared" si="15"/>
        <v>-1.3922247499999969</v>
      </c>
      <c r="CJ6" t="s">
        <v>233</v>
      </c>
    </row>
    <row r="7" spans="1:88" outlineLevel="1" x14ac:dyDescent="0.2">
      <c r="A7" s="52"/>
      <c r="B7" s="52" t="s">
        <v>51</v>
      </c>
      <c r="C7" s="9" t="s">
        <v>235</v>
      </c>
      <c r="D7" s="52">
        <v>238146391</v>
      </c>
      <c r="E7" s="9">
        <v>10</v>
      </c>
      <c r="F7" s="9">
        <v>32</v>
      </c>
      <c r="G7" s="9">
        <v>30</v>
      </c>
      <c r="I7" s="10">
        <f t="shared" si="0"/>
        <v>5.5887525</v>
      </c>
      <c r="J7" s="11">
        <f t="shared" si="1"/>
        <v>2.5032233219944112E-2</v>
      </c>
      <c r="K7" s="11">
        <f t="shared" si="2"/>
        <v>9.522613340800113E-3</v>
      </c>
      <c r="L7" s="11">
        <f t="shared" si="3"/>
        <v>6.8387179547894136E-3</v>
      </c>
      <c r="M7" s="11">
        <f t="shared" si="4"/>
        <v>1.5509619879144001E-2</v>
      </c>
      <c r="N7" s="52">
        <f t="shared" si="5"/>
        <v>2267776</v>
      </c>
      <c r="O7" s="11">
        <v>16</v>
      </c>
      <c r="P7" s="12">
        <v>24808216</v>
      </c>
      <c r="Q7" s="12">
        <v>775256.75</v>
      </c>
      <c r="R7" s="12">
        <v>20954.78125</v>
      </c>
      <c r="S7" s="13">
        <v>5961336</v>
      </c>
      <c r="T7" s="13">
        <v>1628616</v>
      </c>
      <c r="U7" s="13">
        <v>639160</v>
      </c>
      <c r="V7" s="13">
        <v>3693560</v>
      </c>
      <c r="W7" s="14">
        <v>69.683724999999995</v>
      </c>
      <c r="X7" s="14">
        <v>72.129403124999982</v>
      </c>
      <c r="Y7" s="14">
        <v>36.915784375000001</v>
      </c>
      <c r="Z7" s="14">
        <v>46.579393750000023</v>
      </c>
      <c r="AA7" s="14">
        <v>46.454928125000002</v>
      </c>
      <c r="AB7" s="15">
        <v>3251.05</v>
      </c>
      <c r="AC7" s="15">
        <v>1431.85</v>
      </c>
      <c r="AD7" s="15">
        <v>12.404</v>
      </c>
      <c r="AE7" s="15">
        <v>8.6720000000000006</v>
      </c>
      <c r="AG7" s="10">
        <f t="shared" si="6"/>
        <v>4.0332749999999997</v>
      </c>
      <c r="AH7" s="11">
        <f t="shared" si="7"/>
        <v>1.8065190834657661E-2</v>
      </c>
      <c r="AI7" s="11">
        <f t="shared" si="8"/>
        <v>7.5357346061985884E-3</v>
      </c>
      <c r="AJ7" s="11">
        <f t="shared" si="9"/>
        <v>5.3257326078899091E-3</v>
      </c>
      <c r="AK7" s="11">
        <f t="shared" si="10"/>
        <v>1.0529456228459074E-2</v>
      </c>
      <c r="AL7" s="52">
        <f t="shared" si="11"/>
        <v>1794608</v>
      </c>
      <c r="AM7" s="11">
        <v>16</v>
      </c>
      <c r="AN7" s="12">
        <v>14074350</v>
      </c>
      <c r="AO7" s="12">
        <v>439823.4375</v>
      </c>
      <c r="AP7" s="12">
        <v>9963.53125</v>
      </c>
      <c r="AQ7" s="13">
        <v>4302160</v>
      </c>
      <c r="AR7" s="13">
        <v>1268304</v>
      </c>
      <c r="AS7" s="13">
        <v>526304</v>
      </c>
      <c r="AT7" s="13">
        <v>2507552</v>
      </c>
      <c r="AU7" s="14">
        <v>65.177406000000005</v>
      </c>
      <c r="AV7" s="14">
        <v>70.022677999999999</v>
      </c>
      <c r="AW7" s="14">
        <v>34.651052999999997</v>
      </c>
      <c r="AX7" s="14">
        <v>45.594580999999998</v>
      </c>
      <c r="AY7" s="14">
        <v>45.204956000000003</v>
      </c>
      <c r="AZ7" s="15">
        <v>3180</v>
      </c>
      <c r="BA7" s="15">
        <v>992.23199999999997</v>
      </c>
      <c r="BB7" s="15">
        <v>7.0810000000000004</v>
      </c>
      <c r="BC7" s="15">
        <v>14.821999999999999</v>
      </c>
      <c r="BE7" s="50">
        <f t="shared" si="12"/>
        <v>0.79135152678218668</v>
      </c>
      <c r="BF7" s="16">
        <f t="shared" si="13"/>
        <v>-4.375993259803871E-3</v>
      </c>
      <c r="BG7" s="16">
        <f t="shared" si="14"/>
        <v>3.6727102164174519E-2</v>
      </c>
      <c r="BH7" s="16"/>
      <c r="BJ7" s="50"/>
      <c r="BK7" s="50"/>
      <c r="BL7" s="50"/>
      <c r="BM7" s="50"/>
      <c r="BN7" s="50"/>
      <c r="BP7" s="50"/>
      <c r="BQ7" s="50"/>
      <c r="BR7" s="50"/>
      <c r="BS7" s="50"/>
      <c r="BT7" s="50"/>
      <c r="BV7" s="53">
        <f t="shared" si="16"/>
        <v>-10733866</v>
      </c>
      <c r="BW7" s="53">
        <f t="shared" si="15"/>
        <v>-335433.3125</v>
      </c>
      <c r="BX7" s="53">
        <f t="shared" si="15"/>
        <v>-10991.25</v>
      </c>
      <c r="BY7" s="53">
        <f t="shared" si="15"/>
        <v>-1659176</v>
      </c>
      <c r="BZ7" s="53">
        <f t="shared" si="15"/>
        <v>-360312</v>
      </c>
      <c r="CA7" s="53">
        <f t="shared" si="15"/>
        <v>-112856</v>
      </c>
      <c r="CB7" s="53">
        <f t="shared" si="15"/>
        <v>-1186008</v>
      </c>
      <c r="CC7" s="53">
        <f t="shared" si="15"/>
        <v>-4.5063189999999906</v>
      </c>
      <c r="CD7" s="53">
        <f t="shared" si="15"/>
        <v>-2.1067251249999828</v>
      </c>
      <c r="CE7" s="53">
        <f t="shared" si="15"/>
        <v>-2.2647313750000038</v>
      </c>
      <c r="CF7" s="53">
        <f t="shared" si="15"/>
        <v>-0.98481275000002455</v>
      </c>
      <c r="CG7" s="53">
        <f t="shared" si="15"/>
        <v>-1.2499721249999993</v>
      </c>
      <c r="CJ7" t="s">
        <v>233</v>
      </c>
    </row>
    <row r="8" spans="1:88" outlineLevel="1" x14ac:dyDescent="0.2">
      <c r="A8" s="17"/>
      <c r="B8" s="17" t="s">
        <v>51</v>
      </c>
      <c r="C8" s="18" t="s">
        <v>236</v>
      </c>
      <c r="D8" s="17">
        <v>238146391</v>
      </c>
      <c r="E8" s="18">
        <v>10</v>
      </c>
      <c r="F8" s="18">
        <v>32</v>
      </c>
      <c r="G8" s="18">
        <v>30</v>
      </c>
      <c r="I8" s="19">
        <f t="shared" si="0"/>
        <v>9.4696274999999996</v>
      </c>
      <c r="J8" s="20">
        <f t="shared" si="1"/>
        <v>4.2414818707036381E-2</v>
      </c>
      <c r="K8" s="20">
        <f t="shared" si="2"/>
        <v>1.2784640519704538E-2</v>
      </c>
      <c r="L8" s="20">
        <f t="shared" si="3"/>
        <v>1.0100745133693839E-2</v>
      </c>
      <c r="M8" s="20">
        <f t="shared" si="4"/>
        <v>2.9630178187331841E-2</v>
      </c>
      <c r="N8" s="17">
        <f t="shared" si="5"/>
        <v>3044616</v>
      </c>
      <c r="O8" s="20">
        <v>16</v>
      </c>
      <c r="P8" s="21">
        <v>25797809</v>
      </c>
      <c r="Q8" s="21">
        <v>806181.53125</v>
      </c>
      <c r="R8" s="21">
        <v>24199.8125</v>
      </c>
      <c r="S8" s="22">
        <v>10100936</v>
      </c>
      <c r="T8" s="22">
        <v>2405456</v>
      </c>
      <c r="U8" s="22">
        <v>639160</v>
      </c>
      <c r="V8" s="22">
        <v>7056320</v>
      </c>
      <c r="W8" s="23">
        <v>70.836840624999994</v>
      </c>
      <c r="X8" s="23">
        <v>73.406981250000001</v>
      </c>
      <c r="Y8" s="23">
        <v>39.549353125000003</v>
      </c>
      <c r="Z8" s="23">
        <v>47.886118750000001</v>
      </c>
      <c r="AA8" s="23">
        <v>47.950350000000007</v>
      </c>
      <c r="AB8" s="24">
        <v>3307.52</v>
      </c>
      <c r="AC8" s="24">
        <v>1504.02</v>
      </c>
      <c r="AD8" s="24">
        <v>13.576000000000001</v>
      </c>
      <c r="AE8" s="24">
        <v>12.224</v>
      </c>
      <c r="AG8" s="19">
        <f t="shared" si="6"/>
        <v>7.0214850000000002</v>
      </c>
      <c r="AH8" s="20">
        <f t="shared" si="7"/>
        <v>3.1449496121064457E-2</v>
      </c>
      <c r="AI8" s="20">
        <f t="shared" si="8"/>
        <v>1.0154124065646664E-2</v>
      </c>
      <c r="AJ8" s="20">
        <f t="shared" si="9"/>
        <v>7.9441220673379838E-3</v>
      </c>
      <c r="AK8" s="20">
        <f t="shared" si="10"/>
        <v>2.1295372055417795E-2</v>
      </c>
      <c r="AL8" s="17">
        <f t="shared" si="11"/>
        <v>2418168</v>
      </c>
      <c r="AM8" s="20">
        <v>16</v>
      </c>
      <c r="AN8" s="21">
        <v>14794370</v>
      </c>
      <c r="AO8" s="21">
        <v>462324.0625</v>
      </c>
      <c r="AP8" s="21">
        <v>11925.96875</v>
      </c>
      <c r="AQ8" s="22">
        <v>7489584</v>
      </c>
      <c r="AR8" s="22">
        <v>1891864</v>
      </c>
      <c r="AS8" s="22">
        <v>526304</v>
      </c>
      <c r="AT8" s="22">
        <v>5071416</v>
      </c>
      <c r="AU8" s="23">
        <v>65.835316000000006</v>
      </c>
      <c r="AV8" s="23">
        <v>71.153836999999996</v>
      </c>
      <c r="AW8" s="23">
        <v>36.758499999999998</v>
      </c>
      <c r="AX8" s="23">
        <v>47.083005999999997</v>
      </c>
      <c r="AY8" s="23">
        <v>46.846908999999997</v>
      </c>
      <c r="AZ8" s="24">
        <v>3210.72</v>
      </c>
      <c r="BA8" s="24">
        <v>1067.05</v>
      </c>
      <c r="BB8" s="24">
        <v>6.9539999999999997</v>
      </c>
      <c r="BC8" s="24">
        <v>15.387</v>
      </c>
      <c r="BE8" s="49">
        <f t="shared" si="12"/>
        <v>0.79424400318463806</v>
      </c>
      <c r="BF8" s="25">
        <f t="shared" si="13"/>
        <v>-4.2221293068630539E-3</v>
      </c>
      <c r="BG8" s="25">
        <f t="shared" si="14"/>
        <v>2.1451607759950309E-2</v>
      </c>
      <c r="BH8" s="25"/>
      <c r="BJ8" s="49"/>
      <c r="BK8" s="49"/>
      <c r="BL8" s="49"/>
      <c r="BM8" s="49"/>
      <c r="BN8" s="49"/>
      <c r="BP8" s="49"/>
      <c r="BQ8" s="49"/>
      <c r="BR8" s="49"/>
      <c r="BS8" s="49"/>
      <c r="BT8" s="49"/>
      <c r="BV8" s="53">
        <f t="shared" si="16"/>
        <v>-11003439</v>
      </c>
      <c r="BW8" s="53">
        <f t="shared" si="15"/>
        <v>-343857.46875</v>
      </c>
      <c r="BX8" s="53">
        <f t="shared" si="15"/>
        <v>-12273.84375</v>
      </c>
      <c r="BY8" s="53">
        <f t="shared" si="15"/>
        <v>-2611352</v>
      </c>
      <c r="BZ8" s="53">
        <f t="shared" si="15"/>
        <v>-513592</v>
      </c>
      <c r="CA8" s="53">
        <f t="shared" si="15"/>
        <v>-112856</v>
      </c>
      <c r="CB8" s="53">
        <f t="shared" si="15"/>
        <v>-1984904</v>
      </c>
      <c r="CC8" s="53">
        <f t="shared" si="15"/>
        <v>-5.0015246249999876</v>
      </c>
      <c r="CD8" s="53">
        <f t="shared" si="15"/>
        <v>-2.2531442500000054</v>
      </c>
      <c r="CE8" s="53">
        <f t="shared" si="15"/>
        <v>-2.7908531250000053</v>
      </c>
      <c r="CF8" s="53">
        <f t="shared" si="15"/>
        <v>-0.80311275000000393</v>
      </c>
      <c r="CG8" s="53">
        <f t="shared" si="15"/>
        <v>-1.1034410000000108</v>
      </c>
      <c r="CJ8" t="s">
        <v>233</v>
      </c>
    </row>
    <row r="9" spans="1:88" ht="16" outlineLevel="1" thickBot="1" x14ac:dyDescent="0.25">
      <c r="A9" s="52"/>
      <c r="B9" s="26" t="s">
        <v>51</v>
      </c>
      <c r="C9" s="27" t="s">
        <v>237</v>
      </c>
      <c r="D9" s="26">
        <v>238146391</v>
      </c>
      <c r="E9" s="27">
        <v>10</v>
      </c>
      <c r="F9" s="27">
        <v>32</v>
      </c>
      <c r="G9" s="27">
        <v>30</v>
      </c>
      <c r="I9" s="28">
        <f t="shared" si="0"/>
        <v>16.897575</v>
      </c>
      <c r="J9" s="29">
        <f t="shared" si="1"/>
        <v>7.5684875694799009E-2</v>
      </c>
      <c r="K9" s="29">
        <f t="shared" si="2"/>
        <v>2.068986214449918E-2</v>
      </c>
      <c r="L9" s="29">
        <f t="shared" si="3"/>
        <v>1.5547781280464586E-2</v>
      </c>
      <c r="M9" s="29">
        <f t="shared" si="4"/>
        <v>5.4995013550299822E-2</v>
      </c>
      <c r="N9" s="26">
        <f t="shared" si="5"/>
        <v>4927216</v>
      </c>
      <c r="O9" s="29">
        <v>16</v>
      </c>
      <c r="P9" s="30">
        <v>24868389</v>
      </c>
      <c r="Q9" s="30">
        <v>777137.15625</v>
      </c>
      <c r="R9" s="30">
        <v>10635.96875</v>
      </c>
      <c r="S9" s="31">
        <v>18024080</v>
      </c>
      <c r="T9" s="31">
        <v>3702648</v>
      </c>
      <c r="U9" s="31">
        <v>1224568</v>
      </c>
      <c r="V9" s="31">
        <v>13096864</v>
      </c>
      <c r="W9" s="32">
        <v>71.945243750000003</v>
      </c>
      <c r="X9" s="32">
        <v>75.319240624999978</v>
      </c>
      <c r="Y9" s="32">
        <v>42.149681250000008</v>
      </c>
      <c r="Z9" s="32">
        <v>49.421931249999993</v>
      </c>
      <c r="AA9" s="32">
        <v>49.547406250000009</v>
      </c>
      <c r="AB9" s="33">
        <v>3206.12</v>
      </c>
      <c r="AC9" s="33">
        <v>1968.86</v>
      </c>
      <c r="AD9" s="33">
        <v>12.964</v>
      </c>
      <c r="AE9" s="33">
        <v>13.776</v>
      </c>
      <c r="AG9" s="28">
        <f t="shared" si="6"/>
        <v>12.535522500000001</v>
      </c>
      <c r="AH9" s="29">
        <f t="shared" si="7"/>
        <v>5.6147078038230692E-2</v>
      </c>
      <c r="AI9" s="29">
        <f t="shared" si="8"/>
        <v>1.6433555778722676E-2</v>
      </c>
      <c r="AJ9" s="29">
        <f t="shared" si="9"/>
        <v>1.2296470199290151E-2</v>
      </c>
      <c r="AK9" s="29">
        <f t="shared" si="10"/>
        <v>3.971352225950802E-2</v>
      </c>
      <c r="AL9" s="26">
        <f t="shared" si="11"/>
        <v>3913592</v>
      </c>
      <c r="AM9" s="29">
        <v>16</v>
      </c>
      <c r="AN9" s="30">
        <v>14016831</v>
      </c>
      <c r="AO9" s="30">
        <v>438025.96875</v>
      </c>
      <c r="AP9" s="30">
        <v>5621.9375</v>
      </c>
      <c r="AQ9" s="31">
        <v>13371224</v>
      </c>
      <c r="AR9" s="31">
        <v>2928360</v>
      </c>
      <c r="AS9" s="31">
        <v>985232</v>
      </c>
      <c r="AT9" s="31">
        <v>9457632</v>
      </c>
      <c r="AU9" s="32">
        <v>66.140416000000002</v>
      </c>
      <c r="AV9" s="32">
        <v>73.206627999999995</v>
      </c>
      <c r="AW9" s="32">
        <v>38.393411999999998</v>
      </c>
      <c r="AX9" s="32">
        <v>48.667116</v>
      </c>
      <c r="AY9" s="32">
        <v>48.737819000000002</v>
      </c>
      <c r="AZ9" s="33">
        <v>3874.62</v>
      </c>
      <c r="BA9" s="33">
        <v>1606.87</v>
      </c>
      <c r="BB9" s="33">
        <v>8.5540000000000003</v>
      </c>
      <c r="BC9" s="33">
        <v>23.626000000000001</v>
      </c>
      <c r="BE9" s="34">
        <f t="shared" si="12"/>
        <v>0.79428058359933873</v>
      </c>
      <c r="BF9" s="35">
        <f t="shared" si="13"/>
        <v>-8.5137681543757601E-4</v>
      </c>
      <c r="BG9" s="35">
        <f t="shared" si="14"/>
        <v>1.9319124367386253E-2</v>
      </c>
      <c r="BH9" s="35"/>
      <c r="BJ9" s="34"/>
      <c r="BK9" s="34"/>
      <c r="BL9" s="34"/>
      <c r="BM9" s="34"/>
      <c r="BN9" s="34"/>
      <c r="BP9" s="34"/>
      <c r="BQ9" s="34"/>
      <c r="BR9" s="34"/>
      <c r="BS9" s="34"/>
      <c r="BT9" s="34"/>
      <c r="BV9" s="53">
        <f t="shared" si="16"/>
        <v>-10851558</v>
      </c>
      <c r="BW9" s="53">
        <f t="shared" si="15"/>
        <v>-339111.1875</v>
      </c>
      <c r="BX9" s="53">
        <f t="shared" si="15"/>
        <v>-5014.03125</v>
      </c>
      <c r="BY9" s="53">
        <f t="shared" si="15"/>
        <v>-4652856</v>
      </c>
      <c r="BZ9" s="53">
        <f t="shared" si="15"/>
        <v>-774288</v>
      </c>
      <c r="CA9" s="53">
        <f t="shared" si="15"/>
        <v>-239336</v>
      </c>
      <c r="CB9" s="53">
        <f t="shared" si="15"/>
        <v>-3639232</v>
      </c>
      <c r="CC9" s="53">
        <f t="shared" si="15"/>
        <v>-5.8048277500000012</v>
      </c>
      <c r="CD9" s="53">
        <f t="shared" si="15"/>
        <v>-2.1126126249999828</v>
      </c>
      <c r="CE9" s="53">
        <f t="shared" si="15"/>
        <v>-3.7562692500000097</v>
      </c>
      <c r="CF9" s="53">
        <f t="shared" si="15"/>
        <v>-0.75481524999999294</v>
      </c>
      <c r="CG9" s="53">
        <f t="shared" si="15"/>
        <v>-0.80958725000000697</v>
      </c>
      <c r="CJ9" t="s">
        <v>233</v>
      </c>
    </row>
    <row r="10" spans="1:88" x14ac:dyDescent="0.2">
      <c r="A10" s="17"/>
      <c r="B10" s="17" t="s">
        <v>59</v>
      </c>
      <c r="C10" s="18" t="s">
        <v>232</v>
      </c>
      <c r="D10" s="17">
        <v>218121242</v>
      </c>
      <c r="E10" s="18">
        <v>10</v>
      </c>
      <c r="F10" s="18">
        <v>32</v>
      </c>
      <c r="G10" s="18">
        <v>30</v>
      </c>
      <c r="I10" s="19">
        <f t="shared" si="0"/>
        <v>3.2135775</v>
      </c>
      <c r="J10" s="20">
        <f t="shared" si="1"/>
        <v>1.5715186510812183E-2</v>
      </c>
      <c r="K10" s="20">
        <f t="shared" si="2"/>
        <v>8.1856126603203558E-3</v>
      </c>
      <c r="L10" s="20">
        <f t="shared" si="3"/>
        <v>4.2806284772576161E-3</v>
      </c>
      <c r="M10" s="20">
        <f t="shared" si="4"/>
        <v>7.5295738504918283E-3</v>
      </c>
      <c r="N10" s="17">
        <f t="shared" si="5"/>
        <v>1785456</v>
      </c>
      <c r="O10" s="20">
        <v>16</v>
      </c>
      <c r="P10" s="21">
        <v>20666971</v>
      </c>
      <c r="Q10" s="21">
        <v>645842.84375</v>
      </c>
      <c r="R10" s="21">
        <v>18163.46875</v>
      </c>
      <c r="S10" s="22">
        <v>3427816</v>
      </c>
      <c r="T10" s="22">
        <v>933696</v>
      </c>
      <c r="U10" s="22">
        <v>851760</v>
      </c>
      <c r="V10" s="22">
        <v>1642360</v>
      </c>
      <c r="W10" s="23">
        <v>65.904412499999992</v>
      </c>
      <c r="X10" s="23">
        <v>67.82275937499999</v>
      </c>
      <c r="Y10" s="23">
        <v>32.384371874999992</v>
      </c>
      <c r="Z10" s="23">
        <v>39.164465624999991</v>
      </c>
      <c r="AA10" s="23">
        <v>32.081006249999987</v>
      </c>
      <c r="AB10" s="24">
        <v>2952.46</v>
      </c>
      <c r="AC10" s="24">
        <v>1614.9</v>
      </c>
      <c r="AD10" s="24">
        <v>12.76</v>
      </c>
      <c r="AE10" s="24">
        <v>10.472</v>
      </c>
      <c r="AG10" s="19">
        <f t="shared" si="6"/>
        <v>2.4687450000000002</v>
      </c>
      <c r="AH10" s="20">
        <f t="shared" si="7"/>
        <v>1.2072771894449419E-2</v>
      </c>
      <c r="AI10" s="20">
        <f t="shared" si="8"/>
        <v>6.8279090396890368E-3</v>
      </c>
      <c r="AJ10" s="20">
        <f t="shared" si="9"/>
        <v>3.4584068616297352E-3</v>
      </c>
      <c r="AK10" s="20">
        <f t="shared" si="10"/>
        <v>5.2448628547603817E-3</v>
      </c>
      <c r="AL10" s="17">
        <f t="shared" si="11"/>
        <v>1489312</v>
      </c>
      <c r="AM10" s="20">
        <v>16</v>
      </c>
      <c r="AN10" s="21">
        <v>12164388</v>
      </c>
      <c r="AO10" s="21">
        <v>380137.125</v>
      </c>
      <c r="AP10" s="21">
        <v>9071.8125</v>
      </c>
      <c r="AQ10" s="22">
        <v>2633328</v>
      </c>
      <c r="AR10" s="22">
        <v>754352</v>
      </c>
      <c r="AS10" s="22">
        <v>734960</v>
      </c>
      <c r="AT10" s="22">
        <v>1144016</v>
      </c>
      <c r="AU10" s="23">
        <v>62.767225000000003</v>
      </c>
      <c r="AV10" s="23">
        <v>65.885762</v>
      </c>
      <c r="AW10" s="23">
        <v>31.024462</v>
      </c>
      <c r="AX10" s="23">
        <v>38.301212999999997</v>
      </c>
      <c r="AY10" s="23">
        <v>29.679065999999999</v>
      </c>
      <c r="AZ10" s="24">
        <v>3448.16</v>
      </c>
      <c r="BA10" s="24">
        <v>1052.27</v>
      </c>
      <c r="BB10" s="24">
        <v>6.9960000000000004</v>
      </c>
      <c r="BC10" s="24">
        <v>15.436999999999999</v>
      </c>
      <c r="BE10" s="49">
        <f t="shared" si="12"/>
        <v>0.83413536933982124</v>
      </c>
      <c r="BF10" s="25">
        <f t="shared" si="13"/>
        <v>-4.2590873710002808E-3</v>
      </c>
      <c r="BG10" s="25">
        <f t="shared" si="14"/>
        <v>4.4689898798018435E-2</v>
      </c>
      <c r="BH10" s="25">
        <f t="array" ref="BH10">AVERAGE(AL10:AL14/AQ10:AQ14) - AVERAGE(N10:N14/S10:S14)</f>
        <v>4.0141252247539005E-2</v>
      </c>
      <c r="BJ10" s="49">
        <f>IF( OR(ISBLANK(N10:N14),ISBLANK(AL10:AL14), ISBLANK(W10:W14),ISBLANK(AU10:AU14)), "·", bdRateExtend( N10:N14,W10:W14, AL10:AL14,AU10:AU14))</f>
        <v>1.4893660354522624</v>
      </c>
      <c r="BK10" s="49">
        <f>IF( OR(ISBLANK(N10:N14),ISBLANK(AL10:AL14), ISBLANK(X10:X14),ISBLANK(AV10:AV14)), "·", bdRateExtend( N10:N14,X10:X14, AL10:AL14,AV10:AV14))</f>
        <v>0.26974286604798614</v>
      </c>
      <c r="BL10" s="49">
        <f>IF( OR(ISBLANK(V10:V14),ISBLANK(AT10:AT14), ISBLANK(Y10:Y14),ISBLANK(AW10:AW14)), "·", bdRateExtend( V10:V14,Y10:Y14, AT10:AT14,AW10:AW14))</f>
        <v>0.22417312278556922</v>
      </c>
      <c r="BM10" s="49">
        <f>IF( OR(ISBLANK(V10:V14),ISBLANK(AT10:AT14), ISBLANK(Z10:Z14),ISBLANK(AX10:AX14)), "·", bdRateExtend( V10:V14,Z10:Z14, AT10:AT14,AX10:AX14))</f>
        <v>0.18640376382746027</v>
      </c>
      <c r="BN10" s="49">
        <f>IF( OR(ISBLANK(V10:V14),ISBLANK(AT10:AT14), ISBLANK(AA10:AA14),ISBLANK(AY10:AY14)), "·", bdRateExtend( V10:V14,AA10:AA14, AT10:AT14,AY10:AY14))</f>
        <v>1.1498371510444456</v>
      </c>
      <c r="BP10" s="49">
        <f>IF( OR(ISBLANK(S10:S14),ISBLANK(AQ10:AQ14), ISBLANK(W10:W14),ISBLANK(AU10:AU14)), "·", bdRateExtend( S10:S14,W10:W14, AQ10:AQ14,AU10:AU14))</f>
        <v>3.2191603734137955</v>
      </c>
      <c r="BQ10" s="49">
        <f>IF( OR(ISBLANK(S10:S14),ISBLANK(AQ10:AQ14), ISBLANK(X10:X14),ISBLANK(AV10:AV14)), "·", bdRateExtend( S10:S14,X10:X14, AQ10:AQ14,AV10:AV14))</f>
        <v>0.4579065871331276</v>
      </c>
      <c r="BR10" s="49">
        <f>IF( OR(ISBLANK(S10:S14),ISBLANK(AQ10:AQ14), ISBLANK(Y10:Y14),ISBLANK(AW10:AW14)), "·", bdRateExtend( S10:S14,Y10:Y14, AQ10:AQ14,AW10:AW14))</f>
        <v>0.17036715791561297</v>
      </c>
      <c r="BS10" s="49">
        <f>IF( OR(ISBLANK(S10:S14),ISBLANK(AQ10:AQ14), ISBLANK(Z10:Z14),ISBLANK(AX10:AX14)), "·", bdRateExtend( S10:S14,Z10:Z14, AQ10:AQ14,AX10:AX14))</f>
        <v>0.14298312023107185</v>
      </c>
      <c r="BT10" s="49">
        <f>IF( OR(ISBLANK(S10:S14),ISBLANK(AQ10:AQ14), ISBLANK(AA10:AA14),ISBLANK(AY10:AY14)), "·", bdRateExtend( S10:S14,AA10:AA14, AQ10:AQ14,AY10:AY14))</f>
        <v>0.80356340209850563</v>
      </c>
      <c r="BV10" s="53">
        <f t="shared" si="16"/>
        <v>-8502583</v>
      </c>
      <c r="BW10" s="53">
        <f t="shared" si="15"/>
        <v>-265705.71875</v>
      </c>
      <c r="BX10" s="53">
        <f t="shared" si="15"/>
        <v>-9091.65625</v>
      </c>
      <c r="BY10" s="53">
        <f t="shared" si="15"/>
        <v>-794488</v>
      </c>
      <c r="BZ10" s="53">
        <f t="shared" si="15"/>
        <v>-179344</v>
      </c>
      <c r="CA10" s="53">
        <f t="shared" si="15"/>
        <v>-116800</v>
      </c>
      <c r="CB10" s="53">
        <f t="shared" si="15"/>
        <v>-498344</v>
      </c>
      <c r="CC10" s="53">
        <f t="shared" si="15"/>
        <v>-3.1371874999999889</v>
      </c>
      <c r="CD10" s="53">
        <f t="shared" si="15"/>
        <v>-1.93699737499999</v>
      </c>
      <c r="CE10" s="53">
        <f t="shared" si="15"/>
        <v>-1.3599098749999925</v>
      </c>
      <c r="CF10" s="53">
        <f t="shared" si="15"/>
        <v>-0.86325262499999411</v>
      </c>
      <c r="CG10" s="53">
        <f t="shared" si="15"/>
        <v>-2.4019402499999885</v>
      </c>
      <c r="CJ10" t="s">
        <v>238</v>
      </c>
    </row>
    <row r="11" spans="1:88" outlineLevel="1" x14ac:dyDescent="0.2">
      <c r="A11" s="52"/>
      <c r="B11" s="52" t="s">
        <v>59</v>
      </c>
      <c r="C11" s="9" t="s">
        <v>234</v>
      </c>
      <c r="D11" s="52">
        <v>218121242</v>
      </c>
      <c r="E11" s="9">
        <v>10</v>
      </c>
      <c r="F11" s="9">
        <v>32</v>
      </c>
      <c r="G11" s="9">
        <v>30</v>
      </c>
      <c r="I11" s="10">
        <f t="shared" si="0"/>
        <v>4.6348349999999998</v>
      </c>
      <c r="J11" s="11">
        <f t="shared" si="1"/>
        <v>2.2665486197809198E-2</v>
      </c>
      <c r="K11" s="11">
        <f t="shared" si="2"/>
        <v>9.9355385111918621E-3</v>
      </c>
      <c r="L11" s="11">
        <f t="shared" si="3"/>
        <v>6.0305543281291233E-3</v>
      </c>
      <c r="M11" s="11">
        <f t="shared" si="4"/>
        <v>1.2729947686617336E-2</v>
      </c>
      <c r="N11" s="52">
        <f t="shared" si="5"/>
        <v>2167152</v>
      </c>
      <c r="O11" s="11">
        <v>16</v>
      </c>
      <c r="P11" s="12">
        <v>22097663</v>
      </c>
      <c r="Q11" s="12">
        <v>690551.96875</v>
      </c>
      <c r="R11" s="12">
        <v>22957.28125</v>
      </c>
      <c r="S11" s="13">
        <v>4943824</v>
      </c>
      <c r="T11" s="13">
        <v>1315392</v>
      </c>
      <c r="U11" s="13">
        <v>851760</v>
      </c>
      <c r="V11" s="13">
        <v>2776672</v>
      </c>
      <c r="W11" s="14">
        <v>67.607918749999996</v>
      </c>
      <c r="X11" s="14">
        <v>69.699943750000003</v>
      </c>
      <c r="Y11" s="14">
        <v>34.252084375000003</v>
      </c>
      <c r="Z11" s="14">
        <v>40.021503125000002</v>
      </c>
      <c r="AA11" s="14">
        <v>33.864340624999997</v>
      </c>
      <c r="AB11" s="15">
        <v>2650.04</v>
      </c>
      <c r="AC11" s="15">
        <v>1251.0899999999999</v>
      </c>
      <c r="AD11" s="15">
        <v>12.692</v>
      </c>
      <c r="AE11" s="15">
        <v>11.48</v>
      </c>
      <c r="AG11" s="10">
        <f t="shared" si="6"/>
        <v>3.4893749999999999</v>
      </c>
      <c r="AH11" s="11">
        <f t="shared" si="7"/>
        <v>1.7063904303277349E-2</v>
      </c>
      <c r="AI11" s="11">
        <f t="shared" si="8"/>
        <v>8.2551519672714874E-3</v>
      </c>
      <c r="AJ11" s="11">
        <f t="shared" si="9"/>
        <v>4.8856497892121849E-3</v>
      </c>
      <c r="AK11" s="11">
        <f t="shared" si="10"/>
        <v>8.8087523360058616E-3</v>
      </c>
      <c r="AL11" s="52">
        <f t="shared" si="11"/>
        <v>1800624</v>
      </c>
      <c r="AM11" s="11">
        <v>16</v>
      </c>
      <c r="AN11" s="12">
        <v>13278007</v>
      </c>
      <c r="AO11" s="12">
        <v>414937.71875</v>
      </c>
      <c r="AP11" s="12">
        <v>12287.65625</v>
      </c>
      <c r="AQ11" s="13">
        <v>3722000</v>
      </c>
      <c r="AR11" s="13">
        <v>1065664</v>
      </c>
      <c r="AS11" s="13">
        <v>734960</v>
      </c>
      <c r="AT11" s="13">
        <v>1921376</v>
      </c>
      <c r="AU11" s="14">
        <v>64.123941000000002</v>
      </c>
      <c r="AV11" s="14">
        <v>67.633025000000004</v>
      </c>
      <c r="AW11" s="14">
        <v>32.750563</v>
      </c>
      <c r="AX11" s="14">
        <v>39.135016</v>
      </c>
      <c r="AY11" s="14">
        <v>31.184512000000002</v>
      </c>
      <c r="AZ11" s="15">
        <v>3212.89</v>
      </c>
      <c r="BA11" s="15">
        <v>1030.1500000000001</v>
      </c>
      <c r="BB11" s="15">
        <v>6.6609999999999996</v>
      </c>
      <c r="BC11" s="15">
        <v>15.243</v>
      </c>
      <c r="BE11" s="50">
        <f t="shared" si="12"/>
        <v>0.8308711156393277</v>
      </c>
      <c r="BF11" s="16">
        <f t="shared" si="13"/>
        <v>-3.6315732858603275E-3</v>
      </c>
      <c r="BG11" s="16">
        <f t="shared" si="14"/>
        <v>4.5423202938162432E-2</v>
      </c>
      <c r="BH11" s="16"/>
      <c r="BJ11" s="50"/>
      <c r="BK11" s="50"/>
      <c r="BL11" s="50"/>
      <c r="BM11" s="50"/>
      <c r="BN11" s="50"/>
      <c r="BP11" s="50"/>
      <c r="BQ11" s="50"/>
      <c r="BR11" s="50"/>
      <c r="BS11" s="50"/>
      <c r="BT11" s="50"/>
      <c r="BV11" s="53">
        <f t="shared" si="16"/>
        <v>-8819656</v>
      </c>
      <c r="BW11" s="53">
        <f t="shared" si="15"/>
        <v>-275614.25</v>
      </c>
      <c r="BX11" s="53">
        <f t="shared" si="15"/>
        <v>-10669.625</v>
      </c>
      <c r="BY11" s="53">
        <f t="shared" si="15"/>
        <v>-1221824</v>
      </c>
      <c r="BZ11" s="53">
        <f t="shared" si="15"/>
        <v>-249728</v>
      </c>
      <c r="CA11" s="53">
        <f t="shared" si="15"/>
        <v>-116800</v>
      </c>
      <c r="CB11" s="53">
        <f t="shared" si="15"/>
        <v>-855296</v>
      </c>
      <c r="CC11" s="53">
        <f t="shared" si="15"/>
        <v>-3.483977749999994</v>
      </c>
      <c r="CD11" s="53">
        <f t="shared" si="15"/>
        <v>-2.0669187499999992</v>
      </c>
      <c r="CE11" s="53">
        <f t="shared" si="15"/>
        <v>-1.5015213750000029</v>
      </c>
      <c r="CF11" s="53">
        <f t="shared" si="15"/>
        <v>-0.88648712500000215</v>
      </c>
      <c r="CG11" s="53">
        <f t="shared" si="15"/>
        <v>-2.6798286249999954</v>
      </c>
      <c r="CJ11" t="s">
        <v>238</v>
      </c>
    </row>
    <row r="12" spans="1:88" outlineLevel="1" x14ac:dyDescent="0.2">
      <c r="A12" s="17"/>
      <c r="B12" s="17" t="s">
        <v>59</v>
      </c>
      <c r="C12" s="18" t="s">
        <v>235</v>
      </c>
      <c r="D12" s="17">
        <v>218121242</v>
      </c>
      <c r="E12" s="18">
        <v>10</v>
      </c>
      <c r="F12" s="18">
        <v>32</v>
      </c>
      <c r="G12" s="18">
        <v>30</v>
      </c>
      <c r="I12" s="19">
        <f t="shared" si="0"/>
        <v>7.1531174999999996</v>
      </c>
      <c r="J12" s="20">
        <f t="shared" si="1"/>
        <v>3.4980508684248186E-2</v>
      </c>
      <c r="K12" s="20">
        <f t="shared" si="2"/>
        <v>1.2619110246951556E-2</v>
      </c>
      <c r="L12" s="20">
        <f t="shared" si="3"/>
        <v>8.714126063888817E-3</v>
      </c>
      <c r="M12" s="20">
        <f t="shared" si="4"/>
        <v>2.2361398437296631E-2</v>
      </c>
      <c r="N12" s="17">
        <f t="shared" si="5"/>
        <v>2752496</v>
      </c>
      <c r="O12" s="20">
        <v>16</v>
      </c>
      <c r="P12" s="21">
        <v>22510846</v>
      </c>
      <c r="Q12" s="21">
        <v>703463.9375</v>
      </c>
      <c r="R12" s="21">
        <v>24709.6875</v>
      </c>
      <c r="S12" s="22">
        <v>7629992</v>
      </c>
      <c r="T12" s="22">
        <v>1900736</v>
      </c>
      <c r="U12" s="22">
        <v>851760</v>
      </c>
      <c r="V12" s="22">
        <v>4877496</v>
      </c>
      <c r="W12" s="23">
        <v>68.956062500000002</v>
      </c>
      <c r="X12" s="23">
        <v>71.331965624999995</v>
      </c>
      <c r="Y12" s="23">
        <v>36.354259375000012</v>
      </c>
      <c r="Z12" s="23">
        <v>40.927831249999983</v>
      </c>
      <c r="AA12" s="23">
        <v>35.635178125000003</v>
      </c>
      <c r="AB12" s="24">
        <v>2631.95</v>
      </c>
      <c r="AC12" s="24">
        <v>1303.8399999999999</v>
      </c>
      <c r="AD12" s="24">
        <v>13.536</v>
      </c>
      <c r="AE12" s="24">
        <v>11.747999999999999</v>
      </c>
      <c r="AG12" s="19">
        <f t="shared" si="6"/>
        <v>5.2654424999999998</v>
      </c>
      <c r="AH12" s="20">
        <f t="shared" si="7"/>
        <v>2.574931239388413E-2</v>
      </c>
      <c r="AI12" s="20">
        <f t="shared" si="8"/>
        <v>1.0433133330498823E-2</v>
      </c>
      <c r="AJ12" s="20">
        <f t="shared" si="9"/>
        <v>7.0636311524395227E-3</v>
      </c>
      <c r="AK12" s="20">
        <f t="shared" si="10"/>
        <v>1.5316179063385308E-2</v>
      </c>
      <c r="AL12" s="17">
        <f t="shared" si="11"/>
        <v>2275688</v>
      </c>
      <c r="AM12" s="20">
        <v>16</v>
      </c>
      <c r="AN12" s="21">
        <v>13515406</v>
      </c>
      <c r="AO12" s="21">
        <v>422356.4375</v>
      </c>
      <c r="AP12" s="21">
        <v>13067.15625</v>
      </c>
      <c r="AQ12" s="22">
        <v>5616472</v>
      </c>
      <c r="AR12" s="22">
        <v>1540728</v>
      </c>
      <c r="AS12" s="22">
        <v>734960</v>
      </c>
      <c r="AT12" s="22">
        <v>3340784</v>
      </c>
      <c r="AU12" s="23">
        <v>65.037197000000006</v>
      </c>
      <c r="AV12" s="23">
        <v>69.090744000000001</v>
      </c>
      <c r="AW12" s="23">
        <v>34.467100000000002</v>
      </c>
      <c r="AX12" s="23">
        <v>39.984247000000003</v>
      </c>
      <c r="AY12" s="23">
        <v>32.541058999999997</v>
      </c>
      <c r="AZ12" s="24">
        <v>3168.01</v>
      </c>
      <c r="BA12" s="24">
        <v>1034.3399999999999</v>
      </c>
      <c r="BB12" s="24">
        <v>6.6609999999999996</v>
      </c>
      <c r="BC12" s="24">
        <v>16.356000000000002</v>
      </c>
      <c r="BE12" s="49">
        <f t="shared" si="12"/>
        <v>0.82677250030517746</v>
      </c>
      <c r="BF12" s="25">
        <f t="shared" si="13"/>
        <v>-4.1870412798467246E-3</v>
      </c>
      <c r="BG12" s="25">
        <f t="shared" si="14"/>
        <v>4.4434140929283938E-2</v>
      </c>
      <c r="BH12" s="25"/>
      <c r="BJ12" s="49"/>
      <c r="BK12" s="49"/>
      <c r="BL12" s="49"/>
      <c r="BM12" s="49"/>
      <c r="BN12" s="49"/>
      <c r="BP12" s="49"/>
      <c r="BQ12" s="49"/>
      <c r="BR12" s="49"/>
      <c r="BS12" s="49"/>
      <c r="BT12" s="49"/>
      <c r="BV12" s="53">
        <f t="shared" si="16"/>
        <v>-8995440</v>
      </c>
      <c r="BW12" s="53">
        <f t="shared" si="15"/>
        <v>-281107.5</v>
      </c>
      <c r="BX12" s="53">
        <f t="shared" si="15"/>
        <v>-11642.53125</v>
      </c>
      <c r="BY12" s="53">
        <f t="shared" si="15"/>
        <v>-2013520</v>
      </c>
      <c r="BZ12" s="53">
        <f t="shared" si="15"/>
        <v>-360008</v>
      </c>
      <c r="CA12" s="53">
        <f t="shared" si="15"/>
        <v>-116800</v>
      </c>
      <c r="CB12" s="53">
        <f t="shared" si="15"/>
        <v>-1536712</v>
      </c>
      <c r="CC12" s="53">
        <f t="shared" si="15"/>
        <v>-3.9188654999999954</v>
      </c>
      <c r="CD12" s="53">
        <f t="shared" si="15"/>
        <v>-2.2412216249999943</v>
      </c>
      <c r="CE12" s="53">
        <f t="shared" si="15"/>
        <v>-1.8871593750000102</v>
      </c>
      <c r="CF12" s="53">
        <f t="shared" si="15"/>
        <v>-0.94358424999997936</v>
      </c>
      <c r="CG12" s="53">
        <f t="shared" si="15"/>
        <v>-3.094119125000006</v>
      </c>
      <c r="CJ12" t="s">
        <v>238</v>
      </c>
    </row>
    <row r="13" spans="1:88" outlineLevel="1" x14ac:dyDescent="0.2">
      <c r="A13" s="52"/>
      <c r="B13" s="52" t="s">
        <v>59</v>
      </c>
      <c r="C13" s="9" t="s">
        <v>236</v>
      </c>
      <c r="D13" s="52">
        <v>218121242</v>
      </c>
      <c r="E13" s="9">
        <v>10</v>
      </c>
      <c r="F13" s="9">
        <v>32</v>
      </c>
      <c r="G13" s="9">
        <v>30</v>
      </c>
      <c r="I13" s="10">
        <f t="shared" si="0"/>
        <v>12.072022499999999</v>
      </c>
      <c r="J13" s="11">
        <f t="shared" si="1"/>
        <v>5.9035167239695069E-2</v>
      </c>
      <c r="K13" s="11">
        <f t="shared" si="2"/>
        <v>1.730054333726928E-2</v>
      </c>
      <c r="L13" s="11">
        <f t="shared" si="3"/>
        <v>1.3395559154206539E-2</v>
      </c>
      <c r="M13" s="11">
        <f t="shared" si="4"/>
        <v>4.1734623902425792E-2</v>
      </c>
      <c r="N13" s="52">
        <f t="shared" si="5"/>
        <v>3773616</v>
      </c>
      <c r="O13" s="11">
        <v>16</v>
      </c>
      <c r="P13" s="12">
        <v>23291739</v>
      </c>
      <c r="Q13" s="12">
        <v>727866.84375</v>
      </c>
      <c r="R13" s="12">
        <v>28062.03125</v>
      </c>
      <c r="S13" s="13">
        <v>12876824</v>
      </c>
      <c r="T13" s="13">
        <v>2921856</v>
      </c>
      <c r="U13" s="13">
        <v>851760</v>
      </c>
      <c r="V13" s="13">
        <v>9103208</v>
      </c>
      <c r="W13" s="14">
        <v>70.072275000000005</v>
      </c>
      <c r="X13" s="14">
        <v>72.59020624999998</v>
      </c>
      <c r="Y13" s="14">
        <v>38.689725000000003</v>
      </c>
      <c r="Z13" s="14">
        <v>42.113684375000012</v>
      </c>
      <c r="AA13" s="14">
        <v>37.693637500000001</v>
      </c>
      <c r="AB13" s="15">
        <v>2635.56</v>
      </c>
      <c r="AC13" s="15">
        <v>1407.42</v>
      </c>
      <c r="AD13" s="15">
        <v>13.167999999999999</v>
      </c>
      <c r="AE13" s="15">
        <v>13.256</v>
      </c>
      <c r="AG13" s="10">
        <f t="shared" si="6"/>
        <v>8.9015850000000007</v>
      </c>
      <c r="AH13" s="11">
        <f t="shared" si="7"/>
        <v>4.3530945968114375E-2</v>
      </c>
      <c r="AI13" s="11">
        <f t="shared" si="8"/>
        <v>1.4191410114930485E-2</v>
      </c>
      <c r="AJ13" s="11">
        <f t="shared" si="9"/>
        <v>1.0821907936871183E-2</v>
      </c>
      <c r="AK13" s="11">
        <f t="shared" si="10"/>
        <v>2.9339535853183892E-2</v>
      </c>
      <c r="AL13" s="52">
        <f t="shared" si="11"/>
        <v>3095448</v>
      </c>
      <c r="AM13" s="11">
        <v>16</v>
      </c>
      <c r="AN13" s="12">
        <v>14079791</v>
      </c>
      <c r="AO13" s="12">
        <v>439993.46875</v>
      </c>
      <c r="AP13" s="12">
        <v>14914.46875</v>
      </c>
      <c r="AQ13" s="13">
        <v>9495024</v>
      </c>
      <c r="AR13" s="13">
        <v>2360488</v>
      </c>
      <c r="AS13" s="13">
        <v>734960</v>
      </c>
      <c r="AT13" s="13">
        <v>6399576</v>
      </c>
      <c r="AU13" s="14">
        <v>65.729518999999996</v>
      </c>
      <c r="AV13" s="14">
        <v>70.110578000000004</v>
      </c>
      <c r="AW13" s="14">
        <v>36.288066000000001</v>
      </c>
      <c r="AX13" s="14">
        <v>41.117919000000001</v>
      </c>
      <c r="AY13" s="14">
        <v>33.845663000000002</v>
      </c>
      <c r="AZ13" s="15">
        <v>3904.56</v>
      </c>
      <c r="BA13" s="15">
        <v>1530.29</v>
      </c>
      <c r="BB13" s="15">
        <v>8.1709999999999994</v>
      </c>
      <c r="BC13" s="15">
        <v>21.952999999999999</v>
      </c>
      <c r="BE13" s="50">
        <f t="shared" si="12"/>
        <v>0.82028696083544272</v>
      </c>
      <c r="BF13" s="16">
        <f t="shared" si="13"/>
        <v>-4.6567749343189718E-3</v>
      </c>
      <c r="BG13" s="16">
        <f t="shared" si="14"/>
        <v>3.2952519524251211E-2</v>
      </c>
      <c r="BH13" s="16"/>
      <c r="BJ13" s="50"/>
      <c r="BK13" s="50"/>
      <c r="BL13" s="50"/>
      <c r="BM13" s="50"/>
      <c r="BN13" s="50"/>
      <c r="BP13" s="50"/>
      <c r="BQ13" s="50"/>
      <c r="BR13" s="50"/>
      <c r="BS13" s="50"/>
      <c r="BT13" s="50"/>
      <c r="BV13" s="53">
        <f t="shared" si="16"/>
        <v>-9211948</v>
      </c>
      <c r="BW13" s="53">
        <f t="shared" si="15"/>
        <v>-287873.375</v>
      </c>
      <c r="BX13" s="53">
        <f t="shared" si="15"/>
        <v>-13147.5625</v>
      </c>
      <c r="BY13" s="53">
        <f t="shared" si="15"/>
        <v>-3381800</v>
      </c>
      <c r="BZ13" s="53">
        <f t="shared" si="15"/>
        <v>-561368</v>
      </c>
      <c r="CA13" s="53">
        <f t="shared" si="15"/>
        <v>-116800</v>
      </c>
      <c r="CB13" s="53">
        <f t="shared" si="15"/>
        <v>-2703632</v>
      </c>
      <c r="CC13" s="53">
        <f t="shared" si="15"/>
        <v>-4.3427560000000085</v>
      </c>
      <c r="CD13" s="53">
        <f t="shared" si="15"/>
        <v>-2.4796282499999762</v>
      </c>
      <c r="CE13" s="53">
        <f t="shared" si="15"/>
        <v>-2.4016590000000022</v>
      </c>
      <c r="CF13" s="53">
        <f t="shared" si="15"/>
        <v>-0.99576537500001194</v>
      </c>
      <c r="CG13" s="53">
        <f t="shared" si="15"/>
        <v>-3.8479744999999994</v>
      </c>
      <c r="CJ13" t="s">
        <v>238</v>
      </c>
    </row>
    <row r="14" spans="1:88" ht="16" outlineLevel="1" thickBot="1" x14ac:dyDescent="0.25">
      <c r="A14" s="17"/>
      <c r="B14" s="36" t="s">
        <v>59</v>
      </c>
      <c r="C14" s="37" t="s">
        <v>237</v>
      </c>
      <c r="D14" s="36">
        <v>218121242</v>
      </c>
      <c r="E14" s="37">
        <v>10</v>
      </c>
      <c r="F14" s="37">
        <v>32</v>
      </c>
      <c r="G14" s="37">
        <v>30</v>
      </c>
      <c r="I14" s="38">
        <f t="shared" si="0"/>
        <v>21.625042499999999</v>
      </c>
      <c r="J14" s="39">
        <f t="shared" si="1"/>
        <v>0.105751791015384</v>
      </c>
      <c r="K14" s="39">
        <f t="shared" si="2"/>
        <v>2.838032620408424E-2</v>
      </c>
      <c r="L14" s="39">
        <f t="shared" si="3"/>
        <v>2.1154363315059429E-2</v>
      </c>
      <c r="M14" s="39">
        <f t="shared" si="4"/>
        <v>7.7371464811299764E-2</v>
      </c>
      <c r="N14" s="36">
        <f t="shared" si="5"/>
        <v>6190352</v>
      </c>
      <c r="O14" s="39">
        <v>16</v>
      </c>
      <c r="P14" s="40">
        <v>22124056</v>
      </c>
      <c r="Q14" s="40">
        <v>691376.75</v>
      </c>
      <c r="R14" s="40">
        <v>13278.71875</v>
      </c>
      <c r="S14" s="41">
        <v>23066712</v>
      </c>
      <c r="T14" s="41">
        <v>4614216</v>
      </c>
      <c r="U14" s="41">
        <v>1576136</v>
      </c>
      <c r="V14" s="41">
        <v>16876360</v>
      </c>
      <c r="W14" s="42">
        <v>70.923046874999983</v>
      </c>
      <c r="X14" s="42">
        <v>74.675603124999995</v>
      </c>
      <c r="Y14" s="42">
        <v>40.970318750000011</v>
      </c>
      <c r="Z14" s="42">
        <v>43.413924999999999</v>
      </c>
      <c r="AA14" s="42">
        <v>39.478603124999999</v>
      </c>
      <c r="AB14" s="43">
        <v>3302.39</v>
      </c>
      <c r="AC14" s="43">
        <v>1954.01</v>
      </c>
      <c r="AD14" s="43">
        <v>12.644</v>
      </c>
      <c r="AE14" s="43">
        <v>15.167999999999999</v>
      </c>
      <c r="AG14" s="38">
        <f t="shared" si="6"/>
        <v>15.715455</v>
      </c>
      <c r="AH14" s="39">
        <f t="shared" si="7"/>
        <v>7.6852450711792669E-2</v>
      </c>
      <c r="AI14" s="39">
        <f t="shared" si="8"/>
        <v>2.3176688128339191E-2</v>
      </c>
      <c r="AJ14" s="39">
        <f t="shared" si="9"/>
        <v>1.7082316081805549E-2</v>
      </c>
      <c r="AK14" s="39">
        <f t="shared" si="10"/>
        <v>5.3675762583453475E-2</v>
      </c>
      <c r="AL14" s="36">
        <f t="shared" si="11"/>
        <v>5055328</v>
      </c>
      <c r="AM14" s="39">
        <v>16</v>
      </c>
      <c r="AN14" s="40">
        <v>13061028</v>
      </c>
      <c r="AO14" s="40">
        <v>408157.125</v>
      </c>
      <c r="AP14" s="40">
        <v>7350.0625</v>
      </c>
      <c r="AQ14" s="41">
        <v>16763152</v>
      </c>
      <c r="AR14" s="41">
        <v>3726016</v>
      </c>
      <c r="AS14" s="41">
        <v>1329312</v>
      </c>
      <c r="AT14" s="41">
        <v>11707824</v>
      </c>
      <c r="AU14" s="42">
        <v>66.027825000000007</v>
      </c>
      <c r="AV14" s="42">
        <v>73.049828000000005</v>
      </c>
      <c r="AW14" s="42">
        <v>37.638184000000003</v>
      </c>
      <c r="AX14" s="42">
        <v>42.404615999999997</v>
      </c>
      <c r="AY14" s="42">
        <v>34.680753000000003</v>
      </c>
      <c r="AZ14" s="43">
        <v>3965.04</v>
      </c>
      <c r="BA14" s="43">
        <v>1729.55</v>
      </c>
      <c r="BB14" s="43">
        <v>9.0050000000000008</v>
      </c>
      <c r="BC14" s="43">
        <v>26.376000000000001</v>
      </c>
      <c r="BE14" s="44">
        <f t="shared" si="12"/>
        <v>0.81664629087328144</v>
      </c>
      <c r="BF14" s="45">
        <f t="shared" si="13"/>
        <v>-1.1982739638141046E-3</v>
      </c>
      <c r="BG14" s="45">
        <f t="shared" si="14"/>
        <v>3.320649904797901E-2</v>
      </c>
      <c r="BH14" s="45"/>
      <c r="BJ14" s="44"/>
      <c r="BK14" s="44"/>
      <c r="BL14" s="44"/>
      <c r="BM14" s="44"/>
      <c r="BN14" s="44"/>
      <c r="BP14" s="44"/>
      <c r="BQ14" s="44"/>
      <c r="BR14" s="44"/>
      <c r="BS14" s="44"/>
      <c r="BT14" s="44"/>
      <c r="BV14" s="53">
        <f t="shared" si="16"/>
        <v>-9063028</v>
      </c>
      <c r="BW14" s="53">
        <f t="shared" si="15"/>
        <v>-283219.625</v>
      </c>
      <c r="BX14" s="53">
        <f t="shared" si="15"/>
        <v>-5928.65625</v>
      </c>
      <c r="BY14" s="53">
        <f t="shared" si="15"/>
        <v>-6303560</v>
      </c>
      <c r="BZ14" s="53">
        <f t="shared" si="15"/>
        <v>-888200</v>
      </c>
      <c r="CA14" s="53">
        <f t="shared" si="15"/>
        <v>-246824</v>
      </c>
      <c r="CB14" s="53">
        <f t="shared" si="15"/>
        <v>-5168536</v>
      </c>
      <c r="CC14" s="53">
        <f t="shared" si="15"/>
        <v>-4.8952218749999759</v>
      </c>
      <c r="CD14" s="53">
        <f t="shared" si="15"/>
        <v>-1.6257751249999899</v>
      </c>
      <c r="CE14" s="53">
        <f t="shared" si="15"/>
        <v>-3.3321347500000087</v>
      </c>
      <c r="CF14" s="53">
        <f t="shared" si="15"/>
        <v>-1.0093090000000018</v>
      </c>
      <c r="CG14" s="53">
        <f t="shared" si="15"/>
        <v>-4.7978501249999965</v>
      </c>
      <c r="CJ14" t="s">
        <v>238</v>
      </c>
    </row>
    <row r="15" spans="1:88" x14ac:dyDescent="0.2">
      <c r="A15" s="52"/>
      <c r="B15" s="52" t="s">
        <v>64</v>
      </c>
      <c r="C15" s="9" t="s">
        <v>232</v>
      </c>
      <c r="D15" s="52">
        <v>322589704</v>
      </c>
      <c r="E15" s="9">
        <v>10</v>
      </c>
      <c r="F15" s="9">
        <v>32</v>
      </c>
      <c r="G15" s="9">
        <v>30</v>
      </c>
      <c r="I15" s="10">
        <f t="shared" si="0"/>
        <v>4.4315024999999997</v>
      </c>
      <c r="J15" s="11">
        <f t="shared" si="1"/>
        <v>1.4653090106062406E-2</v>
      </c>
      <c r="K15" s="11">
        <f t="shared" si="2"/>
        <v>8.3179096131350792E-3</v>
      </c>
      <c r="L15" s="11">
        <f t="shared" si="3"/>
        <v>4.3923534521734149E-3</v>
      </c>
      <c r="M15" s="11">
        <f t="shared" si="4"/>
        <v>6.3351804929273258E-3</v>
      </c>
      <c r="N15" s="52">
        <f t="shared" si="5"/>
        <v>2683272</v>
      </c>
      <c r="O15" s="11">
        <v>16</v>
      </c>
      <c r="P15" s="12">
        <v>31086837</v>
      </c>
      <c r="Q15" s="12">
        <v>971463.65625</v>
      </c>
      <c r="R15" s="12">
        <v>27944.21875</v>
      </c>
      <c r="S15" s="13">
        <v>4726936</v>
      </c>
      <c r="T15" s="13">
        <v>1416928</v>
      </c>
      <c r="U15" s="13">
        <v>1266344</v>
      </c>
      <c r="V15" s="13">
        <v>2043664</v>
      </c>
      <c r="W15" s="14">
        <v>65.923106250000004</v>
      </c>
      <c r="X15" s="14">
        <v>67.661793750000015</v>
      </c>
      <c r="Y15" s="14">
        <v>29.416059375</v>
      </c>
      <c r="Z15" s="14">
        <v>43.123156250000008</v>
      </c>
      <c r="AA15" s="14">
        <v>43.328384375000013</v>
      </c>
      <c r="AB15" s="15">
        <v>4747.95</v>
      </c>
      <c r="AC15" s="15">
        <v>1447.1</v>
      </c>
      <c r="AD15" s="15">
        <v>14.78</v>
      </c>
      <c r="AE15" s="15">
        <v>11.167999999999999</v>
      </c>
      <c r="AG15" s="10">
        <f t="shared" si="6"/>
        <v>3.7351125000000001</v>
      </c>
      <c r="AH15" s="11">
        <f t="shared" si="7"/>
        <v>1.2350425170420194E-2</v>
      </c>
      <c r="AI15" s="11">
        <f t="shared" si="8"/>
        <v>7.447082068062532E-3</v>
      </c>
      <c r="AJ15" s="11">
        <f t="shared" si="9"/>
        <v>3.9284328801764854E-3</v>
      </c>
      <c r="AK15" s="11">
        <f t="shared" si="10"/>
        <v>4.9033431023576624E-3</v>
      </c>
      <c r="AL15" s="52">
        <f t="shared" si="11"/>
        <v>2402352</v>
      </c>
      <c r="AM15" s="11">
        <v>16</v>
      </c>
      <c r="AN15" s="12">
        <v>22350090</v>
      </c>
      <c r="AO15" s="12">
        <v>698440.3125</v>
      </c>
      <c r="AP15" s="12">
        <v>17992.8125</v>
      </c>
      <c r="AQ15" s="13">
        <v>3984120</v>
      </c>
      <c r="AR15" s="13">
        <v>1267272</v>
      </c>
      <c r="AS15" s="13">
        <v>1135080</v>
      </c>
      <c r="AT15" s="13">
        <v>1581768</v>
      </c>
      <c r="AU15" s="14">
        <v>63.383440999999998</v>
      </c>
      <c r="AV15" s="14">
        <v>65.950563000000002</v>
      </c>
      <c r="AW15" s="14">
        <v>28.205734</v>
      </c>
      <c r="AX15" s="14">
        <v>42.496881000000002</v>
      </c>
      <c r="AY15" s="14">
        <v>42.791030999999997</v>
      </c>
      <c r="AZ15" s="15">
        <v>4642.5600000000004</v>
      </c>
      <c r="BA15" s="15">
        <v>983.02800000000002</v>
      </c>
      <c r="BB15" s="15">
        <v>10.257999999999999</v>
      </c>
      <c r="BC15" s="15">
        <v>14.708</v>
      </c>
      <c r="BE15" s="50">
        <f t="shared" si="12"/>
        <v>0.89530692378558729</v>
      </c>
      <c r="BF15" s="16">
        <f t="shared" si="13"/>
        <v>-3.0036511210618684E-3</v>
      </c>
      <c r="BG15" s="16">
        <f t="shared" si="14"/>
        <v>3.5326172577519244E-2</v>
      </c>
      <c r="BH15" s="16">
        <f t="array" ref="BH15">AVERAGE(AL15:AL19/AQ15:AQ19) - AVERAGE(N15:N19/S15:S19)</f>
        <v>2.4541430319929003E-2</v>
      </c>
      <c r="BJ15" s="50">
        <f>IF( OR(ISBLANK(N15:N19),ISBLANK(AL15:AL19), ISBLANK(W15:W19),ISBLANK(AU15:AU19)), "·", bdRateExtend( N15:N19,W15:W19, AL15:AL19,AU15:AU19))</f>
        <v>0.64126358628972291</v>
      </c>
      <c r="BK15" s="50">
        <f>IF( OR(ISBLANK(N15:N19),ISBLANK(AL15:AL19), ISBLANK(X15:X19),ISBLANK(AV15:AV19)), "·", bdRateExtend( N15:N19,X15:X19, AL15:AL19,AV15:AV19))</f>
        <v>0.39770724283319647</v>
      </c>
      <c r="BL15" s="50">
        <f>IF( OR(ISBLANK(V15:V19),ISBLANK(AT15:AT19), ISBLANK(Y15:Y19),ISBLANK(AW15:AW19)), "·", bdRateExtend( V15:V19,Y15:Y19, AT15:AT19,AW15:AW19))</f>
        <v>0.30571396070880619</v>
      </c>
      <c r="BM15" s="50">
        <f>IF( OR(ISBLANK(V15:V19),ISBLANK(AT15:AT19), ISBLANK(Z15:Z19),ISBLANK(AX15:AX19)), "·", bdRateExtend( V15:V19,Z15:Z19, AT15:AT19,AX15:AX19))</f>
        <v>0.19344000338898049</v>
      </c>
      <c r="BN15" s="50">
        <f>IF( OR(ISBLANK(V15:V19),ISBLANK(AT15:AT19), ISBLANK(AA15:AA19),ISBLANK(AY15:AY19)), "·", bdRateExtend( V15:V19,AA15:AA19, AT15:AT19,AY15:AY19))</f>
        <v>0.13767634878939483</v>
      </c>
      <c r="BP15" s="50">
        <f>IF( OR(ISBLANK(S15:S19),ISBLANK(AQ15:AQ19), ISBLANK(W15:W19),ISBLANK(AU15:AU19)), "·", bdRateExtend( S15:S19,W15:W19, AQ15:AQ19,AU15:AU19))</f>
        <v>1.8692109123096552</v>
      </c>
      <c r="BQ15" s="50">
        <f>IF( OR(ISBLANK(S15:S19),ISBLANK(AQ15:AQ19), ISBLANK(X15:X19),ISBLANK(AV15:AV19)), "·", bdRateExtend( S15:S19,X15:X19, AQ15:AQ19,AV15:AV19))</f>
        <v>0.79718917955186686</v>
      </c>
      <c r="BR15" s="50">
        <f>IF( OR(ISBLANK(S15:S19),ISBLANK(AQ15:AQ19), ISBLANK(Y15:Y19),ISBLANK(AW15:AW19)), "·", bdRateExtend( S15:S19,Y15:Y19, AQ15:AQ19,AW15:AW19))</f>
        <v>0.2219283646934207</v>
      </c>
      <c r="BS15" s="50">
        <f>IF( OR(ISBLANK(S15:S19),ISBLANK(AQ15:AQ19), ISBLANK(Z15:Z19),ISBLANK(AX15:AX19)), "·", bdRateExtend( S15:S19,Z15:Z19, AQ15:AQ19,AX15:AX19))</f>
        <v>0.1359660302624397</v>
      </c>
      <c r="BT15" s="50">
        <f>IF( OR(ISBLANK(S15:S19),ISBLANK(AQ15:AQ19), ISBLANK(AA15:AA19),ISBLANK(AY15:AY19)), "·", bdRateExtend( S15:S19,AA15:AA19, AQ15:AQ19,AY15:AY19))</f>
        <v>9.4257142144650974E-2</v>
      </c>
      <c r="BV15" s="53">
        <f t="shared" si="16"/>
        <v>-8736747</v>
      </c>
      <c r="BW15" s="53">
        <f t="shared" si="15"/>
        <v>-273023.34375</v>
      </c>
      <c r="BX15" s="53">
        <f t="shared" si="15"/>
        <v>-9951.40625</v>
      </c>
      <c r="BY15" s="53">
        <f t="shared" si="15"/>
        <v>-742816</v>
      </c>
      <c r="BZ15" s="53">
        <f t="shared" si="15"/>
        <v>-149656</v>
      </c>
      <c r="CA15" s="53">
        <f t="shared" si="15"/>
        <v>-131264</v>
      </c>
      <c r="CB15" s="53">
        <f t="shared" si="15"/>
        <v>-461896</v>
      </c>
      <c r="CC15" s="53">
        <f t="shared" si="15"/>
        <v>-2.5396652500000059</v>
      </c>
      <c r="CD15" s="53">
        <f t="shared" si="15"/>
        <v>-1.7112307500000128</v>
      </c>
      <c r="CE15" s="53">
        <f t="shared" si="15"/>
        <v>-1.210325375</v>
      </c>
      <c r="CF15" s="53">
        <f t="shared" si="15"/>
        <v>-0.62627525000000617</v>
      </c>
      <c r="CG15" s="53">
        <f t="shared" si="15"/>
        <v>-0.53735337500001634</v>
      </c>
      <c r="CJ15" t="s">
        <v>233</v>
      </c>
    </row>
    <row r="16" spans="1:88" outlineLevel="1" x14ac:dyDescent="0.2">
      <c r="A16" s="17"/>
      <c r="B16" s="17" t="s">
        <v>64</v>
      </c>
      <c r="C16" s="18" t="s">
        <v>234</v>
      </c>
      <c r="D16" s="17">
        <v>322589704</v>
      </c>
      <c r="E16" s="18">
        <v>10</v>
      </c>
      <c r="F16" s="18">
        <v>32</v>
      </c>
      <c r="G16" s="18">
        <v>30</v>
      </c>
      <c r="I16" s="19">
        <f t="shared" si="0"/>
        <v>7.0332074999999996</v>
      </c>
      <c r="J16" s="20">
        <f t="shared" si="1"/>
        <v>2.3255819720768272E-2</v>
      </c>
      <c r="K16" s="20">
        <f t="shared" si="2"/>
        <v>1.0123298913470592E-2</v>
      </c>
      <c r="L16" s="20">
        <f t="shared" si="3"/>
        <v>6.1977427525089267E-3</v>
      </c>
      <c r="M16" s="20">
        <f t="shared" si="4"/>
        <v>1.3132520807297682E-2</v>
      </c>
      <c r="N16" s="17">
        <f t="shared" si="5"/>
        <v>3265672</v>
      </c>
      <c r="O16" s="20">
        <v>16</v>
      </c>
      <c r="P16" s="21">
        <v>33185472</v>
      </c>
      <c r="Q16" s="21">
        <v>1037046</v>
      </c>
      <c r="R16" s="21">
        <v>34748.59375</v>
      </c>
      <c r="S16" s="22">
        <v>7502088</v>
      </c>
      <c r="T16" s="22">
        <v>1999328</v>
      </c>
      <c r="U16" s="22">
        <v>1266344</v>
      </c>
      <c r="V16" s="22">
        <v>4236416</v>
      </c>
      <c r="W16" s="23">
        <v>67.712850000000003</v>
      </c>
      <c r="X16" s="23">
        <v>69.741403124999991</v>
      </c>
      <c r="Y16" s="23">
        <v>31.814990625</v>
      </c>
      <c r="Z16" s="23">
        <v>43.952409375000002</v>
      </c>
      <c r="AA16" s="23">
        <v>44.25296250000001</v>
      </c>
      <c r="AB16" s="24">
        <v>4735.3500000000004</v>
      </c>
      <c r="AC16" s="24">
        <v>1555.22</v>
      </c>
      <c r="AD16" s="24">
        <v>14.336</v>
      </c>
      <c r="AE16" s="24">
        <v>11.076000000000001</v>
      </c>
      <c r="AG16" s="19">
        <f t="shared" si="6"/>
        <v>5.8405050000000003</v>
      </c>
      <c r="AH16" s="20">
        <f t="shared" si="7"/>
        <v>1.9312060870981796E-2</v>
      </c>
      <c r="AI16" s="20">
        <f t="shared" si="8"/>
        <v>9.0542505349147789E-3</v>
      </c>
      <c r="AJ16" s="20">
        <f t="shared" si="9"/>
        <v>5.5356013470287324E-3</v>
      </c>
      <c r="AK16" s="20">
        <f t="shared" si="10"/>
        <v>1.0257810336067019E-2</v>
      </c>
      <c r="AL16" s="17">
        <f t="shared" si="11"/>
        <v>2920808</v>
      </c>
      <c r="AM16" s="20">
        <v>16</v>
      </c>
      <c r="AN16" s="21">
        <v>24108207</v>
      </c>
      <c r="AO16" s="21">
        <v>753381.46875</v>
      </c>
      <c r="AP16" s="21">
        <v>23169.28125</v>
      </c>
      <c r="AQ16" s="22">
        <v>6229872</v>
      </c>
      <c r="AR16" s="22">
        <v>1785728</v>
      </c>
      <c r="AS16" s="22">
        <v>1135080</v>
      </c>
      <c r="AT16" s="22">
        <v>3309064</v>
      </c>
      <c r="AU16" s="23">
        <v>64.890450000000001</v>
      </c>
      <c r="AV16" s="23">
        <v>67.699612000000002</v>
      </c>
      <c r="AW16" s="23">
        <v>30.369997000000001</v>
      </c>
      <c r="AX16" s="23">
        <v>43.269500000000001</v>
      </c>
      <c r="AY16" s="23">
        <v>43.622940999999997</v>
      </c>
      <c r="AZ16" s="24">
        <v>4811.22</v>
      </c>
      <c r="BA16" s="24">
        <v>1052.9000000000001</v>
      </c>
      <c r="BB16" s="24">
        <v>10.87</v>
      </c>
      <c r="BC16" s="24">
        <v>15.99</v>
      </c>
      <c r="BE16" s="49">
        <f t="shared" si="12"/>
        <v>0.894397232790066</v>
      </c>
      <c r="BF16" s="25">
        <f t="shared" si="13"/>
        <v>-2.7535649278824688E-3</v>
      </c>
      <c r="BG16" s="25">
        <f t="shared" si="14"/>
        <v>3.3537421833624681E-2</v>
      </c>
      <c r="BH16" s="25"/>
      <c r="BJ16" s="49"/>
      <c r="BK16" s="49"/>
      <c r="BL16" s="49"/>
      <c r="BM16" s="49"/>
      <c r="BN16" s="49"/>
      <c r="BP16" s="49"/>
      <c r="BQ16" s="49"/>
      <c r="BR16" s="49"/>
      <c r="BS16" s="49"/>
      <c r="BT16" s="49"/>
      <c r="BV16" s="53">
        <f t="shared" si="16"/>
        <v>-9077265</v>
      </c>
      <c r="BW16" s="53">
        <f t="shared" si="15"/>
        <v>-283664.53125</v>
      </c>
      <c r="BX16" s="53">
        <f t="shared" si="15"/>
        <v>-11579.3125</v>
      </c>
      <c r="BY16" s="53">
        <f t="shared" si="15"/>
        <v>-1272216</v>
      </c>
      <c r="BZ16" s="53">
        <f t="shared" si="15"/>
        <v>-213600</v>
      </c>
      <c r="CA16" s="53">
        <f t="shared" si="15"/>
        <v>-131264</v>
      </c>
      <c r="CB16" s="53">
        <f t="shared" si="15"/>
        <v>-927352</v>
      </c>
      <c r="CC16" s="53">
        <f t="shared" si="15"/>
        <v>-2.8224000000000018</v>
      </c>
      <c r="CD16" s="53">
        <f t="shared" si="15"/>
        <v>-2.0417911249999889</v>
      </c>
      <c r="CE16" s="53">
        <f t="shared" si="15"/>
        <v>-1.4449936249999986</v>
      </c>
      <c r="CF16" s="53">
        <f t="shared" si="15"/>
        <v>-0.68290937500000126</v>
      </c>
      <c r="CG16" s="53">
        <f t="shared" si="15"/>
        <v>-0.63002150000001222</v>
      </c>
      <c r="CJ16" t="s">
        <v>233</v>
      </c>
    </row>
    <row r="17" spans="1:88" outlineLevel="1" x14ac:dyDescent="0.2">
      <c r="A17" s="52"/>
      <c r="B17" s="52" t="s">
        <v>64</v>
      </c>
      <c r="C17" s="9" t="s">
        <v>235</v>
      </c>
      <c r="D17" s="52">
        <v>322589704</v>
      </c>
      <c r="E17" s="9">
        <v>10</v>
      </c>
      <c r="F17" s="9">
        <v>32</v>
      </c>
      <c r="G17" s="9">
        <v>30</v>
      </c>
      <c r="I17" s="10">
        <f t="shared" si="0"/>
        <v>11.735175</v>
      </c>
      <c r="J17" s="11">
        <f t="shared" si="1"/>
        <v>3.8803222312389737E-2</v>
      </c>
      <c r="K17" s="11">
        <f t="shared" si="2"/>
        <v>1.2882643024465529E-2</v>
      </c>
      <c r="L17" s="11">
        <f t="shared" si="3"/>
        <v>8.9570868635038652E-3</v>
      </c>
      <c r="M17" s="11">
        <f t="shared" si="4"/>
        <v>2.5920579287924204E-2</v>
      </c>
      <c r="N17" s="52">
        <f t="shared" si="5"/>
        <v>4155808</v>
      </c>
      <c r="O17" s="11">
        <v>16</v>
      </c>
      <c r="P17" s="12">
        <v>33604345</v>
      </c>
      <c r="Q17" s="12">
        <v>1050135.78125</v>
      </c>
      <c r="R17" s="12">
        <v>36572.96875</v>
      </c>
      <c r="S17" s="13">
        <v>12517520</v>
      </c>
      <c r="T17" s="13">
        <v>2889464</v>
      </c>
      <c r="U17" s="13">
        <v>1266344</v>
      </c>
      <c r="V17" s="13">
        <v>8361712</v>
      </c>
      <c r="W17" s="14">
        <v>69.134437500000018</v>
      </c>
      <c r="X17" s="14">
        <v>71.597096875000005</v>
      </c>
      <c r="Y17" s="14">
        <v>34.361643749999999</v>
      </c>
      <c r="Z17" s="14">
        <v>44.79558437499999</v>
      </c>
      <c r="AA17" s="14">
        <v>45.197471874999991</v>
      </c>
      <c r="AB17" s="15">
        <v>4736.49</v>
      </c>
      <c r="AC17" s="15">
        <v>1667.64</v>
      </c>
      <c r="AD17" s="15">
        <v>14.96</v>
      </c>
      <c r="AE17" s="15">
        <v>11.311999999999999</v>
      </c>
      <c r="AG17" s="10">
        <f t="shared" si="6"/>
        <v>9.7633349999999997</v>
      </c>
      <c r="AH17" s="11">
        <f t="shared" si="7"/>
        <v>3.2283187810606628E-2</v>
      </c>
      <c r="AI17" s="11">
        <f t="shared" si="8"/>
        <v>1.1474389771596679E-2</v>
      </c>
      <c r="AJ17" s="11">
        <f t="shared" si="9"/>
        <v>7.9557405837106313E-3</v>
      </c>
      <c r="AK17" s="11">
        <f t="shared" si="10"/>
        <v>2.0808798039009948E-2</v>
      </c>
      <c r="AL17" s="52">
        <f t="shared" si="11"/>
        <v>3701520</v>
      </c>
      <c r="AM17" s="11">
        <v>16</v>
      </c>
      <c r="AN17" s="12">
        <v>24471479</v>
      </c>
      <c r="AO17" s="12">
        <v>764733.71875</v>
      </c>
      <c r="AP17" s="12">
        <v>24276.90625</v>
      </c>
      <c r="AQ17" s="13">
        <v>10414224</v>
      </c>
      <c r="AR17" s="13">
        <v>2566440</v>
      </c>
      <c r="AS17" s="13">
        <v>1135080</v>
      </c>
      <c r="AT17" s="13">
        <v>6712704</v>
      </c>
      <c r="AU17" s="14">
        <v>65.967574999999997</v>
      </c>
      <c r="AV17" s="14">
        <v>69.001802999999995</v>
      </c>
      <c r="AW17" s="14">
        <v>32.677503000000002</v>
      </c>
      <c r="AX17" s="14">
        <v>44.048043999999997</v>
      </c>
      <c r="AY17" s="14">
        <v>44.478977999999998</v>
      </c>
      <c r="AZ17" s="15">
        <v>5086.7</v>
      </c>
      <c r="BA17" s="15">
        <v>1188.49</v>
      </c>
      <c r="BB17" s="15">
        <v>11.000999999999999</v>
      </c>
      <c r="BC17" s="15">
        <v>16.786000000000001</v>
      </c>
      <c r="BE17" s="50">
        <f t="shared" si="12"/>
        <v>0.89068599896819112</v>
      </c>
      <c r="BF17" s="16">
        <f t="shared" si="13"/>
        <v>-3.0813271797616587E-3</v>
      </c>
      <c r="BG17" s="16">
        <f t="shared" si="14"/>
        <v>2.342995697390382E-2</v>
      </c>
      <c r="BH17" s="16"/>
      <c r="BJ17" s="50"/>
      <c r="BK17" s="50"/>
      <c r="BL17" s="50"/>
      <c r="BM17" s="50"/>
      <c r="BN17" s="50"/>
      <c r="BP17" s="50"/>
      <c r="BQ17" s="50"/>
      <c r="BR17" s="50"/>
      <c r="BS17" s="50"/>
      <c r="BT17" s="50"/>
      <c r="BV17" s="53">
        <f t="shared" si="16"/>
        <v>-9132866</v>
      </c>
      <c r="BW17" s="53">
        <f t="shared" si="15"/>
        <v>-285402.0625</v>
      </c>
      <c r="BX17" s="53">
        <f t="shared" si="15"/>
        <v>-12296.0625</v>
      </c>
      <c r="BY17" s="53">
        <f t="shared" si="15"/>
        <v>-2103296</v>
      </c>
      <c r="BZ17" s="53">
        <f t="shared" si="15"/>
        <v>-323024</v>
      </c>
      <c r="CA17" s="53">
        <f t="shared" si="15"/>
        <v>-131264</v>
      </c>
      <c r="CB17" s="53">
        <f t="shared" si="15"/>
        <v>-1649008</v>
      </c>
      <c r="CC17" s="53">
        <f t="shared" si="15"/>
        <v>-3.1668625000000219</v>
      </c>
      <c r="CD17" s="53">
        <f t="shared" si="15"/>
        <v>-2.5952938750000101</v>
      </c>
      <c r="CE17" s="53">
        <f t="shared" si="15"/>
        <v>-1.6841407499999974</v>
      </c>
      <c r="CF17" s="53">
        <f t="shared" si="15"/>
        <v>-0.74754037499999271</v>
      </c>
      <c r="CG17" s="53">
        <f t="shared" si="15"/>
        <v>-0.71849387499999295</v>
      </c>
      <c r="CJ17" t="s">
        <v>233</v>
      </c>
    </row>
    <row r="18" spans="1:88" outlineLevel="1" x14ac:dyDescent="0.2">
      <c r="A18" s="17"/>
      <c r="B18" s="17" t="s">
        <v>64</v>
      </c>
      <c r="C18" s="18" t="s">
        <v>236</v>
      </c>
      <c r="D18" s="17">
        <v>322589704</v>
      </c>
      <c r="E18" s="18">
        <v>10</v>
      </c>
      <c r="F18" s="18">
        <v>32</v>
      </c>
      <c r="G18" s="18">
        <v>30</v>
      </c>
      <c r="I18" s="19">
        <f t="shared" si="0"/>
        <v>20.320822499999998</v>
      </c>
      <c r="J18" s="20">
        <f t="shared" si="1"/>
        <v>6.7192299478969111E-2</v>
      </c>
      <c r="K18" s="20">
        <f t="shared" si="2"/>
        <v>1.7385626169891647E-2</v>
      </c>
      <c r="L18" s="20">
        <f t="shared" si="3"/>
        <v>1.3460070008929981E-2</v>
      </c>
      <c r="M18" s="20">
        <f t="shared" si="4"/>
        <v>4.9806673309077468E-2</v>
      </c>
      <c r="N18" s="17">
        <f t="shared" si="5"/>
        <v>5608424</v>
      </c>
      <c r="O18" s="20">
        <v>16</v>
      </c>
      <c r="P18" s="21">
        <v>34799418</v>
      </c>
      <c r="Q18" s="21">
        <v>1087481.8125</v>
      </c>
      <c r="R18" s="21">
        <v>40860.15625</v>
      </c>
      <c r="S18" s="22">
        <v>21675544</v>
      </c>
      <c r="T18" s="22">
        <v>4342080</v>
      </c>
      <c r="U18" s="22">
        <v>1266344</v>
      </c>
      <c r="V18" s="22">
        <v>16067120</v>
      </c>
      <c r="W18" s="23">
        <v>70.372874999999993</v>
      </c>
      <c r="X18" s="23">
        <v>72.951281249999965</v>
      </c>
      <c r="Y18" s="23">
        <v>37.068993749999997</v>
      </c>
      <c r="Z18" s="23">
        <v>46.119856250000012</v>
      </c>
      <c r="AA18" s="23">
        <v>46.648406250000001</v>
      </c>
      <c r="AB18" s="24">
        <v>4790.8599999999997</v>
      </c>
      <c r="AC18" s="24">
        <v>1890.77</v>
      </c>
      <c r="AD18" s="24">
        <v>15.036</v>
      </c>
      <c r="AE18" s="24">
        <v>12.843999999999999</v>
      </c>
      <c r="AG18" s="19">
        <f t="shared" si="6"/>
        <v>17.09769</v>
      </c>
      <c r="AH18" s="20">
        <f t="shared" si="7"/>
        <v>5.6534773967863522E-2</v>
      </c>
      <c r="AI18" s="20">
        <f t="shared" si="8"/>
        <v>1.5445080665066731E-2</v>
      </c>
      <c r="AJ18" s="20">
        <f t="shared" si="9"/>
        <v>1.1926431477180685E-2</v>
      </c>
      <c r="AK18" s="20">
        <f t="shared" si="10"/>
        <v>4.1089693302796791E-2</v>
      </c>
      <c r="AL18" s="17">
        <f t="shared" si="11"/>
        <v>4982424</v>
      </c>
      <c r="AM18" s="20">
        <v>16</v>
      </c>
      <c r="AN18" s="21">
        <v>25373762</v>
      </c>
      <c r="AO18" s="21">
        <v>792930.0625</v>
      </c>
      <c r="AP18" s="21">
        <v>27283.96875</v>
      </c>
      <c r="AQ18" s="22">
        <v>18237536</v>
      </c>
      <c r="AR18" s="22">
        <v>3847344</v>
      </c>
      <c r="AS18" s="22">
        <v>1135080</v>
      </c>
      <c r="AT18" s="22">
        <v>13255112</v>
      </c>
      <c r="AU18" s="23">
        <v>66.805105999999995</v>
      </c>
      <c r="AV18" s="23">
        <v>69.901015999999998</v>
      </c>
      <c r="AW18" s="23">
        <v>34.884172</v>
      </c>
      <c r="AX18" s="23">
        <v>45.463068999999997</v>
      </c>
      <c r="AY18" s="23">
        <v>46.004047</v>
      </c>
      <c r="AZ18" s="24">
        <v>4601.22</v>
      </c>
      <c r="BA18" s="24">
        <v>1262.79</v>
      </c>
      <c r="BB18" s="24">
        <v>11.42</v>
      </c>
      <c r="BC18" s="24">
        <v>17.478999999999999</v>
      </c>
      <c r="BE18" s="49">
        <f t="shared" si="12"/>
        <v>0.88838219079013991</v>
      </c>
      <c r="BF18" s="25">
        <f t="shared" si="13"/>
        <v>-3.164137637532656E-3</v>
      </c>
      <c r="BG18" s="25">
        <f t="shared" si="14"/>
        <v>1.4451791025955452E-2</v>
      </c>
      <c r="BH18" s="25"/>
      <c r="BJ18" s="49"/>
      <c r="BK18" s="49"/>
      <c r="BL18" s="49"/>
      <c r="BM18" s="49"/>
      <c r="BN18" s="49"/>
      <c r="BP18" s="49"/>
      <c r="BQ18" s="49"/>
      <c r="BR18" s="49"/>
      <c r="BS18" s="49"/>
      <c r="BT18" s="49"/>
      <c r="BV18" s="53">
        <f t="shared" si="16"/>
        <v>-9425656</v>
      </c>
      <c r="BW18" s="53">
        <f t="shared" si="15"/>
        <v>-294551.75</v>
      </c>
      <c r="BX18" s="53">
        <f t="shared" si="15"/>
        <v>-13576.1875</v>
      </c>
      <c r="BY18" s="53">
        <f t="shared" si="15"/>
        <v>-3438008</v>
      </c>
      <c r="BZ18" s="53">
        <f t="shared" si="15"/>
        <v>-494736</v>
      </c>
      <c r="CA18" s="53">
        <f t="shared" si="15"/>
        <v>-131264</v>
      </c>
      <c r="CB18" s="53">
        <f t="shared" si="15"/>
        <v>-2812008</v>
      </c>
      <c r="CC18" s="53">
        <f t="shared" si="15"/>
        <v>-3.5677689999999984</v>
      </c>
      <c r="CD18" s="53">
        <f t="shared" si="15"/>
        <v>-3.050265249999967</v>
      </c>
      <c r="CE18" s="53">
        <f t="shared" si="15"/>
        <v>-2.1848217499999976</v>
      </c>
      <c r="CF18" s="53">
        <f t="shared" si="15"/>
        <v>-0.65678725000001492</v>
      </c>
      <c r="CG18" s="53">
        <f t="shared" si="15"/>
        <v>-0.64435925000000083</v>
      </c>
      <c r="CJ18" t="s">
        <v>233</v>
      </c>
    </row>
    <row r="19" spans="1:88" ht="16" outlineLevel="1" thickBot="1" x14ac:dyDescent="0.25">
      <c r="A19" s="52"/>
      <c r="B19" s="26" t="s">
        <v>64</v>
      </c>
      <c r="C19" s="27" t="s">
        <v>237</v>
      </c>
      <c r="D19" s="26">
        <v>322589704</v>
      </c>
      <c r="E19" s="27">
        <v>10</v>
      </c>
      <c r="F19" s="27">
        <v>32</v>
      </c>
      <c r="G19" s="27">
        <v>30</v>
      </c>
      <c r="I19" s="28">
        <f t="shared" si="0"/>
        <v>35.963302499999998</v>
      </c>
      <c r="J19" s="29">
        <f t="shared" si="1"/>
        <v>0.11891531417258128</v>
      </c>
      <c r="K19" s="29">
        <f t="shared" si="2"/>
        <v>2.7855396153623056E-2</v>
      </c>
      <c r="L19" s="29">
        <f t="shared" si="3"/>
        <v>2.0647974555319349E-2</v>
      </c>
      <c r="M19" s="29">
        <f t="shared" si="4"/>
        <v>9.1059918018958227E-2</v>
      </c>
      <c r="N19" s="26">
        <f t="shared" si="5"/>
        <v>8985864</v>
      </c>
      <c r="O19" s="29">
        <v>16</v>
      </c>
      <c r="P19" s="30">
        <v>33039030</v>
      </c>
      <c r="Q19" s="30">
        <v>1032469.6875</v>
      </c>
      <c r="R19" s="30">
        <v>17754.53125</v>
      </c>
      <c r="S19" s="31">
        <v>38360856</v>
      </c>
      <c r="T19" s="31">
        <v>6660824</v>
      </c>
      <c r="U19" s="31">
        <v>2325040</v>
      </c>
      <c r="V19" s="31">
        <v>29374992</v>
      </c>
      <c r="W19" s="32">
        <v>71.149228125000022</v>
      </c>
      <c r="X19" s="32">
        <v>75.004365625000005</v>
      </c>
      <c r="Y19" s="32">
        <v>39.554531249999997</v>
      </c>
      <c r="Z19" s="32">
        <v>47.858968750000003</v>
      </c>
      <c r="AA19" s="32">
        <v>48.457106250000002</v>
      </c>
      <c r="AB19" s="33">
        <v>4786.74</v>
      </c>
      <c r="AC19" s="33">
        <v>2170.84</v>
      </c>
      <c r="AD19" s="33">
        <v>13.788</v>
      </c>
      <c r="AE19" s="33">
        <v>12.224</v>
      </c>
      <c r="AG19" s="28">
        <f t="shared" si="6"/>
        <v>29.796712500000002</v>
      </c>
      <c r="AH19" s="29">
        <f t="shared" si="7"/>
        <v>9.8525029180720536E-2</v>
      </c>
      <c r="AI19" s="29">
        <f t="shared" si="8"/>
        <v>2.4651698121152681E-2</v>
      </c>
      <c r="AJ19" s="29">
        <f t="shared" si="9"/>
        <v>1.8244054063176175E-2</v>
      </c>
      <c r="AK19" s="29">
        <f t="shared" si="10"/>
        <v>7.3873331059567851E-2</v>
      </c>
      <c r="AL19" s="26">
        <f t="shared" si="11"/>
        <v>7952384</v>
      </c>
      <c r="AM19" s="29">
        <v>16</v>
      </c>
      <c r="AN19" s="30">
        <v>23832229</v>
      </c>
      <c r="AO19" s="30">
        <v>744757.15625</v>
      </c>
      <c r="AP19" s="30">
        <v>12096.09375</v>
      </c>
      <c r="AQ19" s="31">
        <v>31783160</v>
      </c>
      <c r="AR19" s="31">
        <v>5885344</v>
      </c>
      <c r="AS19" s="31">
        <v>2067040</v>
      </c>
      <c r="AT19" s="31">
        <v>23830776</v>
      </c>
      <c r="AU19" s="32">
        <v>67.175853000000004</v>
      </c>
      <c r="AV19" s="32">
        <v>73.592922000000002</v>
      </c>
      <c r="AW19" s="32">
        <v>36.481788000000002</v>
      </c>
      <c r="AX19" s="32">
        <v>47.195577999999998</v>
      </c>
      <c r="AY19" s="32">
        <v>47.850444000000003</v>
      </c>
      <c r="AZ19" s="33">
        <v>5742.9</v>
      </c>
      <c r="BA19" s="33">
        <v>1961.96</v>
      </c>
      <c r="BB19" s="33">
        <v>13.484</v>
      </c>
      <c r="BC19" s="33">
        <v>26.969000000000001</v>
      </c>
      <c r="BE19" s="34">
        <f t="shared" si="12"/>
        <v>0.88498824375708329</v>
      </c>
      <c r="BF19" s="35">
        <f t="shared" si="13"/>
        <v>-9.5451510517743227E-4</v>
      </c>
      <c r="BG19" s="35">
        <f t="shared" si="14"/>
        <v>1.5961809188642012E-2</v>
      </c>
      <c r="BH19" s="35"/>
      <c r="BJ19" s="34"/>
      <c r="BK19" s="34"/>
      <c r="BL19" s="34"/>
      <c r="BM19" s="34"/>
      <c r="BN19" s="34"/>
      <c r="BP19" s="34"/>
      <c r="BQ19" s="34"/>
      <c r="BR19" s="34"/>
      <c r="BS19" s="34"/>
      <c r="BT19" s="34"/>
      <c r="BV19" s="53">
        <f t="shared" si="16"/>
        <v>-9206801</v>
      </c>
      <c r="BW19" s="53">
        <f t="shared" si="15"/>
        <v>-287712.53125</v>
      </c>
      <c r="BX19" s="53">
        <f t="shared" si="15"/>
        <v>-5658.4375</v>
      </c>
      <c r="BY19" s="53">
        <f t="shared" si="15"/>
        <v>-6577696</v>
      </c>
      <c r="BZ19" s="53">
        <f t="shared" si="15"/>
        <v>-775480</v>
      </c>
      <c r="CA19" s="53">
        <f t="shared" si="15"/>
        <v>-258000</v>
      </c>
      <c r="CB19" s="53">
        <f t="shared" si="15"/>
        <v>-5544216</v>
      </c>
      <c r="CC19" s="53">
        <f t="shared" si="15"/>
        <v>-3.9733751250000182</v>
      </c>
      <c r="CD19" s="53">
        <f t="shared" si="15"/>
        <v>-1.411443625000004</v>
      </c>
      <c r="CE19" s="53">
        <f t="shared" si="15"/>
        <v>-3.0727432499999949</v>
      </c>
      <c r="CF19" s="53">
        <f t="shared" si="15"/>
        <v>-0.66339075000000491</v>
      </c>
      <c r="CG19" s="53">
        <f t="shared" si="15"/>
        <v>-0.6066622499999994</v>
      </c>
      <c r="CJ19" t="s">
        <v>233</v>
      </c>
    </row>
    <row r="20" spans="1:88" x14ac:dyDescent="0.2">
      <c r="A20" s="17"/>
      <c r="B20" s="17" t="s">
        <v>70</v>
      </c>
      <c r="C20" s="18" t="s">
        <v>232</v>
      </c>
      <c r="D20" s="17">
        <v>250602891</v>
      </c>
      <c r="E20" s="18">
        <v>10</v>
      </c>
      <c r="F20" s="18">
        <v>32</v>
      </c>
      <c r="G20" s="18">
        <v>50</v>
      </c>
      <c r="I20" s="19">
        <f t="shared" si="0"/>
        <v>5.1864875000000001</v>
      </c>
      <c r="J20" s="20">
        <f t="shared" si="1"/>
        <v>1.3245465711726367E-2</v>
      </c>
      <c r="K20" s="20">
        <f t="shared" si="2"/>
        <v>7.7059286598573197E-3</v>
      </c>
      <c r="L20" s="20">
        <f t="shared" si="3"/>
        <v>3.7835477324960308E-3</v>
      </c>
      <c r="M20" s="20">
        <f t="shared" si="4"/>
        <v>5.5395370518690461E-3</v>
      </c>
      <c r="N20" s="17">
        <f t="shared" si="5"/>
        <v>1931128</v>
      </c>
      <c r="O20" s="20">
        <v>16</v>
      </c>
      <c r="P20" s="21">
        <v>30274532</v>
      </c>
      <c r="Q20" s="21">
        <v>946079.125</v>
      </c>
      <c r="R20" s="21">
        <v>27842.25</v>
      </c>
      <c r="S20" s="22">
        <v>3319352</v>
      </c>
      <c r="T20" s="22">
        <v>948168</v>
      </c>
      <c r="U20" s="22">
        <v>982960</v>
      </c>
      <c r="V20" s="22">
        <v>1388224</v>
      </c>
      <c r="W20" s="23">
        <v>67.105800000000002</v>
      </c>
      <c r="X20" s="23">
        <v>68.817099999999996</v>
      </c>
      <c r="Y20" s="23">
        <v>30.70466875</v>
      </c>
      <c r="Z20" s="23">
        <v>39.516743750000003</v>
      </c>
      <c r="AA20" s="23">
        <v>38.250818749999993</v>
      </c>
      <c r="AB20" s="24">
        <v>4403.7</v>
      </c>
      <c r="AC20" s="24">
        <v>1626.51</v>
      </c>
      <c r="AD20" s="24">
        <v>13.58</v>
      </c>
      <c r="AE20" s="24">
        <v>8.2880000000000003</v>
      </c>
      <c r="AG20" s="19">
        <f t="shared" si="6"/>
        <v>4.841475</v>
      </c>
      <c r="AH20" s="20">
        <f t="shared" si="7"/>
        <v>1.2364358558018391E-2</v>
      </c>
      <c r="AI20" s="20">
        <f t="shared" si="8"/>
        <v>7.1476270399450422E-3</v>
      </c>
      <c r="AJ20" s="20">
        <f t="shared" si="9"/>
        <v>3.4892175286198113E-3</v>
      </c>
      <c r="AK20" s="20">
        <f t="shared" si="10"/>
        <v>5.2167315180733486E-3</v>
      </c>
      <c r="AL20" s="17">
        <f t="shared" si="11"/>
        <v>1791216</v>
      </c>
      <c r="AM20" s="20">
        <v>16</v>
      </c>
      <c r="AN20" s="21">
        <v>23677658</v>
      </c>
      <c r="AO20" s="21">
        <v>739926.8125</v>
      </c>
      <c r="AP20" s="21">
        <v>19746.625</v>
      </c>
      <c r="AQ20" s="22">
        <v>3098544</v>
      </c>
      <c r="AR20" s="22">
        <v>874408</v>
      </c>
      <c r="AS20" s="22">
        <v>916808</v>
      </c>
      <c r="AT20" s="22">
        <v>1307328</v>
      </c>
      <c r="AU20" s="23">
        <v>65.113872000000001</v>
      </c>
      <c r="AV20" s="23">
        <v>68.011583999999999</v>
      </c>
      <c r="AW20" s="23">
        <v>30.408518999999998</v>
      </c>
      <c r="AX20" s="23">
        <v>38.932537000000004</v>
      </c>
      <c r="AY20" s="23">
        <v>37.723708999999999</v>
      </c>
      <c r="AZ20" s="24">
        <v>3812.19</v>
      </c>
      <c r="BA20" s="24">
        <v>1065.56</v>
      </c>
      <c r="BB20" s="24">
        <v>9.4269999999999996</v>
      </c>
      <c r="BC20" s="24">
        <v>15.068</v>
      </c>
      <c r="BE20" s="49">
        <f t="shared" si="12"/>
        <v>0.92754908012311976</v>
      </c>
      <c r="BF20" s="25">
        <f t="shared" si="13"/>
        <v>-2.7418246101256795E-3</v>
      </c>
      <c r="BG20" s="25">
        <f t="shared" si="14"/>
        <v>-3.6954867172778183E-3</v>
      </c>
      <c r="BH20" s="25">
        <f t="array" ref="BH20">AVERAGE(AL20:AL24/AQ20:AQ24) - AVERAGE(N20:N24/S20:S24)</f>
        <v>1.4752101636800741E-3</v>
      </c>
      <c r="BJ20" s="49">
        <f>IF( OR(ISBLANK(N20:N24),ISBLANK(AL20:AL24), ISBLANK(W20:W24),ISBLANK(AU20:AU24)), "·", bdRateExtend( N20:N24,W20:W24, AL20:AL24,AU20:AU24))</f>
        <v>0.56019332202737471</v>
      </c>
      <c r="BK20" s="49">
        <f>IF( OR(ISBLANK(N20:N24),ISBLANK(AL20:AL24), ISBLANK(X20:X24),ISBLANK(AV20:AV24)), "·", bdRateExtend( N20:N24,X20:X24, AL20:AL24,AV20:AV24))</f>
        <v>6.3295376956397309E-2</v>
      </c>
      <c r="BL20" s="49">
        <f>IF( OR(ISBLANK(V20:V24),ISBLANK(AT20:AT24), ISBLANK(Y20:Y24),ISBLANK(AW20:AW24)), "·", bdRateExtend( V20:V24,Y20:Y24, AT20:AT24,AW20:AW24))</f>
        <v>0.16895401496053952</v>
      </c>
      <c r="BM20" s="49">
        <f>IF( OR(ISBLANK(V20:V24),ISBLANK(AT20:AT24), ISBLANK(Z20:Z24),ISBLANK(AX20:AX24)), "·", bdRateExtend( V20:V24,Z20:Z24, AT20:AT24,AX20:AX24))</f>
        <v>0.20227270553731169</v>
      </c>
      <c r="BN20" s="49">
        <f>IF( OR(ISBLANK(V20:V24),ISBLANK(AT20:AT24), ISBLANK(AA20:AA24),ISBLANK(AY20:AY24)), "·", bdRateExtend( V20:V24,AA20:AA24, AT20:AT24,AY20:AY24))</f>
        <v>0.28594455230252924</v>
      </c>
      <c r="BP20" s="49">
        <f>IF( OR(ISBLANK(S20:S24),ISBLANK(AQ20:AQ24), ISBLANK(W20:W24),ISBLANK(AU20:AU24)), "·", bdRateExtend( S20:S24,W20:W24, AQ20:AQ24,AU20:AU24))</f>
        <v>1.7617133015683808</v>
      </c>
      <c r="BQ20" s="49">
        <f>IF( OR(ISBLANK(S20:S24),ISBLANK(AQ20:AQ24), ISBLANK(X20:X24),ISBLANK(AV20:AV24)), "·", bdRateExtend( S20:S24,X20:X24, AQ20:AQ24,AV20:AV24))</f>
        <v>0.17446323311136114</v>
      </c>
      <c r="BR20" s="49">
        <f>IF( OR(ISBLANK(S20:S24),ISBLANK(AQ20:AQ24), ISBLANK(Y20:Y24),ISBLANK(AW20:AW24)), "·", bdRateExtend( S20:S24,Y20:Y24, AQ20:AQ24,AW20:AW24))</f>
        <v>0.11230605049064968</v>
      </c>
      <c r="BS20" s="49">
        <f>IF( OR(ISBLANK(S20:S24),ISBLANK(AQ20:AQ24), ISBLANK(Z20:Z24),ISBLANK(AX20:AX24)), "·", bdRateExtend( S20:S24,Z20:Z24, AQ20:AQ24,AX20:AX24))</f>
        <v>0.13051624735101908</v>
      </c>
      <c r="BT20" s="49">
        <f>IF( OR(ISBLANK(S20:S24),ISBLANK(AQ20:AQ24), ISBLANK(AA20:AA24),ISBLANK(AY20:AY24)), "·", bdRateExtend( S20:S24,AA20:AA24, AQ20:AQ24,AY20:AY24))</f>
        <v>0.18848408993929655</v>
      </c>
      <c r="BV20" s="53">
        <f t="shared" si="16"/>
        <v>-6596874</v>
      </c>
      <c r="BW20" s="53">
        <f t="shared" si="15"/>
        <v>-206152.3125</v>
      </c>
      <c r="BX20" s="53">
        <f t="shared" si="15"/>
        <v>-8095.625</v>
      </c>
      <c r="BY20" s="53">
        <f t="shared" si="15"/>
        <v>-220808</v>
      </c>
      <c r="BZ20" s="53">
        <f t="shared" si="15"/>
        <v>-73760</v>
      </c>
      <c r="CA20" s="53">
        <f t="shared" si="15"/>
        <v>-66152</v>
      </c>
      <c r="CB20" s="53">
        <f t="shared" si="15"/>
        <v>-80896</v>
      </c>
      <c r="CC20" s="53">
        <f t="shared" si="15"/>
        <v>-1.9919280000000015</v>
      </c>
      <c r="CD20" s="53">
        <f t="shared" si="15"/>
        <v>-0.80551599999999723</v>
      </c>
      <c r="CE20" s="53">
        <f t="shared" si="15"/>
        <v>-0.29614975000000143</v>
      </c>
      <c r="CF20" s="53">
        <f t="shared" si="15"/>
        <v>-0.58420674999999989</v>
      </c>
      <c r="CG20" s="53">
        <f t="shared" si="15"/>
        <v>-0.52710974999999394</v>
      </c>
      <c r="CJ20" t="s">
        <v>239</v>
      </c>
    </row>
    <row r="21" spans="1:88" outlineLevel="1" x14ac:dyDescent="0.2">
      <c r="A21" s="52"/>
      <c r="B21" s="52" t="s">
        <v>70</v>
      </c>
      <c r="C21" s="9" t="s">
        <v>234</v>
      </c>
      <c r="D21" s="52">
        <v>250602891</v>
      </c>
      <c r="E21" s="9">
        <v>10</v>
      </c>
      <c r="F21" s="9">
        <v>32</v>
      </c>
      <c r="G21" s="9">
        <v>50</v>
      </c>
      <c r="I21" s="10">
        <f t="shared" si="0"/>
        <v>7.7664</v>
      </c>
      <c r="J21" s="11">
        <f t="shared" si="1"/>
        <v>1.9834152671447034E-2</v>
      </c>
      <c r="K21" s="11">
        <f t="shared" si="2"/>
        <v>9.149295887412567E-3</v>
      </c>
      <c r="L21" s="11">
        <f t="shared" si="3"/>
        <v>5.226914960051279E-3</v>
      </c>
      <c r="M21" s="11">
        <f t="shared" si="4"/>
        <v>1.0684856784034467E-2</v>
      </c>
      <c r="N21" s="52">
        <f t="shared" si="5"/>
        <v>2292840</v>
      </c>
      <c r="O21" s="11">
        <v>16</v>
      </c>
      <c r="P21" s="12">
        <v>31505484</v>
      </c>
      <c r="Q21" s="12">
        <v>984546.375</v>
      </c>
      <c r="R21" s="12">
        <v>33029.375</v>
      </c>
      <c r="S21" s="13">
        <v>4970496</v>
      </c>
      <c r="T21" s="13">
        <v>1309880</v>
      </c>
      <c r="U21" s="13">
        <v>982960</v>
      </c>
      <c r="V21" s="13">
        <v>2677656</v>
      </c>
      <c r="W21" s="14">
        <v>68.686528125000009</v>
      </c>
      <c r="X21" s="14">
        <v>70.761815624999997</v>
      </c>
      <c r="Y21" s="14">
        <v>32.563856249999994</v>
      </c>
      <c r="Z21" s="14">
        <v>40.66340000000001</v>
      </c>
      <c r="AA21" s="14">
        <v>39.598671875000001</v>
      </c>
      <c r="AB21" s="15">
        <v>4437.8900000000003</v>
      </c>
      <c r="AC21" s="15">
        <v>1723.13</v>
      </c>
      <c r="AD21" s="15">
        <v>13.96</v>
      </c>
      <c r="AE21" s="15">
        <v>11.3</v>
      </c>
      <c r="AG21" s="10">
        <f t="shared" si="6"/>
        <v>7.1777749999999996</v>
      </c>
      <c r="AH21" s="11">
        <f t="shared" si="7"/>
        <v>1.833089786661719E-2</v>
      </c>
      <c r="AI21" s="11">
        <f t="shared" si="8"/>
        <v>8.4651537399861847E-3</v>
      </c>
      <c r="AJ21" s="11">
        <f t="shared" si="9"/>
        <v>4.8067442286609538E-3</v>
      </c>
      <c r="AK21" s="11">
        <f t="shared" si="10"/>
        <v>9.8657441266310052E-3</v>
      </c>
      <c r="AL21" s="52">
        <f t="shared" si="11"/>
        <v>2121392</v>
      </c>
      <c r="AM21" s="11">
        <v>16</v>
      </c>
      <c r="AN21" s="12">
        <v>24883853</v>
      </c>
      <c r="AO21" s="12">
        <v>777620.40625</v>
      </c>
      <c r="AP21" s="12">
        <v>23609.6875</v>
      </c>
      <c r="AQ21" s="13">
        <v>4593776</v>
      </c>
      <c r="AR21" s="13">
        <v>1204584</v>
      </c>
      <c r="AS21" s="13">
        <v>916808</v>
      </c>
      <c r="AT21" s="13">
        <v>2472384</v>
      </c>
      <c r="AU21" s="14">
        <v>66.388869</v>
      </c>
      <c r="AV21" s="14">
        <v>69.961100000000002</v>
      </c>
      <c r="AW21" s="14">
        <v>32.064441000000002</v>
      </c>
      <c r="AX21" s="14">
        <v>40.159494000000002</v>
      </c>
      <c r="AY21" s="14">
        <v>39.018827999999999</v>
      </c>
      <c r="AZ21" s="15">
        <v>4115.74</v>
      </c>
      <c r="BA21" s="15">
        <v>1151.8399999999999</v>
      </c>
      <c r="BB21" s="15">
        <v>10.367000000000001</v>
      </c>
      <c r="BC21" s="15">
        <v>16.588000000000001</v>
      </c>
      <c r="BE21" s="50">
        <f t="shared" si="12"/>
        <v>0.92522461227124453</v>
      </c>
      <c r="BF21" s="16">
        <f t="shared" si="13"/>
        <v>-3.186354599919318E-3</v>
      </c>
      <c r="BG21" s="16">
        <f t="shared" si="14"/>
        <v>5.0702542592490074E-4</v>
      </c>
      <c r="BH21" s="16"/>
      <c r="BJ21" s="50"/>
      <c r="BK21" s="50"/>
      <c r="BL21" s="50"/>
      <c r="BM21" s="50"/>
      <c r="BN21" s="50"/>
      <c r="BP21" s="50"/>
      <c r="BQ21" s="50"/>
      <c r="BR21" s="50"/>
      <c r="BS21" s="50"/>
      <c r="BT21" s="50"/>
      <c r="BV21" s="53">
        <f t="shared" si="16"/>
        <v>-6621631</v>
      </c>
      <c r="BW21" s="53">
        <f t="shared" si="16"/>
        <v>-206925.96875</v>
      </c>
      <c r="BX21" s="53">
        <f t="shared" si="16"/>
        <v>-9419.6875</v>
      </c>
      <c r="BY21" s="53">
        <f t="shared" si="16"/>
        <v>-376720</v>
      </c>
      <c r="BZ21" s="53">
        <f t="shared" si="16"/>
        <v>-105296</v>
      </c>
      <c r="CA21" s="53">
        <f t="shared" si="16"/>
        <v>-66152</v>
      </c>
      <c r="CB21" s="53">
        <f t="shared" si="16"/>
        <v>-205272</v>
      </c>
      <c r="CC21" s="53">
        <f t="shared" si="16"/>
        <v>-2.2976591250000098</v>
      </c>
      <c r="CD21" s="53">
        <f t="shared" si="16"/>
        <v>-0.80071562499999516</v>
      </c>
      <c r="CE21" s="53">
        <f t="shared" si="16"/>
        <v>-0.49941524999999132</v>
      </c>
      <c r="CF21" s="53">
        <f t="shared" si="16"/>
        <v>-0.50390600000000774</v>
      </c>
      <c r="CG21" s="53">
        <f t="shared" si="16"/>
        <v>-0.57984387500000167</v>
      </c>
      <c r="CJ21" t="s">
        <v>239</v>
      </c>
    </row>
    <row r="22" spans="1:88" outlineLevel="1" x14ac:dyDescent="0.2">
      <c r="A22" s="17"/>
      <c r="B22" s="17" t="s">
        <v>70</v>
      </c>
      <c r="C22" s="18" t="s">
        <v>235</v>
      </c>
      <c r="D22" s="17">
        <v>250602891</v>
      </c>
      <c r="E22" s="18">
        <v>10</v>
      </c>
      <c r="F22" s="18">
        <v>32</v>
      </c>
      <c r="G22" s="18">
        <v>50</v>
      </c>
      <c r="I22" s="19">
        <f t="shared" si="0"/>
        <v>12.712025000000001</v>
      </c>
      <c r="J22" s="20">
        <f t="shared" si="1"/>
        <v>3.2464493795484585E-2</v>
      </c>
      <c r="K22" s="20">
        <f t="shared" si="2"/>
        <v>1.1394345805851058E-2</v>
      </c>
      <c r="L22" s="20">
        <f t="shared" si="3"/>
        <v>7.4719648784897699E-3</v>
      </c>
      <c r="M22" s="20">
        <f t="shared" si="4"/>
        <v>2.1070147989633529E-2</v>
      </c>
      <c r="N22" s="17">
        <f t="shared" si="5"/>
        <v>2855456</v>
      </c>
      <c r="O22" s="20">
        <v>16</v>
      </c>
      <c r="P22" s="21">
        <v>32735750</v>
      </c>
      <c r="Q22" s="21">
        <v>1022992.1875</v>
      </c>
      <c r="R22" s="21">
        <v>35066.4375</v>
      </c>
      <c r="S22" s="22">
        <v>8135696</v>
      </c>
      <c r="T22" s="22">
        <v>1872496</v>
      </c>
      <c r="U22" s="22">
        <v>982960</v>
      </c>
      <c r="V22" s="22">
        <v>5280240</v>
      </c>
      <c r="W22" s="23">
        <v>69.861821875000004</v>
      </c>
      <c r="X22" s="23">
        <v>72.258756250000005</v>
      </c>
      <c r="Y22" s="23">
        <v>34.406353125000003</v>
      </c>
      <c r="Z22" s="23">
        <v>41.679393750000003</v>
      </c>
      <c r="AA22" s="23">
        <v>40.627628125000001</v>
      </c>
      <c r="AB22" s="24">
        <v>4512.8</v>
      </c>
      <c r="AC22" s="24">
        <v>1818.14</v>
      </c>
      <c r="AD22" s="24">
        <v>13.875999999999999</v>
      </c>
      <c r="AE22" s="24">
        <v>11.776</v>
      </c>
      <c r="AG22" s="19">
        <f t="shared" si="6"/>
        <v>11.683875</v>
      </c>
      <c r="AH22" s="20">
        <f t="shared" si="7"/>
        <v>2.9838761915958901E-2</v>
      </c>
      <c r="AI22" s="20">
        <f t="shared" si="8"/>
        <v>1.0536542453534584E-2</v>
      </c>
      <c r="AJ22" s="20">
        <f t="shared" si="9"/>
        <v>6.8781329422093534E-3</v>
      </c>
      <c r="AK22" s="20">
        <f t="shared" si="10"/>
        <v>1.9302219462424317E-2</v>
      </c>
      <c r="AL22" s="17">
        <f t="shared" si="11"/>
        <v>2640488</v>
      </c>
      <c r="AM22" s="20">
        <v>16</v>
      </c>
      <c r="AN22" s="21">
        <v>25783772</v>
      </c>
      <c r="AO22" s="21">
        <v>805742.875</v>
      </c>
      <c r="AP22" s="21">
        <v>24983.53125</v>
      </c>
      <c r="AQ22" s="22">
        <v>7477680</v>
      </c>
      <c r="AR22" s="22">
        <v>1723680</v>
      </c>
      <c r="AS22" s="22">
        <v>916808</v>
      </c>
      <c r="AT22" s="22">
        <v>4837192</v>
      </c>
      <c r="AU22" s="23">
        <v>67.299127999999996</v>
      </c>
      <c r="AV22" s="23">
        <v>71.530938000000006</v>
      </c>
      <c r="AW22" s="23">
        <v>33.782594000000003</v>
      </c>
      <c r="AX22" s="23">
        <v>41.278866000000001</v>
      </c>
      <c r="AY22" s="23">
        <v>40.122497000000003</v>
      </c>
      <c r="AZ22" s="24">
        <v>5596.71</v>
      </c>
      <c r="BA22" s="24">
        <v>1675.17</v>
      </c>
      <c r="BB22" s="24">
        <v>13.537000000000001</v>
      </c>
      <c r="BC22" s="24">
        <v>23.484000000000002</v>
      </c>
      <c r="BE22" s="49">
        <f t="shared" si="12"/>
        <v>0.92471675277083598</v>
      </c>
      <c r="BF22" s="25">
        <f t="shared" si="13"/>
        <v>-3.2714756640998925E-3</v>
      </c>
      <c r="BG22" s="25">
        <f t="shared" si="14"/>
        <v>2.1372404007913293E-3</v>
      </c>
      <c r="BH22" s="25"/>
      <c r="BJ22" s="49"/>
      <c r="BK22" s="49"/>
      <c r="BL22" s="49"/>
      <c r="BM22" s="49"/>
      <c r="BN22" s="49"/>
      <c r="BP22" s="49"/>
      <c r="BQ22" s="49"/>
      <c r="BR22" s="49"/>
      <c r="BS22" s="49"/>
      <c r="BT22" s="49"/>
      <c r="BV22" s="53">
        <f t="shared" si="16"/>
        <v>-6951978</v>
      </c>
      <c r="BW22" s="53">
        <f t="shared" si="16"/>
        <v>-217249.3125</v>
      </c>
      <c r="BX22" s="53">
        <f t="shared" si="16"/>
        <v>-10082.90625</v>
      </c>
      <c r="BY22" s="53">
        <f t="shared" si="16"/>
        <v>-658016</v>
      </c>
      <c r="BZ22" s="53">
        <f t="shared" si="16"/>
        <v>-148816</v>
      </c>
      <c r="CA22" s="53">
        <f t="shared" si="16"/>
        <v>-66152</v>
      </c>
      <c r="CB22" s="53">
        <f t="shared" si="16"/>
        <v>-443048</v>
      </c>
      <c r="CC22" s="53">
        <f t="shared" si="16"/>
        <v>-2.5626938750000079</v>
      </c>
      <c r="CD22" s="53">
        <f t="shared" si="16"/>
        <v>-0.72781824999999856</v>
      </c>
      <c r="CE22" s="53">
        <f t="shared" si="16"/>
        <v>-0.62375912499999941</v>
      </c>
      <c r="CF22" s="53">
        <f t="shared" si="16"/>
        <v>-0.40052775000000196</v>
      </c>
      <c r="CG22" s="53">
        <f t="shared" si="16"/>
        <v>-0.50513112499999835</v>
      </c>
      <c r="CJ22" t="s">
        <v>239</v>
      </c>
    </row>
    <row r="23" spans="1:88" outlineLevel="1" x14ac:dyDescent="0.2">
      <c r="A23" s="52"/>
      <c r="B23" s="52" t="s">
        <v>70</v>
      </c>
      <c r="C23" s="9" t="s">
        <v>236</v>
      </c>
      <c r="D23" s="52">
        <v>250602891</v>
      </c>
      <c r="E23" s="9">
        <v>10</v>
      </c>
      <c r="F23" s="9">
        <v>32</v>
      </c>
      <c r="G23" s="9">
        <v>50</v>
      </c>
      <c r="I23" s="10">
        <f t="shared" si="0"/>
        <v>22.567150000000002</v>
      </c>
      <c r="J23" s="11">
        <f t="shared" si="1"/>
        <v>5.7632918528461828E-2</v>
      </c>
      <c r="K23" s="11">
        <f t="shared" si="2"/>
        <v>1.532240902999E-2</v>
      </c>
      <c r="L23" s="11">
        <f t="shared" si="3"/>
        <v>1.1400028102628712E-2</v>
      </c>
      <c r="M23" s="11">
        <f t="shared" si="4"/>
        <v>4.2310509498471829E-2</v>
      </c>
      <c r="N23" s="52">
        <f t="shared" si="5"/>
        <v>3839840</v>
      </c>
      <c r="O23" s="11">
        <v>16</v>
      </c>
      <c r="P23" s="12">
        <v>32798890</v>
      </c>
      <c r="Q23" s="12">
        <v>1024965.3125</v>
      </c>
      <c r="R23" s="12">
        <v>36962.65625</v>
      </c>
      <c r="S23" s="13">
        <v>14442976</v>
      </c>
      <c r="T23" s="13">
        <v>2856880</v>
      </c>
      <c r="U23" s="13">
        <v>982960</v>
      </c>
      <c r="V23" s="13">
        <v>10603136</v>
      </c>
      <c r="W23" s="14">
        <v>70.888134374999979</v>
      </c>
      <c r="X23" s="14">
        <v>73.610840625000023</v>
      </c>
      <c r="Y23" s="14">
        <v>35.937868749999993</v>
      </c>
      <c r="Z23" s="14">
        <v>42.840609375000007</v>
      </c>
      <c r="AA23" s="14">
        <v>41.690131250000007</v>
      </c>
      <c r="AB23" s="15">
        <v>4440.0600000000004</v>
      </c>
      <c r="AC23" s="15">
        <v>1986.67</v>
      </c>
      <c r="AD23" s="15">
        <v>14.071999999999999</v>
      </c>
      <c r="AE23" s="15">
        <v>12.84</v>
      </c>
      <c r="AG23" s="10">
        <f t="shared" si="6"/>
        <v>20.583312500000002</v>
      </c>
      <c r="AH23" s="11">
        <f t="shared" si="7"/>
        <v>5.2566512490871464E-2</v>
      </c>
      <c r="AI23" s="11">
        <f t="shared" si="8"/>
        <v>1.4138990918504608E-2</v>
      </c>
      <c r="AJ23" s="11">
        <f t="shared" si="9"/>
        <v>1.0480581407179376E-2</v>
      </c>
      <c r="AK23" s="11">
        <f t="shared" si="10"/>
        <v>3.8427521572366855E-2</v>
      </c>
      <c r="AL23" s="52">
        <f t="shared" si="11"/>
        <v>3543272</v>
      </c>
      <c r="AM23" s="11">
        <v>16</v>
      </c>
      <c r="AN23" s="12">
        <v>25965768</v>
      </c>
      <c r="AO23" s="12">
        <v>811430.25</v>
      </c>
      <c r="AP23" s="12">
        <v>26693.09375</v>
      </c>
      <c r="AQ23" s="13">
        <v>13173320</v>
      </c>
      <c r="AR23" s="13">
        <v>2626464</v>
      </c>
      <c r="AS23" s="13">
        <v>916808</v>
      </c>
      <c r="AT23" s="13">
        <v>9630048</v>
      </c>
      <c r="AU23" s="14">
        <v>67.916321999999994</v>
      </c>
      <c r="AV23" s="14">
        <v>72.785756000000006</v>
      </c>
      <c r="AW23" s="14">
        <v>35.238075000000002</v>
      </c>
      <c r="AX23" s="14">
        <v>42.435628000000001</v>
      </c>
      <c r="AY23" s="14">
        <v>41.182687999999999</v>
      </c>
      <c r="AZ23" s="15">
        <v>4897.6499999999996</v>
      </c>
      <c r="BA23" s="15">
        <v>1819.97</v>
      </c>
      <c r="BB23" s="15">
        <v>12.705</v>
      </c>
      <c r="BC23" s="15">
        <v>24.411999999999999</v>
      </c>
      <c r="BE23" s="50">
        <f t="shared" si="12"/>
        <v>0.92276553189716248</v>
      </c>
      <c r="BF23" s="16">
        <f t="shared" si="13"/>
        <v>-3.1659981489818925E-3</v>
      </c>
      <c r="BG23" s="16">
        <f t="shared" si="14"/>
        <v>3.111244289631887E-3</v>
      </c>
      <c r="BH23" s="16"/>
      <c r="BJ23" s="50"/>
      <c r="BK23" s="50"/>
      <c r="BL23" s="50"/>
      <c r="BM23" s="50"/>
      <c r="BN23" s="50"/>
      <c r="BP23" s="50"/>
      <c r="BQ23" s="50"/>
      <c r="BR23" s="50"/>
      <c r="BS23" s="50"/>
      <c r="BT23" s="50"/>
      <c r="BV23" s="53">
        <f t="shared" si="16"/>
        <v>-6833122</v>
      </c>
      <c r="BW23" s="53">
        <f t="shared" si="16"/>
        <v>-213535.0625</v>
      </c>
      <c r="BX23" s="53">
        <f t="shared" si="16"/>
        <v>-10269.5625</v>
      </c>
      <c r="BY23" s="53">
        <f t="shared" si="16"/>
        <v>-1269656</v>
      </c>
      <c r="BZ23" s="53">
        <f t="shared" si="16"/>
        <v>-230416</v>
      </c>
      <c r="CA23" s="53">
        <f t="shared" si="16"/>
        <v>-66152</v>
      </c>
      <c r="CB23" s="53">
        <f t="shared" si="16"/>
        <v>-973088</v>
      </c>
      <c r="CC23" s="53">
        <f t="shared" si="16"/>
        <v>-2.9718123749999847</v>
      </c>
      <c r="CD23" s="53">
        <f t="shared" si="16"/>
        <v>-0.82508462500001656</v>
      </c>
      <c r="CE23" s="53">
        <f t="shared" si="16"/>
        <v>-0.69979374999999067</v>
      </c>
      <c r="CF23" s="53">
        <f t="shared" si="16"/>
        <v>-0.40498137500000553</v>
      </c>
      <c r="CG23" s="53">
        <f t="shared" si="16"/>
        <v>-0.50744325000000856</v>
      </c>
      <c r="CJ23" t="s">
        <v>239</v>
      </c>
    </row>
    <row r="24" spans="1:88" ht="16" outlineLevel="1" thickBot="1" x14ac:dyDescent="0.25">
      <c r="A24" s="36"/>
      <c r="B24" s="36" t="s">
        <v>70</v>
      </c>
      <c r="C24" s="37" t="s">
        <v>237</v>
      </c>
      <c r="D24" s="36">
        <v>250602891</v>
      </c>
      <c r="E24" s="37">
        <v>10</v>
      </c>
      <c r="F24" s="37">
        <v>32</v>
      </c>
      <c r="G24" s="37">
        <v>50</v>
      </c>
      <c r="I24" s="38">
        <f t="shared" si="0"/>
        <v>39.617637500000001</v>
      </c>
      <c r="J24" s="39">
        <f t="shared" si="1"/>
        <v>0.10117715681101221</v>
      </c>
      <c r="K24" s="39">
        <f t="shared" si="2"/>
        <v>2.5344895163240556E-2</v>
      </c>
      <c r="L24" s="39">
        <f t="shared" si="3"/>
        <v>1.7906609066213844E-2</v>
      </c>
      <c r="M24" s="39">
        <f t="shared" si="4"/>
        <v>7.5832261647771654E-2</v>
      </c>
      <c r="N24" s="36">
        <f t="shared" si="5"/>
        <v>6351504</v>
      </c>
      <c r="O24" s="39">
        <v>16</v>
      </c>
      <c r="P24" s="40">
        <v>31426902</v>
      </c>
      <c r="Q24" s="40">
        <v>982090.6875</v>
      </c>
      <c r="R24" s="40">
        <v>18270.09375</v>
      </c>
      <c r="S24" s="41">
        <v>25355288</v>
      </c>
      <c r="T24" s="41">
        <v>4487448</v>
      </c>
      <c r="U24" s="41">
        <v>1864056</v>
      </c>
      <c r="V24" s="41">
        <v>19003784</v>
      </c>
      <c r="W24" s="42">
        <v>71.730803125000023</v>
      </c>
      <c r="X24" s="42">
        <v>75.625753124999974</v>
      </c>
      <c r="Y24" s="42">
        <v>37.229371874999991</v>
      </c>
      <c r="Z24" s="42">
        <v>43.646537500000001</v>
      </c>
      <c r="AA24" s="42">
        <v>42.206934375000003</v>
      </c>
      <c r="AB24" s="43">
        <v>4394.66</v>
      </c>
      <c r="AC24" s="43">
        <v>2208.25</v>
      </c>
      <c r="AD24" s="43">
        <v>13.912000000000001</v>
      </c>
      <c r="AE24" s="43">
        <v>13.34</v>
      </c>
      <c r="AG24" s="38">
        <f t="shared" si="6"/>
        <v>35.726725000000002</v>
      </c>
      <c r="AH24" s="39">
        <f t="shared" si="7"/>
        <v>9.1240383974660527E-2</v>
      </c>
      <c r="AI24" s="39">
        <f t="shared" si="8"/>
        <v>2.3340768243571459E-2</v>
      </c>
      <c r="AJ24" s="39">
        <f t="shared" si="9"/>
        <v>1.6422827300902925E-2</v>
      </c>
      <c r="AK24" s="39">
        <f t="shared" si="10"/>
        <v>6.7899615731089075E-2</v>
      </c>
      <c r="AL24" s="36">
        <f t="shared" si="11"/>
        <v>5849264</v>
      </c>
      <c r="AM24" s="39">
        <v>16</v>
      </c>
      <c r="AN24" s="40">
        <v>24692328</v>
      </c>
      <c r="AO24" s="40">
        <v>771635.25</v>
      </c>
      <c r="AP24" s="40">
        <v>14140.15625</v>
      </c>
      <c r="AQ24" s="41">
        <v>22865104</v>
      </c>
      <c r="AR24" s="41">
        <v>4115608</v>
      </c>
      <c r="AS24" s="41">
        <v>1733656</v>
      </c>
      <c r="AT24" s="41">
        <v>17015840</v>
      </c>
      <c r="AU24" s="42">
        <v>68.143134000000003</v>
      </c>
      <c r="AV24" s="42">
        <v>74.831783999999999</v>
      </c>
      <c r="AW24" s="42">
        <v>36.368912000000002</v>
      </c>
      <c r="AX24" s="42">
        <v>43.290191</v>
      </c>
      <c r="AY24" s="42">
        <v>41.792425000000001</v>
      </c>
      <c r="AZ24" s="43">
        <v>4304.34</v>
      </c>
      <c r="BA24" s="43">
        <v>1478.46</v>
      </c>
      <c r="BB24" s="43">
        <v>10.727</v>
      </c>
      <c r="BC24" s="43">
        <v>20.725000000000001</v>
      </c>
      <c r="BE24" s="44">
        <f t="shared" si="12"/>
        <v>0.92092581536593532</v>
      </c>
      <c r="BF24" s="45">
        <f t="shared" si="13"/>
        <v>-2.783428206239065E-4</v>
      </c>
      <c r="BG24" s="45">
        <f t="shared" si="14"/>
        <v>5.3160274193300161E-3</v>
      </c>
      <c r="BH24" s="45"/>
      <c r="BJ24" s="44"/>
      <c r="BK24" s="44"/>
      <c r="BL24" s="44"/>
      <c r="BM24" s="44"/>
      <c r="BN24" s="44"/>
      <c r="BP24" s="44"/>
      <c r="BQ24" s="44"/>
      <c r="BR24" s="44"/>
      <c r="BS24" s="44"/>
      <c r="BT24" s="44"/>
      <c r="BV24" s="53">
        <f t="shared" si="16"/>
        <v>-6734574</v>
      </c>
      <c r="BW24" s="53">
        <f t="shared" si="16"/>
        <v>-210455.4375</v>
      </c>
      <c r="BX24" s="53">
        <f t="shared" si="16"/>
        <v>-4129.9375</v>
      </c>
      <c r="BY24" s="53">
        <f t="shared" si="16"/>
        <v>-2490184</v>
      </c>
      <c r="BZ24" s="53">
        <f t="shared" si="16"/>
        <v>-371840</v>
      </c>
      <c r="CA24" s="53">
        <f t="shared" si="16"/>
        <v>-130400</v>
      </c>
      <c r="CB24" s="53">
        <f t="shared" si="16"/>
        <v>-1987944</v>
      </c>
      <c r="CC24" s="53">
        <f t="shared" si="16"/>
        <v>-3.5876691250000192</v>
      </c>
      <c r="CD24" s="53">
        <f t="shared" si="16"/>
        <v>-0.79396912499997541</v>
      </c>
      <c r="CE24" s="53">
        <f t="shared" si="16"/>
        <v>-0.86045987499998944</v>
      </c>
      <c r="CF24" s="53">
        <f t="shared" si="16"/>
        <v>-0.35634650000000079</v>
      </c>
      <c r="CG24" s="53">
        <f t="shared" si="16"/>
        <v>-0.41450937500000151</v>
      </c>
      <c r="CJ24" t="s">
        <v>239</v>
      </c>
    </row>
    <row r="25" spans="1:88" x14ac:dyDescent="0.2">
      <c r="A25" s="52" t="s">
        <v>240</v>
      </c>
      <c r="B25" s="52" t="s">
        <v>73</v>
      </c>
      <c r="C25" s="9" t="s">
        <v>232</v>
      </c>
      <c r="D25" s="52">
        <v>250294582</v>
      </c>
      <c r="E25" s="9">
        <v>10</v>
      </c>
      <c r="F25" s="9">
        <v>32</v>
      </c>
      <c r="G25" s="9">
        <v>30</v>
      </c>
      <c r="I25" s="10">
        <f t="shared" si="0"/>
        <v>4.3931100000000001</v>
      </c>
      <c r="J25" s="11">
        <f t="shared" si="1"/>
        <v>1.8721875489897739E-2</v>
      </c>
      <c r="K25" s="11">
        <f t="shared" si="2"/>
        <v>6.5750684127872973E-3</v>
      </c>
      <c r="L25" s="11">
        <f t="shared" si="3"/>
        <v>3.7261054256460093E-3</v>
      </c>
      <c r="M25" s="11">
        <f t="shared" si="4"/>
        <v>1.2146807077110442E-2</v>
      </c>
      <c r="N25" s="52">
        <f t="shared" si="5"/>
        <v>1645704</v>
      </c>
      <c r="O25" s="11">
        <v>16</v>
      </c>
      <c r="P25" s="12">
        <v>23156910</v>
      </c>
      <c r="Q25" s="12">
        <v>723653.4375</v>
      </c>
      <c r="R25" s="12">
        <v>14060.625</v>
      </c>
      <c r="S25" s="13">
        <v>4685984</v>
      </c>
      <c r="T25" s="13">
        <v>932624</v>
      </c>
      <c r="U25" s="13">
        <v>713080</v>
      </c>
      <c r="V25" s="13">
        <v>3040280</v>
      </c>
      <c r="W25" s="14">
        <v>66.208681249999998</v>
      </c>
      <c r="X25" s="14">
        <v>67.982928124999987</v>
      </c>
      <c r="Y25" s="14">
        <v>27.338421875000002</v>
      </c>
      <c r="Z25" s="14">
        <v>33.158384374999997</v>
      </c>
      <c r="AA25" s="14">
        <v>32.589131250000008</v>
      </c>
      <c r="AB25" s="15">
        <v>1552.8</v>
      </c>
      <c r="AC25" s="15">
        <v>1463.43</v>
      </c>
      <c r="AD25" s="15">
        <v>13.012</v>
      </c>
      <c r="AE25" s="15">
        <v>10.776</v>
      </c>
      <c r="AG25" s="10">
        <f t="shared" si="6"/>
        <v>2.9484075000000001</v>
      </c>
      <c r="AH25" s="11">
        <f t="shared" si="7"/>
        <v>1.2565066230638584E-2</v>
      </c>
      <c r="AI25" s="11">
        <f t="shared" si="8"/>
        <v>5.2773974947647887E-3</v>
      </c>
      <c r="AJ25" s="11">
        <f t="shared" si="9"/>
        <v>2.8980251757906609E-3</v>
      </c>
      <c r="AK25" s="11">
        <f t="shared" si="10"/>
        <v>7.2876687358737957E-3</v>
      </c>
      <c r="AL25" s="52">
        <f t="shared" si="11"/>
        <v>1320904</v>
      </c>
      <c r="AM25" s="11">
        <v>16</v>
      </c>
      <c r="AN25" s="12">
        <v>12451168</v>
      </c>
      <c r="AO25" s="12">
        <v>389099</v>
      </c>
      <c r="AP25" s="12">
        <v>6468.71875</v>
      </c>
      <c r="AQ25" s="13">
        <v>3144968</v>
      </c>
      <c r="AR25" s="13">
        <v>725360</v>
      </c>
      <c r="AS25" s="13">
        <v>595544</v>
      </c>
      <c r="AT25" s="13">
        <v>1824064</v>
      </c>
      <c r="AU25" s="14">
        <v>62.612228000000002</v>
      </c>
      <c r="AV25" s="14">
        <v>65.859515999999999</v>
      </c>
      <c r="AW25" s="14">
        <v>25.422177999999999</v>
      </c>
      <c r="AX25" s="14">
        <v>31.578821999999999</v>
      </c>
      <c r="AY25" s="14">
        <v>30.781119</v>
      </c>
      <c r="AZ25" s="15">
        <v>1375.56</v>
      </c>
      <c r="BA25" s="15">
        <v>963.88</v>
      </c>
      <c r="BB25" s="15">
        <v>6.4820000000000002</v>
      </c>
      <c r="BC25" s="15">
        <v>14.523999999999999</v>
      </c>
      <c r="BE25" s="50">
        <f t="shared" si="12"/>
        <v>0.80263765537423493</v>
      </c>
      <c r="BF25" s="16">
        <f t="shared" si="13"/>
        <v>-2.8051874549285989E-3</v>
      </c>
      <c r="BG25" s="16">
        <f t="shared" si="14"/>
        <v>6.880844354108101E-2</v>
      </c>
      <c r="BH25" s="16">
        <f t="array" ref="BH25">AVERAGE(AL25:AL29/AQ25:AQ29) - AVERAGE(N25:N29/S25:S29)</f>
        <v>4.2050364319539402E-2</v>
      </c>
      <c r="BJ25" s="50">
        <f>IF( OR(ISBLANK(N25:N29),ISBLANK(AL25:AL29), ISBLANK(W25:W29),ISBLANK(AU25:AU29)), "·", bdRateExtend( N25:N29,W25:W29, AL25:AL29,AU25:AU29))</f>
        <v>1</v>
      </c>
      <c r="BK25" s="50">
        <f>IF( OR(ISBLANK(N25:N29),ISBLANK(AL25:AL29), ISBLANK(X25:X29),ISBLANK(AV25:AV29)), "·", bdRateExtend( N25:N29,X25:X29, AL25:AL29,AV25:AV29))</f>
        <v>0.26775059844894278</v>
      </c>
      <c r="BL25" s="50">
        <f>IF( OR(ISBLANK(V25:V29),ISBLANK(AT25:AT29), ISBLANK(Y25:Y29),ISBLANK(AW25:AW29)), "·", bdRateExtend( V25:V29,Y25:Y29, AT25:AT29,AW25:AW29))</f>
        <v>0.5586554549598628</v>
      </c>
      <c r="BM25" s="50">
        <f>IF( OR(ISBLANK(V25:V29),ISBLANK(AT25:AT29), ISBLANK(Z25:Z29),ISBLANK(AX25:AX29)), "·", bdRateExtend( V25:V29,Z25:Z29, AT25:AT29,AX25:AX29))</f>
        <v>0.63060141419437632</v>
      </c>
      <c r="BN25" s="50">
        <f>IF( OR(ISBLANK(V25:V29),ISBLANK(AT25:AT29), ISBLANK(AA25:AA29),ISBLANK(AY25:AY29)), "·", bdRateExtend( V25:V29,AA25:AA29, AT25:AT29,AY25:AY29))</f>
        <v>1.1051966411859464</v>
      </c>
      <c r="BP25" s="50">
        <f>IF( OR(ISBLANK(S25:S29),ISBLANK(AQ25:AQ29), ISBLANK(W25:W29),ISBLANK(AU25:AU29)), "·", bdRateExtend( S25:S29,W25:W29, AQ25:AQ29,AU25:AU29))</f>
        <v>1</v>
      </c>
      <c r="BQ25" s="50">
        <f>IF( OR(ISBLANK(S25:S29),ISBLANK(AQ25:AQ29), ISBLANK(X25:X29),ISBLANK(AV25:AV29)), "·", bdRateExtend( S25:S29,X25:X29, AQ25:AQ29,AV25:AV29))</f>
        <v>0.58985421611618127</v>
      </c>
      <c r="BR25" s="50">
        <f>IF( OR(ISBLANK(S25:S29),ISBLANK(AQ25:AQ29), ISBLANK(Y25:Y29),ISBLANK(AW25:AW29)), "·", bdRateExtend( S25:S29,Y25:Y29, AQ25:AQ29,AW25:AW29))</f>
        <v>0.44888802957930007</v>
      </c>
      <c r="BS25" s="50">
        <f>IF( OR(ISBLANK(S25:S29),ISBLANK(AQ25:AQ29), ISBLANK(Z25:Z29),ISBLANK(AX25:AX29)), "·", bdRateExtend( S25:S29,Z25:Z29, AQ25:AQ29,AX25:AX29))</f>
        <v>0.52697713717813199</v>
      </c>
      <c r="BT25" s="50">
        <f>IF( OR(ISBLANK(S25:S29),ISBLANK(AQ25:AQ29), ISBLANK(AA25:AA29),ISBLANK(AY25:AY29)), "·", bdRateExtend( S25:S29,AA25:AA29, AQ25:AQ29,AY25:AY29))</f>
        <v>0.90317703896324963</v>
      </c>
      <c r="BV25" s="53">
        <f t="shared" si="16"/>
        <v>-10705742</v>
      </c>
      <c r="BW25" s="53">
        <f t="shared" si="16"/>
        <v>-334554.4375</v>
      </c>
      <c r="BX25" s="53">
        <f t="shared" si="16"/>
        <v>-7591.90625</v>
      </c>
      <c r="BY25" s="53">
        <f t="shared" si="16"/>
        <v>-1541016</v>
      </c>
      <c r="BZ25" s="53">
        <f t="shared" si="16"/>
        <v>-207264</v>
      </c>
      <c r="CA25" s="53">
        <f t="shared" si="16"/>
        <v>-117536</v>
      </c>
      <c r="CB25" s="53">
        <f t="shared" si="16"/>
        <v>-1216216</v>
      </c>
      <c r="CC25" s="53">
        <f t="shared" si="16"/>
        <v>-3.5964532499999962</v>
      </c>
      <c r="CD25" s="53">
        <f t="shared" si="16"/>
        <v>-2.1234121249999873</v>
      </c>
      <c r="CE25" s="53">
        <f t="shared" si="16"/>
        <v>-1.9162438750000028</v>
      </c>
      <c r="CF25" s="53">
        <f t="shared" si="16"/>
        <v>-1.5795623749999983</v>
      </c>
      <c r="CG25" s="53">
        <f t="shared" si="16"/>
        <v>-1.808012250000008</v>
      </c>
      <c r="CJ25" t="s">
        <v>241</v>
      </c>
    </row>
    <row r="26" spans="1:88" outlineLevel="1" x14ac:dyDescent="0.2">
      <c r="A26" s="17"/>
      <c r="B26" s="17" t="s">
        <v>73</v>
      </c>
      <c r="C26" s="18" t="s">
        <v>234</v>
      </c>
      <c r="D26" s="17">
        <v>250294582</v>
      </c>
      <c r="E26" s="18">
        <v>10</v>
      </c>
      <c r="F26" s="18">
        <v>32</v>
      </c>
      <c r="G26" s="18">
        <v>30</v>
      </c>
      <c r="I26" s="19">
        <f t="shared" si="0"/>
        <v>7.5271650000000001</v>
      </c>
      <c r="J26" s="20">
        <f t="shared" si="1"/>
        <v>3.2078105470137584E-2</v>
      </c>
      <c r="K26" s="20">
        <f t="shared" si="2"/>
        <v>8.1015577077093899E-3</v>
      </c>
      <c r="L26" s="20">
        <f t="shared" si="3"/>
        <v>5.2525947205681028E-3</v>
      </c>
      <c r="M26" s="20">
        <f t="shared" si="4"/>
        <v>2.3976547762428194E-2</v>
      </c>
      <c r="N26" s="17">
        <f t="shared" si="5"/>
        <v>2027776</v>
      </c>
      <c r="O26" s="20">
        <v>16</v>
      </c>
      <c r="P26" s="21">
        <v>24564301</v>
      </c>
      <c r="Q26" s="21">
        <v>767634.40625</v>
      </c>
      <c r="R26" s="21">
        <v>17714.59375</v>
      </c>
      <c r="S26" s="22">
        <v>8028976</v>
      </c>
      <c r="T26" s="22">
        <v>1314696</v>
      </c>
      <c r="U26" s="22">
        <v>713080</v>
      </c>
      <c r="V26" s="22">
        <v>6001200</v>
      </c>
      <c r="W26" s="23">
        <v>67.941556250000005</v>
      </c>
      <c r="X26" s="23">
        <v>69.941896874999998</v>
      </c>
      <c r="Y26" s="23">
        <v>29.720368749999992</v>
      </c>
      <c r="Z26" s="23">
        <v>34.340334374999998</v>
      </c>
      <c r="AA26" s="23">
        <v>33.888184375000009</v>
      </c>
      <c r="AB26" s="24">
        <v>1542.54</v>
      </c>
      <c r="AC26" s="24">
        <v>1695.48</v>
      </c>
      <c r="AD26" s="24">
        <v>13.148</v>
      </c>
      <c r="AE26" s="24">
        <v>11.444000000000001</v>
      </c>
      <c r="AG26" s="19">
        <f t="shared" si="6"/>
        <v>5.0453324999999998</v>
      </c>
      <c r="AH26" s="20">
        <f t="shared" si="7"/>
        <v>2.1501416279158612E-2</v>
      </c>
      <c r="AI26" s="20">
        <f t="shared" si="8"/>
        <v>6.4782544913417261E-3</v>
      </c>
      <c r="AJ26" s="20">
        <f t="shared" si="9"/>
        <v>4.0988821723675984E-3</v>
      </c>
      <c r="AK26" s="20">
        <f t="shared" si="10"/>
        <v>1.5023161787816885E-2</v>
      </c>
      <c r="AL26" s="17">
        <f t="shared" si="11"/>
        <v>1621472</v>
      </c>
      <c r="AM26" s="20">
        <v>16</v>
      </c>
      <c r="AN26" s="21">
        <v>13370135</v>
      </c>
      <c r="AO26" s="21">
        <v>417816.71875</v>
      </c>
      <c r="AP26" s="21">
        <v>8407.6875</v>
      </c>
      <c r="AQ26" s="22">
        <v>5381688</v>
      </c>
      <c r="AR26" s="22">
        <v>1025928</v>
      </c>
      <c r="AS26" s="22">
        <v>595544</v>
      </c>
      <c r="AT26" s="22">
        <v>3760216</v>
      </c>
      <c r="AU26" s="23">
        <v>63.959671999999998</v>
      </c>
      <c r="AV26" s="23">
        <v>67.684843999999998</v>
      </c>
      <c r="AW26" s="23">
        <v>27.384430999999999</v>
      </c>
      <c r="AX26" s="23">
        <v>32.643694000000004</v>
      </c>
      <c r="AY26" s="23">
        <v>31.874613</v>
      </c>
      <c r="AZ26" s="24">
        <v>1669.43</v>
      </c>
      <c r="BA26" s="24">
        <v>1353.91</v>
      </c>
      <c r="BB26" s="24">
        <v>7.891</v>
      </c>
      <c r="BC26" s="24">
        <v>20.82</v>
      </c>
      <c r="BE26" s="49">
        <f t="shared" si="12"/>
        <v>0.79963072844337835</v>
      </c>
      <c r="BF26" s="25">
        <f t="shared" si="13"/>
        <v>-2.9539543811531351E-3</v>
      </c>
      <c r="BG26" s="25">
        <f t="shared" si="14"/>
        <v>4.8737077407111862E-2</v>
      </c>
      <c r="BH26" s="25"/>
      <c r="BJ26" s="49"/>
      <c r="BK26" s="49"/>
      <c r="BL26" s="49"/>
      <c r="BM26" s="49"/>
      <c r="BN26" s="49"/>
      <c r="BP26" s="49"/>
      <c r="BQ26" s="49"/>
      <c r="BR26" s="49"/>
      <c r="BS26" s="49"/>
      <c r="BT26" s="49"/>
      <c r="BV26" s="53">
        <f t="shared" si="16"/>
        <v>-11194166</v>
      </c>
      <c r="BW26" s="53">
        <f t="shared" si="16"/>
        <v>-349817.6875</v>
      </c>
      <c r="BX26" s="53">
        <f t="shared" si="16"/>
        <v>-9306.90625</v>
      </c>
      <c r="BY26" s="53">
        <f t="shared" si="16"/>
        <v>-2647288</v>
      </c>
      <c r="BZ26" s="53">
        <f t="shared" si="16"/>
        <v>-288768</v>
      </c>
      <c r="CA26" s="53">
        <f t="shared" si="16"/>
        <v>-117536</v>
      </c>
      <c r="CB26" s="53">
        <f t="shared" si="16"/>
        <v>-2240984</v>
      </c>
      <c r="CC26" s="53">
        <f t="shared" si="16"/>
        <v>-3.9818842500000073</v>
      </c>
      <c r="CD26" s="53">
        <f t="shared" si="16"/>
        <v>-2.2570528749999994</v>
      </c>
      <c r="CE26" s="53">
        <f t="shared" si="16"/>
        <v>-2.3359377499999923</v>
      </c>
      <c r="CF26" s="53">
        <f t="shared" si="16"/>
        <v>-1.6966403749999941</v>
      </c>
      <c r="CG26" s="53">
        <f t="shared" si="16"/>
        <v>-2.0135713750000086</v>
      </c>
      <c r="CJ26" t="s">
        <v>241</v>
      </c>
    </row>
    <row r="27" spans="1:88" outlineLevel="1" x14ac:dyDescent="0.2">
      <c r="A27" s="52"/>
      <c r="B27" s="52" t="s">
        <v>73</v>
      </c>
      <c r="C27" s="9" t="s">
        <v>235</v>
      </c>
      <c r="D27" s="52">
        <v>250294582</v>
      </c>
      <c r="E27" s="9">
        <v>10</v>
      </c>
      <c r="F27" s="9">
        <v>32</v>
      </c>
      <c r="G27" s="9">
        <v>30</v>
      </c>
      <c r="I27" s="10">
        <f t="shared" si="0"/>
        <v>13.24686</v>
      </c>
      <c r="J27" s="11">
        <f t="shared" si="1"/>
        <v>5.6453415359985701E-2</v>
      </c>
      <c r="K27" s="11">
        <f t="shared" si="2"/>
        <v>1.0397987759878878E-2</v>
      </c>
      <c r="L27" s="11">
        <f t="shared" si="3"/>
        <v>7.5490247727375897E-3</v>
      </c>
      <c r="M27" s="11">
        <f t="shared" si="4"/>
        <v>4.6055427600106821E-2</v>
      </c>
      <c r="N27" s="52">
        <f t="shared" si="5"/>
        <v>2602560</v>
      </c>
      <c r="O27" s="11">
        <v>16</v>
      </c>
      <c r="P27" s="12">
        <v>24852477</v>
      </c>
      <c r="Q27" s="12">
        <v>776639.90625</v>
      </c>
      <c r="R27" s="12">
        <v>18688.75</v>
      </c>
      <c r="S27" s="13">
        <v>14129984</v>
      </c>
      <c r="T27" s="13">
        <v>1889480</v>
      </c>
      <c r="U27" s="13">
        <v>713080</v>
      </c>
      <c r="V27" s="13">
        <v>11527424</v>
      </c>
      <c r="W27" s="14">
        <v>69.263743750000003</v>
      </c>
      <c r="X27" s="14">
        <v>71.649234374999978</v>
      </c>
      <c r="Y27" s="14">
        <v>32.231909375000008</v>
      </c>
      <c r="Z27" s="14">
        <v>35.582793749999993</v>
      </c>
      <c r="AA27" s="14">
        <v>35.206625000000003</v>
      </c>
      <c r="AB27" s="15">
        <v>1539.13</v>
      </c>
      <c r="AC27" s="15">
        <v>1819.62</v>
      </c>
      <c r="AD27" s="15">
        <v>12.9</v>
      </c>
      <c r="AE27" s="15">
        <v>12.648</v>
      </c>
      <c r="AG27" s="10">
        <f t="shared" si="6"/>
        <v>8.9789399999999997</v>
      </c>
      <c r="AH27" s="11">
        <f t="shared" si="7"/>
        <v>3.8265055214019773E-2</v>
      </c>
      <c r="AI27" s="11">
        <f t="shared" si="8"/>
        <v>8.3125730624085178E-3</v>
      </c>
      <c r="AJ27" s="11">
        <f t="shared" si="9"/>
        <v>5.93320074343439E-3</v>
      </c>
      <c r="AK27" s="11">
        <f t="shared" si="10"/>
        <v>2.9952482151611257E-2</v>
      </c>
      <c r="AL27" s="52">
        <f t="shared" si="11"/>
        <v>2080592</v>
      </c>
      <c r="AM27" s="11">
        <v>16</v>
      </c>
      <c r="AN27" s="12">
        <v>13550960</v>
      </c>
      <c r="AO27" s="12">
        <v>423467.5</v>
      </c>
      <c r="AP27" s="12">
        <v>8843.28125</v>
      </c>
      <c r="AQ27" s="13">
        <v>9577536</v>
      </c>
      <c r="AR27" s="13">
        <v>1485048</v>
      </c>
      <c r="AS27" s="13">
        <v>595544</v>
      </c>
      <c r="AT27" s="13">
        <v>7496944</v>
      </c>
      <c r="AU27" s="14">
        <v>64.847547000000006</v>
      </c>
      <c r="AV27" s="14">
        <v>69.210378000000006</v>
      </c>
      <c r="AW27" s="14">
        <v>29.199649999999998</v>
      </c>
      <c r="AX27" s="14">
        <v>33.734808999999998</v>
      </c>
      <c r="AY27" s="14">
        <v>32.923659000000001</v>
      </c>
      <c r="AZ27" s="15">
        <v>1476.52</v>
      </c>
      <c r="BA27" s="15">
        <v>1102.74</v>
      </c>
      <c r="BB27" s="15">
        <v>7.1429999999999998</v>
      </c>
      <c r="BC27" s="15">
        <v>16.648</v>
      </c>
      <c r="BE27" s="50">
        <f t="shared" si="12"/>
        <v>0.79944055084224752</v>
      </c>
      <c r="BF27" s="16">
        <f t="shared" si="13"/>
        <v>-3.1805750530924937E-3</v>
      </c>
      <c r="BG27" s="16">
        <f t="shared" si="14"/>
        <v>3.304962205355591E-2</v>
      </c>
      <c r="BH27" s="16"/>
      <c r="BJ27" s="50"/>
      <c r="BK27" s="50"/>
      <c r="BL27" s="50"/>
      <c r="BM27" s="50"/>
      <c r="BN27" s="50"/>
      <c r="BP27" s="50"/>
      <c r="BQ27" s="50"/>
      <c r="BR27" s="50"/>
      <c r="BS27" s="50"/>
      <c r="BT27" s="50"/>
      <c r="BV27" s="53">
        <f t="shared" si="16"/>
        <v>-11301517</v>
      </c>
      <c r="BW27" s="53">
        <f t="shared" si="16"/>
        <v>-353172.40625</v>
      </c>
      <c r="BX27" s="53">
        <f t="shared" si="16"/>
        <v>-9845.46875</v>
      </c>
      <c r="BY27" s="53">
        <f t="shared" si="16"/>
        <v>-4552448</v>
      </c>
      <c r="BZ27" s="53">
        <f t="shared" si="16"/>
        <v>-404432</v>
      </c>
      <c r="CA27" s="53">
        <f t="shared" si="16"/>
        <v>-117536</v>
      </c>
      <c r="CB27" s="53">
        <f t="shared" si="16"/>
        <v>-4030480</v>
      </c>
      <c r="CC27" s="53">
        <f t="shared" si="16"/>
        <v>-4.4161967499999975</v>
      </c>
      <c r="CD27" s="53">
        <f t="shared" si="16"/>
        <v>-2.4388563749999719</v>
      </c>
      <c r="CE27" s="53">
        <f t="shared" si="16"/>
        <v>-3.0322593750000095</v>
      </c>
      <c r="CF27" s="53">
        <f t="shared" si="16"/>
        <v>-1.8479847499999948</v>
      </c>
      <c r="CG27" s="53">
        <f t="shared" si="16"/>
        <v>-2.2829660000000018</v>
      </c>
      <c r="CJ27" t="s">
        <v>241</v>
      </c>
    </row>
    <row r="28" spans="1:88" outlineLevel="1" x14ac:dyDescent="0.2">
      <c r="A28" s="17"/>
      <c r="B28" s="17" t="s">
        <v>73</v>
      </c>
      <c r="C28" s="18" t="s">
        <v>236</v>
      </c>
      <c r="D28" s="17">
        <v>250294582</v>
      </c>
      <c r="E28" s="18">
        <v>10</v>
      </c>
      <c r="F28" s="18">
        <v>32</v>
      </c>
      <c r="G28" s="18">
        <v>30</v>
      </c>
      <c r="I28" s="19">
        <f t="shared" si="0"/>
        <v>24.604582499999999</v>
      </c>
      <c r="J28" s="20">
        <f t="shared" si="1"/>
        <v>0.10485599724248126</v>
      </c>
      <c r="K28" s="20">
        <f t="shared" si="2"/>
        <v>1.4255106808504548E-2</v>
      </c>
      <c r="L28" s="20">
        <f t="shared" si="3"/>
        <v>1.1406143821363261E-2</v>
      </c>
      <c r="M28" s="20">
        <f t="shared" si="4"/>
        <v>9.0600890433976719E-2</v>
      </c>
      <c r="N28" s="17">
        <f t="shared" si="5"/>
        <v>3567976</v>
      </c>
      <c r="O28" s="20">
        <v>16</v>
      </c>
      <c r="P28" s="21">
        <v>25521142</v>
      </c>
      <c r="Q28" s="21">
        <v>797535.6875</v>
      </c>
      <c r="R28" s="21">
        <v>20922.53125</v>
      </c>
      <c r="S28" s="22">
        <v>26244888</v>
      </c>
      <c r="T28" s="22">
        <v>2854896</v>
      </c>
      <c r="U28" s="22">
        <v>713080</v>
      </c>
      <c r="V28" s="22">
        <v>22676912</v>
      </c>
      <c r="W28" s="23">
        <v>70.432471875000005</v>
      </c>
      <c r="X28" s="23">
        <v>72.970199999999977</v>
      </c>
      <c r="Y28" s="23">
        <v>34.942618749999987</v>
      </c>
      <c r="Z28" s="23">
        <v>37.370328125</v>
      </c>
      <c r="AA28" s="23">
        <v>36.938165625000003</v>
      </c>
      <c r="AB28" s="24">
        <v>1547.28</v>
      </c>
      <c r="AC28" s="24">
        <v>2058.37</v>
      </c>
      <c r="AD28" s="24">
        <v>12.875999999999999</v>
      </c>
      <c r="AE28" s="24">
        <v>14.836</v>
      </c>
      <c r="AG28" s="19">
        <f t="shared" si="6"/>
        <v>16.229414999999999</v>
      </c>
      <c r="AH28" s="20">
        <f t="shared" si="7"/>
        <v>6.9164006115002521E-2</v>
      </c>
      <c r="AI28" s="20">
        <f t="shared" si="8"/>
        <v>1.1350209730069187E-2</v>
      </c>
      <c r="AJ28" s="20">
        <f t="shared" si="9"/>
        <v>8.9708374110950596E-3</v>
      </c>
      <c r="AK28" s="20">
        <f t="shared" si="10"/>
        <v>5.7813796384933336E-2</v>
      </c>
      <c r="AL28" s="17">
        <f t="shared" si="11"/>
        <v>2840896</v>
      </c>
      <c r="AM28" s="20">
        <v>16</v>
      </c>
      <c r="AN28" s="21">
        <v>14037042</v>
      </c>
      <c r="AO28" s="21">
        <v>438657.5625</v>
      </c>
      <c r="AP28" s="21">
        <v>9967.875</v>
      </c>
      <c r="AQ28" s="22">
        <v>17311376</v>
      </c>
      <c r="AR28" s="22">
        <v>2245352</v>
      </c>
      <c r="AS28" s="22">
        <v>595544</v>
      </c>
      <c r="AT28" s="22">
        <v>14470480</v>
      </c>
      <c r="AU28" s="23">
        <v>65.477952999999999</v>
      </c>
      <c r="AV28" s="23">
        <v>70.296041000000002</v>
      </c>
      <c r="AW28" s="23">
        <v>30.558191000000001</v>
      </c>
      <c r="AX28" s="23">
        <v>35.107494000000003</v>
      </c>
      <c r="AY28" s="23">
        <v>34.140630999999999</v>
      </c>
      <c r="AZ28" s="24">
        <v>1706.26</v>
      </c>
      <c r="BA28" s="24">
        <v>1600.56</v>
      </c>
      <c r="BB28" s="24">
        <v>8.8729999999999993</v>
      </c>
      <c r="BC28" s="24">
        <v>23.611000000000001</v>
      </c>
      <c r="BE28" s="49">
        <f t="shared" si="12"/>
        <v>0.79622060238073356</v>
      </c>
      <c r="BF28" s="25">
        <f t="shared" si="13"/>
        <v>-3.5103840426090535E-3</v>
      </c>
      <c r="BG28" s="25">
        <f t="shared" si="14"/>
        <v>2.8156359836596506E-2</v>
      </c>
      <c r="BH28" s="25"/>
      <c r="BJ28" s="49"/>
      <c r="BK28" s="49"/>
      <c r="BL28" s="49"/>
      <c r="BM28" s="49"/>
      <c r="BN28" s="49"/>
      <c r="BP28" s="49"/>
      <c r="BQ28" s="49"/>
      <c r="BR28" s="49"/>
      <c r="BS28" s="49"/>
      <c r="BT28" s="49"/>
      <c r="BV28" s="53">
        <f t="shared" si="16"/>
        <v>-11484100</v>
      </c>
      <c r="BW28" s="53">
        <f t="shared" si="16"/>
        <v>-358878.125</v>
      </c>
      <c r="BX28" s="53">
        <f t="shared" si="16"/>
        <v>-10954.65625</v>
      </c>
      <c r="BY28" s="53">
        <f t="shared" si="16"/>
        <v>-8933512</v>
      </c>
      <c r="BZ28" s="53">
        <f t="shared" si="16"/>
        <v>-609544</v>
      </c>
      <c r="CA28" s="53">
        <f t="shared" si="16"/>
        <v>-117536</v>
      </c>
      <c r="CB28" s="53">
        <f t="shared" si="16"/>
        <v>-8206432</v>
      </c>
      <c r="CC28" s="53">
        <f t="shared" si="16"/>
        <v>-4.9545188750000051</v>
      </c>
      <c r="CD28" s="53">
        <f t="shared" si="16"/>
        <v>-2.6741589999999746</v>
      </c>
      <c r="CE28" s="53">
        <f t="shared" si="16"/>
        <v>-4.3844277499999862</v>
      </c>
      <c r="CF28" s="53">
        <f t="shared" si="16"/>
        <v>-2.2628341249999977</v>
      </c>
      <c r="CG28" s="53">
        <f t="shared" si="16"/>
        <v>-2.7975346250000044</v>
      </c>
      <c r="CJ28" t="s">
        <v>241</v>
      </c>
    </row>
    <row r="29" spans="1:88" ht="16" outlineLevel="1" thickBot="1" x14ac:dyDescent="0.25">
      <c r="A29" s="26"/>
      <c r="B29" s="26" t="s">
        <v>73</v>
      </c>
      <c r="C29" s="27" t="s">
        <v>237</v>
      </c>
      <c r="D29" s="26">
        <v>250294582</v>
      </c>
      <c r="E29" s="27">
        <v>10</v>
      </c>
      <c r="F29" s="27">
        <v>32</v>
      </c>
      <c r="G29" s="27">
        <v>30</v>
      </c>
      <c r="I29" s="28">
        <f t="shared" si="0"/>
        <v>44.305185000000002</v>
      </c>
      <c r="J29" s="29">
        <f t="shared" si="1"/>
        <v>0.18881297238787215</v>
      </c>
      <c r="K29" s="29">
        <f t="shared" si="2"/>
        <v>2.2993258399816262E-2</v>
      </c>
      <c r="L29" s="29">
        <f t="shared" si="3"/>
        <v>1.7641772205840237E-2</v>
      </c>
      <c r="M29" s="29">
        <f t="shared" si="4"/>
        <v>0.16581971398805589</v>
      </c>
      <c r="N29" s="26">
        <f t="shared" si="5"/>
        <v>5755088</v>
      </c>
      <c r="O29" s="29">
        <v>16</v>
      </c>
      <c r="P29" s="30">
        <v>24571358</v>
      </c>
      <c r="Q29" s="30">
        <v>767854.9375</v>
      </c>
      <c r="R29" s="30">
        <v>9744.125</v>
      </c>
      <c r="S29" s="31">
        <v>47258864</v>
      </c>
      <c r="T29" s="31">
        <v>4415640</v>
      </c>
      <c r="U29" s="31">
        <v>1339448</v>
      </c>
      <c r="V29" s="31">
        <v>41503776</v>
      </c>
      <c r="W29" s="32">
        <v>71.152737500000001</v>
      </c>
      <c r="X29" s="32">
        <v>74.9055125</v>
      </c>
      <c r="Y29" s="32">
        <v>37.394256249999998</v>
      </c>
      <c r="Z29" s="32">
        <v>39.396478125000002</v>
      </c>
      <c r="AA29" s="32">
        <v>38.749353125000013</v>
      </c>
      <c r="AB29" s="33">
        <v>1547.88</v>
      </c>
      <c r="AC29" s="33">
        <v>2387.44</v>
      </c>
      <c r="AD29" s="33">
        <v>11.484</v>
      </c>
      <c r="AE29" s="33">
        <v>13.651999999999999</v>
      </c>
      <c r="AG29" s="28">
        <f t="shared" si="6"/>
        <v>27.818227499999999</v>
      </c>
      <c r="AH29" s="29">
        <f t="shared" si="7"/>
        <v>0.11855141155232837</v>
      </c>
      <c r="AI29" s="29">
        <f t="shared" si="8"/>
        <v>1.8171356182212526E-2</v>
      </c>
      <c r="AJ29" s="29">
        <f t="shared" si="9"/>
        <v>1.3844230955027225E-2</v>
      </c>
      <c r="AK29" s="29">
        <f t="shared" si="10"/>
        <v>0.10038005537011584</v>
      </c>
      <c r="AL29" s="26">
        <f t="shared" si="11"/>
        <v>4548192</v>
      </c>
      <c r="AM29" s="29">
        <v>16</v>
      </c>
      <c r="AN29" s="30">
        <v>13222018</v>
      </c>
      <c r="AO29" s="30">
        <v>413188.0625</v>
      </c>
      <c r="AP29" s="30">
        <v>4729.78125</v>
      </c>
      <c r="AQ29" s="31">
        <v>29672776</v>
      </c>
      <c r="AR29" s="31">
        <v>3465136</v>
      </c>
      <c r="AS29" s="31">
        <v>1083056</v>
      </c>
      <c r="AT29" s="31">
        <v>25124584</v>
      </c>
      <c r="AU29" s="32">
        <v>65.747883999999999</v>
      </c>
      <c r="AV29" s="32">
        <v>72.997144000000006</v>
      </c>
      <c r="AW29" s="32">
        <v>31.250074999999999</v>
      </c>
      <c r="AX29" s="32">
        <v>36.486178000000002</v>
      </c>
      <c r="AY29" s="32">
        <v>35.219431</v>
      </c>
      <c r="AZ29" s="33">
        <v>1460.9</v>
      </c>
      <c r="BA29" s="33">
        <v>1374.39</v>
      </c>
      <c r="BB29" s="33">
        <v>6.8470000000000004</v>
      </c>
      <c r="BC29" s="33">
        <v>18.163</v>
      </c>
      <c r="BE29" s="34">
        <f t="shared" si="12"/>
        <v>0.79029060893595371</v>
      </c>
      <c r="BF29" s="35">
        <f t="shared" si="13"/>
        <v>-1.2430173527295928E-3</v>
      </c>
      <c r="BG29" s="35">
        <f t="shared" si="14"/>
        <v>3.1500318759351859E-2</v>
      </c>
      <c r="BH29" s="35"/>
      <c r="BJ29" s="34"/>
      <c r="BK29" s="34"/>
      <c r="BL29" s="34"/>
      <c r="BM29" s="34"/>
      <c r="BN29" s="34"/>
      <c r="BP29" s="34"/>
      <c r="BQ29" s="34"/>
      <c r="BR29" s="34"/>
      <c r="BS29" s="34"/>
      <c r="BT29" s="34"/>
      <c r="BV29" s="53">
        <f t="shared" si="16"/>
        <v>-11349340</v>
      </c>
      <c r="BW29" s="53">
        <f t="shared" si="16"/>
        <v>-354666.875</v>
      </c>
      <c r="BX29" s="53">
        <f t="shared" si="16"/>
        <v>-5014.34375</v>
      </c>
      <c r="BY29" s="53">
        <f t="shared" si="16"/>
        <v>-17586088</v>
      </c>
      <c r="BZ29" s="53">
        <f t="shared" si="16"/>
        <v>-950504</v>
      </c>
      <c r="CA29" s="53">
        <f t="shared" si="16"/>
        <v>-256392</v>
      </c>
      <c r="CB29" s="53">
        <f t="shared" si="16"/>
        <v>-16379192</v>
      </c>
      <c r="CC29" s="53">
        <f t="shared" si="16"/>
        <v>-5.4048535000000015</v>
      </c>
      <c r="CD29" s="53">
        <f t="shared" si="16"/>
        <v>-1.9083684999999946</v>
      </c>
      <c r="CE29" s="53">
        <f t="shared" si="16"/>
        <v>-6.144181249999999</v>
      </c>
      <c r="CF29" s="53">
        <f t="shared" si="16"/>
        <v>-2.9103001249999991</v>
      </c>
      <c r="CG29" s="53">
        <f t="shared" si="16"/>
        <v>-3.529922125000013</v>
      </c>
      <c r="CJ29" t="s">
        <v>241</v>
      </c>
    </row>
    <row r="30" spans="1:88" x14ac:dyDescent="0.2">
      <c r="A30" s="17" t="s">
        <v>242</v>
      </c>
      <c r="B30" s="17" t="s">
        <v>77</v>
      </c>
      <c r="C30" s="18" t="s">
        <v>232</v>
      </c>
      <c r="D30" s="17">
        <v>375422539</v>
      </c>
      <c r="E30" s="18">
        <v>11</v>
      </c>
      <c r="F30" s="18">
        <v>32</v>
      </c>
      <c r="G30" s="18">
        <v>30</v>
      </c>
      <c r="I30" s="19">
        <f t="shared" si="0"/>
        <v>5.7321524999999998</v>
      </c>
      <c r="J30" s="20">
        <f t="shared" si="1"/>
        <v>1.6286438252445998E-2</v>
      </c>
      <c r="K30" s="20">
        <f t="shared" si="2"/>
        <v>9.9774936528251434E-3</v>
      </c>
      <c r="L30" s="20">
        <f t="shared" si="3"/>
        <v>6.1752286002199775E-3</v>
      </c>
      <c r="M30" s="20">
        <f t="shared" si="4"/>
        <v>6.3089445996208551E-3</v>
      </c>
      <c r="N30" s="17">
        <f t="shared" si="5"/>
        <v>3745776</v>
      </c>
      <c r="O30" s="20">
        <v>16</v>
      </c>
      <c r="P30" s="21">
        <v>84258322</v>
      </c>
      <c r="Q30" s="21">
        <v>2633072.5625</v>
      </c>
      <c r="R30" s="21">
        <v>32425.28125</v>
      </c>
      <c r="S30" s="22">
        <v>6114296</v>
      </c>
      <c r="T30" s="22">
        <v>2318320</v>
      </c>
      <c r="U30" s="22">
        <v>1427456</v>
      </c>
      <c r="V30" s="22">
        <v>2368520</v>
      </c>
      <c r="W30" s="23">
        <v>73.460731249999995</v>
      </c>
      <c r="X30" s="23">
        <v>75.713606250000012</v>
      </c>
      <c r="Y30" s="23">
        <v>34.736618750000012</v>
      </c>
      <c r="Z30" s="23">
        <v>42.165665625000003</v>
      </c>
      <c r="AA30" s="23">
        <v>43.775818750000013</v>
      </c>
      <c r="AB30" s="24">
        <v>3384.13</v>
      </c>
      <c r="AC30" s="24">
        <v>4570.46</v>
      </c>
      <c r="AD30" s="24">
        <v>39.008000000000003</v>
      </c>
      <c r="AE30" s="24">
        <v>27.832000000000001</v>
      </c>
      <c r="AG30" s="19">
        <f t="shared" si="6"/>
        <v>4.8179924999999999</v>
      </c>
      <c r="AH30" s="20">
        <f t="shared" si="7"/>
        <v>1.3689087537709078E-2</v>
      </c>
      <c r="AI30" s="20">
        <f t="shared" si="8"/>
        <v>8.4571374123065101E-3</v>
      </c>
      <c r="AJ30" s="20">
        <f t="shared" si="9"/>
        <v>5.1901625437571295E-3</v>
      </c>
      <c r="AK30" s="20">
        <f t="shared" si="10"/>
        <v>5.2319501254025668E-3</v>
      </c>
      <c r="AL30" s="17">
        <f t="shared" si="11"/>
        <v>3175000</v>
      </c>
      <c r="AM30" s="20">
        <v>16</v>
      </c>
      <c r="AN30" s="21">
        <v>58285368</v>
      </c>
      <c r="AO30" s="21">
        <v>1821417.75</v>
      </c>
      <c r="AP30" s="21">
        <v>19931.875</v>
      </c>
      <c r="AQ30" s="22">
        <v>5139192</v>
      </c>
      <c r="AR30" s="22">
        <v>1948504</v>
      </c>
      <c r="AS30" s="22">
        <v>1226496</v>
      </c>
      <c r="AT30" s="22">
        <v>1964192</v>
      </c>
      <c r="AU30" s="23">
        <v>70.590203000000002</v>
      </c>
      <c r="AV30" s="23">
        <v>73.965463</v>
      </c>
      <c r="AW30" s="23">
        <v>33.674478000000001</v>
      </c>
      <c r="AX30" s="23">
        <v>41.761116000000001</v>
      </c>
      <c r="AY30" s="23">
        <v>43.213047000000003</v>
      </c>
      <c r="AZ30" s="24">
        <v>3887.06</v>
      </c>
      <c r="BA30" s="24">
        <v>3273.8</v>
      </c>
      <c r="BB30" s="24">
        <v>31.901</v>
      </c>
      <c r="BC30" s="24">
        <v>48.856000000000002</v>
      </c>
      <c r="BE30" s="49">
        <f t="shared" si="12"/>
        <v>0.84762142744253799</v>
      </c>
      <c r="BF30" s="25">
        <f t="shared" si="13"/>
        <v>-1.3715622107097498E-3</v>
      </c>
      <c r="BG30" s="25">
        <f t="shared" si="14"/>
        <v>5.1755122715330115E-3</v>
      </c>
      <c r="BH30" s="25">
        <f t="array" ref="BH30">AVERAGE(AL30:AL34/AQ30:AQ34) - AVERAGE(N30:N34/S30:S34)</f>
        <v>6.6179630373011666E-3</v>
      </c>
      <c r="BJ30" s="49">
        <f>IF( OR(ISBLANK(N30:N34),ISBLANK(AL30:AL34), ISBLANK(W30:W34),ISBLANK(AU30:AU34)), "·", bdRateExtend( N30:N34,W30:W34, AL30:AL34,AU30:AU34))</f>
        <v>1.7354990017012866</v>
      </c>
      <c r="BK30" s="49">
        <f>IF( OR(ISBLANK(N30:N34),ISBLANK(AL30:AL34), ISBLANK(X30:X34),ISBLANK(AV30:AV34)), "·", bdRateExtend( N30:N34,X30:X34, AL30:AL34,AV30:AV34))</f>
        <v>7.6814674963336937E-2</v>
      </c>
      <c r="BL30" s="49">
        <f>IF( OR(ISBLANK(V30:V34),ISBLANK(AT30:AT34), ISBLANK(Y30:Y34),ISBLANK(AW30:AW34)), "·", bdRateExtend( V30:V34,Y30:Y34, AT30:AT34,AW30:AW34))</f>
        <v>0.25191957951898303</v>
      </c>
      <c r="BM30" s="49">
        <f>IF( OR(ISBLANK(V30:V34),ISBLANK(AT30:AT34), ISBLANK(Z30:Z34),ISBLANK(AX30:AX34)), "·", bdRateExtend( V30:V34,Z30:Z34, AT30:AT34,AX30:AX34))</f>
        <v>0.24370612839138572</v>
      </c>
      <c r="BN30" s="49">
        <f>IF( OR(ISBLANK(V30:V34),ISBLANK(AT30:AT34), ISBLANK(AA30:AA34),ISBLANK(AY30:AY34)), "·", bdRateExtend( V30:V34,AA30:AA34, AT30:AT34,AY30:AY34))</f>
        <v>7.4935428877946908E-2</v>
      </c>
      <c r="BP30" s="49">
        <f>IF( OR(ISBLANK(S30:S34),ISBLANK(AQ30:AQ34), ISBLANK(W30:W34),ISBLANK(AU30:AU34)), "·", bdRateExtend( S30:S34,W30:W34, AQ30:AQ34,AU30:AU34))</f>
        <v>4.3738408651259055</v>
      </c>
      <c r="BQ30" s="49">
        <f>IF( OR(ISBLANK(S30:S34),ISBLANK(AQ30:AQ34), ISBLANK(X30:X34),ISBLANK(AV30:AV34)), "·", bdRateExtend( S30:S34,X30:X34, AQ30:AQ34,AV30:AV34))</f>
        <v>0.24388620750867296</v>
      </c>
      <c r="BR30" s="49">
        <f>IF( OR(ISBLANK(S30:S34),ISBLANK(AQ30:AQ34), ISBLANK(Y30:Y34),ISBLANK(AW30:AW34)), "·", bdRateExtend( S30:S34,Y30:Y34, AQ30:AQ34,AW30:AW34))</f>
        <v>0.14322358733047635</v>
      </c>
      <c r="BS30" s="49">
        <f>IF( OR(ISBLANK(S30:S34),ISBLANK(AQ30:AQ34), ISBLANK(Z30:Z34),ISBLANK(AX30:AX34)), "·", bdRateExtend( S30:S34,Z30:Z34, AQ30:AQ34,AX30:AX34))</f>
        <v>0.14275424538066384</v>
      </c>
      <c r="BT30" s="49">
        <f>IF( OR(ISBLANK(S30:S34),ISBLANK(AQ30:AQ34), ISBLANK(AA30:AA34),ISBLANK(AY30:AY34)), "·", bdRateExtend( S30:S34,AA30:AA34, AQ30:AQ34,AY30:AY34))</f>
        <v>2.1786123310260308E-2</v>
      </c>
      <c r="BV30" s="53">
        <f t="shared" si="16"/>
        <v>-25972954</v>
      </c>
      <c r="BW30" s="53">
        <f t="shared" si="16"/>
        <v>-811654.8125</v>
      </c>
      <c r="BX30" s="53">
        <f t="shared" si="16"/>
        <v>-12493.40625</v>
      </c>
      <c r="BY30" s="53">
        <f t="shared" si="16"/>
        <v>-975104</v>
      </c>
      <c r="BZ30" s="53">
        <f t="shared" si="16"/>
        <v>-369816</v>
      </c>
      <c r="CA30" s="53">
        <f t="shared" si="16"/>
        <v>-200960</v>
      </c>
      <c r="CB30" s="53">
        <f t="shared" si="16"/>
        <v>-404328</v>
      </c>
      <c r="CC30" s="53">
        <f t="shared" si="16"/>
        <v>-2.8705282499999925</v>
      </c>
      <c r="CD30" s="53">
        <f t="shared" si="16"/>
        <v>-1.7481432500000125</v>
      </c>
      <c r="CE30" s="53">
        <f t="shared" si="16"/>
        <v>-1.0621407500000117</v>
      </c>
      <c r="CF30" s="53">
        <f t="shared" si="16"/>
        <v>-0.40454962500000136</v>
      </c>
      <c r="CG30" s="53">
        <f t="shared" si="16"/>
        <v>-0.56277175000001023</v>
      </c>
      <c r="CJ30" t="s">
        <v>243</v>
      </c>
    </row>
    <row r="31" spans="1:88" outlineLevel="1" x14ac:dyDescent="0.2">
      <c r="A31" s="52"/>
      <c r="B31" s="52" t="s">
        <v>77</v>
      </c>
      <c r="C31" s="9" t="s">
        <v>234</v>
      </c>
      <c r="D31" s="52">
        <v>375422539</v>
      </c>
      <c r="E31" s="9">
        <v>11</v>
      </c>
      <c r="F31" s="9">
        <v>32</v>
      </c>
      <c r="G31" s="9">
        <v>30</v>
      </c>
      <c r="I31" s="10">
        <f t="shared" si="0"/>
        <v>8.1855150000000005</v>
      </c>
      <c r="J31" s="11">
        <f t="shared" si="1"/>
        <v>2.3257037319221796E-2</v>
      </c>
      <c r="K31" s="11">
        <f t="shared" si="2"/>
        <v>1.2273274833933185E-2</v>
      </c>
      <c r="L31" s="11">
        <f t="shared" si="3"/>
        <v>8.4710097813280195E-3</v>
      </c>
      <c r="M31" s="11">
        <f t="shared" si="4"/>
        <v>1.0983762485288609E-2</v>
      </c>
      <c r="N31" s="52">
        <f t="shared" si="5"/>
        <v>4607664</v>
      </c>
      <c r="O31" s="11">
        <v>16</v>
      </c>
      <c r="P31" s="12">
        <v>89857639</v>
      </c>
      <c r="Q31" s="12">
        <v>2808051.21875</v>
      </c>
      <c r="R31" s="12">
        <v>41097.03125</v>
      </c>
      <c r="S31" s="13">
        <v>8731216</v>
      </c>
      <c r="T31" s="13">
        <v>3180208</v>
      </c>
      <c r="U31" s="13">
        <v>1427456</v>
      </c>
      <c r="V31" s="13">
        <v>4123552</v>
      </c>
      <c r="W31" s="14">
        <v>75.170684375000022</v>
      </c>
      <c r="X31" s="14">
        <v>77.575240625000006</v>
      </c>
      <c r="Y31" s="14">
        <v>36.653584375000001</v>
      </c>
      <c r="Z31" s="14">
        <v>42.688837499999991</v>
      </c>
      <c r="AA31" s="14">
        <v>45.00495937500002</v>
      </c>
      <c r="AB31" s="15">
        <v>3257.36</v>
      </c>
      <c r="AC31" s="15">
        <v>4179.96</v>
      </c>
      <c r="AD31" s="15">
        <v>39.299999999999997</v>
      </c>
      <c r="AE31" s="15">
        <v>28.004000000000001</v>
      </c>
      <c r="AG31" s="10">
        <f t="shared" si="6"/>
        <v>6.8610749999999996</v>
      </c>
      <c r="AH31" s="11">
        <f t="shared" si="7"/>
        <v>1.949398142022581E-2</v>
      </c>
      <c r="AI31" s="11">
        <f t="shared" si="8"/>
        <v>1.0400355850771122E-2</v>
      </c>
      <c r="AJ31" s="11">
        <f t="shared" si="9"/>
        <v>7.1333809822217414E-3</v>
      </c>
      <c r="AK31" s="11">
        <f t="shared" si="10"/>
        <v>9.0936255694546893E-3</v>
      </c>
      <c r="AL31" s="52">
        <f t="shared" si="11"/>
        <v>3904528</v>
      </c>
      <c r="AM31" s="11">
        <v>16</v>
      </c>
      <c r="AN31" s="12">
        <v>62628670</v>
      </c>
      <c r="AO31" s="12">
        <v>1957145.9375</v>
      </c>
      <c r="AP31" s="12">
        <v>25494.34375</v>
      </c>
      <c r="AQ31" s="13">
        <v>7318480</v>
      </c>
      <c r="AR31" s="13">
        <v>2678032</v>
      </c>
      <c r="AS31" s="13">
        <v>1226496</v>
      </c>
      <c r="AT31" s="13">
        <v>3413952</v>
      </c>
      <c r="AU31" s="14">
        <v>71.844791000000001</v>
      </c>
      <c r="AV31" s="14">
        <v>76.231300000000005</v>
      </c>
      <c r="AW31" s="14">
        <v>35.633311999999997</v>
      </c>
      <c r="AX31" s="14">
        <v>42.310853000000002</v>
      </c>
      <c r="AY31" s="14">
        <v>44.463527999999997</v>
      </c>
      <c r="AZ31" s="15">
        <v>3301.59</v>
      </c>
      <c r="BA31" s="15">
        <v>2391.63</v>
      </c>
      <c r="BB31" s="15">
        <v>25.526</v>
      </c>
      <c r="BC31" s="15">
        <v>34.368000000000002</v>
      </c>
      <c r="BE31" s="50">
        <f t="shared" si="12"/>
        <v>0.84739859503644366</v>
      </c>
      <c r="BF31" s="16">
        <f t="shared" si="13"/>
        <v>-1.6091414116610765E-3</v>
      </c>
      <c r="BG31" s="16">
        <f t="shared" si="14"/>
        <v>5.7931921437867073E-3</v>
      </c>
      <c r="BH31" s="16"/>
      <c r="BJ31" s="50"/>
      <c r="BK31" s="50"/>
      <c r="BL31" s="50"/>
      <c r="BM31" s="50"/>
      <c r="BN31" s="50"/>
      <c r="BP31" s="50"/>
      <c r="BQ31" s="50"/>
      <c r="BR31" s="50"/>
      <c r="BS31" s="50"/>
      <c r="BT31" s="50"/>
      <c r="BV31" s="53">
        <f t="shared" si="16"/>
        <v>-27228969</v>
      </c>
      <c r="BW31" s="53">
        <f t="shared" si="16"/>
        <v>-850905.28125</v>
      </c>
      <c r="BX31" s="53">
        <f t="shared" si="16"/>
        <v>-15602.6875</v>
      </c>
      <c r="BY31" s="53">
        <f t="shared" si="16"/>
        <v>-1412736</v>
      </c>
      <c r="BZ31" s="53">
        <f t="shared" si="16"/>
        <v>-502176</v>
      </c>
      <c r="CA31" s="53">
        <f t="shared" si="16"/>
        <v>-200960</v>
      </c>
      <c r="CB31" s="53">
        <f t="shared" si="16"/>
        <v>-709600</v>
      </c>
      <c r="CC31" s="53">
        <f t="shared" si="16"/>
        <v>-3.325893375000021</v>
      </c>
      <c r="CD31" s="53">
        <f t="shared" si="16"/>
        <v>-1.3439406250000019</v>
      </c>
      <c r="CE31" s="53">
        <f t="shared" si="16"/>
        <v>-1.0202723750000047</v>
      </c>
      <c r="CF31" s="53">
        <f t="shared" si="16"/>
        <v>-0.37798449999998951</v>
      </c>
      <c r="CG31" s="53">
        <f t="shared" si="16"/>
        <v>-0.54143137500002325</v>
      </c>
      <c r="CJ31" t="s">
        <v>243</v>
      </c>
    </row>
    <row r="32" spans="1:88" outlineLevel="1" x14ac:dyDescent="0.2">
      <c r="A32" s="17"/>
      <c r="B32" s="17" t="s">
        <v>77</v>
      </c>
      <c r="C32" s="18" t="s">
        <v>235</v>
      </c>
      <c r="D32" s="17">
        <v>375422539</v>
      </c>
      <c r="E32" s="18">
        <v>11</v>
      </c>
      <c r="F32" s="18">
        <v>32</v>
      </c>
      <c r="G32" s="18">
        <v>30</v>
      </c>
      <c r="I32" s="19">
        <f t="shared" si="0"/>
        <v>12.671250000000001</v>
      </c>
      <c r="J32" s="20">
        <f t="shared" si="1"/>
        <v>3.6002100555821981E-2</v>
      </c>
      <c r="K32" s="20">
        <f t="shared" si="2"/>
        <v>1.5579735877285728E-2</v>
      </c>
      <c r="L32" s="20">
        <f t="shared" si="3"/>
        <v>1.1777470824680562E-2</v>
      </c>
      <c r="M32" s="20">
        <f t="shared" si="4"/>
        <v>2.0422364678536257E-2</v>
      </c>
      <c r="N32" s="17">
        <f t="shared" si="5"/>
        <v>5848984</v>
      </c>
      <c r="O32" s="20">
        <v>16</v>
      </c>
      <c r="P32" s="21">
        <v>91814344</v>
      </c>
      <c r="Q32" s="21">
        <v>2869198.25</v>
      </c>
      <c r="R32" s="21">
        <v>44687.40625</v>
      </c>
      <c r="S32" s="22">
        <v>13516000</v>
      </c>
      <c r="T32" s="22">
        <v>4421528</v>
      </c>
      <c r="U32" s="22">
        <v>1427456</v>
      </c>
      <c r="V32" s="22">
        <v>7667016</v>
      </c>
      <c r="W32" s="23">
        <v>76.466315624999979</v>
      </c>
      <c r="X32" s="23">
        <v>79.123750000000015</v>
      </c>
      <c r="Y32" s="23">
        <v>38.407431250000002</v>
      </c>
      <c r="Z32" s="23">
        <v>43.216706250000001</v>
      </c>
      <c r="AA32" s="23">
        <v>46.245334374999992</v>
      </c>
      <c r="AB32" s="24">
        <v>3261.29</v>
      </c>
      <c r="AC32" s="24">
        <v>4369.55</v>
      </c>
      <c r="AD32" s="24">
        <v>40.520000000000003</v>
      </c>
      <c r="AE32" s="24">
        <v>25.86</v>
      </c>
      <c r="AG32" s="19">
        <f t="shared" si="6"/>
        <v>10.627815</v>
      </c>
      <c r="AH32" s="20">
        <f t="shared" si="7"/>
        <v>3.0196205135142404E-2</v>
      </c>
      <c r="AI32" s="20">
        <f t="shared" si="8"/>
        <v>1.3244404593406684E-2</v>
      </c>
      <c r="AJ32" s="20">
        <f t="shared" si="9"/>
        <v>9.9774297248573021E-3</v>
      </c>
      <c r="AK32" s="20">
        <f t="shared" si="10"/>
        <v>1.6951800541735722E-2</v>
      </c>
      <c r="AL32" s="17">
        <f t="shared" si="11"/>
        <v>4972248</v>
      </c>
      <c r="AM32" s="20">
        <v>16</v>
      </c>
      <c r="AN32" s="21">
        <v>64133101</v>
      </c>
      <c r="AO32" s="21">
        <v>2004159.40625</v>
      </c>
      <c r="AP32" s="21">
        <v>27912.9375</v>
      </c>
      <c r="AQ32" s="22">
        <v>11336336</v>
      </c>
      <c r="AR32" s="22">
        <v>3745752</v>
      </c>
      <c r="AS32" s="22">
        <v>1226496</v>
      </c>
      <c r="AT32" s="22">
        <v>6364088</v>
      </c>
      <c r="AU32" s="23">
        <v>72.626993999999996</v>
      </c>
      <c r="AV32" s="23">
        <v>77.940365999999997</v>
      </c>
      <c r="AW32" s="23">
        <v>37.36345</v>
      </c>
      <c r="AX32" s="23">
        <v>42.807231000000002</v>
      </c>
      <c r="AY32" s="23">
        <v>45.665100000000002</v>
      </c>
      <c r="AZ32" s="24">
        <v>3411.31</v>
      </c>
      <c r="BA32" s="24">
        <v>2667.91</v>
      </c>
      <c r="BB32" s="24">
        <v>30.032</v>
      </c>
      <c r="BC32" s="24">
        <v>40.366</v>
      </c>
      <c r="BE32" s="49">
        <f t="shared" si="12"/>
        <v>0.85010456516892507</v>
      </c>
      <c r="BF32" s="25">
        <f t="shared" si="13"/>
        <v>-1.6473720743609907E-3</v>
      </c>
      <c r="BG32" s="25">
        <f t="shared" si="14"/>
        <v>5.8663675586975161E-3</v>
      </c>
      <c r="BH32" s="25"/>
      <c r="BJ32" s="49"/>
      <c r="BK32" s="49"/>
      <c r="BL32" s="49"/>
      <c r="BM32" s="49"/>
      <c r="BN32" s="49"/>
      <c r="BP32" s="49"/>
      <c r="BQ32" s="49"/>
      <c r="BR32" s="49"/>
      <c r="BS32" s="49"/>
      <c r="BT32" s="49"/>
      <c r="BV32" s="53">
        <f t="shared" si="16"/>
        <v>-27681243</v>
      </c>
      <c r="BW32" s="53">
        <f t="shared" si="16"/>
        <v>-865038.84375</v>
      </c>
      <c r="BX32" s="53">
        <f t="shared" si="16"/>
        <v>-16774.46875</v>
      </c>
      <c r="BY32" s="53">
        <f t="shared" si="16"/>
        <v>-2179664</v>
      </c>
      <c r="BZ32" s="53">
        <f t="shared" si="16"/>
        <v>-675776</v>
      </c>
      <c r="CA32" s="53">
        <f t="shared" si="16"/>
        <v>-200960</v>
      </c>
      <c r="CB32" s="53">
        <f t="shared" si="16"/>
        <v>-1302928</v>
      </c>
      <c r="CC32" s="53">
        <f t="shared" si="16"/>
        <v>-3.8393216249999824</v>
      </c>
      <c r="CD32" s="53">
        <f t="shared" si="16"/>
        <v>-1.183384000000018</v>
      </c>
      <c r="CE32" s="53">
        <f t="shared" si="16"/>
        <v>-1.0439812500000016</v>
      </c>
      <c r="CF32" s="53">
        <f t="shared" si="16"/>
        <v>-0.40947524999999985</v>
      </c>
      <c r="CG32" s="53">
        <f t="shared" si="16"/>
        <v>-0.5802343749999892</v>
      </c>
      <c r="CJ32" t="s">
        <v>243</v>
      </c>
    </row>
    <row r="33" spans="1:88" outlineLevel="1" x14ac:dyDescent="0.2">
      <c r="A33" s="52"/>
      <c r="B33" s="52" t="s">
        <v>77</v>
      </c>
      <c r="C33" s="9" t="s">
        <v>236</v>
      </c>
      <c r="D33" s="52">
        <v>375422539</v>
      </c>
      <c r="E33" s="9">
        <v>11</v>
      </c>
      <c r="F33" s="9">
        <v>32</v>
      </c>
      <c r="G33" s="9">
        <v>30</v>
      </c>
      <c r="I33" s="10">
        <f t="shared" si="0"/>
        <v>21.2011875</v>
      </c>
      <c r="J33" s="11">
        <f t="shared" si="1"/>
        <v>6.0237725897432065E-2</v>
      </c>
      <c r="K33" s="11">
        <f t="shared" si="2"/>
        <v>2.1049370187121344E-2</v>
      </c>
      <c r="L33" s="11">
        <f t="shared" si="3"/>
        <v>1.7247105134516178E-2</v>
      </c>
      <c r="M33" s="11">
        <f t="shared" si="4"/>
        <v>3.9188355710310721E-2</v>
      </c>
      <c r="N33" s="52">
        <f t="shared" si="5"/>
        <v>7902408</v>
      </c>
      <c r="O33" s="11">
        <v>16</v>
      </c>
      <c r="P33" s="12">
        <v>93918250</v>
      </c>
      <c r="Q33" s="12">
        <v>2934945.3125</v>
      </c>
      <c r="R33" s="12">
        <v>49412.375</v>
      </c>
      <c r="S33" s="13">
        <v>22614600</v>
      </c>
      <c r="T33" s="13">
        <v>6474952</v>
      </c>
      <c r="U33" s="13">
        <v>1427456</v>
      </c>
      <c r="V33" s="13">
        <v>14712192</v>
      </c>
      <c r="W33" s="14">
        <v>77.598421875000014</v>
      </c>
      <c r="X33" s="14">
        <v>80.328506249999975</v>
      </c>
      <c r="Y33" s="14">
        <v>40.010034374999996</v>
      </c>
      <c r="Z33" s="14">
        <v>43.90810312499999</v>
      </c>
      <c r="AA33" s="14">
        <v>47.816250000000011</v>
      </c>
      <c r="AB33" s="15">
        <v>3272.57</v>
      </c>
      <c r="AC33" s="15">
        <v>4606.17</v>
      </c>
      <c r="AD33" s="15">
        <v>41.084000000000003</v>
      </c>
      <c r="AE33" s="15">
        <v>27.62</v>
      </c>
      <c r="AG33" s="10">
        <f t="shared" si="6"/>
        <v>17.720677500000001</v>
      </c>
      <c r="AH33" s="11">
        <f t="shared" si="7"/>
        <v>5.0348751170744173E-2</v>
      </c>
      <c r="AI33" s="11">
        <f t="shared" si="8"/>
        <v>1.7907587588927364E-2</v>
      </c>
      <c r="AJ33" s="11">
        <f t="shared" si="9"/>
        <v>1.4640612720377984E-2</v>
      </c>
      <c r="AK33" s="11">
        <f t="shared" si="10"/>
        <v>3.2441163581816805E-2</v>
      </c>
      <c r="AL33" s="52">
        <f t="shared" si="11"/>
        <v>6722912</v>
      </c>
      <c r="AM33" s="11">
        <v>16</v>
      </c>
      <c r="AN33" s="12">
        <v>65813022</v>
      </c>
      <c r="AO33" s="12">
        <v>2056656.9375</v>
      </c>
      <c r="AP33" s="12">
        <v>31264.78125</v>
      </c>
      <c r="AQ33" s="13">
        <v>18902056</v>
      </c>
      <c r="AR33" s="13">
        <v>5496416</v>
      </c>
      <c r="AS33" s="13">
        <v>1226496</v>
      </c>
      <c r="AT33" s="13">
        <v>12179144</v>
      </c>
      <c r="AU33" s="14">
        <v>73.197333999999998</v>
      </c>
      <c r="AV33" s="14">
        <v>79.146838000000002</v>
      </c>
      <c r="AW33" s="14">
        <v>38.819884000000002</v>
      </c>
      <c r="AX33" s="14">
        <v>43.497974999999997</v>
      </c>
      <c r="AY33" s="14">
        <v>47.217581000000003</v>
      </c>
      <c r="AZ33" s="15">
        <v>3512.72</v>
      </c>
      <c r="BA33" s="15">
        <v>2931.39</v>
      </c>
      <c r="BB33" s="15">
        <v>30.559000000000001</v>
      </c>
      <c r="BC33" s="15">
        <v>42.29</v>
      </c>
      <c r="BE33" s="50">
        <f t="shared" si="12"/>
        <v>0.85074220414840629</v>
      </c>
      <c r="BF33" s="16">
        <f t="shared" si="13"/>
        <v>-1.6341275101003864E-3</v>
      </c>
      <c r="BG33" s="16">
        <f t="shared" si="14"/>
        <v>6.232611201269056E-3</v>
      </c>
      <c r="BH33" s="16"/>
      <c r="BJ33" s="50"/>
      <c r="BK33" s="50"/>
      <c r="BL33" s="50"/>
      <c r="BM33" s="50"/>
      <c r="BN33" s="50"/>
      <c r="BP33" s="50"/>
      <c r="BQ33" s="50"/>
      <c r="BR33" s="50"/>
      <c r="BS33" s="50"/>
      <c r="BT33" s="50"/>
      <c r="BV33" s="53">
        <f t="shared" si="16"/>
        <v>-28105228</v>
      </c>
      <c r="BW33" s="53">
        <f t="shared" si="16"/>
        <v>-878288.375</v>
      </c>
      <c r="BX33" s="53">
        <f t="shared" si="16"/>
        <v>-18147.59375</v>
      </c>
      <c r="BY33" s="53">
        <f t="shared" si="16"/>
        <v>-3712544</v>
      </c>
      <c r="BZ33" s="53">
        <f t="shared" si="16"/>
        <v>-978536</v>
      </c>
      <c r="CA33" s="53">
        <f t="shared" si="16"/>
        <v>-200960</v>
      </c>
      <c r="CB33" s="53">
        <f t="shared" si="16"/>
        <v>-2533048</v>
      </c>
      <c r="CC33" s="53">
        <f t="shared" si="16"/>
        <v>-4.401087875000016</v>
      </c>
      <c r="CD33" s="53">
        <f t="shared" si="16"/>
        <v>-1.1816682499999729</v>
      </c>
      <c r="CE33" s="53">
        <f t="shared" si="16"/>
        <v>-1.1901503749999947</v>
      </c>
      <c r="CF33" s="53">
        <f t="shared" si="16"/>
        <v>-0.41012812499999285</v>
      </c>
      <c r="CG33" s="53">
        <f t="shared" si="16"/>
        <v>-0.59866900000000811</v>
      </c>
      <c r="CJ33" t="s">
        <v>243</v>
      </c>
    </row>
    <row r="34" spans="1:88" ht="16" outlineLevel="1" thickBot="1" x14ac:dyDescent="0.25">
      <c r="A34" s="17"/>
      <c r="B34" s="36" t="s">
        <v>77</v>
      </c>
      <c r="C34" s="37" t="s">
        <v>237</v>
      </c>
      <c r="D34" s="36">
        <v>375422539</v>
      </c>
      <c r="E34" s="37">
        <v>11</v>
      </c>
      <c r="F34" s="37">
        <v>32</v>
      </c>
      <c r="G34" s="37">
        <v>30</v>
      </c>
      <c r="I34" s="38">
        <f t="shared" si="0"/>
        <v>39.873292499999998</v>
      </c>
      <c r="J34" s="39">
        <f t="shared" si="1"/>
        <v>0.11328971380698057</v>
      </c>
      <c r="K34" s="39">
        <f t="shared" si="2"/>
        <v>3.3717187129246921E-2</v>
      </c>
      <c r="L34" s="39">
        <f t="shared" si="3"/>
        <v>2.6181230424207429E-2</v>
      </c>
      <c r="M34" s="39">
        <f t="shared" si="4"/>
        <v>7.9572526677733652E-2</v>
      </c>
      <c r="N34" s="36">
        <f t="shared" si="5"/>
        <v>12658192</v>
      </c>
      <c r="O34" s="39">
        <v>16</v>
      </c>
      <c r="P34" s="40">
        <v>92079625</v>
      </c>
      <c r="Q34" s="40">
        <v>2877488.28125</v>
      </c>
      <c r="R34" s="40">
        <v>21318.28125</v>
      </c>
      <c r="S34" s="41">
        <v>42531512</v>
      </c>
      <c r="T34" s="41">
        <v>9829024</v>
      </c>
      <c r="U34" s="41">
        <v>2829168</v>
      </c>
      <c r="V34" s="41">
        <v>29873320</v>
      </c>
      <c r="W34" s="42">
        <v>78.535987500000005</v>
      </c>
      <c r="X34" s="42">
        <v>81.998384375000001</v>
      </c>
      <c r="Y34" s="42">
        <v>41.522762499999992</v>
      </c>
      <c r="Z34" s="42">
        <v>44.701212499999997</v>
      </c>
      <c r="AA34" s="42">
        <v>49.23008437499999</v>
      </c>
      <c r="AB34" s="43">
        <v>3266.44</v>
      </c>
      <c r="AC34" s="43">
        <v>5088.07</v>
      </c>
      <c r="AD34" s="43">
        <v>40.840000000000003</v>
      </c>
      <c r="AE34" s="43">
        <v>30.335999999999999</v>
      </c>
      <c r="AG34" s="38">
        <f t="shared" si="6"/>
        <v>32.770822500000001</v>
      </c>
      <c r="AH34" s="39">
        <f t="shared" si="7"/>
        <v>9.3109870529110669E-2</v>
      </c>
      <c r="AI34" s="39">
        <f t="shared" si="8"/>
        <v>2.8644438953091201E-2</v>
      </c>
      <c r="AJ34" s="39">
        <f t="shared" si="9"/>
        <v>2.2224685875879179E-2</v>
      </c>
      <c r="AK34" s="39">
        <f t="shared" si="10"/>
        <v>6.4465431576019472E-2</v>
      </c>
      <c r="AL34" s="36">
        <f t="shared" si="11"/>
        <v>10753768</v>
      </c>
      <c r="AM34" s="39">
        <v>16</v>
      </c>
      <c r="AN34" s="40">
        <v>64179021</v>
      </c>
      <c r="AO34" s="40">
        <v>2005594.40625</v>
      </c>
      <c r="AP34" s="40">
        <v>13665.75</v>
      </c>
      <c r="AQ34" s="41">
        <v>34955544</v>
      </c>
      <c r="AR34" s="41">
        <v>8343648</v>
      </c>
      <c r="AS34" s="41">
        <v>2410120</v>
      </c>
      <c r="AT34" s="41">
        <v>24201776</v>
      </c>
      <c r="AU34" s="42">
        <v>73.511003000000002</v>
      </c>
      <c r="AV34" s="42">
        <v>80.300516000000002</v>
      </c>
      <c r="AW34" s="42">
        <v>39.990391000000002</v>
      </c>
      <c r="AX34" s="42">
        <v>44.273262000000003</v>
      </c>
      <c r="AY34" s="42">
        <v>48.719656000000001</v>
      </c>
      <c r="AZ34" s="43">
        <v>3457.7</v>
      </c>
      <c r="BA34" s="43">
        <v>3174.14</v>
      </c>
      <c r="BB34" s="43">
        <v>27.308</v>
      </c>
      <c r="BC34" s="43">
        <v>42.8</v>
      </c>
      <c r="BE34" s="44">
        <f t="shared" si="12"/>
        <v>0.84955007792582071</v>
      </c>
      <c r="BF34" s="45">
        <f t="shared" si="13"/>
        <v>-5.9482687414702182E-4</v>
      </c>
      <c r="BG34" s="45">
        <f t="shared" si="14"/>
        <v>1.0022132011219487E-2</v>
      </c>
      <c r="BH34" s="45"/>
      <c r="BJ34" s="44"/>
      <c r="BK34" s="44"/>
      <c r="BL34" s="44"/>
      <c r="BM34" s="44"/>
      <c r="BN34" s="44"/>
      <c r="BP34" s="44"/>
      <c r="BQ34" s="44"/>
      <c r="BR34" s="44"/>
      <c r="BS34" s="44"/>
      <c r="BT34" s="44"/>
      <c r="BV34" s="53">
        <f t="shared" si="16"/>
        <v>-27900604</v>
      </c>
      <c r="BW34" s="53">
        <f t="shared" si="16"/>
        <v>-871893.875</v>
      </c>
      <c r="BX34" s="53">
        <f t="shared" si="16"/>
        <v>-7652.53125</v>
      </c>
      <c r="BY34" s="53">
        <f t="shared" si="16"/>
        <v>-7575968</v>
      </c>
      <c r="BZ34" s="53">
        <f t="shared" si="16"/>
        <v>-1485376</v>
      </c>
      <c r="CA34" s="53">
        <f t="shared" si="16"/>
        <v>-419048</v>
      </c>
      <c r="CB34" s="53">
        <f t="shared" si="16"/>
        <v>-5671544</v>
      </c>
      <c r="CC34" s="53">
        <f t="shared" si="16"/>
        <v>-5.0249845000000022</v>
      </c>
      <c r="CD34" s="53">
        <f t="shared" si="16"/>
        <v>-1.6978683749999988</v>
      </c>
      <c r="CE34" s="53">
        <f t="shared" si="16"/>
        <v>-1.5323714999999893</v>
      </c>
      <c r="CF34" s="53">
        <f t="shared" si="16"/>
        <v>-0.42795049999999435</v>
      </c>
      <c r="CG34" s="53">
        <f t="shared" si="16"/>
        <v>-0.51042837499998939</v>
      </c>
      <c r="CJ34" t="s">
        <v>243</v>
      </c>
    </row>
    <row r="35" spans="1:88" x14ac:dyDescent="0.2">
      <c r="A35" s="52"/>
      <c r="B35" s="52" t="s">
        <v>82</v>
      </c>
      <c r="C35" s="9" t="s">
        <v>232</v>
      </c>
      <c r="D35" s="52">
        <v>333190689</v>
      </c>
      <c r="E35" s="9">
        <v>11</v>
      </c>
      <c r="F35" s="9">
        <v>32</v>
      </c>
      <c r="G35" s="9">
        <v>30</v>
      </c>
      <c r="I35" s="10">
        <f t="shared" si="0"/>
        <v>6.3769799999999996</v>
      </c>
      <c r="J35" s="11">
        <f t="shared" si="1"/>
        <v>2.0415072283127337E-2</v>
      </c>
      <c r="K35" s="11">
        <f t="shared" si="2"/>
        <v>1.1829190100807409E-2</v>
      </c>
      <c r="L35" s="11">
        <f t="shared" si="3"/>
        <v>7.2102134882886838E-3</v>
      </c>
      <c r="M35" s="11">
        <f t="shared" si="4"/>
        <v>8.5858821823199261E-3</v>
      </c>
      <c r="N35" s="52">
        <f t="shared" si="5"/>
        <v>3941376</v>
      </c>
      <c r="O35" s="11">
        <v>16</v>
      </c>
      <c r="P35" s="12">
        <v>74688855</v>
      </c>
      <c r="Q35" s="12">
        <v>2334026.71875</v>
      </c>
      <c r="R35" s="12">
        <v>31011.90625</v>
      </c>
      <c r="S35" s="13">
        <v>6802112</v>
      </c>
      <c r="T35" s="13">
        <v>2402376</v>
      </c>
      <c r="U35" s="13">
        <v>1539000</v>
      </c>
      <c r="V35" s="13">
        <v>2860736</v>
      </c>
      <c r="W35" s="14">
        <v>73.191281250000003</v>
      </c>
      <c r="X35" s="14">
        <v>75.430568749999978</v>
      </c>
      <c r="Y35" s="14">
        <v>33.985153124999997</v>
      </c>
      <c r="Z35" s="14">
        <v>42.563106249999997</v>
      </c>
      <c r="AA35" s="14">
        <v>44.055871875000001</v>
      </c>
      <c r="AB35" s="15">
        <v>3018.62</v>
      </c>
      <c r="AC35" s="15">
        <v>5987.55</v>
      </c>
      <c r="AD35" s="15">
        <v>47.875999999999998</v>
      </c>
      <c r="AE35" s="15">
        <v>39.012</v>
      </c>
      <c r="AG35" s="10">
        <f t="shared" si="6"/>
        <v>5.1687000000000003</v>
      </c>
      <c r="AH35" s="11">
        <f t="shared" si="7"/>
        <v>1.6546920973532966E-2</v>
      </c>
      <c r="AI35" s="11">
        <f t="shared" si="8"/>
        <v>1.0050653006092857E-2</v>
      </c>
      <c r="AJ35" s="11">
        <f t="shared" si="9"/>
        <v>5.9888348200510489E-3</v>
      </c>
      <c r="AK35" s="11">
        <f t="shared" si="10"/>
        <v>6.4962679674401107E-3</v>
      </c>
      <c r="AL35" s="52">
        <f t="shared" si="11"/>
        <v>3348784</v>
      </c>
      <c r="AM35" s="11">
        <v>16</v>
      </c>
      <c r="AN35" s="12">
        <v>52424884</v>
      </c>
      <c r="AO35" s="12">
        <v>1638277.625</v>
      </c>
      <c r="AP35" s="12">
        <v>20477.46875</v>
      </c>
      <c r="AQ35" s="13">
        <v>5513280</v>
      </c>
      <c r="AR35" s="13">
        <v>1995424</v>
      </c>
      <c r="AS35" s="13">
        <v>1353360</v>
      </c>
      <c r="AT35" s="13">
        <v>2164496</v>
      </c>
      <c r="AU35" s="14">
        <v>70.481497000000005</v>
      </c>
      <c r="AV35" s="14">
        <v>73.745631000000003</v>
      </c>
      <c r="AW35" s="14">
        <v>32.527661999999999</v>
      </c>
      <c r="AX35" s="14">
        <v>41.989483999999997</v>
      </c>
      <c r="AY35" s="14">
        <v>43.111649999999997</v>
      </c>
      <c r="AZ35" s="15">
        <v>3581.96</v>
      </c>
      <c r="BA35" s="15">
        <v>3302.01</v>
      </c>
      <c r="BB35" s="15">
        <v>32.265999999999998</v>
      </c>
      <c r="BC35" s="15">
        <v>50.12</v>
      </c>
      <c r="BE35" s="50">
        <f t="shared" si="12"/>
        <v>0.84964844764873992</v>
      </c>
      <c r="BF35" s="16">
        <f t="shared" si="13"/>
        <v>-7.8747992051426789E-4</v>
      </c>
      <c r="BG35" s="16">
        <f t="shared" si="14"/>
        <v>2.7969063292482388E-2</v>
      </c>
      <c r="BH35" s="16">
        <f t="array" ref="BH35">AVERAGE(AL35:AL39/AQ35:AQ39) - AVERAGE(N35:N39/S35:S39)</f>
        <v>2.5572114942061852E-2</v>
      </c>
      <c r="BJ35" s="50">
        <f>IF( OR(ISBLANK(N35:N39),ISBLANK(AL35:AL39), ISBLANK(W35:W39),ISBLANK(AU35:AU39)), "·", bdRateExtend( N35:N39,W35:W39, AL35:AL39,AU35:AU39))</f>
        <v>1.1268073412742812</v>
      </c>
      <c r="BK35" s="50">
        <f>IF( OR(ISBLANK(N35:N39),ISBLANK(AL35:AL39), ISBLANK(X35:X39),ISBLANK(AV35:AV39)), "·", bdRateExtend( N35:N39,X35:X39, AL35:AL39,AV35:AV39))</f>
        <v>6.6095905100705288E-2</v>
      </c>
      <c r="BL35" s="50">
        <f>IF( OR(ISBLANK(V35:V39),ISBLANK(AT35:AT39), ISBLANK(Y35:Y39),ISBLANK(AW35:AW39)), "·", bdRateExtend( V35:V39,Y35:Y39, AT35:AT39,AW35:AW39))</f>
        <v>0.35440922717819467</v>
      </c>
      <c r="BM35" s="50">
        <f>IF( OR(ISBLANK(V35:V39),ISBLANK(AT35:AT39), ISBLANK(Z35:Z39),ISBLANK(AX35:AX39)), "·", bdRateExtend( V35:V39,Z35:Z39, AT35:AT39,AX35:AX39))</f>
        <v>0.15985604964677558</v>
      </c>
      <c r="BN35" s="50">
        <f>IF( OR(ISBLANK(V35:V39),ISBLANK(AT35:AT39), ISBLANK(AA35:AA39),ISBLANK(AY35:AY39)), "·", bdRateExtend( V35:V39,AA35:AA39, AT35:AT39,AY35:AY39))</f>
        <v>0.13415484242379683</v>
      </c>
      <c r="BP35" s="50">
        <f>IF( OR(ISBLANK(S35:S39),ISBLANK(AQ35:AQ39), ISBLANK(W35:W39),ISBLANK(AU35:AU39)), "·", bdRateExtend( S35:S39,W35:W39, AQ35:AQ39,AU35:AU39))</f>
        <v>2.6095274933494901</v>
      </c>
      <c r="BQ35" s="50">
        <f>IF( OR(ISBLANK(S35:S39),ISBLANK(AQ35:AQ39), ISBLANK(X35:X39),ISBLANK(AV35:AV39)), "·", bdRateExtend( S35:S39,X35:X39, AQ35:AQ39,AV35:AV39))</f>
        <v>0.15803426406129351</v>
      </c>
      <c r="BR35" s="50">
        <f>IF( OR(ISBLANK(S35:S39),ISBLANK(AQ35:AQ39), ISBLANK(Y35:Y39),ISBLANK(AW35:AW39)), "·", bdRateExtend( S35:S39,Y35:Y39, AQ35:AQ39,AW35:AW39))</f>
        <v>0.23719433012077196</v>
      </c>
      <c r="BS35" s="50">
        <f>IF( OR(ISBLANK(S35:S39),ISBLANK(AQ35:AQ39), ISBLANK(Z35:Z39),ISBLANK(AX35:AX39)), "·", bdRateExtend( S35:S39,Z35:Z39, AQ35:AQ39,AX35:AX39))</f>
        <v>0.10614212899400033</v>
      </c>
      <c r="BT35" s="50">
        <f>IF( OR(ISBLANK(S35:S39),ISBLANK(AQ35:AQ39), ISBLANK(AA35:AA39),ISBLANK(AY35:AY39)), "·", bdRateExtend( S35:S39,AA35:AA39, AQ35:AQ39,AY35:AY39))</f>
        <v>8.4225795897543643E-2</v>
      </c>
      <c r="BV35" s="53">
        <f t="shared" si="16"/>
        <v>-22263971</v>
      </c>
      <c r="BW35" s="53">
        <f t="shared" si="16"/>
        <v>-695749.09375</v>
      </c>
      <c r="BX35" s="53">
        <f t="shared" si="16"/>
        <v>-10534.4375</v>
      </c>
      <c r="BY35" s="53">
        <f t="shared" si="16"/>
        <v>-1288832</v>
      </c>
      <c r="BZ35" s="53">
        <f t="shared" si="16"/>
        <v>-406952</v>
      </c>
      <c r="CA35" s="53">
        <f t="shared" si="16"/>
        <v>-185640</v>
      </c>
      <c r="CB35" s="53">
        <f t="shared" si="16"/>
        <v>-696240</v>
      </c>
      <c r="CC35" s="53">
        <f t="shared" si="16"/>
        <v>-2.7097842499999985</v>
      </c>
      <c r="CD35" s="53">
        <f t="shared" si="16"/>
        <v>-1.6849377499999747</v>
      </c>
      <c r="CE35" s="53">
        <f t="shared" si="16"/>
        <v>-1.4574911249999971</v>
      </c>
      <c r="CF35" s="53">
        <f t="shared" si="16"/>
        <v>-0.57362224999999967</v>
      </c>
      <c r="CG35" s="53">
        <f t="shared" si="16"/>
        <v>-0.94422187500000376</v>
      </c>
      <c r="CJ35" t="s">
        <v>244</v>
      </c>
    </row>
    <row r="36" spans="1:88" outlineLevel="1" x14ac:dyDescent="0.2">
      <c r="A36" s="17"/>
      <c r="B36" s="17" t="s">
        <v>82</v>
      </c>
      <c r="C36" s="18" t="s">
        <v>234</v>
      </c>
      <c r="D36" s="17">
        <v>333190689</v>
      </c>
      <c r="E36" s="18">
        <v>11</v>
      </c>
      <c r="F36" s="18">
        <v>32</v>
      </c>
      <c r="G36" s="18">
        <v>30</v>
      </c>
      <c r="I36" s="19">
        <f t="shared" si="0"/>
        <v>9.0738074999999991</v>
      </c>
      <c r="J36" s="20">
        <f t="shared" si="1"/>
        <v>2.9048614860903269E-2</v>
      </c>
      <c r="K36" s="20">
        <f t="shared" si="2"/>
        <v>1.4424772836314163E-2</v>
      </c>
      <c r="L36" s="20">
        <f t="shared" si="3"/>
        <v>9.8057962237954373E-3</v>
      </c>
      <c r="M36" s="20">
        <f t="shared" si="4"/>
        <v>1.4623842024589108E-2</v>
      </c>
      <c r="N36" s="17">
        <f t="shared" si="5"/>
        <v>4806200</v>
      </c>
      <c r="O36" s="20">
        <v>16</v>
      </c>
      <c r="P36" s="21">
        <v>79945808</v>
      </c>
      <c r="Q36" s="21">
        <v>2498306.5</v>
      </c>
      <c r="R36" s="21">
        <v>39523.15625</v>
      </c>
      <c r="S36" s="22">
        <v>9678728</v>
      </c>
      <c r="T36" s="22">
        <v>3267200</v>
      </c>
      <c r="U36" s="22">
        <v>1539000</v>
      </c>
      <c r="V36" s="22">
        <v>4872528</v>
      </c>
      <c r="W36" s="23">
        <v>74.930581249999975</v>
      </c>
      <c r="X36" s="23">
        <v>77.358815624999977</v>
      </c>
      <c r="Y36" s="23">
        <v>36.095068750000003</v>
      </c>
      <c r="Z36" s="23">
        <v>43.189968749999998</v>
      </c>
      <c r="AA36" s="23">
        <v>45.41667812499999</v>
      </c>
      <c r="AB36" s="24">
        <v>3029.84</v>
      </c>
      <c r="AC36" s="24">
        <v>6186.18</v>
      </c>
      <c r="AD36" s="24">
        <v>46.388000000000012</v>
      </c>
      <c r="AE36" s="24">
        <v>39.143999999999998</v>
      </c>
      <c r="AG36" s="19">
        <f t="shared" si="6"/>
        <v>7.3793625</v>
      </c>
      <c r="AH36" s="20">
        <f t="shared" si="7"/>
        <v>2.362406951894145E-2</v>
      </c>
      <c r="AI36" s="20">
        <f t="shared" si="8"/>
        <v>1.2303993284758327E-2</v>
      </c>
      <c r="AJ36" s="20">
        <f t="shared" si="9"/>
        <v>8.2421750987165185E-3</v>
      </c>
      <c r="AK36" s="20">
        <f t="shared" si="10"/>
        <v>1.1320076234183123E-2</v>
      </c>
      <c r="AL36" s="17">
        <f t="shared" si="11"/>
        <v>4099576</v>
      </c>
      <c r="AM36" s="20">
        <v>16</v>
      </c>
      <c r="AN36" s="21">
        <v>56296760</v>
      </c>
      <c r="AO36" s="21">
        <v>1759273.75</v>
      </c>
      <c r="AP36" s="21">
        <v>26452.5</v>
      </c>
      <c r="AQ36" s="22">
        <v>7871320</v>
      </c>
      <c r="AR36" s="22">
        <v>2746216</v>
      </c>
      <c r="AS36" s="22">
        <v>1353360</v>
      </c>
      <c r="AT36" s="22">
        <v>3771744</v>
      </c>
      <c r="AU36" s="23">
        <v>71.781181000000004</v>
      </c>
      <c r="AV36" s="23">
        <v>76.022790999999998</v>
      </c>
      <c r="AW36" s="23">
        <v>34.616303000000002</v>
      </c>
      <c r="AX36" s="23">
        <v>42.701493999999997</v>
      </c>
      <c r="AY36" s="23">
        <v>44.508130999999999</v>
      </c>
      <c r="AZ36" s="24">
        <v>2992.68</v>
      </c>
      <c r="BA36" s="24">
        <v>2468.6</v>
      </c>
      <c r="BB36" s="24">
        <v>26.178999999999998</v>
      </c>
      <c r="BC36" s="24">
        <v>37.677</v>
      </c>
      <c r="BE36" s="49">
        <f t="shared" si="12"/>
        <v>0.85297657192792642</v>
      </c>
      <c r="BF36" s="25">
        <f t="shared" si="13"/>
        <v>-7.8394490844474474E-4</v>
      </c>
      <c r="BG36" s="25">
        <f t="shared" si="14"/>
        <v>2.4250944777376049E-2</v>
      </c>
      <c r="BH36" s="25"/>
      <c r="BJ36" s="49"/>
      <c r="BK36" s="49"/>
      <c r="BL36" s="49"/>
      <c r="BM36" s="49"/>
      <c r="BN36" s="49"/>
      <c r="BP36" s="49"/>
      <c r="BQ36" s="49"/>
      <c r="BR36" s="49"/>
      <c r="BS36" s="49"/>
      <c r="BT36" s="49"/>
      <c r="BV36" s="53">
        <f t="shared" si="16"/>
        <v>-23649048</v>
      </c>
      <c r="BW36" s="53">
        <f t="shared" si="16"/>
        <v>-739032.75</v>
      </c>
      <c r="BX36" s="53">
        <f t="shared" si="16"/>
        <v>-13070.65625</v>
      </c>
      <c r="BY36" s="53">
        <f t="shared" si="16"/>
        <v>-1807408</v>
      </c>
      <c r="BZ36" s="53">
        <f t="shared" si="16"/>
        <v>-520984</v>
      </c>
      <c r="CA36" s="53">
        <f t="shared" si="16"/>
        <v>-185640</v>
      </c>
      <c r="CB36" s="53">
        <f t="shared" si="16"/>
        <v>-1100784</v>
      </c>
      <c r="CC36" s="53">
        <f t="shared" si="16"/>
        <v>-3.1494002499999709</v>
      </c>
      <c r="CD36" s="53">
        <f t="shared" si="16"/>
        <v>-1.336024624999979</v>
      </c>
      <c r="CE36" s="53">
        <f t="shared" si="16"/>
        <v>-1.4787657500000009</v>
      </c>
      <c r="CF36" s="53">
        <f t="shared" si="16"/>
        <v>-0.48847475000000173</v>
      </c>
      <c r="CG36" s="53">
        <f t="shared" si="16"/>
        <v>-0.90854712499999124</v>
      </c>
      <c r="CJ36" t="s">
        <v>244</v>
      </c>
    </row>
    <row r="37" spans="1:88" outlineLevel="1" x14ac:dyDescent="0.2">
      <c r="A37" s="52"/>
      <c r="B37" s="52" t="s">
        <v>82</v>
      </c>
      <c r="C37" s="9" t="s">
        <v>235</v>
      </c>
      <c r="D37" s="52">
        <v>333190689</v>
      </c>
      <c r="E37" s="9">
        <v>11</v>
      </c>
      <c r="F37" s="9">
        <v>32</v>
      </c>
      <c r="G37" s="9">
        <v>30</v>
      </c>
      <c r="I37" s="10">
        <f t="shared" si="0"/>
        <v>13.7978325</v>
      </c>
      <c r="J37" s="11">
        <f t="shared" si="1"/>
        <v>4.4171966642201098E-2</v>
      </c>
      <c r="K37" s="11">
        <f t="shared" si="2"/>
        <v>1.8223870595615595E-2</v>
      </c>
      <c r="L37" s="11">
        <f t="shared" si="3"/>
        <v>1.3604893983096869E-2</v>
      </c>
      <c r="M37" s="11">
        <f t="shared" si="4"/>
        <v>2.5948096046585503E-2</v>
      </c>
      <c r="N37" s="52">
        <f t="shared" si="5"/>
        <v>6072024</v>
      </c>
      <c r="O37" s="11">
        <v>16</v>
      </c>
      <c r="P37" s="12">
        <v>81780101</v>
      </c>
      <c r="Q37" s="12">
        <v>2555628.15625</v>
      </c>
      <c r="R37" s="12">
        <v>43014.71875</v>
      </c>
      <c r="S37" s="13">
        <v>14717688</v>
      </c>
      <c r="T37" s="13">
        <v>4533024</v>
      </c>
      <c r="U37" s="13">
        <v>1539000</v>
      </c>
      <c r="V37" s="13">
        <v>8645664</v>
      </c>
      <c r="W37" s="14">
        <v>76.238812500000023</v>
      </c>
      <c r="X37" s="14">
        <v>78.941209374999985</v>
      </c>
      <c r="Y37" s="14">
        <v>37.935643750000011</v>
      </c>
      <c r="Z37" s="14">
        <v>43.761018749999998</v>
      </c>
      <c r="AA37" s="14">
        <v>46.521678125000001</v>
      </c>
      <c r="AB37" s="15">
        <v>3013.57</v>
      </c>
      <c r="AC37" s="15">
        <v>6345.72</v>
      </c>
      <c r="AD37" s="15">
        <v>46.683999999999997</v>
      </c>
      <c r="AE37" s="15">
        <v>41.067999999999998</v>
      </c>
      <c r="AG37" s="10">
        <f t="shared" si="6"/>
        <v>11.1651975</v>
      </c>
      <c r="AH37" s="11">
        <f t="shared" si="7"/>
        <v>3.5743928006343538E-2</v>
      </c>
      <c r="AI37" s="11">
        <f t="shared" si="8"/>
        <v>1.5603677328450196E-2</v>
      </c>
      <c r="AJ37" s="11">
        <f t="shared" si="9"/>
        <v>1.1541859142408389E-2</v>
      </c>
      <c r="AK37" s="11">
        <f t="shared" si="10"/>
        <v>2.0140250677893344E-2</v>
      </c>
      <c r="AL37" s="52">
        <f t="shared" si="11"/>
        <v>5199000</v>
      </c>
      <c r="AM37" s="11">
        <v>16</v>
      </c>
      <c r="AN37" s="12">
        <v>57680684</v>
      </c>
      <c r="AO37" s="12">
        <v>1802521.375</v>
      </c>
      <c r="AP37" s="12">
        <v>28847.90625</v>
      </c>
      <c r="AQ37" s="13">
        <v>11909544</v>
      </c>
      <c r="AR37" s="13">
        <v>3845640</v>
      </c>
      <c r="AS37" s="13">
        <v>1353360</v>
      </c>
      <c r="AT37" s="13">
        <v>6710544</v>
      </c>
      <c r="AU37" s="14">
        <v>72.618949999999998</v>
      </c>
      <c r="AV37" s="14">
        <v>77.798705999999996</v>
      </c>
      <c r="AW37" s="14">
        <v>36.351922000000002</v>
      </c>
      <c r="AX37" s="14">
        <v>43.277912000000001</v>
      </c>
      <c r="AY37" s="14">
        <v>45.679552999999999</v>
      </c>
      <c r="AZ37" s="15">
        <v>3149.3</v>
      </c>
      <c r="BA37" s="15">
        <v>2621.09</v>
      </c>
      <c r="BB37" s="15">
        <v>25.231000000000002</v>
      </c>
      <c r="BC37" s="15">
        <v>36.802</v>
      </c>
      <c r="BE37" s="50">
        <f t="shared" si="12"/>
        <v>0.85622191216635501</v>
      </c>
      <c r="BF37" s="16">
        <f t="shared" si="13"/>
        <v>-8.2717182276845561E-4</v>
      </c>
      <c r="BG37" s="16">
        <f t="shared" si="14"/>
        <v>2.3974213098879538E-2</v>
      </c>
      <c r="BH37" s="16"/>
      <c r="BJ37" s="50"/>
      <c r="BK37" s="50"/>
      <c r="BL37" s="50"/>
      <c r="BM37" s="50"/>
      <c r="BN37" s="50"/>
      <c r="BP37" s="50"/>
      <c r="BQ37" s="50"/>
      <c r="BR37" s="50"/>
      <c r="BS37" s="50"/>
      <c r="BT37" s="50"/>
      <c r="BV37" s="53">
        <f t="shared" si="16"/>
        <v>-24099417</v>
      </c>
      <c r="BW37" s="53">
        <f t="shared" si="16"/>
        <v>-753106.78125</v>
      </c>
      <c r="BX37" s="53">
        <f t="shared" si="16"/>
        <v>-14166.8125</v>
      </c>
      <c r="BY37" s="53">
        <f t="shared" si="16"/>
        <v>-2808144</v>
      </c>
      <c r="BZ37" s="53">
        <f t="shared" si="16"/>
        <v>-687384</v>
      </c>
      <c r="CA37" s="53">
        <f t="shared" si="16"/>
        <v>-185640</v>
      </c>
      <c r="CB37" s="53">
        <f t="shared" si="16"/>
        <v>-1935120</v>
      </c>
      <c r="CC37" s="53">
        <f t="shared" si="16"/>
        <v>-3.6198625000000249</v>
      </c>
      <c r="CD37" s="53">
        <f t="shared" si="16"/>
        <v>-1.1425033749999898</v>
      </c>
      <c r="CE37" s="53">
        <f t="shared" si="16"/>
        <v>-1.5837217500000094</v>
      </c>
      <c r="CF37" s="53">
        <f t="shared" si="16"/>
        <v>-0.48310674999999748</v>
      </c>
      <c r="CG37" s="53">
        <f t="shared" si="16"/>
        <v>-0.84212512500000258</v>
      </c>
      <c r="CJ37" t="s">
        <v>244</v>
      </c>
    </row>
    <row r="38" spans="1:88" outlineLevel="1" x14ac:dyDescent="0.2">
      <c r="A38" s="17"/>
      <c r="B38" s="17" t="s">
        <v>82</v>
      </c>
      <c r="C38" s="18" t="s">
        <v>236</v>
      </c>
      <c r="D38" s="17">
        <v>333190689</v>
      </c>
      <c r="E38" s="18">
        <v>11</v>
      </c>
      <c r="F38" s="18">
        <v>32</v>
      </c>
      <c r="G38" s="18">
        <v>30</v>
      </c>
      <c r="I38" s="19">
        <f t="shared" si="0"/>
        <v>23.071792500000001</v>
      </c>
      <c r="J38" s="20">
        <f t="shared" si="1"/>
        <v>7.3861343706396312E-2</v>
      </c>
      <c r="K38" s="20">
        <f t="shared" si="2"/>
        <v>2.4418401439783331E-2</v>
      </c>
      <c r="L38" s="20">
        <f t="shared" si="3"/>
        <v>1.9799424827264607E-2</v>
      </c>
      <c r="M38" s="20">
        <f t="shared" si="4"/>
        <v>4.9442942266612978E-2</v>
      </c>
      <c r="N38" s="17">
        <f t="shared" si="5"/>
        <v>8135984</v>
      </c>
      <c r="O38" s="20">
        <v>16</v>
      </c>
      <c r="P38" s="21">
        <v>83963908</v>
      </c>
      <c r="Q38" s="21">
        <v>2623872.125</v>
      </c>
      <c r="R38" s="21">
        <v>48278.125</v>
      </c>
      <c r="S38" s="22">
        <v>24609912</v>
      </c>
      <c r="T38" s="22">
        <v>6596984</v>
      </c>
      <c r="U38" s="22">
        <v>1539000</v>
      </c>
      <c r="V38" s="22">
        <v>16473928</v>
      </c>
      <c r="W38" s="23">
        <v>77.418415624999994</v>
      </c>
      <c r="X38" s="23">
        <v>80.140518749999998</v>
      </c>
      <c r="Y38" s="23">
        <v>39.70821875</v>
      </c>
      <c r="Z38" s="23">
        <v>44.538234375000009</v>
      </c>
      <c r="AA38" s="23">
        <v>47.814162500000009</v>
      </c>
      <c r="AB38" s="24">
        <v>3118.66</v>
      </c>
      <c r="AC38" s="24">
        <v>7579.62</v>
      </c>
      <c r="AD38" s="24">
        <v>47.915999999999997</v>
      </c>
      <c r="AE38" s="24">
        <v>42.683999999999997</v>
      </c>
      <c r="AG38" s="19">
        <f t="shared" si="6"/>
        <v>18.448395000000001</v>
      </c>
      <c r="AH38" s="20">
        <f t="shared" si="7"/>
        <v>5.9060137781941441E-2</v>
      </c>
      <c r="AI38" s="20">
        <f t="shared" si="8"/>
        <v>2.1106136012102067E-2</v>
      </c>
      <c r="AJ38" s="20">
        <f t="shared" si="9"/>
        <v>1.7044317826060258E-2</v>
      </c>
      <c r="AK38" s="20">
        <f t="shared" si="10"/>
        <v>3.7954001769839374E-2</v>
      </c>
      <c r="AL38" s="17">
        <f t="shared" si="11"/>
        <v>7032368</v>
      </c>
      <c r="AM38" s="20">
        <v>16</v>
      </c>
      <c r="AN38" s="21">
        <v>59375188</v>
      </c>
      <c r="AO38" s="21">
        <v>1855474.625</v>
      </c>
      <c r="AP38" s="21">
        <v>32570.4375</v>
      </c>
      <c r="AQ38" s="22">
        <v>19678288</v>
      </c>
      <c r="AR38" s="22">
        <v>5679008</v>
      </c>
      <c r="AS38" s="22">
        <v>1353360</v>
      </c>
      <c r="AT38" s="22">
        <v>12645920</v>
      </c>
      <c r="AU38" s="23">
        <v>73.219791000000001</v>
      </c>
      <c r="AV38" s="23">
        <v>79.064631000000006</v>
      </c>
      <c r="AW38" s="23">
        <v>37.726184000000003</v>
      </c>
      <c r="AX38" s="23">
        <v>44.063453000000003</v>
      </c>
      <c r="AY38" s="23">
        <v>47.084228000000003</v>
      </c>
      <c r="AZ38" s="24">
        <v>3446.19</v>
      </c>
      <c r="BA38" s="24">
        <v>3628.82</v>
      </c>
      <c r="BB38" s="24">
        <v>31.465</v>
      </c>
      <c r="BC38" s="24">
        <v>52.465000000000003</v>
      </c>
      <c r="BE38" s="49">
        <f t="shared" si="12"/>
        <v>0.86435371554319673</v>
      </c>
      <c r="BF38" s="25">
        <f t="shared" si="13"/>
        <v>-8.4587635118364007E-4</v>
      </c>
      <c r="BG38" s="25">
        <f t="shared" si="14"/>
        <v>2.676901020211564E-2</v>
      </c>
      <c r="BH38" s="25"/>
      <c r="BJ38" s="49"/>
      <c r="BK38" s="49"/>
      <c r="BL38" s="49"/>
      <c r="BM38" s="49"/>
      <c r="BN38" s="49"/>
      <c r="BP38" s="49"/>
      <c r="BQ38" s="49"/>
      <c r="BR38" s="49"/>
      <c r="BS38" s="49"/>
      <c r="BT38" s="49"/>
      <c r="BV38" s="53">
        <f t="shared" si="16"/>
        <v>-24588720</v>
      </c>
      <c r="BW38" s="53">
        <f t="shared" si="16"/>
        <v>-768397.5</v>
      </c>
      <c r="BX38" s="53">
        <f t="shared" si="16"/>
        <v>-15707.6875</v>
      </c>
      <c r="BY38" s="53">
        <f t="shared" si="16"/>
        <v>-4931624</v>
      </c>
      <c r="BZ38" s="53">
        <f t="shared" si="16"/>
        <v>-917976</v>
      </c>
      <c r="CA38" s="53">
        <f t="shared" si="16"/>
        <v>-185640</v>
      </c>
      <c r="CB38" s="53">
        <f t="shared" si="16"/>
        <v>-3828008</v>
      </c>
      <c r="CC38" s="53">
        <f t="shared" si="16"/>
        <v>-4.1986246249999937</v>
      </c>
      <c r="CD38" s="53">
        <f t="shared" si="16"/>
        <v>-1.0758877499999926</v>
      </c>
      <c r="CE38" s="53">
        <f t="shared" si="16"/>
        <v>-1.9820347499999968</v>
      </c>
      <c r="CF38" s="53">
        <f t="shared" si="16"/>
        <v>-0.47478137500000628</v>
      </c>
      <c r="CG38" s="53">
        <f t="shared" si="16"/>
        <v>-0.72993450000000593</v>
      </c>
      <c r="CJ38" t="s">
        <v>244</v>
      </c>
    </row>
    <row r="39" spans="1:88" ht="16" outlineLevel="1" thickBot="1" x14ac:dyDescent="0.25">
      <c r="A39" s="26"/>
      <c r="B39" s="26" t="s">
        <v>82</v>
      </c>
      <c r="C39" s="27" t="s">
        <v>237</v>
      </c>
      <c r="D39" s="26">
        <v>333190689</v>
      </c>
      <c r="E39" s="27">
        <v>11</v>
      </c>
      <c r="F39" s="27">
        <v>32</v>
      </c>
      <c r="G39" s="27">
        <v>30</v>
      </c>
      <c r="I39" s="28">
        <f t="shared" si="0"/>
        <v>42.438195</v>
      </c>
      <c r="J39" s="29">
        <f t="shared" si="1"/>
        <v>0.1358603631327765</v>
      </c>
      <c r="K39" s="29">
        <f t="shared" si="2"/>
        <v>3.9490059099460607E-2</v>
      </c>
      <c r="L39" s="29">
        <f t="shared" si="3"/>
        <v>3.0117168130109423E-2</v>
      </c>
      <c r="M39" s="29">
        <f t="shared" si="4"/>
        <v>9.6370304033315896E-2</v>
      </c>
      <c r="N39" s="26">
        <f t="shared" si="5"/>
        <v>13157720</v>
      </c>
      <c r="O39" s="29">
        <v>16</v>
      </c>
      <c r="P39" s="30">
        <v>82025858</v>
      </c>
      <c r="Q39" s="30">
        <v>2563308.0625</v>
      </c>
      <c r="R39" s="30">
        <v>19366.5625</v>
      </c>
      <c r="S39" s="31">
        <v>45267408</v>
      </c>
      <c r="T39" s="31">
        <v>10034760</v>
      </c>
      <c r="U39" s="31">
        <v>3122960</v>
      </c>
      <c r="V39" s="31">
        <v>32109688</v>
      </c>
      <c r="W39" s="32">
        <v>78.318231249999997</v>
      </c>
      <c r="X39" s="32">
        <v>81.877509374999974</v>
      </c>
      <c r="Y39" s="32">
        <v>41.303937499999989</v>
      </c>
      <c r="Z39" s="32">
        <v>45.534306250000007</v>
      </c>
      <c r="AA39" s="32">
        <v>49.130743749999993</v>
      </c>
      <c r="AB39" s="33">
        <v>3108.16</v>
      </c>
      <c r="AC39" s="33">
        <v>8136.05</v>
      </c>
      <c r="AD39" s="33">
        <v>50.872</v>
      </c>
      <c r="AE39" s="33">
        <v>48.18</v>
      </c>
      <c r="AG39" s="28">
        <f t="shared" si="6"/>
        <v>33.418275000000001</v>
      </c>
      <c r="AH39" s="29">
        <f t="shared" si="7"/>
        <v>0.10698426209623163</v>
      </c>
      <c r="AI39" s="29">
        <f t="shared" si="8"/>
        <v>3.3760367175206391E-2</v>
      </c>
      <c r="AJ39" s="29">
        <f t="shared" si="9"/>
        <v>2.5806555476704813E-2</v>
      </c>
      <c r="AK39" s="29">
        <f t="shared" si="10"/>
        <v>7.322389492102524E-2</v>
      </c>
      <c r="AL39" s="26">
        <f t="shared" si="11"/>
        <v>11248640</v>
      </c>
      <c r="AM39" s="29">
        <v>16</v>
      </c>
      <c r="AN39" s="30">
        <v>57680894</v>
      </c>
      <c r="AO39" s="30">
        <v>1802527.9375</v>
      </c>
      <c r="AP39" s="30">
        <v>13201.90625</v>
      </c>
      <c r="AQ39" s="31">
        <v>35646160</v>
      </c>
      <c r="AR39" s="31">
        <v>8598504</v>
      </c>
      <c r="AS39" s="31">
        <v>2650136</v>
      </c>
      <c r="AT39" s="31">
        <v>24397520</v>
      </c>
      <c r="AU39" s="32">
        <v>73.545691000000005</v>
      </c>
      <c r="AV39" s="32">
        <v>80.246708999999996</v>
      </c>
      <c r="AW39" s="32">
        <v>38.716608999999998</v>
      </c>
      <c r="AX39" s="32">
        <v>44.977240999999999</v>
      </c>
      <c r="AY39" s="32">
        <v>48.447200000000002</v>
      </c>
      <c r="AZ39" s="33">
        <v>3032.52</v>
      </c>
      <c r="BA39" s="33">
        <v>3061.8</v>
      </c>
      <c r="BB39" s="33">
        <v>26.797000000000001</v>
      </c>
      <c r="BC39" s="33">
        <v>42.414999999999999</v>
      </c>
      <c r="BE39" s="34">
        <f t="shared" si="12"/>
        <v>0.85490799317814947</v>
      </c>
      <c r="BF39" s="35">
        <f t="shared" si="13"/>
        <v>-2.3119411234023314E-4</v>
      </c>
      <c r="BG39" s="35">
        <f t="shared" si="14"/>
        <v>2.489734333945598E-2</v>
      </c>
      <c r="BH39" s="35"/>
      <c r="BJ39" s="34"/>
      <c r="BK39" s="34"/>
      <c r="BL39" s="34"/>
      <c r="BM39" s="34"/>
      <c r="BN39" s="34"/>
      <c r="BP39" s="34"/>
      <c r="BQ39" s="34"/>
      <c r="BR39" s="34"/>
      <c r="BS39" s="34"/>
      <c r="BT39" s="34"/>
      <c r="BV39" s="53">
        <f t="shared" si="16"/>
        <v>-24344964</v>
      </c>
      <c r="BW39" s="53">
        <f t="shared" si="16"/>
        <v>-760780.125</v>
      </c>
      <c r="BX39" s="53">
        <f t="shared" si="16"/>
        <v>-6164.65625</v>
      </c>
      <c r="BY39" s="53">
        <f t="shared" si="16"/>
        <v>-9621248</v>
      </c>
      <c r="BZ39" s="53">
        <f t="shared" si="16"/>
        <v>-1436256</v>
      </c>
      <c r="CA39" s="53">
        <f t="shared" si="16"/>
        <v>-472824</v>
      </c>
      <c r="CB39" s="53">
        <f t="shared" si="16"/>
        <v>-7712168</v>
      </c>
      <c r="CC39" s="53">
        <f t="shared" si="16"/>
        <v>-4.7725402499999916</v>
      </c>
      <c r="CD39" s="53">
        <f t="shared" si="16"/>
        <v>-1.6308003749999784</v>
      </c>
      <c r="CE39" s="53">
        <f t="shared" si="16"/>
        <v>-2.587328499999991</v>
      </c>
      <c r="CF39" s="53">
        <f t="shared" si="16"/>
        <v>-0.55706525000000795</v>
      </c>
      <c r="CG39" s="53">
        <f t="shared" si="16"/>
        <v>-0.68354374999999123</v>
      </c>
      <c r="CJ39" t="s">
        <v>244</v>
      </c>
    </row>
    <row r="40" spans="1:88" ht="16" x14ac:dyDescent="0.2">
      <c r="B40" s="46" t="s">
        <v>16</v>
      </c>
      <c r="J40" s="47">
        <f>AVERAGE(J5:J24)</f>
        <v>4.4675299317744624E-2</v>
      </c>
      <c r="K40" s="47">
        <f>AVERAGE(K5:K24)</f>
        <v>1.3934320314145566E-2</v>
      </c>
      <c r="L40" s="47">
        <f>AVERAGE(L5:L24)</f>
        <v>9.696269410246797E-3</v>
      </c>
      <c r="M40" s="47">
        <f>AVERAGE(M5:M24)</f>
        <v>3.074097900359906E-2</v>
      </c>
      <c r="AH40" s="47">
        <f>AVERAGE(AH5:AH24)</f>
        <v>3.6162832907856809E-2</v>
      </c>
      <c r="AI40" s="47">
        <f>AVERAGE(AI5:AI24)</f>
        <v>1.1986846389289787E-2</v>
      </c>
      <c r="AJ40" s="47">
        <f>AVERAGE(AJ5:AJ24)</f>
        <v>8.2576816828433749E-3</v>
      </c>
      <c r="AK40" s="47">
        <f>AVERAGE(AK5:AK24)</f>
        <v>2.4175986518567016E-2</v>
      </c>
      <c r="BE40" s="51">
        <f t="shared" si="12"/>
        <v>0.86023904424826658</v>
      </c>
      <c r="BH40" s="55">
        <f>AVERAGE(BH5:BH24)</f>
        <v>2.3030150109578054E-2</v>
      </c>
      <c r="BJ40" s="51">
        <f>AVERAGE(BJ5:BJ24)</f>
        <v>0.92270573594234007</v>
      </c>
      <c r="BK40" s="51">
        <f>AVERAGE(BK5:BK24)</f>
        <v>0.22442937244623556</v>
      </c>
      <c r="BL40" s="51">
        <f>AVERAGE(BL5:BL24)</f>
        <v>0.26089529725914062</v>
      </c>
      <c r="BM40" s="51">
        <f>AVERAGE(BM5:BM24)</f>
        <v>0.18150701854691309</v>
      </c>
      <c r="BN40" s="51">
        <f>AVERAGE(BN5:BN24)</f>
        <v>0.44863307694454585</v>
      </c>
      <c r="BP40" s="51">
        <f>AVERAGE(BP5:BP24)</f>
        <v>1.962521146822958</v>
      </c>
      <c r="BQ40" s="51">
        <f>AVERAGE(BQ5:BQ24)</f>
        <v>0.47522574958066616</v>
      </c>
      <c r="BR40" s="51">
        <f>AVERAGE(BR5:BR24)</f>
        <v>0.17655443523180525</v>
      </c>
      <c r="BS40" s="51">
        <f>AVERAGE(BS5:BS24)</f>
        <v>0.11714631704750306</v>
      </c>
      <c r="BT40" s="51">
        <f>AVERAGE(BT5:BT24)</f>
        <v>0.30032850247075926</v>
      </c>
    </row>
    <row r="41" spans="1:88" ht="16" x14ac:dyDescent="0.2">
      <c r="B41" s="46" t="s">
        <v>17</v>
      </c>
      <c r="J41" s="47">
        <f>AVERAGE(J25:J29)</f>
        <v>8.0184473190074892E-2</v>
      </c>
      <c r="K41" s="47">
        <f>AVERAGE(K25:K29)</f>
        <v>1.2464595817739278E-2</v>
      </c>
      <c r="L41" s="47">
        <f>AVERAGE(L25:L29)</f>
        <v>9.1151281892310389E-3</v>
      </c>
      <c r="M41" s="47">
        <f>AVERAGE(M25:M29)</f>
        <v>6.7719877372335618E-2</v>
      </c>
      <c r="AH41" s="47">
        <f>AVERAGE(AH25:AH29)</f>
        <v>5.2009391078229571E-2</v>
      </c>
      <c r="AI41" s="47">
        <f>AVERAGE(AI25:AI29)</f>
        <v>9.9179581921593485E-3</v>
      </c>
      <c r="AJ41" s="47">
        <f>AVERAGE(AJ25:AJ29)</f>
        <v>7.1490352915429866E-3</v>
      </c>
      <c r="AK41" s="47">
        <f>AVERAGE(AK25:AK29)</f>
        <v>4.2091432886070222E-2</v>
      </c>
      <c r="BE41" s="51">
        <f t="shared" si="12"/>
        <v>0.79569031657202849</v>
      </c>
      <c r="BH41" s="55">
        <f>AVERAGE(BH25:BH29)</f>
        <v>4.2050364319539402E-2</v>
      </c>
      <c r="BJ41" s="51">
        <f>AVERAGE(BJ25:BJ29)</f>
        <v>1</v>
      </c>
      <c r="BK41" s="51">
        <f>AVERAGE(BK25:BK29)</f>
        <v>0.26775059844894278</v>
      </c>
      <c r="BL41" s="51">
        <f>AVERAGE(BL25:BL29)</f>
        <v>0.5586554549598628</v>
      </c>
      <c r="BM41" s="51">
        <f>AVERAGE(BM25:BM29)</f>
        <v>0.63060141419437632</v>
      </c>
      <c r="BN41" s="51">
        <f>AVERAGE(BN25:BN29)</f>
        <v>1.1051966411859464</v>
      </c>
      <c r="BP41" s="51">
        <f>AVERAGE(BP25:BP29)</f>
        <v>1</v>
      </c>
      <c r="BQ41" s="51">
        <f>AVERAGE(BQ25:BQ29)</f>
        <v>0.58985421611618127</v>
      </c>
      <c r="BR41" s="51">
        <f>AVERAGE(BR25:BR29)</f>
        <v>0.44888802957930007</v>
      </c>
      <c r="BS41" s="51">
        <f>AVERAGE(BS25:BS29)</f>
        <v>0.52697713717813199</v>
      </c>
      <c r="BT41" s="51">
        <f>AVERAGE(BT25:BT29)</f>
        <v>0.90317703896324963</v>
      </c>
    </row>
    <row r="42" spans="1:88" ht="16" x14ac:dyDescent="0.2">
      <c r="B42" s="46" t="s">
        <v>18</v>
      </c>
      <c r="J42" s="47">
        <f>AVERAGE(J30:J39)</f>
        <v>5.5243037645730686E-2</v>
      </c>
      <c r="K42" s="47">
        <f>AVERAGE(K30:K39)</f>
        <v>2.0098335575239341E-2</v>
      </c>
      <c r="L42" s="47">
        <f>AVERAGE(L30:L39)</f>
        <v>1.5038954141750719E-2</v>
      </c>
      <c r="M42" s="47">
        <f>AVERAGE(M30:M39)</f>
        <v>3.5144702070491349E-2</v>
      </c>
      <c r="AH42" s="47">
        <f>AVERAGE(AH30:AH39)</f>
        <v>4.487972141699232E-2</v>
      </c>
      <c r="AI42" s="47">
        <f>AVERAGE(AI30:AI39)</f>
        <v>1.7147875120511271E-2</v>
      </c>
      <c r="AJ42" s="47">
        <f>AVERAGE(AJ30:AJ39)</f>
        <v>1.2779001421103438E-2</v>
      </c>
      <c r="AK42" s="47">
        <f>AVERAGE(AK30:AK39)</f>
        <v>2.7731846296481046E-2</v>
      </c>
      <c r="BE42" s="51">
        <f t="shared" si="12"/>
        <v>0.85319876645094106</v>
      </c>
      <c r="BH42" s="55">
        <f>AVERAGE(BH30:BH39)</f>
        <v>1.6095038989681509E-2</v>
      </c>
      <c r="BJ42" s="51">
        <f>AVERAGE(BJ30:BJ39)</f>
        <v>1.4311531714877839</v>
      </c>
      <c r="BK42" s="51">
        <f>AVERAGE(BK30:BK39)</f>
        <v>7.1455290032021113E-2</v>
      </c>
      <c r="BL42" s="51">
        <f>AVERAGE(BL30:BL39)</f>
        <v>0.30316440334858885</v>
      </c>
      <c r="BM42" s="51">
        <f>AVERAGE(BM30:BM39)</f>
        <v>0.20178108901908065</v>
      </c>
      <c r="BN42" s="51">
        <f>AVERAGE(BN30:BN39)</f>
        <v>0.10454513565087187</v>
      </c>
      <c r="BP42" s="51">
        <f>AVERAGE(BP30:BP39)</f>
        <v>3.4916841792376978</v>
      </c>
      <c r="BQ42" s="51">
        <f>AVERAGE(BQ30:BQ39)</f>
        <v>0.20096023578498323</v>
      </c>
      <c r="BR42" s="51">
        <f>AVERAGE(BR30:BR39)</f>
        <v>0.19020895872562416</v>
      </c>
      <c r="BS42" s="51">
        <f>AVERAGE(BS30:BS39)</f>
        <v>0.12444818718733208</v>
      </c>
      <c r="BT42" s="51">
        <f>AVERAGE(BT30:BT39)</f>
        <v>5.3005959603901975E-2</v>
      </c>
    </row>
    <row r="43" spans="1:88" ht="16" x14ac:dyDescent="0.2">
      <c r="B43" s="46" t="s">
        <v>19</v>
      </c>
      <c r="J43" s="47">
        <f>AVERAGE(J5:J39)</f>
        <v>5.2767392250359257E-2</v>
      </c>
      <c r="K43" s="47">
        <f>AVERAGE(K5:K39)</f>
        <v>1.5485506889257174E-2</v>
      </c>
      <c r="L43" s="47">
        <f>AVERAGE(L5:L39)</f>
        <v>1.1139730587674238E-2</v>
      </c>
      <c r="M43" s="47">
        <f>AVERAGE(M5:M39)</f>
        <v>3.728188536110208E-2</v>
      </c>
      <c r="AH43" s="47">
        <f>AVERAGE(AH5:AH39)</f>
        <v>4.0917166506234483E-2</v>
      </c>
      <c r="AI43" s="47">
        <f>AVERAGE(AI5:AI39)</f>
        <v>1.3165870570048721E-2</v>
      </c>
      <c r="AJ43" s="47">
        <f>AVERAGE(AJ5:AJ39)</f>
        <v>9.3911092664461931E-3</v>
      </c>
      <c r="AK43" s="47">
        <f>AVERAGE(AK5:AK39)</f>
        <v>2.7751295936185767E-2</v>
      </c>
      <c r="BE43" s="51">
        <f t="shared" si="12"/>
        <v>0.8502059806116089</v>
      </c>
      <c r="BH43" s="55">
        <f>AVERAGE(BH5:BH39)</f>
        <v>2.3765863248173518E-2</v>
      </c>
      <c r="BJ43" s="51">
        <f>AVERAGE(BJ5:BJ39)</f>
        <v>1.0790184695349898</v>
      </c>
      <c r="BK43" s="51">
        <f>AVERAGE(BK5:BK39)</f>
        <v>0.18691123832827533</v>
      </c>
      <c r="BL43" s="51">
        <f>AVERAGE(BL5:BL39)</f>
        <v>0.31550935009908615</v>
      </c>
      <c r="BM43" s="51">
        <f>AVERAGE(BM5:BM39)</f>
        <v>0.25145595234574142</v>
      </c>
      <c r="BN43" s="51">
        <f>AVERAGE(BN5:BN39)</f>
        <v>0.44411703146655335</v>
      </c>
      <c r="BP43" s="51">
        <f>AVERAGE(BP5:BP39)</f>
        <v>2.2619218493953182</v>
      </c>
      <c r="BQ43" s="51">
        <f>AVERAGE(BQ5:BQ39)</f>
        <v>0.41323966942983031</v>
      </c>
      <c r="BR43" s="51">
        <f>AVERAGE(BR5:BR39)</f>
        <v>0.2193605268511099</v>
      </c>
      <c r="BS43" s="51">
        <f>AVERAGE(BS5:BS39)</f>
        <v>0.17777982567754405</v>
      </c>
      <c r="BT43" s="51">
        <f>AVERAGE(BT5:BT39)</f>
        <v>0.31578613829344143</v>
      </c>
    </row>
    <row r="44" spans="1:88" ht="16" hidden="1" outlineLevel="2" x14ac:dyDescent="0.2">
      <c r="A44" s="46" t="s">
        <v>245</v>
      </c>
      <c r="B44" s="46" t="s">
        <v>246</v>
      </c>
      <c r="AB44" s="48">
        <f>SUM(AB5:AB24,AB25:AB29,AB30:AB39)</f>
        <v>115716.1</v>
      </c>
      <c r="AC44" s="48">
        <f>SUM(AC5:AC24,AC25:AC29,AC30:AC39)</f>
        <v>99857.21</v>
      </c>
      <c r="AD44" s="48">
        <f>SUM(AD5:AD24,AD25:AD29,AD30:AD39)</f>
        <v>771.32799999999986</v>
      </c>
      <c r="AE44" s="48">
        <f>SUM(AE5:AE24,AE25:AE29,AE30:AE39)</f>
        <v>640.26400000000001</v>
      </c>
      <c r="AZ44" s="48">
        <f>SUM(AZ5:AZ24,AZ25:AZ29,AZ30:AZ39)</f>
        <v>123630.28999999998</v>
      </c>
      <c r="BA44" s="48">
        <f>SUM(BA5:BA24,BA25:BA29,BA30:BA39)</f>
        <v>61594.950000000004</v>
      </c>
      <c r="BB44" s="48">
        <f>SUM(BB5:BB24,BB25:BB29,BB30:BB39)</f>
        <v>512.86900000000003</v>
      </c>
      <c r="BC44" s="48">
        <f>SUM(BC5:BC24,BC25:BC29,BC30:BC39)</f>
        <v>895.27800000000002</v>
      </c>
    </row>
    <row r="45" spans="1:88" ht="16" hidden="1" outlineLevel="2" x14ac:dyDescent="0.2">
      <c r="B45" s="46" t="s">
        <v>247</v>
      </c>
      <c r="AZ45" s="55">
        <f>AZ44/AB44</f>
        <v>1.0683931622306659</v>
      </c>
      <c r="BA45" s="55">
        <f>BA44/AC44</f>
        <v>0.6168302719453107</v>
      </c>
      <c r="BB45" s="55">
        <f>BB44/AD44</f>
        <v>0.66491687064387672</v>
      </c>
      <c r="BC45" s="55">
        <f>BC44/AE44</f>
        <v>1.3982950782802095</v>
      </c>
    </row>
    <row r="46" spans="1:88" ht="16" hidden="1" outlineLevel="2" x14ac:dyDescent="0.2">
      <c r="B46" s="46" t="s">
        <v>248</v>
      </c>
      <c r="AB46" s="48">
        <f>GEOMEAN(AB5:AB24,AB25:AB29,AB30:AB39)</f>
        <v>3135.7980604223867</v>
      </c>
      <c r="AC46" s="48">
        <f>GEOMEAN(AC5:AC24,AC25:AC29,AC30:AC39)</f>
        <v>2372.164310088971</v>
      </c>
      <c r="AD46" s="48">
        <f>GEOMEAN(AD5:AD24,AD25:AD29,AD30:AD39)</f>
        <v>18.575603744785184</v>
      </c>
      <c r="AE46" s="48">
        <f>GEOMEAN(AE5:AE24,AE25:AE29,AE30:AE39)</f>
        <v>15.607504487029411</v>
      </c>
      <c r="AZ46" s="48">
        <f>GEOMEAN(AZ5:AZ24,AZ25:AZ29,AZ30:AZ39)</f>
        <v>3336.1444942849812</v>
      </c>
      <c r="BA46" s="48">
        <f>GEOMEAN(BA5:BA24,BA25:BA29,BA30:BA39)</f>
        <v>1594.5739299699424</v>
      </c>
      <c r="BB46" s="48">
        <f>GEOMEAN(BB5:BB24,BB25:BB29,BB30:BB39)</f>
        <v>12.299534349834831</v>
      </c>
      <c r="BC46" s="48">
        <f>GEOMEAN(BC5:BC24,BC25:BC29,BC30:BC39)</f>
        <v>23.273642695491347</v>
      </c>
    </row>
    <row r="47" spans="1:88" ht="16" outlineLevel="2" collapsed="1" x14ac:dyDescent="0.2">
      <c r="B47" s="46" t="s">
        <v>249</v>
      </c>
      <c r="AZ47" s="55">
        <f>AZ46/AB46</f>
        <v>1.0638900943243801</v>
      </c>
      <c r="BA47" s="55">
        <f>BA46/AC46</f>
        <v>0.6722021418112204</v>
      </c>
      <c r="BB47" s="55">
        <f>BB46/AD46</f>
        <v>0.66213375989395429</v>
      </c>
      <c r="BC47" s="55">
        <f>BC46/AE46</f>
        <v>1.4911828290571927</v>
      </c>
    </row>
  </sheetData>
  <mergeCells count="48">
    <mergeCell ref="CE2:CG2"/>
    <mergeCell ref="BV2:BV3"/>
    <mergeCell ref="BW2:BW3"/>
    <mergeCell ref="BX2:BX3"/>
    <mergeCell ref="BY2:CB2"/>
    <mergeCell ref="CC2:CD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H1" sqref="H1:AC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1" t="s">
        <v>572</v>
      </c>
      <c r="B1" s="59"/>
      <c r="C1" s="59"/>
      <c r="D1" s="59"/>
      <c r="E1" s="59"/>
      <c r="F1" s="59"/>
      <c r="H1" s="67"/>
      <c r="I1" s="59"/>
      <c r="J1" s="59"/>
      <c r="K1" s="59"/>
      <c r="L1" s="59"/>
      <c r="M1" s="59"/>
      <c r="N1" s="59"/>
      <c r="O1" s="59"/>
      <c r="P1" s="59"/>
      <c r="Q1" s="59"/>
      <c r="R1" s="59"/>
      <c r="S1" s="59"/>
      <c r="T1" s="59"/>
      <c r="U1" s="59"/>
      <c r="V1" s="59"/>
      <c r="W1" s="59"/>
      <c r="X1" s="59"/>
      <c r="Y1" s="59"/>
      <c r="Z1" s="59"/>
      <c r="AA1" s="59"/>
      <c r="AB1" s="59"/>
      <c r="AC1" s="59"/>
      <c r="AE1" s="68"/>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3" t="s">
        <v>139</v>
      </c>
      <c r="B2" s="72" t="s">
        <v>140</v>
      </c>
      <c r="C2" s="73" t="s">
        <v>142</v>
      </c>
      <c r="D2" s="72" t="s">
        <v>143</v>
      </c>
      <c r="E2" s="73" t="s">
        <v>144</v>
      </c>
      <c r="F2" s="72" t="s">
        <v>145</v>
      </c>
      <c r="H2" s="73" t="s">
        <v>573</v>
      </c>
      <c r="I2" s="72" t="s">
        <v>146</v>
      </c>
      <c r="J2" s="70" t="s">
        <v>147</v>
      </c>
      <c r="K2" s="59"/>
      <c r="L2" s="59"/>
      <c r="M2" s="59"/>
      <c r="N2" s="73" t="s">
        <v>148</v>
      </c>
      <c r="O2" s="72" t="s">
        <v>149</v>
      </c>
      <c r="P2" s="73" t="s">
        <v>86</v>
      </c>
      <c r="Q2" s="69" t="s">
        <v>150</v>
      </c>
      <c r="R2" s="59"/>
      <c r="S2" s="59"/>
      <c r="T2" s="59"/>
      <c r="U2" s="70" t="s">
        <v>151</v>
      </c>
      <c r="V2" s="59"/>
      <c r="W2" s="69" t="s">
        <v>152</v>
      </c>
      <c r="X2" s="59"/>
      <c r="Y2" s="59"/>
      <c r="Z2" s="70" t="s">
        <v>153</v>
      </c>
      <c r="AA2" s="59"/>
      <c r="AB2" s="69" t="s">
        <v>154</v>
      </c>
      <c r="AC2" s="59"/>
      <c r="AE2" s="73" t="s">
        <v>573</v>
      </c>
      <c r="AF2" s="72" t="s">
        <v>146</v>
      </c>
      <c r="AG2" s="70" t="s">
        <v>147</v>
      </c>
      <c r="AH2" s="59"/>
      <c r="AI2" s="59"/>
      <c r="AJ2" s="59"/>
      <c r="AK2" s="73" t="s">
        <v>155</v>
      </c>
      <c r="AL2" s="72" t="s">
        <v>149</v>
      </c>
      <c r="AM2" s="73" t="s">
        <v>86</v>
      </c>
      <c r="AN2" s="69" t="s">
        <v>150</v>
      </c>
      <c r="AO2" s="59"/>
      <c r="AP2" s="59"/>
      <c r="AQ2" s="59"/>
      <c r="AR2" s="70" t="s">
        <v>151</v>
      </c>
      <c r="AS2" s="59"/>
      <c r="AT2" s="69" t="s">
        <v>152</v>
      </c>
      <c r="AU2" s="59"/>
      <c r="AV2" s="59"/>
      <c r="AW2" s="70" t="s">
        <v>153</v>
      </c>
      <c r="AX2" s="59"/>
      <c r="AY2" s="69" t="s">
        <v>154</v>
      </c>
      <c r="AZ2" s="59"/>
      <c r="BB2" s="70" t="s">
        <v>24</v>
      </c>
      <c r="BC2" s="59"/>
      <c r="BD2" s="59"/>
      <c r="BE2" s="59"/>
      <c r="BF2" s="72" t="s">
        <v>158</v>
      </c>
      <c r="BG2" s="73" t="s">
        <v>158</v>
      </c>
      <c r="BI2" s="73" t="s">
        <v>86</v>
      </c>
      <c r="BJ2" s="69" t="s">
        <v>150</v>
      </c>
      <c r="BK2" s="59"/>
      <c r="BL2" s="59"/>
      <c r="BM2" s="59"/>
    </row>
    <row r="3" spans="1:68" ht="29" customHeight="1" thickBot="1" x14ac:dyDescent="0.25">
      <c r="A3" s="61"/>
      <c r="B3" s="61"/>
      <c r="C3" s="61"/>
      <c r="D3" s="61"/>
      <c r="E3" s="61"/>
      <c r="F3" s="61"/>
      <c r="H3" s="61"/>
      <c r="I3" s="61"/>
      <c r="J3" s="56" t="s">
        <v>27</v>
      </c>
      <c r="K3" s="56" t="s">
        <v>25</v>
      </c>
      <c r="L3" s="56" t="s">
        <v>159</v>
      </c>
      <c r="M3" s="56" t="s">
        <v>160</v>
      </c>
      <c r="N3" s="61"/>
      <c r="O3" s="61"/>
      <c r="P3" s="61"/>
      <c r="Q3" s="57" t="s">
        <v>27</v>
      </c>
      <c r="R3" s="57" t="s">
        <v>159</v>
      </c>
      <c r="S3" s="57" t="s">
        <v>161</v>
      </c>
      <c r="T3" s="57" t="s">
        <v>26</v>
      </c>
      <c r="U3" s="56" t="s">
        <v>11</v>
      </c>
      <c r="V3" s="56" t="s">
        <v>12</v>
      </c>
      <c r="W3" s="57" t="s">
        <v>13</v>
      </c>
      <c r="X3" s="57" t="s">
        <v>14</v>
      </c>
      <c r="Y3" s="57" t="s">
        <v>15</v>
      </c>
      <c r="Z3" s="56" t="s">
        <v>162</v>
      </c>
      <c r="AA3" s="56" t="s">
        <v>163</v>
      </c>
      <c r="AB3" s="57" t="s">
        <v>162</v>
      </c>
      <c r="AC3" s="57" t="s">
        <v>163</v>
      </c>
      <c r="AE3" s="61"/>
      <c r="AF3" s="61"/>
      <c r="AG3" s="56" t="s">
        <v>27</v>
      </c>
      <c r="AH3" s="56" t="s">
        <v>25</v>
      </c>
      <c r="AI3" s="56" t="s">
        <v>159</v>
      </c>
      <c r="AJ3" s="56" t="s">
        <v>160</v>
      </c>
      <c r="AK3" s="61"/>
      <c r="AL3" s="61"/>
      <c r="AM3" s="61"/>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1"/>
      <c r="BG3" s="61"/>
      <c r="BI3" s="61"/>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241</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239</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580</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581</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U2:V2"/>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K5" activePane="bottomRight" state="frozen"/>
      <selection pane="topRight" activeCell="C1" sqref="C1"/>
      <selection pane="bottomLeft" activeCell="A5" sqref="A5"/>
      <selection pane="bottomRight" activeCell="AE1" sqref="AE1:AZ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1" t="s">
        <v>582</v>
      </c>
      <c r="B1" s="59"/>
      <c r="C1" s="59"/>
      <c r="D1" s="59"/>
      <c r="E1" s="59"/>
      <c r="F1" s="59"/>
      <c r="H1" s="67"/>
      <c r="I1" s="59"/>
      <c r="J1" s="59"/>
      <c r="K1" s="59"/>
      <c r="L1" s="59"/>
      <c r="M1" s="59"/>
      <c r="N1" s="59"/>
      <c r="O1" s="59"/>
      <c r="P1" s="59"/>
      <c r="Q1" s="59"/>
      <c r="R1" s="59"/>
      <c r="S1" s="59"/>
      <c r="T1" s="59"/>
      <c r="U1" s="59"/>
      <c r="V1" s="59"/>
      <c r="W1" s="59"/>
      <c r="X1" s="59"/>
      <c r="Y1" s="59"/>
      <c r="Z1" s="59"/>
      <c r="AA1" s="59"/>
      <c r="AB1" s="59"/>
      <c r="AC1" s="59"/>
      <c r="AE1" s="68"/>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3" t="s">
        <v>139</v>
      </c>
      <c r="B2" s="72" t="s">
        <v>140</v>
      </c>
      <c r="C2" s="73" t="s">
        <v>142</v>
      </c>
      <c r="D2" s="72" t="s">
        <v>143</v>
      </c>
      <c r="E2" s="73" t="s">
        <v>144</v>
      </c>
      <c r="F2" s="72" t="s">
        <v>145</v>
      </c>
      <c r="H2" s="73" t="s">
        <v>573</v>
      </c>
      <c r="I2" s="72" t="s">
        <v>146</v>
      </c>
      <c r="J2" s="70" t="s">
        <v>147</v>
      </c>
      <c r="K2" s="59"/>
      <c r="L2" s="59"/>
      <c r="M2" s="59"/>
      <c r="N2" s="73" t="s">
        <v>148</v>
      </c>
      <c r="O2" s="72" t="s">
        <v>149</v>
      </c>
      <c r="P2" s="73" t="s">
        <v>86</v>
      </c>
      <c r="Q2" s="69" t="s">
        <v>150</v>
      </c>
      <c r="R2" s="59"/>
      <c r="S2" s="59"/>
      <c r="T2" s="59"/>
      <c r="U2" s="70" t="s">
        <v>151</v>
      </c>
      <c r="V2" s="59"/>
      <c r="W2" s="69" t="s">
        <v>152</v>
      </c>
      <c r="X2" s="59"/>
      <c r="Y2" s="59"/>
      <c r="Z2" s="70" t="s">
        <v>153</v>
      </c>
      <c r="AA2" s="59"/>
      <c r="AB2" s="69" t="s">
        <v>154</v>
      </c>
      <c r="AC2" s="59"/>
      <c r="AE2" s="73" t="s">
        <v>573</v>
      </c>
      <c r="AF2" s="72" t="s">
        <v>146</v>
      </c>
      <c r="AG2" s="70" t="s">
        <v>147</v>
      </c>
      <c r="AH2" s="59"/>
      <c r="AI2" s="59"/>
      <c r="AJ2" s="59"/>
      <c r="AK2" s="73" t="s">
        <v>155</v>
      </c>
      <c r="AL2" s="72" t="s">
        <v>149</v>
      </c>
      <c r="AM2" s="73" t="s">
        <v>86</v>
      </c>
      <c r="AN2" s="69" t="s">
        <v>150</v>
      </c>
      <c r="AO2" s="59"/>
      <c r="AP2" s="59"/>
      <c r="AQ2" s="59"/>
      <c r="AR2" s="70" t="s">
        <v>151</v>
      </c>
      <c r="AS2" s="59"/>
      <c r="AT2" s="69" t="s">
        <v>152</v>
      </c>
      <c r="AU2" s="59"/>
      <c r="AV2" s="59"/>
      <c r="AW2" s="70" t="s">
        <v>153</v>
      </c>
      <c r="AX2" s="59"/>
      <c r="AY2" s="69" t="s">
        <v>154</v>
      </c>
      <c r="AZ2" s="59"/>
      <c r="BB2" s="70" t="s">
        <v>24</v>
      </c>
      <c r="BC2" s="59"/>
      <c r="BD2" s="59"/>
      <c r="BE2" s="59"/>
      <c r="BF2" s="72" t="s">
        <v>158</v>
      </c>
      <c r="BG2" s="73" t="s">
        <v>158</v>
      </c>
      <c r="BI2" s="73" t="s">
        <v>86</v>
      </c>
      <c r="BJ2" s="69" t="s">
        <v>150</v>
      </c>
      <c r="BK2" s="59"/>
      <c r="BL2" s="59"/>
      <c r="BM2" s="59"/>
    </row>
    <row r="3" spans="1:68" ht="29" customHeight="1" thickBot="1" x14ac:dyDescent="0.25">
      <c r="A3" s="61"/>
      <c r="B3" s="61"/>
      <c r="C3" s="61"/>
      <c r="D3" s="61"/>
      <c r="E3" s="61"/>
      <c r="F3" s="61"/>
      <c r="H3" s="61"/>
      <c r="I3" s="61"/>
      <c r="J3" s="56" t="s">
        <v>27</v>
      </c>
      <c r="K3" s="56" t="s">
        <v>25</v>
      </c>
      <c r="L3" s="56" t="s">
        <v>159</v>
      </c>
      <c r="M3" s="56" t="s">
        <v>160</v>
      </c>
      <c r="N3" s="61"/>
      <c r="O3" s="61"/>
      <c r="P3" s="61"/>
      <c r="Q3" s="57" t="s">
        <v>27</v>
      </c>
      <c r="R3" s="57" t="s">
        <v>159</v>
      </c>
      <c r="S3" s="57" t="s">
        <v>161</v>
      </c>
      <c r="T3" s="57" t="s">
        <v>26</v>
      </c>
      <c r="U3" s="56" t="s">
        <v>11</v>
      </c>
      <c r="V3" s="56" t="s">
        <v>12</v>
      </c>
      <c r="W3" s="57" t="s">
        <v>13</v>
      </c>
      <c r="X3" s="57" t="s">
        <v>14</v>
      </c>
      <c r="Y3" s="57" t="s">
        <v>15</v>
      </c>
      <c r="Z3" s="56" t="s">
        <v>162</v>
      </c>
      <c r="AA3" s="56" t="s">
        <v>163</v>
      </c>
      <c r="AB3" s="57" t="s">
        <v>162</v>
      </c>
      <c r="AC3" s="57" t="s">
        <v>163</v>
      </c>
      <c r="AE3" s="61"/>
      <c r="AF3" s="61"/>
      <c r="AG3" s="56" t="s">
        <v>27</v>
      </c>
      <c r="AH3" s="56" t="s">
        <v>25</v>
      </c>
      <c r="AI3" s="56" t="s">
        <v>159</v>
      </c>
      <c r="AJ3" s="56" t="s">
        <v>160</v>
      </c>
      <c r="AK3" s="61"/>
      <c r="AL3" s="61"/>
      <c r="AM3" s="61"/>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1"/>
      <c r="BG3" s="61"/>
      <c r="BI3" s="61"/>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239</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583</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584</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585</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U2:V2"/>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80" zoomScaleNormal="80" workbookViewId="0">
      <pane xSplit="2" ySplit="4" topLeftCell="AO19" activePane="bottomRight" state="frozen"/>
      <selection pane="topRight" activeCell="C1" sqref="C1"/>
      <selection pane="bottomLeft" activeCell="A5" sqref="A5"/>
      <selection pane="bottomRight" activeCell="AQ25" sqref="AQ25"/>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1" t="s">
        <v>586</v>
      </c>
      <c r="B1" s="59"/>
      <c r="C1" s="59"/>
      <c r="D1" s="59"/>
      <c r="E1" s="59"/>
      <c r="F1" s="59"/>
      <c r="G1" s="59"/>
      <c r="I1" s="67" t="s">
        <v>591</v>
      </c>
      <c r="J1" s="59"/>
      <c r="K1" s="59"/>
      <c r="L1" s="59"/>
      <c r="M1" s="59"/>
      <c r="N1" s="59"/>
      <c r="O1" s="59"/>
      <c r="P1" s="59"/>
      <c r="Q1" s="59"/>
      <c r="R1" s="59"/>
      <c r="S1" s="59"/>
      <c r="T1" s="59"/>
      <c r="U1" s="59"/>
      <c r="V1" s="59"/>
      <c r="W1" s="59"/>
      <c r="X1" s="59"/>
      <c r="Y1" s="59"/>
      <c r="Z1" s="59"/>
      <c r="AA1" s="59"/>
      <c r="AB1" s="59"/>
      <c r="AC1" s="59"/>
      <c r="AD1" s="59"/>
      <c r="AE1" s="59"/>
      <c r="AG1" s="68" t="s">
        <v>592</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3" t="s">
        <v>139</v>
      </c>
      <c r="B2" s="72" t="s">
        <v>140</v>
      </c>
      <c r="C2" s="73" t="s">
        <v>141</v>
      </c>
      <c r="D2" s="72" t="s">
        <v>142</v>
      </c>
      <c r="E2" s="73" t="s">
        <v>143</v>
      </c>
      <c r="F2" s="72" t="s">
        <v>144</v>
      </c>
      <c r="G2" s="73" t="s">
        <v>145</v>
      </c>
      <c r="I2" s="72" t="s">
        <v>146</v>
      </c>
      <c r="J2" s="70" t="s">
        <v>147</v>
      </c>
      <c r="K2" s="59"/>
      <c r="L2" s="59"/>
      <c r="M2" s="59"/>
      <c r="N2" s="73" t="s">
        <v>148</v>
      </c>
      <c r="O2" s="72" t="s">
        <v>149</v>
      </c>
      <c r="P2" s="73" t="s">
        <v>86</v>
      </c>
      <c r="Q2" s="72" t="s">
        <v>88</v>
      </c>
      <c r="R2" s="73" t="s">
        <v>84</v>
      </c>
      <c r="S2" s="69" t="s">
        <v>150</v>
      </c>
      <c r="T2" s="59"/>
      <c r="U2" s="59"/>
      <c r="V2" s="59"/>
      <c r="W2" s="70" t="s">
        <v>151</v>
      </c>
      <c r="X2" s="59"/>
      <c r="Y2" s="69" t="s">
        <v>152</v>
      </c>
      <c r="Z2" s="59"/>
      <c r="AA2" s="59"/>
      <c r="AB2" s="70" t="s">
        <v>153</v>
      </c>
      <c r="AC2" s="59"/>
      <c r="AD2" s="69" t="s">
        <v>154</v>
      </c>
      <c r="AE2" s="59"/>
      <c r="AG2" s="73" t="s">
        <v>146</v>
      </c>
      <c r="AH2" s="69" t="s">
        <v>147</v>
      </c>
      <c r="AI2" s="59"/>
      <c r="AJ2" s="59"/>
      <c r="AK2" s="59"/>
      <c r="AL2" s="72" t="s">
        <v>155</v>
      </c>
      <c r="AM2" s="73" t="s">
        <v>149</v>
      </c>
      <c r="AN2" s="72" t="s">
        <v>86</v>
      </c>
      <c r="AO2" s="73" t="s">
        <v>88</v>
      </c>
      <c r="AP2" s="72" t="s">
        <v>84</v>
      </c>
      <c r="AQ2" s="70" t="s">
        <v>150</v>
      </c>
      <c r="AR2" s="59"/>
      <c r="AS2" s="59"/>
      <c r="AT2" s="59"/>
      <c r="AU2" s="69" t="s">
        <v>151</v>
      </c>
      <c r="AV2" s="59"/>
      <c r="AW2" s="70" t="s">
        <v>152</v>
      </c>
      <c r="AX2" s="59"/>
      <c r="AY2" s="59"/>
      <c r="AZ2" s="69" t="s">
        <v>153</v>
      </c>
      <c r="BA2" s="59"/>
      <c r="BB2" s="70" t="s">
        <v>154</v>
      </c>
      <c r="BC2" s="59"/>
      <c r="BE2" s="72" t="s">
        <v>156</v>
      </c>
      <c r="BF2" s="73" t="s">
        <v>157</v>
      </c>
      <c r="BG2" s="72" t="s">
        <v>158</v>
      </c>
      <c r="BH2" s="73" t="s">
        <v>158</v>
      </c>
      <c r="BJ2" s="69" t="s">
        <v>7</v>
      </c>
      <c r="BK2" s="59"/>
      <c r="BL2" s="70" t="s">
        <v>8</v>
      </c>
      <c r="BM2" s="59"/>
      <c r="BN2" s="59"/>
      <c r="BP2" s="69" t="s">
        <v>9</v>
      </c>
      <c r="BQ2" s="59"/>
      <c r="BR2" s="70" t="s">
        <v>10</v>
      </c>
      <c r="BS2" s="59"/>
      <c r="BT2" s="59"/>
      <c r="BV2" s="72" t="s">
        <v>86</v>
      </c>
      <c r="BW2" s="73" t="s">
        <v>88</v>
      </c>
      <c r="BX2" s="72" t="s">
        <v>84</v>
      </c>
      <c r="BY2" s="70" t="s">
        <v>150</v>
      </c>
      <c r="BZ2" s="59"/>
      <c r="CA2" s="59"/>
      <c r="CB2" s="59"/>
      <c r="CC2" s="69" t="s">
        <v>151</v>
      </c>
      <c r="CD2" s="59"/>
      <c r="CE2" s="70" t="s">
        <v>152</v>
      </c>
      <c r="CF2" s="59"/>
      <c r="CG2" s="59"/>
    </row>
    <row r="3" spans="1:88" ht="33" thickBot="1" x14ac:dyDescent="0.25">
      <c r="A3" s="61"/>
      <c r="B3" s="61"/>
      <c r="C3" s="61"/>
      <c r="D3" s="61"/>
      <c r="E3" s="61"/>
      <c r="F3" s="61"/>
      <c r="G3" s="61"/>
      <c r="I3" s="61"/>
      <c r="J3" s="56" t="s">
        <v>27</v>
      </c>
      <c r="K3" s="56" t="s">
        <v>25</v>
      </c>
      <c r="L3" s="56" t="s">
        <v>159</v>
      </c>
      <c r="M3" s="56" t="s">
        <v>160</v>
      </c>
      <c r="N3" s="61"/>
      <c r="O3" s="61"/>
      <c r="P3" s="61"/>
      <c r="Q3" s="61"/>
      <c r="R3" s="61"/>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1"/>
      <c r="AH3" s="57" t="s">
        <v>27</v>
      </c>
      <c r="AI3" s="57" t="s">
        <v>25</v>
      </c>
      <c r="AJ3" s="57" t="s">
        <v>159</v>
      </c>
      <c r="AK3" s="57" t="s">
        <v>160</v>
      </c>
      <c r="AL3" s="61"/>
      <c r="AM3" s="61"/>
      <c r="AN3" s="61"/>
      <c r="AO3" s="61"/>
      <c r="AP3" s="61"/>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1"/>
      <c r="BF3" s="61"/>
      <c r="BG3" s="61"/>
      <c r="BH3" s="61"/>
      <c r="BJ3" s="57" t="s">
        <v>11</v>
      </c>
      <c r="BK3" s="57" t="s">
        <v>12</v>
      </c>
      <c r="BL3" s="56" t="s">
        <v>13</v>
      </c>
      <c r="BM3" s="56" t="s">
        <v>14</v>
      </c>
      <c r="BN3" s="56" t="s">
        <v>15</v>
      </c>
      <c r="BP3" s="57" t="s">
        <v>11</v>
      </c>
      <c r="BQ3" s="57" t="s">
        <v>12</v>
      </c>
      <c r="BR3" s="56" t="s">
        <v>13</v>
      </c>
      <c r="BS3" s="56" t="s">
        <v>14</v>
      </c>
      <c r="BT3" s="56" t="s">
        <v>15</v>
      </c>
      <c r="BV3" s="61"/>
      <c r="BW3" s="61"/>
      <c r="BX3" s="61"/>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1.0443150000000001</v>
      </c>
      <c r="J5" s="11">
        <f t="shared" ref="J5:J39" si="1">IF(ISBLANK(S5),"·",S5/D5)</f>
        <v>4.6775262699656024E-3</v>
      </c>
      <c r="K5" s="11">
        <f t="shared" ref="K5:K39" si="2">IF(N5="","·",N5/D5)</f>
        <v>4.0576386479860621E-3</v>
      </c>
      <c r="L5" s="11">
        <f t="shared" ref="L5:L39" si="3">IF(T5="","·",T5/D5)</f>
        <v>2.5510359298285567E-3</v>
      </c>
      <c r="M5" s="11">
        <f t="shared" ref="M5:M39" si="4">IF(ISBLANK(V5),"·",V5/D5)</f>
        <v>6.1988762197954118E-4</v>
      </c>
      <c r="N5" s="52">
        <f t="shared" ref="N5:N39" si="5">IF(OR(ISBLANK(T5),ISBLANK(U5)),"",T5+U5)</f>
        <v>966312</v>
      </c>
      <c r="O5" s="11">
        <v>16</v>
      </c>
      <c r="P5" s="12">
        <v>23582209</v>
      </c>
      <c r="Q5" s="12">
        <v>736944.03125</v>
      </c>
      <c r="R5" s="12">
        <v>16984.9375</v>
      </c>
      <c r="S5" s="13">
        <v>1113936</v>
      </c>
      <c r="T5" s="13">
        <v>607520</v>
      </c>
      <c r="U5" s="13">
        <v>358792</v>
      </c>
      <c r="V5" s="13">
        <v>147624</v>
      </c>
      <c r="W5" s="14">
        <v>66.845706250000006</v>
      </c>
      <c r="X5" s="14">
        <v>68.619975000000011</v>
      </c>
      <c r="Y5" s="14">
        <v>31.71370000000001</v>
      </c>
      <c r="Z5" s="14">
        <v>44.621000000000002</v>
      </c>
      <c r="AA5" s="14">
        <v>44.121778124999999</v>
      </c>
      <c r="AB5" s="15">
        <v>3335.76</v>
      </c>
      <c r="AC5" s="15">
        <v>4190.62</v>
      </c>
      <c r="AD5" s="15">
        <v>11.492000000000001</v>
      </c>
      <c r="AE5" s="15">
        <v>7.68</v>
      </c>
      <c r="AG5" s="10">
        <f t="shared" ref="AG5:AG39" si="6">IF(OR(ISBLANK(AQ5),ISBLANK(G5)),"·",AQ5*G5/F5/1000000)</f>
        <v>0.80025749999999995</v>
      </c>
      <c r="AH5" s="11">
        <f t="shared" ref="AH5:AH39" si="7">IF(ISBLANK(AQ5),"·",AQ5/D5)</f>
        <v>3.5843835231582411E-3</v>
      </c>
      <c r="AI5" s="11">
        <f t="shared" ref="AI5:AI39" si="8">IF(AL5="","·",AL5/D5)</f>
        <v>3.0653078425194359E-3</v>
      </c>
      <c r="AJ5" s="11">
        <f t="shared" ref="AJ5:AJ39" si="9">IF(AR5="","·",AR5/D5)</f>
        <v>1.9240266378842583E-3</v>
      </c>
      <c r="AK5" s="11">
        <f t="shared" ref="AK5:AK39" si="10">IF(ISBLANK(AT5),"·",AT5/D5)</f>
        <v>5.1907568063880511E-4</v>
      </c>
      <c r="AL5" s="52">
        <f t="shared" ref="AL5:AL39" si="11">IF(OR(ISBLANK(AR5),ISBLANK(AS5)),"",AR5+AS5)</f>
        <v>729992</v>
      </c>
      <c r="AM5" s="11">
        <v>16</v>
      </c>
      <c r="AN5" s="12">
        <v>13423811</v>
      </c>
      <c r="AO5" s="12">
        <v>419494.09375</v>
      </c>
      <c r="AP5" s="12">
        <v>8455.4375</v>
      </c>
      <c r="AQ5" s="13">
        <v>853608</v>
      </c>
      <c r="AR5" s="13">
        <v>458200</v>
      </c>
      <c r="AS5" s="13">
        <v>271792</v>
      </c>
      <c r="AT5" s="13">
        <v>123616</v>
      </c>
      <c r="AU5" s="14">
        <v>63.218997000000002</v>
      </c>
      <c r="AV5" s="14">
        <v>66.637643999999995</v>
      </c>
      <c r="AW5" s="14">
        <v>30.687269000000001</v>
      </c>
      <c r="AX5" s="14">
        <v>43.386769000000001</v>
      </c>
      <c r="AY5" s="14">
        <v>42.801628000000001</v>
      </c>
      <c r="AZ5" s="15">
        <v>3235.7</v>
      </c>
      <c r="BA5" s="15">
        <v>2624.35</v>
      </c>
      <c r="BB5" s="15">
        <v>6.633</v>
      </c>
      <c r="BC5" s="15">
        <v>12.875999999999999</v>
      </c>
      <c r="BE5" s="50">
        <f t="shared" ref="BE5:BE43" si="12">AI5/K5</f>
        <v>0.75544130674150789</v>
      </c>
      <c r="BF5" s="16">
        <f t="shared" ref="BF5:BF39" si="13">(AP5/AO5) - (R5/Q5)</f>
        <v>-2.8915253900244492E-3</v>
      </c>
      <c r="BG5" s="16">
        <f t="shared" ref="BG5:BG39" si="14">(AL5/AQ5) - (N5/S5)</f>
        <v>-1.2291218105427104E-2</v>
      </c>
      <c r="BH5" s="16">
        <f t="array" ref="BH5">AVERAGE(AL5:AL9/AQ5:AQ9) - AVERAGE(N5:N9/S5:S9)</f>
        <v>-6.1706673677183188E-3</v>
      </c>
      <c r="BJ5" s="50">
        <f>IF( OR(ISBLANK(N5:N9),ISBLANK(AL5:AL9), ISBLANK(W5:W9),ISBLANK(AU5:AU9)), "·", bdRateExtend( N5:N9,W5:W9, AL5:AL9,AU5:AU9))</f>
        <v>1</v>
      </c>
      <c r="BK5" s="50">
        <f>IF( OR(ISBLANK(N5:N9),ISBLANK(AL5:AL9), ISBLANK(X5:X9),ISBLANK(AV5:AV9)), "·", bdRateExtend( N5:N9,X5:X9, AL5:AL9,AV5:AV9))</f>
        <v>0.16727281657529813</v>
      </c>
      <c r="BL5" s="50">
        <f>IF( OR(ISBLANK(V5:V9),ISBLANK(AT5:AT9), ISBLANK(Y5:Y9),ISBLANK(AW5:AW9)), "·", bdRateExtend( V5:V9,Y5:Y9, AT5:AT9,AW5:AW9))</f>
        <v>0.51138905266246248</v>
      </c>
      <c r="BM5" s="50">
        <f>IF( OR(ISBLANK(V5:V9),ISBLANK(AT5:AT9), ISBLANK(Z5:Z9),ISBLANK(AX5:AX9)), "·", bdRateExtend( V5:V9,Z5:Z9, AT5:AT9,AX5:AX9))</f>
        <v>0.28884144215886365</v>
      </c>
      <c r="BN5" s="50">
        <f>IF( OR(ISBLANK(V5:V9),ISBLANK(AT5:AT9), ISBLANK(AA5:AA9),ISBLANK(AY5:AY9)), "·", bdRateExtend( V5:V9,AA5:AA9, AT5:AT9,AY5:AY9))</f>
        <v>0.32480216969071884</v>
      </c>
      <c r="BP5" s="50">
        <f>IF( OR(ISBLANK(S5:S9),ISBLANK(AQ5:AQ9), ISBLANK(W5:W9),ISBLANK(AU5:AU9)), "·", bdRateExtend( S5:S9,W5:W9, AQ5:AQ9,AU5:AU9))</f>
        <v>1</v>
      </c>
      <c r="BQ5" s="50">
        <f>IF( OR(ISBLANK(S5:S9),ISBLANK(AQ5:AQ9), ISBLANK(X5:X9),ISBLANK(AV5:AV9)), "·", bdRateExtend( S5:S9,X5:X9, AQ5:AQ9,AV5:AV9))</f>
        <v>0.38425553838389526</v>
      </c>
      <c r="BR5" s="50">
        <f>IF( OR(ISBLANK(S5:S9),ISBLANK(AQ5:AQ9), ISBLANK(Y5:Y9),ISBLANK(AW5:AW9)), "·", bdRateExtend( S5:S9,Y5:Y9, AQ5:AQ9,AW5:AW9))</f>
        <v>0.11908090554636597</v>
      </c>
      <c r="BS5" s="50">
        <f>IF( OR(ISBLANK(S5:S9),ISBLANK(AQ5:AQ9), ISBLANK(Z5:Z9),ISBLANK(AX5:AX9)), "·", bdRateExtend( S5:S9,Z5:Z9, AQ5:AQ9,AX5:AX9))</f>
        <v>2.4403276189327805E-2</v>
      </c>
      <c r="BT5" s="50">
        <f>IF( OR(ISBLANK(S5:S9),ISBLANK(AQ5:AQ9), ISBLANK(AA5:AA9),ISBLANK(AY5:AY9)), "·", bdRateExtend( S5:S9,AA5:AA9, AQ5:AQ9,AY5:AY9))</f>
        <v>3.8718112722046838E-2</v>
      </c>
      <c r="BV5" s="53">
        <f>AN5-P5</f>
        <v>-10158398</v>
      </c>
      <c r="BW5" s="53">
        <f t="shared" ref="BW5:CG20" si="15">AO5-Q5</f>
        <v>-317449.9375</v>
      </c>
      <c r="BX5" s="53">
        <f t="shared" si="15"/>
        <v>-8529.5</v>
      </c>
      <c r="BY5" s="53">
        <f t="shared" si="15"/>
        <v>-260328</v>
      </c>
      <c r="BZ5" s="53">
        <f t="shared" si="15"/>
        <v>-149320</v>
      </c>
      <c r="CA5" s="53">
        <f t="shared" si="15"/>
        <v>-87000</v>
      </c>
      <c r="CB5" s="53">
        <f t="shared" si="15"/>
        <v>-24008</v>
      </c>
      <c r="CC5" s="53">
        <f t="shared" si="15"/>
        <v>-3.6267092500000047</v>
      </c>
      <c r="CD5" s="53">
        <f t="shared" si="15"/>
        <v>-1.9823310000000163</v>
      </c>
      <c r="CE5" s="53">
        <f t="shared" si="15"/>
        <v>-1.0264310000000094</v>
      </c>
      <c r="CF5" s="53">
        <f t="shared" si="15"/>
        <v>-1.2342310000000012</v>
      </c>
      <c r="CG5" s="53">
        <f t="shared" si="15"/>
        <v>-1.3201501249999978</v>
      </c>
      <c r="CJ5" t="s">
        <v>233</v>
      </c>
    </row>
    <row r="6" spans="1:88" outlineLevel="1" x14ac:dyDescent="0.2">
      <c r="A6" s="17"/>
      <c r="B6" s="17" t="s">
        <v>51</v>
      </c>
      <c r="C6" s="18" t="s">
        <v>234</v>
      </c>
      <c r="D6" s="17">
        <v>238146391</v>
      </c>
      <c r="E6" s="18">
        <v>10</v>
      </c>
      <c r="F6" s="18">
        <v>32</v>
      </c>
      <c r="G6" s="18">
        <v>30</v>
      </c>
      <c r="I6" s="19">
        <f t="shared" si="0"/>
        <v>1.3556325</v>
      </c>
      <c r="J6" s="20">
        <f t="shared" si="1"/>
        <v>6.0719290933953307E-3</v>
      </c>
      <c r="K6" s="20">
        <f t="shared" si="2"/>
        <v>4.9478809863635516E-3</v>
      </c>
      <c r="L6" s="20">
        <f t="shared" si="3"/>
        <v>3.4412782682060462E-3</v>
      </c>
      <c r="M6" s="20">
        <f t="shared" si="4"/>
        <v>1.1240481070317794E-3</v>
      </c>
      <c r="N6" s="17">
        <f t="shared" si="5"/>
        <v>1178320</v>
      </c>
      <c r="O6" s="20">
        <v>16</v>
      </c>
      <c r="P6" s="21">
        <v>24777501</v>
      </c>
      <c r="Q6" s="21">
        <v>774296.90625</v>
      </c>
      <c r="R6" s="21">
        <v>19924.3125</v>
      </c>
      <c r="S6" s="22">
        <v>1446008</v>
      </c>
      <c r="T6" s="22">
        <v>819528</v>
      </c>
      <c r="U6" s="22">
        <v>358792</v>
      </c>
      <c r="V6" s="22">
        <v>267688</v>
      </c>
      <c r="W6" s="23">
        <v>68.552896875000002</v>
      </c>
      <c r="X6" s="23">
        <v>70.622062499999984</v>
      </c>
      <c r="Y6" s="23">
        <v>33.784087499999991</v>
      </c>
      <c r="Z6" s="23">
        <v>45.602718750000008</v>
      </c>
      <c r="AA6" s="23">
        <v>45.241318749999976</v>
      </c>
      <c r="AB6" s="24">
        <v>3272.79</v>
      </c>
      <c r="AC6" s="24">
        <v>4044.76</v>
      </c>
      <c r="AD6" s="24">
        <v>11.956</v>
      </c>
      <c r="AE6" s="24">
        <v>7.0119999999999996</v>
      </c>
      <c r="AG6" s="19">
        <f t="shared" si="6"/>
        <v>1.03209</v>
      </c>
      <c r="AH6" s="20">
        <f t="shared" si="7"/>
        <v>4.6227700339158198E-3</v>
      </c>
      <c r="AI6" s="20">
        <f t="shared" si="8"/>
        <v>3.7306800924814349E-3</v>
      </c>
      <c r="AJ6" s="20">
        <f t="shared" si="9"/>
        <v>2.5893988878462576E-3</v>
      </c>
      <c r="AK6" s="20">
        <f t="shared" si="10"/>
        <v>8.9208994143438432E-4</v>
      </c>
      <c r="AL6" s="17">
        <f t="shared" si="11"/>
        <v>888448</v>
      </c>
      <c r="AM6" s="20">
        <v>16</v>
      </c>
      <c r="AN6" s="21">
        <v>14132531</v>
      </c>
      <c r="AO6" s="21">
        <v>441641.59375</v>
      </c>
      <c r="AP6" s="21">
        <v>9905.09375</v>
      </c>
      <c r="AQ6" s="22">
        <v>1100896</v>
      </c>
      <c r="AR6" s="22">
        <v>616656</v>
      </c>
      <c r="AS6" s="22">
        <v>271792</v>
      </c>
      <c r="AT6" s="22">
        <v>212448</v>
      </c>
      <c r="AU6" s="23">
        <v>64.486647000000005</v>
      </c>
      <c r="AV6" s="23">
        <v>68.612487999999999</v>
      </c>
      <c r="AW6" s="23">
        <v>32.297134</v>
      </c>
      <c r="AX6" s="23">
        <v>44.436222000000001</v>
      </c>
      <c r="AY6" s="23">
        <v>43.643146999999999</v>
      </c>
      <c r="AZ6" s="24">
        <v>3262.44</v>
      </c>
      <c r="BA6" s="24">
        <v>2745.17</v>
      </c>
      <c r="BB6" s="24">
        <v>6.7560000000000002</v>
      </c>
      <c r="BC6" s="24">
        <v>13.06</v>
      </c>
      <c r="BE6" s="49">
        <f t="shared" si="12"/>
        <v>0.7539955190440627</v>
      </c>
      <c r="BF6" s="25">
        <f t="shared" si="13"/>
        <v>-3.3042344069495258E-3</v>
      </c>
      <c r="BG6" s="25">
        <f t="shared" si="14"/>
        <v>-7.8552826124539399E-3</v>
      </c>
      <c r="BH6" s="25"/>
      <c r="BJ6" s="49"/>
      <c r="BK6" s="49"/>
      <c r="BL6" s="49"/>
      <c r="BM6" s="49"/>
      <c r="BN6" s="49"/>
      <c r="BP6" s="49"/>
      <c r="BQ6" s="49"/>
      <c r="BR6" s="49"/>
      <c r="BS6" s="49"/>
      <c r="BT6" s="49"/>
      <c r="BV6" s="53">
        <f t="shared" ref="BV6:CG39" si="16">AN6-P6</f>
        <v>-10644970</v>
      </c>
      <c r="BW6" s="53">
        <f t="shared" si="15"/>
        <v>-332655.3125</v>
      </c>
      <c r="BX6" s="53">
        <f t="shared" si="15"/>
        <v>-10019.21875</v>
      </c>
      <c r="BY6" s="53">
        <f t="shared" si="15"/>
        <v>-345112</v>
      </c>
      <c r="BZ6" s="53">
        <f t="shared" si="15"/>
        <v>-202872</v>
      </c>
      <c r="CA6" s="53">
        <f t="shared" si="15"/>
        <v>-87000</v>
      </c>
      <c r="CB6" s="53">
        <f t="shared" si="15"/>
        <v>-55240</v>
      </c>
      <c r="CC6" s="53">
        <f t="shared" si="15"/>
        <v>-4.0662498749999969</v>
      </c>
      <c r="CD6" s="53">
        <f t="shared" si="15"/>
        <v>-2.0095744999999852</v>
      </c>
      <c r="CE6" s="53">
        <f t="shared" si="15"/>
        <v>-1.4869534999999914</v>
      </c>
      <c r="CF6" s="53">
        <f t="shared" si="15"/>
        <v>-1.1664967500000074</v>
      </c>
      <c r="CG6" s="53">
        <f t="shared" si="15"/>
        <v>-1.5981717499999775</v>
      </c>
      <c r="CJ6" t="s">
        <v>233</v>
      </c>
    </row>
    <row r="7" spans="1:88" outlineLevel="1" x14ac:dyDescent="0.2">
      <c r="A7" s="52"/>
      <c r="B7" s="52" t="s">
        <v>51</v>
      </c>
      <c r="C7" s="9" t="s">
        <v>235</v>
      </c>
      <c r="D7" s="52">
        <v>238146391</v>
      </c>
      <c r="E7" s="9">
        <v>10</v>
      </c>
      <c r="F7" s="9">
        <v>32</v>
      </c>
      <c r="G7" s="9">
        <v>30</v>
      </c>
      <c r="I7" s="10">
        <f t="shared" si="0"/>
        <v>1.8799950000000001</v>
      </c>
      <c r="J7" s="11">
        <f t="shared" si="1"/>
        <v>8.4205685065368054E-3</v>
      </c>
      <c r="K7" s="11">
        <f t="shared" si="2"/>
        <v>6.1465050713281648E-3</v>
      </c>
      <c r="L7" s="11">
        <f t="shared" si="3"/>
        <v>4.6399023531706598E-3</v>
      </c>
      <c r="M7" s="11">
        <f t="shared" si="4"/>
        <v>2.2740634352086402E-3</v>
      </c>
      <c r="N7" s="52">
        <f t="shared" si="5"/>
        <v>1463768</v>
      </c>
      <c r="O7" s="11">
        <v>16</v>
      </c>
      <c r="P7" s="12">
        <v>24923704</v>
      </c>
      <c r="Q7" s="12">
        <v>778865.75</v>
      </c>
      <c r="R7" s="12">
        <v>21104.875</v>
      </c>
      <c r="S7" s="13">
        <v>2005328</v>
      </c>
      <c r="T7" s="13">
        <v>1104976</v>
      </c>
      <c r="U7" s="13">
        <v>358792</v>
      </c>
      <c r="V7" s="13">
        <v>541560</v>
      </c>
      <c r="W7" s="14">
        <v>69.837434374999987</v>
      </c>
      <c r="X7" s="14">
        <v>72.274171875000022</v>
      </c>
      <c r="Y7" s="14">
        <v>36.196365624999991</v>
      </c>
      <c r="Z7" s="14">
        <v>46.918012500000003</v>
      </c>
      <c r="AA7" s="14">
        <v>46.584559374999998</v>
      </c>
      <c r="AB7" s="15">
        <v>3267.26</v>
      </c>
      <c r="AC7" s="15">
        <v>4320.3900000000003</v>
      </c>
      <c r="AD7" s="15">
        <v>12.007999999999999</v>
      </c>
      <c r="AE7" s="15">
        <v>7.476</v>
      </c>
      <c r="AG7" s="10">
        <f t="shared" si="6"/>
        <v>1.3958474999999999</v>
      </c>
      <c r="AH7" s="11">
        <f t="shared" si="7"/>
        <v>6.2520535950511217E-3</v>
      </c>
      <c r="AI7" s="11">
        <f t="shared" si="8"/>
        <v>4.5566594372618476E-3</v>
      </c>
      <c r="AJ7" s="11">
        <f t="shared" si="9"/>
        <v>3.4153782326266703E-3</v>
      </c>
      <c r="AK7" s="11">
        <f t="shared" si="10"/>
        <v>1.6953941577892734E-3</v>
      </c>
      <c r="AL7" s="52">
        <f t="shared" si="11"/>
        <v>1085152</v>
      </c>
      <c r="AM7" s="11">
        <v>16</v>
      </c>
      <c r="AN7" s="12">
        <v>14207454</v>
      </c>
      <c r="AO7" s="12">
        <v>443982.9375</v>
      </c>
      <c r="AP7" s="12">
        <v>10119.21875</v>
      </c>
      <c r="AQ7" s="13">
        <v>1488904</v>
      </c>
      <c r="AR7" s="13">
        <v>813360</v>
      </c>
      <c r="AS7" s="13">
        <v>271792</v>
      </c>
      <c r="AT7" s="13">
        <v>403752</v>
      </c>
      <c r="AU7" s="14">
        <v>65.267594000000003</v>
      </c>
      <c r="AV7" s="14">
        <v>70.154809</v>
      </c>
      <c r="AW7" s="14">
        <v>34.239006000000003</v>
      </c>
      <c r="AX7" s="14">
        <v>46.002415999999997</v>
      </c>
      <c r="AY7" s="14">
        <v>45.469512999999999</v>
      </c>
      <c r="AZ7" s="15">
        <v>3857.51</v>
      </c>
      <c r="BA7" s="15">
        <v>3868.23</v>
      </c>
      <c r="BB7" s="15">
        <v>8.3510000000000009</v>
      </c>
      <c r="BC7" s="15">
        <v>18.614999999999998</v>
      </c>
      <c r="BE7" s="50">
        <f t="shared" si="12"/>
        <v>0.74134152406665532</v>
      </c>
      <c r="BF7" s="16">
        <f t="shared" si="13"/>
        <v>-4.3050264194447185E-3</v>
      </c>
      <c r="BG7" s="16">
        <f t="shared" si="14"/>
        <v>-1.1134055328437809E-3</v>
      </c>
      <c r="BH7" s="16"/>
      <c r="BJ7" s="50"/>
      <c r="BK7" s="50"/>
      <c r="BL7" s="50"/>
      <c r="BM7" s="50"/>
      <c r="BN7" s="50"/>
      <c r="BP7" s="50"/>
      <c r="BQ7" s="50"/>
      <c r="BR7" s="50"/>
      <c r="BS7" s="50"/>
      <c r="BT7" s="50"/>
      <c r="BV7" s="53">
        <f t="shared" si="16"/>
        <v>-10716250</v>
      </c>
      <c r="BW7" s="53">
        <f t="shared" si="15"/>
        <v>-334882.8125</v>
      </c>
      <c r="BX7" s="53">
        <f t="shared" si="15"/>
        <v>-10985.65625</v>
      </c>
      <c r="BY7" s="53">
        <f t="shared" si="15"/>
        <v>-516424</v>
      </c>
      <c r="BZ7" s="53">
        <f t="shared" si="15"/>
        <v>-291616</v>
      </c>
      <c r="CA7" s="53">
        <f t="shared" si="15"/>
        <v>-87000</v>
      </c>
      <c r="CB7" s="53">
        <f t="shared" si="15"/>
        <v>-137808</v>
      </c>
      <c r="CC7" s="53">
        <f t="shared" si="15"/>
        <v>-4.5698403749999841</v>
      </c>
      <c r="CD7" s="53">
        <f t="shared" si="15"/>
        <v>-2.1193628750000215</v>
      </c>
      <c r="CE7" s="53">
        <f t="shared" si="15"/>
        <v>-1.9573596249999881</v>
      </c>
      <c r="CF7" s="53">
        <f t="shared" si="15"/>
        <v>-0.91559650000000659</v>
      </c>
      <c r="CG7" s="53">
        <f t="shared" si="15"/>
        <v>-1.1150463749999986</v>
      </c>
      <c r="CJ7" t="s">
        <v>233</v>
      </c>
    </row>
    <row r="8" spans="1:88" outlineLevel="1" x14ac:dyDescent="0.2">
      <c r="A8" s="17"/>
      <c r="B8" s="17" t="s">
        <v>51</v>
      </c>
      <c r="C8" s="18" t="s">
        <v>236</v>
      </c>
      <c r="D8" s="17">
        <v>238146391</v>
      </c>
      <c r="E8" s="18">
        <v>10</v>
      </c>
      <c r="F8" s="18">
        <v>32</v>
      </c>
      <c r="G8" s="18">
        <v>30</v>
      </c>
      <c r="I8" s="19">
        <f t="shared" si="0"/>
        <v>3.1113675000000001</v>
      </c>
      <c r="J8" s="20">
        <f t="shared" si="1"/>
        <v>1.3935932373629799E-2</v>
      </c>
      <c r="K8" s="20">
        <f t="shared" si="2"/>
        <v>8.8610034825176084E-3</v>
      </c>
      <c r="L8" s="20">
        <f t="shared" si="3"/>
        <v>7.3544007643601035E-3</v>
      </c>
      <c r="M8" s="20">
        <f t="shared" si="4"/>
        <v>5.0749288911121895E-3</v>
      </c>
      <c r="N8" s="17">
        <f t="shared" si="5"/>
        <v>2110216</v>
      </c>
      <c r="O8" s="20">
        <v>16</v>
      </c>
      <c r="P8" s="21">
        <v>25894561</v>
      </c>
      <c r="Q8" s="21">
        <v>809205.03125</v>
      </c>
      <c r="R8" s="21">
        <v>24362.65625</v>
      </c>
      <c r="S8" s="22">
        <v>3318792</v>
      </c>
      <c r="T8" s="22">
        <v>1751424</v>
      </c>
      <c r="U8" s="22">
        <v>358792</v>
      </c>
      <c r="V8" s="22">
        <v>1208576</v>
      </c>
      <c r="W8" s="23">
        <v>70.899381250000005</v>
      </c>
      <c r="X8" s="23">
        <v>73.460275000000024</v>
      </c>
      <c r="Y8" s="23">
        <v>38.677993749999999</v>
      </c>
      <c r="Z8" s="23">
        <v>48.11969062499999</v>
      </c>
      <c r="AA8" s="23">
        <v>48.028525000000009</v>
      </c>
      <c r="AB8" s="24">
        <v>3261.38</v>
      </c>
      <c r="AC8" s="24">
        <v>4677.22</v>
      </c>
      <c r="AD8" s="24">
        <v>12.148</v>
      </c>
      <c r="AE8" s="24">
        <v>7.976</v>
      </c>
      <c r="AG8" s="19">
        <f t="shared" si="6"/>
        <v>2.3636699999999999</v>
      </c>
      <c r="AH8" s="20">
        <f t="shared" si="7"/>
        <v>1.0586967072702774E-2</v>
      </c>
      <c r="AI8" s="20">
        <f t="shared" si="8"/>
        <v>6.7280297352900051E-3</v>
      </c>
      <c r="AJ8" s="20">
        <f t="shared" si="9"/>
        <v>5.5867485306548273E-3</v>
      </c>
      <c r="AK8" s="20">
        <f t="shared" si="10"/>
        <v>3.8589373374127681E-3</v>
      </c>
      <c r="AL8" s="17">
        <f t="shared" si="11"/>
        <v>1602256</v>
      </c>
      <c r="AM8" s="20">
        <v>16</v>
      </c>
      <c r="AN8" s="21">
        <v>14864487</v>
      </c>
      <c r="AO8" s="21">
        <v>464515.21875</v>
      </c>
      <c r="AP8" s="21">
        <v>11956.375</v>
      </c>
      <c r="AQ8" s="22">
        <v>2521248</v>
      </c>
      <c r="AR8" s="22">
        <v>1330464</v>
      </c>
      <c r="AS8" s="22">
        <v>271792</v>
      </c>
      <c r="AT8" s="22">
        <v>918992</v>
      </c>
      <c r="AU8" s="23">
        <v>65.902128000000005</v>
      </c>
      <c r="AV8" s="23">
        <v>71.271150000000006</v>
      </c>
      <c r="AW8" s="23">
        <v>36.206933999999997</v>
      </c>
      <c r="AX8" s="23">
        <v>47.324658999999997</v>
      </c>
      <c r="AY8" s="23">
        <v>47.127853000000002</v>
      </c>
      <c r="AZ8" s="24">
        <v>3329.05</v>
      </c>
      <c r="BA8" s="24">
        <v>3223.36</v>
      </c>
      <c r="BB8" s="24">
        <v>6.9260000000000002</v>
      </c>
      <c r="BC8" s="24">
        <v>14.72</v>
      </c>
      <c r="BE8" s="49">
        <f t="shared" si="12"/>
        <v>0.75928530539053818</v>
      </c>
      <c r="BF8" s="25">
        <f t="shared" si="13"/>
        <v>-4.3674327571626044E-3</v>
      </c>
      <c r="BG8" s="25">
        <f t="shared" si="14"/>
        <v>-3.3743359362492509E-4</v>
      </c>
      <c r="BH8" s="25"/>
      <c r="BJ8" s="49"/>
      <c r="BK8" s="49"/>
      <c r="BL8" s="49"/>
      <c r="BM8" s="49"/>
      <c r="BN8" s="49"/>
      <c r="BP8" s="49"/>
      <c r="BQ8" s="49"/>
      <c r="BR8" s="49"/>
      <c r="BS8" s="49"/>
      <c r="BT8" s="49"/>
      <c r="BV8" s="53">
        <f t="shared" si="16"/>
        <v>-11030074</v>
      </c>
      <c r="BW8" s="53">
        <f t="shared" si="15"/>
        <v>-344689.8125</v>
      </c>
      <c r="BX8" s="53">
        <f t="shared" si="15"/>
        <v>-12406.28125</v>
      </c>
      <c r="BY8" s="53">
        <f t="shared" si="15"/>
        <v>-797544</v>
      </c>
      <c r="BZ8" s="53">
        <f t="shared" si="15"/>
        <v>-420960</v>
      </c>
      <c r="CA8" s="53">
        <f t="shared" si="15"/>
        <v>-87000</v>
      </c>
      <c r="CB8" s="53">
        <f t="shared" si="15"/>
        <v>-289584</v>
      </c>
      <c r="CC8" s="53">
        <f t="shared" si="15"/>
        <v>-4.99725325</v>
      </c>
      <c r="CD8" s="53">
        <f t="shared" si="15"/>
        <v>-2.1891250000000184</v>
      </c>
      <c r="CE8" s="53">
        <f t="shared" si="15"/>
        <v>-2.471059750000002</v>
      </c>
      <c r="CF8" s="53">
        <f t="shared" si="15"/>
        <v>-0.79503162499999291</v>
      </c>
      <c r="CG8" s="53">
        <f t="shared" si="15"/>
        <v>-0.90067200000000724</v>
      </c>
      <c r="CJ8" t="s">
        <v>233</v>
      </c>
    </row>
    <row r="9" spans="1:88" ht="16" outlineLevel="1" thickBot="1" x14ac:dyDescent="0.25">
      <c r="A9" s="52"/>
      <c r="B9" s="26" t="s">
        <v>51</v>
      </c>
      <c r="C9" s="27" t="s">
        <v>237</v>
      </c>
      <c r="D9" s="26">
        <v>238146391</v>
      </c>
      <c r="E9" s="27">
        <v>10</v>
      </c>
      <c r="F9" s="27">
        <v>32</v>
      </c>
      <c r="G9" s="27">
        <v>30</v>
      </c>
      <c r="I9" s="28">
        <f t="shared" si="0"/>
        <v>6.3775424999999997</v>
      </c>
      <c r="J9" s="29">
        <f t="shared" si="1"/>
        <v>2.8565253378120686E-2</v>
      </c>
      <c r="K9" s="29">
        <f t="shared" si="2"/>
        <v>1.5570053295495878E-2</v>
      </c>
      <c r="L9" s="29">
        <f t="shared" si="3"/>
        <v>1.2147654171253009E-2</v>
      </c>
      <c r="M9" s="29">
        <f t="shared" si="4"/>
        <v>1.2995200082624808E-2</v>
      </c>
      <c r="N9" s="26">
        <f t="shared" si="5"/>
        <v>3707952</v>
      </c>
      <c r="O9" s="29">
        <v>16</v>
      </c>
      <c r="P9" s="30">
        <v>24903158</v>
      </c>
      <c r="Q9" s="30">
        <v>778223.6875</v>
      </c>
      <c r="R9" s="30">
        <v>10582.96875</v>
      </c>
      <c r="S9" s="31">
        <v>6802712</v>
      </c>
      <c r="T9" s="31">
        <v>2892920</v>
      </c>
      <c r="U9" s="31">
        <v>815032</v>
      </c>
      <c r="V9" s="31">
        <v>3094760</v>
      </c>
      <c r="W9" s="32">
        <v>71.932043749999977</v>
      </c>
      <c r="X9" s="32">
        <v>75.246165625000017</v>
      </c>
      <c r="Y9" s="32">
        <v>41.146812500000003</v>
      </c>
      <c r="Z9" s="32">
        <v>49.540606250000003</v>
      </c>
      <c r="AA9" s="32">
        <v>49.645290625000001</v>
      </c>
      <c r="AB9" s="33">
        <v>3303.13</v>
      </c>
      <c r="AC9" s="33">
        <v>5148.42</v>
      </c>
      <c r="AD9" s="33">
        <v>12.388</v>
      </c>
      <c r="AE9" s="33">
        <v>12.7</v>
      </c>
      <c r="AG9" s="28">
        <f t="shared" si="6"/>
        <v>4.9642350000000004</v>
      </c>
      <c r="AH9" s="29">
        <f t="shared" si="7"/>
        <v>2.2234995784588648E-2</v>
      </c>
      <c r="AI9" s="29">
        <f t="shared" si="8"/>
        <v>1.1913814809815867E-2</v>
      </c>
      <c r="AJ9" s="29">
        <f t="shared" si="9"/>
        <v>9.3074515666290315E-3</v>
      </c>
      <c r="AK9" s="29">
        <f t="shared" si="10"/>
        <v>1.0321180974772781E-2</v>
      </c>
      <c r="AL9" s="26">
        <f t="shared" si="11"/>
        <v>2837232</v>
      </c>
      <c r="AM9" s="29">
        <v>16</v>
      </c>
      <c r="AN9" s="30">
        <v>14077262</v>
      </c>
      <c r="AO9" s="30">
        <v>439914.4375</v>
      </c>
      <c r="AP9" s="30">
        <v>5604</v>
      </c>
      <c r="AQ9" s="31">
        <v>5295184</v>
      </c>
      <c r="AR9" s="31">
        <v>2216536</v>
      </c>
      <c r="AS9" s="31">
        <v>620696</v>
      </c>
      <c r="AT9" s="31">
        <v>2457952</v>
      </c>
      <c r="AU9" s="32">
        <v>66.148662999999999</v>
      </c>
      <c r="AV9" s="32">
        <v>73.253691000000003</v>
      </c>
      <c r="AW9" s="32">
        <v>37.902484000000001</v>
      </c>
      <c r="AX9" s="32">
        <v>48.893075000000003</v>
      </c>
      <c r="AY9" s="32">
        <v>48.933138</v>
      </c>
      <c r="AZ9" s="33">
        <v>3477.71</v>
      </c>
      <c r="BA9" s="33">
        <v>3807.41</v>
      </c>
      <c r="BB9" s="33">
        <v>7.3890000000000002</v>
      </c>
      <c r="BC9" s="33">
        <v>17.471</v>
      </c>
      <c r="BE9" s="34">
        <f t="shared" si="12"/>
        <v>0.76517495372108379</v>
      </c>
      <c r="BF9" s="35">
        <f t="shared" si="13"/>
        <v>-8.6003686632369312E-4</v>
      </c>
      <c r="BG9" s="35">
        <f t="shared" si="14"/>
        <v>-9.2559969942417331E-3</v>
      </c>
      <c r="BH9" s="35"/>
      <c r="BJ9" s="34"/>
      <c r="BK9" s="34"/>
      <c r="BL9" s="34"/>
      <c r="BM9" s="34"/>
      <c r="BN9" s="34"/>
      <c r="BP9" s="34"/>
      <c r="BQ9" s="34"/>
      <c r="BR9" s="34"/>
      <c r="BS9" s="34"/>
      <c r="BT9" s="34"/>
      <c r="BV9" s="53">
        <f t="shared" si="16"/>
        <v>-10825896</v>
      </c>
      <c r="BW9" s="53">
        <f t="shared" si="15"/>
        <v>-338309.25</v>
      </c>
      <c r="BX9" s="53">
        <f t="shared" si="15"/>
        <v>-4978.96875</v>
      </c>
      <c r="BY9" s="53">
        <f t="shared" si="15"/>
        <v>-1507528</v>
      </c>
      <c r="BZ9" s="53">
        <f t="shared" si="15"/>
        <v>-676384</v>
      </c>
      <c r="CA9" s="53">
        <f t="shared" si="15"/>
        <v>-194336</v>
      </c>
      <c r="CB9" s="53">
        <f t="shared" si="15"/>
        <v>-636808</v>
      </c>
      <c r="CC9" s="53">
        <f t="shared" si="15"/>
        <v>-5.7833807499999779</v>
      </c>
      <c r="CD9" s="53">
        <f t="shared" si="15"/>
        <v>-1.992474625000014</v>
      </c>
      <c r="CE9" s="53">
        <f t="shared" si="15"/>
        <v>-3.2443285000000017</v>
      </c>
      <c r="CF9" s="53">
        <f t="shared" si="15"/>
        <v>-0.64753125000000011</v>
      </c>
      <c r="CG9" s="53">
        <f t="shared" si="15"/>
        <v>-0.71215262500000165</v>
      </c>
      <c r="CJ9" t="s">
        <v>233</v>
      </c>
    </row>
    <row r="10" spans="1:88" x14ac:dyDescent="0.2">
      <c r="A10" s="17"/>
      <c r="B10" s="17" t="s">
        <v>59</v>
      </c>
      <c r="C10" s="18" t="s">
        <v>232</v>
      </c>
      <c r="D10" s="17">
        <v>218121242</v>
      </c>
      <c r="E10" s="18">
        <v>10</v>
      </c>
      <c r="F10" s="18">
        <v>32</v>
      </c>
      <c r="G10" s="18">
        <v>30</v>
      </c>
      <c r="I10" s="19">
        <f t="shared" si="0"/>
        <v>1.9776</v>
      </c>
      <c r="J10" s="20">
        <f t="shared" si="1"/>
        <v>9.6709517177607125E-3</v>
      </c>
      <c r="K10" s="20">
        <f t="shared" si="2"/>
        <v>7.2509765004914106E-3</v>
      </c>
      <c r="L10" s="20">
        <f t="shared" si="3"/>
        <v>4.1104845716952226E-3</v>
      </c>
      <c r="M10" s="20">
        <f t="shared" si="4"/>
        <v>2.4199752172693019E-3</v>
      </c>
      <c r="N10" s="17">
        <f t="shared" si="5"/>
        <v>1581592</v>
      </c>
      <c r="O10" s="20">
        <v>16</v>
      </c>
      <c r="P10" s="21">
        <v>20942558</v>
      </c>
      <c r="Q10" s="21">
        <v>654454.9375</v>
      </c>
      <c r="R10" s="21">
        <v>18943.59375</v>
      </c>
      <c r="S10" s="22">
        <v>2109440</v>
      </c>
      <c r="T10" s="22">
        <v>896584</v>
      </c>
      <c r="U10" s="22">
        <v>685008</v>
      </c>
      <c r="V10" s="22">
        <v>527848</v>
      </c>
      <c r="W10" s="23">
        <v>65.984046875000004</v>
      </c>
      <c r="X10" s="23">
        <v>67.859693750000005</v>
      </c>
      <c r="Y10" s="23">
        <v>31.013375</v>
      </c>
      <c r="Z10" s="23">
        <v>38.767165624999997</v>
      </c>
      <c r="AA10" s="23">
        <v>30.131440625</v>
      </c>
      <c r="AB10" s="24">
        <v>2994.39</v>
      </c>
      <c r="AC10" s="24">
        <v>4757.9399999999996</v>
      </c>
      <c r="AD10" s="24">
        <v>11.215999999999999</v>
      </c>
      <c r="AE10" s="24">
        <v>8.9239999999999995</v>
      </c>
      <c r="AG10" s="19">
        <f t="shared" si="6"/>
        <v>1.6223624999999999</v>
      </c>
      <c r="AH10" s="20">
        <f t="shared" si="7"/>
        <v>7.9337527337204512E-3</v>
      </c>
      <c r="AI10" s="20">
        <f t="shared" si="8"/>
        <v>6.0406404617850103E-3</v>
      </c>
      <c r="AJ10" s="20">
        <f t="shared" si="9"/>
        <v>3.3447819813899647E-3</v>
      </c>
      <c r="AK10" s="20">
        <f t="shared" si="10"/>
        <v>1.8931122719354403E-3</v>
      </c>
      <c r="AL10" s="17">
        <f t="shared" si="11"/>
        <v>1317592</v>
      </c>
      <c r="AM10" s="20">
        <v>16</v>
      </c>
      <c r="AN10" s="21">
        <v>12478878</v>
      </c>
      <c r="AO10" s="21">
        <v>389964.9375</v>
      </c>
      <c r="AP10" s="21">
        <v>9780.6875</v>
      </c>
      <c r="AQ10" s="22">
        <v>1730520</v>
      </c>
      <c r="AR10" s="22">
        <v>729568</v>
      </c>
      <c r="AS10" s="22">
        <v>588024</v>
      </c>
      <c r="AT10" s="22">
        <v>412928</v>
      </c>
      <c r="AU10" s="23">
        <v>62.838991</v>
      </c>
      <c r="AV10" s="23">
        <v>65.908333999999996</v>
      </c>
      <c r="AW10" s="23">
        <v>29.670666000000001</v>
      </c>
      <c r="AX10" s="23">
        <v>37.764400000000002</v>
      </c>
      <c r="AY10" s="23">
        <v>28.179838</v>
      </c>
      <c r="AZ10" s="24">
        <v>3318.38</v>
      </c>
      <c r="BA10" s="24">
        <v>3149.57</v>
      </c>
      <c r="BB10" s="24">
        <v>6.4009999999999998</v>
      </c>
      <c r="BC10" s="24">
        <v>14.037000000000001</v>
      </c>
      <c r="BE10" s="49">
        <f t="shared" si="12"/>
        <v>0.8330795805745097</v>
      </c>
      <c r="BF10" s="25">
        <f t="shared" si="13"/>
        <v>-3.8646636776526987E-3</v>
      </c>
      <c r="BG10" s="25">
        <f t="shared" si="14"/>
        <v>1.1616358239674995E-2</v>
      </c>
      <c r="BH10" s="25">
        <f t="array" ref="BH10">AVERAGE(AL10:AL14/AQ10:AQ14) - AVERAGE(N10:N14/S10:S14)</f>
        <v>9.3634399760469389E-3</v>
      </c>
      <c r="BJ10" s="49">
        <f>IF( OR(ISBLANK(N10:N14),ISBLANK(AL10:AL14), ISBLANK(W10:W14),ISBLANK(AU10:AU14)), "·", bdRateExtend( N10:N14,W10:W14, AL10:AL14,AU10:AU14))</f>
        <v>1.8357683009772852</v>
      </c>
      <c r="BK10" s="49">
        <f>IF( OR(ISBLANK(N10:N14),ISBLANK(AL10:AL14), ISBLANK(X10:X14),ISBLANK(AV10:AV14)), "·", bdRateExtend( N10:N14,X10:X14, AL10:AL14,AV10:AV14))</f>
        <v>0.29473867528234332</v>
      </c>
      <c r="BL10" s="49">
        <f>IF( OR(ISBLANK(V10:V14),ISBLANK(AT10:AT14), ISBLANK(Y10:Y14),ISBLANK(AW10:AW14)), "·", bdRateExtend( V10:V14,Y10:Y14, AT10:AT14,AW10:AW14))</f>
        <v>0.38399246760451722</v>
      </c>
      <c r="BM10" s="49">
        <f>IF( OR(ISBLANK(V10:V14),ISBLANK(AT10:AT14), ISBLANK(Z10:Z14),ISBLANK(AX10:AX14)), "·", bdRateExtend( V10:V14,Z10:Z14, AT10:AT14,AX10:AX14))</f>
        <v>0.44630849052618204</v>
      </c>
      <c r="BN10" s="49">
        <f>IF( OR(ISBLANK(V10:V14),ISBLANK(AT10:AT14), ISBLANK(AA10:AA14),ISBLANK(AY10:AY14)), "·", bdRateExtend( V10:V14,AA10:AA14, AT10:AT14,AY10:AY14))</f>
        <v>1.1778891704537493</v>
      </c>
      <c r="BP10" s="49">
        <f>IF( OR(ISBLANK(S10:S14),ISBLANK(AQ10:AQ14), ISBLANK(W10:W14),ISBLANK(AU10:AU14)), "·", bdRateExtend( S10:S14,W10:W14, AQ10:AQ14,AU10:AU14))</f>
        <v>3.5902037328392469</v>
      </c>
      <c r="BQ10" s="49">
        <f>IF( OR(ISBLANK(S10:S14),ISBLANK(AQ10:AQ14), ISBLANK(X10:X14),ISBLANK(AV10:AV14)), "·", bdRateExtend( S10:S14,X10:X14, AQ10:AQ14,AV10:AV14))</f>
        <v>0.5316731134206063</v>
      </c>
      <c r="BR10" s="49">
        <f>IF( OR(ISBLANK(S10:S14),ISBLANK(AQ10:AQ14), ISBLANK(Y10:Y14),ISBLANK(AW10:AW14)), "·", bdRateExtend( S10:S14,Y10:Y14, AQ10:AQ14,AW10:AW14))</f>
        <v>0.19368267910277859</v>
      </c>
      <c r="BS10" s="49">
        <f>IF( OR(ISBLANK(S10:S14),ISBLANK(AQ10:AQ14), ISBLANK(Z10:Z14),ISBLANK(AX10:AX14)), "·", bdRateExtend( S10:S14,Z10:Z14, AQ10:AQ14,AX10:AX14))</f>
        <v>0.23327582875453778</v>
      </c>
      <c r="BT10" s="49">
        <f>IF( OR(ISBLANK(S10:S14),ISBLANK(AQ10:AQ14), ISBLANK(AA10:AA14),ISBLANK(AY10:AY14)), "·", bdRateExtend( S10:S14,AA10:AA14, AQ10:AQ14,AY10:AY14))</f>
        <v>0.6074989977032228</v>
      </c>
      <c r="BV10" s="53">
        <f t="shared" si="16"/>
        <v>-8463680</v>
      </c>
      <c r="BW10" s="53">
        <f t="shared" si="15"/>
        <v>-264490</v>
      </c>
      <c r="BX10" s="53">
        <f t="shared" si="15"/>
        <v>-9162.90625</v>
      </c>
      <c r="BY10" s="53">
        <f t="shared" si="15"/>
        <v>-378920</v>
      </c>
      <c r="BZ10" s="53">
        <f t="shared" si="15"/>
        <v>-167016</v>
      </c>
      <c r="CA10" s="53">
        <f t="shared" si="15"/>
        <v>-96984</v>
      </c>
      <c r="CB10" s="53">
        <f t="shared" si="15"/>
        <v>-114920</v>
      </c>
      <c r="CC10" s="53">
        <f t="shared" si="15"/>
        <v>-3.1450558750000042</v>
      </c>
      <c r="CD10" s="53">
        <f t="shared" si="15"/>
        <v>-1.9513597500000088</v>
      </c>
      <c r="CE10" s="53">
        <f t="shared" si="15"/>
        <v>-1.3427089999999993</v>
      </c>
      <c r="CF10" s="53">
        <f t="shared" si="15"/>
        <v>-1.002765624999995</v>
      </c>
      <c r="CG10" s="53">
        <f t="shared" si="15"/>
        <v>-1.9516026249999996</v>
      </c>
      <c r="CJ10" t="s">
        <v>587</v>
      </c>
    </row>
    <row r="11" spans="1:88" outlineLevel="1" x14ac:dyDescent="0.2">
      <c r="A11" s="52"/>
      <c r="B11" s="52" t="s">
        <v>59</v>
      </c>
      <c r="C11" s="9" t="s">
        <v>234</v>
      </c>
      <c r="D11" s="52">
        <v>218121242</v>
      </c>
      <c r="E11" s="9">
        <v>10</v>
      </c>
      <c r="F11" s="9">
        <v>32</v>
      </c>
      <c r="G11" s="9">
        <v>30</v>
      </c>
      <c r="I11" s="10">
        <f t="shared" si="0"/>
        <v>2.7023925000000002</v>
      </c>
      <c r="J11" s="11">
        <f t="shared" si="1"/>
        <v>1.3215365791837918E-2</v>
      </c>
      <c r="K11" s="11">
        <f t="shared" si="2"/>
        <v>8.8998576305557627E-3</v>
      </c>
      <c r="L11" s="11">
        <f t="shared" si="3"/>
        <v>5.7593657017595747E-3</v>
      </c>
      <c r="M11" s="11">
        <f t="shared" si="4"/>
        <v>4.3155081612821552E-3</v>
      </c>
      <c r="N11" s="52">
        <f t="shared" si="5"/>
        <v>1941248</v>
      </c>
      <c r="O11" s="11">
        <v>16</v>
      </c>
      <c r="P11" s="12">
        <v>22233167</v>
      </c>
      <c r="Q11" s="12">
        <v>694786.46875</v>
      </c>
      <c r="R11" s="12">
        <v>23204.09375</v>
      </c>
      <c r="S11" s="13">
        <v>2882552</v>
      </c>
      <c r="T11" s="13">
        <v>1256240</v>
      </c>
      <c r="U11" s="13">
        <v>685008</v>
      </c>
      <c r="V11" s="13">
        <v>941304</v>
      </c>
      <c r="W11" s="14">
        <v>67.674731250000008</v>
      </c>
      <c r="X11" s="14">
        <v>69.753456249999999</v>
      </c>
      <c r="Y11" s="14">
        <v>32.828746874999993</v>
      </c>
      <c r="Z11" s="14">
        <v>39.653337500000013</v>
      </c>
      <c r="AA11" s="14">
        <v>32.228321874999999</v>
      </c>
      <c r="AB11" s="15">
        <v>2979.1</v>
      </c>
      <c r="AC11" s="15">
        <v>5047.7299999999996</v>
      </c>
      <c r="AD11" s="15">
        <v>11.324</v>
      </c>
      <c r="AE11" s="15">
        <v>9.3879999999999999</v>
      </c>
      <c r="AG11" s="10">
        <f t="shared" si="6"/>
        <v>2.2006725</v>
      </c>
      <c r="AH11" s="11">
        <f t="shared" si="7"/>
        <v>1.0761831257131756E-2</v>
      </c>
      <c r="AI11" s="11">
        <f t="shared" si="8"/>
        <v>7.3605669272688258E-3</v>
      </c>
      <c r="AJ11" s="11">
        <f t="shared" si="9"/>
        <v>4.6647084468737802E-3</v>
      </c>
      <c r="AK11" s="11">
        <f t="shared" si="10"/>
        <v>3.4012643298629301E-3</v>
      </c>
      <c r="AL11" s="52">
        <f t="shared" si="11"/>
        <v>1605496</v>
      </c>
      <c r="AM11" s="11">
        <v>16</v>
      </c>
      <c r="AN11" s="12">
        <v>13308764</v>
      </c>
      <c r="AO11" s="12">
        <v>415898.875</v>
      </c>
      <c r="AP11" s="12">
        <v>12310.21875</v>
      </c>
      <c r="AQ11" s="13">
        <v>2347384</v>
      </c>
      <c r="AR11" s="13">
        <v>1017472</v>
      </c>
      <c r="AS11" s="13">
        <v>588024</v>
      </c>
      <c r="AT11" s="13">
        <v>741888</v>
      </c>
      <c r="AU11" s="14">
        <v>64.153981000000002</v>
      </c>
      <c r="AV11" s="14">
        <v>67.673338000000001</v>
      </c>
      <c r="AW11" s="14">
        <v>31.456197</v>
      </c>
      <c r="AX11" s="14">
        <v>38.793019000000001</v>
      </c>
      <c r="AY11" s="14">
        <v>29.777725</v>
      </c>
      <c r="AZ11" s="15">
        <v>3367.35</v>
      </c>
      <c r="BA11" s="15">
        <v>3554.18</v>
      </c>
      <c r="BB11" s="15">
        <v>6.9189999999999996</v>
      </c>
      <c r="BC11" s="15">
        <v>15.053000000000001</v>
      </c>
      <c r="BE11" s="50">
        <f t="shared" si="12"/>
        <v>0.82704322168007383</v>
      </c>
      <c r="BF11" s="16">
        <f t="shared" si="13"/>
        <v>-3.7983790556253318E-3</v>
      </c>
      <c r="BG11" s="16">
        <f t="shared" si="14"/>
        <v>1.0503460880673554E-2</v>
      </c>
      <c r="BH11" s="16"/>
      <c r="BJ11" s="50"/>
      <c r="BK11" s="50"/>
      <c r="BL11" s="50"/>
      <c r="BM11" s="50"/>
      <c r="BN11" s="50"/>
      <c r="BP11" s="50"/>
      <c r="BQ11" s="50"/>
      <c r="BR11" s="50"/>
      <c r="BS11" s="50"/>
      <c r="BT11" s="50"/>
      <c r="BV11" s="53">
        <f t="shared" si="16"/>
        <v>-8924403</v>
      </c>
      <c r="BW11" s="53">
        <f t="shared" si="15"/>
        <v>-278887.59375</v>
      </c>
      <c r="BX11" s="53">
        <f t="shared" si="15"/>
        <v>-10893.875</v>
      </c>
      <c r="BY11" s="53">
        <f t="shared" si="15"/>
        <v>-535168</v>
      </c>
      <c r="BZ11" s="53">
        <f t="shared" si="15"/>
        <v>-238768</v>
      </c>
      <c r="CA11" s="53">
        <f t="shared" si="15"/>
        <v>-96984</v>
      </c>
      <c r="CB11" s="53">
        <f t="shared" si="15"/>
        <v>-199416</v>
      </c>
      <c r="CC11" s="53">
        <f t="shared" si="15"/>
        <v>-3.5207502500000061</v>
      </c>
      <c r="CD11" s="53">
        <f t="shared" si="15"/>
        <v>-2.0801182499999982</v>
      </c>
      <c r="CE11" s="53">
        <f t="shared" si="15"/>
        <v>-1.3725498749999936</v>
      </c>
      <c r="CF11" s="53">
        <f t="shared" si="15"/>
        <v>-0.86031850000001242</v>
      </c>
      <c r="CG11" s="53">
        <f t="shared" si="15"/>
        <v>-2.4505968749999987</v>
      </c>
      <c r="CJ11" t="s">
        <v>587</v>
      </c>
    </row>
    <row r="12" spans="1:88" outlineLevel="1" x14ac:dyDescent="0.2">
      <c r="A12" s="17"/>
      <c r="B12" s="17" t="s">
        <v>59</v>
      </c>
      <c r="C12" s="18" t="s">
        <v>235</v>
      </c>
      <c r="D12" s="17">
        <v>218121242</v>
      </c>
      <c r="E12" s="18">
        <v>10</v>
      </c>
      <c r="F12" s="18">
        <v>32</v>
      </c>
      <c r="G12" s="18">
        <v>30</v>
      </c>
      <c r="I12" s="19">
        <f t="shared" si="0"/>
        <v>3.8537474999999999</v>
      </c>
      <c r="J12" s="20">
        <f t="shared" si="1"/>
        <v>1.8845775690200774E-2</v>
      </c>
      <c r="K12" s="20">
        <f t="shared" si="2"/>
        <v>1.141757665216302E-2</v>
      </c>
      <c r="L12" s="20">
        <f t="shared" si="3"/>
        <v>8.2770847233668322E-3</v>
      </c>
      <c r="M12" s="20">
        <f t="shared" si="4"/>
        <v>7.4281990380377534E-3</v>
      </c>
      <c r="N12" s="17">
        <f t="shared" si="5"/>
        <v>2490416</v>
      </c>
      <c r="O12" s="20">
        <v>16</v>
      </c>
      <c r="P12" s="21">
        <v>22569901</v>
      </c>
      <c r="Q12" s="21">
        <v>705309.40625</v>
      </c>
      <c r="R12" s="21">
        <v>24721.9375</v>
      </c>
      <c r="S12" s="22">
        <v>4110664</v>
      </c>
      <c r="T12" s="22">
        <v>1805408</v>
      </c>
      <c r="U12" s="22">
        <v>685008</v>
      </c>
      <c r="V12" s="22">
        <v>1620248</v>
      </c>
      <c r="W12" s="23">
        <v>69.009450000000015</v>
      </c>
      <c r="X12" s="23">
        <v>71.379971874999995</v>
      </c>
      <c r="Y12" s="23">
        <v>34.879440624999987</v>
      </c>
      <c r="Z12" s="23">
        <v>40.634481249999993</v>
      </c>
      <c r="AA12" s="23">
        <v>34.126809374999993</v>
      </c>
      <c r="AB12" s="24">
        <v>3002.95</v>
      </c>
      <c r="AC12" s="24">
        <v>5401.59</v>
      </c>
      <c r="AD12" s="24">
        <v>11.412000000000001</v>
      </c>
      <c r="AE12" s="24">
        <v>9.98</v>
      </c>
      <c r="AG12" s="19">
        <f t="shared" si="6"/>
        <v>3.1239075000000001</v>
      </c>
      <c r="AH12" s="20">
        <f t="shared" si="7"/>
        <v>1.527667809630389E-2</v>
      </c>
      <c r="AI12" s="20">
        <f t="shared" si="8"/>
        <v>9.3647000231183355E-3</v>
      </c>
      <c r="AJ12" s="20">
        <f t="shared" si="9"/>
        <v>6.6688415427232899E-3</v>
      </c>
      <c r="AK12" s="20">
        <f t="shared" si="10"/>
        <v>5.911978073185554E-3</v>
      </c>
      <c r="AL12" s="17">
        <f t="shared" si="11"/>
        <v>2042640</v>
      </c>
      <c r="AM12" s="20">
        <v>16</v>
      </c>
      <c r="AN12" s="21">
        <v>13522891</v>
      </c>
      <c r="AO12" s="21">
        <v>422590.34375</v>
      </c>
      <c r="AP12" s="21">
        <v>12902.65625</v>
      </c>
      <c r="AQ12" s="22">
        <v>3332168</v>
      </c>
      <c r="AR12" s="22">
        <v>1454616</v>
      </c>
      <c r="AS12" s="22">
        <v>588024</v>
      </c>
      <c r="AT12" s="22">
        <v>1289528</v>
      </c>
      <c r="AU12" s="23">
        <v>65.065403000000003</v>
      </c>
      <c r="AV12" s="23">
        <v>69.120627999999996</v>
      </c>
      <c r="AW12" s="23">
        <v>33.219141</v>
      </c>
      <c r="AX12" s="23">
        <v>39.637194000000001</v>
      </c>
      <c r="AY12" s="23">
        <v>31.231511999999999</v>
      </c>
      <c r="AZ12" s="24">
        <v>3209.4</v>
      </c>
      <c r="BA12" s="24">
        <v>3661.4</v>
      </c>
      <c r="BB12" s="24">
        <v>6.641</v>
      </c>
      <c r="BC12" s="24">
        <v>14.93</v>
      </c>
      <c r="BE12" s="49">
        <f t="shared" si="12"/>
        <v>0.82020031994654707</v>
      </c>
      <c r="BF12" s="25">
        <f t="shared" si="13"/>
        <v>-4.5188923549439979E-3</v>
      </c>
      <c r="BG12" s="25">
        <f t="shared" si="14"/>
        <v>7.1635526469955302E-3</v>
      </c>
      <c r="BH12" s="25"/>
      <c r="BJ12" s="49"/>
      <c r="BK12" s="49"/>
      <c r="BL12" s="49"/>
      <c r="BM12" s="49"/>
      <c r="BN12" s="49"/>
      <c r="BP12" s="49"/>
      <c r="BQ12" s="49"/>
      <c r="BR12" s="49"/>
      <c r="BS12" s="49"/>
      <c r="BT12" s="49"/>
      <c r="BV12" s="53">
        <f t="shared" si="16"/>
        <v>-9047010</v>
      </c>
      <c r="BW12" s="53">
        <f t="shared" si="15"/>
        <v>-282719.0625</v>
      </c>
      <c r="BX12" s="53">
        <f t="shared" si="15"/>
        <v>-11819.28125</v>
      </c>
      <c r="BY12" s="53">
        <f t="shared" si="15"/>
        <v>-778496</v>
      </c>
      <c r="BZ12" s="53">
        <f t="shared" si="15"/>
        <v>-350792</v>
      </c>
      <c r="CA12" s="53">
        <f t="shared" si="15"/>
        <v>-96984</v>
      </c>
      <c r="CB12" s="53">
        <f t="shared" si="15"/>
        <v>-330720</v>
      </c>
      <c r="CC12" s="53">
        <f t="shared" si="15"/>
        <v>-3.9440470000000118</v>
      </c>
      <c r="CD12" s="53">
        <f t="shared" si="15"/>
        <v>-2.259343874999999</v>
      </c>
      <c r="CE12" s="53">
        <f t="shared" si="15"/>
        <v>-1.6602996249999862</v>
      </c>
      <c r="CF12" s="53">
        <f t="shared" si="15"/>
        <v>-0.9972872499999923</v>
      </c>
      <c r="CG12" s="53">
        <f t="shared" si="15"/>
        <v>-2.8952973749999948</v>
      </c>
      <c r="CJ12" t="s">
        <v>587</v>
      </c>
    </row>
    <row r="13" spans="1:88" outlineLevel="1" x14ac:dyDescent="0.2">
      <c r="A13" s="52"/>
      <c r="B13" s="52" t="s">
        <v>59</v>
      </c>
      <c r="C13" s="9" t="s">
        <v>236</v>
      </c>
      <c r="D13" s="52">
        <v>218121242</v>
      </c>
      <c r="E13" s="9">
        <v>10</v>
      </c>
      <c r="F13" s="9">
        <v>32</v>
      </c>
      <c r="G13" s="9">
        <v>30</v>
      </c>
      <c r="I13" s="10">
        <f t="shared" si="0"/>
        <v>6.2247824999999999</v>
      </c>
      <c r="J13" s="11">
        <f t="shared" si="1"/>
        <v>3.0440721587308768E-2</v>
      </c>
      <c r="K13" s="11">
        <f t="shared" si="2"/>
        <v>1.5919990039301168E-2</v>
      </c>
      <c r="L13" s="11">
        <f t="shared" si="3"/>
        <v>1.2779498110504982E-2</v>
      </c>
      <c r="M13" s="11">
        <f t="shared" si="4"/>
        <v>1.4520731548007598E-2</v>
      </c>
      <c r="N13" s="52">
        <f t="shared" si="5"/>
        <v>3472488</v>
      </c>
      <c r="O13" s="11">
        <v>16</v>
      </c>
      <c r="P13" s="12">
        <v>23308443</v>
      </c>
      <c r="Q13" s="12">
        <v>728388.84375</v>
      </c>
      <c r="R13" s="12">
        <v>27991.21875</v>
      </c>
      <c r="S13" s="13">
        <v>6639768</v>
      </c>
      <c r="T13" s="13">
        <v>2787480</v>
      </c>
      <c r="U13" s="13">
        <v>685008</v>
      </c>
      <c r="V13" s="13">
        <v>3167280</v>
      </c>
      <c r="W13" s="14">
        <v>70.060287500000001</v>
      </c>
      <c r="X13" s="14">
        <v>72.567171875</v>
      </c>
      <c r="Y13" s="14">
        <v>37.06</v>
      </c>
      <c r="Z13" s="14">
        <v>41.690990624999991</v>
      </c>
      <c r="AA13" s="14">
        <v>36.083268750000002</v>
      </c>
      <c r="AB13" s="15">
        <v>3060.39</v>
      </c>
      <c r="AC13" s="15">
        <v>6411.92</v>
      </c>
      <c r="AD13" s="15">
        <v>11.571999999999999</v>
      </c>
      <c r="AE13" s="15">
        <v>10.532</v>
      </c>
      <c r="AG13" s="10">
        <f t="shared" si="6"/>
        <v>5.0329724999999996</v>
      </c>
      <c r="AH13" s="11">
        <f t="shared" si="7"/>
        <v>2.4612476761891901E-2</v>
      </c>
      <c r="AI13" s="11">
        <f t="shared" si="8"/>
        <v>1.3110800093463616E-2</v>
      </c>
      <c r="AJ13" s="11">
        <f t="shared" si="9"/>
        <v>1.041494161306857E-2</v>
      </c>
      <c r="AK13" s="11">
        <f t="shared" si="10"/>
        <v>1.1501676668428286E-2</v>
      </c>
      <c r="AL13" s="52">
        <f t="shared" si="11"/>
        <v>2859744</v>
      </c>
      <c r="AM13" s="11">
        <v>16</v>
      </c>
      <c r="AN13" s="12">
        <v>14105649</v>
      </c>
      <c r="AO13" s="12">
        <v>440801.53125</v>
      </c>
      <c r="AP13" s="12">
        <v>14922.09375</v>
      </c>
      <c r="AQ13" s="13">
        <v>5368504</v>
      </c>
      <c r="AR13" s="13">
        <v>2271720</v>
      </c>
      <c r="AS13" s="13">
        <v>588024</v>
      </c>
      <c r="AT13" s="13">
        <v>2508760</v>
      </c>
      <c r="AU13" s="14">
        <v>65.750377999999998</v>
      </c>
      <c r="AV13" s="14">
        <v>70.153390999999999</v>
      </c>
      <c r="AW13" s="14">
        <v>35.017046999999998</v>
      </c>
      <c r="AX13" s="14">
        <v>40.691709000000003</v>
      </c>
      <c r="AY13" s="14">
        <v>32.683287</v>
      </c>
      <c r="AZ13" s="15">
        <v>3223.04</v>
      </c>
      <c r="BA13" s="15">
        <v>3851.18</v>
      </c>
      <c r="BB13" s="15">
        <v>6.6749999999999998</v>
      </c>
      <c r="BC13" s="15">
        <v>15.16</v>
      </c>
      <c r="BE13" s="50">
        <f t="shared" si="12"/>
        <v>0.8235432347066427</v>
      </c>
      <c r="BF13" s="16">
        <f t="shared" si="13"/>
        <v>-4.5767682020260922E-3</v>
      </c>
      <c r="BG13" s="16">
        <f t="shared" si="14"/>
        <v>9.7058480420080251E-3</v>
      </c>
      <c r="BH13" s="16"/>
      <c r="BJ13" s="50"/>
      <c r="BK13" s="50"/>
      <c r="BL13" s="50"/>
      <c r="BM13" s="50"/>
      <c r="BN13" s="50"/>
      <c r="BP13" s="50"/>
      <c r="BQ13" s="50"/>
      <c r="BR13" s="50"/>
      <c r="BS13" s="50"/>
      <c r="BT13" s="50"/>
      <c r="BV13" s="53">
        <f t="shared" si="16"/>
        <v>-9202794</v>
      </c>
      <c r="BW13" s="53">
        <f t="shared" si="15"/>
        <v>-287587.3125</v>
      </c>
      <c r="BX13" s="53">
        <f t="shared" si="15"/>
        <v>-13069.125</v>
      </c>
      <c r="BY13" s="53">
        <f t="shared" si="15"/>
        <v>-1271264</v>
      </c>
      <c r="BZ13" s="53">
        <f t="shared" si="15"/>
        <v>-515760</v>
      </c>
      <c r="CA13" s="53">
        <f t="shared" si="15"/>
        <v>-96984</v>
      </c>
      <c r="CB13" s="53">
        <f t="shared" si="15"/>
        <v>-658520</v>
      </c>
      <c r="CC13" s="53">
        <f t="shared" si="15"/>
        <v>-4.3099095000000034</v>
      </c>
      <c r="CD13" s="53">
        <f t="shared" si="15"/>
        <v>-2.4137808750000005</v>
      </c>
      <c r="CE13" s="53">
        <f t="shared" si="15"/>
        <v>-2.0429530000000042</v>
      </c>
      <c r="CF13" s="53">
        <f t="shared" si="15"/>
        <v>-0.99928162499998763</v>
      </c>
      <c r="CG13" s="53">
        <f t="shared" si="15"/>
        <v>-3.399981750000002</v>
      </c>
      <c r="CJ13" t="s">
        <v>587</v>
      </c>
    </row>
    <row r="14" spans="1:88" ht="16" outlineLevel="1" thickBot="1" x14ac:dyDescent="0.25">
      <c r="A14" s="17"/>
      <c r="B14" s="36" t="s">
        <v>59</v>
      </c>
      <c r="C14" s="37" t="s">
        <v>237</v>
      </c>
      <c r="D14" s="36">
        <v>218121242</v>
      </c>
      <c r="E14" s="37">
        <v>10</v>
      </c>
      <c r="F14" s="37">
        <v>32</v>
      </c>
      <c r="G14" s="37">
        <v>30</v>
      </c>
      <c r="I14" s="38">
        <f t="shared" si="0"/>
        <v>12.267659999999999</v>
      </c>
      <c r="J14" s="39">
        <f t="shared" si="1"/>
        <v>5.9991882863017994E-2</v>
      </c>
      <c r="K14" s="39">
        <f t="shared" si="2"/>
        <v>2.6824237503654046E-2</v>
      </c>
      <c r="L14" s="39">
        <f t="shared" si="3"/>
        <v>2.0741492018461916E-2</v>
      </c>
      <c r="M14" s="39">
        <f t="shared" si="4"/>
        <v>3.3167645359363944E-2</v>
      </c>
      <c r="N14" s="36">
        <f t="shared" si="5"/>
        <v>5850936</v>
      </c>
      <c r="O14" s="39">
        <v>16</v>
      </c>
      <c r="P14" s="40">
        <v>22150010</v>
      </c>
      <c r="Q14" s="40">
        <v>692187.8125</v>
      </c>
      <c r="R14" s="40">
        <v>13331.5625</v>
      </c>
      <c r="S14" s="41">
        <v>13085504</v>
      </c>
      <c r="T14" s="41">
        <v>4524160</v>
      </c>
      <c r="U14" s="41">
        <v>1326776</v>
      </c>
      <c r="V14" s="41">
        <v>7234568</v>
      </c>
      <c r="W14" s="42">
        <v>70.920671875000025</v>
      </c>
      <c r="X14" s="42">
        <v>74.632662499999981</v>
      </c>
      <c r="Y14" s="42">
        <v>39.462553124999999</v>
      </c>
      <c r="Z14" s="42">
        <v>42.973531250000008</v>
      </c>
      <c r="AA14" s="42">
        <v>38.239546875000002</v>
      </c>
      <c r="AB14" s="43">
        <v>3062.86</v>
      </c>
      <c r="AC14" s="43">
        <v>7034.47</v>
      </c>
      <c r="AD14" s="43">
        <v>11.692</v>
      </c>
      <c r="AE14" s="43">
        <v>10.46</v>
      </c>
      <c r="AG14" s="38">
        <f t="shared" si="6"/>
        <v>9.7828575000000004</v>
      </c>
      <c r="AH14" s="39">
        <f t="shared" si="7"/>
        <v>4.7840585833451285E-2</v>
      </c>
      <c r="AI14" s="39">
        <f t="shared" si="8"/>
        <v>2.1765509660906845E-2</v>
      </c>
      <c r="AJ14" s="39">
        <f t="shared" si="9"/>
        <v>1.6654187215750405E-2</v>
      </c>
      <c r="AK14" s="39">
        <f t="shared" si="10"/>
        <v>2.6075076172544443E-2</v>
      </c>
      <c r="AL14" s="36">
        <f t="shared" si="11"/>
        <v>4747520</v>
      </c>
      <c r="AM14" s="39">
        <v>16</v>
      </c>
      <c r="AN14" s="40">
        <v>13099408</v>
      </c>
      <c r="AO14" s="40">
        <v>409356.5</v>
      </c>
      <c r="AP14" s="40">
        <v>7398.5625</v>
      </c>
      <c r="AQ14" s="41">
        <v>10435048</v>
      </c>
      <c r="AR14" s="41">
        <v>3632632</v>
      </c>
      <c r="AS14" s="41">
        <v>1114888</v>
      </c>
      <c r="AT14" s="41">
        <v>5687528</v>
      </c>
      <c r="AU14" s="42">
        <v>66.034300000000002</v>
      </c>
      <c r="AV14" s="42">
        <v>73.068727999999993</v>
      </c>
      <c r="AW14" s="42">
        <v>36.800590999999997</v>
      </c>
      <c r="AX14" s="42">
        <v>41.957013000000003</v>
      </c>
      <c r="AY14" s="42">
        <v>34.037325000000003</v>
      </c>
      <c r="AZ14" s="43">
        <v>3200.35</v>
      </c>
      <c r="BA14" s="43">
        <v>4223.1099999999997</v>
      </c>
      <c r="BB14" s="43">
        <v>6.38</v>
      </c>
      <c r="BC14" s="43">
        <v>15.98</v>
      </c>
      <c r="BE14" s="44">
        <f t="shared" si="12"/>
        <v>0.81141205441317421</v>
      </c>
      <c r="BF14" s="45">
        <f t="shared" si="13"/>
        <v>-1.1863952609481587E-3</v>
      </c>
      <c r="BG14" s="45">
        <f t="shared" si="14"/>
        <v>7.8279800708829228E-3</v>
      </c>
      <c r="BH14" s="45"/>
      <c r="BJ14" s="44"/>
      <c r="BK14" s="44"/>
      <c r="BL14" s="44"/>
      <c r="BM14" s="44"/>
      <c r="BN14" s="44"/>
      <c r="BP14" s="44"/>
      <c r="BQ14" s="44"/>
      <c r="BR14" s="44"/>
      <c r="BS14" s="44"/>
      <c r="BT14" s="44"/>
      <c r="BV14" s="53">
        <f t="shared" si="16"/>
        <v>-9050602</v>
      </c>
      <c r="BW14" s="53">
        <f t="shared" si="15"/>
        <v>-282831.3125</v>
      </c>
      <c r="BX14" s="53">
        <f t="shared" si="15"/>
        <v>-5933</v>
      </c>
      <c r="BY14" s="53">
        <f t="shared" si="15"/>
        <v>-2650456</v>
      </c>
      <c r="BZ14" s="53">
        <f t="shared" si="15"/>
        <v>-891528</v>
      </c>
      <c r="CA14" s="53">
        <f t="shared" si="15"/>
        <v>-211888</v>
      </c>
      <c r="CB14" s="53">
        <f t="shared" si="15"/>
        <v>-1547040</v>
      </c>
      <c r="CC14" s="53">
        <f t="shared" si="15"/>
        <v>-4.8863718750000231</v>
      </c>
      <c r="CD14" s="53">
        <f t="shared" si="15"/>
        <v>-1.5639344999999878</v>
      </c>
      <c r="CE14" s="53">
        <f t="shared" si="15"/>
        <v>-2.6619621250000023</v>
      </c>
      <c r="CF14" s="53">
        <f t="shared" si="15"/>
        <v>-1.0165182500000043</v>
      </c>
      <c r="CG14" s="53">
        <f t="shared" si="15"/>
        <v>-4.2022218749999993</v>
      </c>
      <c r="CJ14" t="s">
        <v>587</v>
      </c>
    </row>
    <row r="15" spans="1:88" x14ac:dyDescent="0.2">
      <c r="A15" s="52"/>
      <c r="B15" s="52" t="s">
        <v>64</v>
      </c>
      <c r="C15" s="9" t="s">
        <v>232</v>
      </c>
      <c r="D15" s="52">
        <v>322589704</v>
      </c>
      <c r="E15" s="9">
        <v>10</v>
      </c>
      <c r="F15" s="9">
        <v>32</v>
      </c>
      <c r="G15" s="9">
        <v>30</v>
      </c>
      <c r="I15" s="10">
        <f t="shared" si="0"/>
        <v>1.628055</v>
      </c>
      <c r="J15" s="11">
        <f t="shared" si="1"/>
        <v>5.383284024464711E-3</v>
      </c>
      <c r="K15" s="11">
        <f t="shared" si="2"/>
        <v>4.5265920824305046E-3</v>
      </c>
      <c r="L15" s="11">
        <f t="shared" si="3"/>
        <v>2.3656551667253461E-3</v>
      </c>
      <c r="M15" s="11">
        <f t="shared" si="4"/>
        <v>8.5669194203420707E-4</v>
      </c>
      <c r="N15" s="52">
        <f t="shared" si="5"/>
        <v>1460232</v>
      </c>
      <c r="O15" s="11">
        <v>16</v>
      </c>
      <c r="P15" s="12">
        <v>32415907</v>
      </c>
      <c r="Q15" s="12">
        <v>1012997.09375</v>
      </c>
      <c r="R15" s="12">
        <v>32038.09375</v>
      </c>
      <c r="S15" s="13">
        <v>1736592</v>
      </c>
      <c r="T15" s="13">
        <v>763136</v>
      </c>
      <c r="U15" s="13">
        <v>697096</v>
      </c>
      <c r="V15" s="13">
        <v>276360</v>
      </c>
      <c r="W15" s="14">
        <v>66.298768749999994</v>
      </c>
      <c r="X15" s="14">
        <v>67.85019062500001</v>
      </c>
      <c r="Y15" s="14">
        <v>29.2416375</v>
      </c>
      <c r="Z15" s="14">
        <v>43.356131249999997</v>
      </c>
      <c r="AA15" s="14">
        <v>43.670806250000012</v>
      </c>
      <c r="AB15" s="15">
        <v>4718.78</v>
      </c>
      <c r="AC15" s="15">
        <v>4411.58</v>
      </c>
      <c r="AD15" s="15">
        <v>13.94</v>
      </c>
      <c r="AE15" s="15">
        <v>6.3920000000000003</v>
      </c>
      <c r="AG15" s="10">
        <f t="shared" si="6"/>
        <v>1.3877699999999999</v>
      </c>
      <c r="AH15" s="11">
        <f t="shared" si="7"/>
        <v>4.5887639364956294E-3</v>
      </c>
      <c r="AI15" s="11">
        <f t="shared" si="8"/>
        <v>3.906113506958052E-3</v>
      </c>
      <c r="AJ15" s="11">
        <f t="shared" si="9"/>
        <v>2.1372287814864668E-3</v>
      </c>
      <c r="AK15" s="11">
        <f t="shared" si="10"/>
        <v>6.8265042953757752E-4</v>
      </c>
      <c r="AL15" s="52">
        <f t="shared" si="11"/>
        <v>1260072</v>
      </c>
      <c r="AM15" s="11">
        <v>16</v>
      </c>
      <c r="AN15" s="12">
        <v>23547653</v>
      </c>
      <c r="AO15" s="12">
        <v>735864.15625</v>
      </c>
      <c r="AP15" s="12">
        <v>20921.9375</v>
      </c>
      <c r="AQ15" s="13">
        <v>1480288</v>
      </c>
      <c r="AR15" s="13">
        <v>689448</v>
      </c>
      <c r="AS15" s="13">
        <v>570624</v>
      </c>
      <c r="AT15" s="13">
        <v>220216</v>
      </c>
      <c r="AU15" s="14">
        <v>63.813797000000001</v>
      </c>
      <c r="AV15" s="14">
        <v>66.239456000000004</v>
      </c>
      <c r="AW15" s="14">
        <v>28.123287000000001</v>
      </c>
      <c r="AX15" s="14">
        <v>42.871766000000001</v>
      </c>
      <c r="AY15" s="14">
        <v>43.20205</v>
      </c>
      <c r="AZ15" s="15">
        <v>5829.01</v>
      </c>
      <c r="BA15" s="15">
        <v>3647.41</v>
      </c>
      <c r="BB15" s="15">
        <v>14.034000000000001</v>
      </c>
      <c r="BC15" s="15">
        <v>20.334</v>
      </c>
      <c r="BE15" s="50">
        <f t="shared" si="12"/>
        <v>0.86292589122824315</v>
      </c>
      <c r="BF15" s="16">
        <f t="shared" si="13"/>
        <v>-3.1952410399359553E-3</v>
      </c>
      <c r="BG15" s="16">
        <f t="shared" si="14"/>
        <v>1.0373634088540751E-2</v>
      </c>
      <c r="BH15" s="16">
        <f t="array" ref="BH15">AVERAGE(AL15:AL19/AQ15:AQ19) - AVERAGE(N15:N19/S15:S19)</f>
        <v>7.3285619286534986E-3</v>
      </c>
      <c r="BJ15" s="50">
        <f>IF( OR(ISBLANK(N15:N19),ISBLANK(AL15:AL19), ISBLANK(W15:W19),ISBLANK(AU15:AU19)), "·", bdRateExtend( N15:N19,W15:W19, AL15:AL19,AU15:AU19))</f>
        <v>0.72516802355787457</v>
      </c>
      <c r="BK15" s="50">
        <f>IF( OR(ISBLANK(N15:N19),ISBLANK(AL15:AL19), ISBLANK(X15:X19),ISBLANK(AV15:AV19)), "·", bdRateExtend( N15:N19,X15:X19, AL15:AL19,AV15:AV19))</f>
        <v>0.47570609319506807</v>
      </c>
      <c r="BL15" s="50">
        <f>IF( OR(ISBLANK(V15:V19),ISBLANK(AT15:AT19), ISBLANK(Y15:Y19),ISBLANK(AW15:AW19)), "·", bdRateExtend( V15:V19,Y15:Y19, AT15:AT19,AW15:AW19))</f>
        <v>0.47296636356010247</v>
      </c>
      <c r="BM15" s="50">
        <f>IF( OR(ISBLANK(V15:V19),ISBLANK(AT15:AT19), ISBLANK(Z15:Z19),ISBLANK(AX15:AX19)), "·", bdRateExtend( V15:V19,Z15:Z19, AT15:AT19,AX15:AX19))</f>
        <v>0.31012188437274113</v>
      </c>
      <c r="BN15" s="50">
        <f>IF( OR(ISBLANK(V15:V19),ISBLANK(AT15:AT19), ISBLANK(AA15:AA19),ISBLANK(AY15:AY19)), "·", bdRateExtend( V15:V19,AA15:AA19, AT15:AT19,AY15:AY19))</f>
        <v>0.32705116791205202</v>
      </c>
      <c r="BP15" s="50">
        <f>IF( OR(ISBLANK(S15:S19),ISBLANK(AQ15:AQ19), ISBLANK(W15:W19),ISBLANK(AU15:AU19)), "·", bdRateExtend( S15:S19,W15:W19, AQ15:AQ19,AU15:AU19))</f>
        <v>1.4561763421828453</v>
      </c>
      <c r="BQ15" s="50">
        <f>IF( OR(ISBLANK(S15:S19),ISBLANK(AQ15:AQ19), ISBLANK(X15:X19),ISBLANK(AV15:AV19)), "·", bdRateExtend( S15:S19,X15:X19, AQ15:AQ19,AV15:AV19))</f>
        <v>0.86428545321394012</v>
      </c>
      <c r="BR15" s="50">
        <f>IF( OR(ISBLANK(S15:S19),ISBLANK(AQ15:AQ19), ISBLANK(Y15:Y19),ISBLANK(AW15:AW19)), "·", bdRateExtend( S15:S19,Y15:Y19, AQ15:AQ19,AW15:AW19))</f>
        <v>0.21728404848926153</v>
      </c>
      <c r="BS15" s="50">
        <f>IF( OR(ISBLANK(S15:S19),ISBLANK(AQ15:AQ19), ISBLANK(Z15:Z19),ISBLANK(AX15:AX19)), "·", bdRateExtend( S15:S19,Z15:Z19, AQ15:AQ19,AX15:AX19))</f>
        <v>0.13161359722946253</v>
      </c>
      <c r="BT15" s="50">
        <f>IF( OR(ISBLANK(S15:S19),ISBLANK(AQ15:AQ19), ISBLANK(AA15:AA19),ISBLANK(AY15:AY19)), "·", bdRateExtend( S15:S19,AA15:AA19, AQ15:AQ19,AY15:AY19))</f>
        <v>0.13527573856130104</v>
      </c>
      <c r="BV15" s="53">
        <f t="shared" si="16"/>
        <v>-8868254</v>
      </c>
      <c r="BW15" s="53">
        <f t="shared" si="15"/>
        <v>-277132.9375</v>
      </c>
      <c r="BX15" s="53">
        <f t="shared" si="15"/>
        <v>-11116.15625</v>
      </c>
      <c r="BY15" s="53">
        <f t="shared" si="15"/>
        <v>-256304</v>
      </c>
      <c r="BZ15" s="53">
        <f t="shared" si="15"/>
        <v>-73688</v>
      </c>
      <c r="CA15" s="53">
        <f t="shared" si="15"/>
        <v>-126472</v>
      </c>
      <c r="CB15" s="53">
        <f t="shared" si="15"/>
        <v>-56144</v>
      </c>
      <c r="CC15" s="53">
        <f t="shared" si="15"/>
        <v>-2.4849717499999926</v>
      </c>
      <c r="CD15" s="53">
        <f t="shared" si="15"/>
        <v>-1.6107346250000063</v>
      </c>
      <c r="CE15" s="53">
        <f t="shared" si="15"/>
        <v>-1.1183504999999982</v>
      </c>
      <c r="CF15" s="53">
        <f t="shared" si="15"/>
        <v>-0.48436524999999619</v>
      </c>
      <c r="CG15" s="53">
        <f t="shared" si="15"/>
        <v>-0.46875625000001264</v>
      </c>
      <c r="CJ15" t="s">
        <v>233</v>
      </c>
    </row>
    <row r="16" spans="1:88" outlineLevel="1" x14ac:dyDescent="0.2">
      <c r="A16" s="17"/>
      <c r="B16" s="17" t="s">
        <v>64</v>
      </c>
      <c r="C16" s="18" t="s">
        <v>234</v>
      </c>
      <c r="D16" s="17">
        <v>322589704</v>
      </c>
      <c r="E16" s="18">
        <v>10</v>
      </c>
      <c r="F16" s="18">
        <v>32</v>
      </c>
      <c r="G16" s="18">
        <v>30</v>
      </c>
      <c r="I16" s="19">
        <f t="shared" si="0"/>
        <v>2.133435</v>
      </c>
      <c r="J16" s="20">
        <f t="shared" si="1"/>
        <v>7.0543602966324061E-3</v>
      </c>
      <c r="K16" s="20">
        <f t="shared" si="2"/>
        <v>5.4569131567819657E-3</v>
      </c>
      <c r="L16" s="20">
        <f t="shared" si="3"/>
        <v>3.2959762410768078E-3</v>
      </c>
      <c r="M16" s="20">
        <f t="shared" si="4"/>
        <v>1.5974471398504399E-3</v>
      </c>
      <c r="N16" s="17">
        <f t="shared" si="5"/>
        <v>1760344</v>
      </c>
      <c r="O16" s="20">
        <v>16</v>
      </c>
      <c r="P16" s="21">
        <v>33874164</v>
      </c>
      <c r="Q16" s="21">
        <v>1058567.625</v>
      </c>
      <c r="R16" s="21">
        <v>36864.21875</v>
      </c>
      <c r="S16" s="22">
        <v>2275664</v>
      </c>
      <c r="T16" s="22">
        <v>1063248</v>
      </c>
      <c r="U16" s="22">
        <v>697096</v>
      </c>
      <c r="V16" s="22">
        <v>515320</v>
      </c>
      <c r="W16" s="23">
        <v>68.029634375000001</v>
      </c>
      <c r="X16" s="23">
        <v>70.006815625000002</v>
      </c>
      <c r="Y16" s="23">
        <v>31.530703124999999</v>
      </c>
      <c r="Z16" s="23">
        <v>44.119390625000001</v>
      </c>
      <c r="AA16" s="23">
        <v>44.541440625000007</v>
      </c>
      <c r="AB16" s="24">
        <v>4712.13</v>
      </c>
      <c r="AC16" s="24">
        <v>4714.59</v>
      </c>
      <c r="AD16" s="24">
        <v>14.412000000000001</v>
      </c>
      <c r="AE16" s="24">
        <v>7.0039999999999996</v>
      </c>
      <c r="AG16" s="19">
        <f t="shared" si="6"/>
        <v>1.841145</v>
      </c>
      <c r="AH16" s="20">
        <f t="shared" si="7"/>
        <v>6.0878818376670822E-3</v>
      </c>
      <c r="AI16" s="20">
        <f t="shared" si="8"/>
        <v>4.7891175100864347E-3</v>
      </c>
      <c r="AJ16" s="20">
        <f t="shared" si="9"/>
        <v>3.0202327846148495E-3</v>
      </c>
      <c r="AK16" s="20">
        <f t="shared" si="10"/>
        <v>1.2987643275806471E-3</v>
      </c>
      <c r="AL16" s="17">
        <f t="shared" si="11"/>
        <v>1544920</v>
      </c>
      <c r="AM16" s="20">
        <v>16</v>
      </c>
      <c r="AN16" s="21">
        <v>24591615</v>
      </c>
      <c r="AO16" s="21">
        <v>768487.96875</v>
      </c>
      <c r="AP16" s="21">
        <v>24516.75</v>
      </c>
      <c r="AQ16" s="22">
        <v>1963888</v>
      </c>
      <c r="AR16" s="22">
        <v>974296</v>
      </c>
      <c r="AS16" s="22">
        <v>570624</v>
      </c>
      <c r="AT16" s="22">
        <v>418968</v>
      </c>
      <c r="AU16" s="23">
        <v>65.157483999999997</v>
      </c>
      <c r="AV16" s="23">
        <v>67.973866000000001</v>
      </c>
      <c r="AW16" s="23">
        <v>30.261209000000001</v>
      </c>
      <c r="AX16" s="23">
        <v>43.39</v>
      </c>
      <c r="AY16" s="23">
        <v>43.595343999999997</v>
      </c>
      <c r="AZ16" s="24">
        <v>4693.4799999999996</v>
      </c>
      <c r="BA16" s="24">
        <v>2750.94</v>
      </c>
      <c r="BB16" s="24">
        <v>10.333</v>
      </c>
      <c r="BC16" s="24">
        <v>13.459</v>
      </c>
      <c r="BE16" s="49">
        <f t="shared" si="12"/>
        <v>0.87762391896129399</v>
      </c>
      <c r="BF16" s="25">
        <f t="shared" si="13"/>
        <v>-2.9220418446897073E-3</v>
      </c>
      <c r="BG16" s="25">
        <f t="shared" si="14"/>
        <v>1.3112197982639962E-2</v>
      </c>
      <c r="BH16" s="25"/>
      <c r="BJ16" s="49"/>
      <c r="BK16" s="49"/>
      <c r="BL16" s="49"/>
      <c r="BM16" s="49"/>
      <c r="BN16" s="49"/>
      <c r="BP16" s="49"/>
      <c r="BQ16" s="49"/>
      <c r="BR16" s="49"/>
      <c r="BS16" s="49"/>
      <c r="BT16" s="49"/>
      <c r="BV16" s="53">
        <f t="shared" si="16"/>
        <v>-9282549</v>
      </c>
      <c r="BW16" s="53">
        <f t="shared" si="15"/>
        <v>-290079.65625</v>
      </c>
      <c r="BX16" s="53">
        <f t="shared" si="15"/>
        <v>-12347.46875</v>
      </c>
      <c r="BY16" s="53">
        <f t="shared" si="15"/>
        <v>-311776</v>
      </c>
      <c r="BZ16" s="53">
        <f t="shared" si="15"/>
        <v>-88952</v>
      </c>
      <c r="CA16" s="53">
        <f t="shared" si="15"/>
        <v>-126472</v>
      </c>
      <c r="CB16" s="53">
        <f t="shared" si="15"/>
        <v>-96352</v>
      </c>
      <c r="CC16" s="53">
        <f t="shared" si="15"/>
        <v>-2.8721503750000039</v>
      </c>
      <c r="CD16" s="53">
        <f t="shared" si="15"/>
        <v>-2.0329496250000005</v>
      </c>
      <c r="CE16" s="53">
        <f t="shared" si="15"/>
        <v>-1.2694941249999978</v>
      </c>
      <c r="CF16" s="53">
        <f t="shared" si="15"/>
        <v>-0.72939062500000063</v>
      </c>
      <c r="CG16" s="53">
        <f t="shared" si="15"/>
        <v>-0.94609662500000979</v>
      </c>
      <c r="CJ16" t="s">
        <v>233</v>
      </c>
    </row>
    <row r="17" spans="1:88" outlineLevel="1" x14ac:dyDescent="0.2">
      <c r="A17" s="52"/>
      <c r="B17" s="52" t="s">
        <v>64</v>
      </c>
      <c r="C17" s="9" t="s">
        <v>235</v>
      </c>
      <c r="D17" s="52">
        <v>322589704</v>
      </c>
      <c r="E17" s="9">
        <v>10</v>
      </c>
      <c r="F17" s="9">
        <v>32</v>
      </c>
      <c r="G17" s="9">
        <v>30</v>
      </c>
      <c r="I17" s="10">
        <f t="shared" si="0"/>
        <v>3.0166650000000002</v>
      </c>
      <c r="J17" s="11">
        <f t="shared" si="1"/>
        <v>9.9748254829608567E-3</v>
      </c>
      <c r="K17" s="11">
        <f t="shared" si="2"/>
        <v>6.6616633245058562E-3</v>
      </c>
      <c r="L17" s="11">
        <f t="shared" si="3"/>
        <v>4.5007264088006973E-3</v>
      </c>
      <c r="M17" s="11">
        <f t="shared" si="4"/>
        <v>3.3131621584550014E-3</v>
      </c>
      <c r="N17" s="52">
        <f t="shared" si="5"/>
        <v>2148984</v>
      </c>
      <c r="O17" s="11">
        <v>16</v>
      </c>
      <c r="P17" s="12">
        <v>33778649</v>
      </c>
      <c r="Q17" s="12">
        <v>1055582.78125</v>
      </c>
      <c r="R17" s="12">
        <v>37421.1875</v>
      </c>
      <c r="S17" s="13">
        <v>3217776</v>
      </c>
      <c r="T17" s="13">
        <v>1451888</v>
      </c>
      <c r="U17" s="13">
        <v>697096</v>
      </c>
      <c r="V17" s="13">
        <v>1068792</v>
      </c>
      <c r="W17" s="14">
        <v>69.351503125000008</v>
      </c>
      <c r="X17" s="14">
        <v>71.840315625000002</v>
      </c>
      <c r="Y17" s="14">
        <v>33.946487500000003</v>
      </c>
      <c r="Z17" s="14">
        <v>45.134740624999999</v>
      </c>
      <c r="AA17" s="14">
        <v>45.742221875000013</v>
      </c>
      <c r="AB17" s="15">
        <v>4720.22</v>
      </c>
      <c r="AC17" s="15">
        <v>5024.43</v>
      </c>
      <c r="AD17" s="15">
        <v>15.044</v>
      </c>
      <c r="AE17" s="15">
        <v>10.128</v>
      </c>
      <c r="AG17" s="10">
        <f t="shared" si="6"/>
        <v>2.5868250000000002</v>
      </c>
      <c r="AH17" s="11">
        <f t="shared" si="7"/>
        <v>8.5535277964110101E-3</v>
      </c>
      <c r="AI17" s="11">
        <f t="shared" si="8"/>
        <v>5.7971844011487734E-3</v>
      </c>
      <c r="AJ17" s="11">
        <f t="shared" si="9"/>
        <v>4.0282996756771878E-3</v>
      </c>
      <c r="AK17" s="11">
        <f t="shared" si="10"/>
        <v>2.7563433952622371E-3</v>
      </c>
      <c r="AL17" s="52">
        <f t="shared" si="11"/>
        <v>1870112</v>
      </c>
      <c r="AM17" s="11">
        <v>16</v>
      </c>
      <c r="AN17" s="12">
        <v>24564243</v>
      </c>
      <c r="AO17" s="12">
        <v>767632.59375</v>
      </c>
      <c r="AP17" s="12">
        <v>24778.65625</v>
      </c>
      <c r="AQ17" s="13">
        <v>2759280</v>
      </c>
      <c r="AR17" s="13">
        <v>1299488</v>
      </c>
      <c r="AS17" s="13">
        <v>570624</v>
      </c>
      <c r="AT17" s="13">
        <v>889168</v>
      </c>
      <c r="AU17" s="14">
        <v>66.140755999999996</v>
      </c>
      <c r="AV17" s="14">
        <v>69.240403000000001</v>
      </c>
      <c r="AW17" s="14">
        <v>32.439300000000003</v>
      </c>
      <c r="AX17" s="14">
        <v>44.497937</v>
      </c>
      <c r="AY17" s="14">
        <v>45.051537000000003</v>
      </c>
      <c r="AZ17" s="15">
        <v>4931.41</v>
      </c>
      <c r="BA17" s="15">
        <v>2996.99</v>
      </c>
      <c r="BB17" s="15">
        <v>10.275</v>
      </c>
      <c r="BC17" s="15">
        <v>13.951000000000001</v>
      </c>
      <c r="BE17" s="50">
        <f t="shared" si="12"/>
        <v>0.87023076951712997</v>
      </c>
      <c r="BF17" s="16">
        <f t="shared" si="13"/>
        <v>-3.1714194003446203E-3</v>
      </c>
      <c r="BG17" s="16">
        <f t="shared" si="14"/>
        <v>9.9060103399253308E-3</v>
      </c>
      <c r="BH17" s="16"/>
      <c r="BJ17" s="50"/>
      <c r="BK17" s="50"/>
      <c r="BL17" s="50"/>
      <c r="BM17" s="50"/>
      <c r="BN17" s="50"/>
      <c r="BP17" s="50"/>
      <c r="BQ17" s="50"/>
      <c r="BR17" s="50"/>
      <c r="BS17" s="50"/>
      <c r="BT17" s="50"/>
      <c r="BV17" s="53">
        <f t="shared" si="16"/>
        <v>-9214406</v>
      </c>
      <c r="BW17" s="53">
        <f t="shared" si="15"/>
        <v>-287950.1875</v>
      </c>
      <c r="BX17" s="53">
        <f t="shared" si="15"/>
        <v>-12642.53125</v>
      </c>
      <c r="BY17" s="53">
        <f t="shared" si="15"/>
        <v>-458496</v>
      </c>
      <c r="BZ17" s="53">
        <f t="shared" si="15"/>
        <v>-152400</v>
      </c>
      <c r="CA17" s="53">
        <f t="shared" si="15"/>
        <v>-126472</v>
      </c>
      <c r="CB17" s="53">
        <f t="shared" si="15"/>
        <v>-179624</v>
      </c>
      <c r="CC17" s="53">
        <f t="shared" si="15"/>
        <v>-3.2107471250000117</v>
      </c>
      <c r="CD17" s="53">
        <f t="shared" si="15"/>
        <v>-2.5999126250000018</v>
      </c>
      <c r="CE17" s="53">
        <f t="shared" si="15"/>
        <v>-1.5071875000000006</v>
      </c>
      <c r="CF17" s="53">
        <f t="shared" si="15"/>
        <v>-0.63680362499999887</v>
      </c>
      <c r="CG17" s="53">
        <f t="shared" si="15"/>
        <v>-0.69068487500000941</v>
      </c>
      <c r="CJ17" t="s">
        <v>233</v>
      </c>
    </row>
    <row r="18" spans="1:88" outlineLevel="1" x14ac:dyDescent="0.2">
      <c r="A18" s="17"/>
      <c r="B18" s="17" t="s">
        <v>64</v>
      </c>
      <c r="C18" s="18" t="s">
        <v>236</v>
      </c>
      <c r="D18" s="17">
        <v>322589704</v>
      </c>
      <c r="E18" s="18">
        <v>10</v>
      </c>
      <c r="F18" s="18">
        <v>32</v>
      </c>
      <c r="G18" s="18">
        <v>30</v>
      </c>
      <c r="I18" s="19">
        <f t="shared" si="0"/>
        <v>5.3492249999999997</v>
      </c>
      <c r="J18" s="20">
        <f t="shared" si="1"/>
        <v>1.7687607289537052E-2</v>
      </c>
      <c r="K18" s="20">
        <f t="shared" si="2"/>
        <v>9.9237637168977967E-3</v>
      </c>
      <c r="L18" s="20">
        <f t="shared" si="3"/>
        <v>7.7628268011926379E-3</v>
      </c>
      <c r="M18" s="20">
        <f t="shared" si="4"/>
        <v>7.7638435726392558E-3</v>
      </c>
      <c r="N18" s="17">
        <f t="shared" si="5"/>
        <v>3201304</v>
      </c>
      <c r="O18" s="20">
        <v>16</v>
      </c>
      <c r="P18" s="21">
        <v>34914325</v>
      </c>
      <c r="Q18" s="21">
        <v>1091072.65625</v>
      </c>
      <c r="R18" s="21">
        <v>41603.21875</v>
      </c>
      <c r="S18" s="22">
        <v>5705840</v>
      </c>
      <c r="T18" s="22">
        <v>2504208</v>
      </c>
      <c r="U18" s="22">
        <v>697096</v>
      </c>
      <c r="V18" s="22">
        <v>2504536</v>
      </c>
      <c r="W18" s="23">
        <v>70.529849999999982</v>
      </c>
      <c r="X18" s="23">
        <v>73.133384375000006</v>
      </c>
      <c r="Y18" s="23">
        <v>36.289246875000003</v>
      </c>
      <c r="Z18" s="23">
        <v>46.428246874999992</v>
      </c>
      <c r="AA18" s="23">
        <v>46.981940625000007</v>
      </c>
      <c r="AB18" s="24">
        <v>4718.8</v>
      </c>
      <c r="AC18" s="24">
        <v>5503.41</v>
      </c>
      <c r="AD18" s="24">
        <v>15.26</v>
      </c>
      <c r="AE18" s="24">
        <v>10.62</v>
      </c>
      <c r="AG18" s="19">
        <f t="shared" si="6"/>
        <v>4.6673400000000003</v>
      </c>
      <c r="AH18" s="20">
        <f t="shared" si="7"/>
        <v>1.5432904207010897E-2</v>
      </c>
      <c r="AI18" s="20">
        <f t="shared" si="8"/>
        <v>8.7342899201767448E-3</v>
      </c>
      <c r="AJ18" s="20">
        <f t="shared" si="9"/>
        <v>6.96540519470516E-3</v>
      </c>
      <c r="AK18" s="20">
        <f t="shared" si="10"/>
        <v>6.6986142868341514E-3</v>
      </c>
      <c r="AL18" s="17">
        <f t="shared" si="11"/>
        <v>2817592</v>
      </c>
      <c r="AM18" s="20">
        <v>16</v>
      </c>
      <c r="AN18" s="21">
        <v>25444655</v>
      </c>
      <c r="AO18" s="21">
        <v>795145.46875</v>
      </c>
      <c r="AP18" s="21">
        <v>27777.8125</v>
      </c>
      <c r="AQ18" s="22">
        <v>4978496</v>
      </c>
      <c r="AR18" s="22">
        <v>2246968</v>
      </c>
      <c r="AS18" s="22">
        <v>570624</v>
      </c>
      <c r="AT18" s="22">
        <v>2160904</v>
      </c>
      <c r="AU18" s="23">
        <v>66.915509</v>
      </c>
      <c r="AV18" s="23">
        <v>70.134765999999999</v>
      </c>
      <c r="AW18" s="23">
        <v>34.342669000000001</v>
      </c>
      <c r="AX18" s="23">
        <v>45.804194000000003</v>
      </c>
      <c r="AY18" s="23">
        <v>46.345005999999998</v>
      </c>
      <c r="AZ18" s="24">
        <v>6017.04</v>
      </c>
      <c r="BA18" s="24">
        <v>4475.3599999999997</v>
      </c>
      <c r="BB18" s="24">
        <v>14.526</v>
      </c>
      <c r="BC18" s="24">
        <v>20.2</v>
      </c>
      <c r="BE18" s="49">
        <f t="shared" si="12"/>
        <v>0.88013884342130577</v>
      </c>
      <c r="BF18" s="25">
        <f t="shared" si="13"/>
        <v>-3.1963143516489378E-3</v>
      </c>
      <c r="BG18" s="25">
        <f t="shared" si="14"/>
        <v>4.8950053889967871E-3</v>
      </c>
      <c r="BH18" s="25"/>
      <c r="BJ18" s="49"/>
      <c r="BK18" s="49"/>
      <c r="BL18" s="49"/>
      <c r="BM18" s="49"/>
      <c r="BN18" s="49"/>
      <c r="BP18" s="49"/>
      <c r="BQ18" s="49"/>
      <c r="BR18" s="49"/>
      <c r="BS18" s="49"/>
      <c r="BT18" s="49"/>
      <c r="BV18" s="53">
        <f t="shared" si="16"/>
        <v>-9469670</v>
      </c>
      <c r="BW18" s="53">
        <f t="shared" si="15"/>
        <v>-295927.1875</v>
      </c>
      <c r="BX18" s="53">
        <f t="shared" si="15"/>
        <v>-13825.40625</v>
      </c>
      <c r="BY18" s="53">
        <f t="shared" si="15"/>
        <v>-727344</v>
      </c>
      <c r="BZ18" s="53">
        <f t="shared" si="15"/>
        <v>-257240</v>
      </c>
      <c r="CA18" s="53">
        <f t="shared" si="15"/>
        <v>-126472</v>
      </c>
      <c r="CB18" s="53">
        <f t="shared" si="15"/>
        <v>-343632</v>
      </c>
      <c r="CC18" s="53">
        <f t="shared" si="15"/>
        <v>-3.6143409999999818</v>
      </c>
      <c r="CD18" s="53">
        <f t="shared" si="15"/>
        <v>-2.9986183750000066</v>
      </c>
      <c r="CE18" s="53">
        <f t="shared" si="15"/>
        <v>-1.9465778750000027</v>
      </c>
      <c r="CF18" s="53">
        <f t="shared" si="15"/>
        <v>-0.62405287499998963</v>
      </c>
      <c r="CG18" s="53">
        <f t="shared" si="15"/>
        <v>-0.63693462500000919</v>
      </c>
      <c r="CJ18" t="s">
        <v>233</v>
      </c>
    </row>
    <row r="19" spans="1:88" ht="16" outlineLevel="1" thickBot="1" x14ac:dyDescent="0.25">
      <c r="A19" s="52"/>
      <c r="B19" s="26" t="s">
        <v>64</v>
      </c>
      <c r="C19" s="27" t="s">
        <v>237</v>
      </c>
      <c r="D19" s="26">
        <v>322589704</v>
      </c>
      <c r="E19" s="27">
        <v>10</v>
      </c>
      <c r="F19" s="27">
        <v>32</v>
      </c>
      <c r="G19" s="27">
        <v>30</v>
      </c>
      <c r="I19" s="28">
        <f t="shared" si="0"/>
        <v>11.627325000000001</v>
      </c>
      <c r="J19" s="29">
        <f t="shared" si="1"/>
        <v>3.8446608326966322E-2</v>
      </c>
      <c r="K19" s="29">
        <f t="shared" si="2"/>
        <v>1.7450451549439409E-2</v>
      </c>
      <c r="L19" s="29">
        <f t="shared" si="3"/>
        <v>1.2811841012755943E-2</v>
      </c>
      <c r="M19" s="29">
        <f t="shared" si="4"/>
        <v>2.0996156777526909E-2</v>
      </c>
      <c r="N19" s="26">
        <f t="shared" si="5"/>
        <v>5629336</v>
      </c>
      <c r="O19" s="29">
        <v>16</v>
      </c>
      <c r="P19" s="30">
        <v>33019287</v>
      </c>
      <c r="Q19" s="30">
        <v>1031852.71875</v>
      </c>
      <c r="R19" s="30">
        <v>17790.15625</v>
      </c>
      <c r="S19" s="31">
        <v>12402480</v>
      </c>
      <c r="T19" s="31">
        <v>4132968</v>
      </c>
      <c r="U19" s="31">
        <v>1496368</v>
      </c>
      <c r="V19" s="31">
        <v>6773144</v>
      </c>
      <c r="W19" s="32">
        <v>71.185568750000016</v>
      </c>
      <c r="X19" s="32">
        <v>75.071018750000022</v>
      </c>
      <c r="Y19" s="32">
        <v>38.695609374999997</v>
      </c>
      <c r="Z19" s="32">
        <v>48.186309375</v>
      </c>
      <c r="AA19" s="32">
        <v>48.786537500000001</v>
      </c>
      <c r="AB19" s="33">
        <v>4633.71</v>
      </c>
      <c r="AC19" s="33">
        <v>5379.22</v>
      </c>
      <c r="AD19" s="33">
        <v>13.948</v>
      </c>
      <c r="AE19" s="33">
        <v>12.38</v>
      </c>
      <c r="AG19" s="28">
        <f t="shared" si="6"/>
        <v>10.281067500000001</v>
      </c>
      <c r="AH19" s="29">
        <f t="shared" si="7"/>
        <v>3.3995108535764054E-2</v>
      </c>
      <c r="AI19" s="29">
        <f t="shared" si="8"/>
        <v>1.5374080258928537E-2</v>
      </c>
      <c r="AJ19" s="29">
        <f t="shared" si="9"/>
        <v>1.1466007606987978E-2</v>
      </c>
      <c r="AK19" s="29">
        <f t="shared" si="10"/>
        <v>1.8621028276835518E-2</v>
      </c>
      <c r="AL19" s="26">
        <f t="shared" si="11"/>
        <v>4959520</v>
      </c>
      <c r="AM19" s="29">
        <v>16</v>
      </c>
      <c r="AN19" s="30">
        <v>23793185</v>
      </c>
      <c r="AO19" s="30">
        <v>743537.03125</v>
      </c>
      <c r="AP19" s="30">
        <v>12117</v>
      </c>
      <c r="AQ19" s="31">
        <v>10966472</v>
      </c>
      <c r="AR19" s="31">
        <v>3698816</v>
      </c>
      <c r="AS19" s="31">
        <v>1260704</v>
      </c>
      <c r="AT19" s="31">
        <v>6006952</v>
      </c>
      <c r="AU19" s="32">
        <v>67.187140999999997</v>
      </c>
      <c r="AV19" s="32">
        <v>73.728240999999997</v>
      </c>
      <c r="AW19" s="32">
        <v>35.984090999999999</v>
      </c>
      <c r="AX19" s="32">
        <v>47.536727999999997</v>
      </c>
      <c r="AY19" s="32">
        <v>48.151806000000001</v>
      </c>
      <c r="AZ19" s="33">
        <v>4841.71</v>
      </c>
      <c r="BA19" s="33">
        <v>3859.36</v>
      </c>
      <c r="BB19" s="33">
        <v>10.204000000000001</v>
      </c>
      <c r="BC19" s="33">
        <v>16.893000000000001</v>
      </c>
      <c r="BE19" s="34">
        <f t="shared" si="12"/>
        <v>0.88101332022107037</v>
      </c>
      <c r="BF19" s="35">
        <f t="shared" si="13"/>
        <v>-9.4455293465979528E-4</v>
      </c>
      <c r="BG19" s="35">
        <f t="shared" si="14"/>
        <v>-1.6440381568352813E-3</v>
      </c>
      <c r="BH19" s="35"/>
      <c r="BJ19" s="34"/>
      <c r="BK19" s="34"/>
      <c r="BL19" s="34"/>
      <c r="BM19" s="34"/>
      <c r="BN19" s="34"/>
      <c r="BP19" s="34"/>
      <c r="BQ19" s="34"/>
      <c r="BR19" s="34"/>
      <c r="BS19" s="34"/>
      <c r="BT19" s="34"/>
      <c r="BV19" s="53">
        <f t="shared" si="16"/>
        <v>-9226102</v>
      </c>
      <c r="BW19" s="53">
        <f t="shared" si="15"/>
        <v>-288315.6875</v>
      </c>
      <c r="BX19" s="53">
        <f t="shared" si="15"/>
        <v>-5673.15625</v>
      </c>
      <c r="BY19" s="53">
        <f t="shared" si="15"/>
        <v>-1436008</v>
      </c>
      <c r="BZ19" s="53">
        <f t="shared" si="15"/>
        <v>-434152</v>
      </c>
      <c r="CA19" s="53">
        <f t="shared" si="15"/>
        <v>-235664</v>
      </c>
      <c r="CB19" s="53">
        <f t="shared" si="15"/>
        <v>-766192</v>
      </c>
      <c r="CC19" s="53">
        <f t="shared" si="15"/>
        <v>-3.9984277500000189</v>
      </c>
      <c r="CD19" s="53">
        <f t="shared" si="15"/>
        <v>-1.3427777500000246</v>
      </c>
      <c r="CE19" s="53">
        <f t="shared" si="15"/>
        <v>-2.7115183749999971</v>
      </c>
      <c r="CF19" s="53">
        <f t="shared" si="15"/>
        <v>-0.6495813750000039</v>
      </c>
      <c r="CG19" s="53">
        <f t="shared" si="15"/>
        <v>-0.63473150000000089</v>
      </c>
      <c r="CJ19" t="s">
        <v>233</v>
      </c>
    </row>
    <row r="20" spans="1:88" x14ac:dyDescent="0.2">
      <c r="A20" s="17"/>
      <c r="B20" s="17" t="s">
        <v>70</v>
      </c>
      <c r="C20" s="18" t="s">
        <v>232</v>
      </c>
      <c r="D20" s="17">
        <v>250602891</v>
      </c>
      <c r="E20" s="18">
        <v>10</v>
      </c>
      <c r="F20" s="18">
        <v>32</v>
      </c>
      <c r="G20" s="18">
        <v>50</v>
      </c>
      <c r="I20" s="19">
        <f t="shared" si="0"/>
        <v>1.9899875</v>
      </c>
      <c r="J20" s="20">
        <f t="shared" si="1"/>
        <v>5.0821121612679241E-3</v>
      </c>
      <c r="K20" s="20">
        <f t="shared" si="2"/>
        <v>3.9497708747502037E-3</v>
      </c>
      <c r="L20" s="20">
        <f t="shared" si="3"/>
        <v>2.2980102013268476E-3</v>
      </c>
      <c r="M20" s="20">
        <f t="shared" si="4"/>
        <v>1.1323412865177202E-3</v>
      </c>
      <c r="N20" s="17">
        <f t="shared" si="5"/>
        <v>989824</v>
      </c>
      <c r="O20" s="20">
        <v>16</v>
      </c>
      <c r="P20" s="21">
        <v>30379563</v>
      </c>
      <c r="Q20" s="21">
        <v>949361.34375</v>
      </c>
      <c r="R20" s="21">
        <v>28806.71875</v>
      </c>
      <c r="S20" s="22">
        <v>1273592</v>
      </c>
      <c r="T20" s="22">
        <v>575888</v>
      </c>
      <c r="U20" s="22">
        <v>413936</v>
      </c>
      <c r="V20" s="22">
        <v>283768</v>
      </c>
      <c r="W20" s="23">
        <v>67.24823750000003</v>
      </c>
      <c r="X20" s="23">
        <v>68.985434374999997</v>
      </c>
      <c r="Y20" s="23">
        <v>30.072700000000001</v>
      </c>
      <c r="Z20" s="23">
        <v>39.540096875000003</v>
      </c>
      <c r="AA20" s="23">
        <v>38.074331249999993</v>
      </c>
      <c r="AB20" s="24">
        <v>4355.0600000000004</v>
      </c>
      <c r="AC20" s="24">
        <v>4618.49</v>
      </c>
      <c r="AD20" s="24">
        <v>13.348000000000001</v>
      </c>
      <c r="AE20" s="24">
        <v>9.4879999999999995</v>
      </c>
      <c r="AG20" s="19">
        <f t="shared" si="6"/>
        <v>1.8186</v>
      </c>
      <c r="AH20" s="20">
        <f t="shared" si="7"/>
        <v>4.6444156943105655E-3</v>
      </c>
      <c r="AI20" s="20">
        <f t="shared" si="8"/>
        <v>3.5782508191415877E-3</v>
      </c>
      <c r="AJ20" s="20">
        <f t="shared" si="9"/>
        <v>2.0773902404821018E-3</v>
      </c>
      <c r="AK20" s="20">
        <f t="shared" si="10"/>
        <v>1.066164875168978E-3</v>
      </c>
      <c r="AL20" s="17">
        <f t="shared" si="11"/>
        <v>896720</v>
      </c>
      <c r="AM20" s="20">
        <v>16</v>
      </c>
      <c r="AN20" s="21">
        <v>24262543</v>
      </c>
      <c r="AO20" s="21">
        <v>758204.46875</v>
      </c>
      <c r="AP20" s="21">
        <v>21146.375</v>
      </c>
      <c r="AQ20" s="22">
        <v>1163904</v>
      </c>
      <c r="AR20" s="22">
        <v>520600</v>
      </c>
      <c r="AS20" s="22">
        <v>376120</v>
      </c>
      <c r="AT20" s="22">
        <v>267184</v>
      </c>
      <c r="AU20" s="23">
        <v>65.3887</v>
      </c>
      <c r="AV20" s="23">
        <v>68.161158999999998</v>
      </c>
      <c r="AW20" s="23">
        <v>29.663784</v>
      </c>
      <c r="AX20" s="23">
        <v>39.013513000000003</v>
      </c>
      <c r="AY20" s="23">
        <v>37.467441000000001</v>
      </c>
      <c r="AZ20" s="24">
        <v>4173.22</v>
      </c>
      <c r="BA20" s="24">
        <v>2763.52</v>
      </c>
      <c r="BB20" s="24">
        <v>10.019</v>
      </c>
      <c r="BC20" s="24">
        <v>14.317</v>
      </c>
      <c r="BE20" s="49">
        <f t="shared" si="12"/>
        <v>0.9059388335704126</v>
      </c>
      <c r="BF20" s="25">
        <f t="shared" si="13"/>
        <v>-2.4531916314453721E-3</v>
      </c>
      <c r="BG20" s="25">
        <f t="shared" si="14"/>
        <v>-6.7492630562142608E-3</v>
      </c>
      <c r="BH20" s="25">
        <f t="array" ref="BH20">AVERAGE(AL20:AL24/AQ20:AQ24) - AVERAGE(N20:N24/S20:S24)</f>
        <v>-5.0686681533617106E-3</v>
      </c>
      <c r="BJ20" s="49">
        <f>IF( OR(ISBLANK(N20:N24),ISBLANK(AL20:AL24), ISBLANK(W20:W24),ISBLANK(AU20:AU24)), "·", bdRateExtend( N20:N24,W20:W24, AL20:AL24,AU20:AU24))</f>
        <v>0.52909915913812111</v>
      </c>
      <c r="BK20" s="49">
        <f>IF( OR(ISBLANK(N20:N24),ISBLANK(AL20:AL24), ISBLANK(X20:X24),ISBLANK(AV20:AV24)), "·", bdRateExtend( N20:N24,X20:X24, AL20:AL24,AV20:AV24))</f>
        <v>7.4215531964173076E-2</v>
      </c>
      <c r="BL20" s="49">
        <f>IF( OR(ISBLANK(V20:V24),ISBLANK(AT20:AT24), ISBLANK(Y20:Y24),ISBLANK(AW20:AW24)), "·", bdRateExtend( V20:V24,Y20:Y24, AT20:AT24,AW20:AW24))</f>
        <v>0.22656798266073186</v>
      </c>
      <c r="BM20" s="49">
        <f>IF( OR(ISBLANK(V20:V24),ISBLANK(AT20:AT24), ISBLANK(Z20:Z24),ISBLANK(AX20:AX24)), "·", bdRateExtend( V20:V24,Z20:Z24, AT20:AT24,AX20:AX24))</f>
        <v>0.32651189367278932</v>
      </c>
      <c r="BN20" s="49">
        <f>IF( OR(ISBLANK(V20:V24),ISBLANK(AT20:AT24), ISBLANK(AA20:AA24),ISBLANK(AY20:AY24)), "·", bdRateExtend( V20:V24,AA20:AA24, AT20:AT24,AY20:AY24))</f>
        <v>0.34939928160435563</v>
      </c>
      <c r="BP20" s="49">
        <f>IF( OR(ISBLANK(S20:S24),ISBLANK(AQ20:AQ24), ISBLANK(W20:W24),ISBLANK(AU20:AU24)), "·", bdRateExtend( S20:S24,W20:W24, AQ20:AQ24,AU20:AU24))</f>
        <v>1.5713822213324753</v>
      </c>
      <c r="BQ20" s="49">
        <f>IF( OR(ISBLANK(S20:S24),ISBLANK(AQ20:AQ24), ISBLANK(X20:X24),ISBLANK(AV20:AV24)), "·", bdRateExtend( S20:S24,X20:X24, AQ20:AQ24,AV20:AV24))</f>
        <v>0.21276981821903163</v>
      </c>
      <c r="BR20" s="49">
        <f>IF( OR(ISBLANK(S20:S24),ISBLANK(AQ20:AQ24), ISBLANK(Y20:Y24),ISBLANK(AW20:AW24)), "·", bdRateExtend( S20:S24,Y20:Y24, AQ20:AQ24,AW20:AW24))</f>
        <v>0.11232658447056409</v>
      </c>
      <c r="BS20" s="49">
        <f>IF( OR(ISBLANK(S20:S24),ISBLANK(AQ20:AQ24), ISBLANK(Z20:Z24),ISBLANK(AX20:AX24)), "·", bdRateExtend( S20:S24,Z20:Z24, AQ20:AQ24,AX20:AX24))</f>
        <v>0.15744865345514647</v>
      </c>
      <c r="BT20" s="49">
        <f>IF( OR(ISBLANK(S20:S24),ISBLANK(AQ20:AQ24), ISBLANK(AA20:AA24),ISBLANK(AY20:AY24)), "·", bdRateExtend( S20:S24,AA20:AA24, AQ20:AQ24,AY20:AY24))</f>
        <v>0.1692642485117315</v>
      </c>
      <c r="BV20" s="53">
        <f t="shared" si="16"/>
        <v>-6117020</v>
      </c>
      <c r="BW20" s="53">
        <f t="shared" si="15"/>
        <v>-191156.875</v>
      </c>
      <c r="BX20" s="53">
        <f t="shared" si="15"/>
        <v>-7660.34375</v>
      </c>
      <c r="BY20" s="53">
        <f t="shared" si="15"/>
        <v>-109688</v>
      </c>
      <c r="BZ20" s="53">
        <f t="shared" si="15"/>
        <v>-55288</v>
      </c>
      <c r="CA20" s="53">
        <f t="shared" si="15"/>
        <v>-37816</v>
      </c>
      <c r="CB20" s="53">
        <f t="shared" si="15"/>
        <v>-16584</v>
      </c>
      <c r="CC20" s="53">
        <f t="shared" si="15"/>
        <v>-1.8595375000000303</v>
      </c>
      <c r="CD20" s="53">
        <f t="shared" si="15"/>
        <v>-0.82427537499999914</v>
      </c>
      <c r="CE20" s="53">
        <f t="shared" si="15"/>
        <v>-0.40891600000000139</v>
      </c>
      <c r="CF20" s="53">
        <f t="shared" si="15"/>
        <v>-0.52658387500000003</v>
      </c>
      <c r="CG20" s="53">
        <f t="shared" si="15"/>
        <v>-0.60689024999999219</v>
      </c>
      <c r="CJ20" t="s">
        <v>239</v>
      </c>
    </row>
    <row r="21" spans="1:88" outlineLevel="1" x14ac:dyDescent="0.2">
      <c r="A21" s="52"/>
      <c r="B21" s="52" t="s">
        <v>70</v>
      </c>
      <c r="C21" s="9" t="s">
        <v>234</v>
      </c>
      <c r="D21" s="52">
        <v>250602891</v>
      </c>
      <c r="E21" s="9">
        <v>10</v>
      </c>
      <c r="F21" s="9">
        <v>32</v>
      </c>
      <c r="G21" s="9">
        <v>50</v>
      </c>
      <c r="I21" s="10">
        <f t="shared" si="0"/>
        <v>2.6944124999999999</v>
      </c>
      <c r="J21" s="11">
        <f t="shared" si="1"/>
        <v>6.8811017826606001E-3</v>
      </c>
      <c r="K21" s="11">
        <f t="shared" si="2"/>
        <v>4.6939921375448142E-3</v>
      </c>
      <c r="L21" s="11">
        <f t="shared" si="3"/>
        <v>3.0422314641214573E-3</v>
      </c>
      <c r="M21" s="11">
        <f t="shared" si="4"/>
        <v>2.1871096451157859E-3</v>
      </c>
      <c r="N21" s="52">
        <f t="shared" si="5"/>
        <v>1176328</v>
      </c>
      <c r="O21" s="11">
        <v>16</v>
      </c>
      <c r="P21" s="12">
        <v>31696812</v>
      </c>
      <c r="Q21" s="12">
        <v>990525.375</v>
      </c>
      <c r="R21" s="12">
        <v>33593.15625</v>
      </c>
      <c r="S21" s="13">
        <v>1724424</v>
      </c>
      <c r="T21" s="13">
        <v>762392</v>
      </c>
      <c r="U21" s="13">
        <v>413936</v>
      </c>
      <c r="V21" s="13">
        <v>548096</v>
      </c>
      <c r="W21" s="14">
        <v>68.873231249999989</v>
      </c>
      <c r="X21" s="14">
        <v>70.998265625000002</v>
      </c>
      <c r="Y21" s="14">
        <v>31.541346874999999</v>
      </c>
      <c r="Z21" s="14">
        <v>40.515546875000013</v>
      </c>
      <c r="AA21" s="14">
        <v>39.215978124999992</v>
      </c>
      <c r="AB21" s="15">
        <v>4419.2700000000004</v>
      </c>
      <c r="AC21" s="15">
        <v>4896.28</v>
      </c>
      <c r="AD21" s="15">
        <v>15.196</v>
      </c>
      <c r="AE21" s="15">
        <v>9.2520000000000007</v>
      </c>
      <c r="AG21" s="10">
        <f t="shared" si="6"/>
        <v>2.4758125</v>
      </c>
      <c r="AH21" s="11">
        <f t="shared" si="7"/>
        <v>6.3228320857639268E-3</v>
      </c>
      <c r="AI21" s="11">
        <f t="shared" si="8"/>
        <v>4.2723848704522725E-3</v>
      </c>
      <c r="AJ21" s="11">
        <f t="shared" si="9"/>
        <v>2.771524291792787E-3</v>
      </c>
      <c r="AK21" s="11">
        <f t="shared" si="10"/>
        <v>2.0504472153116543E-3</v>
      </c>
      <c r="AL21" s="52">
        <f t="shared" si="11"/>
        <v>1070672</v>
      </c>
      <c r="AM21" s="11">
        <v>16</v>
      </c>
      <c r="AN21" s="12">
        <v>24883384</v>
      </c>
      <c r="AO21" s="12">
        <v>777605.75</v>
      </c>
      <c r="AP21" s="12">
        <v>23768.75</v>
      </c>
      <c r="AQ21" s="13">
        <v>1584520</v>
      </c>
      <c r="AR21" s="13">
        <v>694552</v>
      </c>
      <c r="AS21" s="13">
        <v>376120</v>
      </c>
      <c r="AT21" s="13">
        <v>513848</v>
      </c>
      <c r="AU21" s="14">
        <v>66.533916000000005</v>
      </c>
      <c r="AV21" s="14">
        <v>70.194838000000004</v>
      </c>
      <c r="AW21" s="14">
        <v>31.145333999999998</v>
      </c>
      <c r="AX21" s="14">
        <v>39.995471999999999</v>
      </c>
      <c r="AY21" s="14">
        <v>38.770628000000002</v>
      </c>
      <c r="AZ21" s="15">
        <v>4497.08</v>
      </c>
      <c r="BA21" s="15">
        <v>2920.95</v>
      </c>
      <c r="BB21" s="15">
        <v>9.9469999999999992</v>
      </c>
      <c r="BC21" s="15">
        <v>15.166</v>
      </c>
      <c r="BE21" s="50">
        <f t="shared" si="12"/>
        <v>0.91018151399949665</v>
      </c>
      <c r="BF21" s="16">
        <f t="shared" si="13"/>
        <v>-3.3479011594323323E-3</v>
      </c>
      <c r="BG21" s="16">
        <f t="shared" si="14"/>
        <v>-6.4495867311603616E-3</v>
      </c>
      <c r="BH21" s="16"/>
      <c r="BJ21" s="50"/>
      <c r="BK21" s="50"/>
      <c r="BL21" s="50"/>
      <c r="BM21" s="50"/>
      <c r="BN21" s="50"/>
      <c r="BP21" s="50"/>
      <c r="BQ21" s="50"/>
      <c r="BR21" s="50"/>
      <c r="BS21" s="50"/>
      <c r="BT21" s="50"/>
      <c r="BV21" s="53">
        <f t="shared" si="16"/>
        <v>-6813428</v>
      </c>
      <c r="BW21" s="53">
        <f t="shared" si="16"/>
        <v>-212919.625</v>
      </c>
      <c r="BX21" s="53">
        <f t="shared" si="16"/>
        <v>-9824.40625</v>
      </c>
      <c r="BY21" s="53">
        <f t="shared" si="16"/>
        <v>-139904</v>
      </c>
      <c r="BZ21" s="53">
        <f t="shared" si="16"/>
        <v>-67840</v>
      </c>
      <c r="CA21" s="53">
        <f t="shared" si="16"/>
        <v>-37816</v>
      </c>
      <c r="CB21" s="53">
        <f t="shared" si="16"/>
        <v>-34248</v>
      </c>
      <c r="CC21" s="53">
        <f t="shared" si="16"/>
        <v>-2.3393152499999843</v>
      </c>
      <c r="CD21" s="53">
        <f t="shared" si="16"/>
        <v>-0.80342762499999765</v>
      </c>
      <c r="CE21" s="53">
        <f t="shared" si="16"/>
        <v>-0.39601287500000026</v>
      </c>
      <c r="CF21" s="53">
        <f t="shared" si="16"/>
        <v>-0.52007487500001304</v>
      </c>
      <c r="CG21" s="53">
        <f t="shared" si="16"/>
        <v>-0.44535012499999027</v>
      </c>
      <c r="CJ21" t="s">
        <v>239</v>
      </c>
    </row>
    <row r="22" spans="1:88" outlineLevel="1" x14ac:dyDescent="0.2">
      <c r="A22" s="17"/>
      <c r="B22" s="17" t="s">
        <v>70</v>
      </c>
      <c r="C22" s="18" t="s">
        <v>235</v>
      </c>
      <c r="D22" s="17">
        <v>250602891</v>
      </c>
      <c r="E22" s="18">
        <v>10</v>
      </c>
      <c r="F22" s="18">
        <v>32</v>
      </c>
      <c r="G22" s="18">
        <v>50</v>
      </c>
      <c r="I22" s="19">
        <f t="shared" si="0"/>
        <v>4.1956749999999996</v>
      </c>
      <c r="J22" s="20">
        <f t="shared" si="1"/>
        <v>1.0715087879812209E-2</v>
      </c>
      <c r="K22" s="20">
        <f t="shared" si="2"/>
        <v>5.5723219888951722E-3</v>
      </c>
      <c r="L22" s="20">
        <f t="shared" si="3"/>
        <v>3.9205613154718157E-3</v>
      </c>
      <c r="M22" s="20">
        <f t="shared" si="4"/>
        <v>5.1427658909170369E-3</v>
      </c>
      <c r="N22" s="17">
        <f t="shared" si="5"/>
        <v>1396440</v>
      </c>
      <c r="O22" s="20">
        <v>16</v>
      </c>
      <c r="P22" s="21">
        <v>32604849</v>
      </c>
      <c r="Q22" s="21">
        <v>1018901.53125</v>
      </c>
      <c r="R22" s="21">
        <v>35090.5625</v>
      </c>
      <c r="S22" s="22">
        <v>2685232</v>
      </c>
      <c r="T22" s="22">
        <v>982504</v>
      </c>
      <c r="U22" s="22">
        <v>413936</v>
      </c>
      <c r="V22" s="22">
        <v>1288792</v>
      </c>
      <c r="W22" s="23">
        <v>70.092034374999997</v>
      </c>
      <c r="X22" s="23">
        <v>72.552462500000004</v>
      </c>
      <c r="Y22" s="23">
        <v>33.405968749999992</v>
      </c>
      <c r="Z22" s="23">
        <v>41.661025000000002</v>
      </c>
      <c r="AA22" s="23">
        <v>40.480746874999987</v>
      </c>
      <c r="AB22" s="24">
        <v>4440.7299999999996</v>
      </c>
      <c r="AC22" s="24">
        <v>5092.91</v>
      </c>
      <c r="AD22" s="24">
        <v>13.848000000000001</v>
      </c>
      <c r="AE22" s="24">
        <v>10.212</v>
      </c>
      <c r="AG22" s="19">
        <f t="shared" si="6"/>
        <v>3.8646875000000001</v>
      </c>
      <c r="AH22" s="20">
        <f t="shared" si="7"/>
        <v>9.8697983496128135E-3</v>
      </c>
      <c r="AI22" s="20">
        <f t="shared" si="8"/>
        <v>5.0908590675436379E-3</v>
      </c>
      <c r="AJ22" s="20">
        <f t="shared" si="9"/>
        <v>3.5899984888841524E-3</v>
      </c>
      <c r="AK22" s="20">
        <f t="shared" si="10"/>
        <v>4.7789392820691765E-3</v>
      </c>
      <c r="AL22" s="17">
        <f t="shared" si="11"/>
        <v>1275784</v>
      </c>
      <c r="AM22" s="20">
        <v>16</v>
      </c>
      <c r="AN22" s="21">
        <v>25936128</v>
      </c>
      <c r="AO22" s="21">
        <v>810504</v>
      </c>
      <c r="AP22" s="21">
        <v>25168.375</v>
      </c>
      <c r="AQ22" s="22">
        <v>2473400</v>
      </c>
      <c r="AR22" s="22">
        <v>899664</v>
      </c>
      <c r="AS22" s="22">
        <v>376120</v>
      </c>
      <c r="AT22" s="22">
        <v>1197616</v>
      </c>
      <c r="AU22" s="23">
        <v>67.418030999999999</v>
      </c>
      <c r="AV22" s="23">
        <v>71.720128000000003</v>
      </c>
      <c r="AW22" s="23">
        <v>32.835124999999998</v>
      </c>
      <c r="AX22" s="23">
        <v>41.269618999999999</v>
      </c>
      <c r="AY22" s="23">
        <v>39.974831000000002</v>
      </c>
      <c r="AZ22" s="24">
        <v>4571.28</v>
      </c>
      <c r="BA22" s="24">
        <v>3361.63</v>
      </c>
      <c r="BB22" s="24">
        <v>11.113</v>
      </c>
      <c r="BC22" s="24">
        <v>16.298999999999999</v>
      </c>
      <c r="BE22" s="49">
        <f t="shared" si="12"/>
        <v>0.91359743347369016</v>
      </c>
      <c r="BF22" s="25">
        <f t="shared" si="13"/>
        <v>-3.3868551073018248E-3</v>
      </c>
      <c r="BG22" s="25">
        <f t="shared" si="14"/>
        <v>-4.2427201237935641E-3</v>
      </c>
      <c r="BH22" s="25"/>
      <c r="BJ22" s="49"/>
      <c r="BK22" s="49"/>
      <c r="BL22" s="49"/>
      <c r="BM22" s="49"/>
      <c r="BN22" s="49"/>
      <c r="BP22" s="49"/>
      <c r="BQ22" s="49"/>
      <c r="BR22" s="49"/>
      <c r="BS22" s="49"/>
      <c r="BT22" s="49"/>
      <c r="BV22" s="53">
        <f t="shared" si="16"/>
        <v>-6668721</v>
      </c>
      <c r="BW22" s="53">
        <f t="shared" si="16"/>
        <v>-208397.53125</v>
      </c>
      <c r="BX22" s="53">
        <f t="shared" si="16"/>
        <v>-9922.1875</v>
      </c>
      <c r="BY22" s="53">
        <f t="shared" si="16"/>
        <v>-211832</v>
      </c>
      <c r="BZ22" s="53">
        <f t="shared" si="16"/>
        <v>-82840</v>
      </c>
      <c r="CA22" s="53">
        <f t="shared" si="16"/>
        <v>-37816</v>
      </c>
      <c r="CB22" s="53">
        <f t="shared" si="16"/>
        <v>-91176</v>
      </c>
      <c r="CC22" s="53">
        <f t="shared" si="16"/>
        <v>-2.6740033749999981</v>
      </c>
      <c r="CD22" s="53">
        <f t="shared" si="16"/>
        <v>-0.83233450000000175</v>
      </c>
      <c r="CE22" s="53">
        <f t="shared" si="16"/>
        <v>-0.57084374999999454</v>
      </c>
      <c r="CF22" s="53">
        <f t="shared" si="16"/>
        <v>-0.39140600000000347</v>
      </c>
      <c r="CG22" s="53">
        <f t="shared" si="16"/>
        <v>-0.50591587499998525</v>
      </c>
      <c r="CJ22" t="s">
        <v>239</v>
      </c>
    </row>
    <row r="23" spans="1:88" outlineLevel="1" x14ac:dyDescent="0.2">
      <c r="A23" s="52"/>
      <c r="B23" s="52" t="s">
        <v>70</v>
      </c>
      <c r="C23" s="9" t="s">
        <v>236</v>
      </c>
      <c r="D23" s="52">
        <v>250602891</v>
      </c>
      <c r="E23" s="9">
        <v>10</v>
      </c>
      <c r="F23" s="9">
        <v>32</v>
      </c>
      <c r="G23" s="9">
        <v>50</v>
      </c>
      <c r="I23" s="10">
        <f t="shared" si="0"/>
        <v>7.9713250000000002</v>
      </c>
      <c r="J23" s="11">
        <f t="shared" si="1"/>
        <v>2.035749858927206E-2</v>
      </c>
      <c r="K23" s="11">
        <f t="shared" si="2"/>
        <v>8.2705829598749524E-3</v>
      </c>
      <c r="L23" s="11">
        <f t="shared" si="3"/>
        <v>6.6188222864515959E-3</v>
      </c>
      <c r="M23" s="11">
        <f t="shared" si="4"/>
        <v>1.2086915629397109E-2</v>
      </c>
      <c r="N23" s="52">
        <f t="shared" si="5"/>
        <v>2072632</v>
      </c>
      <c r="O23" s="11">
        <v>16</v>
      </c>
      <c r="P23" s="12">
        <v>32813316</v>
      </c>
      <c r="Q23" s="12">
        <v>1025416.125</v>
      </c>
      <c r="R23" s="12">
        <v>37028.40625</v>
      </c>
      <c r="S23" s="13">
        <v>5101648</v>
      </c>
      <c r="T23" s="13">
        <v>1658696</v>
      </c>
      <c r="U23" s="13">
        <v>413936</v>
      </c>
      <c r="V23" s="13">
        <v>3029016</v>
      </c>
      <c r="W23" s="14">
        <v>71.045559374999982</v>
      </c>
      <c r="X23" s="14">
        <v>73.797390624999977</v>
      </c>
      <c r="Y23" s="14">
        <v>35.293249999999993</v>
      </c>
      <c r="Z23" s="14">
        <v>42.754381250000002</v>
      </c>
      <c r="AA23" s="14">
        <v>41.481662500000013</v>
      </c>
      <c r="AB23" s="15">
        <v>3557.47</v>
      </c>
      <c r="AC23" s="15">
        <v>4099.84</v>
      </c>
      <c r="AD23" s="15">
        <v>15.272</v>
      </c>
      <c r="AE23" s="15">
        <v>9.9720000000000013</v>
      </c>
      <c r="AG23" s="10">
        <f t="shared" si="6"/>
        <v>7.3696250000000001</v>
      </c>
      <c r="AH23" s="11">
        <f t="shared" si="7"/>
        <v>1.8820852310119599E-2</v>
      </c>
      <c r="AI23" s="11">
        <f t="shared" si="8"/>
        <v>7.5776300601416444E-3</v>
      </c>
      <c r="AJ23" s="11">
        <f t="shared" si="9"/>
        <v>6.0767694814821589E-3</v>
      </c>
      <c r="AK23" s="11">
        <f t="shared" si="10"/>
        <v>1.1243222249977954E-2</v>
      </c>
      <c r="AL23" s="52">
        <f t="shared" si="11"/>
        <v>1898976</v>
      </c>
      <c r="AM23" s="11">
        <v>16</v>
      </c>
      <c r="AN23" s="12">
        <v>25931914</v>
      </c>
      <c r="AO23" s="12">
        <v>810372.3125</v>
      </c>
      <c r="AP23" s="12">
        <v>26765.125</v>
      </c>
      <c r="AQ23" s="13">
        <v>4716560</v>
      </c>
      <c r="AR23" s="13">
        <v>1522856</v>
      </c>
      <c r="AS23" s="13">
        <v>376120</v>
      </c>
      <c r="AT23" s="13">
        <v>2817584</v>
      </c>
      <c r="AU23" s="14">
        <v>67.987875000000003</v>
      </c>
      <c r="AV23" s="14">
        <v>72.952736999999999</v>
      </c>
      <c r="AW23" s="14">
        <v>34.584847000000003</v>
      </c>
      <c r="AX23" s="14">
        <v>42.304931000000003</v>
      </c>
      <c r="AY23" s="14">
        <v>41.000191000000001</v>
      </c>
      <c r="AZ23" s="15">
        <v>4514.03</v>
      </c>
      <c r="BA23" s="15">
        <v>3336.26</v>
      </c>
      <c r="BB23" s="15">
        <v>10.401999999999999</v>
      </c>
      <c r="BC23" s="15">
        <v>15.727</v>
      </c>
      <c r="BE23" s="50">
        <f t="shared" si="12"/>
        <v>0.91621474530934577</v>
      </c>
      <c r="BF23" s="16">
        <f t="shared" si="13"/>
        <v>-3.0824314052226784E-3</v>
      </c>
      <c r="BG23" s="16">
        <f t="shared" si="14"/>
        <v>-3.6482935088890112E-3</v>
      </c>
      <c r="BH23" s="16"/>
      <c r="BJ23" s="50"/>
      <c r="BK23" s="50"/>
      <c r="BL23" s="50"/>
      <c r="BM23" s="50"/>
      <c r="BN23" s="50"/>
      <c r="BP23" s="50"/>
      <c r="BQ23" s="50"/>
      <c r="BR23" s="50"/>
      <c r="BS23" s="50"/>
      <c r="BT23" s="50"/>
      <c r="BV23" s="53">
        <f t="shared" si="16"/>
        <v>-6881402</v>
      </c>
      <c r="BW23" s="53">
        <f t="shared" si="16"/>
        <v>-215043.8125</v>
      </c>
      <c r="BX23" s="53">
        <f t="shared" si="16"/>
        <v>-10263.28125</v>
      </c>
      <c r="BY23" s="53">
        <f t="shared" si="16"/>
        <v>-385088</v>
      </c>
      <c r="BZ23" s="53">
        <f t="shared" si="16"/>
        <v>-135840</v>
      </c>
      <c r="CA23" s="53">
        <f t="shared" si="16"/>
        <v>-37816</v>
      </c>
      <c r="CB23" s="53">
        <f t="shared" si="16"/>
        <v>-211432</v>
      </c>
      <c r="CC23" s="53">
        <f t="shared" si="16"/>
        <v>-3.0576843749999796</v>
      </c>
      <c r="CD23" s="53">
        <f t="shared" si="16"/>
        <v>-0.84465362499997809</v>
      </c>
      <c r="CE23" s="53">
        <f t="shared" si="16"/>
        <v>-0.7084029999999899</v>
      </c>
      <c r="CF23" s="53">
        <f t="shared" si="16"/>
        <v>-0.44945024999999816</v>
      </c>
      <c r="CG23" s="53">
        <f t="shared" si="16"/>
        <v>-0.48147150000001204</v>
      </c>
      <c r="CJ23" t="s">
        <v>239</v>
      </c>
    </row>
    <row r="24" spans="1:88" ht="16" outlineLevel="1" thickBot="1" x14ac:dyDescent="0.25">
      <c r="A24" s="36"/>
      <c r="B24" s="36" t="s">
        <v>70</v>
      </c>
      <c r="C24" s="37" t="s">
        <v>237</v>
      </c>
      <c r="D24" s="36">
        <v>250602891</v>
      </c>
      <c r="E24" s="37">
        <v>10</v>
      </c>
      <c r="F24" s="37">
        <v>32</v>
      </c>
      <c r="G24" s="37">
        <v>50</v>
      </c>
      <c r="I24" s="38">
        <f t="shared" si="0"/>
        <v>16.4397375</v>
      </c>
      <c r="J24" s="39">
        <f t="shared" si="1"/>
        <v>4.1984479740100042E-2</v>
      </c>
      <c r="K24" s="39">
        <f t="shared" si="2"/>
        <v>1.4241814951767656E-2</v>
      </c>
      <c r="L24" s="39">
        <f t="shared" si="3"/>
        <v>1.0614817687797545E-2</v>
      </c>
      <c r="M24" s="39">
        <f t="shared" si="4"/>
        <v>2.7742664788332389E-2</v>
      </c>
      <c r="N24" s="36">
        <f t="shared" si="5"/>
        <v>3569040</v>
      </c>
      <c r="O24" s="39">
        <v>16</v>
      </c>
      <c r="P24" s="40">
        <v>31274990</v>
      </c>
      <c r="Q24" s="40">
        <v>977343.4375</v>
      </c>
      <c r="R24" s="40">
        <v>17914.71875</v>
      </c>
      <c r="S24" s="41">
        <v>10521432</v>
      </c>
      <c r="T24" s="41">
        <v>2660104</v>
      </c>
      <c r="U24" s="41">
        <v>908936</v>
      </c>
      <c r="V24" s="41">
        <v>6952392</v>
      </c>
      <c r="W24" s="42">
        <v>71.767975000000021</v>
      </c>
      <c r="X24" s="42">
        <v>75.81079687499998</v>
      </c>
      <c r="Y24" s="42">
        <v>36.874640624999998</v>
      </c>
      <c r="Z24" s="42">
        <v>43.507331250000007</v>
      </c>
      <c r="AA24" s="42">
        <v>42.057256250000002</v>
      </c>
      <c r="AB24" s="43">
        <v>3591.91</v>
      </c>
      <c r="AC24" s="43">
        <v>4507.2</v>
      </c>
      <c r="AD24" s="43">
        <v>12.82</v>
      </c>
      <c r="AE24" s="43">
        <v>11.656000000000001</v>
      </c>
      <c r="AG24" s="38">
        <f t="shared" si="6"/>
        <v>15.3356625</v>
      </c>
      <c r="AH24" s="39">
        <f t="shared" si="7"/>
        <v>3.9164847463790828E-2</v>
      </c>
      <c r="AI24" s="39">
        <f t="shared" si="8"/>
        <v>1.3118763262790932E-2</v>
      </c>
      <c r="AJ24" s="39">
        <f t="shared" si="9"/>
        <v>9.7920658066151366E-3</v>
      </c>
      <c r="AK24" s="39">
        <f t="shared" si="10"/>
        <v>2.6046084200999901E-2</v>
      </c>
      <c r="AL24" s="36">
        <f t="shared" si="11"/>
        <v>3287600</v>
      </c>
      <c r="AM24" s="39">
        <v>16</v>
      </c>
      <c r="AN24" s="40">
        <v>24577747</v>
      </c>
      <c r="AO24" s="40">
        <v>768054.59375</v>
      </c>
      <c r="AP24" s="40">
        <v>13885.03125</v>
      </c>
      <c r="AQ24" s="41">
        <v>9814824</v>
      </c>
      <c r="AR24" s="41">
        <v>2453920</v>
      </c>
      <c r="AS24" s="41">
        <v>833680</v>
      </c>
      <c r="AT24" s="41">
        <v>6527224</v>
      </c>
      <c r="AU24" s="42">
        <v>68.166291000000001</v>
      </c>
      <c r="AV24" s="42">
        <v>74.904602999999994</v>
      </c>
      <c r="AW24" s="42">
        <v>36.017834000000001</v>
      </c>
      <c r="AX24" s="42">
        <v>43.137172</v>
      </c>
      <c r="AY24" s="42">
        <v>41.645899999999997</v>
      </c>
      <c r="AZ24" s="43">
        <v>4161.7700000000004</v>
      </c>
      <c r="BA24" s="43">
        <v>3629.84</v>
      </c>
      <c r="BB24" s="43">
        <v>10.291</v>
      </c>
      <c r="BC24" s="43">
        <v>17.234000000000002</v>
      </c>
      <c r="BE24" s="44">
        <f t="shared" si="12"/>
        <v>0.92114406114809588</v>
      </c>
      <c r="BF24" s="45">
        <f t="shared" si="13"/>
        <v>-2.5183117976222344E-4</v>
      </c>
      <c r="BG24" s="45">
        <f t="shared" si="14"/>
        <v>-4.2534773467514109E-3</v>
      </c>
      <c r="BH24" s="45"/>
      <c r="BJ24" s="44"/>
      <c r="BK24" s="44"/>
      <c r="BL24" s="44"/>
      <c r="BM24" s="44"/>
      <c r="BN24" s="44"/>
      <c r="BP24" s="44"/>
      <c r="BQ24" s="44"/>
      <c r="BR24" s="44"/>
      <c r="BS24" s="44"/>
      <c r="BT24" s="44"/>
      <c r="BV24" s="53">
        <f t="shared" si="16"/>
        <v>-6697243</v>
      </c>
      <c r="BW24" s="53">
        <f t="shared" si="16"/>
        <v>-209288.84375</v>
      </c>
      <c r="BX24" s="53">
        <f t="shared" si="16"/>
        <v>-4029.6875</v>
      </c>
      <c r="BY24" s="53">
        <f t="shared" si="16"/>
        <v>-706608</v>
      </c>
      <c r="BZ24" s="53">
        <f t="shared" si="16"/>
        <v>-206184</v>
      </c>
      <c r="CA24" s="53">
        <f t="shared" si="16"/>
        <v>-75256</v>
      </c>
      <c r="CB24" s="53">
        <f t="shared" si="16"/>
        <v>-425168</v>
      </c>
      <c r="CC24" s="53">
        <f t="shared" si="16"/>
        <v>-3.6016840000000201</v>
      </c>
      <c r="CD24" s="53">
        <f t="shared" si="16"/>
        <v>-0.90619387499998538</v>
      </c>
      <c r="CE24" s="53">
        <f t="shared" si="16"/>
        <v>-0.85680662499999727</v>
      </c>
      <c r="CF24" s="53">
        <f t="shared" si="16"/>
        <v>-0.37015925000000749</v>
      </c>
      <c r="CG24" s="53">
        <f t="shared" si="16"/>
        <v>-0.41135625000000431</v>
      </c>
      <c r="CJ24" t="s">
        <v>239</v>
      </c>
    </row>
    <row r="25" spans="1:88" x14ac:dyDescent="0.2">
      <c r="A25" s="52" t="s">
        <v>240</v>
      </c>
      <c r="B25" s="52" t="s">
        <v>73</v>
      </c>
      <c r="C25" s="9" t="s">
        <v>232</v>
      </c>
      <c r="D25" s="52">
        <v>250294582</v>
      </c>
      <c r="E25" s="9">
        <v>10</v>
      </c>
      <c r="F25" s="9">
        <v>32</v>
      </c>
      <c r="G25" s="9">
        <v>30</v>
      </c>
      <c r="I25" s="10">
        <f t="shared" si="0"/>
        <v>2.05959</v>
      </c>
      <c r="J25" s="11">
        <f t="shared" si="1"/>
        <v>8.7772415305417996E-3</v>
      </c>
      <c r="K25" s="11">
        <f t="shared" si="2"/>
        <v>5.7151217120632678E-3</v>
      </c>
      <c r="L25" s="11">
        <f t="shared" si="3"/>
        <v>3.5055013695821828E-3</v>
      </c>
      <c r="M25" s="11">
        <f t="shared" si="4"/>
        <v>3.0621198184785318E-3</v>
      </c>
      <c r="N25" s="52">
        <f t="shared" si="5"/>
        <v>1430464</v>
      </c>
      <c r="O25" s="11">
        <v>16</v>
      </c>
      <c r="P25" s="12">
        <v>23423729</v>
      </c>
      <c r="Q25" s="12">
        <v>731991.53125</v>
      </c>
      <c r="R25" s="12">
        <v>14601.28125</v>
      </c>
      <c r="S25" s="13">
        <v>2196896</v>
      </c>
      <c r="T25" s="13">
        <v>877408</v>
      </c>
      <c r="U25" s="13">
        <v>553056</v>
      </c>
      <c r="V25" s="13">
        <v>766432</v>
      </c>
      <c r="W25" s="14">
        <v>66.249556249999998</v>
      </c>
      <c r="X25" s="14">
        <v>68.002121874999986</v>
      </c>
      <c r="Y25" s="14">
        <v>25.895034374999991</v>
      </c>
      <c r="Z25" s="14">
        <v>32.454721874999997</v>
      </c>
      <c r="AA25" s="14">
        <v>31.646274999999999</v>
      </c>
      <c r="AB25" s="15">
        <v>1266.48</v>
      </c>
      <c r="AC25" s="15">
        <v>4491.72</v>
      </c>
      <c r="AD25" s="15">
        <v>12.516</v>
      </c>
      <c r="AE25" s="15">
        <v>10.683999999999999</v>
      </c>
      <c r="AG25" s="10">
        <f t="shared" si="6"/>
        <v>1.566945</v>
      </c>
      <c r="AH25" s="11">
        <f t="shared" si="7"/>
        <v>6.6777634044032164E-3</v>
      </c>
      <c r="AI25" s="11">
        <f t="shared" si="8"/>
        <v>4.5771985587766337E-3</v>
      </c>
      <c r="AJ25" s="11">
        <f t="shared" si="9"/>
        <v>2.7310539226933807E-3</v>
      </c>
      <c r="AK25" s="11">
        <f t="shared" si="10"/>
        <v>2.1005648456265827E-3</v>
      </c>
      <c r="AL25" s="52">
        <f t="shared" si="11"/>
        <v>1145648</v>
      </c>
      <c r="AM25" s="11">
        <v>16</v>
      </c>
      <c r="AN25" s="12">
        <v>12579599</v>
      </c>
      <c r="AO25" s="12">
        <v>393112.46875</v>
      </c>
      <c r="AP25" s="12">
        <v>6617.125</v>
      </c>
      <c r="AQ25" s="13">
        <v>1671408</v>
      </c>
      <c r="AR25" s="13">
        <v>683568</v>
      </c>
      <c r="AS25" s="13">
        <v>462080</v>
      </c>
      <c r="AT25" s="13">
        <v>525760</v>
      </c>
      <c r="AU25" s="14">
        <v>62.640130999999997</v>
      </c>
      <c r="AV25" s="14">
        <v>65.892747</v>
      </c>
      <c r="AW25" s="14">
        <v>24.346693999999999</v>
      </c>
      <c r="AX25" s="14">
        <v>30.972538</v>
      </c>
      <c r="AY25" s="14">
        <v>29.924544000000001</v>
      </c>
      <c r="AZ25" s="15">
        <v>1653.19</v>
      </c>
      <c r="BA25" s="15">
        <v>4020.89</v>
      </c>
      <c r="BB25" s="15">
        <v>8.6890000000000001</v>
      </c>
      <c r="BC25" s="15">
        <v>19.841999999999999</v>
      </c>
      <c r="BE25" s="50">
        <f t="shared" si="12"/>
        <v>0.80089257751331033</v>
      </c>
      <c r="BF25" s="16">
        <f t="shared" si="13"/>
        <v>-3.1146852852296583E-3</v>
      </c>
      <c r="BG25" s="16">
        <f t="shared" si="14"/>
        <v>3.4309269766958583E-2</v>
      </c>
      <c r="BH25" s="16">
        <f t="array" ref="BH25">AVERAGE(AL25:AL29/AQ25:AQ29) - AVERAGE(N25:N29/S25:S29)</f>
        <v>3.2932762117284575E-2</v>
      </c>
      <c r="BJ25" s="50">
        <f>IF( OR(ISBLANK(N25:N29),ISBLANK(AL25:AL29), ISBLANK(W25:W29),ISBLANK(AU25:AU29)), "·", bdRateExtend( N25:N29,W25:W29, AL25:AL29,AU25:AU29))</f>
        <v>1</v>
      </c>
      <c r="BK25" s="50">
        <f>IF( OR(ISBLANK(N25:N29),ISBLANK(AL25:AL29), ISBLANK(X25:X29),ISBLANK(AV25:AV29)), "·", bdRateExtend( N25:N29,X25:X29, AL25:AL29,AV25:AV29))</f>
        <v>0.31214581219054893</v>
      </c>
      <c r="BL25" s="50">
        <f>IF( OR(ISBLANK(V25:V29),ISBLANK(AT25:AT29), ISBLANK(Y25:Y29),ISBLANK(AW25:AW29)), "·", bdRateExtend( V25:V29,Y25:Y29, AT25:AT29,AW25:AW29))</f>
        <v>0.81267043644488135</v>
      </c>
      <c r="BM25" s="50">
        <f>IF( OR(ISBLANK(V25:V29),ISBLANK(AT25:AT29), ISBLANK(Z25:Z29),ISBLANK(AX25:AX29)), "·", bdRateExtend( V25:V29,Z25:Z29, AT25:AT29,AX25:AX29))</f>
        <v>1.178245171193987</v>
      </c>
      <c r="BN25" s="50">
        <f>IF( OR(ISBLANK(V25:V29),ISBLANK(AT25:AT29), ISBLANK(AA25:AA29),ISBLANK(AY25:AY29)), "·", bdRateExtend( V25:V29,AA25:AA29, AT25:AT29,AY25:AY29))</f>
        <v>1.7154909934391531</v>
      </c>
      <c r="BP25" s="50">
        <f>IF( OR(ISBLANK(S25:S29),ISBLANK(AQ25:AQ29), ISBLANK(W25:W29),ISBLANK(AU25:AU29)), "·", bdRateExtend( S25:S29,W25:W29, AQ25:AQ29,AU25:AU29))</f>
        <v>1</v>
      </c>
      <c r="BQ25" s="50">
        <f>IF( OR(ISBLANK(S25:S29),ISBLANK(AQ25:AQ29), ISBLANK(X25:X29),ISBLANK(AV25:AV29)), "·", bdRateExtend( S25:S29,X25:X29, AQ25:AQ29,AV25:AV29))</f>
        <v>0.86034079605107294</v>
      </c>
      <c r="BR25" s="50">
        <f>IF( OR(ISBLANK(S25:S29),ISBLANK(AQ25:AQ29), ISBLANK(Y25:Y29),ISBLANK(AW25:AW29)), "·", bdRateExtend( S25:S29,Y25:Y29, AQ25:AQ29,AW25:AW29))</f>
        <v>0.48912794502010448</v>
      </c>
      <c r="BS25" s="50">
        <f>IF( OR(ISBLANK(S25:S29),ISBLANK(AQ25:AQ29), ISBLANK(Z25:Z29),ISBLANK(AX25:AX29)), "·", bdRateExtend( S25:S29,Z25:Z29, AQ25:AQ29,AX25:AX29))</f>
        <v>0.72117946905304953</v>
      </c>
      <c r="BT25" s="50">
        <f>IF( OR(ISBLANK(S25:S29),ISBLANK(AQ25:AQ29), ISBLANK(AA25:AA29),ISBLANK(AY25:AY29)), "·", bdRateExtend( S25:S29,AA25:AA29, AQ25:AQ29,AY25:AY29))</f>
        <v>1.0086815096357618</v>
      </c>
      <c r="BV25" s="53">
        <f t="shared" si="16"/>
        <v>-10844130</v>
      </c>
      <c r="BW25" s="53">
        <f t="shared" si="16"/>
        <v>-338879.0625</v>
      </c>
      <c r="BX25" s="53">
        <f t="shared" si="16"/>
        <v>-7984.15625</v>
      </c>
      <c r="BY25" s="53">
        <f t="shared" si="16"/>
        <v>-525488</v>
      </c>
      <c r="BZ25" s="53">
        <f t="shared" si="16"/>
        <v>-193840</v>
      </c>
      <c r="CA25" s="53">
        <f t="shared" si="16"/>
        <v>-90976</v>
      </c>
      <c r="CB25" s="53">
        <f t="shared" si="16"/>
        <v>-240672</v>
      </c>
      <c r="CC25" s="53">
        <f t="shared" si="16"/>
        <v>-3.609425250000001</v>
      </c>
      <c r="CD25" s="53">
        <f t="shared" si="16"/>
        <v>-2.1093748749999861</v>
      </c>
      <c r="CE25" s="53">
        <f t="shared" si="16"/>
        <v>-1.5483403749999916</v>
      </c>
      <c r="CF25" s="53">
        <f t="shared" si="16"/>
        <v>-1.4821838749999969</v>
      </c>
      <c r="CG25" s="53">
        <f t="shared" si="16"/>
        <v>-1.7217309999999983</v>
      </c>
      <c r="CJ25" t="s">
        <v>579</v>
      </c>
    </row>
    <row r="26" spans="1:88" outlineLevel="1" x14ac:dyDescent="0.2">
      <c r="A26" s="17"/>
      <c r="B26" s="17" t="s">
        <v>73</v>
      </c>
      <c r="C26" s="18" t="s">
        <v>234</v>
      </c>
      <c r="D26" s="17">
        <v>250294582</v>
      </c>
      <c r="E26" s="18">
        <v>10</v>
      </c>
      <c r="F26" s="18">
        <v>32</v>
      </c>
      <c r="G26" s="18">
        <v>30</v>
      </c>
      <c r="I26" s="19">
        <f t="shared" si="0"/>
        <v>3.1800600000000001</v>
      </c>
      <c r="J26" s="20">
        <f t="shared" si="1"/>
        <v>1.3552286960810043E-2</v>
      </c>
      <c r="K26" s="20">
        <f t="shared" si="2"/>
        <v>7.1894484715614021E-3</v>
      </c>
      <c r="L26" s="20">
        <f t="shared" si="3"/>
        <v>4.9798281290803171E-3</v>
      </c>
      <c r="M26" s="20">
        <f t="shared" si="4"/>
        <v>6.3628384892486407E-3</v>
      </c>
      <c r="N26" s="17">
        <f t="shared" si="5"/>
        <v>1799480</v>
      </c>
      <c r="O26" s="20">
        <v>16</v>
      </c>
      <c r="P26" s="21">
        <v>24642332</v>
      </c>
      <c r="Q26" s="21">
        <v>770072.875</v>
      </c>
      <c r="R26" s="21">
        <v>17838.375</v>
      </c>
      <c r="S26" s="22">
        <v>3392064</v>
      </c>
      <c r="T26" s="22">
        <v>1246424</v>
      </c>
      <c r="U26" s="22">
        <v>553056</v>
      </c>
      <c r="V26" s="22">
        <v>1592584</v>
      </c>
      <c r="W26" s="23">
        <v>68.005359375000012</v>
      </c>
      <c r="X26" s="23">
        <v>70.016609375000016</v>
      </c>
      <c r="Y26" s="23">
        <v>27.912871875</v>
      </c>
      <c r="Z26" s="23">
        <v>33.647859375000003</v>
      </c>
      <c r="AA26" s="23">
        <v>33.01885</v>
      </c>
      <c r="AB26" s="24">
        <v>1559.7</v>
      </c>
      <c r="AC26" s="24">
        <v>6437.68</v>
      </c>
      <c r="AD26" s="24">
        <v>12.676</v>
      </c>
      <c r="AE26" s="24">
        <v>11.528</v>
      </c>
      <c r="AG26" s="19">
        <f t="shared" si="6"/>
        <v>2.3566275000000001</v>
      </c>
      <c r="AH26" s="20">
        <f t="shared" si="7"/>
        <v>1.0043109922371393E-2</v>
      </c>
      <c r="AI26" s="20">
        <f t="shared" si="8"/>
        <v>5.7180942094863241E-3</v>
      </c>
      <c r="AJ26" s="20">
        <f t="shared" si="9"/>
        <v>3.8719495734030711E-3</v>
      </c>
      <c r="AK26" s="20">
        <f t="shared" si="10"/>
        <v>4.3250157128850676E-3</v>
      </c>
      <c r="AL26" s="17">
        <f t="shared" si="11"/>
        <v>1431208</v>
      </c>
      <c r="AM26" s="20">
        <v>16</v>
      </c>
      <c r="AN26" s="21">
        <v>13417087</v>
      </c>
      <c r="AO26" s="21">
        <v>419283.96875</v>
      </c>
      <c r="AP26" s="21">
        <v>8364.15625</v>
      </c>
      <c r="AQ26" s="22">
        <v>2513736</v>
      </c>
      <c r="AR26" s="22">
        <v>969128</v>
      </c>
      <c r="AS26" s="22">
        <v>462080</v>
      </c>
      <c r="AT26" s="22">
        <v>1082528</v>
      </c>
      <c r="AU26" s="23">
        <v>63.976647</v>
      </c>
      <c r="AV26" s="23">
        <v>67.729496999999995</v>
      </c>
      <c r="AW26" s="23">
        <v>25.983803000000002</v>
      </c>
      <c r="AX26" s="23">
        <v>32.028874999999999</v>
      </c>
      <c r="AY26" s="23">
        <v>31.114272</v>
      </c>
      <c r="AZ26" s="24">
        <v>1431.45</v>
      </c>
      <c r="BA26" s="24">
        <v>3289.66</v>
      </c>
      <c r="BB26" s="24">
        <v>6.15</v>
      </c>
      <c r="BC26" s="24">
        <v>13.462999999999999</v>
      </c>
      <c r="BE26" s="49">
        <f t="shared" si="12"/>
        <v>0.79534532198190577</v>
      </c>
      <c r="BF26" s="25">
        <f t="shared" si="13"/>
        <v>-3.2158614722286281E-3</v>
      </c>
      <c r="BG26" s="25">
        <f t="shared" si="14"/>
        <v>3.8857870145239559E-2</v>
      </c>
      <c r="BH26" s="25"/>
      <c r="BJ26" s="49"/>
      <c r="BK26" s="49"/>
      <c r="BL26" s="49"/>
      <c r="BM26" s="49"/>
      <c r="BN26" s="49"/>
      <c r="BP26" s="49"/>
      <c r="BQ26" s="49"/>
      <c r="BR26" s="49"/>
      <c r="BS26" s="49"/>
      <c r="BT26" s="49"/>
      <c r="BV26" s="53">
        <f t="shared" si="16"/>
        <v>-11225245</v>
      </c>
      <c r="BW26" s="53">
        <f t="shared" si="16"/>
        <v>-350788.90625</v>
      </c>
      <c r="BX26" s="53">
        <f t="shared" si="16"/>
        <v>-9474.21875</v>
      </c>
      <c r="BY26" s="53">
        <f t="shared" si="16"/>
        <v>-878328</v>
      </c>
      <c r="BZ26" s="53">
        <f t="shared" si="16"/>
        <v>-277296</v>
      </c>
      <c r="CA26" s="53">
        <f t="shared" si="16"/>
        <v>-90976</v>
      </c>
      <c r="CB26" s="53">
        <f t="shared" si="16"/>
        <v>-510056</v>
      </c>
      <c r="CC26" s="53">
        <f t="shared" si="16"/>
        <v>-4.028712375000012</v>
      </c>
      <c r="CD26" s="53">
        <f t="shared" si="16"/>
        <v>-2.2871123750000208</v>
      </c>
      <c r="CE26" s="53">
        <f t="shared" si="16"/>
        <v>-1.9290688749999987</v>
      </c>
      <c r="CF26" s="53">
        <f t="shared" si="16"/>
        <v>-1.6189843750000037</v>
      </c>
      <c r="CG26" s="53">
        <f t="shared" si="16"/>
        <v>-1.9045780000000008</v>
      </c>
      <c r="CJ26" t="s">
        <v>579</v>
      </c>
    </row>
    <row r="27" spans="1:88" outlineLevel="1" x14ac:dyDescent="0.2">
      <c r="A27" s="52"/>
      <c r="B27" s="52" t="s">
        <v>73</v>
      </c>
      <c r="C27" s="9" t="s">
        <v>235</v>
      </c>
      <c r="D27" s="52">
        <v>250294582</v>
      </c>
      <c r="E27" s="9">
        <v>10</v>
      </c>
      <c r="F27" s="9">
        <v>32</v>
      </c>
      <c r="G27" s="9">
        <v>30</v>
      </c>
      <c r="I27" s="10">
        <f t="shared" si="0"/>
        <v>5.3721525000000003</v>
      </c>
      <c r="J27" s="11">
        <f t="shared" si="1"/>
        <v>2.2894207114718929E-2</v>
      </c>
      <c r="K27" s="11">
        <f t="shared" si="2"/>
        <v>9.3524357630721706E-3</v>
      </c>
      <c r="L27" s="11">
        <f t="shared" si="3"/>
        <v>7.1428154205910857E-3</v>
      </c>
      <c r="M27" s="11">
        <f t="shared" si="4"/>
        <v>1.3541771351646756E-2</v>
      </c>
      <c r="N27" s="52">
        <f t="shared" si="5"/>
        <v>2340864</v>
      </c>
      <c r="O27" s="11">
        <v>16</v>
      </c>
      <c r="P27" s="12">
        <v>24875407</v>
      </c>
      <c r="Q27" s="12">
        <v>777356.46875</v>
      </c>
      <c r="R27" s="12">
        <v>18687.4375</v>
      </c>
      <c r="S27" s="13">
        <v>5730296</v>
      </c>
      <c r="T27" s="13">
        <v>1787808</v>
      </c>
      <c r="U27" s="13">
        <v>553056</v>
      </c>
      <c r="V27" s="13">
        <v>3389432</v>
      </c>
      <c r="W27" s="14">
        <v>69.301756250000011</v>
      </c>
      <c r="X27" s="14">
        <v>71.690518750000024</v>
      </c>
      <c r="Y27" s="14">
        <v>30.208674999999999</v>
      </c>
      <c r="Z27" s="14">
        <v>34.93565000000001</v>
      </c>
      <c r="AA27" s="14">
        <v>34.363496875000003</v>
      </c>
      <c r="AB27" s="15">
        <v>1363.24</v>
      </c>
      <c r="AC27" s="15">
        <v>6748.66</v>
      </c>
      <c r="AD27" s="15">
        <v>12.635999999999999</v>
      </c>
      <c r="AE27" s="15">
        <v>9.06</v>
      </c>
      <c r="AG27" s="10">
        <f t="shared" si="6"/>
        <v>3.9466649999999999</v>
      </c>
      <c r="AH27" s="11">
        <f t="shared" si="7"/>
        <v>1.6819285365114296E-2</v>
      </c>
      <c r="AI27" s="11">
        <f t="shared" si="8"/>
        <v>7.4466813668383758E-3</v>
      </c>
      <c r="AJ27" s="11">
        <f t="shared" si="9"/>
        <v>5.6005367307551228E-3</v>
      </c>
      <c r="AK27" s="11">
        <f t="shared" si="10"/>
        <v>9.3726039982759187E-3</v>
      </c>
      <c r="AL27" s="52">
        <f t="shared" si="11"/>
        <v>1863864</v>
      </c>
      <c r="AM27" s="11">
        <v>16</v>
      </c>
      <c r="AN27" s="12">
        <v>13570323</v>
      </c>
      <c r="AO27" s="12">
        <v>424072.59375</v>
      </c>
      <c r="AP27" s="12">
        <v>8836.625</v>
      </c>
      <c r="AQ27" s="13">
        <v>4209776</v>
      </c>
      <c r="AR27" s="13">
        <v>1401784</v>
      </c>
      <c r="AS27" s="13">
        <v>462080</v>
      </c>
      <c r="AT27" s="13">
        <v>2345912</v>
      </c>
      <c r="AU27" s="14">
        <v>64.86045</v>
      </c>
      <c r="AV27" s="14">
        <v>69.239605999999995</v>
      </c>
      <c r="AW27" s="14">
        <v>27.749438000000001</v>
      </c>
      <c r="AX27" s="14">
        <v>33.137616000000001</v>
      </c>
      <c r="AY27" s="14">
        <v>32.213290999999998</v>
      </c>
      <c r="AZ27" s="15">
        <v>1361.21</v>
      </c>
      <c r="BA27" s="15">
        <v>3445.91</v>
      </c>
      <c r="BB27" s="15">
        <v>6.6340000000000003</v>
      </c>
      <c r="BC27" s="15">
        <v>14.17</v>
      </c>
      <c r="BE27" s="50">
        <f t="shared" si="12"/>
        <v>0.79622908464566922</v>
      </c>
      <c r="BF27" s="16">
        <f t="shared" si="13"/>
        <v>-3.202198199719869E-3</v>
      </c>
      <c r="BG27" s="16">
        <f t="shared" si="14"/>
        <v>3.4239951364648635E-2</v>
      </c>
      <c r="BH27" s="16"/>
      <c r="BJ27" s="50"/>
      <c r="BK27" s="50"/>
      <c r="BL27" s="50"/>
      <c r="BM27" s="50"/>
      <c r="BN27" s="50"/>
      <c r="BP27" s="50"/>
      <c r="BQ27" s="50"/>
      <c r="BR27" s="50"/>
      <c r="BS27" s="50"/>
      <c r="BT27" s="50"/>
      <c r="BV27" s="53">
        <f t="shared" si="16"/>
        <v>-11305084</v>
      </c>
      <c r="BW27" s="53">
        <f t="shared" si="16"/>
        <v>-353283.875</v>
      </c>
      <c r="BX27" s="53">
        <f t="shared" si="16"/>
        <v>-9850.8125</v>
      </c>
      <c r="BY27" s="53">
        <f t="shared" si="16"/>
        <v>-1520520</v>
      </c>
      <c r="BZ27" s="53">
        <f t="shared" si="16"/>
        <v>-386024</v>
      </c>
      <c r="CA27" s="53">
        <f t="shared" si="16"/>
        <v>-90976</v>
      </c>
      <c r="CB27" s="53">
        <f t="shared" si="16"/>
        <v>-1043520</v>
      </c>
      <c r="CC27" s="53">
        <f t="shared" si="16"/>
        <v>-4.4413062500000109</v>
      </c>
      <c r="CD27" s="53">
        <f t="shared" si="16"/>
        <v>-2.450912750000029</v>
      </c>
      <c r="CE27" s="53">
        <f t="shared" si="16"/>
        <v>-2.4592369999999981</v>
      </c>
      <c r="CF27" s="53">
        <f t="shared" si="16"/>
        <v>-1.7980340000000083</v>
      </c>
      <c r="CG27" s="53">
        <f t="shared" si="16"/>
        <v>-2.1502058750000046</v>
      </c>
      <c r="CJ27" t="s">
        <v>579</v>
      </c>
    </row>
    <row r="28" spans="1:88" outlineLevel="1" x14ac:dyDescent="0.2">
      <c r="A28" s="17"/>
      <c r="B28" s="17" t="s">
        <v>73</v>
      </c>
      <c r="C28" s="18" t="s">
        <v>236</v>
      </c>
      <c r="D28" s="17">
        <v>250294582</v>
      </c>
      <c r="E28" s="18">
        <v>10</v>
      </c>
      <c r="F28" s="18">
        <v>32</v>
      </c>
      <c r="G28" s="18">
        <v>30</v>
      </c>
      <c r="I28" s="19">
        <f t="shared" si="0"/>
        <v>10.3915275</v>
      </c>
      <c r="J28" s="20">
        <f t="shared" si="1"/>
        <v>4.4285001742466801E-2</v>
      </c>
      <c r="K28" s="20">
        <f t="shared" si="2"/>
        <v>1.318660585309833E-2</v>
      </c>
      <c r="L28" s="20">
        <f t="shared" si="3"/>
        <v>1.0976985510617245E-2</v>
      </c>
      <c r="M28" s="20">
        <f t="shared" si="4"/>
        <v>3.1098395889368472E-2</v>
      </c>
      <c r="N28" s="17">
        <f t="shared" si="5"/>
        <v>3300536</v>
      </c>
      <c r="O28" s="20">
        <v>16</v>
      </c>
      <c r="P28" s="21">
        <v>25558634</v>
      </c>
      <c r="Q28" s="21">
        <v>798707.3125</v>
      </c>
      <c r="R28" s="21">
        <v>21108.9375</v>
      </c>
      <c r="S28" s="22">
        <v>11084296</v>
      </c>
      <c r="T28" s="22">
        <v>2747480</v>
      </c>
      <c r="U28" s="22">
        <v>553056</v>
      </c>
      <c r="V28" s="22">
        <v>7783760</v>
      </c>
      <c r="W28" s="23">
        <v>70.462115625000024</v>
      </c>
      <c r="X28" s="23">
        <v>72.993593750000016</v>
      </c>
      <c r="Y28" s="23">
        <v>32.718546875000001</v>
      </c>
      <c r="Z28" s="23">
        <v>36.415940624999998</v>
      </c>
      <c r="AA28" s="23">
        <v>35.862046874999997</v>
      </c>
      <c r="AB28" s="24">
        <v>1412.37</v>
      </c>
      <c r="AC28" s="24">
        <v>6320.43</v>
      </c>
      <c r="AD28" s="24">
        <v>12.656000000000001</v>
      </c>
      <c r="AE28" s="24">
        <v>10.135999999999999</v>
      </c>
      <c r="AG28" s="19">
        <f t="shared" si="6"/>
        <v>7.6141874999999999</v>
      </c>
      <c r="AH28" s="20">
        <f t="shared" si="7"/>
        <v>3.2448964476586233E-2</v>
      </c>
      <c r="AI28" s="20">
        <f t="shared" si="8"/>
        <v>1.0503527399566323E-2</v>
      </c>
      <c r="AJ28" s="20">
        <f t="shared" si="9"/>
        <v>8.6573827634830701E-3</v>
      </c>
      <c r="AK28" s="20">
        <f t="shared" si="10"/>
        <v>2.1945437077019909E-2</v>
      </c>
      <c r="AL28" s="17">
        <f t="shared" si="11"/>
        <v>2628976</v>
      </c>
      <c r="AM28" s="20">
        <v>16</v>
      </c>
      <c r="AN28" s="21">
        <v>14027849</v>
      </c>
      <c r="AO28" s="21">
        <v>438370.28125</v>
      </c>
      <c r="AP28" s="21">
        <v>9942.125</v>
      </c>
      <c r="AQ28" s="22">
        <v>8121800</v>
      </c>
      <c r="AR28" s="22">
        <v>2166896</v>
      </c>
      <c r="AS28" s="22">
        <v>462080</v>
      </c>
      <c r="AT28" s="22">
        <v>5492824</v>
      </c>
      <c r="AU28" s="23">
        <v>65.488375000000005</v>
      </c>
      <c r="AV28" s="23">
        <v>70.328496999999999</v>
      </c>
      <c r="AW28" s="23">
        <v>29.447133999999998</v>
      </c>
      <c r="AX28" s="23">
        <v>34.371586999999998</v>
      </c>
      <c r="AY28" s="23">
        <v>33.340197000000003</v>
      </c>
      <c r="AZ28" s="24">
        <v>1388.59</v>
      </c>
      <c r="BA28" s="24">
        <v>3809.18</v>
      </c>
      <c r="BB28" s="24">
        <v>6.3609999999999998</v>
      </c>
      <c r="BC28" s="24">
        <v>14.907999999999999</v>
      </c>
      <c r="BE28" s="49">
        <f t="shared" si="12"/>
        <v>0.79653001815462698</v>
      </c>
      <c r="BF28" s="25">
        <f t="shared" si="13"/>
        <v>-3.7491349485068298E-3</v>
      </c>
      <c r="BG28" s="25">
        <f t="shared" si="14"/>
        <v>2.5926903840514826E-2</v>
      </c>
      <c r="BH28" s="25"/>
      <c r="BJ28" s="49"/>
      <c r="BK28" s="49"/>
      <c r="BL28" s="49"/>
      <c r="BM28" s="49"/>
      <c r="BN28" s="49"/>
      <c r="BP28" s="49"/>
      <c r="BQ28" s="49"/>
      <c r="BR28" s="49"/>
      <c r="BS28" s="49"/>
      <c r="BT28" s="49"/>
      <c r="BV28" s="53">
        <f t="shared" si="16"/>
        <v>-11530785</v>
      </c>
      <c r="BW28" s="53">
        <f t="shared" si="16"/>
        <v>-360337.03125</v>
      </c>
      <c r="BX28" s="53">
        <f t="shared" si="16"/>
        <v>-11166.8125</v>
      </c>
      <c r="BY28" s="53">
        <f t="shared" si="16"/>
        <v>-2962496</v>
      </c>
      <c r="BZ28" s="53">
        <f t="shared" si="16"/>
        <v>-580584</v>
      </c>
      <c r="CA28" s="53">
        <f t="shared" si="16"/>
        <v>-90976</v>
      </c>
      <c r="CB28" s="53">
        <f t="shared" si="16"/>
        <v>-2290936</v>
      </c>
      <c r="CC28" s="53">
        <f t="shared" si="16"/>
        <v>-4.9737406250000191</v>
      </c>
      <c r="CD28" s="53">
        <f t="shared" si="16"/>
        <v>-2.6650967500000178</v>
      </c>
      <c r="CE28" s="53">
        <f t="shared" si="16"/>
        <v>-3.2714128750000029</v>
      </c>
      <c r="CF28" s="53">
        <f t="shared" si="16"/>
        <v>-2.0443536249999994</v>
      </c>
      <c r="CG28" s="53">
        <f t="shared" si="16"/>
        <v>-2.5218498749999938</v>
      </c>
      <c r="CJ28" t="s">
        <v>579</v>
      </c>
    </row>
    <row r="29" spans="1:88" ht="16" outlineLevel="1" thickBot="1" x14ac:dyDescent="0.25">
      <c r="A29" s="26"/>
      <c r="B29" s="26" t="s">
        <v>73</v>
      </c>
      <c r="C29" s="27" t="s">
        <v>237</v>
      </c>
      <c r="D29" s="26">
        <v>250294582</v>
      </c>
      <c r="E29" s="27">
        <v>10</v>
      </c>
      <c r="F29" s="27">
        <v>32</v>
      </c>
      <c r="G29" s="27">
        <v>30</v>
      </c>
      <c r="I29" s="28">
        <f t="shared" si="0"/>
        <v>23.949997499999998</v>
      </c>
      <c r="J29" s="29">
        <f t="shared" si="1"/>
        <v>0.10206638831678745</v>
      </c>
      <c r="K29" s="29">
        <f t="shared" si="2"/>
        <v>2.1642817661950031E-2</v>
      </c>
      <c r="L29" s="29">
        <f t="shared" si="3"/>
        <v>1.7231247938079619E-2</v>
      </c>
      <c r="M29" s="29">
        <f t="shared" si="4"/>
        <v>8.042357065483742E-2</v>
      </c>
      <c r="N29" s="26">
        <f t="shared" si="5"/>
        <v>5417080</v>
      </c>
      <c r="O29" s="29">
        <v>16</v>
      </c>
      <c r="P29" s="30">
        <v>24591050</v>
      </c>
      <c r="Q29" s="30">
        <v>768470.3125</v>
      </c>
      <c r="R29" s="30">
        <v>9839.84375</v>
      </c>
      <c r="S29" s="31">
        <v>25546664</v>
      </c>
      <c r="T29" s="31">
        <v>4312888</v>
      </c>
      <c r="U29" s="31">
        <v>1104192</v>
      </c>
      <c r="V29" s="31">
        <v>20129584</v>
      </c>
      <c r="W29" s="32">
        <v>71.138031249999997</v>
      </c>
      <c r="X29" s="32">
        <v>74.865934374999995</v>
      </c>
      <c r="Y29" s="32">
        <v>35.7631625</v>
      </c>
      <c r="Z29" s="32">
        <v>38.359853125000001</v>
      </c>
      <c r="AA29" s="32">
        <v>37.754875000000013</v>
      </c>
      <c r="AB29" s="33">
        <v>1406.36</v>
      </c>
      <c r="AC29" s="33">
        <v>7063.88</v>
      </c>
      <c r="AD29" s="33">
        <v>13.364000000000001</v>
      </c>
      <c r="AE29" s="33">
        <v>14.952</v>
      </c>
      <c r="AG29" s="28">
        <f t="shared" si="6"/>
        <v>16.523025000000001</v>
      </c>
      <c r="AH29" s="29">
        <f t="shared" si="7"/>
        <v>7.0415267718419897E-2</v>
      </c>
      <c r="AI29" s="29">
        <f t="shared" si="8"/>
        <v>1.7137406514057103E-2</v>
      </c>
      <c r="AJ29" s="29">
        <f t="shared" si="9"/>
        <v>1.3571847911594027E-2</v>
      </c>
      <c r="AK29" s="29">
        <f t="shared" si="10"/>
        <v>5.3277861204362786E-2</v>
      </c>
      <c r="AL29" s="26">
        <f t="shared" si="11"/>
        <v>4289400</v>
      </c>
      <c r="AM29" s="29">
        <v>16</v>
      </c>
      <c r="AN29" s="30">
        <v>13219515</v>
      </c>
      <c r="AO29" s="30">
        <v>413109.84375</v>
      </c>
      <c r="AP29" s="30">
        <v>4726.84375</v>
      </c>
      <c r="AQ29" s="31">
        <v>17624560</v>
      </c>
      <c r="AR29" s="31">
        <v>3396960</v>
      </c>
      <c r="AS29" s="31">
        <v>892440</v>
      </c>
      <c r="AT29" s="31">
        <v>13335160</v>
      </c>
      <c r="AU29" s="32">
        <v>65.743618999999995</v>
      </c>
      <c r="AV29" s="32">
        <v>72.983311999999998</v>
      </c>
      <c r="AW29" s="32">
        <v>30.821756000000001</v>
      </c>
      <c r="AX29" s="32">
        <v>35.777337000000003</v>
      </c>
      <c r="AY29" s="32">
        <v>34.593071999999999</v>
      </c>
      <c r="AZ29" s="33">
        <v>1394.34</v>
      </c>
      <c r="BA29" s="33">
        <v>4291.21</v>
      </c>
      <c r="BB29" s="33">
        <v>6.5369999999999999</v>
      </c>
      <c r="BC29" s="33">
        <v>16.763000000000002</v>
      </c>
      <c r="BE29" s="34">
        <f t="shared" si="12"/>
        <v>0.79182880814017875</v>
      </c>
      <c r="BF29" s="35">
        <f t="shared" si="13"/>
        <v>-1.3623562311983143E-3</v>
      </c>
      <c r="BG29" s="35">
        <f t="shared" si="14"/>
        <v>3.1329815469061606E-2</v>
      </c>
      <c r="BH29" s="35"/>
      <c r="BJ29" s="34"/>
      <c r="BK29" s="34"/>
      <c r="BL29" s="34"/>
      <c r="BM29" s="34"/>
      <c r="BN29" s="34"/>
      <c r="BP29" s="34"/>
      <c r="BQ29" s="34"/>
      <c r="BR29" s="34"/>
      <c r="BS29" s="34"/>
      <c r="BT29" s="34"/>
      <c r="BV29" s="53">
        <f t="shared" si="16"/>
        <v>-11371535</v>
      </c>
      <c r="BW29" s="53">
        <f t="shared" si="16"/>
        <v>-355360.46875</v>
      </c>
      <c r="BX29" s="53">
        <f t="shared" si="16"/>
        <v>-5113</v>
      </c>
      <c r="BY29" s="53">
        <f t="shared" si="16"/>
        <v>-7922104</v>
      </c>
      <c r="BZ29" s="53">
        <f t="shared" si="16"/>
        <v>-915928</v>
      </c>
      <c r="CA29" s="53">
        <f t="shared" si="16"/>
        <v>-211752</v>
      </c>
      <c r="CB29" s="53">
        <f t="shared" si="16"/>
        <v>-6794424</v>
      </c>
      <c r="CC29" s="53">
        <f t="shared" si="16"/>
        <v>-5.394412250000002</v>
      </c>
      <c r="CD29" s="53">
        <f t="shared" si="16"/>
        <v>-1.8826223749999969</v>
      </c>
      <c r="CE29" s="53">
        <f t="shared" si="16"/>
        <v>-4.9414064999999994</v>
      </c>
      <c r="CF29" s="53">
        <f t="shared" si="16"/>
        <v>-2.5825161249999979</v>
      </c>
      <c r="CG29" s="53">
        <f t="shared" si="16"/>
        <v>-3.1618030000000132</v>
      </c>
      <c r="CJ29" t="s">
        <v>579</v>
      </c>
    </row>
    <row r="30" spans="1:88" x14ac:dyDescent="0.2">
      <c r="A30" s="17" t="s">
        <v>242</v>
      </c>
      <c r="B30" s="17" t="s">
        <v>77</v>
      </c>
      <c r="C30" s="18" t="s">
        <v>232</v>
      </c>
      <c r="D30" s="17">
        <v>375422539</v>
      </c>
      <c r="E30" s="18">
        <v>11</v>
      </c>
      <c r="F30" s="18">
        <v>32</v>
      </c>
      <c r="G30" s="18">
        <v>30</v>
      </c>
      <c r="I30" s="19">
        <f t="shared" si="0"/>
        <v>3.71814</v>
      </c>
      <c r="J30" s="20">
        <f t="shared" si="1"/>
        <v>1.056413930437991E-2</v>
      </c>
      <c r="K30" s="20">
        <f t="shared" si="2"/>
        <v>8.3820433594158812E-3</v>
      </c>
      <c r="L30" s="20">
        <f t="shared" si="3"/>
        <v>5.2756768554058494E-3</v>
      </c>
      <c r="M30" s="20">
        <f t="shared" si="4"/>
        <v>2.1820959449640291E-3</v>
      </c>
      <c r="N30" s="17">
        <f t="shared" si="5"/>
        <v>3146808</v>
      </c>
      <c r="O30" s="20">
        <v>16</v>
      </c>
      <c r="P30" s="21">
        <v>86243398</v>
      </c>
      <c r="Q30" s="21">
        <v>2695106.1875</v>
      </c>
      <c r="R30" s="21">
        <v>33846.0625</v>
      </c>
      <c r="S30" s="22">
        <v>3966016</v>
      </c>
      <c r="T30" s="22">
        <v>1980608</v>
      </c>
      <c r="U30" s="22">
        <v>1166200</v>
      </c>
      <c r="V30" s="22">
        <v>819208</v>
      </c>
      <c r="W30" s="23">
        <v>73.637074999999996</v>
      </c>
      <c r="X30" s="23">
        <v>75.742599999999982</v>
      </c>
      <c r="Y30" s="23">
        <v>33.214593749999999</v>
      </c>
      <c r="Z30" s="23">
        <v>41.966721874999998</v>
      </c>
      <c r="AA30" s="23">
        <v>43.243725000000012</v>
      </c>
      <c r="AB30" s="24">
        <v>3276.62</v>
      </c>
      <c r="AC30" s="24">
        <v>21983.3</v>
      </c>
      <c r="AD30" s="24">
        <v>51.744</v>
      </c>
      <c r="AE30" s="24">
        <v>37.159999999999997</v>
      </c>
      <c r="AG30" s="19">
        <f t="shared" si="6"/>
        <v>2.952645</v>
      </c>
      <c r="AH30" s="20">
        <f t="shared" si="7"/>
        <v>8.3891819824914674E-3</v>
      </c>
      <c r="AI30" s="20">
        <f t="shared" si="8"/>
        <v>6.7781119556063734E-3</v>
      </c>
      <c r="AJ30" s="20">
        <f t="shared" si="9"/>
        <v>4.3576286185630425E-3</v>
      </c>
      <c r="AK30" s="20">
        <f t="shared" si="10"/>
        <v>1.6110700268850934E-3</v>
      </c>
      <c r="AL30" s="17">
        <f t="shared" si="11"/>
        <v>2544656</v>
      </c>
      <c r="AM30" s="20">
        <v>16</v>
      </c>
      <c r="AN30" s="21">
        <v>60324950</v>
      </c>
      <c r="AO30" s="21">
        <v>1885154.6875</v>
      </c>
      <c r="AP30" s="21">
        <v>21219.28125</v>
      </c>
      <c r="AQ30" s="22">
        <v>3149488</v>
      </c>
      <c r="AR30" s="22">
        <v>1635952</v>
      </c>
      <c r="AS30" s="22">
        <v>908704</v>
      </c>
      <c r="AT30" s="22">
        <v>604832</v>
      </c>
      <c r="AU30" s="23">
        <v>70.818996999999996</v>
      </c>
      <c r="AV30" s="23">
        <v>74.346543999999994</v>
      </c>
      <c r="AW30" s="23">
        <v>32.387774999999998</v>
      </c>
      <c r="AX30" s="23">
        <v>41.678344000000003</v>
      </c>
      <c r="AY30" s="23">
        <v>43.094825</v>
      </c>
      <c r="AZ30" s="24">
        <v>3670.97</v>
      </c>
      <c r="BA30" s="24">
        <v>10675.8</v>
      </c>
      <c r="BB30" s="24">
        <v>29.716999999999999</v>
      </c>
      <c r="BC30" s="24">
        <v>50.356999999999999</v>
      </c>
      <c r="BE30" s="49">
        <f t="shared" si="12"/>
        <v>0.80864673027397926</v>
      </c>
      <c r="BF30" s="25">
        <f t="shared" si="13"/>
        <v>-1.3023515502394566E-3</v>
      </c>
      <c r="BG30" s="25">
        <f t="shared" si="14"/>
        <v>1.4515534412028464E-2</v>
      </c>
      <c r="BH30" s="25">
        <f t="array" ref="BH30">AVERAGE(AL30:AL34/AQ30:AQ34) - AVERAGE(N30:N34/S30:S34)</f>
        <v>1.084986055282211E-2</v>
      </c>
      <c r="BJ30" s="49">
        <f>IF( OR(ISBLANK(N30:N34),ISBLANK(AL30:AL34), ISBLANK(W30:W34),ISBLANK(AU30:AU34)), "·", bdRateExtend( N30:N34,W30:W34, AL30:AL34,AU30:AU34))</f>
        <v>1</v>
      </c>
      <c r="BK30" s="49">
        <f>IF( OR(ISBLANK(N30:N34),ISBLANK(AL30:AL34), ISBLANK(X30:X34),ISBLANK(AV30:AV34)), "·", bdRateExtend( N30:N34,X30:X34, AL30:AL34,AV30:AV34))</f>
        <v>4.1457763975451201E-2</v>
      </c>
      <c r="BL30" s="49">
        <f>IF( OR(ISBLANK(V30:V34),ISBLANK(AT30:AT34), ISBLANK(Y30:Y34),ISBLANK(AW30:AW34)), "·", bdRateExtend( V30:V34,Y30:Y34, AT30:AT34,AW30:AW34))</f>
        <v>0.11164334793959219</v>
      </c>
      <c r="BM30" s="49">
        <f>IF( OR(ISBLANK(V30:V34),ISBLANK(AT30:AT34), ISBLANK(Z30:Z34),ISBLANK(AX30:AX34)), "·", bdRateExtend( V30:V34,Z30:Z34, AT30:AT34,AX30:AX34))</f>
        <v>0.25990995300037478</v>
      </c>
      <c r="BN30" s="49">
        <f>IF( OR(ISBLANK(V30:V34),ISBLANK(AT30:AT34), ISBLANK(AA30:AA34),ISBLANK(AY30:AY34)), "·", bdRateExtend( V30:V34,AA30:AA34, AT30:AT34,AY30:AY34))</f>
        <v>2.5835803311277106E-2</v>
      </c>
      <c r="BP30" s="49">
        <f>IF( OR(ISBLANK(S30:S34),ISBLANK(AQ30:AQ34), ISBLANK(W30:W34),ISBLANK(AU30:AU34)), "·", bdRateExtend( S30:S34,W30:W34, AQ30:AQ34,AU30:AU34))</f>
        <v>1</v>
      </c>
      <c r="BQ30" s="49">
        <f>IF( OR(ISBLANK(S30:S34),ISBLANK(AQ30:AQ34), ISBLANK(X30:X34),ISBLANK(AV30:AV34)), "·", bdRateExtend( S30:S34,X30:X34, AQ30:AQ34,AV30:AV34))</f>
        <v>0.14799492598302821</v>
      </c>
      <c r="BR30" s="49">
        <f>IF( OR(ISBLANK(S30:S34),ISBLANK(AQ30:AQ34), ISBLANK(Y30:Y34),ISBLANK(AW30:AW34)), "·", bdRateExtend( S30:S34,Y30:Y34, AQ30:AQ34,AW30:AW34))</f>
        <v>1.2933860763104876E-2</v>
      </c>
      <c r="BS30" s="49">
        <f>IF( OR(ISBLANK(S30:S34),ISBLANK(AQ30:AQ34), ISBLANK(Z30:Z34),ISBLANK(AX30:AX34)), "·", bdRateExtend( S30:S34,Z30:Z34, AQ30:AQ34,AX30:AX34))</f>
        <v>9.7493516614953979E-2</v>
      </c>
      <c r="BT30" s="49">
        <f>IF( OR(ISBLANK(S30:S34),ISBLANK(AQ30:AQ34), ISBLANK(AA30:AA34),ISBLANK(AY30:AY34)), "·", bdRateExtend( S30:S34,AA30:AA34, AQ30:AQ34,AY30:AY34))</f>
        <v>-3.8159182896613353E-2</v>
      </c>
      <c r="BV30" s="53">
        <f t="shared" si="16"/>
        <v>-25918448</v>
      </c>
      <c r="BW30" s="53">
        <f t="shared" si="16"/>
        <v>-809951.5</v>
      </c>
      <c r="BX30" s="53">
        <f t="shared" si="16"/>
        <v>-12626.78125</v>
      </c>
      <c r="BY30" s="53">
        <f t="shared" si="16"/>
        <v>-816528</v>
      </c>
      <c r="BZ30" s="53">
        <f t="shared" si="16"/>
        <v>-344656</v>
      </c>
      <c r="CA30" s="53">
        <f t="shared" si="16"/>
        <v>-257496</v>
      </c>
      <c r="CB30" s="53">
        <f t="shared" si="16"/>
        <v>-214376</v>
      </c>
      <c r="CC30" s="53">
        <f t="shared" si="16"/>
        <v>-2.8180779999999999</v>
      </c>
      <c r="CD30" s="53">
        <f t="shared" si="16"/>
        <v>-1.3960559999999873</v>
      </c>
      <c r="CE30" s="53">
        <f t="shared" si="16"/>
        <v>-0.82681875000000105</v>
      </c>
      <c r="CF30" s="53">
        <f t="shared" si="16"/>
        <v>-0.28837787499999479</v>
      </c>
      <c r="CG30" s="53">
        <f t="shared" si="16"/>
        <v>-0.1489000000000118</v>
      </c>
      <c r="CJ30" t="s">
        <v>588</v>
      </c>
    </row>
    <row r="31" spans="1:88" outlineLevel="1" x14ac:dyDescent="0.2">
      <c r="A31" s="52"/>
      <c r="B31" s="52" t="s">
        <v>77</v>
      </c>
      <c r="C31" s="9" t="s">
        <v>234</v>
      </c>
      <c r="D31" s="52">
        <v>375422539</v>
      </c>
      <c r="E31" s="9">
        <v>11</v>
      </c>
      <c r="F31" s="9">
        <v>32</v>
      </c>
      <c r="G31" s="9">
        <v>30</v>
      </c>
      <c r="I31" s="10">
        <f t="shared" si="0"/>
        <v>4.9612049999999996</v>
      </c>
      <c r="J31" s="11">
        <f t="shared" si="1"/>
        <v>1.4095989053017406E-2</v>
      </c>
      <c r="K31" s="11">
        <f t="shared" si="2"/>
        <v>1.0321894924907532E-2</v>
      </c>
      <c r="L31" s="11">
        <f t="shared" si="3"/>
        <v>7.2155284208974997E-3</v>
      </c>
      <c r="M31" s="11">
        <f t="shared" si="4"/>
        <v>3.7740941281098734E-3</v>
      </c>
      <c r="N31" s="52">
        <f t="shared" si="5"/>
        <v>3875072</v>
      </c>
      <c r="O31" s="11">
        <v>16</v>
      </c>
      <c r="P31" s="12">
        <v>90541792</v>
      </c>
      <c r="Q31" s="12">
        <v>2829431</v>
      </c>
      <c r="R31" s="12">
        <v>41460.6875</v>
      </c>
      <c r="S31" s="13">
        <v>5291952</v>
      </c>
      <c r="T31" s="13">
        <v>2708872</v>
      </c>
      <c r="U31" s="13">
        <v>1166200</v>
      </c>
      <c r="V31" s="13">
        <v>1416880</v>
      </c>
      <c r="W31" s="14">
        <v>75.252650000000017</v>
      </c>
      <c r="X31" s="14">
        <v>77.584662500000022</v>
      </c>
      <c r="Y31" s="14">
        <v>35.17078750000001</v>
      </c>
      <c r="Z31" s="14">
        <v>42.536018749999997</v>
      </c>
      <c r="AA31" s="14">
        <v>44.678146875000003</v>
      </c>
      <c r="AB31" s="15">
        <v>3365.1</v>
      </c>
      <c r="AC31" s="15">
        <v>22893.200000000001</v>
      </c>
      <c r="AD31" s="15">
        <v>42.663999999999987</v>
      </c>
      <c r="AE31" s="15">
        <v>28.776</v>
      </c>
      <c r="AG31" s="10">
        <f t="shared" si="6"/>
        <v>3.9412725000000002</v>
      </c>
      <c r="AH31" s="11">
        <f t="shared" si="7"/>
        <v>1.1198112961459674E-2</v>
      </c>
      <c r="AI31" s="11">
        <f t="shared" si="8"/>
        <v>8.3551509942774108E-3</v>
      </c>
      <c r="AJ31" s="11">
        <f t="shared" si="9"/>
        <v>5.9346676572340799E-3</v>
      </c>
      <c r="AK31" s="11">
        <f t="shared" si="10"/>
        <v>2.8429619671822633E-3</v>
      </c>
      <c r="AL31" s="52">
        <f t="shared" si="11"/>
        <v>3136712</v>
      </c>
      <c r="AM31" s="11">
        <v>16</v>
      </c>
      <c r="AN31" s="12">
        <v>63204621</v>
      </c>
      <c r="AO31" s="12">
        <v>1975144.40625</v>
      </c>
      <c r="AP31" s="12">
        <v>25824.75</v>
      </c>
      <c r="AQ31" s="13">
        <v>4204024</v>
      </c>
      <c r="AR31" s="13">
        <v>2228008</v>
      </c>
      <c r="AS31" s="13">
        <v>908704</v>
      </c>
      <c r="AT31" s="13">
        <v>1067312</v>
      </c>
      <c r="AU31" s="14">
        <v>71.933031</v>
      </c>
      <c r="AV31" s="14">
        <v>76.413741000000002</v>
      </c>
      <c r="AW31" s="14">
        <v>34.321753000000001</v>
      </c>
      <c r="AX31" s="14">
        <v>42.189238000000003</v>
      </c>
      <c r="AY31" s="14">
        <v>44.088894000000003</v>
      </c>
      <c r="AZ31" s="15">
        <v>3457.57</v>
      </c>
      <c r="BA31" s="15">
        <v>10984.5</v>
      </c>
      <c r="BB31" s="15">
        <v>28.991</v>
      </c>
      <c r="BC31" s="15">
        <v>47.939</v>
      </c>
      <c r="BE31" s="50">
        <f t="shared" si="12"/>
        <v>0.80945902424522687</v>
      </c>
      <c r="BF31" s="16">
        <f t="shared" si="13"/>
        <v>-1.5784990294577649E-3</v>
      </c>
      <c r="BG31" s="16">
        <f t="shared" si="14"/>
        <v>1.3863748563373024E-2</v>
      </c>
      <c r="BH31" s="16"/>
      <c r="BJ31" s="50"/>
      <c r="BK31" s="50"/>
      <c r="BL31" s="50"/>
      <c r="BM31" s="50"/>
      <c r="BN31" s="50"/>
      <c r="BP31" s="50"/>
      <c r="BQ31" s="50"/>
      <c r="BR31" s="50"/>
      <c r="BS31" s="50"/>
      <c r="BT31" s="50"/>
      <c r="BV31" s="53">
        <f t="shared" si="16"/>
        <v>-27337171</v>
      </c>
      <c r="BW31" s="53">
        <f t="shared" si="16"/>
        <v>-854286.59375</v>
      </c>
      <c r="BX31" s="53">
        <f t="shared" si="16"/>
        <v>-15635.9375</v>
      </c>
      <c r="BY31" s="53">
        <f t="shared" si="16"/>
        <v>-1087928</v>
      </c>
      <c r="BZ31" s="53">
        <f t="shared" si="16"/>
        <v>-480864</v>
      </c>
      <c r="CA31" s="53">
        <f t="shared" si="16"/>
        <v>-257496</v>
      </c>
      <c r="CB31" s="53">
        <f t="shared" si="16"/>
        <v>-349568</v>
      </c>
      <c r="CC31" s="53">
        <f t="shared" si="16"/>
        <v>-3.3196190000000172</v>
      </c>
      <c r="CD31" s="53">
        <f t="shared" si="16"/>
        <v>-1.1709215000000199</v>
      </c>
      <c r="CE31" s="53">
        <f t="shared" si="16"/>
        <v>-0.84903450000000902</v>
      </c>
      <c r="CF31" s="53">
        <f t="shared" si="16"/>
        <v>-0.34678074999999353</v>
      </c>
      <c r="CG31" s="53">
        <f t="shared" si="16"/>
        <v>-0.58925287499999968</v>
      </c>
      <c r="CJ31" t="s">
        <v>588</v>
      </c>
    </row>
    <row r="32" spans="1:88" outlineLevel="1" x14ac:dyDescent="0.2">
      <c r="A32" s="17"/>
      <c r="B32" s="17" t="s">
        <v>77</v>
      </c>
      <c r="C32" s="18" t="s">
        <v>235</v>
      </c>
      <c r="D32" s="17">
        <v>375422539</v>
      </c>
      <c r="E32" s="18">
        <v>11</v>
      </c>
      <c r="F32" s="18">
        <v>32</v>
      </c>
      <c r="G32" s="18">
        <v>30</v>
      </c>
      <c r="I32" s="19">
        <f t="shared" si="0"/>
        <v>7.1719049999999998</v>
      </c>
      <c r="J32" s="20">
        <f t="shared" si="1"/>
        <v>2.0377124986627401E-2</v>
      </c>
      <c r="K32" s="20">
        <f t="shared" si="2"/>
        <v>1.3213229054422862E-2</v>
      </c>
      <c r="L32" s="20">
        <f t="shared" si="3"/>
        <v>1.0106862550412829E-2</v>
      </c>
      <c r="M32" s="20">
        <f t="shared" si="4"/>
        <v>7.1638959322045392E-3</v>
      </c>
      <c r="N32" s="17">
        <f t="shared" si="5"/>
        <v>4960544</v>
      </c>
      <c r="O32" s="20">
        <v>16</v>
      </c>
      <c r="P32" s="21">
        <v>91787366</v>
      </c>
      <c r="Q32" s="21">
        <v>2868355.1875</v>
      </c>
      <c r="R32" s="21">
        <v>44534.90625</v>
      </c>
      <c r="S32" s="22">
        <v>7650032</v>
      </c>
      <c r="T32" s="22">
        <v>3794344</v>
      </c>
      <c r="U32" s="22">
        <v>1166200</v>
      </c>
      <c r="V32" s="22">
        <v>2689488</v>
      </c>
      <c r="W32" s="23">
        <v>76.469399999999951</v>
      </c>
      <c r="X32" s="23">
        <v>79.114190624999978</v>
      </c>
      <c r="Y32" s="23">
        <v>36.955215625000001</v>
      </c>
      <c r="Z32" s="23">
        <v>43.140440624999997</v>
      </c>
      <c r="AA32" s="23">
        <v>45.958556250000008</v>
      </c>
      <c r="AB32" s="24">
        <v>3289.38</v>
      </c>
      <c r="AC32" s="24">
        <v>24032.1</v>
      </c>
      <c r="AD32" s="24">
        <v>52.823999999999998</v>
      </c>
      <c r="AE32" s="24">
        <v>40.9</v>
      </c>
      <c r="AG32" s="19">
        <f t="shared" si="6"/>
        <v>5.7544649999999997</v>
      </c>
      <c r="AH32" s="20">
        <f t="shared" si="7"/>
        <v>1.6349833487221715E-2</v>
      </c>
      <c r="AI32" s="20">
        <f t="shared" si="8"/>
        <v>1.0766535250564698E-2</v>
      </c>
      <c r="AJ32" s="20">
        <f t="shared" si="9"/>
        <v>8.3460519135213664E-3</v>
      </c>
      <c r="AK32" s="20">
        <f t="shared" si="10"/>
        <v>5.5832982366570165E-3</v>
      </c>
      <c r="AL32" s="17">
        <f t="shared" si="11"/>
        <v>4042000</v>
      </c>
      <c r="AM32" s="20">
        <v>16</v>
      </c>
      <c r="AN32" s="21">
        <v>64221991</v>
      </c>
      <c r="AO32" s="21">
        <v>2006937.21875</v>
      </c>
      <c r="AP32" s="21">
        <v>27838.3125</v>
      </c>
      <c r="AQ32" s="22">
        <v>6138096</v>
      </c>
      <c r="AR32" s="22">
        <v>3133296</v>
      </c>
      <c r="AS32" s="22">
        <v>908704</v>
      </c>
      <c r="AT32" s="22">
        <v>2096096</v>
      </c>
      <c r="AU32" s="23">
        <v>72.664199999999994</v>
      </c>
      <c r="AV32" s="23">
        <v>78.024000000000001</v>
      </c>
      <c r="AW32" s="23">
        <v>36.122008999999998</v>
      </c>
      <c r="AX32" s="23">
        <v>42.718083999999998</v>
      </c>
      <c r="AY32" s="23">
        <v>45.441203000000002</v>
      </c>
      <c r="AZ32" s="24">
        <v>3339.28</v>
      </c>
      <c r="BA32" s="24">
        <v>11105.7</v>
      </c>
      <c r="BB32" s="24">
        <v>28.096</v>
      </c>
      <c r="BC32" s="24">
        <v>48.465000000000003</v>
      </c>
      <c r="BE32" s="49">
        <f t="shared" si="12"/>
        <v>0.81482998638858961</v>
      </c>
      <c r="BF32" s="25">
        <f t="shared" si="13"/>
        <v>-1.6552441161534932E-3</v>
      </c>
      <c r="BG32" s="25">
        <f t="shared" si="14"/>
        <v>1.0075979718370931E-2</v>
      </c>
      <c r="BH32" s="25"/>
      <c r="BJ32" s="49"/>
      <c r="BK32" s="49"/>
      <c r="BL32" s="49"/>
      <c r="BM32" s="49"/>
      <c r="BN32" s="49"/>
      <c r="BP32" s="49"/>
      <c r="BQ32" s="49"/>
      <c r="BR32" s="49"/>
      <c r="BS32" s="49"/>
      <c r="BT32" s="49"/>
      <c r="BV32" s="53">
        <f t="shared" si="16"/>
        <v>-27565375</v>
      </c>
      <c r="BW32" s="53">
        <f t="shared" si="16"/>
        <v>-861417.96875</v>
      </c>
      <c r="BX32" s="53">
        <f t="shared" si="16"/>
        <v>-16696.59375</v>
      </c>
      <c r="BY32" s="53">
        <f t="shared" si="16"/>
        <v>-1511936</v>
      </c>
      <c r="BZ32" s="53">
        <f t="shared" si="16"/>
        <v>-661048</v>
      </c>
      <c r="CA32" s="53">
        <f t="shared" si="16"/>
        <v>-257496</v>
      </c>
      <c r="CB32" s="53">
        <f t="shared" si="16"/>
        <v>-593392</v>
      </c>
      <c r="CC32" s="53">
        <f t="shared" si="16"/>
        <v>-3.8051999999999566</v>
      </c>
      <c r="CD32" s="53">
        <f t="shared" si="16"/>
        <v>-1.0901906249999769</v>
      </c>
      <c r="CE32" s="53">
        <f t="shared" si="16"/>
        <v>-0.83320662500000253</v>
      </c>
      <c r="CF32" s="53">
        <f t="shared" si="16"/>
        <v>-0.42235662499999904</v>
      </c>
      <c r="CG32" s="53">
        <f t="shared" si="16"/>
        <v>-0.51735325000000643</v>
      </c>
      <c r="CJ32" t="s">
        <v>588</v>
      </c>
    </row>
    <row r="33" spans="1:88" outlineLevel="1" x14ac:dyDescent="0.2">
      <c r="A33" s="52"/>
      <c r="B33" s="52" t="s">
        <v>77</v>
      </c>
      <c r="C33" s="9" t="s">
        <v>236</v>
      </c>
      <c r="D33" s="52">
        <v>375422539</v>
      </c>
      <c r="E33" s="9">
        <v>11</v>
      </c>
      <c r="F33" s="9">
        <v>32</v>
      </c>
      <c r="G33" s="9">
        <v>30</v>
      </c>
      <c r="I33" s="10">
        <f t="shared" si="0"/>
        <v>12.012074999999999</v>
      </c>
      <c r="J33" s="11">
        <f t="shared" si="1"/>
        <v>3.4129224191305145E-2</v>
      </c>
      <c r="K33" s="11">
        <f t="shared" si="2"/>
        <v>1.8543265991816223E-2</v>
      </c>
      <c r="L33" s="11">
        <f t="shared" si="3"/>
        <v>1.5436899487806192E-2</v>
      </c>
      <c r="M33" s="11">
        <f t="shared" si="4"/>
        <v>1.5585958199488922E-2</v>
      </c>
      <c r="N33" s="52">
        <f t="shared" si="5"/>
        <v>6961560</v>
      </c>
      <c r="O33" s="11">
        <v>16</v>
      </c>
      <c r="P33" s="12">
        <v>94114766</v>
      </c>
      <c r="Q33" s="12">
        <v>2941086.4375</v>
      </c>
      <c r="R33" s="12">
        <v>49715.25</v>
      </c>
      <c r="S33" s="13">
        <v>12812880</v>
      </c>
      <c r="T33" s="13">
        <v>5795360</v>
      </c>
      <c r="U33" s="13">
        <v>1166200</v>
      </c>
      <c r="V33" s="13">
        <v>5851320</v>
      </c>
      <c r="W33" s="14">
        <v>77.566353124999978</v>
      </c>
      <c r="X33" s="14">
        <v>80.266603124999975</v>
      </c>
      <c r="Y33" s="14">
        <v>38.719509375000001</v>
      </c>
      <c r="Z33" s="14">
        <v>43.700431250000001</v>
      </c>
      <c r="AA33" s="14">
        <v>47.37855312500001</v>
      </c>
      <c r="AB33" s="15">
        <v>3273.97</v>
      </c>
      <c r="AC33" s="15">
        <v>25351.9</v>
      </c>
      <c r="AD33" s="15">
        <v>53.54</v>
      </c>
      <c r="AE33" s="15">
        <v>44.095999999999997</v>
      </c>
      <c r="AG33" s="10">
        <f t="shared" si="6"/>
        <v>9.7872000000000003</v>
      </c>
      <c r="AH33" s="11">
        <f t="shared" si="7"/>
        <v>2.7807813637955286E-2</v>
      </c>
      <c r="AI33" s="11">
        <f t="shared" si="8"/>
        <v>1.5307978085993393E-2</v>
      </c>
      <c r="AJ33" s="11">
        <f t="shared" si="9"/>
        <v>1.2887494748950063E-2</v>
      </c>
      <c r="AK33" s="11">
        <f t="shared" si="10"/>
        <v>1.2499835551961892E-2</v>
      </c>
      <c r="AL33" s="52">
        <f t="shared" si="11"/>
        <v>5746960</v>
      </c>
      <c r="AM33" s="11">
        <v>16</v>
      </c>
      <c r="AN33" s="12">
        <v>65920880</v>
      </c>
      <c r="AO33" s="12">
        <v>2060027.5</v>
      </c>
      <c r="AP33" s="12">
        <v>31312.34375</v>
      </c>
      <c r="AQ33" s="13">
        <v>10439680</v>
      </c>
      <c r="AR33" s="13">
        <v>4838256</v>
      </c>
      <c r="AS33" s="13">
        <v>908704</v>
      </c>
      <c r="AT33" s="13">
        <v>4692720</v>
      </c>
      <c r="AU33" s="14">
        <v>73.211544000000004</v>
      </c>
      <c r="AV33" s="14">
        <v>79.138965999999996</v>
      </c>
      <c r="AW33" s="14">
        <v>37.793219000000001</v>
      </c>
      <c r="AX33" s="14">
        <v>43.308444000000001</v>
      </c>
      <c r="AY33" s="14">
        <v>46.836146999999997</v>
      </c>
      <c r="AZ33" s="15">
        <v>3727.41</v>
      </c>
      <c r="BA33" s="15">
        <v>12889.2</v>
      </c>
      <c r="BB33" s="15">
        <v>30.654</v>
      </c>
      <c r="BC33" s="15">
        <v>54.203000000000003</v>
      </c>
      <c r="BE33" s="50">
        <f t="shared" si="12"/>
        <v>0.82552761162727895</v>
      </c>
      <c r="BF33" s="16">
        <f t="shared" si="13"/>
        <v>-1.7037384866695846E-3</v>
      </c>
      <c r="BG33" s="16">
        <f t="shared" si="14"/>
        <v>7.1668150387778073E-3</v>
      </c>
      <c r="BH33" s="16"/>
      <c r="BJ33" s="50"/>
      <c r="BK33" s="50"/>
      <c r="BL33" s="50"/>
      <c r="BM33" s="50"/>
      <c r="BN33" s="50"/>
      <c r="BP33" s="50"/>
      <c r="BQ33" s="50"/>
      <c r="BR33" s="50"/>
      <c r="BS33" s="50"/>
      <c r="BT33" s="50"/>
      <c r="BV33" s="53">
        <f t="shared" si="16"/>
        <v>-28193886</v>
      </c>
      <c r="BW33" s="53">
        <f t="shared" si="16"/>
        <v>-881058.9375</v>
      </c>
      <c r="BX33" s="53">
        <f t="shared" si="16"/>
        <v>-18402.90625</v>
      </c>
      <c r="BY33" s="53">
        <f t="shared" si="16"/>
        <v>-2373200</v>
      </c>
      <c r="BZ33" s="53">
        <f t="shared" si="16"/>
        <v>-957104</v>
      </c>
      <c r="CA33" s="53">
        <f t="shared" si="16"/>
        <v>-257496</v>
      </c>
      <c r="CB33" s="53">
        <f t="shared" si="16"/>
        <v>-1158600</v>
      </c>
      <c r="CC33" s="53">
        <f t="shared" si="16"/>
        <v>-4.3548091249999743</v>
      </c>
      <c r="CD33" s="53">
        <f t="shared" si="16"/>
        <v>-1.1276371249999784</v>
      </c>
      <c r="CE33" s="53">
        <f t="shared" si="16"/>
        <v>-0.92629037500000067</v>
      </c>
      <c r="CF33" s="53">
        <f t="shared" si="16"/>
        <v>-0.39198724999999968</v>
      </c>
      <c r="CG33" s="53">
        <f t="shared" si="16"/>
        <v>-0.54240612500001362</v>
      </c>
      <c r="CJ33" t="s">
        <v>588</v>
      </c>
    </row>
    <row r="34" spans="1:88" ht="16" outlineLevel="1" thickBot="1" x14ac:dyDescent="0.25">
      <c r="A34" s="17"/>
      <c r="B34" s="36" t="s">
        <v>77</v>
      </c>
      <c r="C34" s="37" t="s">
        <v>237</v>
      </c>
      <c r="D34" s="36">
        <v>375422539</v>
      </c>
      <c r="E34" s="37">
        <v>11</v>
      </c>
      <c r="F34" s="37">
        <v>32</v>
      </c>
      <c r="G34" s="37">
        <v>30</v>
      </c>
      <c r="I34" s="38">
        <f t="shared" si="0"/>
        <v>24.639389999999999</v>
      </c>
      <c r="J34" s="39">
        <f t="shared" si="1"/>
        <v>7.0006494735256164E-2</v>
      </c>
      <c r="K34" s="39">
        <f t="shared" si="2"/>
        <v>3.0977404902160124E-2</v>
      </c>
      <c r="L34" s="39">
        <f t="shared" si="3"/>
        <v>2.459758549552615E-2</v>
      </c>
      <c r="M34" s="39">
        <f t="shared" si="4"/>
        <v>3.9029089833096033E-2</v>
      </c>
      <c r="N34" s="36">
        <f t="shared" si="5"/>
        <v>11629616</v>
      </c>
      <c r="O34" s="39">
        <v>16</v>
      </c>
      <c r="P34" s="40">
        <v>92205535</v>
      </c>
      <c r="Q34" s="40">
        <v>2881422.96875</v>
      </c>
      <c r="R34" s="40">
        <v>21180.46875</v>
      </c>
      <c r="S34" s="41">
        <v>26282016</v>
      </c>
      <c r="T34" s="41">
        <v>9234488</v>
      </c>
      <c r="U34" s="41">
        <v>2395128</v>
      </c>
      <c r="V34" s="41">
        <v>14652400</v>
      </c>
      <c r="W34" s="42">
        <v>78.500296874999975</v>
      </c>
      <c r="X34" s="42">
        <v>81.895681249999996</v>
      </c>
      <c r="Y34" s="42">
        <v>40.507659374999989</v>
      </c>
      <c r="Z34" s="42">
        <v>44.373981249999993</v>
      </c>
      <c r="AA34" s="42">
        <v>48.810296874999999</v>
      </c>
      <c r="AB34" s="43">
        <v>3500.64</v>
      </c>
      <c r="AC34" s="43">
        <v>32732.400000000001</v>
      </c>
      <c r="AD34" s="43">
        <v>52.696000000000012</v>
      </c>
      <c r="AE34" s="43">
        <v>50.276000000000003</v>
      </c>
      <c r="AG34" s="38">
        <f t="shared" si="6"/>
        <v>20.038702499999999</v>
      </c>
      <c r="AH34" s="39">
        <f t="shared" si="7"/>
        <v>5.6934823510956009E-2</v>
      </c>
      <c r="AI34" s="39">
        <f t="shared" si="8"/>
        <v>2.5684467495437187E-2</v>
      </c>
      <c r="AJ34" s="39">
        <f t="shared" si="9"/>
        <v>2.0563688106110218E-2</v>
      </c>
      <c r="AK34" s="39">
        <f t="shared" si="10"/>
        <v>3.1250356015518822E-2</v>
      </c>
      <c r="AL34" s="36">
        <f t="shared" si="11"/>
        <v>9642528</v>
      </c>
      <c r="AM34" s="39">
        <v>16</v>
      </c>
      <c r="AN34" s="40">
        <v>64259893</v>
      </c>
      <c r="AO34" s="40">
        <v>2008121.65625</v>
      </c>
      <c r="AP34" s="40">
        <v>13643.09375</v>
      </c>
      <c r="AQ34" s="41">
        <v>21374616</v>
      </c>
      <c r="AR34" s="41">
        <v>7720072</v>
      </c>
      <c r="AS34" s="41">
        <v>1922456</v>
      </c>
      <c r="AT34" s="41">
        <v>11732088</v>
      </c>
      <c r="AU34" s="42">
        <v>73.498746999999995</v>
      </c>
      <c r="AV34" s="42">
        <v>80.277186999999998</v>
      </c>
      <c r="AW34" s="42">
        <v>39.307856000000001</v>
      </c>
      <c r="AX34" s="42">
        <v>43.967652999999999</v>
      </c>
      <c r="AY34" s="42">
        <v>48.354649999999999</v>
      </c>
      <c r="AZ34" s="43">
        <v>3369.84</v>
      </c>
      <c r="BA34" s="43">
        <v>13412.5</v>
      </c>
      <c r="BB34" s="43">
        <v>29.305</v>
      </c>
      <c r="BC34" s="43">
        <v>56.109000000000002</v>
      </c>
      <c r="BE34" s="44">
        <f t="shared" si="12"/>
        <v>0.82913554497414177</v>
      </c>
      <c r="BF34" s="45">
        <f t="shared" si="13"/>
        <v>-5.5673976743760099E-4</v>
      </c>
      <c r="BG34" s="45">
        <f t="shared" si="14"/>
        <v>8.6272250315604371E-3</v>
      </c>
      <c r="BH34" s="45"/>
      <c r="BJ34" s="44"/>
      <c r="BK34" s="44"/>
      <c r="BL34" s="44"/>
      <c r="BM34" s="44"/>
      <c r="BN34" s="44"/>
      <c r="BP34" s="44"/>
      <c r="BQ34" s="44"/>
      <c r="BR34" s="44"/>
      <c r="BS34" s="44"/>
      <c r="BT34" s="44"/>
      <c r="BV34" s="53">
        <f t="shared" si="16"/>
        <v>-27945642</v>
      </c>
      <c r="BW34" s="53">
        <f t="shared" si="16"/>
        <v>-873301.3125</v>
      </c>
      <c r="BX34" s="53">
        <f t="shared" si="16"/>
        <v>-7537.375</v>
      </c>
      <c r="BY34" s="53">
        <f t="shared" si="16"/>
        <v>-4907400</v>
      </c>
      <c r="BZ34" s="53">
        <f t="shared" si="16"/>
        <v>-1514416</v>
      </c>
      <c r="CA34" s="53">
        <f t="shared" si="16"/>
        <v>-472672</v>
      </c>
      <c r="CB34" s="53">
        <f t="shared" si="16"/>
        <v>-2920312</v>
      </c>
      <c r="CC34" s="53">
        <f t="shared" si="16"/>
        <v>-5.0015498749999807</v>
      </c>
      <c r="CD34" s="53">
        <f t="shared" si="16"/>
        <v>-1.6184942499999977</v>
      </c>
      <c r="CE34" s="53">
        <f t="shared" si="16"/>
        <v>-1.1998033749999877</v>
      </c>
      <c r="CF34" s="53">
        <f t="shared" si="16"/>
        <v>-0.40632824999999428</v>
      </c>
      <c r="CG34" s="53">
        <f t="shared" si="16"/>
        <v>-0.45564687499999934</v>
      </c>
      <c r="CJ34" t="s">
        <v>588</v>
      </c>
    </row>
    <row r="35" spans="1:88" x14ac:dyDescent="0.2">
      <c r="A35" s="52"/>
      <c r="B35" s="52" t="s">
        <v>82</v>
      </c>
      <c r="C35" s="9" t="s">
        <v>232</v>
      </c>
      <c r="D35" s="52">
        <v>333190689</v>
      </c>
      <c r="E35" s="9">
        <v>11</v>
      </c>
      <c r="F35" s="9">
        <v>32</v>
      </c>
      <c r="G35" s="9">
        <v>30</v>
      </c>
      <c r="I35" s="10">
        <f t="shared" si="0"/>
        <v>4.6569075</v>
      </c>
      <c r="J35" s="11">
        <f t="shared" si="1"/>
        <v>1.490848383221177E-2</v>
      </c>
      <c r="K35" s="11">
        <f t="shared" si="2"/>
        <v>1.1175390318305084E-2</v>
      </c>
      <c r="L35" s="11">
        <f t="shared" si="3"/>
        <v>7.155662143968255E-3</v>
      </c>
      <c r="M35" s="11">
        <f t="shared" si="4"/>
        <v>3.7330935139066866E-3</v>
      </c>
      <c r="N35" s="52">
        <f t="shared" si="5"/>
        <v>3723536</v>
      </c>
      <c r="O35" s="11">
        <v>16</v>
      </c>
      <c r="P35" s="12">
        <v>74793925</v>
      </c>
      <c r="Q35" s="12">
        <v>2337310.15625</v>
      </c>
      <c r="R35" s="12">
        <v>30824.78125</v>
      </c>
      <c r="S35" s="13">
        <v>4967368</v>
      </c>
      <c r="T35" s="13">
        <v>2384200</v>
      </c>
      <c r="U35" s="13">
        <v>1339336</v>
      </c>
      <c r="V35" s="13">
        <v>1243832</v>
      </c>
      <c r="W35" s="14">
        <v>73.186065624999998</v>
      </c>
      <c r="X35" s="14">
        <v>75.395090625000023</v>
      </c>
      <c r="Y35" s="14">
        <v>31.7822125</v>
      </c>
      <c r="Z35" s="14">
        <v>42.191984374999997</v>
      </c>
      <c r="AA35" s="14">
        <v>43.412915625000011</v>
      </c>
      <c r="AB35" s="15">
        <v>2965.69</v>
      </c>
      <c r="AC35" s="15">
        <v>24997</v>
      </c>
      <c r="AD35" s="15">
        <v>51.14</v>
      </c>
      <c r="AE35" s="15">
        <v>39.776000000000003</v>
      </c>
      <c r="AG35" s="10">
        <f t="shared" si="6"/>
        <v>3.9597525</v>
      </c>
      <c r="AH35" s="11">
        <f t="shared" si="7"/>
        <v>1.2676632749482384E-2</v>
      </c>
      <c r="AI35" s="11">
        <f t="shared" si="8"/>
        <v>9.6103525870136191E-3</v>
      </c>
      <c r="AJ35" s="11">
        <f t="shared" si="9"/>
        <v>6.0287158864754473E-3</v>
      </c>
      <c r="AK35" s="11">
        <f t="shared" si="10"/>
        <v>3.0662801624687657E-3</v>
      </c>
      <c r="AL35" s="52">
        <f t="shared" si="11"/>
        <v>3202080</v>
      </c>
      <c r="AM35" s="11">
        <v>16</v>
      </c>
      <c r="AN35" s="12">
        <v>52478044</v>
      </c>
      <c r="AO35" s="12">
        <v>1639938.875</v>
      </c>
      <c r="AP35" s="12">
        <v>20775.21875</v>
      </c>
      <c r="AQ35" s="13">
        <v>4223736</v>
      </c>
      <c r="AR35" s="13">
        <v>2008712</v>
      </c>
      <c r="AS35" s="13">
        <v>1193368</v>
      </c>
      <c r="AT35" s="13">
        <v>1021656</v>
      </c>
      <c r="AU35" s="14">
        <v>70.508246999999997</v>
      </c>
      <c r="AV35" s="14">
        <v>73.796486999999999</v>
      </c>
      <c r="AW35" s="14">
        <v>30.453662999999999</v>
      </c>
      <c r="AX35" s="14">
        <v>41.680208999999998</v>
      </c>
      <c r="AY35" s="14">
        <v>42.598556000000002</v>
      </c>
      <c r="AZ35" s="15">
        <v>3104.78</v>
      </c>
      <c r="BA35" s="15">
        <v>12796.2</v>
      </c>
      <c r="BB35" s="15">
        <v>27.209</v>
      </c>
      <c r="BC35" s="15">
        <v>53.927</v>
      </c>
      <c r="BE35" s="50">
        <f t="shared" si="12"/>
        <v>0.85995677227237766</v>
      </c>
      <c r="BF35" s="16">
        <f t="shared" si="13"/>
        <v>-5.1985481329423766E-4</v>
      </c>
      <c r="BG35" s="16">
        <f t="shared" si="14"/>
        <v>8.516178611870151E-3</v>
      </c>
      <c r="BH35" s="16">
        <f t="array" ref="BH35">AVERAGE(AL35:AL39/AQ35:AQ39) - AVERAGE(N35:N39/S35:S39)</f>
        <v>1.5377637807839295E-2</v>
      </c>
      <c r="BJ35" s="50">
        <f>IF( OR(ISBLANK(N35:N39),ISBLANK(AL35:AL39), ISBLANK(W35:W39),ISBLANK(AU35:AU39)), "·", bdRateExtend( N35:N39,W35:W39, AL35:AL39,AU35:AU39))</f>
        <v>1.1936321854275342</v>
      </c>
      <c r="BK35" s="50">
        <f>IF( OR(ISBLANK(N35:N39),ISBLANK(AL35:AL39), ISBLANK(X35:X39),ISBLANK(AV35:AV39)), "·", bdRateExtend( N35:N39,X35:X39, AL35:AL39,AV35:AV39))</f>
        <v>7.8079478240624445E-2</v>
      </c>
      <c r="BL35" s="50">
        <f>IF( OR(ISBLANK(V35:V39),ISBLANK(AT35:AT39), ISBLANK(Y35:Y39),ISBLANK(AW35:AW39)), "·", bdRateExtend( V35:V39,Y35:Y39, AT35:AT39,AW35:AW39))</f>
        <v>0.29538637792874578</v>
      </c>
      <c r="BM35" s="50">
        <f>IF( OR(ISBLANK(V35:V39),ISBLANK(AT35:AT39), ISBLANK(Z35:Z39),ISBLANK(AX35:AX39)), "·", bdRateExtend( V35:V39,Z35:Z39, AT35:AT39,AX35:AX39))</f>
        <v>0.2158236005680485</v>
      </c>
      <c r="BN35" s="50">
        <f>IF( OR(ISBLANK(V35:V39),ISBLANK(AT35:AT39), ISBLANK(AA35:AA39),ISBLANK(AY35:AY39)), "·", bdRateExtend( V35:V39,AA35:AA39, AT35:AT39,AY35:AY39))</f>
        <v>0.20421752653101088</v>
      </c>
      <c r="BP35" s="50">
        <f>IF( OR(ISBLANK(S35:S39),ISBLANK(AQ35:AQ39), ISBLANK(W35:W39),ISBLANK(AU35:AU39)), "·", bdRateExtend( S35:S39,W35:W39, AQ35:AQ39,AU35:AU39))</f>
        <v>2.3037485503047876</v>
      </c>
      <c r="BQ35" s="50">
        <f>IF( OR(ISBLANK(S35:S39),ISBLANK(AQ35:AQ39), ISBLANK(X35:X39),ISBLANK(AV35:AV39)), "·", bdRateExtend( S35:S39,X35:X39, AQ35:AQ39,AV35:AV39))</f>
        <v>0.17169443873946855</v>
      </c>
      <c r="BR35" s="50">
        <f>IF( OR(ISBLANK(S35:S39),ISBLANK(AQ35:AQ39), ISBLANK(Y35:Y39),ISBLANK(AW35:AW39)), "·", bdRateExtend( S35:S39,Y35:Y39, AQ35:AQ39,AW35:AW39))</f>
        <v>0.14798777847370848</v>
      </c>
      <c r="BS35" s="50">
        <f>IF( OR(ISBLANK(S35:S39),ISBLANK(AQ35:AQ39), ISBLANK(Z35:Z39),ISBLANK(AX35:AX39)), "·", bdRateExtend( S35:S39,Z35:Z39, AQ35:AQ39,AX35:AX39))</f>
        <v>0.10501053137800986</v>
      </c>
      <c r="BT35" s="50">
        <f>IF( OR(ISBLANK(S35:S39),ISBLANK(AQ35:AQ39), ISBLANK(AA35:AA39),ISBLANK(AY35:AY39)), "·", bdRateExtend( S35:S39,AA35:AA39, AQ35:AQ39,AY35:AY39))</f>
        <v>9.3318454873038803E-2</v>
      </c>
      <c r="BV35" s="53">
        <f t="shared" si="16"/>
        <v>-22315881</v>
      </c>
      <c r="BW35" s="53">
        <f t="shared" si="16"/>
        <v>-697371.28125</v>
      </c>
      <c r="BX35" s="53">
        <f t="shared" si="16"/>
        <v>-10049.5625</v>
      </c>
      <c r="BY35" s="53">
        <f t="shared" si="16"/>
        <v>-743632</v>
      </c>
      <c r="BZ35" s="53">
        <f t="shared" si="16"/>
        <v>-375488</v>
      </c>
      <c r="CA35" s="53">
        <f t="shared" si="16"/>
        <v>-145968</v>
      </c>
      <c r="CB35" s="53">
        <f t="shared" si="16"/>
        <v>-222176</v>
      </c>
      <c r="CC35" s="53">
        <f t="shared" si="16"/>
        <v>-2.6778186250000005</v>
      </c>
      <c r="CD35" s="53">
        <f t="shared" si="16"/>
        <v>-1.598603625000024</v>
      </c>
      <c r="CE35" s="53">
        <f t="shared" si="16"/>
        <v>-1.3285495000000012</v>
      </c>
      <c r="CF35" s="53">
        <f t="shared" si="16"/>
        <v>-0.51177537499999914</v>
      </c>
      <c r="CG35" s="53">
        <f t="shared" si="16"/>
        <v>-0.81435962500000869</v>
      </c>
      <c r="CJ35" t="s">
        <v>589</v>
      </c>
    </row>
    <row r="36" spans="1:88" outlineLevel="1" x14ac:dyDescent="0.2">
      <c r="A36" s="17"/>
      <c r="B36" s="17" t="s">
        <v>82</v>
      </c>
      <c r="C36" s="18" t="s">
        <v>234</v>
      </c>
      <c r="D36" s="17">
        <v>333190689</v>
      </c>
      <c r="E36" s="18">
        <v>11</v>
      </c>
      <c r="F36" s="18">
        <v>32</v>
      </c>
      <c r="G36" s="18">
        <v>30</v>
      </c>
      <c r="I36" s="19">
        <f t="shared" si="0"/>
        <v>6.2389275</v>
      </c>
      <c r="J36" s="20">
        <f t="shared" si="1"/>
        <v>1.9973115155087661E-2</v>
      </c>
      <c r="K36" s="20">
        <f t="shared" si="2"/>
        <v>1.3755462416298193E-2</v>
      </c>
      <c r="L36" s="20">
        <f t="shared" si="3"/>
        <v>9.7357342419613652E-3</v>
      </c>
      <c r="M36" s="20">
        <f t="shared" si="4"/>
        <v>6.2176527387894686E-3</v>
      </c>
      <c r="N36" s="17">
        <f t="shared" si="5"/>
        <v>4583192</v>
      </c>
      <c r="O36" s="20">
        <v>16</v>
      </c>
      <c r="P36" s="21">
        <v>79976742</v>
      </c>
      <c r="Q36" s="21">
        <v>2499273.1875</v>
      </c>
      <c r="R36" s="21">
        <v>39105.5</v>
      </c>
      <c r="S36" s="22">
        <v>6654856</v>
      </c>
      <c r="T36" s="22">
        <v>3243856</v>
      </c>
      <c r="U36" s="22">
        <v>1339336</v>
      </c>
      <c r="V36" s="22">
        <v>2071664</v>
      </c>
      <c r="W36" s="23">
        <v>74.938500000000019</v>
      </c>
      <c r="X36" s="23">
        <v>77.355887499999994</v>
      </c>
      <c r="Y36" s="23">
        <v>34.0428</v>
      </c>
      <c r="Z36" s="23">
        <v>42.958225000000013</v>
      </c>
      <c r="AA36" s="23">
        <v>44.998650000000012</v>
      </c>
      <c r="AB36" s="24">
        <v>3058.14</v>
      </c>
      <c r="AC36" s="24">
        <v>28595.9</v>
      </c>
      <c r="AD36" s="24">
        <v>53.223999999999997</v>
      </c>
      <c r="AE36" s="24">
        <v>36.747999999999998</v>
      </c>
      <c r="AG36" s="19">
        <f t="shared" si="6"/>
        <v>5.2868325</v>
      </c>
      <c r="AH36" s="20">
        <f t="shared" si="7"/>
        <v>1.6925106811733266E-2</v>
      </c>
      <c r="AI36" s="20">
        <f t="shared" si="8"/>
        <v>1.1808997459709926E-2</v>
      </c>
      <c r="AJ36" s="20">
        <f t="shared" si="9"/>
        <v>8.2273607591717545E-3</v>
      </c>
      <c r="AK36" s="20">
        <f t="shared" si="10"/>
        <v>5.1161093520233391E-3</v>
      </c>
      <c r="AL36" s="17">
        <f t="shared" si="11"/>
        <v>3934648</v>
      </c>
      <c r="AM36" s="20">
        <v>16</v>
      </c>
      <c r="AN36" s="21">
        <v>56357681</v>
      </c>
      <c r="AO36" s="21">
        <v>1761177.53125</v>
      </c>
      <c r="AP36" s="21">
        <v>26679.25</v>
      </c>
      <c r="AQ36" s="22">
        <v>5639288</v>
      </c>
      <c r="AR36" s="22">
        <v>2741280</v>
      </c>
      <c r="AS36" s="22">
        <v>1193368</v>
      </c>
      <c r="AT36" s="22">
        <v>1704640</v>
      </c>
      <c r="AU36" s="23">
        <v>71.784191000000007</v>
      </c>
      <c r="AV36" s="23">
        <v>76.028913000000003</v>
      </c>
      <c r="AW36" s="23">
        <v>32.646965999999999</v>
      </c>
      <c r="AX36" s="23">
        <v>42.490240999999997</v>
      </c>
      <c r="AY36" s="23">
        <v>44.041758999999999</v>
      </c>
      <c r="AZ36" s="24">
        <v>3535.81</v>
      </c>
      <c r="BA36" s="24">
        <v>18291.3</v>
      </c>
      <c r="BB36" s="24">
        <v>35.262999999999998</v>
      </c>
      <c r="BC36" s="24">
        <v>77.375</v>
      </c>
      <c r="BE36" s="49">
        <f t="shared" si="12"/>
        <v>0.85849512741338352</v>
      </c>
      <c r="BF36" s="25">
        <f t="shared" si="13"/>
        <v>-4.9821928006306762E-4</v>
      </c>
      <c r="BG36" s="25">
        <f t="shared" si="14"/>
        <v>9.0218061976211628E-3</v>
      </c>
      <c r="BH36" s="25"/>
      <c r="BJ36" s="49"/>
      <c r="BK36" s="49"/>
      <c r="BL36" s="49"/>
      <c r="BM36" s="49"/>
      <c r="BN36" s="49"/>
      <c r="BP36" s="49"/>
      <c r="BQ36" s="49"/>
      <c r="BR36" s="49"/>
      <c r="BS36" s="49"/>
      <c r="BT36" s="49"/>
      <c r="BV36" s="53">
        <f t="shared" si="16"/>
        <v>-23619061</v>
      </c>
      <c r="BW36" s="53">
        <f t="shared" si="16"/>
        <v>-738095.65625</v>
      </c>
      <c r="BX36" s="53">
        <f t="shared" si="16"/>
        <v>-12426.25</v>
      </c>
      <c r="BY36" s="53">
        <f t="shared" si="16"/>
        <v>-1015568</v>
      </c>
      <c r="BZ36" s="53">
        <f t="shared" si="16"/>
        <v>-502576</v>
      </c>
      <c r="CA36" s="53">
        <f t="shared" si="16"/>
        <v>-145968</v>
      </c>
      <c r="CB36" s="53">
        <f t="shared" si="16"/>
        <v>-367024</v>
      </c>
      <c r="CC36" s="53">
        <f t="shared" si="16"/>
        <v>-3.154309000000012</v>
      </c>
      <c r="CD36" s="53">
        <f t="shared" si="16"/>
        <v>-1.3269744999999915</v>
      </c>
      <c r="CE36" s="53">
        <f t="shared" si="16"/>
        <v>-1.3958340000000007</v>
      </c>
      <c r="CF36" s="53">
        <f t="shared" si="16"/>
        <v>-0.4679840000000155</v>
      </c>
      <c r="CG36" s="53">
        <f t="shared" si="16"/>
        <v>-0.95689100000001304</v>
      </c>
      <c r="CJ36" t="s">
        <v>589</v>
      </c>
    </row>
    <row r="37" spans="1:88" outlineLevel="1" x14ac:dyDescent="0.2">
      <c r="A37" s="52"/>
      <c r="B37" s="52" t="s">
        <v>82</v>
      </c>
      <c r="C37" s="9" t="s">
        <v>235</v>
      </c>
      <c r="D37" s="52">
        <v>333190689</v>
      </c>
      <c r="E37" s="9">
        <v>11</v>
      </c>
      <c r="F37" s="9">
        <v>32</v>
      </c>
      <c r="G37" s="9">
        <v>30</v>
      </c>
      <c r="I37" s="10">
        <f t="shared" si="0"/>
        <v>8.9079599999999992</v>
      </c>
      <c r="J37" s="11">
        <f t="shared" si="1"/>
        <v>2.8517675654495856E-2</v>
      </c>
      <c r="K37" s="11">
        <f t="shared" si="2"/>
        <v>1.7446345867125956E-2</v>
      </c>
      <c r="L37" s="11">
        <f t="shared" si="3"/>
        <v>1.3426617692789128E-2</v>
      </c>
      <c r="M37" s="11">
        <f t="shared" si="4"/>
        <v>1.1071329787369898E-2</v>
      </c>
      <c r="N37" s="52">
        <f t="shared" si="5"/>
        <v>5812960</v>
      </c>
      <c r="O37" s="11">
        <v>16</v>
      </c>
      <c r="P37" s="12">
        <v>81787481</v>
      </c>
      <c r="Q37" s="12">
        <v>2555858.78125</v>
      </c>
      <c r="R37" s="12">
        <v>42911.78125</v>
      </c>
      <c r="S37" s="13">
        <v>9501824</v>
      </c>
      <c r="T37" s="13">
        <v>4473624</v>
      </c>
      <c r="U37" s="13">
        <v>1339336</v>
      </c>
      <c r="V37" s="13">
        <v>3688864</v>
      </c>
      <c r="W37" s="14">
        <v>76.246068749999978</v>
      </c>
      <c r="X37" s="14">
        <v>78.937634374999988</v>
      </c>
      <c r="Y37" s="14">
        <v>36.130121875</v>
      </c>
      <c r="Z37" s="14">
        <v>43.529096874999993</v>
      </c>
      <c r="AA37" s="14">
        <v>46.101628125000012</v>
      </c>
      <c r="AB37" s="15">
        <v>2962.69</v>
      </c>
      <c r="AC37" s="15">
        <v>27814.799999999999</v>
      </c>
      <c r="AD37" s="15">
        <v>53.636000000000003</v>
      </c>
      <c r="AE37" s="15">
        <v>39.192</v>
      </c>
      <c r="AG37" s="10">
        <f t="shared" si="6"/>
        <v>7.5229575000000004</v>
      </c>
      <c r="AH37" s="11">
        <f t="shared" si="7"/>
        <v>2.4083770240050137E-2</v>
      </c>
      <c r="AI37" s="11">
        <f t="shared" si="8"/>
        <v>1.5039579932559281E-2</v>
      </c>
      <c r="AJ37" s="11">
        <f t="shared" si="9"/>
        <v>1.1457943232021109E-2</v>
      </c>
      <c r="AK37" s="11">
        <f t="shared" si="10"/>
        <v>9.0441903074908563E-3</v>
      </c>
      <c r="AL37" s="52">
        <f t="shared" si="11"/>
        <v>5011048</v>
      </c>
      <c r="AM37" s="11">
        <v>16</v>
      </c>
      <c r="AN37" s="12">
        <v>57663245</v>
      </c>
      <c r="AO37" s="12">
        <v>1801976.40625</v>
      </c>
      <c r="AP37" s="12">
        <v>28756.875</v>
      </c>
      <c r="AQ37" s="13">
        <v>8024488</v>
      </c>
      <c r="AR37" s="13">
        <v>3817680</v>
      </c>
      <c r="AS37" s="13">
        <v>1193368</v>
      </c>
      <c r="AT37" s="13">
        <v>3013440</v>
      </c>
      <c r="AU37" s="14">
        <v>72.619540999999998</v>
      </c>
      <c r="AV37" s="14">
        <v>77.799041000000003</v>
      </c>
      <c r="AW37" s="14">
        <v>34.735097000000003</v>
      </c>
      <c r="AX37" s="14">
        <v>43.154144000000002</v>
      </c>
      <c r="AY37" s="14">
        <v>45.310552999999999</v>
      </c>
      <c r="AZ37" s="15">
        <v>3043.32</v>
      </c>
      <c r="BA37" s="15">
        <v>14472</v>
      </c>
      <c r="BB37" s="15">
        <v>27.515000000000001</v>
      </c>
      <c r="BC37" s="15">
        <v>54.832000000000001</v>
      </c>
      <c r="BE37" s="50">
        <f t="shared" si="12"/>
        <v>0.86204756268751215</v>
      </c>
      <c r="BF37" s="16">
        <f t="shared" si="13"/>
        <v>-8.3105527654887823E-4</v>
      </c>
      <c r="BG37" s="16">
        <f t="shared" si="14"/>
        <v>1.2696432976838312E-2</v>
      </c>
      <c r="BH37" s="16"/>
      <c r="BJ37" s="50"/>
      <c r="BK37" s="50"/>
      <c r="BL37" s="50"/>
      <c r="BM37" s="50"/>
      <c r="BN37" s="50"/>
      <c r="BP37" s="50"/>
      <c r="BQ37" s="50"/>
      <c r="BR37" s="50"/>
      <c r="BS37" s="50"/>
      <c r="BT37" s="50"/>
      <c r="BV37" s="53">
        <f t="shared" si="16"/>
        <v>-24124236</v>
      </c>
      <c r="BW37" s="53">
        <f t="shared" si="16"/>
        <v>-753882.375</v>
      </c>
      <c r="BX37" s="53">
        <f t="shared" si="16"/>
        <v>-14154.90625</v>
      </c>
      <c r="BY37" s="53">
        <f t="shared" si="16"/>
        <v>-1477336</v>
      </c>
      <c r="BZ37" s="53">
        <f t="shared" si="16"/>
        <v>-655944</v>
      </c>
      <c r="CA37" s="53">
        <f t="shared" si="16"/>
        <v>-145968</v>
      </c>
      <c r="CB37" s="53">
        <f t="shared" si="16"/>
        <v>-675424</v>
      </c>
      <c r="CC37" s="53">
        <f t="shared" si="16"/>
        <v>-3.6265277499999797</v>
      </c>
      <c r="CD37" s="53">
        <f t="shared" si="16"/>
        <v>-1.138593374999985</v>
      </c>
      <c r="CE37" s="53">
        <f t="shared" si="16"/>
        <v>-1.3950248749999972</v>
      </c>
      <c r="CF37" s="53">
        <f t="shared" si="16"/>
        <v>-0.37495287499999108</v>
      </c>
      <c r="CG37" s="53">
        <f t="shared" si="16"/>
        <v>-0.7910751250000132</v>
      </c>
      <c r="CJ37" t="s">
        <v>589</v>
      </c>
    </row>
    <row r="38" spans="1:88" outlineLevel="1" x14ac:dyDescent="0.2">
      <c r="A38" s="17"/>
      <c r="B38" s="17" t="s">
        <v>82</v>
      </c>
      <c r="C38" s="18" t="s">
        <v>236</v>
      </c>
      <c r="D38" s="17">
        <v>333190689</v>
      </c>
      <c r="E38" s="18">
        <v>11</v>
      </c>
      <c r="F38" s="18">
        <v>32</v>
      </c>
      <c r="G38" s="18">
        <v>30</v>
      </c>
      <c r="I38" s="19">
        <f t="shared" si="0"/>
        <v>14.434597500000001</v>
      </c>
      <c r="J38" s="20">
        <f t="shared" si="1"/>
        <v>4.6210486992330088E-2</v>
      </c>
      <c r="K38" s="20">
        <f t="shared" si="2"/>
        <v>2.3715596686436816E-2</v>
      </c>
      <c r="L38" s="20">
        <f t="shared" si="3"/>
        <v>1.9695868512099989E-2</v>
      </c>
      <c r="M38" s="20">
        <f t="shared" si="4"/>
        <v>2.2494890305893273E-2</v>
      </c>
      <c r="N38" s="17">
        <f t="shared" si="5"/>
        <v>7901816</v>
      </c>
      <c r="O38" s="20">
        <v>16</v>
      </c>
      <c r="P38" s="21">
        <v>83859347</v>
      </c>
      <c r="Q38" s="21">
        <v>2620604.59375</v>
      </c>
      <c r="R38" s="21">
        <v>48103.65625</v>
      </c>
      <c r="S38" s="22">
        <v>15396904</v>
      </c>
      <c r="T38" s="22">
        <v>6562480</v>
      </c>
      <c r="U38" s="22">
        <v>1339336</v>
      </c>
      <c r="V38" s="22">
        <v>7495088</v>
      </c>
      <c r="W38" s="23">
        <v>77.415709375000006</v>
      </c>
      <c r="X38" s="23">
        <v>80.131399999999999</v>
      </c>
      <c r="Y38" s="23">
        <v>38.085528125000003</v>
      </c>
      <c r="Z38" s="23">
        <v>44.206915625000008</v>
      </c>
      <c r="AA38" s="23">
        <v>47.257871874999999</v>
      </c>
      <c r="AB38" s="24">
        <v>3191.14</v>
      </c>
      <c r="AC38" s="24">
        <v>33916.300000000003</v>
      </c>
      <c r="AD38" s="24">
        <v>57.96</v>
      </c>
      <c r="AE38" s="24">
        <v>45.14</v>
      </c>
      <c r="AG38" s="19">
        <f t="shared" si="6"/>
        <v>12.0462525</v>
      </c>
      <c r="AH38" s="20">
        <f t="shared" si="7"/>
        <v>3.8564511026897272E-2</v>
      </c>
      <c r="AI38" s="20">
        <f t="shared" si="8"/>
        <v>2.0546120362925267E-2</v>
      </c>
      <c r="AJ38" s="20">
        <f t="shared" si="9"/>
        <v>1.6964483662387096E-2</v>
      </c>
      <c r="AK38" s="20">
        <f t="shared" si="10"/>
        <v>1.8018390663972005E-2</v>
      </c>
      <c r="AL38" s="17">
        <f t="shared" si="11"/>
        <v>6845776</v>
      </c>
      <c r="AM38" s="20">
        <v>16</v>
      </c>
      <c r="AN38" s="21">
        <v>59421559</v>
      </c>
      <c r="AO38" s="21">
        <v>1856923.71875</v>
      </c>
      <c r="AP38" s="21">
        <v>32637.6875</v>
      </c>
      <c r="AQ38" s="22">
        <v>12849336</v>
      </c>
      <c r="AR38" s="22">
        <v>5652408</v>
      </c>
      <c r="AS38" s="22">
        <v>1193368</v>
      </c>
      <c r="AT38" s="22">
        <v>6003560</v>
      </c>
      <c r="AU38" s="23">
        <v>73.219049999999996</v>
      </c>
      <c r="AV38" s="23">
        <v>79.054044000000005</v>
      </c>
      <c r="AW38" s="23">
        <v>36.549069000000003</v>
      </c>
      <c r="AX38" s="23">
        <v>43.765599999999999</v>
      </c>
      <c r="AY38" s="23">
        <v>46.593116000000002</v>
      </c>
      <c r="AZ38" s="24">
        <v>3640.17</v>
      </c>
      <c r="BA38" s="24">
        <v>20850.8</v>
      </c>
      <c r="BB38" s="24">
        <v>36.156999999999996</v>
      </c>
      <c r="BC38" s="24">
        <v>80.984999999999999</v>
      </c>
      <c r="BE38" s="49">
        <f t="shared" si="12"/>
        <v>0.86635477211820677</v>
      </c>
      <c r="BF38" s="25">
        <f t="shared" si="13"/>
        <v>-7.7972493302758822E-4</v>
      </c>
      <c r="BG38" s="25">
        <f t="shared" si="14"/>
        <v>1.956463416449028E-2</v>
      </c>
      <c r="BH38" s="25"/>
      <c r="BJ38" s="49"/>
      <c r="BK38" s="49"/>
      <c r="BL38" s="49"/>
      <c r="BM38" s="49"/>
      <c r="BN38" s="49"/>
      <c r="BP38" s="49"/>
      <c r="BQ38" s="49"/>
      <c r="BR38" s="49"/>
      <c r="BS38" s="49"/>
      <c r="BT38" s="49"/>
      <c r="BV38" s="53">
        <f t="shared" si="16"/>
        <v>-24437788</v>
      </c>
      <c r="BW38" s="53">
        <f t="shared" si="16"/>
        <v>-763680.875</v>
      </c>
      <c r="BX38" s="53">
        <f t="shared" si="16"/>
        <v>-15465.96875</v>
      </c>
      <c r="BY38" s="53">
        <f t="shared" si="16"/>
        <v>-2547568</v>
      </c>
      <c r="BZ38" s="53">
        <f t="shared" si="16"/>
        <v>-910072</v>
      </c>
      <c r="CA38" s="53">
        <f t="shared" si="16"/>
        <v>-145968</v>
      </c>
      <c r="CB38" s="53">
        <f t="shared" si="16"/>
        <v>-1491528</v>
      </c>
      <c r="CC38" s="53">
        <f t="shared" si="16"/>
        <v>-4.1966593750000101</v>
      </c>
      <c r="CD38" s="53">
        <f t="shared" si="16"/>
        <v>-1.0773559999999947</v>
      </c>
      <c r="CE38" s="53">
        <f t="shared" si="16"/>
        <v>-1.5364591250000004</v>
      </c>
      <c r="CF38" s="53">
        <f t="shared" si="16"/>
        <v>-0.44131562500000854</v>
      </c>
      <c r="CG38" s="53">
        <f t="shared" si="16"/>
        <v>-0.66475587499999733</v>
      </c>
      <c r="CJ38" t="s">
        <v>589</v>
      </c>
    </row>
    <row r="39" spans="1:88" ht="16" outlineLevel="1" thickBot="1" x14ac:dyDescent="0.25">
      <c r="A39" s="26"/>
      <c r="B39" s="26" t="s">
        <v>82</v>
      </c>
      <c r="C39" s="27" t="s">
        <v>237</v>
      </c>
      <c r="D39" s="26">
        <v>333190689</v>
      </c>
      <c r="E39" s="27">
        <v>11</v>
      </c>
      <c r="F39" s="27">
        <v>32</v>
      </c>
      <c r="G39" s="27">
        <v>30</v>
      </c>
      <c r="I39" s="28">
        <f t="shared" si="0"/>
        <v>28.660717500000001</v>
      </c>
      <c r="J39" s="29">
        <f t="shared" si="1"/>
        <v>9.175356037635253E-2</v>
      </c>
      <c r="K39" s="29">
        <f t="shared" si="2"/>
        <v>3.8473536095722051E-2</v>
      </c>
      <c r="L39" s="29">
        <f t="shared" si="3"/>
        <v>3.036807550165365E-2</v>
      </c>
      <c r="M39" s="29">
        <f t="shared" si="4"/>
        <v>5.3280024280630486E-2</v>
      </c>
      <c r="N39" s="26">
        <f t="shared" si="5"/>
        <v>12819024</v>
      </c>
      <c r="O39" s="29">
        <v>16</v>
      </c>
      <c r="P39" s="30">
        <v>82067544</v>
      </c>
      <c r="Q39" s="30">
        <v>2564610.75</v>
      </c>
      <c r="R39" s="30">
        <v>19264.46875</v>
      </c>
      <c r="S39" s="31">
        <v>30571432</v>
      </c>
      <c r="T39" s="31">
        <v>10118360</v>
      </c>
      <c r="U39" s="31">
        <v>2700664</v>
      </c>
      <c r="V39" s="31">
        <v>17752408</v>
      </c>
      <c r="W39" s="32">
        <v>78.311515624999998</v>
      </c>
      <c r="X39" s="32">
        <v>81.848193750000021</v>
      </c>
      <c r="Y39" s="32">
        <v>40.156068750000003</v>
      </c>
      <c r="Z39" s="32">
        <v>45.115956249999989</v>
      </c>
      <c r="AA39" s="32">
        <v>48.630465624999999</v>
      </c>
      <c r="AB39" s="33">
        <v>2964.08</v>
      </c>
      <c r="AC39" s="33">
        <v>31215.5</v>
      </c>
      <c r="AD39" s="33">
        <v>52.031999999999996</v>
      </c>
      <c r="AE39" s="33">
        <v>51.76</v>
      </c>
      <c r="AG39" s="28">
        <f t="shared" si="6"/>
        <v>23.264227500000001</v>
      </c>
      <c r="AH39" s="29">
        <f t="shared" si="7"/>
        <v>7.4477399336930455E-2</v>
      </c>
      <c r="AI39" s="29">
        <f t="shared" si="8"/>
        <v>3.3246931459120097E-2</v>
      </c>
      <c r="AJ39" s="29">
        <f t="shared" si="9"/>
        <v>2.6158858238682654E-2</v>
      </c>
      <c r="AK39" s="29">
        <f t="shared" si="10"/>
        <v>4.1230467877810352E-2</v>
      </c>
      <c r="AL39" s="26">
        <f t="shared" si="11"/>
        <v>11077568</v>
      </c>
      <c r="AM39" s="29">
        <v>16</v>
      </c>
      <c r="AN39" s="30">
        <v>57771925</v>
      </c>
      <c r="AO39" s="30">
        <v>1805372.65625</v>
      </c>
      <c r="AP39" s="30">
        <v>13206.96875</v>
      </c>
      <c r="AQ39" s="31">
        <v>24815176</v>
      </c>
      <c r="AR39" s="31">
        <v>8715888</v>
      </c>
      <c r="AS39" s="31">
        <v>2361680</v>
      </c>
      <c r="AT39" s="31">
        <v>13737608</v>
      </c>
      <c r="AU39" s="32">
        <v>73.543716000000003</v>
      </c>
      <c r="AV39" s="32">
        <v>80.238263000000003</v>
      </c>
      <c r="AW39" s="32">
        <v>38.044547000000001</v>
      </c>
      <c r="AX39" s="32">
        <v>44.629871999999999</v>
      </c>
      <c r="AY39" s="32">
        <v>47.948072000000003</v>
      </c>
      <c r="AZ39" s="33">
        <v>3200.18</v>
      </c>
      <c r="BA39" s="33">
        <v>16667.5</v>
      </c>
      <c r="BB39" s="33">
        <v>28.311</v>
      </c>
      <c r="BC39" s="33">
        <v>63.411000000000001</v>
      </c>
      <c r="BE39" s="34">
        <f t="shared" si="12"/>
        <v>0.86415065608739017</v>
      </c>
      <c r="BF39" s="35">
        <f t="shared" si="13"/>
        <v>-1.9628417994833631E-4</v>
      </c>
      <c r="BG39" s="35">
        <f t="shared" si="14"/>
        <v>2.7089137088376181E-2</v>
      </c>
      <c r="BH39" s="35"/>
      <c r="BJ39" s="34"/>
      <c r="BK39" s="34"/>
      <c r="BL39" s="34"/>
      <c r="BM39" s="34"/>
      <c r="BN39" s="34"/>
      <c r="BP39" s="34"/>
      <c r="BQ39" s="34"/>
      <c r="BR39" s="34"/>
      <c r="BS39" s="34"/>
      <c r="BT39" s="34"/>
      <c r="BV39" s="53">
        <f t="shared" si="16"/>
        <v>-24295619</v>
      </c>
      <c r="BW39" s="53">
        <f t="shared" si="16"/>
        <v>-759238.09375</v>
      </c>
      <c r="BX39" s="53">
        <f t="shared" si="16"/>
        <v>-6057.5</v>
      </c>
      <c r="BY39" s="53">
        <f t="shared" si="16"/>
        <v>-5756256</v>
      </c>
      <c r="BZ39" s="53">
        <f t="shared" si="16"/>
        <v>-1402472</v>
      </c>
      <c r="CA39" s="53">
        <f t="shared" si="16"/>
        <v>-338984</v>
      </c>
      <c r="CB39" s="53">
        <f t="shared" si="16"/>
        <v>-4014800</v>
      </c>
      <c r="CC39" s="53">
        <f t="shared" si="16"/>
        <v>-4.767799624999995</v>
      </c>
      <c r="CD39" s="53">
        <f t="shared" si="16"/>
        <v>-1.609930750000018</v>
      </c>
      <c r="CE39" s="53">
        <f t="shared" si="16"/>
        <v>-2.1115217500000014</v>
      </c>
      <c r="CF39" s="53">
        <f t="shared" si="16"/>
        <v>-0.48608424999999045</v>
      </c>
      <c r="CG39" s="53">
        <f t="shared" si="16"/>
        <v>-0.68239362499999601</v>
      </c>
      <c r="CJ39" t="s">
        <v>589</v>
      </c>
    </row>
    <row r="40" spans="1:88" ht="16" x14ac:dyDescent="0.2">
      <c r="B40" s="46" t="s">
        <v>16</v>
      </c>
      <c r="J40" s="47">
        <f>AVERAGE(J5:J24)</f>
        <v>1.7870143642272428E-2</v>
      </c>
      <c r="K40" s="47">
        <f>AVERAGE(K5:K24)</f>
        <v>9.5321793276372524E-3</v>
      </c>
      <c r="L40" s="47">
        <f>AVERAGE(L5:L24)</f>
        <v>6.9516832599163803E-3</v>
      </c>
      <c r="M40" s="47">
        <f>AVERAGE(M5:M24)</f>
        <v>8.3379643146351788E-3</v>
      </c>
      <c r="AH40" s="47">
        <f>AVERAGE(AH5:AH24)</f>
        <v>1.5059371345443117E-2</v>
      </c>
      <c r="AI40" s="47">
        <f>AVERAGE(AI5:AI24)</f>
        <v>7.9937691380639921E-3</v>
      </c>
      <c r="AJ40" s="47">
        <f>AVERAGE(AJ5:AJ24)</f>
        <v>5.8247693504087511E-3</v>
      </c>
      <c r="AK40" s="47">
        <f>AVERAGE(AK5:AK24)</f>
        <v>7.0656022073791224E-3</v>
      </c>
      <c r="BE40" s="51">
        <f t="shared" si="12"/>
        <v>0.83860876545693486</v>
      </c>
      <c r="BH40" s="55">
        <f>AVERAGE(BH5:BH24)</f>
        <v>1.363166595905102E-3</v>
      </c>
      <c r="BJ40" s="51">
        <f>AVERAGE(BJ5:BJ24)</f>
        <v>1.0225088709183201</v>
      </c>
      <c r="BK40" s="51">
        <f>AVERAGE(BK5:BK24)</f>
        <v>0.25298327925422065</v>
      </c>
      <c r="BL40" s="51">
        <f>AVERAGE(BL5:BL24)</f>
        <v>0.39872896662195351</v>
      </c>
      <c r="BM40" s="51">
        <f>AVERAGE(BM5:BM24)</f>
        <v>0.34294592768264404</v>
      </c>
      <c r="BN40" s="51">
        <f>AVERAGE(BN5:BN24)</f>
        <v>0.54478544741521895</v>
      </c>
      <c r="BP40" s="51">
        <f>AVERAGE(BP5:BP24)</f>
        <v>1.9044405740886421</v>
      </c>
      <c r="BQ40" s="51">
        <f>AVERAGE(BQ5:BQ24)</f>
        <v>0.49824598080936833</v>
      </c>
      <c r="BR40" s="51">
        <f>AVERAGE(BR5:BR24)</f>
        <v>0.16059355440224254</v>
      </c>
      <c r="BS40" s="51">
        <f>AVERAGE(BS5:BS24)</f>
        <v>0.13668533890711865</v>
      </c>
      <c r="BT40" s="51">
        <f>AVERAGE(BT5:BT24)</f>
        <v>0.23768927437457554</v>
      </c>
    </row>
    <row r="41" spans="1:88" ht="16" x14ac:dyDescent="0.2">
      <c r="B41" s="46" t="s">
        <v>17</v>
      </c>
      <c r="J41" s="47">
        <f>AVERAGE(J25:J29)</f>
        <v>3.8315025133065006E-2</v>
      </c>
      <c r="K41" s="47">
        <f>AVERAGE(K25:K29)</f>
        <v>1.1417285892349041E-2</v>
      </c>
      <c r="L41" s="47">
        <f>AVERAGE(L25:L29)</f>
        <v>8.7672756735900897E-3</v>
      </c>
      <c r="M41" s="47">
        <f>AVERAGE(M25:M29)</f>
        <v>2.6897739240715968E-2</v>
      </c>
      <c r="AH41" s="47">
        <f>AVERAGE(AH25:AH29)</f>
        <v>2.7280878177379009E-2</v>
      </c>
      <c r="AI41" s="47">
        <f>AVERAGE(AI25:AI29)</f>
        <v>9.0765816097449527E-3</v>
      </c>
      <c r="AJ41" s="47">
        <f>AVERAGE(AJ25:AJ29)</f>
        <v>6.8865541803857346E-3</v>
      </c>
      <c r="AK41" s="47">
        <f>AVERAGE(AK25:AK29)</f>
        <v>1.8204296567634053E-2</v>
      </c>
      <c r="BE41" s="51">
        <f t="shared" si="12"/>
        <v>0.79498592706935345</v>
      </c>
      <c r="BH41" s="55">
        <f>AVERAGE(BH25:BH29)</f>
        <v>3.2932762117284575E-2</v>
      </c>
      <c r="BJ41" s="51">
        <f>AVERAGE(BJ25:BJ29)</f>
        <v>1</v>
      </c>
      <c r="BK41" s="51">
        <f>AVERAGE(BK25:BK29)</f>
        <v>0.31214581219054893</v>
      </c>
      <c r="BL41" s="51">
        <f>AVERAGE(BL25:BL29)</f>
        <v>0.81267043644488135</v>
      </c>
      <c r="BM41" s="51">
        <f>AVERAGE(BM25:BM29)</f>
        <v>1.178245171193987</v>
      </c>
      <c r="BN41" s="51">
        <f>AVERAGE(BN25:BN29)</f>
        <v>1.7154909934391531</v>
      </c>
      <c r="BP41" s="51">
        <f>AVERAGE(BP25:BP29)</f>
        <v>1</v>
      </c>
      <c r="BQ41" s="51">
        <f>AVERAGE(BQ25:BQ29)</f>
        <v>0.86034079605107294</v>
      </c>
      <c r="BR41" s="51">
        <f>AVERAGE(BR25:BR29)</f>
        <v>0.48912794502010448</v>
      </c>
      <c r="BS41" s="51">
        <f>AVERAGE(BS25:BS29)</f>
        <v>0.72117946905304953</v>
      </c>
      <c r="BT41" s="51">
        <f>AVERAGE(BT25:BT29)</f>
        <v>1.0086815096357618</v>
      </c>
    </row>
    <row r="42" spans="1:88" ht="16" x14ac:dyDescent="0.2">
      <c r="B42" s="46" t="s">
        <v>18</v>
      </c>
      <c r="J42" s="47">
        <f>AVERAGE(J30:J39)</f>
        <v>3.5053629428106393E-2</v>
      </c>
      <c r="K42" s="47">
        <f>AVERAGE(K30:K39)</f>
        <v>1.8600416961661072E-2</v>
      </c>
      <c r="L42" s="47">
        <f>AVERAGE(L30:L39)</f>
        <v>1.4301451090252094E-2</v>
      </c>
      <c r="M42" s="47">
        <f>AVERAGE(M30:M39)</f>
        <v>1.6453212466445322E-2</v>
      </c>
      <c r="AH42" s="47">
        <f>AVERAGE(AH30:AH39)</f>
        <v>2.8740718574517765E-2</v>
      </c>
      <c r="AI42" s="47">
        <f>AVERAGE(AI30:AI39)</f>
        <v>1.5714422558320722E-2</v>
      </c>
      <c r="AJ42" s="47">
        <f>AVERAGE(AJ30:AJ39)</f>
        <v>1.2092689282311681E-2</v>
      </c>
      <c r="AK42" s="47">
        <f>AVERAGE(AK30:AK39)</f>
        <v>1.302629601619704E-2</v>
      </c>
      <c r="BE42" s="51">
        <f t="shared" si="12"/>
        <v>0.84484248878458357</v>
      </c>
      <c r="BH42" s="55">
        <f>AVERAGE(BH30:BH39)</f>
        <v>1.3113749180330703E-2</v>
      </c>
      <c r="BJ42" s="51">
        <f>AVERAGE(BJ30:BJ39)</f>
        <v>1.0968160927137671</v>
      </c>
      <c r="BK42" s="51">
        <f>AVERAGE(BK30:BK39)</f>
        <v>5.9768621108037823E-2</v>
      </c>
      <c r="BL42" s="51">
        <f>AVERAGE(BL30:BL39)</f>
        <v>0.20351486293416898</v>
      </c>
      <c r="BM42" s="51">
        <f>AVERAGE(BM30:BM39)</f>
        <v>0.23786677678421164</v>
      </c>
      <c r="BN42" s="51">
        <f>AVERAGE(BN30:BN39)</f>
        <v>0.115026664921144</v>
      </c>
      <c r="BP42" s="51">
        <f>AVERAGE(BP30:BP39)</f>
        <v>1.6518742751523938</v>
      </c>
      <c r="BQ42" s="51">
        <f>AVERAGE(BQ30:BQ39)</f>
        <v>0.15984468236124838</v>
      </c>
      <c r="BR42" s="51">
        <f>AVERAGE(BR30:BR39)</f>
        <v>8.0460819618406676E-2</v>
      </c>
      <c r="BS42" s="51">
        <f>AVERAGE(BS30:BS39)</f>
        <v>0.10125202399648192</v>
      </c>
      <c r="BT42" s="51">
        <f>AVERAGE(BT30:BT39)</f>
        <v>2.7579635988212725E-2</v>
      </c>
    </row>
    <row r="43" spans="1:88" ht="16" x14ac:dyDescent="0.2">
      <c r="B43" s="46" t="s">
        <v>19</v>
      </c>
      <c r="J43" s="47">
        <f>AVERAGE(J5:J39)</f>
        <v>2.5700408365481077E-2</v>
      </c>
      <c r="K43" s="47">
        <f>AVERAGE(K5:K39)</f>
        <v>1.2392405303745741E-2</v>
      </c>
      <c r="L43" s="47">
        <f>AVERAGE(L5:L39)</f>
        <v>9.3109872705371133E-3</v>
      </c>
      <c r="M43" s="47">
        <f>AVERAGE(M5:M39)</f>
        <v>1.3308003061735334E-2</v>
      </c>
      <c r="AH43" s="47">
        <f>AVERAGE(AH5:AH39)</f>
        <v>2.0714257244026715E-2</v>
      </c>
      <c r="AI43" s="47">
        <f>AVERAGE(AI5:AI39)</f>
        <v>1.0354357611234625E-2</v>
      </c>
      <c r="AJ43" s="47">
        <f>AVERAGE(AJ5:AJ39)</f>
        <v>7.7672871638063004E-3</v>
      </c>
      <c r="AK43" s="47">
        <f>AVERAGE(AK5:AK39)</f>
        <v>1.0359899632792092E-2</v>
      </c>
      <c r="BE43" s="51">
        <f t="shared" si="12"/>
        <v>0.8355405877586094</v>
      </c>
      <c r="BH43" s="55">
        <f>AVERAGE(BH5:BH39)</f>
        <v>9.2304181230809124E-3</v>
      </c>
      <c r="BJ43" s="51">
        <f>AVERAGE(BJ5:BJ39)</f>
        <v>1.0405239527286878</v>
      </c>
      <c r="BK43" s="51">
        <f>AVERAGE(BK5:BK39)</f>
        <v>0.2062308816319296</v>
      </c>
      <c r="BL43" s="51">
        <f>AVERAGE(BL5:BL39)</f>
        <v>0.4020880041144333</v>
      </c>
      <c r="BM43" s="51">
        <f>AVERAGE(BM5:BM39)</f>
        <v>0.43225177649899804</v>
      </c>
      <c r="BN43" s="51">
        <f>AVERAGE(BN5:BN39)</f>
        <v>0.58924087327747376</v>
      </c>
      <c r="BP43" s="51">
        <f>AVERAGE(BP5:BP39)</f>
        <v>1.7030729780941936</v>
      </c>
      <c r="BQ43" s="51">
        <f>AVERAGE(BQ5:BQ39)</f>
        <v>0.4532877262872918</v>
      </c>
      <c r="BR43" s="51">
        <f>AVERAGE(BR5:BR39)</f>
        <v>0.18463197169512685</v>
      </c>
      <c r="BS43" s="51">
        <f>AVERAGE(BS5:BS39)</f>
        <v>0.21006069609635541</v>
      </c>
      <c r="BT43" s="51">
        <f>AVERAGE(BT5:BT39)</f>
        <v>0.28779969701578423</v>
      </c>
    </row>
    <row r="44" spans="1:88" ht="16" hidden="1" outlineLevel="2" x14ac:dyDescent="0.2">
      <c r="A44" s="46" t="s">
        <v>245</v>
      </c>
      <c r="B44" s="46" t="s">
        <v>246</v>
      </c>
      <c r="AB44" s="48">
        <f>SUM(AB5:AB24,AB25:AB29,AB30:AB39)</f>
        <v>114263.69</v>
      </c>
      <c r="AC44" s="48">
        <f>SUM(AC5:AC24,AC25:AC29,AC30:AC39)</f>
        <v>403877.78</v>
      </c>
      <c r="AD44" s="48">
        <f>SUM(AD5:AD24,AD25:AD29,AD30:AD39)</f>
        <v>845.60400000000016</v>
      </c>
      <c r="AE44" s="48">
        <f>SUM(AE5:AE24,AE25:AE29,AE30:AE39)</f>
        <v>659.41599999999994</v>
      </c>
      <c r="AZ44" s="48">
        <f>SUM(AZ5:AZ24,AZ25:AZ29,AZ30:AZ39)</f>
        <v>123029.07</v>
      </c>
      <c r="BA44" s="48">
        <f>SUM(BA5:BA24,BA25:BA29,BA30:BA39)</f>
        <v>229452.56999999998</v>
      </c>
      <c r="BB44" s="48">
        <f>SUM(BB5:BB24,BB25:BB29,BB30:BB39)</f>
        <v>515.80399999999997</v>
      </c>
      <c r="BC44" s="48">
        <f>SUM(BC5:BC24,BC25:BC29,BC30:BC39)</f>
        <v>982.23099999999999</v>
      </c>
    </row>
    <row r="45" spans="1:88" ht="16" hidden="1" outlineLevel="2" x14ac:dyDescent="0.2">
      <c r="B45" s="46" t="s">
        <v>247</v>
      </c>
      <c r="AZ45" s="55">
        <f>AZ44/AB44</f>
        <v>1.0767118583339992</v>
      </c>
      <c r="BA45" s="55">
        <f>BA44/AC44</f>
        <v>0.56812377744574105</v>
      </c>
      <c r="BB45" s="55">
        <f>BB44/AD44</f>
        <v>0.6099829234488009</v>
      </c>
      <c r="BC45" s="55">
        <f>BC44/AE44</f>
        <v>1.4895468111177164</v>
      </c>
    </row>
    <row r="46" spans="1:88" ht="16" hidden="1" outlineLevel="2" x14ac:dyDescent="0.2">
      <c r="B46" s="46" t="s">
        <v>248</v>
      </c>
      <c r="AB46" s="48">
        <f>GEOMEAN(AB5:AB24,AB25:AB29,AB30:AB39)</f>
        <v>3087.3746394952109</v>
      </c>
      <c r="AC46" s="48">
        <f>GEOMEAN(AC5:AC24,AC25:AC29,AC30:AC39)</f>
        <v>8261.5041431862574</v>
      </c>
      <c r="AD46" s="48">
        <f>GEOMEAN(AD5:AD24,AD25:AD29,AD30:AD39)</f>
        <v>19.2149967787654</v>
      </c>
      <c r="AE46" s="48">
        <f>GEOMEAN(AE5:AE24,AE25:AE29,AE30:AE39)</f>
        <v>14.558757596533441</v>
      </c>
      <c r="AZ46" s="48">
        <f>GEOMEAN(AZ5:AZ24,AZ25:AZ29,AZ30:AZ39)</f>
        <v>3301.4377733326783</v>
      </c>
      <c r="BA46" s="48">
        <f>GEOMEAN(BA5:BA24,BA25:BA29,BA30:BA39)</f>
        <v>5140.633404127223</v>
      </c>
      <c r="BB46" s="48">
        <f>GEOMEAN(BB5:BB24,BB25:BB29,BB30:BB39)</f>
        <v>11.971851364352458</v>
      </c>
      <c r="BC46" s="48">
        <f>GEOMEAN(BC5:BC24,BC25:BC29,BC30:BC39)</f>
        <v>22.732979151994012</v>
      </c>
    </row>
    <row r="47" spans="1:88" ht="16" outlineLevel="2" collapsed="1" x14ac:dyDescent="0.2">
      <c r="B47" s="46" t="s">
        <v>249</v>
      </c>
      <c r="AZ47" s="55">
        <f>AZ46/AB46</f>
        <v>1.06933500427809</v>
      </c>
      <c r="BA47" s="55">
        <f>BA46/AC46</f>
        <v>0.62223940278078804</v>
      </c>
      <c r="BB47" s="55">
        <f>BB46/AD46</f>
        <v>0.62304727407410332</v>
      </c>
      <c r="BC47" s="55">
        <f>BC46/AE46</f>
        <v>1.5614642253132176</v>
      </c>
    </row>
  </sheetData>
  <mergeCells count="48">
    <mergeCell ref="CE2:CG2"/>
    <mergeCell ref="BV2:BV3"/>
    <mergeCell ref="BW2:BW3"/>
    <mergeCell ref="BX2:BX3"/>
    <mergeCell ref="BY2:CB2"/>
    <mergeCell ref="CC2:CD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2019-10-20T09:31:45Z</dcterms:modified>
</cp:coreProperties>
</file>