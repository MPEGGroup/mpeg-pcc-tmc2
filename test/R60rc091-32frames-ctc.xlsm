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r.joshi\Desktop\projects\PCC\Gothenburg-07-19\"/>
    </mc:Choice>
  </mc:AlternateContent>
  <bookViews>
    <workbookView xWindow="240" yWindow="15" windowWidth="16095" windowHeight="9660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P10" i="7"/>
  <c r="BO15" i="7"/>
  <c r="BR25" i="7"/>
  <c r="BR5" i="7"/>
  <c r="BQ15" i="7"/>
  <c r="BM10" i="7"/>
  <c r="BQ10" i="7"/>
  <c r="BS15" i="7"/>
  <c r="BO10" i="7"/>
  <c r="BS5" i="7"/>
  <c r="BL15" i="3"/>
  <c r="BK20" i="3"/>
  <c r="BO15" i="3"/>
  <c r="BK15" i="3"/>
  <c r="BM10" i="3"/>
  <c r="BP25" i="3"/>
  <c r="BQ5" i="3"/>
  <c r="BO20" i="3"/>
  <c r="BP5" i="3"/>
  <c r="BS25" i="3"/>
  <c r="BS5" i="3"/>
  <c r="BO5" i="7"/>
  <c r="BL25" i="7"/>
  <c r="BP15" i="7"/>
  <c r="BQ20" i="7"/>
  <c r="BM25" i="7"/>
  <c r="BK5" i="7"/>
  <c r="BQ5" i="7"/>
  <c r="BL20" i="7"/>
  <c r="BL5" i="7"/>
  <c r="BK15" i="7"/>
  <c r="BP20" i="3"/>
  <c r="BL10" i="3"/>
  <c r="BK25" i="3"/>
  <c r="BP15" i="3"/>
  <c r="BJ15" i="3"/>
  <c r="BO10" i="3"/>
  <c r="BS20" i="3"/>
  <c r="BS15" i="3"/>
  <c r="BO5" i="3"/>
  <c r="BL25" i="3"/>
  <c r="BK10" i="7"/>
  <c r="BR20" i="7"/>
  <c r="BP20" i="7"/>
  <c r="BQ25" i="7"/>
  <c r="BM5" i="7"/>
  <c r="BS20" i="7"/>
  <c r="BO25" i="7"/>
  <c r="BM15" i="7"/>
  <c r="BM20" i="7"/>
  <c r="BR15" i="7"/>
  <c r="BR5" i="3"/>
  <c r="BQ15" i="3"/>
  <c r="BR20" i="3"/>
  <c r="BP10" i="3"/>
  <c r="BM5" i="3"/>
  <c r="BJ10" i="3"/>
  <c r="BM20" i="3"/>
  <c r="BQ20" i="3"/>
  <c r="BR10" i="3"/>
  <c r="BS10" i="3"/>
  <c r="BQ10" i="3"/>
  <c r="BP25" i="7"/>
  <c r="BP5" i="7"/>
  <c r="BS25" i="7"/>
  <c r="BL15" i="7"/>
  <c r="BK20" i="7"/>
  <c r="BR10" i="7"/>
  <c r="BS10" i="7"/>
  <c r="BO20" i="7"/>
  <c r="BK25" i="7"/>
  <c r="BJ25" i="7"/>
  <c r="BL10" i="7"/>
  <c r="BM15" i="3"/>
  <c r="BL20" i="3"/>
  <c r="BO25" i="3"/>
  <c r="BR25" i="3"/>
  <c r="BQ25" i="3"/>
  <c r="BK5" i="3"/>
  <c r="BK10" i="3"/>
  <c r="BL5" i="3"/>
  <c r="BM25" i="3"/>
  <c r="BR15" i="3"/>
  <c r="BB8" i="6" l="1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AH12" i="6" s="1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I5" i="7"/>
  <c r="BI25" i="3"/>
  <c r="BJ5" i="3"/>
  <c r="BJ25" i="3"/>
  <c r="BI15" i="7"/>
  <c r="BJ20" i="3"/>
  <c r="BJ20" i="7"/>
  <c r="BJ10" i="7"/>
  <c r="BI10" i="3"/>
  <c r="BI20" i="3"/>
  <c r="BI15" i="3"/>
  <c r="BI5" i="3"/>
  <c r="BI25" i="7"/>
  <c r="BJ5" i="7"/>
  <c r="BJ15" i="7"/>
  <c r="BI20" i="7"/>
  <c r="BF12" i="5" l="1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<sst xmlns="http://schemas.openxmlformats.org/spreadsheetml/2006/main" count="1410" uniqueCount="553">
  <si>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</si>
  <si>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</si>
  <si>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</si>
  <si>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</si>
  <si>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</si>
  <si>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</si>
  <si>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</si>
  <si>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</si>
  <si>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</si>
  <si>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</si>
  <si>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</si>
  <si>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</si>
  <si>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</si>
  <si>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</si>
  <si>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</si>
  <si>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</si>
  <si>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</si>
  <si>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</si>
  <si>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</si>
  <si>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</si>
  <si>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</si>
  <si>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</si>
  <si>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</si>
  <si>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</si>
  <si>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</si>
  <si>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</si>
  <si>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</si>
  <si>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</si>
  <si>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</si>
  <si>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</si>
  <si>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</si>
  <si>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</si>
  <si>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</si>
  <si>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</si>
  <si>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</si>
  <si>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</si>
  <si>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</si>
  <si>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</si>
  <si>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</si>
  <si>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</si>
  <si>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</si>
  <si>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</si>
  <si>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</si>
  <si>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</si>
  <si>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</si>
  <si>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</si>
  <si>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</si>
  <si>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</si>
  <si>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</si>
  <si>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</si>
  <si>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</si>
  <si>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</si>
  <si>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</si>
  <si>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</si>
  <si>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</si>
  <si>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</si>
  <si>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</si>
  <si>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</si>
  <si>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</si>
  <si>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</si>
  <si>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</si>
  <si>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</si>
  <si>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</si>
  <si>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</si>
  <si>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</si>
  <si>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</si>
  <si>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</si>
  <si>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</si>
  <si>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</si>
  <si>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</si>
  <si>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</si>
  <si>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</si>
  <si>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</si>
  <si>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</si>
  <si>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</si>
  <si>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</si>
  <si>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</si>
  <si>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</si>
  <si>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</si>
  <si>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</si>
  <si>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</si>
  <si>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</si>
  <si>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</si>
  <si>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</si>
  <si>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</si>
  <si>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</si>
  <si>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</si>
  <si>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</si>
  <si>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</si>
  <si>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</si>
  <si>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</si>
  <si>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</si>
  <si>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</si>
  <si>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</si>
  <si>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</si>
  <si>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</si>
  <si>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</si>
  <si>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</si>
  <si>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</si>
  <si>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</si>
  <si>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</si>
  <si>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</si>
  <si>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</si>
  <si>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</si>
  <si>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</si>
  <si>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</si>
  <si>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</si>
  <si>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</si>
  <si>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</si>
  <si>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</si>
  <si>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</si>
  <si>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</si>
  <si>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</si>
  <si>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</si>
  <si>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</si>
  <si>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</si>
  <si>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</si>
  <si>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</si>
  <si>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</si>
  <si>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</si>
  <si>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</si>
  <si>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</si>
  <si>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</si>
  <si>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</si>
  <si>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</si>
  <si>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</si>
  <si>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</si>
  <si>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</si>
  <si>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</si>
  <si>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</si>
  <si>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</si>
  <si>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</si>
  <si>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</si>
  <si>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</si>
  <si>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</si>
  <si>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</si>
  <si>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</si>
  <si>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</si>
  <si>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</si>
  <si>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</si>
  <si>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</si>
  <si>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</si>
  <si>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</si>
  <si>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</si>
  <si>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</si>
  <si>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</si>
  <si>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</si>
  <si>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</si>
  <si>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</si>
  <si>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</si>
  <si>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</si>
  <si>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</si>
  <si>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</si>
  <si>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</si>
  <si>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</si>
  <si>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</si>
  <si>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</si>
  <si>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</si>
  <si>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</si>
  <si>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</si>
  <si>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</si>
  <si>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</si>
  <si>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</si>
  <si>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</si>
  <si>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</si>
  <si>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</si>
  <si>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</si>
  <si>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</si>
  <si>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</si>
  <si>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</si>
  <si>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</si>
  <si>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</si>
  <si>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</si>
  <si>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</si>
  <si>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</si>
  <si>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</si>
  <si>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</si>
  <si>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</si>
  <si>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</si>
  <si>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</si>
  <si>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</si>
  <si>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</si>
  <si>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</si>
  <si>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</si>
  <si>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</si>
  <si>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</si>
  <si>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</si>
  <si>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</si>
  <si>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</si>
  <si>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</si>
  <si>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</si>
  <si>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</si>
  <si>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</si>
  <si>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</si>
  <si>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</si>
  <si>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</si>
  <si>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</si>
  <si>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</si>
  <si>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</si>
  <si>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</si>
  <si>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</si>
  <si>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</si>
  <si>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</si>
  <si>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</si>
  <si>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</si>
  <si>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</si>
  <si>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</si>
  <si>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</si>
  <si>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</si>
  <si>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</si>
  <si>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</si>
  <si>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</si>
  <si>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</si>
  <si>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</si>
  <si>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</si>
  <si>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</si>
  <si>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</si>
  <si>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</si>
  <si>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</si>
  <si>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</si>
  <si>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</si>
  <si>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</si>
  <si>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</si>
  <si>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</si>
  <si>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</si>
  <si>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</si>
  <si>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</si>
  <si>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</si>
  <si>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</si>
  <si>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</si>
  <si>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</si>
  <si>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</si>
  <si>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</si>
  <si>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</si>
  <si>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</si>
  <si>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</si>
  <si>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</si>
  <si>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</si>
  <si>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</si>
  <si>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</si>
  <si>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</si>
  <si>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</si>
  <si>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</si>
  <si>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</si>
  <si>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</si>
  <si>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</si>
  <si>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</si>
  <si>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</si>
  <si>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</si>
  <si>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</si>
  <si>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</si>
  <si>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</si>
  <si>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</si>
  <si>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</si>
  <si>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</si>
  <si>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</si>
  <si>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</si>
  <si>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</si>
  <si>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</si>
  <si>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</si>
  <si>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</si>
  <si>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</si>
  <si>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</si>
  <si>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</si>
  <si>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</si>
  <si>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</si>
  <si>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</si>
  <si>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</si>
  <si>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</si>
  <si>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</si>
  <si>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</si>
  <si>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</si>
  <si>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</si>
  <si>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</si>
  <si>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</si>
  <si>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</si>
  <si>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</si>
  <si>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</si>
  <si>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</si>
  <si>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</si>
  <si>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</si>
  <si>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</si>
  <si>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</si>
  <si>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</si>
  <si>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</si>
  <si>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</si>
  <si>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</si>
  <si>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</si>
  <si>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</si>
  <si>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</si>
  <si>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</si>
  <si>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</si>
  <si>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</si>
  <si>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</si>
  <si>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</si>
  <si>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</si>
  <si>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</si>
  <si>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</si>
  <si>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</si>
  <si>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</si>
  <si>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</si>
  <si>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</si>
  <si>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</si>
  <si>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</si>
  <si>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</si>
  <si>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</si>
  <si>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</si>
  <si>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</si>
  <si>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</si>
  <si>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</si>
  <si>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</si>
  <si>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</si>
  <si>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</si>
  <si>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</si>
  <si>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</si>
  <si>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</si>
  <si>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</si>
  <si>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</si>
  <si>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</si>
  <si>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</si>
  <si>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</si>
  <si>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</si>
  <si>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</si>
  <si>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</si>
  <si>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</si>
  <si>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</si>
  <si>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</si>
  <si>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</si>
  <si>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</si>
  <si>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</si>
  <si>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</si>
  <si>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</si>
  <si>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</si>
  <si>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</si>
  <si>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</si>
  <si>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</si>
  <si>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</si>
  <si>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</si>
  <si>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</si>
  <si>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</si>
  <si>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</si>
  <si>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</si>
  <si>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</si>
  <si>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</si>
  <si>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</si>
  <si>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</si>
  <si>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</si>
  <si>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</si>
  <si>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</si>
  <si>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</si>
  <si>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</si>
  <si>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</si>
  <si>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</si>
  <si>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</si>
  <si>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</si>
  <si>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</si>
  <si>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</si>
  <si>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</si>
  <si>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</si>
  <si>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</si>
  <si>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</si>
  <si>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</si>
  <si>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</si>
  <si>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</si>
  <si>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</si>
  <si>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</si>
  <si>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</si>
  <si>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</si>
  <si>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</si>
  <si>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</si>
  <si>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</si>
  <si>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</si>
  <si>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</si>
  <si>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</si>
  <si>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</si>
  <si>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</si>
  <si>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</si>
  <si>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</si>
  <si>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</si>
  <si>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</si>
  <si>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</si>
  <si>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</si>
  <si>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</si>
  <si>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</si>
  <si>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</si>
  <si>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</si>
  <si>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</si>
  <si>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</si>
  <si>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</si>
  <si>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</si>
  <si>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</si>
  <si>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</si>
  <si>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</si>
  <si>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</si>
  <si>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</si>
  <si>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</si>
  <si>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</si>
  <si>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</si>
  <si>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</si>
  <si>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</si>
  <si>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</si>
  <si>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</si>
  <si>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</si>
  <si>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</si>
  <si>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</si>
  <si>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</si>
  <si>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</si>
  <si>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</si>
  <si>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</si>
  <si>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</si>
  <si>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</si>
  <si>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</si>
  <si>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</si>
  <si>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</si>
  <si>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</si>
  <si>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</si>
  <si>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</si>
  <si>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</si>
  <si>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</si>
  <si>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</si>
  <si>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</si>
  <si>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</si>
  <si>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</si>
  <si>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</si>
  <si>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</si>
  <si>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</si>
  <si>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</si>
  <si>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</si>
  <si>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</si>
  <si>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</si>
  <si>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</si>
  <si>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</si>
  <si>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</si>
  <si>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</si>
  <si>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</si>
  <si>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</si>
  <si>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</si>
  <si>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</si>
  <si>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</si>
  <si>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</si>
  <si>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</si>
  <si>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</si>
  <si>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</si>
  <si>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</si>
  <si>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</si>
  <si>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</si>
  <si>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</si>
  <si>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</si>
  <si>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</si>
  <si>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</si>
  <si>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</si>
  <si>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</si>
  <si>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</si>
  <si>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</si>
  <si>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</si>
  <si>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</si>
  <si>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</si>
  <si>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</si>
  <si>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</si>
  <si>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</si>
  <si>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</si>
  <si>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</si>
  <si>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</si>
  <si>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</si>
  <si>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</si>
  <si>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</si>
  <si>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</si>
  <si>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</si>
  <si>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</si>
  <si>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</si>
  <si>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</si>
  <si>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</si>
  <si>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</si>
  <si>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</si>
  <si>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</si>
  <si>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</si>
  <si>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</si>
  <si>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</si>
  <si>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</si>
  <si>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</si>
  <si>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</si>
  <si>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</si>
  <si>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</si>
  <si>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</si>
  <si>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</si>
  <si>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</si>
  <si>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</si>
  <si>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</si>
  <si>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</si>
  <si>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</si>
  <si>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</si>
  <si>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</si>
  <si>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</si>
  <si>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</si>
  <si>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</si>
  <si>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</si>
  <si>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</si>
  <si>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</si>
  <si>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</si>
  <si>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</si>
  <si>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</si>
  <si>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</si>
  <si>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</si>
  <si>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</si>
  <si>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</si>
  <si>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</si>
  <si>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</si>
  <si>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</si>
  <si>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</si>
  <si>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</si>
  <si>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</si>
  <si>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</si>
  <si>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</si>
  <si>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</si>
  <si>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</si>
  <si>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</si>
  <si>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</si>
  <si>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</si>
  <si>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</si>
  <si>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</si>
  <si>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</si>
  <si>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</si>
  <si>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</si>
  <si>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</si>
  <si>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</si>
  <si>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</si>
  <si>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</si>
  <si>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</si>
  <si>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</si>
  <si>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</si>
  <si>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</si>
  <si>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</si>
  <si>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</si>
  <si>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</si>
  <si>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</si>
  <si>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</si>
  <si>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</si>
  <si>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</si>
  <si>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</si>
  <si>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</si>
  <si>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</si>
  <si>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</si>
  <si>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</si>
  <si>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</si>
  <si>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</si>
  <si>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</si>
  <si>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</si>
  <si>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</si>
  <si>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</si>
  <si>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</si>
  <si>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</si>
  <si>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reference: rc0.9</t>
  </si>
  <si>
    <t>tested rc0.91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</si>
</sst>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00"/>
    <numFmt numFmtId="166" formatCode="[&gt;1000]0;[&gt;100]0.0;0.00"/>
    <numFmt numFmtId="167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0" fillId="0" borderId="0" xfId="0"/>
    <xf numFmtId="164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2" fontId="0" fillId="0" borderId="0" xfId="0" applyNumberFormat="1"/>
    <xf numFmtId="167" fontId="0" fillId="0" borderId="0" xfId="0" applyNumberFormat="1"/>
    <xf numFmtId="164" fontId="0" fillId="0" borderId="0" xfId="0" applyNumberFormat="1"/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69.677409374999897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32.165624999999899</c:v>
                </c:pt>
                <c:pt idx="1">
                  <c:v>34.445496874999897</c:v>
                </c:pt>
                <c:pt idx="2">
                  <c:v>36.986228124999897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45.472078124999904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47.917003124999901</c:v>
                </c:pt>
                <c:pt idx="4">
                  <c:v>49.581253124999897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9.6087134845658451E-2</c:v>
                </c:pt>
                <c:pt idx="1">
                  <c:v>0.14909265980624123</c:v>
                </c:pt>
                <c:pt idx="2">
                  <c:v>0.2442591214404578</c:v>
                </c:pt>
                <c:pt idx="3">
                  <c:v>0.42463287935379507</c:v>
                </c:pt>
                <c:pt idx="4">
                  <c:v>0.77477294513802708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tabSelected="1" workbookViewId="0">
      <selection activeCell="F2" sqref="F2"/>
    </sheetView>
  </sheetViews>
  <sheetFormatPr defaultRowHeight="15" x14ac:dyDescent="0.25"/>
  <cols>
    <col min="2" max="2" width="16.7109375" customWidth="1"/>
    <col min="3" max="12" width="24.7109375" customWidth="1"/>
  </cols>
  <sheetData>
    <row r="1" spans="2:12" x14ac:dyDescent="0.25">
      <c r="B1" t="s">
        <v>0</v>
      </c>
      <c r="C1" s="137" t="s">
        <v>551</v>
      </c>
      <c r="D1" s="137"/>
      <c r="E1" s="137"/>
    </row>
    <row r="2" spans="2:12" x14ac:dyDescent="0.25">
      <c r="B2" t="s">
        <v>1</v>
      </c>
      <c r="C2" s="138" t="s">
        <v>552</v>
      </c>
      <c r="D2" s="138"/>
      <c r="E2" s="138"/>
    </row>
    <row r="4" spans="2:12" s="1" customFormat="1" x14ac:dyDescent="0.25">
      <c r="B4" s="1" t="s">
        <v>296</v>
      </c>
    </row>
    <row r="6" spans="2:12" x14ac:dyDescent="0.25">
      <c r="B6" s="133" t="s">
        <v>297</v>
      </c>
      <c r="C6" s="134" t="s">
        <v>298</v>
      </c>
      <c r="D6" s="134"/>
      <c r="E6" s="134"/>
      <c r="F6" s="134"/>
      <c r="G6" s="134"/>
      <c r="H6" s="134"/>
      <c r="I6" s="134"/>
      <c r="J6" s="134"/>
      <c r="K6" s="134"/>
      <c r="L6" s="134"/>
    </row>
    <row r="7" spans="2:12" x14ac:dyDescent="0.25">
      <c r="B7" s="133"/>
      <c r="C7" s="135" t="s">
        <v>237</v>
      </c>
      <c r="D7" s="135"/>
      <c r="E7" s="136" t="s">
        <v>242</v>
      </c>
      <c r="F7" s="136"/>
      <c r="G7" s="136"/>
      <c r="H7" s="135" t="s">
        <v>249</v>
      </c>
      <c r="I7" s="135"/>
      <c r="J7" s="136" t="s">
        <v>254</v>
      </c>
      <c r="K7" s="136"/>
      <c r="L7" s="136"/>
    </row>
    <row r="8" spans="2:12" x14ac:dyDescent="0.25">
      <c r="B8" s="133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5">
      <c r="B9" s="4" t="s">
        <v>288</v>
      </c>
      <c r="C9" s="5">
        <f>'C2 lossyG,lossyA,intra'!$BI$30:$BI$30</f>
        <v>-6.9745737812071384E-5</v>
      </c>
      <c r="D9" s="5">
        <f>'C2 lossyG,lossyA,intra'!$BJ$30:$BJ$30</f>
        <v>-6.5972859171398168E-5</v>
      </c>
      <c r="E9" s="5">
        <f>'C2 lossyG,lossyA,intra'!$BK$30:$BK$30</f>
        <v>-1.5176362798158261E-5</v>
      </c>
      <c r="F9" s="5">
        <f>'C2 lossyG,lossyA,intra'!$BL$30:$BL$30</f>
        <v>-1.4157521096708203E-5</v>
      </c>
      <c r="G9" s="5">
        <f>'C2 lossyG,lossyA,intra'!$BM$30:$BM$30</f>
        <v>-1.4963075234797341E-5</v>
      </c>
      <c r="H9" s="5">
        <f>'C2 lossyG,lossyA,intra'!$BO$30:$BO$30</f>
        <v>-5.8841820305133297E-15</v>
      </c>
      <c r="I9" s="5">
        <f>'C2 lossyG,lossyA,intra'!$BP$30:$BP$30</f>
        <v>-5.2180482157382357E-15</v>
      </c>
      <c r="J9" s="5">
        <f>'C2 lossyG,lossyA,intra'!$BQ$30:$BQ$30</f>
        <v>-8.1601392309949006E-15</v>
      </c>
      <c r="K9" s="5">
        <f>'C2 lossyG,lossyA,intra'!$BR$30:$BR$30</f>
        <v>-2.0317081350640365E-14</v>
      </c>
      <c r="L9" s="5">
        <f>'C2 lossyG,lossyA,intra'!$BS$30:$BS$30</f>
        <v>-1.0325074129013956E-14</v>
      </c>
    </row>
    <row r="10" spans="2:12" x14ac:dyDescent="0.25">
      <c r="B10" s="4" t="s">
        <v>289</v>
      </c>
      <c r="C10" s="5">
        <f>'C2 lossyG,lossyA,intra'!$BI$31:$BI$31</f>
        <v>-7.5777577594471346E-5</v>
      </c>
      <c r="D10" s="5">
        <f>'C2 lossyG,lossyA,intra'!$BJ$31:$BJ$31</f>
        <v>-7.1507721621566489E-5</v>
      </c>
      <c r="E10" s="5">
        <f>'C2 lossyG,lossyA,intra'!$BK$31:$BK$31</f>
        <v>-6.790150211211099E-6</v>
      </c>
      <c r="F10" s="5">
        <f>'C2 lossyG,lossyA,intra'!$BL$31:$BL$31</f>
        <v>-5.4158279266802722E-6</v>
      </c>
      <c r="G10" s="5">
        <f>'C2 lossyG,lossyA,intra'!$BM$31:$BM$31</f>
        <v>-5.7683451410994735E-6</v>
      </c>
      <c r="H10" s="5">
        <f>'C2 lossyG,lossyA,intra'!$BO$31:$BO$31</f>
        <v>-1.2434497875801753E-14</v>
      </c>
      <c r="I10" s="5">
        <f>'C2 lossyG,lossyA,intra'!$BP$31:$BP$31</f>
        <v>-1.4210854715202004E-14</v>
      </c>
      <c r="J10" s="5">
        <f>'C2 lossyG,lossyA,intra'!$BQ$31:$BQ$31</f>
        <v>-1.4432899320127035E-14</v>
      </c>
      <c r="K10" s="5">
        <f>'C2 lossyG,lossyA,intra'!$BR$31:$BR$31</f>
        <v>-3.3528735343679728E-14</v>
      </c>
      <c r="L10" s="5">
        <f>'C2 lossyG,lossyA,intra'!$BS$31:$BS$31</f>
        <v>-1.5543122344752192E-14</v>
      </c>
    </row>
    <row r="11" spans="2:12" x14ac:dyDescent="0.25">
      <c r="B11" s="6" t="s">
        <v>290</v>
      </c>
      <c r="C11" s="7">
        <f>'C2 lossyG,lossyA,intra'!$BI$32:$BI$32</f>
        <v>-7.0952105768551382E-5</v>
      </c>
      <c r="D11" s="7">
        <f>'C2 lossyG,lossyA,intra'!$BJ$32:$BJ$32</f>
        <v>-6.7079831661431832E-5</v>
      </c>
      <c r="E11" s="7">
        <f>'C2 lossyG,lossyA,intra'!$BK$32:$BK$32</f>
        <v>-1.3499120280768829E-5</v>
      </c>
      <c r="F11" s="7">
        <f>'C2 lossyG,lossyA,intra'!$BL$32:$BL$32</f>
        <v>-1.2409182462702617E-5</v>
      </c>
      <c r="G11" s="7">
        <f>'C2 lossyG,lossyA,intra'!$BM$32:$BM$32</f>
        <v>-1.3124129216057767E-5</v>
      </c>
      <c r="H11" s="7">
        <f>'C2 lossyG,lossyA,intra'!$BO$32:$BO$32</f>
        <v>-7.1942451995710141E-15</v>
      </c>
      <c r="I11" s="7">
        <f>'C2 lossyG,lossyA,intra'!$BP$32:$BP$32</f>
        <v>-7.0166095156309897E-15</v>
      </c>
      <c r="J11" s="7">
        <f>'C2 lossyG,lossyA,intra'!$BQ$32:$BQ$32</f>
        <v>-9.4146912488213271E-15</v>
      </c>
      <c r="K11" s="7">
        <f>'C2 lossyG,lossyA,intra'!$BR$32:$BR$32</f>
        <v>-2.2959412149248239E-14</v>
      </c>
      <c r="L11" s="7">
        <f>'C2 lossyG,lossyA,intra'!$BS$32:$BS$32</f>
        <v>-1.1368683772161604E-14</v>
      </c>
    </row>
    <row r="12" spans="2:12" x14ac:dyDescent="0.25">
      <c r="B12" t="s">
        <v>299</v>
      </c>
      <c r="C12" s="131">
        <f>'C2 lossyG,lossyA,intra'!AZ36</f>
        <v>0.6804193707323356</v>
      </c>
      <c r="D12" s="131"/>
      <c r="E12" s="131"/>
      <c r="F12" s="131"/>
      <c r="G12" s="131"/>
      <c r="H12" s="131"/>
      <c r="I12" s="131"/>
      <c r="J12" s="131"/>
      <c r="K12" s="131"/>
      <c r="L12" s="131"/>
    </row>
    <row r="13" spans="2:12" x14ac:dyDescent="0.25">
      <c r="B13" s="9" t="s">
        <v>300</v>
      </c>
      <c r="C13" s="132">
        <f>'C2 lossyG,lossyA,intra'!BB36</f>
        <v>1.6913820355311957</v>
      </c>
      <c r="D13" s="132"/>
      <c r="E13" s="132"/>
      <c r="F13" s="132"/>
      <c r="G13" s="132"/>
      <c r="H13" s="132"/>
      <c r="I13" s="132"/>
      <c r="J13" s="132"/>
      <c r="K13" s="132"/>
      <c r="L13" s="132"/>
    </row>
    <row r="15" spans="2:12" x14ac:dyDescent="0.25">
      <c r="B15" s="133" t="s">
        <v>381</v>
      </c>
      <c r="C15" s="134" t="s">
        <v>382</v>
      </c>
      <c r="D15" s="134"/>
      <c r="E15" s="134"/>
    </row>
    <row r="16" spans="2:12" x14ac:dyDescent="0.25">
      <c r="B16" s="133"/>
      <c r="C16" s="135" t="s">
        <v>357</v>
      </c>
      <c r="D16" s="135"/>
      <c r="E16" s="135"/>
    </row>
    <row r="17" spans="2:5" x14ac:dyDescent="0.25">
      <c r="B17" s="133"/>
      <c r="C17" s="2" t="s">
        <v>124</v>
      </c>
      <c r="D17" s="2" t="s">
        <v>118</v>
      </c>
      <c r="E17" s="2" t="s">
        <v>150</v>
      </c>
    </row>
    <row r="18" spans="2:5" x14ac:dyDescent="0.25">
      <c r="B18" s="4" t="s">
        <v>288</v>
      </c>
      <c r="C18" s="5">
        <f>'CW losslG,losslA,intra'!BC10</f>
        <v>0.99999835931751935</v>
      </c>
      <c r="D18" s="5">
        <f>'CW losslG,losslA,intra'!BB10</f>
        <v>1</v>
      </c>
      <c r="E18" s="5">
        <f>'CW losslG,losslA,intra'!BD10</f>
        <v>0.99999973459414315</v>
      </c>
    </row>
    <row r="19" spans="2:5" x14ac:dyDescent="0.25">
      <c r="B19" s="4" t="s">
        <v>289</v>
      </c>
      <c r="C19" s="5">
        <f>'CW losslG,losslA,intra'!BC11</f>
        <v>0.99999828321439088</v>
      </c>
      <c r="D19" s="5">
        <f>'CW losslG,losslA,intra'!BB11</f>
        <v>1</v>
      </c>
      <c r="E19" s="5">
        <f>'CW losslG,losslA,intra'!BD11</f>
        <v>0.99999982077781913</v>
      </c>
    </row>
    <row r="20" spans="2:5" x14ac:dyDescent="0.25">
      <c r="B20" s="6" t="s">
        <v>290</v>
      </c>
      <c r="C20" s="7">
        <f>'CW losslG,losslA,intra'!BC12</f>
        <v>0.99999834356979189</v>
      </c>
      <c r="D20" s="7">
        <f>'CW losslG,losslA,intra'!BB12</f>
        <v>1</v>
      </c>
      <c r="E20" s="7">
        <f>'CW losslG,losslA,intra'!BD12</f>
        <v>0.99999975940688479</v>
      </c>
    </row>
    <row r="21" spans="2:5" x14ac:dyDescent="0.25">
      <c r="B21" t="s">
        <v>299</v>
      </c>
      <c r="C21" s="131">
        <f>'CW losslG,losslA,intra'!AW16</f>
        <v>1.1110311393982031</v>
      </c>
      <c r="D21" s="131"/>
      <c r="E21" s="131"/>
    </row>
    <row r="22" spans="2:5" x14ac:dyDescent="0.25">
      <c r="B22" s="9" t="s">
        <v>300</v>
      </c>
      <c r="C22" s="132">
        <f>'CW losslG,losslA,intra'!AY16</f>
        <v>1.139818248524241</v>
      </c>
      <c r="D22" s="132"/>
      <c r="E22" s="132"/>
    </row>
    <row r="24" spans="2:5" s="1" customFormat="1" x14ac:dyDescent="0.25">
      <c r="B24" s="1" t="s">
        <v>456</v>
      </c>
    </row>
    <row r="26" spans="2:5" x14ac:dyDescent="0.25">
      <c r="B26" s="133" t="s">
        <v>457</v>
      </c>
      <c r="C26" s="134" t="s">
        <v>458</v>
      </c>
      <c r="D26" s="134"/>
      <c r="E26" s="134"/>
    </row>
    <row r="27" spans="2:5" x14ac:dyDescent="0.25">
      <c r="B27" s="133"/>
      <c r="C27" s="135" t="s">
        <v>357</v>
      </c>
      <c r="D27" s="135"/>
      <c r="E27" s="135"/>
    </row>
    <row r="28" spans="2:5" x14ac:dyDescent="0.25">
      <c r="B28" s="133"/>
      <c r="C28" s="2" t="s">
        <v>118</v>
      </c>
      <c r="D28" s="2" t="s">
        <v>124</v>
      </c>
      <c r="E28" s="2" t="s">
        <v>150</v>
      </c>
    </row>
    <row r="29" spans="2:5" x14ac:dyDescent="0.25">
      <c r="B29" s="4" t="s">
        <v>288</v>
      </c>
      <c r="C29" s="5">
        <f>'CW losslG,losslA,interLD'!BB10</f>
        <v>1</v>
      </c>
      <c r="D29" s="5">
        <f>'CW losslG,losslA,interLD'!BC10</f>
        <v>0.99999820527414929</v>
      </c>
      <c r="E29" s="5">
        <f>'CW losslG,losslA,interLD'!BD10</f>
        <v>0.99999973021250144</v>
      </c>
    </row>
    <row r="30" spans="2:5" x14ac:dyDescent="0.25">
      <c r="B30" s="4" t="s">
        <v>289</v>
      </c>
      <c r="C30" s="5">
        <f>'CW losslG,losslA,interLD'!BB11</f>
        <v>1</v>
      </c>
      <c r="D30" s="5">
        <f>'CW losslG,losslA,interLD'!BC11</f>
        <v>0.99999827815493758</v>
      </c>
      <c r="E30" s="5">
        <f>'CW losslG,losslA,interLD'!BD11</f>
        <v>0.99999981897414281</v>
      </c>
    </row>
    <row r="31" spans="2:5" x14ac:dyDescent="0.25">
      <c r="B31" s="6" t="s">
        <v>290</v>
      </c>
      <c r="C31" s="7">
        <f>'CW losslG,losslA,interLD'!BB12</f>
        <v>1</v>
      </c>
      <c r="D31" s="7">
        <f>'CW losslG,losslA,interLD'!BC12</f>
        <v>0.99999822141962291</v>
      </c>
      <c r="E31" s="7">
        <f>'CW losslG,losslA,interLD'!BD12</f>
        <v>0.99999975588335999</v>
      </c>
    </row>
    <row r="32" spans="2:5" x14ac:dyDescent="0.25">
      <c r="B32" t="s">
        <v>299</v>
      </c>
      <c r="C32" s="131">
        <f>'CW losslG,losslA,interLD'!AW16</f>
        <v>1.0228176629419869</v>
      </c>
      <c r="D32" s="131"/>
      <c r="E32" s="131"/>
    </row>
    <row r="33" spans="2:12" x14ac:dyDescent="0.25">
      <c r="B33" s="9" t="s">
        <v>300</v>
      </c>
      <c r="C33" s="132">
        <f>'CW losslG,losslA,interLD'!AY16</f>
        <v>1.2244822246226412</v>
      </c>
      <c r="D33" s="132"/>
      <c r="E33" s="132"/>
    </row>
    <row r="35" spans="2:12" s="1" customFormat="1" x14ac:dyDescent="0.25">
      <c r="B35" s="1" t="s">
        <v>543</v>
      </c>
    </row>
    <row r="37" spans="2:12" x14ac:dyDescent="0.25">
      <c r="B37" s="133" t="s">
        <v>544</v>
      </c>
      <c r="C37" s="134" t="s">
        <v>545</v>
      </c>
      <c r="D37" s="134"/>
      <c r="E37" s="134"/>
      <c r="F37" s="134"/>
      <c r="G37" s="134"/>
      <c r="H37" s="134"/>
      <c r="I37" s="134"/>
      <c r="J37" s="134"/>
      <c r="K37" s="134"/>
      <c r="L37" s="134"/>
    </row>
    <row r="38" spans="2:12" x14ac:dyDescent="0.25">
      <c r="B38" s="133"/>
      <c r="C38" s="135" t="s">
        <v>237</v>
      </c>
      <c r="D38" s="135"/>
      <c r="E38" s="136" t="s">
        <v>242</v>
      </c>
      <c r="F38" s="136"/>
      <c r="G38" s="136"/>
      <c r="H38" s="135" t="s">
        <v>249</v>
      </c>
      <c r="I38" s="135"/>
      <c r="J38" s="136" t="s">
        <v>254</v>
      </c>
      <c r="K38" s="136"/>
      <c r="L38" s="136"/>
    </row>
    <row r="39" spans="2:12" x14ac:dyDescent="0.25">
      <c r="B39" s="133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5">
      <c r="B40" s="4" t="s">
        <v>288</v>
      </c>
      <c r="C40" s="5">
        <f>'C2 lossyG,lossyA,interRA'!$BI$30:$BI$30</f>
        <v>-1.0286385083832505E-4</v>
      </c>
      <c r="D40" s="5">
        <f>'C2 lossyG,lossyA,interRA'!$BJ$30:$BJ$30</f>
        <v>-9.7494042490320343E-5</v>
      </c>
      <c r="E40" s="5">
        <f>'C2 lossyG,lossyA,interRA'!$BK$30:$BK$30</f>
        <v>-6.4549884243092492E-5</v>
      </c>
      <c r="F40" s="5">
        <f>'C2 lossyG,lossyA,interRA'!$BL$30:$BL$30</f>
        <v>-6.0575669764084683E-5</v>
      </c>
      <c r="G40" s="5">
        <f>'C2 lossyG,lossyA,interRA'!$BM$30:$BM$30</f>
        <v>-6.5105781421881392E-5</v>
      </c>
      <c r="H40" s="5">
        <f>'C2 lossyG,lossyA,interRA'!$BO$30:$BO$30</f>
        <v>-1.1601830607332886E-14</v>
      </c>
      <c r="I40" s="5">
        <f>'C2 lossyG,lossyA,interRA'!$BP$30:$BP$30</f>
        <v>-8.1601392309949006E-15</v>
      </c>
      <c r="J40" s="5">
        <f>'C2 lossyG,lossyA,interRA'!$BQ$30:$BQ$30</f>
        <v>-6.7168492989821971E-15</v>
      </c>
      <c r="K40" s="5">
        <f>'C2 lossyG,lossyA,interRA'!$BR$30:$BR$30</f>
        <v>-1.0880185641326534E-14</v>
      </c>
      <c r="L40" s="5">
        <f>'C2 lossyG,lossyA,interRA'!$BS$30:$BS$30</f>
        <v>-5.2180482157382357E-15</v>
      </c>
    </row>
    <row r="41" spans="2:12" x14ac:dyDescent="0.25">
      <c r="B41" s="4" t="s">
        <v>289</v>
      </c>
      <c r="C41" s="5">
        <f>'C2 lossyG,lossyA,interRA'!$BI$31:$BI$31</f>
        <v>-8.4615896704831606E-5</v>
      </c>
      <c r="D41" s="5">
        <f>'C2 lossyG,lossyA,interRA'!$BJ$31:$BJ$31</f>
        <v>-8.0045273704865139E-5</v>
      </c>
      <c r="E41" s="5">
        <f>'C2 lossyG,lossyA,interRA'!$BK$31:$BK$31</f>
        <v>-2.0550266365271241E-5</v>
      </c>
      <c r="F41" s="5">
        <f>'C2 lossyG,lossyA,interRA'!$BL$31:$BL$31</f>
        <v>-1.9276239856980126E-5</v>
      </c>
      <c r="G41" s="5">
        <f>'C2 lossyG,lossyA,interRA'!$BM$31:$BM$31</f>
        <v>-2.0555990343118502E-5</v>
      </c>
      <c r="H41" s="5">
        <f>'C2 lossyG,lossyA,interRA'!$BO$31:$BO$31</f>
        <v>-3.1086244689504383E-15</v>
      </c>
      <c r="I41" s="5">
        <f>'C2 lossyG,lossyA,interRA'!$BP$31:$BP$31</f>
        <v>-7.1054273576010019E-15</v>
      </c>
      <c r="J41" s="5">
        <f>'C2 lossyG,lossyA,interRA'!$BQ$31:$BQ$31</f>
        <v>-6.8833827526759706E-15</v>
      </c>
      <c r="K41" s="5">
        <f>'C2 lossyG,lossyA,interRA'!$BR$31:$BR$31</f>
        <v>-2.6645352591003757E-15</v>
      </c>
      <c r="L41" s="5">
        <f>'C2 lossyG,lossyA,interRA'!$BS$31:$BS$31</f>
        <v>-2.5979218776228663E-14</v>
      </c>
    </row>
    <row r="42" spans="2:12" x14ac:dyDescent="0.25">
      <c r="B42" s="6" t="s">
        <v>290</v>
      </c>
      <c r="C42" s="7">
        <f>'C2 lossyG,lossyA,interRA'!$BI$32:$BI$32</f>
        <v>-9.9214260011626368E-5</v>
      </c>
      <c r="D42" s="7">
        <f>'C2 lossyG,lossyA,interRA'!$BJ$32:$BJ$32</f>
        <v>-9.4004288733229305E-5</v>
      </c>
      <c r="E42" s="7">
        <f>'C2 lossyG,lossyA,interRA'!$BK$32:$BK$32</f>
        <v>-5.5749960667528245E-5</v>
      </c>
      <c r="F42" s="7">
        <f>'C2 lossyG,lossyA,interRA'!$BL$32:$BL$32</f>
        <v>-5.2315783782663774E-5</v>
      </c>
      <c r="G42" s="7">
        <f>'C2 lossyG,lossyA,interRA'!$BM$32:$BM$32</f>
        <v>-5.6195823206128813E-5</v>
      </c>
      <c r="H42" s="7">
        <f>'C2 lossyG,lossyA,interRA'!$BO$32:$BO$32</f>
        <v>-9.9031893796563967E-15</v>
      </c>
      <c r="I42" s="7">
        <f>'C2 lossyG,lossyA,interRA'!$BP$32:$BP$32</f>
        <v>-7.9491968563161202E-15</v>
      </c>
      <c r="J42" s="7">
        <f>'C2 lossyG,lossyA,interRA'!$BQ$32:$BQ$32</f>
        <v>-6.7501559897209515E-15</v>
      </c>
      <c r="K42" s="7">
        <f>'C2 lossyG,lossyA,interRA'!$BR$32:$BR$32</f>
        <v>-9.2370555648813027E-15</v>
      </c>
      <c r="L42" s="7">
        <f>'C2 lossyG,lossyA,interRA'!$BS$32:$BS$32</f>
        <v>-9.3702823278363218E-15</v>
      </c>
    </row>
    <row r="43" spans="2:12" x14ac:dyDescent="0.25">
      <c r="B43" t="s">
        <v>299</v>
      </c>
      <c r="C43" s="131">
        <f>'C2 lossyG,lossyA,interRA'!AZ36</f>
        <v>0.60894288420148213</v>
      </c>
      <c r="D43" s="131"/>
      <c r="E43" s="131"/>
      <c r="F43" s="131"/>
      <c r="G43" s="131"/>
      <c r="H43" s="131"/>
      <c r="I43" s="131"/>
      <c r="J43" s="131"/>
      <c r="K43" s="131"/>
      <c r="L43" s="131"/>
    </row>
    <row r="44" spans="2:12" x14ac:dyDescent="0.25">
      <c r="B44" s="9" t="s">
        <v>300</v>
      </c>
      <c r="C44" s="132">
        <f>'C2 lossyG,lossyA,interRA'!BB36</f>
        <v>1.2191669564003518</v>
      </c>
      <c r="D44" s="132"/>
      <c r="E44" s="132"/>
      <c r="F44" s="132"/>
      <c r="G44" s="132"/>
      <c r="H44" s="132"/>
      <c r="I44" s="132"/>
      <c r="J44" s="132"/>
      <c r="K44" s="132"/>
      <c r="L44" s="132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5" x14ac:dyDescent="0.2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 x14ac:dyDescent="0.25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5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5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5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5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5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5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5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5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5">
      <c r="I10" t="s">
        <v>21</v>
      </c>
      <c r="J10" t="s">
        <v>22</v>
      </c>
    </row>
    <row r="11" spans="1:16" x14ac:dyDescent="0.25">
      <c r="I11" t="s">
        <v>23</v>
      </c>
      <c r="J11" t="s">
        <v>24</v>
      </c>
    </row>
    <row r="12" spans="1:16" x14ac:dyDescent="0.25">
      <c r="I12" t="s">
        <v>25</v>
      </c>
      <c r="J12" t="s">
        <v>26</v>
      </c>
    </row>
    <row r="13" spans="1:16" x14ac:dyDescent="0.25">
      <c r="I13" t="s">
        <v>27</v>
      </c>
      <c r="J13" t="s">
        <v>28</v>
      </c>
    </row>
    <row r="14" spans="1:16" x14ac:dyDescent="0.25">
      <c r="I14" t="s">
        <v>29</v>
      </c>
      <c r="J14" t="s">
        <v>30</v>
      </c>
    </row>
    <row r="15" spans="1:16" x14ac:dyDescent="0.25">
      <c r="I15" t="s">
        <v>31</v>
      </c>
      <c r="J15" t="s">
        <v>32</v>
      </c>
    </row>
    <row r="16" spans="1:16" x14ac:dyDescent="0.25">
      <c r="I16" t="s">
        <v>33</v>
      </c>
      <c r="J16" t="s">
        <v>34</v>
      </c>
    </row>
    <row r="17" spans="9:10" x14ac:dyDescent="0.25">
      <c r="I17" t="s">
        <v>35</v>
      </c>
      <c r="J17" t="s">
        <v>36</v>
      </c>
    </row>
    <row r="18" spans="9:10" x14ac:dyDescent="0.25">
      <c r="I18" t="s">
        <v>37</v>
      </c>
      <c r="J18" t="s">
        <v>38</v>
      </c>
    </row>
    <row r="19" spans="9:10" x14ac:dyDescent="0.25">
      <c r="I19" t="s">
        <v>39</v>
      </c>
      <c r="J19" t="s">
        <v>40</v>
      </c>
    </row>
    <row r="20" spans="9:10" x14ac:dyDescent="0.25">
      <c r="I20" t="s">
        <v>41</v>
      </c>
      <c r="J20" t="s">
        <v>42</v>
      </c>
    </row>
    <row r="21" spans="9:10" x14ac:dyDescent="0.25">
      <c r="I21" t="s">
        <v>43</v>
      </c>
      <c r="J21" t="s">
        <v>44</v>
      </c>
    </row>
    <row r="22" spans="9:10" x14ac:dyDescent="0.25">
      <c r="I22" t="s">
        <v>45</v>
      </c>
      <c r="J22" t="s">
        <v>46</v>
      </c>
    </row>
    <row r="23" spans="9:10" x14ac:dyDescent="0.25">
      <c r="I23" t="s">
        <v>47</v>
      </c>
      <c r="J23" t="s">
        <v>48</v>
      </c>
    </row>
    <row r="24" spans="9:10" x14ac:dyDescent="0.25">
      <c r="I24" t="s">
        <v>49</v>
      </c>
      <c r="J24" t="s">
        <v>50</v>
      </c>
    </row>
    <row r="25" spans="9:10" x14ac:dyDescent="0.25">
      <c r="I25" t="s">
        <v>51</v>
      </c>
      <c r="J25" t="s">
        <v>52</v>
      </c>
    </row>
    <row r="26" spans="9:10" x14ac:dyDescent="0.25">
      <c r="I26" t="s">
        <v>53</v>
      </c>
      <c r="J26" t="s">
        <v>54</v>
      </c>
    </row>
    <row r="27" spans="9:10" x14ac:dyDescent="0.25">
      <c r="I27" t="s">
        <v>55</v>
      </c>
      <c r="J27" t="s">
        <v>56</v>
      </c>
    </row>
    <row r="28" spans="9:10" x14ac:dyDescent="0.25">
      <c r="I28" t="s">
        <v>57</v>
      </c>
      <c r="J28" t="s">
        <v>58</v>
      </c>
    </row>
    <row r="29" spans="9:10" x14ac:dyDescent="0.25">
      <c r="I29" t="s">
        <v>59</v>
      </c>
      <c r="J29" t="s">
        <v>60</v>
      </c>
    </row>
    <row r="30" spans="9:10" x14ac:dyDescent="0.25">
      <c r="I30" t="s">
        <v>61</v>
      </c>
      <c r="J30" t="s">
        <v>62</v>
      </c>
    </row>
    <row r="31" spans="9:10" x14ac:dyDescent="0.25">
      <c r="I31" t="s">
        <v>63</v>
      </c>
      <c r="J31" t="s">
        <v>64</v>
      </c>
    </row>
    <row r="32" spans="9:10" x14ac:dyDescent="0.25">
      <c r="I32" t="s">
        <v>65</v>
      </c>
      <c r="J32" t="s">
        <v>66</v>
      </c>
    </row>
    <row r="33" spans="9:10" x14ac:dyDescent="0.25">
      <c r="I33" t="s">
        <v>67</v>
      </c>
      <c r="J33" t="s">
        <v>68</v>
      </c>
    </row>
    <row r="34" spans="9:10" x14ac:dyDescent="0.25">
      <c r="I34" t="s">
        <v>69</v>
      </c>
      <c r="J34" t="s">
        <v>70</v>
      </c>
    </row>
    <row r="35" spans="9:10" x14ac:dyDescent="0.25">
      <c r="I35" t="s">
        <v>71</v>
      </c>
      <c r="J35" t="s">
        <v>72</v>
      </c>
    </row>
    <row r="36" spans="9:10" x14ac:dyDescent="0.25">
      <c r="I36" t="s">
        <v>73</v>
      </c>
      <c r="J36" t="s">
        <v>74</v>
      </c>
    </row>
    <row r="37" spans="9:10" x14ac:dyDescent="0.25">
      <c r="I37" t="s">
        <v>75</v>
      </c>
      <c r="J37" t="s">
        <v>76</v>
      </c>
    </row>
    <row r="38" spans="9:10" x14ac:dyDescent="0.25">
      <c r="I38" t="s">
        <v>77</v>
      </c>
      <c r="J38" t="s">
        <v>78</v>
      </c>
    </row>
    <row r="39" spans="9:10" x14ac:dyDescent="0.25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74"/>
  <sheetViews>
    <sheetView zoomScale="120" zoomScaleNormal="120" workbookViewId="0">
      <pane xSplit="2" topLeftCell="C1" activePane="topRight" state="frozen"/>
      <selection pane="topRight" activeCell="BI5" sqref="BI5:BS32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141" t="s">
        <v>261</v>
      </c>
      <c r="B1" s="141"/>
      <c r="C1" s="141"/>
      <c r="D1" s="141"/>
      <c r="E1" s="141"/>
      <c r="F1" s="141"/>
      <c r="G1" s="141"/>
      <c r="I1" s="137" t="s">
        <v>2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G1" s="138" t="s">
        <v>3</v>
      </c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</row>
    <row r="2" spans="1:73" ht="30" customHeight="1" x14ac:dyDescent="0.25">
      <c r="A2" s="143" t="s">
        <v>93</v>
      </c>
      <c r="B2" s="142" t="s">
        <v>96</v>
      </c>
      <c r="C2" s="143" t="s">
        <v>99</v>
      </c>
      <c r="D2" s="142" t="s">
        <v>102</v>
      </c>
      <c r="E2" s="143" t="s">
        <v>105</v>
      </c>
      <c r="F2" s="142" t="s">
        <v>108</v>
      </c>
      <c r="G2" s="143" t="s">
        <v>111</v>
      </c>
      <c r="I2" s="142" t="s">
        <v>114</v>
      </c>
      <c r="J2" s="140" t="s">
        <v>117</v>
      </c>
      <c r="K2" s="140"/>
      <c r="L2" s="140"/>
      <c r="M2" s="140"/>
      <c r="N2" s="143" t="s">
        <v>130</v>
      </c>
      <c r="O2" s="142" t="s">
        <v>133</v>
      </c>
      <c r="P2" s="143" t="s">
        <v>24</v>
      </c>
      <c r="Q2" s="142" t="s">
        <v>26</v>
      </c>
      <c r="R2" s="143" t="s">
        <v>22</v>
      </c>
      <c r="S2" s="139" t="s">
        <v>142</v>
      </c>
      <c r="T2" s="139"/>
      <c r="U2" s="139"/>
      <c r="V2" s="139"/>
      <c r="W2" s="140" t="s">
        <v>153</v>
      </c>
      <c r="X2" s="140"/>
      <c r="Y2" s="139" t="s">
        <v>160</v>
      </c>
      <c r="Z2" s="139"/>
      <c r="AA2" s="139"/>
      <c r="AB2" s="140" t="s">
        <v>170</v>
      </c>
      <c r="AC2" s="140"/>
      <c r="AD2" s="139" t="s">
        <v>177</v>
      </c>
      <c r="AE2" s="139"/>
      <c r="AG2" s="143" t="s">
        <v>114</v>
      </c>
      <c r="AH2" s="139" t="s">
        <v>117</v>
      </c>
      <c r="AI2" s="139"/>
      <c r="AJ2" s="139"/>
      <c r="AK2" s="139"/>
      <c r="AL2" s="142" t="s">
        <v>192</v>
      </c>
      <c r="AM2" s="143" t="s">
        <v>133</v>
      </c>
      <c r="AN2" s="142" t="s">
        <v>24</v>
      </c>
      <c r="AO2" s="143" t="s">
        <v>26</v>
      </c>
      <c r="AP2" s="142" t="s">
        <v>22</v>
      </c>
      <c r="AQ2" s="140" t="s">
        <v>142</v>
      </c>
      <c r="AR2" s="140"/>
      <c r="AS2" s="140"/>
      <c r="AT2" s="140"/>
      <c r="AU2" s="139" t="s">
        <v>153</v>
      </c>
      <c r="AV2" s="139"/>
      <c r="AW2" s="140" t="s">
        <v>160</v>
      </c>
      <c r="AX2" s="140"/>
      <c r="AY2" s="140"/>
      <c r="AZ2" s="139" t="s">
        <v>170</v>
      </c>
      <c r="BA2" s="139"/>
      <c r="BB2" s="140" t="s">
        <v>177</v>
      </c>
      <c r="BC2" s="140"/>
      <c r="BE2" s="142" t="s">
        <v>229</v>
      </c>
      <c r="BF2" s="143" t="s">
        <v>232</v>
      </c>
      <c r="BG2" s="142" t="s">
        <v>232</v>
      </c>
      <c r="BI2" s="140" t="s">
        <v>237</v>
      </c>
      <c r="BJ2" s="140"/>
      <c r="BK2" s="139" t="s">
        <v>242</v>
      </c>
      <c r="BL2" s="139"/>
      <c r="BM2" s="139"/>
      <c r="BO2" s="140" t="s">
        <v>249</v>
      </c>
      <c r="BP2" s="140"/>
      <c r="BQ2" s="139" t="s">
        <v>254</v>
      </c>
      <c r="BR2" s="139"/>
      <c r="BS2" s="139"/>
      <c r="BU2" t="s">
        <v>550</v>
      </c>
    </row>
    <row r="3" spans="1:73" ht="15.75" thickBot="1" x14ac:dyDescent="0.3">
      <c r="A3" s="143"/>
      <c r="B3" s="142"/>
      <c r="C3" s="143"/>
      <c r="D3" s="142"/>
      <c r="E3" s="143"/>
      <c r="F3" s="142"/>
      <c r="G3" s="143"/>
      <c r="I3" s="142"/>
      <c r="J3" s="11" t="s">
        <v>118</v>
      </c>
      <c r="K3" s="11" t="s">
        <v>121</v>
      </c>
      <c r="L3" s="11" t="s">
        <v>124</v>
      </c>
      <c r="M3" s="11" t="s">
        <v>127</v>
      </c>
      <c r="N3" s="143"/>
      <c r="O3" s="142"/>
      <c r="P3" s="143"/>
      <c r="Q3" s="142"/>
      <c r="R3" s="143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43"/>
      <c r="AH3" s="12" t="s">
        <v>118</v>
      </c>
      <c r="AI3" s="12" t="s">
        <v>121</v>
      </c>
      <c r="AJ3" s="12" t="s">
        <v>124</v>
      </c>
      <c r="AK3" s="12" t="s">
        <v>127</v>
      </c>
      <c r="AL3" s="142"/>
      <c r="AM3" s="143"/>
      <c r="AN3" s="142"/>
      <c r="AO3" s="143"/>
      <c r="AP3" s="142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42"/>
      <c r="BF3" s="143"/>
      <c r="BG3" s="142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.75" hidden="1" x14ac:dyDescent="0.25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5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2.2488299999999999</v>
      </c>
      <c r="J5" s="18">
        <f t="shared" ref="J5:J29" si="1">IF(ISBLANK(S5),"·",S5/D5)</f>
        <v>9.6087134845658451E-2</v>
      </c>
      <c r="K5" s="18">
        <f t="shared" ref="K5:K29" si="2">IF(N5="","·",N5/D5)</f>
        <v>6.1039384135956165E-2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1523808</v>
      </c>
      <c r="O5" s="18">
        <f t="shared" ref="O5:O29" si="6">IF(ISBLANK(S5),"·",S5/P5)</f>
        <v>0.11071728075723496</v>
      </c>
      <c r="P5" s="42">
        <v>21665561</v>
      </c>
      <c r="Q5" s="42">
        <v>677048.78125</v>
      </c>
      <c r="R5" s="42">
        <v>13554.6875</v>
      </c>
      <c r="S5" s="43">
        <v>2398752</v>
      </c>
      <c r="T5" s="43">
        <v>847072</v>
      </c>
      <c r="U5" s="43">
        <v>676736</v>
      </c>
      <c r="V5" s="43">
        <v>875088</v>
      </c>
      <c r="W5" s="44">
        <v>66.333168749999999</v>
      </c>
      <c r="X5" s="44">
        <v>68.402850000000001</v>
      </c>
      <c r="Y5" s="44">
        <v>32.165624999999899</v>
      </c>
      <c r="Z5" s="44">
        <v>44.153831250000003</v>
      </c>
      <c r="AA5" s="44">
        <v>43.731209374999999</v>
      </c>
      <c r="AB5" s="45">
        <v>6740.31</v>
      </c>
      <c r="AC5" s="45">
        <v>1127.43</v>
      </c>
      <c r="AD5" s="45">
        <v>6.2</v>
      </c>
      <c r="AE5" s="45">
        <v>19.512</v>
      </c>
      <c r="AG5" s="17">
        <f t="shared" ref="AG5:AG29" si="7">IF(OR(ISBLANK(AQ5),ISBLANK(G5)),"·",AQ5*G5/F5/1000000)</f>
        <v>2.2488299999999999</v>
      </c>
      <c r="AH5" s="18">
        <f t="shared" ref="AH5:AH29" si="8">IF(ISBLANK(AQ5),"·",AQ5/D5)</f>
        <v>9.6087134845658451E-2</v>
      </c>
      <c r="AI5" s="18">
        <f t="shared" ref="AI5:AI29" si="9">IF(AL5="","·",AL5/D5)</f>
        <v>6.103179998489313E-2</v>
      </c>
      <c r="AJ5" s="18">
        <f t="shared" ref="AJ5:AJ29" si="10">IF(AR5="","·",AR5/D5)</f>
        <v>3.392882138033073E-2</v>
      </c>
      <c r="AK5" s="18">
        <f t="shared" ref="AK5:AK29" si="11">IF(ISBLANK(AT5),"·",AT5/D5)</f>
        <v>3.505106209960307E-2</v>
      </c>
      <c r="AL5" s="15">
        <f t="shared" ref="AL5:AL29" si="12">IF(OR(ISBLANK(AR5),ISBLANK(AS5)),"",AR5+AS5)</f>
        <v>1523618.666666667</v>
      </c>
      <c r="AM5" s="18">
        <f t="shared" ref="AM5:AM29" si="13">IF(ISBLANK(AQ5),"·",AQ5/AN5)</f>
        <v>0.11071728075723496</v>
      </c>
      <c r="AN5" s="92">
        <v>21665561</v>
      </c>
      <c r="AO5" s="92">
        <v>677048.78125</v>
      </c>
      <c r="AP5" s="92">
        <v>13554.6875</v>
      </c>
      <c r="AQ5" s="93">
        <v>2398752</v>
      </c>
      <c r="AR5" s="93">
        <v>847010.66666666698</v>
      </c>
      <c r="AS5" s="93">
        <v>676608</v>
      </c>
      <c r="AT5" s="93">
        <v>875026.66666666698</v>
      </c>
      <c r="AU5" s="94">
        <v>66.333168749999999</v>
      </c>
      <c r="AV5" s="94">
        <v>68.402850000000001</v>
      </c>
      <c r="AW5" s="94">
        <v>32.165624999999999</v>
      </c>
      <c r="AX5" s="94">
        <v>44.153831250000003</v>
      </c>
      <c r="AY5" s="94">
        <v>43.731209374999999</v>
      </c>
      <c r="AZ5" s="95">
        <v>4616.38</v>
      </c>
      <c r="BA5" s="95">
        <v>2158.9699999999998</v>
      </c>
      <c r="BB5" s="95">
        <v>11.38</v>
      </c>
      <c r="BC5" s="95">
        <v>28.994</v>
      </c>
      <c r="BE5" s="19">
        <f t="shared" ref="BE5:BE29" si="14">(AP5/AO5) - (R5/Q5)</f>
        <v>0</v>
      </c>
      <c r="BF5" s="19">
        <f t="shared" ref="BF5:BF29" si="15">(AL5/AQ5) - (N5/S5)</f>
        <v>-7.8929932453619678E-5</v>
      </c>
      <c r="BG5" s="19">
        <f t="array" ref="BG5">AVERAGE(AL5:AL9/AQ5:AQ9) - AVERAGE(N5:N9/S5:S9)</f>
        <v>-3.7699522442147249E-5</v>
      </c>
      <c r="BI5" s="96">
        <f>IF( OR(ISBLANK(N5:N9),ISBLANK(AL5:AL9), ISBLANK(W5:W9),ISBLANK(AU5:AU9)), "·", bdRateExtend( N5:N9,W5:W9, AL5:AL9,AU5:AU9))</f>
        <v>-8.6593899757181347E-5</v>
      </c>
      <c r="BJ5" s="96">
        <f>IF( OR(ISBLANK(N5:N9),ISBLANK(AL5:AL9), ISBLANK(X5:X9),ISBLANK(AV5:AV9)), "·", bdRateExtend( N5:N9,X5:X9, AL5:AL9,AV5:AV9))</f>
        <v>-8.2584474931146623E-5</v>
      </c>
      <c r="BK5" s="96">
        <f>IF( OR(ISBLANK(V5:V9),ISBLANK(AT5:AT9), ISBLANK(Y5:Y9),ISBLANK(AW5:AW9)), "·", bdRateExtend( V5:V9,Y5:Y9, AT5:AT9,AW5:AW9))</f>
        <v>-2.1855881361942942E-5</v>
      </c>
      <c r="BL5" s="96">
        <f>IF( OR(ISBLANK(V5:V9),ISBLANK(AT5:AT9), ISBLANK(Z5:Z9),ISBLANK(AX5:AX9)), "·", bdRateExtend( V5:V9,Z5:Z9, AT5:AT9,AX5:AX9))</f>
        <v>-2.179478581110228E-5</v>
      </c>
      <c r="BM5" s="96">
        <f>IF( OR(ISBLANK(V5:V9),ISBLANK(AT5:AT9), ISBLANK(AA5:AA9),ISBLANK(AY5:AY9)), "·", bdRateExtend( V5:V9,AA5:AA9, AT5:AT9,AY5:AY9))</f>
        <v>-2.1913363428827104E-5</v>
      </c>
      <c r="BN5" s="114"/>
      <c r="BO5" s="96">
        <f>IF( OR(ISBLANK(S5:S9),ISBLANK(AQ5:AQ9), ISBLANK(W5:W9),ISBLANK(AU5:AU9)), "·", bdRateExtend( S5:S9,W5:W9, AQ5:AQ9,AU5:AU9))</f>
        <v>-5.773159728050814E-15</v>
      </c>
      <c r="BP5" s="96">
        <f>IF( OR(ISBLANK(S5:S9),ISBLANK(AQ5:AQ9), ISBLANK(X5:X9),ISBLANK(AV5:AV9)), "·", bdRateExtend( S5:S9,X5:X9, AQ5:AQ9,AV5:AV9))</f>
        <v>0</v>
      </c>
      <c r="BQ5" s="96">
        <f>IF( OR(ISBLANK(S5:S9),ISBLANK(AQ5:AQ9), ISBLANK(Y5:Y9),ISBLANK(AW5:AW9)), "·", bdRateExtend( S5:S9,Y5:Y9, AQ5:AQ9,AW5:AW9))</f>
        <v>-1.3322676295501878E-14</v>
      </c>
      <c r="BR5" s="96">
        <f>IF( OR(ISBLANK(S5:S9),ISBLANK(AQ5:AQ9), ISBLANK(Z5:Z9),ISBLANK(AX5:AX9)), "·", bdRateExtend( S5:S9,Z5:Z9, AQ5:AQ9,AX5:AX9))</f>
        <v>-1.2434497875801753E-14</v>
      </c>
      <c r="BS5" s="96">
        <f>IF( OR(ISBLANK(S5:S9),ISBLANK(AQ5:AQ9), ISBLANK(AA5:AA9),ISBLANK(AY5:AY9)), "·", bdRateExtend( S5:S9,AA5:AA9, AQ5:AQ9,AY5:AY9))</f>
        <v>-1.6875389974302379E-14</v>
      </c>
      <c r="BU5">
        <f>AQ5-S5</f>
        <v>0</v>
      </c>
    </row>
    <row r="6" spans="1:73" outlineLevel="1" x14ac:dyDescent="0.25">
      <c r="A6" s="21"/>
      <c r="B6" s="21" t="s">
        <v>266</v>
      </c>
      <c r="C6" s="22" t="s">
        <v>269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3.4893749999999999</v>
      </c>
      <c r="J6" s="24">
        <f t="shared" si="1"/>
        <v>0.14909265980624123</v>
      </c>
      <c r="K6" s="24">
        <f t="shared" si="2"/>
        <v>7.3706732334732974E-2</v>
      </c>
      <c r="L6" s="24">
        <f t="shared" si="3"/>
        <v>4.6598626416775833E-2</v>
      </c>
      <c r="M6" s="24">
        <f t="shared" si="4"/>
        <v>7.5391695699077332E-2</v>
      </c>
      <c r="N6" s="21">
        <f t="shared" si="5"/>
        <v>1840040</v>
      </c>
      <c r="O6" s="24">
        <f t="shared" si="6"/>
        <v>0.15404884399628363</v>
      </c>
      <c r="P6" s="46">
        <v>24161168</v>
      </c>
      <c r="Q6" s="46">
        <v>755036.5</v>
      </c>
      <c r="R6" s="46">
        <v>19192.28125</v>
      </c>
      <c r="S6" s="47">
        <v>3722000</v>
      </c>
      <c r="T6" s="47">
        <v>1163304</v>
      </c>
      <c r="U6" s="47">
        <v>676736</v>
      </c>
      <c r="V6" s="47">
        <v>1882104</v>
      </c>
      <c r="W6" s="48">
        <v>68.2381125</v>
      </c>
      <c r="X6" s="48">
        <v>70.356650000000002</v>
      </c>
      <c r="Y6" s="48">
        <v>34.445496874999897</v>
      </c>
      <c r="Z6" s="48">
        <v>45.472078124999904</v>
      </c>
      <c r="AA6" s="48">
        <v>45.189937499999999</v>
      </c>
      <c r="AB6" s="49">
        <v>6675.28</v>
      </c>
      <c r="AC6" s="49">
        <v>1220.79</v>
      </c>
      <c r="AD6" s="49">
        <v>5.1639999999999997</v>
      </c>
      <c r="AE6" s="49">
        <v>15.68</v>
      </c>
      <c r="AG6" s="23">
        <f t="shared" si="7"/>
        <v>3.4893749999999999</v>
      </c>
      <c r="AH6" s="24">
        <f t="shared" si="8"/>
        <v>0.14909265980624123</v>
      </c>
      <c r="AI6" s="24">
        <f t="shared" si="9"/>
        <v>7.3699148183670057E-2</v>
      </c>
      <c r="AJ6" s="24">
        <f t="shared" si="10"/>
        <v>4.6596169579107657E-2</v>
      </c>
      <c r="AK6" s="24">
        <f t="shared" si="11"/>
        <v>7.5389238861409164E-2</v>
      </c>
      <c r="AL6" s="21">
        <f t="shared" si="12"/>
        <v>1839850.66666667</v>
      </c>
      <c r="AM6" s="24">
        <f t="shared" si="13"/>
        <v>0.15404884399628363</v>
      </c>
      <c r="AN6" s="97">
        <v>24161168</v>
      </c>
      <c r="AO6" s="97">
        <v>755036.5</v>
      </c>
      <c r="AP6" s="97">
        <v>19192.28125</v>
      </c>
      <c r="AQ6" s="98">
        <v>3722000</v>
      </c>
      <c r="AR6" s="98">
        <v>1163242.66666667</v>
      </c>
      <c r="AS6" s="98">
        <v>676608</v>
      </c>
      <c r="AT6" s="98">
        <v>1882042.66666667</v>
      </c>
      <c r="AU6" s="99">
        <v>68.2381125</v>
      </c>
      <c r="AV6" s="99">
        <v>70.356650000000002</v>
      </c>
      <c r="AW6" s="99">
        <v>34.445496875000003</v>
      </c>
      <c r="AX6" s="99">
        <v>45.472078125000003</v>
      </c>
      <c r="AY6" s="99">
        <v>45.189937499999999</v>
      </c>
      <c r="AZ6" s="100">
        <v>4639.63</v>
      </c>
      <c r="BA6" s="100">
        <v>2251.64</v>
      </c>
      <c r="BB6" s="100">
        <v>11.369</v>
      </c>
      <c r="BC6" s="100">
        <v>31.86</v>
      </c>
      <c r="BE6" s="25">
        <f t="shared" si="14"/>
        <v>0</v>
      </c>
      <c r="BF6" s="25">
        <f t="shared" si="15"/>
        <v>-5.0868708578732935E-5</v>
      </c>
      <c r="BG6" s="25"/>
      <c r="BI6" s="101"/>
      <c r="BJ6" s="101"/>
      <c r="BK6" s="101"/>
      <c r="BL6" s="101"/>
      <c r="BM6" s="101"/>
      <c r="BN6" s="114"/>
      <c r="BO6" s="101"/>
      <c r="BP6" s="101"/>
      <c r="BQ6" s="101"/>
      <c r="BR6" s="101"/>
      <c r="BS6" s="101"/>
      <c r="BU6" s="4">
        <f t="shared" ref="BU6:BU29" si="16">AQ6-S6</f>
        <v>0</v>
      </c>
    </row>
    <row r="7" spans="1:73" outlineLevel="1" x14ac:dyDescent="0.25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5.7166575000000002</v>
      </c>
      <c r="J7" s="18">
        <f t="shared" si="1"/>
        <v>0.2442591214404578</v>
      </c>
      <c r="K7" s="18">
        <f t="shared" si="2"/>
        <v>9.1622206250106905E-2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2287288</v>
      </c>
      <c r="O7" s="18">
        <f t="shared" si="6"/>
        <v>0.24536750614277061</v>
      </c>
      <c r="P7" s="42">
        <v>24851571</v>
      </c>
      <c r="Q7" s="42">
        <v>776611.59375</v>
      </c>
      <c r="R7" s="42">
        <v>21049.5</v>
      </c>
      <c r="S7" s="43">
        <v>6097768</v>
      </c>
      <c r="T7" s="43">
        <v>1610552</v>
      </c>
      <c r="U7" s="43">
        <v>676736</v>
      </c>
      <c r="V7" s="43">
        <v>3810624</v>
      </c>
      <c r="W7" s="44">
        <v>69.677409374999897</v>
      </c>
      <c r="X7" s="44">
        <v>72.041343749999996</v>
      </c>
      <c r="Y7" s="44">
        <v>36.986228124999897</v>
      </c>
      <c r="Z7" s="44">
        <v>46.565628125000003</v>
      </c>
      <c r="AA7" s="44">
        <v>46.444781249999998</v>
      </c>
      <c r="AB7" s="45">
        <v>6834.72</v>
      </c>
      <c r="AC7" s="45">
        <v>1282.18</v>
      </c>
      <c r="AD7" s="45">
        <v>8.4120000000000008</v>
      </c>
      <c r="AE7" s="45">
        <v>28.571999999999999</v>
      </c>
      <c r="AG7" s="17">
        <f t="shared" si="7"/>
        <v>5.7166575000000002</v>
      </c>
      <c r="AH7" s="18">
        <f t="shared" si="8"/>
        <v>0.2442591214404578</v>
      </c>
      <c r="AI7" s="18">
        <f t="shared" si="9"/>
        <v>9.1614622099043988E-2</v>
      </c>
      <c r="AJ7" s="18">
        <f t="shared" si="10"/>
        <v>6.4511643494481588E-2</v>
      </c>
      <c r="AK7" s="18">
        <f t="shared" si="11"/>
        <v>0.15264022658025181</v>
      </c>
      <c r="AL7" s="15">
        <f t="shared" si="12"/>
        <v>2287098.6666666698</v>
      </c>
      <c r="AM7" s="18">
        <f t="shared" si="13"/>
        <v>0.24536750614277061</v>
      </c>
      <c r="AN7" s="92">
        <v>24851571</v>
      </c>
      <c r="AO7" s="92">
        <v>776611.59375</v>
      </c>
      <c r="AP7" s="92">
        <v>21049.5</v>
      </c>
      <c r="AQ7" s="93">
        <v>6097768</v>
      </c>
      <c r="AR7" s="93">
        <v>1610490.66666667</v>
      </c>
      <c r="AS7" s="93">
        <v>676608</v>
      </c>
      <c r="AT7" s="93">
        <v>3810562.6666666698</v>
      </c>
      <c r="AU7" s="94">
        <v>69.677409374999996</v>
      </c>
      <c r="AV7" s="94">
        <v>72.041343749999996</v>
      </c>
      <c r="AW7" s="94">
        <v>36.986228124999997</v>
      </c>
      <c r="AX7" s="94">
        <v>46.565628125000003</v>
      </c>
      <c r="AY7" s="94">
        <v>46.444781249999998</v>
      </c>
      <c r="AZ7" s="95">
        <v>4543.04</v>
      </c>
      <c r="BA7" s="95">
        <v>2268.8200000000002</v>
      </c>
      <c r="BB7" s="95">
        <v>11.929</v>
      </c>
      <c r="BC7" s="95">
        <v>30.102</v>
      </c>
      <c r="BE7" s="19">
        <f t="shared" si="14"/>
        <v>0</v>
      </c>
      <c r="BF7" s="19">
        <f t="shared" si="15"/>
        <v>-3.104961246969129E-5</v>
      </c>
      <c r="BG7" s="19"/>
      <c r="BI7" s="96"/>
      <c r="BJ7" s="96"/>
      <c r="BK7" s="96"/>
      <c r="BL7" s="96"/>
      <c r="BM7" s="96"/>
      <c r="BN7" s="114"/>
      <c r="BO7" s="96"/>
      <c r="BP7" s="96"/>
      <c r="BQ7" s="96"/>
      <c r="BR7" s="96"/>
      <c r="BS7" s="96"/>
      <c r="BU7" s="4">
        <f t="shared" si="16"/>
        <v>0</v>
      </c>
    </row>
    <row r="8" spans="1:73" outlineLevel="1" x14ac:dyDescent="0.25">
      <c r="A8" s="21"/>
      <c r="B8" s="21" t="s">
        <v>266</v>
      </c>
      <c r="C8" s="22" t="s">
        <v>271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9.9381374999999998</v>
      </c>
      <c r="J8" s="24">
        <f t="shared" si="1"/>
        <v>0.42463287935379507</v>
      </c>
      <c r="K8" s="24">
        <f t="shared" si="2"/>
        <v>0.12107125118984716</v>
      </c>
      <c r="L8" s="24">
        <f t="shared" si="3"/>
        <v>9.3963145271890008E-2</v>
      </c>
      <c r="M8" s="24">
        <f t="shared" si="4"/>
        <v>0.30356739639151703</v>
      </c>
      <c r="N8" s="21">
        <f t="shared" si="5"/>
        <v>3022464</v>
      </c>
      <c r="O8" s="24">
        <f t="shared" si="6"/>
        <v>0.40887734574471613</v>
      </c>
      <c r="P8" s="46">
        <v>25926308</v>
      </c>
      <c r="Q8" s="46">
        <v>810197.125</v>
      </c>
      <c r="R8" s="46">
        <v>24362.6875</v>
      </c>
      <c r="S8" s="47">
        <v>10600680</v>
      </c>
      <c r="T8" s="47">
        <v>2345728</v>
      </c>
      <c r="U8" s="47">
        <v>676736</v>
      </c>
      <c r="V8" s="47">
        <v>7578360</v>
      </c>
      <c r="W8" s="48">
        <v>70.749765624999995</v>
      </c>
      <c r="X8" s="48">
        <v>73.293743750000004</v>
      </c>
      <c r="Y8" s="48">
        <v>39.614121875000002</v>
      </c>
      <c r="Z8" s="48">
        <v>47.886353124999999</v>
      </c>
      <c r="AA8" s="48">
        <v>47.917003124999901</v>
      </c>
      <c r="AB8" s="49">
        <v>8355.43</v>
      </c>
      <c r="AC8" s="49">
        <v>1408.56</v>
      </c>
      <c r="AD8" s="49">
        <v>9.4</v>
      </c>
      <c r="AE8" s="49">
        <v>27.135999999999999</v>
      </c>
      <c r="AG8" s="23">
        <f t="shared" si="7"/>
        <v>9.9381374999999998</v>
      </c>
      <c r="AH8" s="24">
        <f t="shared" si="8"/>
        <v>0.42463287935379507</v>
      </c>
      <c r="AI8" s="24">
        <f t="shared" si="9"/>
        <v>0.12106366703878423</v>
      </c>
      <c r="AJ8" s="24">
        <f t="shared" si="10"/>
        <v>9.3960688434221826E-2</v>
      </c>
      <c r="AK8" s="24">
        <f t="shared" si="11"/>
        <v>0.30356493955384883</v>
      </c>
      <c r="AL8" s="21">
        <f t="shared" si="12"/>
        <v>3022274.6666666698</v>
      </c>
      <c r="AM8" s="24">
        <f t="shared" si="13"/>
        <v>0.40887734574471613</v>
      </c>
      <c r="AN8" s="97">
        <v>25926308</v>
      </c>
      <c r="AO8" s="97">
        <v>810197.125</v>
      </c>
      <c r="AP8" s="97">
        <v>24362.6875</v>
      </c>
      <c r="AQ8" s="98">
        <v>10600680</v>
      </c>
      <c r="AR8" s="98">
        <v>2345666.6666666698</v>
      </c>
      <c r="AS8" s="98">
        <v>676608</v>
      </c>
      <c r="AT8" s="98">
        <v>7578298.6666666698</v>
      </c>
      <c r="AU8" s="99">
        <v>70.749765624999995</v>
      </c>
      <c r="AV8" s="99">
        <v>73.293743750000004</v>
      </c>
      <c r="AW8" s="99">
        <v>39.614121875000002</v>
      </c>
      <c r="AX8" s="99">
        <v>47.886353124999999</v>
      </c>
      <c r="AY8" s="99">
        <v>47.917003125000001</v>
      </c>
      <c r="AZ8" s="100">
        <v>4556.97</v>
      </c>
      <c r="BA8" s="100">
        <v>2589.61</v>
      </c>
      <c r="BB8" s="100">
        <v>12.349</v>
      </c>
      <c r="BC8" s="100">
        <v>30.379000000000001</v>
      </c>
      <c r="BE8" s="25">
        <f t="shared" si="14"/>
        <v>0</v>
      </c>
      <c r="BF8" s="25">
        <f t="shared" si="15"/>
        <v>-1.786048945262575E-5</v>
      </c>
      <c r="BG8" s="25"/>
      <c r="BI8" s="101"/>
      <c r="BJ8" s="101"/>
      <c r="BK8" s="101"/>
      <c r="BL8" s="101"/>
      <c r="BM8" s="101"/>
      <c r="BN8" s="114"/>
      <c r="BO8" s="101"/>
      <c r="BP8" s="101"/>
      <c r="BQ8" s="101"/>
      <c r="BR8" s="101"/>
      <c r="BS8" s="101"/>
      <c r="BU8" s="4">
        <f t="shared" si="16"/>
        <v>0</v>
      </c>
    </row>
    <row r="9" spans="1:73" ht="15.75" outlineLevel="1" thickBot="1" x14ac:dyDescent="0.3">
      <c r="A9" s="15"/>
      <c r="B9" s="27" t="s">
        <v>266</v>
      </c>
      <c r="C9" s="28" t="s">
        <v>272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18.132840000000002</v>
      </c>
      <c r="J9" s="30">
        <f t="shared" si="1"/>
        <v>0.77477294513802708</v>
      </c>
      <c r="K9" s="30">
        <f t="shared" si="2"/>
        <v>0.19590855612811892</v>
      </c>
      <c r="L9" s="30">
        <f t="shared" si="3"/>
        <v>0.14376538118911289</v>
      </c>
      <c r="M9" s="30">
        <f t="shared" si="4"/>
        <v>0.57887015723747726</v>
      </c>
      <c r="N9" s="27">
        <f t="shared" si="5"/>
        <v>4890728</v>
      </c>
      <c r="O9" s="30">
        <f t="shared" si="6"/>
        <v>0.7739149974935996</v>
      </c>
      <c r="P9" s="50">
        <v>24992016</v>
      </c>
      <c r="Q9" s="50">
        <v>781000.5</v>
      </c>
      <c r="R9" s="50">
        <v>10306.34375</v>
      </c>
      <c r="S9" s="51">
        <v>19341696</v>
      </c>
      <c r="T9" s="51">
        <v>3589008</v>
      </c>
      <c r="U9" s="51">
        <v>1301720</v>
      </c>
      <c r="V9" s="51">
        <v>14451112</v>
      </c>
      <c r="W9" s="52">
        <v>72.062162499999999</v>
      </c>
      <c r="X9" s="52">
        <v>75.321165625000006</v>
      </c>
      <c r="Y9" s="52">
        <v>42.039612499999997</v>
      </c>
      <c r="Z9" s="52">
        <v>49.434653124999997</v>
      </c>
      <c r="AA9" s="52">
        <v>49.581253124999897</v>
      </c>
      <c r="AB9" s="53">
        <v>8364.2999999999993</v>
      </c>
      <c r="AC9" s="53">
        <v>1638.86</v>
      </c>
      <c r="AD9" s="53">
        <v>6.7039999999999997</v>
      </c>
      <c r="AE9" s="53">
        <v>23.66</v>
      </c>
      <c r="AG9" s="29">
        <f t="shared" si="7"/>
        <v>18.132840000000002</v>
      </c>
      <c r="AH9" s="30">
        <f t="shared" si="8"/>
        <v>0.77477294513802708</v>
      </c>
      <c r="AI9" s="30">
        <f t="shared" si="9"/>
        <v>0.19590097197705597</v>
      </c>
      <c r="AJ9" s="30">
        <f t="shared" si="10"/>
        <v>0.14376292435144472</v>
      </c>
      <c r="AK9" s="30">
        <f t="shared" si="11"/>
        <v>0.57886770039981028</v>
      </c>
      <c r="AL9" s="27">
        <f t="shared" si="12"/>
        <v>4890538.6666666698</v>
      </c>
      <c r="AM9" s="30">
        <f t="shared" si="13"/>
        <v>0.7739149974935996</v>
      </c>
      <c r="AN9" s="102">
        <v>24992016</v>
      </c>
      <c r="AO9" s="102">
        <v>781000.5</v>
      </c>
      <c r="AP9" s="102">
        <v>10306.34375</v>
      </c>
      <c r="AQ9" s="103">
        <v>19341696</v>
      </c>
      <c r="AR9" s="103">
        <v>3588946.6666666698</v>
      </c>
      <c r="AS9" s="103">
        <v>1301592</v>
      </c>
      <c r="AT9" s="103">
        <v>14451050.6666667</v>
      </c>
      <c r="AU9" s="104">
        <v>72.062162499999999</v>
      </c>
      <c r="AV9" s="104">
        <v>75.321165625000006</v>
      </c>
      <c r="AW9" s="104">
        <v>42.039612499999997</v>
      </c>
      <c r="AX9" s="104">
        <v>49.434653124999997</v>
      </c>
      <c r="AY9" s="104">
        <v>49.581253125000003</v>
      </c>
      <c r="AZ9" s="105">
        <v>4499.12</v>
      </c>
      <c r="BA9" s="105">
        <v>2807.62</v>
      </c>
      <c r="BB9" s="105">
        <v>11.808999999999999</v>
      </c>
      <c r="BC9" s="105">
        <v>34.557000000000002</v>
      </c>
      <c r="BE9" s="31">
        <f t="shared" si="14"/>
        <v>0</v>
      </c>
      <c r="BF9" s="31">
        <f t="shared" si="15"/>
        <v>-9.7888692558445456E-6</v>
      </c>
      <c r="BG9" s="31"/>
      <c r="BI9" s="106"/>
      <c r="BJ9" s="106"/>
      <c r="BK9" s="106"/>
      <c r="BL9" s="106"/>
      <c r="BM9" s="106"/>
      <c r="BN9" s="114"/>
      <c r="BO9" s="106"/>
      <c r="BP9" s="106"/>
      <c r="BQ9" s="106"/>
      <c r="BR9" s="106"/>
      <c r="BS9" s="106"/>
      <c r="BU9" s="4">
        <f t="shared" si="16"/>
        <v>0</v>
      </c>
    </row>
    <row r="10" spans="1:73" x14ac:dyDescent="0.25">
      <c r="A10" s="21"/>
      <c r="B10" s="21" t="s">
        <v>275</v>
      </c>
      <c r="C10" s="22" t="s">
        <v>268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3.2629725000000001</v>
      </c>
      <c r="J10" s="24">
        <f t="shared" si="1"/>
        <v>0.15363215256606449</v>
      </c>
      <c r="K10" s="24">
        <f t="shared" si="2"/>
        <v>7.9627137555772429E-2</v>
      </c>
      <c r="L10" s="24">
        <f t="shared" si="3"/>
        <v>4.0425889643024265E-2</v>
      </c>
      <c r="M10" s="24">
        <f t="shared" si="4"/>
        <v>7.4011371282248536E-2</v>
      </c>
      <c r="N10" s="21">
        <f t="shared" si="5"/>
        <v>1803936</v>
      </c>
      <c r="O10" s="24">
        <f t="shared" si="6"/>
        <v>0.16845830984696616</v>
      </c>
      <c r="P10" s="46">
        <v>20660922</v>
      </c>
      <c r="Q10" s="46">
        <v>645653.8125</v>
      </c>
      <c r="R10" s="46">
        <v>18447.71875</v>
      </c>
      <c r="S10" s="47">
        <v>3480504</v>
      </c>
      <c r="T10" s="47">
        <v>915840</v>
      </c>
      <c r="U10" s="47">
        <v>888096</v>
      </c>
      <c r="V10" s="47">
        <v>1676712</v>
      </c>
      <c r="W10" s="48">
        <v>65.910393749999997</v>
      </c>
      <c r="X10" s="48">
        <v>67.841156249999997</v>
      </c>
      <c r="Y10" s="48">
        <v>32.503643750000002</v>
      </c>
      <c r="Z10" s="48">
        <v>39.236006249999903</v>
      </c>
      <c r="AA10" s="48">
        <v>32.222728125000003</v>
      </c>
      <c r="AB10" s="49">
        <v>7944.55</v>
      </c>
      <c r="AC10" s="49">
        <v>1137.0999999999999</v>
      </c>
      <c r="AD10" s="49">
        <v>5.34</v>
      </c>
      <c r="AE10" s="49">
        <v>17.34</v>
      </c>
      <c r="AG10" s="23">
        <f t="shared" si="7"/>
        <v>3.2629725000000001</v>
      </c>
      <c r="AH10" s="24">
        <f t="shared" si="8"/>
        <v>0.15363215256606449</v>
      </c>
      <c r="AI10" s="24">
        <f t="shared" si="9"/>
        <v>7.9618780235237108E-2</v>
      </c>
      <c r="AJ10" s="24">
        <f t="shared" si="10"/>
        <v>4.0423182342005787E-2</v>
      </c>
      <c r="AK10" s="24">
        <f t="shared" si="11"/>
        <v>7.4008663981230197E-2</v>
      </c>
      <c r="AL10" s="21">
        <f t="shared" si="12"/>
        <v>1803746.666666667</v>
      </c>
      <c r="AM10" s="24">
        <f t="shared" si="13"/>
        <v>0.16845830984696616</v>
      </c>
      <c r="AN10" s="97">
        <v>20660922</v>
      </c>
      <c r="AO10" s="97">
        <v>645653.8125</v>
      </c>
      <c r="AP10" s="97">
        <v>18447.71875</v>
      </c>
      <c r="AQ10" s="98">
        <v>3480504</v>
      </c>
      <c r="AR10" s="98">
        <v>915778.66666666698</v>
      </c>
      <c r="AS10" s="98">
        <v>887968</v>
      </c>
      <c r="AT10" s="98">
        <v>1676650.66666667</v>
      </c>
      <c r="AU10" s="99">
        <v>65.910393749999997</v>
      </c>
      <c r="AV10" s="99">
        <v>67.841156249999997</v>
      </c>
      <c r="AW10" s="99">
        <v>32.503643750000002</v>
      </c>
      <c r="AX10" s="99">
        <v>39.236006250000003</v>
      </c>
      <c r="AY10" s="99">
        <v>32.222728125000003</v>
      </c>
      <c r="AZ10" s="100">
        <v>4261.46</v>
      </c>
      <c r="BA10" s="100">
        <v>2140.33</v>
      </c>
      <c r="BB10" s="100">
        <v>10.673999999999999</v>
      </c>
      <c r="BC10" s="100">
        <v>29.367999999999999</v>
      </c>
      <c r="BE10" s="25">
        <f t="shared" si="14"/>
        <v>0</v>
      </c>
      <c r="BF10" s="25">
        <f t="shared" si="15"/>
        <v>-5.4398251900567018E-5</v>
      </c>
      <c r="BG10" s="25">
        <f t="array" ref="BG10">AVERAGE(AL10:AL14/AQ10:AQ14) - AVERAGE(N10:N14/S10:S14)</f>
        <v>-2.764469347510401E-5</v>
      </c>
      <c r="BI10" s="101">
        <f>IF( OR(ISBLANK(N10:N14),ISBLANK(AL10:AL14), ISBLANK(W10:W14),ISBLANK(AU10:AU14)), "·", bdRateExtend( N10:N14,W10:W14, AL10:AL14,AU10:AU14))</f>
        <v>-7.337057766521049E-5</v>
      </c>
      <c r="BJ10" s="101">
        <f>IF( OR(ISBLANK(N10:N14),ISBLANK(AL10:AL14), ISBLANK(X10:X14),ISBLANK(AV10:AV14)), "·", bdRateExtend( N10:N14,X10:X14, AL10:AL14,AV10:AV14))</f>
        <v>-6.8599433920457642E-5</v>
      </c>
      <c r="BK10" s="101">
        <f>IF( OR(ISBLANK(V10:V14),ISBLANK(AT10:AT14), ISBLANK(Y10:Y14),ISBLANK(AW10:AW14)), "·", bdRateExtend( V10:V14,Y10:Y14, AT10:AT14,AW10:AW14))</f>
        <v>-1.3884131477626127E-5</v>
      </c>
      <c r="BL10" s="101">
        <f>IF( OR(ISBLANK(V10:V14),ISBLANK(AT10:AT14), ISBLANK(Z10:Z14),ISBLANK(AX10:AX14)), "·", bdRateExtend( V10:V14,Z10:Z14, AT10:AT14,AX10:AX14))</f>
        <v>-1.299370550167378E-5</v>
      </c>
      <c r="BM10" s="101">
        <f>IF( OR(ISBLANK(V10:V14),ISBLANK(AT10:AT14), ISBLANK(AA10:AA14),ISBLANK(AY10:AY14)), "·", bdRateExtend( V10:V14,AA10:AA14, AT10:AT14,AY10:AY14))</f>
        <v>-1.4281046446185108E-5</v>
      </c>
      <c r="BN10" s="114"/>
      <c r="BO10" s="101">
        <f>IF( OR(ISBLANK(S10:S14),ISBLANK(AQ10:AQ14), ISBLANK(W10:W14),ISBLANK(AU10:AU14)), "·", bdRateExtend( S10:S14,W10:W14, AQ10:AQ14,AU10:AU14))</f>
        <v>0</v>
      </c>
      <c r="BP10" s="101">
        <f>IF( OR(ISBLANK(S10:S14),ISBLANK(AQ10:AQ14), ISBLANK(X10:X14),ISBLANK(AV10:AV14)), "·", bdRateExtend( S10:S14,X10:X14, AQ10:AQ14,AV10:AV14))</f>
        <v>-4.6629367034256575E-15</v>
      </c>
      <c r="BQ10" s="101">
        <f>IF( OR(ISBLANK(S10:S14),ISBLANK(AQ10:AQ14), ISBLANK(Y10:Y14),ISBLANK(AW10:AW14)), "·", bdRateExtend( S10:S14,Y10:Y14, AQ10:AQ14,AW10:AW14))</f>
        <v>0</v>
      </c>
      <c r="BR10" s="101">
        <f>IF( OR(ISBLANK(S10:S14),ISBLANK(AQ10:AQ14), ISBLANK(Z10:Z14),ISBLANK(AX10:AX14)), "·", bdRateExtend( S10:S14,Z10:Z14, AQ10:AQ14,AX10:AX14))</f>
        <v>-3.0642155479654321E-14</v>
      </c>
      <c r="BS10" s="101">
        <f>IF( OR(ISBLANK(S10:S14),ISBLANK(AQ10:AQ14), ISBLANK(AA10:AA14),ISBLANK(AY10:AY14)), "·", bdRateExtend( S10:S14,AA10:AA14, AQ10:AQ14,AY10:AY14))</f>
        <v>-1.532107773982716E-14</v>
      </c>
      <c r="BU10" s="4">
        <f t="shared" si="16"/>
        <v>0</v>
      </c>
    </row>
    <row r="11" spans="1:73" outlineLevel="1" x14ac:dyDescent="0.25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4.7058074999999997</v>
      </c>
      <c r="J11" s="18">
        <f t="shared" si="1"/>
        <v>0.22156586847928708</v>
      </c>
      <c r="K11" s="18">
        <f t="shared" si="2"/>
        <v>9.5649533526884753E-2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2166920</v>
      </c>
      <c r="O11" s="18">
        <f t="shared" si="6"/>
        <v>0.22600702011394977</v>
      </c>
      <c r="P11" s="42">
        <v>22209611</v>
      </c>
      <c r="Q11" s="42">
        <v>694050.34375</v>
      </c>
      <c r="R11" s="42">
        <v>23853.375</v>
      </c>
      <c r="S11" s="43">
        <v>5019528</v>
      </c>
      <c r="T11" s="43">
        <v>1278824</v>
      </c>
      <c r="U11" s="43">
        <v>888096</v>
      </c>
      <c r="V11" s="43">
        <v>2852752</v>
      </c>
      <c r="W11" s="44">
        <v>67.633171875000002</v>
      </c>
      <c r="X11" s="44">
        <v>69.747609374999996</v>
      </c>
      <c r="Y11" s="44">
        <v>34.396753124999996</v>
      </c>
      <c r="Z11" s="44">
        <v>40.080587499999901</v>
      </c>
      <c r="AA11" s="44">
        <v>33.994296874999897</v>
      </c>
      <c r="AB11" s="45">
        <v>7930.01</v>
      </c>
      <c r="AC11" s="45">
        <v>1201.5</v>
      </c>
      <c r="AD11" s="45">
        <v>7.1239999999999997</v>
      </c>
      <c r="AE11" s="45">
        <v>21.952000000000002</v>
      </c>
      <c r="AG11" s="17">
        <f t="shared" si="7"/>
        <v>4.7058074999999997</v>
      </c>
      <c r="AH11" s="18">
        <f t="shared" si="8"/>
        <v>0.22156586847928708</v>
      </c>
      <c r="AI11" s="18">
        <f t="shared" si="9"/>
        <v>9.5641176206349557E-2</v>
      </c>
      <c r="AJ11" s="18">
        <f t="shared" si="10"/>
        <v>5.6445578313118257E-2</v>
      </c>
      <c r="AK11" s="18">
        <f t="shared" si="11"/>
        <v>0.12591998392334044</v>
      </c>
      <c r="AL11" s="15">
        <f t="shared" si="12"/>
        <v>2166730.6666666698</v>
      </c>
      <c r="AM11" s="18">
        <f t="shared" si="13"/>
        <v>0.22600702011394977</v>
      </c>
      <c r="AN11" s="92">
        <v>22209611</v>
      </c>
      <c r="AO11" s="92">
        <v>694050.34375</v>
      </c>
      <c r="AP11" s="92">
        <v>23853.375</v>
      </c>
      <c r="AQ11" s="93">
        <v>5019528</v>
      </c>
      <c r="AR11" s="93">
        <v>1278762.66666667</v>
      </c>
      <c r="AS11" s="93">
        <v>887968</v>
      </c>
      <c r="AT11" s="93">
        <v>2852690.6666666698</v>
      </c>
      <c r="AU11" s="94">
        <v>67.633171875000002</v>
      </c>
      <c r="AV11" s="94">
        <v>69.747609374999996</v>
      </c>
      <c r="AW11" s="94">
        <v>34.396753124999996</v>
      </c>
      <c r="AX11" s="94">
        <v>40.0805875</v>
      </c>
      <c r="AY11" s="94">
        <v>33.994296875000003</v>
      </c>
      <c r="AZ11" s="95">
        <v>4245.62</v>
      </c>
      <c r="BA11" s="95">
        <v>2188.17</v>
      </c>
      <c r="BB11" s="95">
        <v>10.847</v>
      </c>
      <c r="BC11" s="95">
        <v>30.832999999999998</v>
      </c>
      <c r="BE11" s="19">
        <f t="shared" si="14"/>
        <v>0</v>
      </c>
      <c r="BF11" s="19">
        <f t="shared" si="15"/>
        <v>-3.7719349972764604E-5</v>
      </c>
      <c r="BG11" s="19"/>
      <c r="BI11" s="96"/>
      <c r="BJ11" s="96"/>
      <c r="BK11" s="96"/>
      <c r="BL11" s="96"/>
      <c r="BM11" s="96"/>
      <c r="BN11" s="114"/>
      <c r="BO11" s="96"/>
      <c r="BP11" s="96"/>
      <c r="BQ11" s="96"/>
      <c r="BR11" s="96"/>
      <c r="BS11" s="96"/>
      <c r="BU11" s="4">
        <f t="shared" si="16"/>
        <v>0</v>
      </c>
    </row>
    <row r="12" spans="1:73" outlineLevel="1" x14ac:dyDescent="0.25">
      <c r="A12" s="21"/>
      <c r="B12" s="21" t="s">
        <v>275</v>
      </c>
      <c r="C12" s="22" t="s">
        <v>270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7.3000724999999997</v>
      </c>
      <c r="J12" s="24">
        <f t="shared" si="1"/>
        <v>0.34371293416151438</v>
      </c>
      <c r="K12" s="24">
        <f t="shared" si="2"/>
        <v>0.11956500676302922</v>
      </c>
      <c r="L12" s="24">
        <f t="shared" si="3"/>
        <v>8.0363758850281061E-2</v>
      </c>
      <c r="M12" s="24">
        <f t="shared" si="4"/>
        <v>0.2241542836704416</v>
      </c>
      <c r="N12" s="21">
        <f t="shared" si="5"/>
        <v>2708720</v>
      </c>
      <c r="O12" s="24">
        <f t="shared" si="6"/>
        <v>0.3427526730811547</v>
      </c>
      <c r="P12" s="46">
        <v>22718259</v>
      </c>
      <c r="Q12" s="46">
        <v>709945.59375</v>
      </c>
      <c r="R12" s="46">
        <v>25700.59375</v>
      </c>
      <c r="S12" s="47">
        <v>7786744</v>
      </c>
      <c r="T12" s="47">
        <v>1820624</v>
      </c>
      <c r="U12" s="47">
        <v>888096</v>
      </c>
      <c r="V12" s="47">
        <v>5078168</v>
      </c>
      <c r="W12" s="48">
        <v>69.019671875</v>
      </c>
      <c r="X12" s="48">
        <v>71.3631406249999</v>
      </c>
      <c r="Y12" s="48">
        <v>36.512412500000003</v>
      </c>
      <c r="Z12" s="48">
        <v>41.018809374999996</v>
      </c>
      <c r="AA12" s="48">
        <v>35.786293749999899</v>
      </c>
      <c r="AB12" s="49">
        <v>5898.56</v>
      </c>
      <c r="AC12" s="49">
        <v>1304.79</v>
      </c>
      <c r="AD12" s="49">
        <v>6.2039999999999997</v>
      </c>
      <c r="AE12" s="49">
        <v>21.044</v>
      </c>
      <c r="AG12" s="23">
        <f t="shared" si="7"/>
        <v>7.3000724999999997</v>
      </c>
      <c r="AH12" s="24">
        <f t="shared" si="8"/>
        <v>0.34371293416151438</v>
      </c>
      <c r="AI12" s="24">
        <f t="shared" si="9"/>
        <v>0.11955664944249403</v>
      </c>
      <c r="AJ12" s="24">
        <f t="shared" si="10"/>
        <v>8.0361051549262721E-2</v>
      </c>
      <c r="AK12" s="24">
        <f t="shared" si="11"/>
        <v>0.22415157636942326</v>
      </c>
      <c r="AL12" s="21">
        <f t="shared" si="12"/>
        <v>2708530.6666666698</v>
      </c>
      <c r="AM12" s="24">
        <f t="shared" si="13"/>
        <v>0.3427526730811547</v>
      </c>
      <c r="AN12" s="97">
        <v>22718259</v>
      </c>
      <c r="AO12" s="97">
        <v>709945.59375</v>
      </c>
      <c r="AP12" s="97">
        <v>25700.59375</v>
      </c>
      <c r="AQ12" s="98">
        <v>7786744</v>
      </c>
      <c r="AR12" s="98">
        <v>1820562.66666667</v>
      </c>
      <c r="AS12" s="98">
        <v>887968</v>
      </c>
      <c r="AT12" s="98">
        <v>5078106.6666666698</v>
      </c>
      <c r="AU12" s="99">
        <v>69.019671875</v>
      </c>
      <c r="AV12" s="99">
        <v>71.363140625</v>
      </c>
      <c r="AW12" s="99">
        <v>36.512412500000003</v>
      </c>
      <c r="AX12" s="99">
        <v>41.018809374999996</v>
      </c>
      <c r="AY12" s="99">
        <v>35.786293749999999</v>
      </c>
      <c r="AZ12" s="100">
        <v>4254.7</v>
      </c>
      <c r="BA12" s="100">
        <v>2393.56</v>
      </c>
      <c r="BB12" s="100">
        <v>11.132999999999999</v>
      </c>
      <c r="BC12" s="100">
        <v>30.06</v>
      </c>
      <c r="BE12" s="25">
        <f t="shared" si="14"/>
        <v>0</v>
      </c>
      <c r="BF12" s="25">
        <f t="shared" si="15"/>
        <v>-2.4314827009874751E-5</v>
      </c>
      <c r="BG12" s="25"/>
      <c r="BI12" s="101"/>
      <c r="BJ12" s="101"/>
      <c r="BK12" s="101"/>
      <c r="BL12" s="101"/>
      <c r="BM12" s="101"/>
      <c r="BN12" s="114"/>
      <c r="BO12" s="101"/>
      <c r="BP12" s="101"/>
      <c r="BQ12" s="101"/>
      <c r="BR12" s="101"/>
      <c r="BS12" s="101"/>
      <c r="BU12" s="4">
        <f t="shared" si="16"/>
        <v>0</v>
      </c>
    </row>
    <row r="13" spans="1:73" outlineLevel="1" x14ac:dyDescent="0.25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12.64986</v>
      </c>
      <c r="J13" s="18">
        <f t="shared" si="1"/>
        <v>0.59559963237794888</v>
      </c>
      <c r="K13" s="18">
        <f t="shared" si="2"/>
        <v>0.16115974419360074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3651040</v>
      </c>
      <c r="O13" s="18">
        <f t="shared" si="6"/>
        <v>0.57202443142254855</v>
      </c>
      <c r="P13" s="42">
        <v>23588475</v>
      </c>
      <c r="Q13" s="42">
        <v>737139.84375</v>
      </c>
      <c r="R13" s="42">
        <v>29305.53125</v>
      </c>
      <c r="S13" s="43">
        <v>13493184</v>
      </c>
      <c r="T13" s="43">
        <v>2762944</v>
      </c>
      <c r="U13" s="43">
        <v>888096</v>
      </c>
      <c r="V13" s="43">
        <v>9842288</v>
      </c>
      <c r="W13" s="44">
        <v>70.058049999999994</v>
      </c>
      <c r="X13" s="44">
        <v>72.60575</v>
      </c>
      <c r="Y13" s="44">
        <v>38.843421874999997</v>
      </c>
      <c r="Z13" s="44">
        <v>42.199859374999903</v>
      </c>
      <c r="AA13" s="44">
        <v>37.872881249999999</v>
      </c>
      <c r="AB13" s="45">
        <v>5910.68</v>
      </c>
      <c r="AC13" s="45">
        <v>1437.54</v>
      </c>
      <c r="AD13" s="45">
        <v>6.3360000000000003</v>
      </c>
      <c r="AE13" s="45">
        <v>21.404</v>
      </c>
      <c r="AG13" s="17">
        <f t="shared" si="7"/>
        <v>12.64986</v>
      </c>
      <c r="AH13" s="18">
        <f t="shared" si="8"/>
        <v>0.59559963237794888</v>
      </c>
      <c r="AI13" s="18">
        <f t="shared" si="9"/>
        <v>0.16115138687306554</v>
      </c>
      <c r="AJ13" s="18">
        <f t="shared" si="10"/>
        <v>0.12195578897983424</v>
      </c>
      <c r="AK13" s="18">
        <f t="shared" si="11"/>
        <v>0.43444353715528622</v>
      </c>
      <c r="AL13" s="15">
        <f t="shared" si="12"/>
        <v>3650850.6666666698</v>
      </c>
      <c r="AM13" s="18">
        <f t="shared" si="13"/>
        <v>0.57202443142254855</v>
      </c>
      <c r="AN13" s="92">
        <v>23588475</v>
      </c>
      <c r="AO13" s="92">
        <v>737139.84375</v>
      </c>
      <c r="AP13" s="92">
        <v>29305.53125</v>
      </c>
      <c r="AQ13" s="93">
        <v>13493184</v>
      </c>
      <c r="AR13" s="93">
        <v>2762882.6666666698</v>
      </c>
      <c r="AS13" s="93">
        <v>887968</v>
      </c>
      <c r="AT13" s="93">
        <v>9842226.6666666698</v>
      </c>
      <c r="AU13" s="94">
        <v>70.058049999999994</v>
      </c>
      <c r="AV13" s="94">
        <v>72.60575</v>
      </c>
      <c r="AW13" s="94">
        <v>38.843421874999997</v>
      </c>
      <c r="AX13" s="94">
        <v>42.199859375000003</v>
      </c>
      <c r="AY13" s="94">
        <v>37.872881249999999</v>
      </c>
      <c r="AZ13" s="95">
        <v>4231.45</v>
      </c>
      <c r="BA13" s="95">
        <v>2483.14</v>
      </c>
      <c r="BB13" s="95">
        <v>10.988</v>
      </c>
      <c r="BC13" s="95">
        <v>31.379000000000001</v>
      </c>
      <c r="BE13" s="19">
        <f t="shared" si="14"/>
        <v>0</v>
      </c>
      <c r="BF13" s="19">
        <f t="shared" si="15"/>
        <v>-1.4031775845468886E-5</v>
      </c>
      <c r="BG13" s="19"/>
      <c r="BI13" s="96"/>
      <c r="BJ13" s="96"/>
      <c r="BK13" s="96"/>
      <c r="BL13" s="96"/>
      <c r="BM13" s="96"/>
      <c r="BN13" s="114"/>
      <c r="BO13" s="96"/>
      <c r="BP13" s="96"/>
      <c r="BQ13" s="96"/>
      <c r="BR13" s="96"/>
      <c r="BS13" s="96"/>
      <c r="BU13" s="4">
        <f t="shared" si="16"/>
        <v>0</v>
      </c>
    </row>
    <row r="14" spans="1:73" ht="15.75" outlineLevel="1" thickBot="1" x14ac:dyDescent="0.3">
      <c r="A14" s="21"/>
      <c r="B14" s="33" t="s">
        <v>275</v>
      </c>
      <c r="C14" s="34" t="s">
        <v>272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22.875885</v>
      </c>
      <c r="J14" s="36">
        <f t="shared" si="1"/>
        <v>1.0770766392924693</v>
      </c>
      <c r="K14" s="36">
        <f t="shared" si="2"/>
        <v>0.26421468767596995</v>
      </c>
      <c r="L14" s="36">
        <f t="shared" si="3"/>
        <v>0.19156744298081965</v>
      </c>
      <c r="M14" s="36">
        <f t="shared" si="4"/>
        <v>0.81286830788845577</v>
      </c>
      <c r="N14" s="33">
        <f t="shared" si="5"/>
        <v>5985728</v>
      </c>
      <c r="O14" s="36">
        <f t="shared" si="6"/>
        <v>1.0898608672232335</v>
      </c>
      <c r="P14" s="54">
        <v>22389045</v>
      </c>
      <c r="Q14" s="54">
        <v>699657.65625</v>
      </c>
      <c r="R14" s="54">
        <v>13460.21875</v>
      </c>
      <c r="S14" s="55">
        <v>24400944</v>
      </c>
      <c r="T14" s="55">
        <v>4339920</v>
      </c>
      <c r="U14" s="55">
        <v>1645808</v>
      </c>
      <c r="V14" s="55">
        <v>18415360</v>
      </c>
      <c r="W14" s="56">
        <v>71.168831249999997</v>
      </c>
      <c r="X14" s="56">
        <v>74.761062499999994</v>
      </c>
      <c r="Y14" s="56">
        <v>41.099753124999999</v>
      </c>
      <c r="Z14" s="56">
        <v>43.515153124999998</v>
      </c>
      <c r="AA14" s="56">
        <v>39.69825625</v>
      </c>
      <c r="AB14" s="57">
        <v>5779.28</v>
      </c>
      <c r="AC14" s="57">
        <v>1677.58</v>
      </c>
      <c r="AD14" s="57">
        <v>5.8559999999999999</v>
      </c>
      <c r="AE14" s="57">
        <v>21.867999999999999</v>
      </c>
      <c r="AG14" s="35">
        <f t="shared" si="7"/>
        <v>22.875885</v>
      </c>
      <c r="AH14" s="36">
        <f t="shared" si="8"/>
        <v>1.0770766392924693</v>
      </c>
      <c r="AI14" s="36">
        <f t="shared" si="9"/>
        <v>0.26420633035543478</v>
      </c>
      <c r="AJ14" s="36">
        <f t="shared" si="10"/>
        <v>0.19156473567980128</v>
      </c>
      <c r="AK14" s="36">
        <f t="shared" si="11"/>
        <v>0.81286560058743873</v>
      </c>
      <c r="AL14" s="33">
        <f t="shared" si="12"/>
        <v>5985538.6666666698</v>
      </c>
      <c r="AM14" s="36">
        <f t="shared" si="13"/>
        <v>1.0898608672232335</v>
      </c>
      <c r="AN14" s="107">
        <v>22389045</v>
      </c>
      <c r="AO14" s="107">
        <v>699657.65625</v>
      </c>
      <c r="AP14" s="107">
        <v>13460.21875</v>
      </c>
      <c r="AQ14" s="108">
        <v>24400944</v>
      </c>
      <c r="AR14" s="108">
        <v>4339858.6666666698</v>
      </c>
      <c r="AS14" s="108">
        <v>1645680</v>
      </c>
      <c r="AT14" s="108">
        <v>18415298.666666701</v>
      </c>
      <c r="AU14" s="109">
        <v>71.168831249999997</v>
      </c>
      <c r="AV14" s="109">
        <v>74.761062499999994</v>
      </c>
      <c r="AW14" s="109">
        <v>41.099753124999999</v>
      </c>
      <c r="AX14" s="109">
        <v>43.515153124999998</v>
      </c>
      <c r="AY14" s="109">
        <v>39.69825625</v>
      </c>
      <c r="AZ14" s="110">
        <v>4154.13</v>
      </c>
      <c r="BA14" s="110">
        <v>2978.53</v>
      </c>
      <c r="BB14" s="110">
        <v>10.997999999999999</v>
      </c>
      <c r="BC14" s="110">
        <v>34.450000000000003</v>
      </c>
      <c r="BE14" s="37">
        <f t="shared" si="14"/>
        <v>0</v>
      </c>
      <c r="BF14" s="37">
        <f t="shared" si="15"/>
        <v>-7.7592626469558112E-6</v>
      </c>
      <c r="BG14" s="37"/>
      <c r="BI14" s="111"/>
      <c r="BJ14" s="111"/>
      <c r="BK14" s="111"/>
      <c r="BL14" s="111"/>
      <c r="BM14" s="111"/>
      <c r="BN14" s="114"/>
      <c r="BO14" s="111"/>
      <c r="BP14" s="111"/>
      <c r="BQ14" s="111"/>
      <c r="BR14" s="111"/>
      <c r="BS14" s="111"/>
      <c r="BU14" s="4">
        <f t="shared" si="16"/>
        <v>0</v>
      </c>
    </row>
    <row r="15" spans="1:73" x14ac:dyDescent="0.25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4.5382724999999997</v>
      </c>
      <c r="J15" s="18">
        <f t="shared" si="1"/>
        <v>0.14259644786727638</v>
      </c>
      <c r="K15" s="18">
        <f t="shared" si="2"/>
        <v>7.9615601849879869E-2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2702768</v>
      </c>
      <c r="O15" s="18">
        <f t="shared" si="6"/>
        <v>0.15668431632985058</v>
      </c>
      <c r="P15" s="42">
        <v>30895396</v>
      </c>
      <c r="Q15" s="42">
        <v>965481.125</v>
      </c>
      <c r="R15" s="42">
        <v>29621.5625</v>
      </c>
      <c r="S15" s="43">
        <v>4840824</v>
      </c>
      <c r="T15" s="43">
        <v>1405896</v>
      </c>
      <c r="U15" s="43">
        <v>1296872</v>
      </c>
      <c r="V15" s="43">
        <v>2138200</v>
      </c>
      <c r="W15" s="44">
        <v>65.996243750000005</v>
      </c>
      <c r="X15" s="44">
        <v>67.799565625</v>
      </c>
      <c r="Y15" s="44">
        <v>29.58718125</v>
      </c>
      <c r="Z15" s="44">
        <v>43.17996875</v>
      </c>
      <c r="AA15" s="44">
        <v>43.4143468749999</v>
      </c>
      <c r="AB15" s="45">
        <v>7367.24</v>
      </c>
      <c r="AC15" s="45">
        <v>1642.54</v>
      </c>
      <c r="AD15" s="45">
        <v>12.112</v>
      </c>
      <c r="AE15" s="45">
        <v>37.671999999999997</v>
      </c>
      <c r="AG15" s="17">
        <f t="shared" si="7"/>
        <v>4.5382724999999997</v>
      </c>
      <c r="AH15" s="18">
        <f t="shared" si="8"/>
        <v>0.14259644786727638</v>
      </c>
      <c r="AI15" s="18">
        <f t="shared" si="9"/>
        <v>7.9610024646330269E-2</v>
      </c>
      <c r="AJ15" s="18">
        <f t="shared" si="10"/>
        <v>4.1411757534532072E-2</v>
      </c>
      <c r="AK15" s="18">
        <f t="shared" si="11"/>
        <v>6.2983281134439434E-2</v>
      </c>
      <c r="AL15" s="15">
        <f t="shared" si="12"/>
        <v>2702578.6666666698</v>
      </c>
      <c r="AM15" s="18">
        <f t="shared" si="13"/>
        <v>0.15668431632985058</v>
      </c>
      <c r="AN15" s="92">
        <v>30895396</v>
      </c>
      <c r="AO15" s="92">
        <v>965481.125</v>
      </c>
      <c r="AP15" s="92">
        <v>29621.5625</v>
      </c>
      <c r="AQ15" s="93">
        <v>4840824</v>
      </c>
      <c r="AR15" s="93">
        <v>1405834.66666667</v>
      </c>
      <c r="AS15" s="93">
        <v>1296744</v>
      </c>
      <c r="AT15" s="93">
        <v>2138138.6666666698</v>
      </c>
      <c r="AU15" s="94">
        <v>65.996243750000005</v>
      </c>
      <c r="AV15" s="94">
        <v>67.799565625</v>
      </c>
      <c r="AW15" s="94">
        <v>29.58718125</v>
      </c>
      <c r="AX15" s="94">
        <v>43.17996875</v>
      </c>
      <c r="AY15" s="94">
        <v>43.414346875</v>
      </c>
      <c r="AZ15" s="95">
        <v>6322.41</v>
      </c>
      <c r="BA15" s="95">
        <v>2526.67</v>
      </c>
      <c r="BB15" s="95">
        <v>11.375</v>
      </c>
      <c r="BC15" s="95">
        <v>37.366999999999997</v>
      </c>
      <c r="BE15" s="19">
        <f t="shared" si="14"/>
        <v>0</v>
      </c>
      <c r="BF15" s="19">
        <f t="shared" si="15"/>
        <v>-3.9111798596724867E-5</v>
      </c>
      <c r="BG15" s="19">
        <f t="array" ref="BG15">AVERAGE(AL15:AL19/AQ15:AQ19) - AVERAGE(N15:N19/S15:S19)</f>
        <v>-1.8117074714218973E-5</v>
      </c>
      <c r="BI15" s="96">
        <f>IF( OR(ISBLANK(N15:N19),ISBLANK(AL15:AL19), ISBLANK(W15:W19),ISBLANK(AU15:AU19)), "·", bdRateExtend( N15:N19,W15:W19, AL15:AL19,AU15:AU19))</f>
        <v>-4.9284970869867273E-5</v>
      </c>
      <c r="BJ15" s="96">
        <f>IF( OR(ISBLANK(N15:N19),ISBLANK(AL15:AL19), ISBLANK(X15:X19),ISBLANK(AV15:AV19)), "·", bdRateExtend( N15:N19,X15:X19, AL15:AL19,AV15:AV19))</f>
        <v>-4.6719768646674709E-5</v>
      </c>
      <c r="BK15" s="96">
        <f>IF( OR(ISBLANK(V15:V19),ISBLANK(AT15:AT19), ISBLANK(Y15:Y19),ISBLANK(AW15:AW19)), "·", bdRateExtend( V15:V19,Y15:Y19, AT15:AT19,AW15:AW19))</f>
        <v>-9.5878539068117163E-6</v>
      </c>
      <c r="BL15" s="96">
        <f>IF( OR(ISBLANK(V15:V19),ISBLANK(AT15:AT19), ISBLANK(Z15:Z19),ISBLANK(AX15:AX19)), "·", bdRateExtend( V15:V19,Z15:Z19, AT15:AT19,AX15:AX19))</f>
        <v>-7.3886661071664861E-6</v>
      </c>
      <c r="BM15" s="96">
        <f>IF( OR(ISBLANK(V15:V19),ISBLANK(AT15:AT19), ISBLANK(AA15:AA19),ISBLANK(AY15:AY19)), "·", bdRateExtend( V15:V19,AA15:AA19, AT15:AT19,AY15:AY19))</f>
        <v>-7.7679124689256085E-6</v>
      </c>
      <c r="BN15" s="114"/>
      <c r="BO15" s="96">
        <f>IF( OR(ISBLANK(S15:S19),ISBLANK(AQ15:AQ19), ISBLANK(W15:W19),ISBLANK(AU15:AU19)), "·", bdRateExtend( S15:S19,W15:W19, AQ15:AQ19,AU15:AU19))</f>
        <v>-1.7763568394002505E-14</v>
      </c>
      <c r="BP15" s="96">
        <f>IF( OR(ISBLANK(S15:S19),ISBLANK(AQ15:AQ19), ISBLANK(X15:X19),ISBLANK(AV15:AV19)), "·", bdRateExtend( S15:S19,X15:X19, AQ15:AQ19,AV15:AV19))</f>
        <v>-9.1038288019262836E-15</v>
      </c>
      <c r="BQ15" s="96">
        <f>IF( OR(ISBLANK(S15:S19),ISBLANK(AQ15:AQ19), ISBLANK(Y15:Y19),ISBLANK(AW15:AW19)), "·", bdRateExtend( S15:S19,Y15:Y19, AQ15:AQ19,AW15:AW19))</f>
        <v>-6.6613381477509392E-15</v>
      </c>
      <c r="BR15" s="96">
        <f>IF( OR(ISBLANK(S15:S19),ISBLANK(AQ15:AQ19), ISBLANK(Z15:Z19),ISBLANK(AX15:AX19)), "·", bdRateExtend( S15:S19,Z15:Z19, AQ15:AQ19,AX15:AX19))</f>
        <v>-1.7097434579227411E-14</v>
      </c>
      <c r="BS15" s="96">
        <f>IF( OR(ISBLANK(S15:S19),ISBLANK(AQ15:AQ19), ISBLANK(AA15:AA19),ISBLANK(AY15:AY19)), "·", bdRateExtend( S15:S19,AA15:AA19, AQ15:AQ19,AY15:AY19))</f>
        <v>-3.1086244689504383E-15</v>
      </c>
      <c r="BU15" s="4">
        <f t="shared" si="16"/>
        <v>0</v>
      </c>
    </row>
    <row r="16" spans="1:73" outlineLevel="1" x14ac:dyDescent="0.25">
      <c r="A16" s="21"/>
      <c r="B16" s="21" t="s">
        <v>278</v>
      </c>
      <c r="C16" s="22" t="s">
        <v>269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7.2577350000000003</v>
      </c>
      <c r="J16" s="24">
        <f t="shared" si="1"/>
        <v>0.22804431213903686</v>
      </c>
      <c r="K16" s="24">
        <f t="shared" si="2"/>
        <v>9.5819106309295965E-2</v>
      </c>
      <c r="L16" s="24">
        <f t="shared" si="3"/>
        <v>5.7617068693689516E-2</v>
      </c>
      <c r="M16" s="24">
        <f t="shared" si="4"/>
        <v>0.13222944764652517</v>
      </c>
      <c r="N16" s="21">
        <f t="shared" si="5"/>
        <v>3252840</v>
      </c>
      <c r="O16" s="24">
        <f t="shared" si="6"/>
        <v>0.23094422782025739</v>
      </c>
      <c r="P16" s="46">
        <v>33521444</v>
      </c>
      <c r="Q16" s="46">
        <v>1047545.125</v>
      </c>
      <c r="R16" s="46">
        <v>37744.8125</v>
      </c>
      <c r="S16" s="47">
        <v>7741584</v>
      </c>
      <c r="T16" s="47">
        <v>1955968</v>
      </c>
      <c r="U16" s="47">
        <v>1296872</v>
      </c>
      <c r="V16" s="47">
        <v>4488888</v>
      </c>
      <c r="W16" s="48">
        <v>67.830737499999998</v>
      </c>
      <c r="X16" s="48">
        <v>69.850415624999997</v>
      </c>
      <c r="Y16" s="48">
        <v>32.045284374999902</v>
      </c>
      <c r="Z16" s="48">
        <v>43.979681249999999</v>
      </c>
      <c r="AA16" s="48">
        <v>44.391762499999999</v>
      </c>
      <c r="AB16" s="49">
        <v>10178.9</v>
      </c>
      <c r="AC16" s="49">
        <v>1632.4</v>
      </c>
      <c r="AD16" s="49">
        <v>9.9120000000000008</v>
      </c>
      <c r="AE16" s="49">
        <v>31.423999999999999</v>
      </c>
      <c r="AG16" s="23">
        <f t="shared" si="7"/>
        <v>7.2577350000000003</v>
      </c>
      <c r="AH16" s="24">
        <f t="shared" si="8"/>
        <v>0.22804431213903686</v>
      </c>
      <c r="AI16" s="24">
        <f t="shared" si="9"/>
        <v>9.5813529105746365E-2</v>
      </c>
      <c r="AJ16" s="24">
        <f t="shared" si="10"/>
        <v>5.7615261993948168E-2</v>
      </c>
      <c r="AK16" s="24">
        <f t="shared" si="11"/>
        <v>0.1322276409467838</v>
      </c>
      <c r="AL16" s="21">
        <f t="shared" si="12"/>
        <v>3252650.6666666698</v>
      </c>
      <c r="AM16" s="24">
        <f t="shared" si="13"/>
        <v>0.23094422782025739</v>
      </c>
      <c r="AN16" s="97">
        <v>33521444</v>
      </c>
      <c r="AO16" s="97">
        <v>1047545.125</v>
      </c>
      <c r="AP16" s="97">
        <v>37744.8125</v>
      </c>
      <c r="AQ16" s="98">
        <v>7741584</v>
      </c>
      <c r="AR16" s="98">
        <v>1955906.66666667</v>
      </c>
      <c r="AS16" s="98">
        <v>1296744</v>
      </c>
      <c r="AT16" s="98">
        <v>4488826.6666666698</v>
      </c>
      <c r="AU16" s="99">
        <v>67.830737499999998</v>
      </c>
      <c r="AV16" s="99">
        <v>69.850415624999997</v>
      </c>
      <c r="AW16" s="99">
        <v>32.045284375000001</v>
      </c>
      <c r="AX16" s="99">
        <v>43.979681249999999</v>
      </c>
      <c r="AY16" s="99">
        <v>44.391762499999999</v>
      </c>
      <c r="AZ16" s="100">
        <v>6325.07</v>
      </c>
      <c r="BA16" s="100">
        <v>2808.67</v>
      </c>
      <c r="BB16" s="100">
        <v>16.129000000000001</v>
      </c>
      <c r="BC16" s="100">
        <v>40.335999999999999</v>
      </c>
      <c r="BE16" s="25">
        <f t="shared" si="14"/>
        <v>0</v>
      </c>
      <c r="BF16" s="25">
        <f t="shared" si="15"/>
        <v>-2.4456665887795381E-5</v>
      </c>
      <c r="BG16" s="25"/>
      <c r="BI16" s="101"/>
      <c r="BJ16" s="101"/>
      <c r="BK16" s="101"/>
      <c r="BL16" s="101"/>
      <c r="BM16" s="101"/>
      <c r="BN16" s="114"/>
      <c r="BO16" s="101"/>
      <c r="BP16" s="101"/>
      <c r="BQ16" s="101"/>
      <c r="BR16" s="101"/>
      <c r="BS16" s="101"/>
      <c r="BU16" s="4">
        <f t="shared" si="16"/>
        <v>0</v>
      </c>
    </row>
    <row r="17" spans="1:73" outlineLevel="1" x14ac:dyDescent="0.25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12.218730000000001</v>
      </c>
      <c r="J17" s="18">
        <f t="shared" si="1"/>
        <v>0.38392306664029668</v>
      </c>
      <c r="K17" s="18">
        <f t="shared" si="2"/>
        <v>0.11977594488089008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4066120</v>
      </c>
      <c r="O17" s="18">
        <f t="shared" si="6"/>
        <v>0.38390337825412768</v>
      </c>
      <c r="P17" s="42">
        <v>33949459</v>
      </c>
      <c r="Q17" s="42">
        <v>1060920.59375</v>
      </c>
      <c r="R17" s="42">
        <v>39535.09375</v>
      </c>
      <c r="S17" s="43">
        <v>13033312</v>
      </c>
      <c r="T17" s="43">
        <v>2769248</v>
      </c>
      <c r="U17" s="43">
        <v>1296872</v>
      </c>
      <c r="V17" s="43">
        <v>8967336</v>
      </c>
      <c r="W17" s="44">
        <v>69.250596874999999</v>
      </c>
      <c r="X17" s="44">
        <v>71.669684375000003</v>
      </c>
      <c r="Y17" s="44">
        <v>34.602318750000002</v>
      </c>
      <c r="Z17" s="44">
        <v>44.831874999999897</v>
      </c>
      <c r="AA17" s="44">
        <v>45.299362500000001</v>
      </c>
      <c r="AB17" s="45">
        <v>10254.700000000001</v>
      </c>
      <c r="AC17" s="45">
        <v>1751.42</v>
      </c>
      <c r="AD17" s="45">
        <v>8.2840000000000007</v>
      </c>
      <c r="AE17" s="45">
        <v>25.024000000000001</v>
      </c>
      <c r="AG17" s="17">
        <f t="shared" si="7"/>
        <v>12.218730000000001</v>
      </c>
      <c r="AH17" s="18">
        <f t="shared" si="8"/>
        <v>0.38392306664029668</v>
      </c>
      <c r="AI17" s="18">
        <f t="shared" si="9"/>
        <v>0.11977036767734049</v>
      </c>
      <c r="AJ17" s="18">
        <f t="shared" si="10"/>
        <v>8.1572100565542274E-2</v>
      </c>
      <c r="AK17" s="18">
        <f t="shared" si="11"/>
        <v>0.26414955687644953</v>
      </c>
      <c r="AL17" s="15">
        <f t="shared" si="12"/>
        <v>4065930.6666666698</v>
      </c>
      <c r="AM17" s="18">
        <f t="shared" si="13"/>
        <v>0.38390337825412768</v>
      </c>
      <c r="AN17" s="92">
        <v>33949459</v>
      </c>
      <c r="AO17" s="92">
        <v>1060920.59375</v>
      </c>
      <c r="AP17" s="92">
        <v>39535.09375</v>
      </c>
      <c r="AQ17" s="93">
        <v>13033312</v>
      </c>
      <c r="AR17" s="93">
        <v>2769186.6666666698</v>
      </c>
      <c r="AS17" s="93">
        <v>1296744</v>
      </c>
      <c r="AT17" s="93">
        <v>8967274.6666666698</v>
      </c>
      <c r="AU17" s="94">
        <v>69.250596874999999</v>
      </c>
      <c r="AV17" s="94">
        <v>71.669684375000003</v>
      </c>
      <c r="AW17" s="94">
        <v>34.602318750000002</v>
      </c>
      <c r="AX17" s="94">
        <v>44.831874999999997</v>
      </c>
      <c r="AY17" s="94">
        <v>45.299362500000001</v>
      </c>
      <c r="AZ17" s="95">
        <v>6287.5</v>
      </c>
      <c r="BA17" s="95">
        <v>3118.24</v>
      </c>
      <c r="BB17" s="95">
        <v>16.683</v>
      </c>
      <c r="BC17" s="95">
        <v>42.637999999999998</v>
      </c>
      <c r="BE17" s="19">
        <f t="shared" si="14"/>
        <v>0</v>
      </c>
      <c r="BF17" s="19">
        <f t="shared" si="15"/>
        <v>-1.4526877997689258E-5</v>
      </c>
      <c r="BG17" s="19"/>
      <c r="BI17" s="96"/>
      <c r="BJ17" s="96"/>
      <c r="BK17" s="96"/>
      <c r="BL17" s="96"/>
      <c r="BM17" s="96"/>
      <c r="BN17" s="114"/>
      <c r="BO17" s="96"/>
      <c r="BP17" s="96"/>
      <c r="BQ17" s="96"/>
      <c r="BR17" s="96"/>
      <c r="BS17" s="96"/>
      <c r="BU17" s="4">
        <f t="shared" si="16"/>
        <v>0</v>
      </c>
    </row>
    <row r="18" spans="1:73" outlineLevel="1" x14ac:dyDescent="0.25">
      <c r="A18" s="21"/>
      <c r="B18" s="21" t="s">
        <v>278</v>
      </c>
      <c r="C18" s="22" t="s">
        <v>271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22.05828</v>
      </c>
      <c r="J18" s="24">
        <f t="shared" si="1"/>
        <v>0.69309023952655668</v>
      </c>
      <c r="K18" s="24">
        <f t="shared" si="2"/>
        <v>0.15908297576879837</v>
      </c>
      <c r="L18" s="24">
        <f t="shared" si="3"/>
        <v>0.12088093815319191</v>
      </c>
      <c r="M18" s="24">
        <f t="shared" si="4"/>
        <v>0.53401150557454258</v>
      </c>
      <c r="N18" s="21">
        <f t="shared" si="5"/>
        <v>5400504</v>
      </c>
      <c r="O18" s="24">
        <f t="shared" si="6"/>
        <v>0.66452768320254418</v>
      </c>
      <c r="P18" s="46">
        <v>35406850</v>
      </c>
      <c r="Q18" s="46">
        <v>1106464.0625</v>
      </c>
      <c r="R18" s="46">
        <v>45080.28125</v>
      </c>
      <c r="S18" s="47">
        <v>23528832</v>
      </c>
      <c r="T18" s="47">
        <v>4103632</v>
      </c>
      <c r="U18" s="47">
        <v>1296872</v>
      </c>
      <c r="V18" s="47">
        <v>18128472</v>
      </c>
      <c r="W18" s="48">
        <v>70.379759374999907</v>
      </c>
      <c r="X18" s="48">
        <v>72.996671874999905</v>
      </c>
      <c r="Y18" s="48">
        <v>37.257087499999997</v>
      </c>
      <c r="Z18" s="48">
        <v>46.193543750000003</v>
      </c>
      <c r="AA18" s="48">
        <v>46.690234375000003</v>
      </c>
      <c r="AB18" s="49">
        <v>10287.5</v>
      </c>
      <c r="AC18" s="49">
        <v>2009.21</v>
      </c>
      <c r="AD18" s="49">
        <v>12.523999999999999</v>
      </c>
      <c r="AE18" s="49">
        <v>37.991999999999997</v>
      </c>
      <c r="AG18" s="23">
        <f t="shared" si="7"/>
        <v>22.05828</v>
      </c>
      <c r="AH18" s="24">
        <f t="shared" si="8"/>
        <v>0.69309023952655668</v>
      </c>
      <c r="AI18" s="24">
        <f t="shared" si="9"/>
        <v>0.15907739856524877</v>
      </c>
      <c r="AJ18" s="24">
        <f t="shared" si="10"/>
        <v>0.12087913145345056</v>
      </c>
      <c r="AK18" s="24">
        <f t="shared" si="11"/>
        <v>0.53400969887480221</v>
      </c>
      <c r="AL18" s="21">
        <f t="shared" si="12"/>
        <v>5400314.6666666698</v>
      </c>
      <c r="AM18" s="24">
        <f t="shared" si="13"/>
        <v>0.66452768320254418</v>
      </c>
      <c r="AN18" s="97">
        <v>35406850</v>
      </c>
      <c r="AO18" s="97">
        <v>1106464.0625</v>
      </c>
      <c r="AP18" s="97">
        <v>45080.28125</v>
      </c>
      <c r="AQ18" s="98">
        <v>23528832</v>
      </c>
      <c r="AR18" s="98">
        <v>4103570.6666666698</v>
      </c>
      <c r="AS18" s="98">
        <v>1296744</v>
      </c>
      <c r="AT18" s="98">
        <v>18128410.666666701</v>
      </c>
      <c r="AU18" s="99">
        <v>70.379759375000006</v>
      </c>
      <c r="AV18" s="99">
        <v>72.996671875000004</v>
      </c>
      <c r="AW18" s="99">
        <v>37.257087499999997</v>
      </c>
      <c r="AX18" s="99">
        <v>46.193543750000003</v>
      </c>
      <c r="AY18" s="99">
        <v>46.690234375000003</v>
      </c>
      <c r="AZ18" s="100">
        <v>6156.5</v>
      </c>
      <c r="BA18" s="100">
        <v>3478.37</v>
      </c>
      <c r="BB18" s="100">
        <v>17.077000000000002</v>
      </c>
      <c r="BC18" s="100">
        <v>42.877000000000002</v>
      </c>
      <c r="BE18" s="25">
        <f t="shared" si="14"/>
        <v>0</v>
      </c>
      <c r="BF18" s="25">
        <f t="shared" si="15"/>
        <v>-8.0468649412690496E-6</v>
      </c>
      <c r="BG18" s="25"/>
      <c r="BI18" s="101"/>
      <c r="BJ18" s="101"/>
      <c r="BK18" s="101"/>
      <c r="BL18" s="101"/>
      <c r="BM18" s="101"/>
      <c r="BN18" s="114"/>
      <c r="BO18" s="101"/>
      <c r="BP18" s="101"/>
      <c r="BQ18" s="101"/>
      <c r="BR18" s="101"/>
      <c r="BS18" s="101"/>
      <c r="BU18" s="4">
        <f t="shared" si="16"/>
        <v>0</v>
      </c>
    </row>
    <row r="19" spans="1:73" ht="15.75" outlineLevel="1" thickBot="1" x14ac:dyDescent="0.3">
      <c r="A19" s="15"/>
      <c r="B19" s="27" t="s">
        <v>278</v>
      </c>
      <c r="C19" s="28" t="s">
        <v>272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39.948990000000002</v>
      </c>
      <c r="J19" s="30">
        <f t="shared" si="1"/>
        <v>1.2552318244189491</v>
      </c>
      <c r="K19" s="30">
        <f t="shared" si="2"/>
        <v>0.25496971549015457</v>
      </c>
      <c r="L19" s="30">
        <f t="shared" si="3"/>
        <v>0.18416130356685537</v>
      </c>
      <c r="M19" s="30">
        <f t="shared" si="4"/>
        <v>1.0002663507455789</v>
      </c>
      <c r="N19" s="27">
        <f t="shared" si="5"/>
        <v>8655640</v>
      </c>
      <c r="O19" s="30">
        <f t="shared" si="6"/>
        <v>1.2653023326028463</v>
      </c>
      <c r="P19" s="50">
        <v>33677529</v>
      </c>
      <c r="Q19" s="50">
        <v>1052422.78125</v>
      </c>
      <c r="R19" s="50">
        <v>20027.96875</v>
      </c>
      <c r="S19" s="51">
        <v>42612256</v>
      </c>
      <c r="T19" s="51">
        <v>6251856</v>
      </c>
      <c r="U19" s="51">
        <v>2403784</v>
      </c>
      <c r="V19" s="51">
        <v>33956760</v>
      </c>
      <c r="W19" s="52">
        <v>71.497065624999905</v>
      </c>
      <c r="X19" s="52">
        <v>75.069756249999998</v>
      </c>
      <c r="Y19" s="52">
        <v>39.335715624999999</v>
      </c>
      <c r="Z19" s="52">
        <v>47.947415624999998</v>
      </c>
      <c r="AA19" s="52">
        <v>48.551328124999998</v>
      </c>
      <c r="AB19" s="53">
        <v>9334.5400000000009</v>
      </c>
      <c r="AC19" s="53">
        <v>2476.94</v>
      </c>
      <c r="AD19" s="53">
        <v>9.1479999999999997</v>
      </c>
      <c r="AE19" s="53">
        <v>30.827999999999999</v>
      </c>
      <c r="AG19" s="29">
        <f t="shared" si="7"/>
        <v>39.948990000000002</v>
      </c>
      <c r="AH19" s="30">
        <f t="shared" si="8"/>
        <v>1.2552318244189491</v>
      </c>
      <c r="AI19" s="30">
        <f t="shared" si="9"/>
        <v>0.25496413828660502</v>
      </c>
      <c r="AJ19" s="30">
        <f t="shared" si="10"/>
        <v>0.184159496867114</v>
      </c>
      <c r="AK19" s="30">
        <f t="shared" si="11"/>
        <v>1.0002645440458384</v>
      </c>
      <c r="AL19" s="27">
        <f t="shared" si="12"/>
        <v>8655450.6666666698</v>
      </c>
      <c r="AM19" s="30">
        <f t="shared" si="13"/>
        <v>1.2653023326028463</v>
      </c>
      <c r="AN19" s="102">
        <v>33677529</v>
      </c>
      <c r="AO19" s="102">
        <v>1052422.78125</v>
      </c>
      <c r="AP19" s="102">
        <v>20027.96875</v>
      </c>
      <c r="AQ19" s="103">
        <v>42612256</v>
      </c>
      <c r="AR19" s="103">
        <v>6251794.6666666698</v>
      </c>
      <c r="AS19" s="103">
        <v>2403656</v>
      </c>
      <c r="AT19" s="103">
        <v>33956698.666666701</v>
      </c>
      <c r="AU19" s="104">
        <v>71.497065625000005</v>
      </c>
      <c r="AV19" s="104">
        <v>75.069756249999998</v>
      </c>
      <c r="AW19" s="104">
        <v>39.335715624999999</v>
      </c>
      <c r="AX19" s="104">
        <v>47.947415624999998</v>
      </c>
      <c r="AY19" s="104">
        <v>48.551328124999998</v>
      </c>
      <c r="AZ19" s="105">
        <v>6243.58</v>
      </c>
      <c r="BA19" s="105">
        <v>4189.96</v>
      </c>
      <c r="BB19" s="105">
        <v>16.204000000000001</v>
      </c>
      <c r="BC19" s="105">
        <v>35.905999999999999</v>
      </c>
      <c r="BE19" s="31">
        <f t="shared" si="14"/>
        <v>0</v>
      </c>
      <c r="BF19" s="31">
        <f t="shared" si="15"/>
        <v>-4.4431661475607953E-6</v>
      </c>
      <c r="BG19" s="31"/>
      <c r="BI19" s="106"/>
      <c r="BJ19" s="106"/>
      <c r="BK19" s="106"/>
      <c r="BL19" s="106"/>
      <c r="BM19" s="106"/>
      <c r="BN19" s="114"/>
      <c r="BO19" s="106"/>
      <c r="BP19" s="106"/>
      <c r="BQ19" s="106"/>
      <c r="BR19" s="106"/>
      <c r="BS19" s="106"/>
      <c r="BU19" s="4">
        <f t="shared" si="16"/>
        <v>0</v>
      </c>
    </row>
    <row r="20" spans="1:73" x14ac:dyDescent="0.25">
      <c r="A20" s="21"/>
      <c r="B20" s="21" t="s">
        <v>281</v>
      </c>
      <c r="C20" s="22" t="s">
        <v>268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5.3420249999999996</v>
      </c>
      <c r="J20" s="24">
        <f t="shared" si="1"/>
        <v>0.10614510691720488</v>
      </c>
      <c r="K20" s="24">
        <f t="shared" si="2"/>
        <v>5.9853131560632322E-2</v>
      </c>
      <c r="L20" s="24">
        <f t="shared" si="3"/>
        <v>2.9251861003240551E-2</v>
      </c>
      <c r="M20" s="24">
        <f t="shared" si="4"/>
        <v>4.6296446067409069E-2</v>
      </c>
      <c r="N20" s="21">
        <f t="shared" si="5"/>
        <v>1927848</v>
      </c>
      <c r="O20" s="24">
        <f t="shared" si="6"/>
        <v>0.11309449105567045</v>
      </c>
      <c r="P20" s="46">
        <v>30230438</v>
      </c>
      <c r="Q20" s="46">
        <v>944701.1875</v>
      </c>
      <c r="R20" s="46">
        <v>27161</v>
      </c>
      <c r="S20" s="47">
        <v>3418896</v>
      </c>
      <c r="T20" s="47">
        <v>942192</v>
      </c>
      <c r="U20" s="47">
        <v>985656</v>
      </c>
      <c r="V20" s="47">
        <v>1491192</v>
      </c>
      <c r="W20" s="48">
        <v>67.065771874999996</v>
      </c>
      <c r="X20" s="48">
        <v>68.733975000000001</v>
      </c>
      <c r="Y20" s="48">
        <v>30.882368750000001</v>
      </c>
      <c r="Z20" s="48">
        <v>39.533853124999901</v>
      </c>
      <c r="AA20" s="48">
        <v>38.3956374999999</v>
      </c>
      <c r="AB20" s="49">
        <v>10212.5</v>
      </c>
      <c r="AC20" s="49">
        <v>1173.28</v>
      </c>
      <c r="AD20" s="49">
        <v>8.1080000000000005</v>
      </c>
      <c r="AE20" s="49">
        <v>20.544</v>
      </c>
      <c r="AG20" s="23">
        <f t="shared" si="7"/>
        <v>5.3420249999999996</v>
      </c>
      <c r="AH20" s="24">
        <f t="shared" si="8"/>
        <v>0.10614510691720488</v>
      </c>
      <c r="AI20" s="24">
        <f t="shared" si="9"/>
        <v>5.9847253403791746E-2</v>
      </c>
      <c r="AJ20" s="24">
        <f t="shared" si="10"/>
        <v>2.9249956811587978E-2</v>
      </c>
      <c r="AK20" s="24">
        <f t="shared" si="11"/>
        <v>4.6294541875756587E-2</v>
      </c>
      <c r="AL20" s="21">
        <f t="shared" si="12"/>
        <v>1927658.666666667</v>
      </c>
      <c r="AM20" s="24">
        <f t="shared" si="13"/>
        <v>0.11309449105567045</v>
      </c>
      <c r="AN20" s="97">
        <v>30230438</v>
      </c>
      <c r="AO20" s="97">
        <v>944701.1875</v>
      </c>
      <c r="AP20" s="97">
        <v>27161</v>
      </c>
      <c r="AQ20" s="98">
        <v>3418896</v>
      </c>
      <c r="AR20" s="98">
        <v>942130.66666666698</v>
      </c>
      <c r="AS20" s="98">
        <v>985528</v>
      </c>
      <c r="AT20" s="98">
        <v>1491130.66666667</v>
      </c>
      <c r="AU20" s="99">
        <v>67.065771874999996</v>
      </c>
      <c r="AV20" s="99">
        <v>68.733975000000001</v>
      </c>
      <c r="AW20" s="99">
        <v>30.882368750000001</v>
      </c>
      <c r="AX20" s="99">
        <v>39.533853125</v>
      </c>
      <c r="AY20" s="99">
        <v>38.395637499999999</v>
      </c>
      <c r="AZ20" s="100">
        <v>6195.91</v>
      </c>
      <c r="BA20" s="100">
        <v>1942.1</v>
      </c>
      <c r="BB20" s="100">
        <v>13.101000000000001</v>
      </c>
      <c r="BC20" s="100">
        <v>29.734000000000002</v>
      </c>
      <c r="BE20" s="25">
        <f t="shared" si="14"/>
        <v>0</v>
      </c>
      <c r="BF20" s="25">
        <f t="shared" si="15"/>
        <v>-5.5378500350200532E-5</v>
      </c>
      <c r="BG20" s="25">
        <f t="array" ref="BG20">AVERAGE(AL20:AL24/AQ20:AQ24) - AVERAGE(N20:N24/S20:S24)</f>
        <v>-2.6232069277265513E-5</v>
      </c>
      <c r="BI20" s="101">
        <f>IF( OR(ISBLANK(N20:N24),ISBLANK(AL20:AL24), ISBLANK(W20:W24),ISBLANK(AU20:AU24)), "·", bdRateExtend( N20:N24,W20:W24, AL20:AL24,AU20:AU24))</f>
        <v>-6.9733502956026427E-5</v>
      </c>
      <c r="BJ20" s="101">
        <f>IF( OR(ISBLANK(N20:N24),ISBLANK(AL20:AL24), ISBLANK(X20:X24),ISBLANK(AV20:AV24)), "·", bdRateExtend( N20:N24,X20:X24, AL20:AL24,AV20:AV24))</f>
        <v>-6.5987759187313699E-5</v>
      </c>
      <c r="BK20" s="101">
        <f>IF( OR(ISBLANK(V20:V24),ISBLANK(AT20:AT24), ISBLANK(Y20:Y24),ISBLANK(AW20:AW24)), "·", bdRateExtend( V20:V24,Y20:Y24, AT20:AT24,AW20:AW24))</f>
        <v>-1.5377584446252257E-5</v>
      </c>
      <c r="BL20" s="101">
        <f>IF( OR(ISBLANK(V20:V24),ISBLANK(AT20:AT24), ISBLANK(Z20:Z24),ISBLANK(AX20:AX24)), "·", bdRateExtend( V20:V24,Z20:Z24, AT20:AT24,AX20:AX24))</f>
        <v>-1.4452926966890267E-5</v>
      </c>
      <c r="BM20" s="101">
        <f>IF( OR(ISBLANK(V20:V24),ISBLANK(AT20:AT24), ISBLANK(AA20:AA24),ISBLANK(AY20:AY24)), "·", bdRateExtend( V20:V24,AA20:AA24, AT20:AT24,AY20:AY24))</f>
        <v>-1.5889978595251542E-5</v>
      </c>
      <c r="BN20" s="114"/>
      <c r="BO20" s="101">
        <f>IF( OR(ISBLANK(S20:S24),ISBLANK(AQ20:AQ24), ISBLANK(W20:W24),ISBLANK(AU20:AU24)), "·", bdRateExtend( S20:S24,W20:W24, AQ20:AQ24,AU20:AU24))</f>
        <v>0</v>
      </c>
      <c r="BP20" s="101">
        <f>IF( OR(ISBLANK(S20:S24),ISBLANK(AQ20:AQ24), ISBLANK(X20:X24),ISBLANK(AV20:AV24)), "·", bdRateExtend( S20:S24,X20:X24, AQ20:AQ24,AV20:AV24))</f>
        <v>-7.1054273576010019E-15</v>
      </c>
      <c r="BQ20" s="101">
        <f>IF( OR(ISBLANK(S20:S24),ISBLANK(AQ20:AQ24), ISBLANK(Y20:Y24),ISBLANK(AW20:AW24)), "·", bdRateExtend( S20:S24,Y20:Y24, AQ20:AQ24,AW20:AW24))</f>
        <v>-1.2656542480726785E-14</v>
      </c>
      <c r="BR20" s="101">
        <f>IF( OR(ISBLANK(S20:S24),ISBLANK(AQ20:AQ24), ISBLANK(Z20:Z24),ISBLANK(AX20:AX24)), "·", bdRateExtend( S20:S24,Z20:Z24, AQ20:AQ24,AX20:AX24))</f>
        <v>-2.1094237467877974E-14</v>
      </c>
      <c r="BS20" s="101">
        <f>IF( OR(ISBLANK(S20:S24),ISBLANK(AQ20:AQ24), ISBLANK(AA20:AA24),ISBLANK(AY20:AY24)), "·", bdRateExtend( S20:S24,AA20:AA24, AQ20:AQ24,AY20:AY24))</f>
        <v>-5.9952043329758453E-15</v>
      </c>
      <c r="BU20" s="4">
        <f t="shared" si="16"/>
        <v>0</v>
      </c>
    </row>
    <row r="21" spans="1:73" outlineLevel="1" x14ac:dyDescent="0.25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8.4036375000000003</v>
      </c>
      <c r="J21" s="18">
        <f t="shared" si="1"/>
        <v>0.1669788143879769</v>
      </c>
      <c r="K21" s="18">
        <f t="shared" si="2"/>
        <v>7.0827236427302223E-2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2281320</v>
      </c>
      <c r="O21" s="18">
        <f t="shared" si="6"/>
        <v>0.17029368835343897</v>
      </c>
      <c r="P21" s="42">
        <v>31582662</v>
      </c>
      <c r="Q21" s="42">
        <v>986958.1875</v>
      </c>
      <c r="R21" s="42">
        <v>32537.78125</v>
      </c>
      <c r="S21" s="43">
        <v>5378328</v>
      </c>
      <c r="T21" s="43">
        <v>1295664</v>
      </c>
      <c r="U21" s="43">
        <v>985656</v>
      </c>
      <c r="V21" s="43">
        <v>3097152</v>
      </c>
      <c r="W21" s="44">
        <v>68.659734374999999</v>
      </c>
      <c r="X21" s="44">
        <v>70.740428124999994</v>
      </c>
      <c r="Y21" s="44">
        <v>32.778812499999901</v>
      </c>
      <c r="Z21" s="44">
        <v>40.701953125000003</v>
      </c>
      <c r="AA21" s="44">
        <v>39.685953124999997</v>
      </c>
      <c r="AB21" s="45">
        <v>10244.200000000001</v>
      </c>
      <c r="AC21" s="45">
        <v>1277.29</v>
      </c>
      <c r="AD21" s="45">
        <v>8.1920000000000002</v>
      </c>
      <c r="AE21" s="45">
        <v>20.504000000000001</v>
      </c>
      <c r="AG21" s="17">
        <f t="shared" si="7"/>
        <v>8.4036375000000003</v>
      </c>
      <c r="AH21" s="18">
        <f t="shared" si="8"/>
        <v>0.1669788143879769</v>
      </c>
      <c r="AI21" s="18">
        <f t="shared" si="9"/>
        <v>7.0821358270461723E-2</v>
      </c>
      <c r="AJ21" s="18">
        <f t="shared" si="10"/>
        <v>4.0224061678257969E-2</v>
      </c>
      <c r="AK21" s="18">
        <f t="shared" si="11"/>
        <v>9.6154144479858705E-2</v>
      </c>
      <c r="AL21" s="15">
        <f t="shared" si="12"/>
        <v>2281130.6666666698</v>
      </c>
      <c r="AM21" s="18">
        <f t="shared" si="13"/>
        <v>0.17029368835343897</v>
      </c>
      <c r="AN21" s="92">
        <v>31582662</v>
      </c>
      <c r="AO21" s="92">
        <v>986958.1875</v>
      </c>
      <c r="AP21" s="92">
        <v>32537.78125</v>
      </c>
      <c r="AQ21" s="93">
        <v>5378328</v>
      </c>
      <c r="AR21" s="93">
        <v>1295602.66666667</v>
      </c>
      <c r="AS21" s="93">
        <v>985528</v>
      </c>
      <c r="AT21" s="93">
        <v>3097090.6666666698</v>
      </c>
      <c r="AU21" s="94">
        <v>68.659734374999999</v>
      </c>
      <c r="AV21" s="94">
        <v>70.740428124999994</v>
      </c>
      <c r="AW21" s="94">
        <v>32.778812500000001</v>
      </c>
      <c r="AX21" s="94">
        <v>40.701953125000003</v>
      </c>
      <c r="AY21" s="94">
        <v>39.685953124999997</v>
      </c>
      <c r="AZ21" s="95">
        <v>6199.29</v>
      </c>
      <c r="BA21" s="95">
        <v>2255.06</v>
      </c>
      <c r="BB21" s="95">
        <v>13.657</v>
      </c>
      <c r="BC21" s="95">
        <v>29.963000000000001</v>
      </c>
      <c r="BE21" s="19">
        <f t="shared" si="14"/>
        <v>0</v>
      </c>
      <c r="BF21" s="19">
        <f t="shared" si="15"/>
        <v>-3.5203009807138752E-5</v>
      </c>
      <c r="BG21" s="19"/>
      <c r="BI21" s="96"/>
      <c r="BJ21" s="96"/>
      <c r="BK21" s="96"/>
      <c r="BL21" s="96"/>
      <c r="BM21" s="96"/>
      <c r="BN21" s="114"/>
      <c r="BO21" s="96"/>
      <c r="BP21" s="96"/>
      <c r="BQ21" s="96"/>
      <c r="BR21" s="96"/>
      <c r="BS21" s="96"/>
      <c r="BU21" s="4">
        <f t="shared" si="16"/>
        <v>0</v>
      </c>
    </row>
    <row r="22" spans="1:73" outlineLevel="1" x14ac:dyDescent="0.25">
      <c r="A22" s="21"/>
      <c r="B22" s="21" t="s">
        <v>281</v>
      </c>
      <c r="C22" s="22" t="s">
        <v>270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13.9310125</v>
      </c>
      <c r="J22" s="24">
        <f t="shared" si="1"/>
        <v>0.27680679354316345</v>
      </c>
      <c r="K22" s="24">
        <f t="shared" si="2"/>
        <v>8.7328878497659843E-2</v>
      </c>
      <c r="L22" s="24">
        <f t="shared" si="3"/>
        <v>5.6727607940268071E-2</v>
      </c>
      <c r="M22" s="24">
        <f t="shared" si="4"/>
        <v>0.1894823857563401</v>
      </c>
      <c r="N22" s="21">
        <f t="shared" si="5"/>
        <v>2812832</v>
      </c>
      <c r="O22" s="24">
        <f t="shared" si="6"/>
        <v>0.27091150544255482</v>
      </c>
      <c r="P22" s="46">
        <v>32910555</v>
      </c>
      <c r="Q22" s="46">
        <v>1028454.84375</v>
      </c>
      <c r="R22" s="46">
        <v>34769.59375</v>
      </c>
      <c r="S22" s="47">
        <v>8915848</v>
      </c>
      <c r="T22" s="47">
        <v>1827176</v>
      </c>
      <c r="U22" s="47">
        <v>985656</v>
      </c>
      <c r="V22" s="47">
        <v>6103160</v>
      </c>
      <c r="W22" s="48">
        <v>69.831643749999998</v>
      </c>
      <c r="X22" s="48">
        <v>72.240359374999898</v>
      </c>
      <c r="Y22" s="48">
        <v>34.624715625</v>
      </c>
      <c r="Z22" s="48">
        <v>41.744956250000001</v>
      </c>
      <c r="AA22" s="48">
        <v>40.748353125000001</v>
      </c>
      <c r="AB22" s="49">
        <v>10274.6</v>
      </c>
      <c r="AC22" s="49">
        <v>1385.82</v>
      </c>
      <c r="AD22" s="49">
        <v>7.92</v>
      </c>
      <c r="AE22" s="49">
        <v>21.027999999999999</v>
      </c>
      <c r="AG22" s="23">
        <f t="shared" si="7"/>
        <v>13.9310125</v>
      </c>
      <c r="AH22" s="24">
        <f t="shared" si="8"/>
        <v>0.27680679354316345</v>
      </c>
      <c r="AI22" s="24">
        <f t="shared" si="9"/>
        <v>8.7323000340819357E-2</v>
      </c>
      <c r="AJ22" s="24">
        <f t="shared" si="10"/>
        <v>5.6725703748615595E-2</v>
      </c>
      <c r="AK22" s="24">
        <f t="shared" si="11"/>
        <v>0.18948048156468764</v>
      </c>
      <c r="AL22" s="21">
        <f t="shared" si="12"/>
        <v>2812642.6666666698</v>
      </c>
      <c r="AM22" s="24">
        <f t="shared" si="13"/>
        <v>0.27091150544255482</v>
      </c>
      <c r="AN22" s="97">
        <v>32910555</v>
      </c>
      <c r="AO22" s="97">
        <v>1028454.84375</v>
      </c>
      <c r="AP22" s="97">
        <v>34769.59375</v>
      </c>
      <c r="AQ22" s="98">
        <v>8915848</v>
      </c>
      <c r="AR22" s="98">
        <v>1827114.66666667</v>
      </c>
      <c r="AS22" s="98">
        <v>985528</v>
      </c>
      <c r="AT22" s="98">
        <v>6103098.6666666698</v>
      </c>
      <c r="AU22" s="99">
        <v>69.831643749999998</v>
      </c>
      <c r="AV22" s="99">
        <v>72.240359374999997</v>
      </c>
      <c r="AW22" s="99">
        <v>34.624715625</v>
      </c>
      <c r="AX22" s="99">
        <v>41.744956250000001</v>
      </c>
      <c r="AY22" s="99">
        <v>40.748353125000001</v>
      </c>
      <c r="AZ22" s="100">
        <v>6191.97</v>
      </c>
      <c r="BA22" s="100">
        <v>2176.69</v>
      </c>
      <c r="BB22" s="100">
        <v>14.178000000000001</v>
      </c>
      <c r="BC22" s="100">
        <v>30.6</v>
      </c>
      <c r="BE22" s="25">
        <f t="shared" si="14"/>
        <v>0</v>
      </c>
      <c r="BF22" s="25">
        <f t="shared" si="15"/>
        <v>-2.1235594564905647E-5</v>
      </c>
      <c r="BG22" s="25"/>
      <c r="BI22" s="101"/>
      <c r="BJ22" s="101"/>
      <c r="BK22" s="101"/>
      <c r="BL22" s="101"/>
      <c r="BM22" s="101"/>
      <c r="BN22" s="114"/>
      <c r="BO22" s="101"/>
      <c r="BP22" s="101"/>
      <c r="BQ22" s="101"/>
      <c r="BR22" s="101"/>
      <c r="BS22" s="101"/>
      <c r="BU22" s="4">
        <f t="shared" si="16"/>
        <v>0</v>
      </c>
    </row>
    <row r="23" spans="1:73" outlineLevel="1" x14ac:dyDescent="0.25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24.3050125</v>
      </c>
      <c r="J23" s="18">
        <f t="shared" si="1"/>
        <v>0.48293636784487182</v>
      </c>
      <c r="K23" s="18">
        <f t="shared" si="2"/>
        <v>0.11576831199277807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3728856</v>
      </c>
      <c r="O23" s="18">
        <f t="shared" si="6"/>
        <v>0.47201766205480272</v>
      </c>
      <c r="P23" s="42">
        <v>32954716</v>
      </c>
      <c r="Q23" s="42">
        <v>1029834.875</v>
      </c>
      <c r="R23" s="42">
        <v>36665.46875</v>
      </c>
      <c r="S23" s="43">
        <v>15555208</v>
      </c>
      <c r="T23" s="43">
        <v>2743200</v>
      </c>
      <c r="U23" s="43">
        <v>985656</v>
      </c>
      <c r="V23" s="43">
        <v>11826496</v>
      </c>
      <c r="W23" s="44">
        <v>70.837203125000002</v>
      </c>
      <c r="X23" s="44">
        <v>73.567968750000006</v>
      </c>
      <c r="Y23" s="44">
        <v>36.275565624999999</v>
      </c>
      <c r="Z23" s="44">
        <v>42.939684374999899</v>
      </c>
      <c r="AA23" s="44">
        <v>41.844209374999998</v>
      </c>
      <c r="AB23" s="45">
        <v>9978.82</v>
      </c>
      <c r="AC23" s="45">
        <v>1566.79</v>
      </c>
      <c r="AD23" s="45">
        <v>8.6720000000000006</v>
      </c>
      <c r="AE23" s="45">
        <v>21.34</v>
      </c>
      <c r="AG23" s="17">
        <f t="shared" si="7"/>
        <v>24.3050125</v>
      </c>
      <c r="AH23" s="18">
        <f t="shared" si="8"/>
        <v>0.48293636784487182</v>
      </c>
      <c r="AI23" s="18">
        <f t="shared" si="9"/>
        <v>0.11576243383593757</v>
      </c>
      <c r="AJ23" s="18">
        <f t="shared" si="10"/>
        <v>8.5165137243733799E-2</v>
      </c>
      <c r="AK23" s="18">
        <f t="shared" si="11"/>
        <v>0.36717062237127868</v>
      </c>
      <c r="AL23" s="15">
        <f t="shared" si="12"/>
        <v>3728666.6666666698</v>
      </c>
      <c r="AM23" s="18">
        <f t="shared" si="13"/>
        <v>0.47201766205480272</v>
      </c>
      <c r="AN23" s="92">
        <v>32954716</v>
      </c>
      <c r="AO23" s="92">
        <v>1029834.875</v>
      </c>
      <c r="AP23" s="92">
        <v>36665.46875</v>
      </c>
      <c r="AQ23" s="93">
        <v>15555208</v>
      </c>
      <c r="AR23" s="93">
        <v>2743138.6666666698</v>
      </c>
      <c r="AS23" s="93">
        <v>985528</v>
      </c>
      <c r="AT23" s="93">
        <v>11826434.6666667</v>
      </c>
      <c r="AU23" s="94">
        <v>70.837203125000002</v>
      </c>
      <c r="AV23" s="94">
        <v>73.567968750000006</v>
      </c>
      <c r="AW23" s="94">
        <v>36.275565624999999</v>
      </c>
      <c r="AX23" s="94">
        <v>42.939684374999999</v>
      </c>
      <c r="AY23" s="94">
        <v>41.844209374999998</v>
      </c>
      <c r="AZ23" s="95">
        <v>6189.16</v>
      </c>
      <c r="BA23" s="95">
        <v>2764.92</v>
      </c>
      <c r="BB23" s="95">
        <v>14.116</v>
      </c>
      <c r="BC23" s="95">
        <v>32.75</v>
      </c>
      <c r="BE23" s="19">
        <f t="shared" si="14"/>
        <v>0</v>
      </c>
      <c r="BF23" s="19">
        <f t="shared" si="15"/>
        <v>-1.2171700521784734E-5</v>
      </c>
      <c r="BG23" s="19"/>
      <c r="BI23" s="96"/>
      <c r="BJ23" s="96"/>
      <c r="BK23" s="96"/>
      <c r="BL23" s="96"/>
      <c r="BM23" s="96"/>
      <c r="BN23" s="114"/>
      <c r="BO23" s="96"/>
      <c r="BP23" s="96"/>
      <c r="BQ23" s="96"/>
      <c r="BR23" s="96"/>
      <c r="BS23" s="96"/>
      <c r="BU23" s="4">
        <f t="shared" si="16"/>
        <v>0</v>
      </c>
    </row>
    <row r="24" spans="1:73" ht="15.75" outlineLevel="1" thickBot="1" x14ac:dyDescent="0.3">
      <c r="A24" s="33"/>
      <c r="B24" s="33" t="s">
        <v>281</v>
      </c>
      <c r="C24" s="34" t="s">
        <v>272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41.251012500000002</v>
      </c>
      <c r="J24" s="36">
        <f t="shared" si="1"/>
        <v>0.81965043822435413</v>
      </c>
      <c r="K24" s="36">
        <f t="shared" si="2"/>
        <v>0.19083278880178833</v>
      </c>
      <c r="L24" s="36">
        <f t="shared" si="3"/>
        <v>0.13218650079418762</v>
      </c>
      <c r="M24" s="36">
        <f t="shared" si="4"/>
        <v>0.62882212013340233</v>
      </c>
      <c r="N24" s="33">
        <f t="shared" si="5"/>
        <v>6146656</v>
      </c>
      <c r="O24" s="36">
        <f t="shared" si="6"/>
        <v>0.83586256287218119</v>
      </c>
      <c r="P24" s="54">
        <v>31584915</v>
      </c>
      <c r="Q24" s="54">
        <v>987028.59375</v>
      </c>
      <c r="R24" s="54">
        <v>18072.71875</v>
      </c>
      <c r="S24" s="55">
        <v>26400648</v>
      </c>
      <c r="T24" s="55">
        <v>4257680</v>
      </c>
      <c r="U24" s="55">
        <v>1888976</v>
      </c>
      <c r="V24" s="55">
        <v>20254136</v>
      </c>
      <c r="W24" s="56">
        <v>71.893762499999994</v>
      </c>
      <c r="X24" s="56">
        <v>75.707471874999996</v>
      </c>
      <c r="Y24" s="56">
        <v>37.303737499999997</v>
      </c>
      <c r="Z24" s="56">
        <v>43.797081249999898</v>
      </c>
      <c r="AA24" s="56">
        <v>42.424003124999999</v>
      </c>
      <c r="AB24" s="57">
        <v>6340.95</v>
      </c>
      <c r="AC24" s="57">
        <v>1978.58</v>
      </c>
      <c r="AD24" s="57">
        <v>7.4359999999999999</v>
      </c>
      <c r="AE24" s="57">
        <v>22.42</v>
      </c>
      <c r="AG24" s="35">
        <f t="shared" si="7"/>
        <v>41.251012500000002</v>
      </c>
      <c r="AH24" s="36">
        <f t="shared" si="8"/>
        <v>0.81965043822435413</v>
      </c>
      <c r="AI24" s="36">
        <f t="shared" si="9"/>
        <v>0.19082691064494783</v>
      </c>
      <c r="AJ24" s="36">
        <f t="shared" si="10"/>
        <v>0.13218459660253515</v>
      </c>
      <c r="AK24" s="36">
        <f t="shared" si="11"/>
        <v>0.62882021594175075</v>
      </c>
      <c r="AL24" s="33">
        <f t="shared" si="12"/>
        <v>6146466.6666666698</v>
      </c>
      <c r="AM24" s="36">
        <f t="shared" si="13"/>
        <v>0.83586256287218119</v>
      </c>
      <c r="AN24" s="107">
        <v>31584915</v>
      </c>
      <c r="AO24" s="107">
        <v>987028.59375</v>
      </c>
      <c r="AP24" s="107">
        <v>18072.71875</v>
      </c>
      <c r="AQ24" s="108">
        <v>26400648</v>
      </c>
      <c r="AR24" s="108">
        <v>4257618.6666666698</v>
      </c>
      <c r="AS24" s="108">
        <v>1888848</v>
      </c>
      <c r="AT24" s="108">
        <v>20254074.666666701</v>
      </c>
      <c r="AU24" s="109">
        <v>71.893762499999994</v>
      </c>
      <c r="AV24" s="109">
        <v>75.707471874999996</v>
      </c>
      <c r="AW24" s="109">
        <v>37.303737499999997</v>
      </c>
      <c r="AX24" s="109">
        <v>43.797081249999998</v>
      </c>
      <c r="AY24" s="109">
        <v>42.424003124999999</v>
      </c>
      <c r="AZ24" s="110">
        <v>6001.3</v>
      </c>
      <c r="BA24" s="110">
        <v>3000.96</v>
      </c>
      <c r="BB24" s="110">
        <v>13.731</v>
      </c>
      <c r="BC24" s="110">
        <v>34.441000000000003</v>
      </c>
      <c r="BE24" s="37">
        <f t="shared" si="14"/>
        <v>0</v>
      </c>
      <c r="BF24" s="37">
        <f t="shared" si="15"/>
        <v>-7.1715411428530107E-6</v>
      </c>
      <c r="BG24" s="37"/>
      <c r="BI24" s="111"/>
      <c r="BJ24" s="111"/>
      <c r="BK24" s="111"/>
      <c r="BL24" s="111"/>
      <c r="BM24" s="111"/>
      <c r="BN24" s="114"/>
      <c r="BO24" s="111"/>
      <c r="BP24" s="111"/>
      <c r="BQ24" s="111"/>
      <c r="BR24" s="111"/>
      <c r="BS24" s="111"/>
      <c r="BU24" s="4">
        <f t="shared" si="16"/>
        <v>0</v>
      </c>
    </row>
    <row r="25" spans="1:73" x14ac:dyDescent="0.25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4.7024625000000002</v>
      </c>
      <c r="J25" s="18">
        <f t="shared" si="1"/>
        <v>0.19816210294966802</v>
      </c>
      <c r="K25" s="18">
        <f t="shared" si="2"/>
        <v>6.9624035769334944E-2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1762352</v>
      </c>
      <c r="O25" s="18">
        <f t="shared" si="6"/>
        <v>0.21862141969157484</v>
      </c>
      <c r="P25" s="42">
        <v>22943589</v>
      </c>
      <c r="Q25" s="42">
        <v>716987.15625</v>
      </c>
      <c r="R25" s="42">
        <v>16957.03125</v>
      </c>
      <c r="S25" s="43">
        <v>5015960</v>
      </c>
      <c r="T25" s="43">
        <v>954432</v>
      </c>
      <c r="U25" s="43">
        <v>807920</v>
      </c>
      <c r="V25" s="43">
        <v>3253752</v>
      </c>
      <c r="W25" s="44">
        <v>66.188337499999903</v>
      </c>
      <c r="X25" s="44">
        <v>68.025690624999996</v>
      </c>
      <c r="Y25" s="44">
        <v>27.492265625000002</v>
      </c>
      <c r="Z25" s="44">
        <v>33.271618750000002</v>
      </c>
      <c r="AA25" s="44">
        <v>32.724562499999998</v>
      </c>
      <c r="AB25" s="45">
        <v>5342.43</v>
      </c>
      <c r="AC25" s="45">
        <v>1589.39</v>
      </c>
      <c r="AD25" s="45">
        <v>6.74</v>
      </c>
      <c r="AE25" s="45">
        <v>24.48</v>
      </c>
      <c r="AG25" s="17">
        <f t="shared" si="7"/>
        <v>4.7024625000000002</v>
      </c>
      <c r="AH25" s="18">
        <f t="shared" si="8"/>
        <v>0.19816210294966802</v>
      </c>
      <c r="AI25" s="18">
        <f t="shared" si="9"/>
        <v>6.9616555906757943E-2</v>
      </c>
      <c r="AJ25" s="18">
        <f t="shared" si="10"/>
        <v>3.770366954683517E-2</v>
      </c>
      <c r="AK25" s="18">
        <f t="shared" si="11"/>
        <v>0.12854133303582455</v>
      </c>
      <c r="AL25" s="15">
        <f t="shared" si="12"/>
        <v>1762162.666666667</v>
      </c>
      <c r="AM25" s="18">
        <f t="shared" si="13"/>
        <v>0.21862141969157484</v>
      </c>
      <c r="AN25" s="92">
        <v>22943589</v>
      </c>
      <c r="AO25" s="92">
        <v>716987.15625</v>
      </c>
      <c r="AP25" s="92">
        <v>16957.03125</v>
      </c>
      <c r="AQ25" s="93">
        <v>5015960</v>
      </c>
      <c r="AR25" s="93">
        <v>954370.66666666698</v>
      </c>
      <c r="AS25" s="93">
        <v>807792</v>
      </c>
      <c r="AT25" s="93">
        <v>3253690.6666666698</v>
      </c>
      <c r="AU25" s="94">
        <v>66.188337500000003</v>
      </c>
      <c r="AV25" s="94">
        <v>68.025690624999996</v>
      </c>
      <c r="AW25" s="94">
        <v>27.492265625000002</v>
      </c>
      <c r="AX25" s="94">
        <v>33.271618750000002</v>
      </c>
      <c r="AY25" s="94">
        <v>32.724562499999998</v>
      </c>
      <c r="AZ25" s="95">
        <v>4720.04</v>
      </c>
      <c r="BA25" s="95">
        <v>2566.02</v>
      </c>
      <c r="BB25" s="95">
        <v>11.858000000000001</v>
      </c>
      <c r="BC25" s="95">
        <v>36.920999999999999</v>
      </c>
      <c r="BE25" s="19">
        <f t="shared" si="14"/>
        <v>0</v>
      </c>
      <c r="BF25" s="19">
        <f t="shared" si="15"/>
        <v>-3.7746180857334277E-5</v>
      </c>
      <c r="BG25" s="19">
        <f t="array" ref="BG25">AVERAGE(AL25:AL29/AQ25:AQ29) - AVERAGE(N25:N29/S25:S29)</f>
        <v>-1.6357239423669956E-5</v>
      </c>
      <c r="BI25" s="96">
        <f>IF( OR(ISBLANK(N25:N29),ISBLANK(AL25:AL29), ISBLANK(W25:W29),ISBLANK(AU25:AU29)), "·", bdRateExtend( N25:N29,W25:W29, AL25:AL29,AU25:AU29))</f>
        <v>-7.5777577594471346E-5</v>
      </c>
      <c r="BJ25" s="96">
        <f>IF( OR(ISBLANK(N25:N29),ISBLANK(AL25:AL29), ISBLANK(X25:X29),ISBLANK(AV25:AV29)), "·", bdRateExtend( N25:N29,X25:X29, AL25:AL29,AV25:AV29))</f>
        <v>-7.1507721621566489E-5</v>
      </c>
      <c r="BK25" s="96">
        <f>IF( OR(ISBLANK(V25:V29),ISBLANK(AT25:AT29), ISBLANK(Y25:Y29),ISBLANK(AW25:AW29)), "·", bdRateExtend( V25:V29,Y25:Y29, AT25:AT29,AW25:AW29))</f>
        <v>-6.790150211211099E-6</v>
      </c>
      <c r="BL25" s="96">
        <f>IF( OR(ISBLANK(V25:V29),ISBLANK(AT25:AT29), ISBLANK(Z25:Z29),ISBLANK(AX25:AX29)), "·", bdRateExtend( V25:V29,Z25:Z29, AT25:AT29,AX25:AX29))</f>
        <v>-5.4158279266802722E-6</v>
      </c>
      <c r="BM25" s="96">
        <f>IF( OR(ISBLANK(V25:V29),ISBLANK(AT25:AT29), ISBLANK(AA25:AA29),ISBLANK(AY25:AY29)), "·", bdRateExtend( V25:V29,AA25:AA29, AT25:AT29,AY25:AY29))</f>
        <v>-5.7683451410994735E-6</v>
      </c>
      <c r="BN25" s="114"/>
      <c r="BO25" s="96">
        <f>IF( OR(ISBLANK(S25:S29),ISBLANK(AQ25:AQ29), ISBLANK(W25:W29),ISBLANK(AU25:AU29)), "·", bdRateExtend( S25:S29,W25:W29, AQ25:AQ29,AU25:AU29))</f>
        <v>-1.2434497875801753E-14</v>
      </c>
      <c r="BP25" s="96">
        <f>IF( OR(ISBLANK(S25:S29),ISBLANK(AQ25:AQ29), ISBLANK(X25:X29),ISBLANK(AV25:AV29)), "·", bdRateExtend( S25:S29,X25:X29, AQ25:AQ29,AV25:AV29))</f>
        <v>-1.4210854715202004E-14</v>
      </c>
      <c r="BQ25" s="96">
        <f>IF( OR(ISBLANK(S25:S29),ISBLANK(AQ25:AQ29), ISBLANK(Y25:Y29),ISBLANK(AW25:AW29)), "·", bdRateExtend( S25:S29,Y25:Y29, AQ25:AQ29,AW25:AW29))</f>
        <v>-1.4432899320127035E-14</v>
      </c>
      <c r="BR25" s="96">
        <f>IF( OR(ISBLANK(S25:S29),ISBLANK(AQ25:AQ29), ISBLANK(Z25:Z29),ISBLANK(AX25:AX29)), "·", bdRateExtend( S25:S29,Z25:Z29, AQ25:AQ29,AX25:AX29))</f>
        <v>-3.3528735343679728E-14</v>
      </c>
      <c r="BS25" s="96">
        <f>IF( OR(ISBLANK(S25:S29),ISBLANK(AQ25:AQ29), ISBLANK(AA25:AA29),ISBLANK(AY25:AY29)), "·", bdRateExtend( S25:S29,AA25:AA29, AQ25:AQ29,AY25:AY29))</f>
        <v>-1.5543122344752192E-14</v>
      </c>
      <c r="BU25" s="4">
        <f t="shared" si="16"/>
        <v>0</v>
      </c>
    </row>
    <row r="26" spans="1:73" outlineLevel="1" x14ac:dyDescent="0.25">
      <c r="A26" s="21"/>
      <c r="B26" s="21" t="s">
        <v>284</v>
      </c>
      <c r="C26" s="22" t="s">
        <v>269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8.1052949999999999</v>
      </c>
      <c r="J26" s="24">
        <f t="shared" si="1"/>
        <v>0.34155770561220411</v>
      </c>
      <c r="K26" s="24">
        <f t="shared" si="2"/>
        <v>8.4214192501953986E-2</v>
      </c>
      <c r="L26" s="24">
        <f t="shared" si="3"/>
        <v>5.2296249333528444E-2</v>
      </c>
      <c r="M26" s="24">
        <f t="shared" si="4"/>
        <v>0.25734920201981576</v>
      </c>
      <c r="N26" s="21">
        <f t="shared" si="5"/>
        <v>2131664</v>
      </c>
      <c r="O26" s="24">
        <f t="shared" si="6"/>
        <v>0.34707090498468868</v>
      </c>
      <c r="P26" s="46">
        <v>24910322</v>
      </c>
      <c r="Q26" s="46">
        <v>778447.5625</v>
      </c>
      <c r="R26" s="46">
        <v>22364.375</v>
      </c>
      <c r="S26" s="47">
        <v>8645648</v>
      </c>
      <c r="T26" s="47">
        <v>1323744</v>
      </c>
      <c r="U26" s="47">
        <v>807920</v>
      </c>
      <c r="V26" s="47">
        <v>6514128</v>
      </c>
      <c r="W26" s="48">
        <v>68.016528124999994</v>
      </c>
      <c r="X26" s="48">
        <v>69.989903124999898</v>
      </c>
      <c r="Y26" s="48">
        <v>29.910231249999899</v>
      </c>
      <c r="Z26" s="48">
        <v>34.4604874999999</v>
      </c>
      <c r="AA26" s="48">
        <v>34.047587499999999</v>
      </c>
      <c r="AB26" s="49">
        <v>5599.96</v>
      </c>
      <c r="AC26" s="49">
        <v>1688.77</v>
      </c>
      <c r="AD26" s="49">
        <v>6.4960000000000004</v>
      </c>
      <c r="AE26" s="49">
        <v>24.228000000000002</v>
      </c>
      <c r="AG26" s="23">
        <f t="shared" si="7"/>
        <v>8.1052949999999999</v>
      </c>
      <c r="AH26" s="24">
        <f t="shared" si="8"/>
        <v>0.34155770561220411</v>
      </c>
      <c r="AI26" s="24">
        <f t="shared" si="9"/>
        <v>8.4206712639377096E-2</v>
      </c>
      <c r="AJ26" s="24">
        <f t="shared" si="10"/>
        <v>5.2293826279454329E-2</v>
      </c>
      <c r="AK26" s="24">
        <f t="shared" si="11"/>
        <v>0.2573467789657416</v>
      </c>
      <c r="AL26" s="21">
        <f t="shared" si="12"/>
        <v>2131474.6666666698</v>
      </c>
      <c r="AM26" s="24">
        <f t="shared" si="13"/>
        <v>0.34707090498468868</v>
      </c>
      <c r="AN26" s="97">
        <v>24910322</v>
      </c>
      <c r="AO26" s="97">
        <v>778447.5625</v>
      </c>
      <c r="AP26" s="97">
        <v>22364.375</v>
      </c>
      <c r="AQ26" s="98">
        <v>8645648</v>
      </c>
      <c r="AR26" s="98">
        <v>1323682.66666667</v>
      </c>
      <c r="AS26" s="98">
        <v>807792</v>
      </c>
      <c r="AT26" s="98">
        <v>6514066.6666666698</v>
      </c>
      <c r="AU26" s="99">
        <v>68.016528124999994</v>
      </c>
      <c r="AV26" s="99">
        <v>69.989903124999998</v>
      </c>
      <c r="AW26" s="99">
        <v>29.910231249999999</v>
      </c>
      <c r="AX26" s="99">
        <v>34.460487499999999</v>
      </c>
      <c r="AY26" s="99">
        <v>34.047587499999999</v>
      </c>
      <c r="AZ26" s="100">
        <v>4712.82</v>
      </c>
      <c r="BA26" s="100">
        <v>2693.93</v>
      </c>
      <c r="BB26" s="100">
        <v>11.81</v>
      </c>
      <c r="BC26" s="100">
        <v>38.386000000000003</v>
      </c>
      <c r="BE26" s="25">
        <f t="shared" si="14"/>
        <v>0</v>
      </c>
      <c r="BF26" s="25">
        <f t="shared" si="15"/>
        <v>-2.1899264616154213E-5</v>
      </c>
      <c r="BG26" s="25"/>
      <c r="BI26" s="101"/>
      <c r="BJ26" s="101"/>
      <c r="BK26" s="101"/>
      <c r="BL26" s="101"/>
      <c r="BM26" s="101"/>
      <c r="BN26" s="114"/>
      <c r="BO26" s="101"/>
      <c r="BP26" s="101"/>
      <c r="BQ26" s="101"/>
      <c r="BR26" s="101"/>
      <c r="BS26" s="101"/>
      <c r="BU26" s="4">
        <f t="shared" si="16"/>
        <v>0</v>
      </c>
    </row>
    <row r="27" spans="1:73" outlineLevel="1" x14ac:dyDescent="0.25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14.6541675</v>
      </c>
      <c r="J27" s="18">
        <f t="shared" si="1"/>
        <v>0.61752765679187849</v>
      </c>
      <c r="K27" s="18">
        <f t="shared" si="2"/>
        <v>0.10547870435716744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2669920</v>
      </c>
      <c r="O27" s="18">
        <f t="shared" si="6"/>
        <v>0.61871750529316139</v>
      </c>
      <c r="P27" s="42">
        <v>25263730</v>
      </c>
      <c r="Q27" s="42">
        <v>789491.5625</v>
      </c>
      <c r="R27" s="42">
        <v>23753.8125</v>
      </c>
      <c r="S27" s="43">
        <v>15631112</v>
      </c>
      <c r="T27" s="43">
        <v>1862000</v>
      </c>
      <c r="U27" s="43">
        <v>807920</v>
      </c>
      <c r="V27" s="43">
        <v>12961336</v>
      </c>
      <c r="W27" s="44">
        <v>69.394446875</v>
      </c>
      <c r="X27" s="44">
        <v>71.733012499999901</v>
      </c>
      <c r="Y27" s="44">
        <v>32.411193749999903</v>
      </c>
      <c r="Z27" s="44">
        <v>35.725224999999902</v>
      </c>
      <c r="AA27" s="44">
        <v>35.386656250000001</v>
      </c>
      <c r="AB27" s="45">
        <v>5594.85</v>
      </c>
      <c r="AC27" s="45">
        <v>1835.58</v>
      </c>
      <c r="AD27" s="45">
        <v>6.9240000000000004</v>
      </c>
      <c r="AE27" s="45">
        <v>27.911999999999999</v>
      </c>
      <c r="AG27" s="17">
        <f t="shared" si="7"/>
        <v>14.6541675</v>
      </c>
      <c r="AH27" s="18">
        <f t="shared" si="8"/>
        <v>0.61752765679187849</v>
      </c>
      <c r="AI27" s="18">
        <f t="shared" si="9"/>
        <v>0.10547122449459055</v>
      </c>
      <c r="AJ27" s="18">
        <f t="shared" si="10"/>
        <v>7.3558338134667792E-2</v>
      </c>
      <c r="AK27" s="18">
        <f t="shared" si="11"/>
        <v>0.51205221829020375</v>
      </c>
      <c r="AL27" s="15">
        <f t="shared" si="12"/>
        <v>2669730.6666666698</v>
      </c>
      <c r="AM27" s="18">
        <f t="shared" si="13"/>
        <v>0.61871750529316139</v>
      </c>
      <c r="AN27" s="92">
        <v>25263730</v>
      </c>
      <c r="AO27" s="92">
        <v>789491.5625</v>
      </c>
      <c r="AP27" s="92">
        <v>23753.8125</v>
      </c>
      <c r="AQ27" s="93">
        <v>15631112</v>
      </c>
      <c r="AR27" s="93">
        <v>1861938.66666667</v>
      </c>
      <c r="AS27" s="93">
        <v>807792</v>
      </c>
      <c r="AT27" s="93">
        <v>12961274.6666667</v>
      </c>
      <c r="AU27" s="94">
        <v>69.394446875</v>
      </c>
      <c r="AV27" s="94">
        <v>71.733012500000001</v>
      </c>
      <c r="AW27" s="94">
        <v>32.411193750000002</v>
      </c>
      <c r="AX27" s="94">
        <v>35.725225000000002</v>
      </c>
      <c r="AY27" s="94">
        <v>35.386656250000001</v>
      </c>
      <c r="AZ27" s="95">
        <v>4783.91</v>
      </c>
      <c r="BA27" s="95">
        <v>3000.2</v>
      </c>
      <c r="BB27" s="95">
        <v>11.613</v>
      </c>
      <c r="BC27" s="95">
        <v>41.052</v>
      </c>
      <c r="BE27" s="19">
        <f t="shared" si="14"/>
        <v>0</v>
      </c>
      <c r="BF27" s="19">
        <f t="shared" si="15"/>
        <v>-1.2112595273477966E-5</v>
      </c>
      <c r="BG27" s="19"/>
      <c r="BI27" s="96"/>
      <c r="BJ27" s="96"/>
      <c r="BK27" s="96"/>
      <c r="BL27" s="96"/>
      <c r="BM27" s="96"/>
      <c r="BN27" s="114"/>
      <c r="BO27" s="96"/>
      <c r="BP27" s="96"/>
      <c r="BQ27" s="96"/>
      <c r="BR27" s="96"/>
      <c r="BS27" s="96"/>
      <c r="BU27" s="4">
        <f t="shared" si="16"/>
        <v>0</v>
      </c>
    </row>
    <row r="28" spans="1:73" outlineLevel="1" x14ac:dyDescent="0.25">
      <c r="A28" s="21"/>
      <c r="B28" s="21" t="s">
        <v>284</v>
      </c>
      <c r="C28" s="22" t="s">
        <v>271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27.818864999999999</v>
      </c>
      <c r="J28" s="24">
        <f t="shared" si="1"/>
        <v>1.1722889422452418</v>
      </c>
      <c r="K28" s="24">
        <f t="shared" si="2"/>
        <v>0.14074741525974138</v>
      </c>
      <c r="L28" s="24">
        <f t="shared" si="3"/>
        <v>0.10882947209131585</v>
      </c>
      <c r="M28" s="24">
        <f t="shared" si="4"/>
        <v>1.0315472158950663</v>
      </c>
      <c r="N28" s="21">
        <f t="shared" si="5"/>
        <v>3562656</v>
      </c>
      <c r="O28" s="24">
        <f t="shared" si="6"/>
        <v>1.1329634964794024</v>
      </c>
      <c r="P28" s="46">
        <v>26191008</v>
      </c>
      <c r="Q28" s="46">
        <v>818469</v>
      </c>
      <c r="R28" s="46">
        <v>27045</v>
      </c>
      <c r="S28" s="47">
        <v>29673456</v>
      </c>
      <c r="T28" s="47">
        <v>2754736</v>
      </c>
      <c r="U28" s="47">
        <v>807920</v>
      </c>
      <c r="V28" s="47">
        <v>26110944</v>
      </c>
      <c r="W28" s="48">
        <v>70.457109374999902</v>
      </c>
      <c r="X28" s="48">
        <v>73.018118749999999</v>
      </c>
      <c r="Y28" s="48">
        <v>34.880259375000001</v>
      </c>
      <c r="Z28" s="48">
        <v>37.548418749999897</v>
      </c>
      <c r="AA28" s="48">
        <v>37.157228124999897</v>
      </c>
      <c r="AB28" s="49">
        <v>6002.55</v>
      </c>
      <c r="AC28" s="49">
        <v>2092.46</v>
      </c>
      <c r="AD28" s="49">
        <v>6.3159999999999998</v>
      </c>
      <c r="AE28" s="49">
        <v>24.995999999999999</v>
      </c>
      <c r="AG28" s="23">
        <f t="shared" si="7"/>
        <v>27.818864999999999</v>
      </c>
      <c r="AH28" s="24">
        <f t="shared" si="8"/>
        <v>1.1722889422452418</v>
      </c>
      <c r="AI28" s="24">
        <f t="shared" si="9"/>
        <v>0.14073993539716451</v>
      </c>
      <c r="AJ28" s="24">
        <f t="shared" si="10"/>
        <v>0.10882704903724173</v>
      </c>
      <c r="AK28" s="24">
        <f t="shared" si="11"/>
        <v>1.0315447928409933</v>
      </c>
      <c r="AL28" s="21">
        <f t="shared" si="12"/>
        <v>3562466.6666666698</v>
      </c>
      <c r="AM28" s="24">
        <f t="shared" si="13"/>
        <v>1.1329634964794024</v>
      </c>
      <c r="AN28" s="97">
        <v>26191008</v>
      </c>
      <c r="AO28" s="97">
        <v>818469</v>
      </c>
      <c r="AP28" s="97">
        <v>27045</v>
      </c>
      <c r="AQ28" s="98">
        <v>29673456</v>
      </c>
      <c r="AR28" s="98">
        <v>2754674.6666666698</v>
      </c>
      <c r="AS28" s="98">
        <v>807792</v>
      </c>
      <c r="AT28" s="98">
        <v>26110882.666666701</v>
      </c>
      <c r="AU28" s="99">
        <v>70.457109375000002</v>
      </c>
      <c r="AV28" s="99">
        <v>73.018118749999999</v>
      </c>
      <c r="AW28" s="99">
        <v>34.880259375000001</v>
      </c>
      <c r="AX28" s="99">
        <v>37.548418750000003</v>
      </c>
      <c r="AY28" s="99">
        <v>37.157228125000003</v>
      </c>
      <c r="AZ28" s="100">
        <v>4715.5600000000004</v>
      </c>
      <c r="BA28" s="100">
        <v>3301.75</v>
      </c>
      <c r="BB28" s="100">
        <v>10.391999999999999</v>
      </c>
      <c r="BC28" s="100">
        <v>43.09</v>
      </c>
      <c r="BE28" s="25">
        <f t="shared" si="14"/>
        <v>0</v>
      </c>
      <c r="BF28" s="25">
        <f t="shared" si="15"/>
        <v>-6.3805622550483498E-6</v>
      </c>
      <c r="BG28" s="25"/>
      <c r="BI28" s="101"/>
      <c r="BJ28" s="101"/>
      <c r="BK28" s="101"/>
      <c r="BL28" s="101"/>
      <c r="BM28" s="101"/>
      <c r="BN28" s="114"/>
      <c r="BO28" s="101"/>
      <c r="BP28" s="101"/>
      <c r="BQ28" s="101"/>
      <c r="BR28" s="101"/>
      <c r="BS28" s="101"/>
      <c r="BU28" s="4">
        <f t="shared" si="16"/>
        <v>0</v>
      </c>
    </row>
    <row r="29" spans="1:73" ht="15.75" outlineLevel="1" thickBot="1" x14ac:dyDescent="0.3">
      <c r="A29" s="27"/>
      <c r="B29" s="27" t="s">
        <v>284</v>
      </c>
      <c r="C29" s="28" t="s">
        <v>272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48.662212500000003</v>
      </c>
      <c r="J29" s="30">
        <f t="shared" si="1"/>
        <v>2.0506290827802713</v>
      </c>
      <c r="K29" s="30">
        <f t="shared" si="2"/>
        <v>0.22524573718944479</v>
      </c>
      <c r="L29" s="30">
        <f t="shared" si="3"/>
        <v>0.16586616334566034</v>
      </c>
      <c r="M29" s="30">
        <f t="shared" si="4"/>
        <v>1.825389034500392</v>
      </c>
      <c r="N29" s="27">
        <f t="shared" si="5"/>
        <v>5701512</v>
      </c>
      <c r="O29" s="30">
        <f t="shared" si="6"/>
        <v>2.0708685678634433</v>
      </c>
      <c r="P29" s="50">
        <v>25065019</v>
      </c>
      <c r="Q29" s="50">
        <v>783281.84375</v>
      </c>
      <c r="R29" s="50">
        <v>12136.59375</v>
      </c>
      <c r="S29" s="51">
        <v>51906360</v>
      </c>
      <c r="T29" s="51">
        <v>4198472</v>
      </c>
      <c r="U29" s="51">
        <v>1503040</v>
      </c>
      <c r="V29" s="51">
        <v>46204992</v>
      </c>
      <c r="W29" s="52">
        <v>71.492812499999999</v>
      </c>
      <c r="X29" s="52">
        <v>74.934843749999999</v>
      </c>
      <c r="Y29" s="52">
        <v>36.5576875</v>
      </c>
      <c r="Z29" s="52">
        <v>39.620221874999899</v>
      </c>
      <c r="AA29" s="52">
        <v>39.018403124999999</v>
      </c>
      <c r="AB29" s="53">
        <v>6041.01</v>
      </c>
      <c r="AC29" s="53">
        <v>2451.75</v>
      </c>
      <c r="AD29" s="53">
        <v>5.3639999999999999</v>
      </c>
      <c r="AE29" s="53">
        <v>21.84</v>
      </c>
      <c r="AG29" s="29">
        <f t="shared" si="7"/>
        <v>48.662212500000003</v>
      </c>
      <c r="AH29" s="30">
        <f t="shared" si="8"/>
        <v>2.0506290827802713</v>
      </c>
      <c r="AI29" s="30">
        <f t="shared" si="9"/>
        <v>0.22523825732686789</v>
      </c>
      <c r="AJ29" s="30">
        <f t="shared" si="10"/>
        <v>0.16586374029158624</v>
      </c>
      <c r="AK29" s="30">
        <f t="shared" si="11"/>
        <v>1.8253866114463191</v>
      </c>
      <c r="AL29" s="27">
        <f t="shared" si="12"/>
        <v>5701322.6666666698</v>
      </c>
      <c r="AM29" s="30">
        <f t="shared" si="13"/>
        <v>2.0708685678634433</v>
      </c>
      <c r="AN29" s="102">
        <v>25065019</v>
      </c>
      <c r="AO29" s="102">
        <v>783281.84375</v>
      </c>
      <c r="AP29" s="102">
        <v>12136.59375</v>
      </c>
      <c r="AQ29" s="103">
        <v>51906360</v>
      </c>
      <c r="AR29" s="103">
        <v>4198410.6666666698</v>
      </c>
      <c r="AS29" s="103">
        <v>1502912</v>
      </c>
      <c r="AT29" s="103">
        <v>46204930.666666701</v>
      </c>
      <c r="AU29" s="104">
        <v>71.492812499999999</v>
      </c>
      <c r="AV29" s="104">
        <v>74.934843749999999</v>
      </c>
      <c r="AW29" s="104">
        <v>36.5576875</v>
      </c>
      <c r="AX29" s="104">
        <v>39.620221874999999</v>
      </c>
      <c r="AY29" s="104">
        <v>39.018403124999999</v>
      </c>
      <c r="AZ29" s="105">
        <v>4744.83</v>
      </c>
      <c r="BA29" s="105">
        <v>3963.96</v>
      </c>
      <c r="BB29" s="105">
        <v>12.151999999999999</v>
      </c>
      <c r="BC29" s="105">
        <v>45.926000000000002</v>
      </c>
      <c r="BE29" s="31">
        <f t="shared" si="14"/>
        <v>0</v>
      </c>
      <c r="BF29" s="31">
        <f t="shared" si="15"/>
        <v>-3.6475941162100733E-6</v>
      </c>
      <c r="BG29" s="31"/>
      <c r="BI29" s="106"/>
      <c r="BJ29" s="106"/>
      <c r="BK29" s="106"/>
      <c r="BL29" s="106"/>
      <c r="BM29" s="106"/>
      <c r="BN29" s="114"/>
      <c r="BO29" s="106"/>
      <c r="BP29" s="106"/>
      <c r="BQ29" s="106"/>
      <c r="BR29" s="106"/>
      <c r="BS29" s="106"/>
      <c r="BU29" s="4">
        <f t="shared" si="16"/>
        <v>0</v>
      </c>
    </row>
    <row r="30" spans="1:73" x14ac:dyDescent="0.25">
      <c r="B30" s="39" t="s">
        <v>288</v>
      </c>
      <c r="J30" s="40">
        <f>AVERAGE(J5:J24)</f>
        <v>0.43179176894855759</v>
      </c>
      <c r="K30" s="40">
        <f>AVERAGE(K5:K24)</f>
        <v>0.12487189656665994</v>
      </c>
      <c r="L30" s="40">
        <f>AVERAGE(L5:L24)</f>
        <v>8.5137108187666427E-2</v>
      </c>
      <c r="M30" s="40">
        <f>AVERAGE(M5:M24)</f>
        <v>0.30692508163868409</v>
      </c>
      <c r="AH30" s="40">
        <f>AVERAGE(AH5:AH24)</f>
        <v>0.43179176894855759</v>
      </c>
      <c r="AI30" s="40">
        <f>AVERAGE(AI5:AI24)</f>
        <v>0.12486504735866288</v>
      </c>
      <c r="AJ30" s="40">
        <f>AVERAGE(AJ5:AJ24)</f>
        <v>8.5134889430146327E-2</v>
      </c>
      <c r="AK30" s="40">
        <f>AVERAGE(AK5:AK24)</f>
        <v>0.30692286288116438</v>
      </c>
      <c r="BG30" s="8">
        <f>AVERAGE(BG5:BG24)</f>
        <v>-2.7423339977183936E-5</v>
      </c>
      <c r="BI30" s="91">
        <f>AVERAGE(BI5:BI24)</f>
        <v>-6.9745737812071384E-5</v>
      </c>
      <c r="BJ30" s="91">
        <f>AVERAGE(BJ5:BJ24)</f>
        <v>-6.5972859171398168E-5</v>
      </c>
      <c r="BK30" s="91">
        <f>AVERAGE(BK5:BK24)</f>
        <v>-1.5176362798158261E-5</v>
      </c>
      <c r="BL30" s="91">
        <f>AVERAGE(BL5:BL24)</f>
        <v>-1.4157521096708203E-5</v>
      </c>
      <c r="BM30" s="91">
        <f>AVERAGE(BM5:BM24)</f>
        <v>-1.4963075234797341E-5</v>
      </c>
      <c r="BN30" s="114"/>
      <c r="BO30" s="91">
        <f>AVERAGE(BO5:BO24)</f>
        <v>-5.8841820305133297E-15</v>
      </c>
      <c r="BP30" s="91">
        <f>AVERAGE(BP5:BP24)</f>
        <v>-5.2180482157382357E-15</v>
      </c>
      <c r="BQ30" s="91">
        <f>AVERAGE(BQ5:BQ24)</f>
        <v>-8.1601392309949006E-15</v>
      </c>
      <c r="BR30" s="91">
        <f>AVERAGE(BR5:BR24)</f>
        <v>-2.0317081350640365E-14</v>
      </c>
      <c r="BS30" s="91">
        <f>AVERAGE(BS5:BS24)</f>
        <v>-1.0325074129013956E-14</v>
      </c>
    </row>
    <row r="31" spans="1:73" x14ac:dyDescent="0.25">
      <c r="B31" s="39" t="s">
        <v>289</v>
      </c>
      <c r="J31" s="40">
        <f>AVERAGE(J25:J29)</f>
        <v>0.87603309807585283</v>
      </c>
      <c r="K31" s="40">
        <f>AVERAGE(K25:K29)</f>
        <v>0.12506201701552849</v>
      </c>
      <c r="L31" s="40">
        <f>AVERAGE(L25:L29)</f>
        <v>8.7651747712031186E-2</v>
      </c>
      <c r="M31" s="40">
        <f>AVERAGE(M25:M29)</f>
        <v>0.75097676996988993</v>
      </c>
      <c r="AH31" s="40">
        <f>AVERAGE(AH25:AH29)</f>
        <v>0.87603309807585283</v>
      </c>
      <c r="AI31" s="40">
        <f>AVERAGE(AI25:AI29)</f>
        <v>0.12505453715295162</v>
      </c>
      <c r="AJ31" s="40">
        <f>AVERAGE(AJ25:AJ29)</f>
        <v>8.7649324657957051E-2</v>
      </c>
      <c r="AK31" s="40">
        <f>AVERAGE(AK25:AK29)</f>
        <v>0.75097434691581655</v>
      </c>
      <c r="BG31" s="8">
        <f>AVERAGE(BG25:BG29)</f>
        <v>-1.6357239423669956E-5</v>
      </c>
      <c r="BI31" s="91">
        <f>AVERAGE(BI25:BI29)</f>
        <v>-7.5777577594471346E-5</v>
      </c>
      <c r="BJ31" s="91">
        <f>AVERAGE(BJ25:BJ29)</f>
        <v>-7.1507721621566489E-5</v>
      </c>
      <c r="BK31" s="91">
        <f>AVERAGE(BK25:BK29)</f>
        <v>-6.790150211211099E-6</v>
      </c>
      <c r="BL31" s="91">
        <f>AVERAGE(BL25:BL29)</f>
        <v>-5.4158279266802722E-6</v>
      </c>
      <c r="BM31" s="91">
        <f>AVERAGE(BM25:BM29)</f>
        <v>-5.7683451410994735E-6</v>
      </c>
      <c r="BN31" s="114"/>
      <c r="BO31" s="91">
        <f>AVERAGE(BO25:BO29)</f>
        <v>-1.2434497875801753E-14</v>
      </c>
      <c r="BP31" s="91">
        <f>AVERAGE(BP25:BP29)</f>
        <v>-1.4210854715202004E-14</v>
      </c>
      <c r="BQ31" s="91">
        <f>AVERAGE(BQ25:BQ29)</f>
        <v>-1.4432899320127035E-14</v>
      </c>
      <c r="BR31" s="91">
        <f>AVERAGE(BR25:BR29)</f>
        <v>-3.3528735343679728E-14</v>
      </c>
      <c r="BS31" s="91">
        <f>AVERAGE(BS25:BS29)</f>
        <v>-1.5543122344752192E-14</v>
      </c>
    </row>
    <row r="32" spans="1:73" collapsed="1" x14ac:dyDescent="0.25">
      <c r="B32" s="39" t="s">
        <v>290</v>
      </c>
      <c r="J32" s="40">
        <f>AVERAGE(J5:J29)</f>
        <v>0.52064003477401666</v>
      </c>
      <c r="K32" s="40">
        <f>AVERAGE(K5:K29)</f>
        <v>0.12490992065643365</v>
      </c>
      <c r="L32" s="40">
        <f>AVERAGE(L5:L29)</f>
        <v>8.5640036092539382E-2</v>
      </c>
      <c r="M32" s="40">
        <f>AVERAGE(M5:M29)</f>
        <v>0.39573541930492523</v>
      </c>
      <c r="AH32" s="40">
        <f>AVERAGE(AH5:AH29)</f>
        <v>0.52064003477401666</v>
      </c>
      <c r="AI32" s="40">
        <f>AVERAGE(AI5:AI29)</f>
        <v>0.12490294531752064</v>
      </c>
      <c r="AJ32" s="40">
        <f>AVERAGE(AJ5:AJ29)</f>
        <v>8.5637776475708471E-2</v>
      </c>
      <c r="AK32" s="40">
        <f>AVERAGE(AK5:AK29)</f>
        <v>0.3957331596880948</v>
      </c>
      <c r="BG32" s="8">
        <f>AVERAGE(BG5:BG29)</f>
        <v>-2.5210119866481139E-5</v>
      </c>
      <c r="BI32" s="91">
        <f>AVERAGE(BI5:BI29)</f>
        <v>-7.0952105768551382E-5</v>
      </c>
      <c r="BJ32" s="91">
        <f>AVERAGE(BJ5:BJ29)</f>
        <v>-6.7079831661431832E-5</v>
      </c>
      <c r="BK32" s="91">
        <f>AVERAGE(BK5:BK29)</f>
        <v>-1.3499120280768829E-5</v>
      </c>
      <c r="BL32" s="91">
        <f>AVERAGE(BL5:BL29)</f>
        <v>-1.2409182462702617E-5</v>
      </c>
      <c r="BM32" s="91">
        <f>AVERAGE(BM5:BM29)</f>
        <v>-1.3124129216057767E-5</v>
      </c>
      <c r="BN32" s="114"/>
      <c r="BO32" s="91">
        <f>AVERAGE(BO5:BO29)</f>
        <v>-7.1942451995710141E-15</v>
      </c>
      <c r="BP32" s="91">
        <f>AVERAGE(BP5:BP29)</f>
        <v>-7.0166095156309897E-15</v>
      </c>
      <c r="BQ32" s="91">
        <f>AVERAGE(BQ5:BQ29)</f>
        <v>-9.4146912488213271E-15</v>
      </c>
      <c r="BR32" s="91">
        <f>AVERAGE(BR5:BR29)</f>
        <v>-2.2959412149248239E-14</v>
      </c>
      <c r="BS32" s="91">
        <f>AVERAGE(BS5:BS29)</f>
        <v>-1.1368683772161604E-14</v>
      </c>
    </row>
    <row r="33" spans="1:55" hidden="1" outlineLevel="2" x14ac:dyDescent="0.25">
      <c r="A33" s="39" t="s">
        <v>291</v>
      </c>
      <c r="B33" s="39" t="s">
        <v>292</v>
      </c>
      <c r="AB33" s="41">
        <f>SUM(AB5:AB24,AB25:AB29)</f>
        <v>193487.87000000002</v>
      </c>
      <c r="AC33" s="41">
        <f>SUM(AC5:AC24,AC25:AC29)</f>
        <v>39988.549999999996</v>
      </c>
      <c r="AD33" s="41">
        <f>SUM(AD5:AD24,AD25:AD29)</f>
        <v>190.88800000000003</v>
      </c>
      <c r="AE33" s="41">
        <f>SUM(AE5:AE24,AE25:AE29)</f>
        <v>610.4</v>
      </c>
      <c r="AZ33" s="41">
        <f>SUM(AZ5:AZ24,AZ25:AZ29)</f>
        <v>129792.34999999999</v>
      </c>
      <c r="BA33" s="41">
        <f>SUM(BA5:BA24,BA25:BA29)</f>
        <v>68047.889999999985</v>
      </c>
      <c r="BB33" s="41">
        <f>SUM(BB5:BB24,BB25:BB29)</f>
        <v>317.55199999999996</v>
      </c>
      <c r="BC33" s="41">
        <f>SUM(BC5:BC24,BC25:BC29)</f>
        <v>873.96900000000016</v>
      </c>
    </row>
    <row r="34" spans="1:55" hidden="1" outlineLevel="2" x14ac:dyDescent="0.25">
      <c r="B34" s="39" t="s">
        <v>293</v>
      </c>
      <c r="AZ34" s="8">
        <f>AZ33/AB33</f>
        <v>0.67080354959719168</v>
      </c>
      <c r="BA34" s="8">
        <f>BA33/AC33</f>
        <v>1.7016843571472331</v>
      </c>
      <c r="BB34" s="8">
        <f>BB33/AD33</f>
        <v>1.6635514018691584</v>
      </c>
      <c r="BC34" s="8">
        <f>BC33/AE33</f>
        <v>1.4317971821756228</v>
      </c>
    </row>
    <row r="35" spans="1:55" hidden="1" outlineLevel="2" x14ac:dyDescent="0.25">
      <c r="B35" s="39" t="s">
        <v>294</v>
      </c>
      <c r="AB35" s="41">
        <f>GEOMEAN(AB5:AB24,AB25:AB29)</f>
        <v>7530.0636790500866</v>
      </c>
      <c r="AC35" s="41">
        <f>GEOMEAN(AC5:AC24,AC25:AC29)</f>
        <v>1559.3380209119814</v>
      </c>
      <c r="AD35" s="41">
        <f>GEOMEAN(AD5:AD24,AD25:AD29)</f>
        <v>7.4273587807136634</v>
      </c>
      <c r="AE35" s="41">
        <f>GEOMEAN(AE5:AE24,AE25:AE29)</f>
        <v>23.870578497452797</v>
      </c>
      <c r="AZ35" s="41">
        <f>GEOMEAN(AZ5:AZ24,AZ25:AZ29)</f>
        <v>5123.6011900736758</v>
      </c>
      <c r="BA35" s="41">
        <f>GEOMEAN(BA5:BA24,BA25:BA29)</f>
        <v>2670.0810412057917</v>
      </c>
      <c r="BB35" s="41">
        <f>GEOMEAN(BB5:BB24,BB25:BB29)</f>
        <v>12.562501213143976</v>
      </c>
      <c r="BC35" s="41">
        <f>GEOMEAN(BC5:BC24,BC25:BC29)</f>
        <v>34.604767489895806</v>
      </c>
    </row>
    <row r="36" spans="1:55" outlineLevel="2" collapsed="1" x14ac:dyDescent="0.25">
      <c r="B36" s="39" t="s">
        <v>295</v>
      </c>
      <c r="AZ36" s="8">
        <f>AZ35/AB35</f>
        <v>0.6804193707323356</v>
      </c>
      <c r="BA36" s="8">
        <f>BA35/AC35</f>
        <v>1.7123170251721243</v>
      </c>
      <c r="BB36" s="8">
        <f>BB35/AD35</f>
        <v>1.6913820355311957</v>
      </c>
      <c r="BC36" s="8">
        <f>BC35/AE35</f>
        <v>1.4496828174310246</v>
      </c>
    </row>
    <row r="39" spans="1:55" x14ac:dyDescent="0.25">
      <c r="AR39" s="90"/>
      <c r="AS39" s="90"/>
      <c r="AT39" s="90"/>
      <c r="AU39" s="113"/>
      <c r="AV39" s="113"/>
      <c r="AW39" s="113"/>
      <c r="AX39" s="113"/>
      <c r="AY39" s="113"/>
    </row>
    <row r="40" spans="1:55" x14ac:dyDescent="0.25">
      <c r="AQ40" s="90"/>
      <c r="AR40" s="90"/>
      <c r="AS40" s="90"/>
      <c r="AT40" s="90"/>
      <c r="AU40" s="113"/>
      <c r="AV40" s="113"/>
      <c r="AW40" s="113"/>
      <c r="AX40" s="113"/>
      <c r="AY40" s="113"/>
    </row>
    <row r="41" spans="1:55" x14ac:dyDescent="0.25">
      <c r="AQ41" s="90"/>
      <c r="AR41" s="90"/>
      <c r="AS41" s="90"/>
      <c r="AT41" s="90"/>
      <c r="AU41" s="113"/>
      <c r="AV41" s="113"/>
      <c r="AW41" s="113"/>
      <c r="AX41" s="113"/>
      <c r="AY41" s="113"/>
    </row>
    <row r="42" spans="1:55" x14ac:dyDescent="0.25">
      <c r="AQ42" s="90"/>
      <c r="AR42" s="90"/>
      <c r="AS42" s="90"/>
      <c r="AT42" s="90"/>
      <c r="AU42" s="113"/>
      <c r="AV42" s="113"/>
      <c r="AW42" s="113"/>
      <c r="AX42" s="113"/>
      <c r="AY42" s="113"/>
    </row>
    <row r="43" spans="1:55" x14ac:dyDescent="0.25">
      <c r="AQ43" s="90"/>
      <c r="AR43" s="90"/>
      <c r="AS43" s="90"/>
      <c r="AT43" s="90"/>
      <c r="AU43" s="113"/>
      <c r="AV43" s="113"/>
      <c r="AW43" s="113"/>
      <c r="AX43" s="113"/>
      <c r="AY43" s="113"/>
    </row>
    <row r="44" spans="1:55" x14ac:dyDescent="0.25">
      <c r="AQ44" s="90"/>
      <c r="AR44" s="90"/>
      <c r="AS44" s="90"/>
      <c r="AT44" s="90"/>
      <c r="AU44" s="113"/>
      <c r="AV44" s="113"/>
      <c r="AW44" s="113"/>
      <c r="AX44" s="113"/>
      <c r="AY44" s="113"/>
    </row>
    <row r="45" spans="1:55" x14ac:dyDescent="0.25">
      <c r="AQ45" s="90"/>
      <c r="AR45" s="90"/>
      <c r="AS45" s="90"/>
      <c r="AT45" s="90"/>
      <c r="AU45" s="113"/>
      <c r="AV45" s="113"/>
      <c r="AW45" s="113"/>
      <c r="AX45" s="113"/>
      <c r="AY45" s="113"/>
    </row>
    <row r="46" spans="1:55" x14ac:dyDescent="0.25">
      <c r="AQ46" s="90"/>
      <c r="AR46" s="90"/>
      <c r="AS46" s="90"/>
      <c r="AT46" s="90"/>
      <c r="AU46" s="113"/>
      <c r="AV46" s="113"/>
      <c r="AW46" s="113"/>
      <c r="AX46" s="113"/>
      <c r="AY46" s="113"/>
    </row>
    <row r="47" spans="1:55" x14ac:dyDescent="0.25">
      <c r="AQ47" s="90"/>
      <c r="AR47" s="90"/>
      <c r="AS47" s="90"/>
      <c r="AT47" s="90"/>
      <c r="AU47" s="113"/>
      <c r="AV47" s="113"/>
      <c r="AW47" s="113"/>
      <c r="AX47" s="113"/>
      <c r="AY47" s="113"/>
    </row>
    <row r="48" spans="1:55" x14ac:dyDescent="0.25">
      <c r="AQ48" s="90"/>
      <c r="AR48" s="90"/>
      <c r="AS48" s="90"/>
      <c r="AT48" s="90"/>
      <c r="AU48" s="113"/>
      <c r="AV48" s="113"/>
      <c r="AW48" s="113"/>
      <c r="AX48" s="113"/>
      <c r="AY48" s="113"/>
    </row>
    <row r="49" spans="43:51" x14ac:dyDescent="0.25">
      <c r="AQ49" s="90"/>
      <c r="AR49" s="90"/>
      <c r="AS49" s="90"/>
      <c r="AT49" s="90"/>
      <c r="AU49" s="113"/>
      <c r="AV49" s="113"/>
      <c r="AW49" s="113"/>
      <c r="AX49" s="113"/>
      <c r="AY49" s="113"/>
    </row>
    <row r="50" spans="43:51" x14ac:dyDescent="0.25">
      <c r="AQ50" s="90"/>
      <c r="AR50" s="90"/>
      <c r="AS50" s="90"/>
      <c r="AT50" s="90"/>
      <c r="AU50" s="113"/>
      <c r="AV50" s="113"/>
      <c r="AW50" s="113"/>
      <c r="AX50" s="113"/>
      <c r="AY50" s="113"/>
    </row>
    <row r="51" spans="43:51" x14ac:dyDescent="0.25">
      <c r="AQ51" s="90"/>
      <c r="AR51" s="90"/>
      <c r="AS51" s="90"/>
      <c r="AT51" s="90"/>
      <c r="AU51" s="113"/>
      <c r="AV51" s="113"/>
      <c r="AW51" s="113"/>
      <c r="AX51" s="113"/>
      <c r="AY51" s="113"/>
    </row>
    <row r="52" spans="43:51" x14ac:dyDescent="0.25">
      <c r="AQ52" s="90"/>
      <c r="AR52" s="90"/>
      <c r="AS52" s="90"/>
      <c r="AT52" s="90"/>
      <c r="AU52" s="113"/>
      <c r="AV52" s="113"/>
      <c r="AW52" s="113"/>
      <c r="AX52" s="113"/>
      <c r="AY52" s="113"/>
    </row>
    <row r="53" spans="43:51" x14ac:dyDescent="0.25">
      <c r="AQ53" s="90"/>
      <c r="AR53" s="90"/>
      <c r="AS53" s="90"/>
      <c r="AT53" s="90"/>
      <c r="AU53" s="113"/>
      <c r="AV53" s="113"/>
      <c r="AW53" s="113"/>
      <c r="AX53" s="113"/>
      <c r="AY53" s="113"/>
    </row>
    <row r="54" spans="43:51" x14ac:dyDescent="0.25">
      <c r="AQ54" s="90"/>
      <c r="AR54" s="90"/>
      <c r="AS54" s="90"/>
      <c r="AT54" s="90"/>
      <c r="AU54" s="113"/>
      <c r="AV54" s="113"/>
      <c r="AW54" s="113"/>
      <c r="AX54" s="113"/>
      <c r="AY54" s="113"/>
    </row>
    <row r="55" spans="43:51" x14ac:dyDescent="0.25">
      <c r="AQ55" s="90"/>
      <c r="AR55" s="90"/>
      <c r="AS55" s="90"/>
      <c r="AT55" s="90"/>
      <c r="AU55" s="113"/>
      <c r="AV55" s="113"/>
      <c r="AW55" s="113"/>
      <c r="AX55" s="113"/>
      <c r="AY55" s="113"/>
    </row>
    <row r="56" spans="43:51" x14ac:dyDescent="0.25">
      <c r="AQ56" s="90"/>
      <c r="AR56" s="90"/>
      <c r="AS56" s="90"/>
      <c r="AT56" s="90"/>
      <c r="AU56" s="113"/>
      <c r="AV56" s="113"/>
      <c r="AW56" s="113"/>
      <c r="AX56" s="113"/>
      <c r="AY56" s="113"/>
    </row>
    <row r="57" spans="43:51" x14ac:dyDescent="0.25">
      <c r="AQ57" s="90"/>
      <c r="AR57" s="90"/>
      <c r="AS57" s="90"/>
      <c r="AT57" s="90"/>
      <c r="AU57" s="113"/>
      <c r="AV57" s="113"/>
      <c r="AW57" s="113"/>
      <c r="AX57" s="113"/>
      <c r="AY57" s="113"/>
    </row>
    <row r="58" spans="43:51" x14ac:dyDescent="0.25">
      <c r="AQ58" s="90"/>
      <c r="AR58" s="90"/>
      <c r="AS58" s="90"/>
      <c r="AT58" s="90"/>
      <c r="AU58" s="113"/>
      <c r="AV58" s="113"/>
      <c r="AW58" s="113"/>
      <c r="AX58" s="113"/>
      <c r="AY58" s="113"/>
    </row>
    <row r="59" spans="43:51" x14ac:dyDescent="0.25">
      <c r="AQ59" s="90"/>
      <c r="AR59" s="90"/>
      <c r="AS59" s="90"/>
      <c r="AT59" s="90"/>
      <c r="AU59" s="113"/>
      <c r="AV59" s="113"/>
      <c r="AW59" s="113"/>
      <c r="AX59" s="113"/>
      <c r="AY59" s="113"/>
    </row>
    <row r="60" spans="43:51" x14ac:dyDescent="0.25">
      <c r="AQ60" s="90"/>
      <c r="AR60" s="90"/>
      <c r="AS60" s="90"/>
      <c r="AT60" s="90"/>
      <c r="AU60" s="113"/>
      <c r="AV60" s="113"/>
      <c r="AW60" s="113"/>
      <c r="AX60" s="113"/>
      <c r="AY60" s="113"/>
    </row>
    <row r="61" spans="43:51" x14ac:dyDescent="0.25">
      <c r="AQ61" s="90"/>
      <c r="AR61" s="90"/>
      <c r="AS61" s="90"/>
      <c r="AT61" s="90"/>
      <c r="AU61" s="113"/>
      <c r="AV61" s="113"/>
      <c r="AW61" s="113"/>
      <c r="AX61" s="113"/>
      <c r="AY61" s="113"/>
    </row>
    <row r="62" spans="43:51" x14ac:dyDescent="0.25">
      <c r="AQ62" s="90"/>
      <c r="AR62" s="90"/>
      <c r="AS62" s="90"/>
      <c r="AT62" s="90"/>
      <c r="AU62" s="113"/>
      <c r="AV62" s="113"/>
      <c r="AW62" s="113"/>
      <c r="AX62" s="113"/>
      <c r="AY62" s="113"/>
    </row>
    <row r="63" spans="43:51" x14ac:dyDescent="0.25">
      <c r="AQ63" s="90"/>
      <c r="AR63" s="90"/>
      <c r="AS63" s="90"/>
      <c r="AT63" s="90"/>
      <c r="AU63" s="113"/>
      <c r="AV63" s="113"/>
      <c r="AW63" s="113"/>
      <c r="AX63" s="113"/>
      <c r="AY63" s="113"/>
    </row>
    <row r="64" spans="43:51" x14ac:dyDescent="0.25">
      <c r="AU64" s="112"/>
    </row>
    <row r="65" spans="47:47" x14ac:dyDescent="0.25">
      <c r="AU65" s="112"/>
    </row>
    <row r="66" spans="47:47" x14ac:dyDescent="0.25">
      <c r="AU66" s="112"/>
    </row>
    <row r="67" spans="47:47" x14ac:dyDescent="0.25">
      <c r="AU67" s="112"/>
    </row>
    <row r="68" spans="47:47" x14ac:dyDescent="0.25">
      <c r="AU68" s="112"/>
    </row>
    <row r="69" spans="47:47" x14ac:dyDescent="0.25">
      <c r="AU69" s="112"/>
    </row>
    <row r="70" spans="47:47" x14ac:dyDescent="0.25">
      <c r="AU70" s="112"/>
    </row>
    <row r="71" spans="47:47" x14ac:dyDescent="0.25">
      <c r="AU71" s="112"/>
    </row>
    <row r="72" spans="47:47" x14ac:dyDescent="0.25">
      <c r="AU72" s="112"/>
    </row>
    <row r="73" spans="47:47" x14ac:dyDescent="0.25">
      <c r="AU73" s="112"/>
    </row>
    <row r="74" spans="47:47" x14ac:dyDescent="0.25">
      <c r="AU74" s="112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5" x14ac:dyDescent="0.25"/>
  <sheetData>
    <row r="1" spans="1:2" x14ac:dyDescent="0.25">
      <c r="A1" t="s">
        <v>95</v>
      </c>
      <c r="B1">
        <v>1</v>
      </c>
    </row>
    <row r="2" spans="1:2" x14ac:dyDescent="0.25">
      <c r="A2" t="s">
        <v>98</v>
      </c>
      <c r="B2">
        <v>2</v>
      </c>
    </row>
    <row r="3" spans="1:2" x14ac:dyDescent="0.25">
      <c r="A3" t="s">
        <v>101</v>
      </c>
      <c r="B3">
        <v>3</v>
      </c>
    </row>
    <row r="4" spans="1:2" x14ac:dyDescent="0.25">
      <c r="A4" t="s">
        <v>104</v>
      </c>
      <c r="B4">
        <v>4</v>
      </c>
    </row>
    <row r="5" spans="1:2" x14ac:dyDescent="0.25">
      <c r="A5" t="s">
        <v>107</v>
      </c>
      <c r="B5">
        <v>5</v>
      </c>
    </row>
    <row r="6" spans="1:2" x14ac:dyDescent="0.25">
      <c r="A6" t="s">
        <v>110</v>
      </c>
      <c r="B6">
        <v>6</v>
      </c>
    </row>
    <row r="7" spans="1:2" x14ac:dyDescent="0.25">
      <c r="A7" t="s">
        <v>113</v>
      </c>
      <c r="B7">
        <v>7</v>
      </c>
    </row>
    <row r="8" spans="1:2" x14ac:dyDescent="0.25">
      <c r="A8" t="s">
        <v>116</v>
      </c>
      <c r="B8">
        <v>9</v>
      </c>
    </row>
    <row r="9" spans="1:2" x14ac:dyDescent="0.25">
      <c r="A9" t="s">
        <v>120</v>
      </c>
      <c r="B9">
        <v>10</v>
      </c>
    </row>
    <row r="10" spans="1:2" x14ac:dyDescent="0.25">
      <c r="A10" t="s">
        <v>123</v>
      </c>
      <c r="B10">
        <v>11</v>
      </c>
    </row>
    <row r="11" spans="1:2" x14ac:dyDescent="0.25">
      <c r="A11" t="s">
        <v>126</v>
      </c>
      <c r="B11">
        <v>12</v>
      </c>
    </row>
    <row r="12" spans="1:2" x14ac:dyDescent="0.25">
      <c r="A12" t="s">
        <v>129</v>
      </c>
      <c r="B12">
        <v>13</v>
      </c>
    </row>
    <row r="13" spans="1:2" x14ac:dyDescent="0.25">
      <c r="A13" t="s">
        <v>132</v>
      </c>
      <c r="B13">
        <v>14</v>
      </c>
    </row>
    <row r="14" spans="1:2" x14ac:dyDescent="0.25">
      <c r="A14" t="s">
        <v>135</v>
      </c>
      <c r="B14">
        <v>15</v>
      </c>
    </row>
    <row r="15" spans="1:2" x14ac:dyDescent="0.25">
      <c r="A15" t="s">
        <v>137</v>
      </c>
      <c r="B15">
        <v>16</v>
      </c>
    </row>
    <row r="16" spans="1:2" x14ac:dyDescent="0.25">
      <c r="A16" t="s">
        <v>139</v>
      </c>
      <c r="B16">
        <v>17</v>
      </c>
    </row>
    <row r="17" spans="1:2" x14ac:dyDescent="0.25">
      <c r="A17" t="s">
        <v>141</v>
      </c>
      <c r="B17">
        <v>18</v>
      </c>
    </row>
    <row r="18" spans="1:2" x14ac:dyDescent="0.25">
      <c r="A18" t="s">
        <v>144</v>
      </c>
      <c r="B18">
        <v>19</v>
      </c>
    </row>
    <row r="19" spans="1:2" x14ac:dyDescent="0.25">
      <c r="A19" t="s">
        <v>146</v>
      </c>
      <c r="B19">
        <v>20</v>
      </c>
    </row>
    <row r="20" spans="1:2" x14ac:dyDescent="0.25">
      <c r="A20" t="s">
        <v>149</v>
      </c>
      <c r="B20">
        <v>21</v>
      </c>
    </row>
    <row r="21" spans="1:2" x14ac:dyDescent="0.25">
      <c r="A21" t="s">
        <v>152</v>
      </c>
      <c r="B21">
        <v>22</v>
      </c>
    </row>
    <row r="22" spans="1:2" x14ac:dyDescent="0.25">
      <c r="A22" t="s">
        <v>156</v>
      </c>
      <c r="B22">
        <v>23</v>
      </c>
    </row>
    <row r="23" spans="1:2" x14ac:dyDescent="0.25">
      <c r="A23" t="s">
        <v>159</v>
      </c>
      <c r="B23">
        <v>24</v>
      </c>
    </row>
    <row r="24" spans="1:2" x14ac:dyDescent="0.25">
      <c r="A24" t="s">
        <v>163</v>
      </c>
      <c r="B24">
        <v>25</v>
      </c>
    </row>
    <row r="25" spans="1:2" x14ac:dyDescent="0.25">
      <c r="A25" t="s">
        <v>166</v>
      </c>
      <c r="B25">
        <v>26</v>
      </c>
    </row>
    <row r="26" spans="1:2" x14ac:dyDescent="0.25">
      <c r="A26" t="s">
        <v>169</v>
      </c>
      <c r="B26">
        <v>27</v>
      </c>
    </row>
    <row r="27" spans="1:2" x14ac:dyDescent="0.25">
      <c r="A27" t="s">
        <v>173</v>
      </c>
      <c r="B27">
        <v>28</v>
      </c>
    </row>
    <row r="28" spans="1:2" x14ac:dyDescent="0.25">
      <c r="A28" t="s">
        <v>176</v>
      </c>
      <c r="B28">
        <v>29</v>
      </c>
    </row>
    <row r="29" spans="1:2" x14ac:dyDescent="0.25">
      <c r="A29" t="s">
        <v>179</v>
      </c>
      <c r="B29">
        <v>30</v>
      </c>
    </row>
    <row r="30" spans="1:2" x14ac:dyDescent="0.25">
      <c r="A30" t="s">
        <v>181</v>
      </c>
      <c r="B30">
        <v>31</v>
      </c>
    </row>
    <row r="31" spans="1:2" x14ac:dyDescent="0.25">
      <c r="A31" t="s">
        <v>183</v>
      </c>
      <c r="B31">
        <v>33</v>
      </c>
    </row>
    <row r="32" spans="1:2" x14ac:dyDescent="0.25">
      <c r="A32" t="s">
        <v>185</v>
      </c>
      <c r="B32">
        <v>34</v>
      </c>
    </row>
    <row r="33" spans="1:2" x14ac:dyDescent="0.25">
      <c r="A33" t="s">
        <v>187</v>
      </c>
      <c r="B33">
        <v>35</v>
      </c>
    </row>
    <row r="34" spans="1:2" x14ac:dyDescent="0.25">
      <c r="A34" t="s">
        <v>189</v>
      </c>
      <c r="B34">
        <v>36</v>
      </c>
    </row>
    <row r="35" spans="1:2" x14ac:dyDescent="0.25">
      <c r="A35" t="s">
        <v>191</v>
      </c>
      <c r="B35">
        <v>37</v>
      </c>
    </row>
    <row r="36" spans="1:2" x14ac:dyDescent="0.25">
      <c r="A36" t="s">
        <v>194</v>
      </c>
      <c r="B36">
        <v>38</v>
      </c>
    </row>
    <row r="37" spans="1:2" x14ac:dyDescent="0.25">
      <c r="A37" t="s">
        <v>196</v>
      </c>
      <c r="B37">
        <v>39</v>
      </c>
    </row>
    <row r="38" spans="1:2" x14ac:dyDescent="0.25">
      <c r="A38" t="s">
        <v>198</v>
      </c>
      <c r="B38">
        <v>40</v>
      </c>
    </row>
    <row r="39" spans="1:2" x14ac:dyDescent="0.25">
      <c r="A39" t="s">
        <v>200</v>
      </c>
      <c r="B39">
        <v>41</v>
      </c>
    </row>
    <row r="40" spans="1:2" x14ac:dyDescent="0.25">
      <c r="A40" t="s">
        <v>202</v>
      </c>
      <c r="B40">
        <v>42</v>
      </c>
    </row>
    <row r="41" spans="1:2" x14ac:dyDescent="0.25">
      <c r="A41" t="s">
        <v>204</v>
      </c>
      <c r="B41">
        <v>43</v>
      </c>
    </row>
    <row r="42" spans="1:2" x14ac:dyDescent="0.25">
      <c r="A42" t="s">
        <v>206</v>
      </c>
      <c r="B42">
        <v>44</v>
      </c>
    </row>
    <row r="43" spans="1:2" x14ac:dyDescent="0.25">
      <c r="A43" t="s">
        <v>208</v>
      </c>
      <c r="B43">
        <v>45</v>
      </c>
    </row>
    <row r="44" spans="1:2" x14ac:dyDescent="0.25">
      <c r="A44" t="s">
        <v>210</v>
      </c>
      <c r="B44">
        <v>46</v>
      </c>
    </row>
    <row r="45" spans="1:2" x14ac:dyDescent="0.25">
      <c r="A45" t="s">
        <v>212</v>
      </c>
      <c r="B45">
        <v>47</v>
      </c>
    </row>
    <row r="46" spans="1:2" x14ac:dyDescent="0.25">
      <c r="A46" t="s">
        <v>214</v>
      </c>
      <c r="B46">
        <v>48</v>
      </c>
    </row>
    <row r="47" spans="1:2" x14ac:dyDescent="0.25">
      <c r="A47" t="s">
        <v>216</v>
      </c>
      <c r="B47">
        <v>49</v>
      </c>
    </row>
    <row r="48" spans="1:2" x14ac:dyDescent="0.25">
      <c r="A48" t="s">
        <v>218</v>
      </c>
      <c r="B48">
        <v>50</v>
      </c>
    </row>
    <row r="49" spans="1:2" x14ac:dyDescent="0.25">
      <c r="A49" t="s">
        <v>220</v>
      </c>
      <c r="B49">
        <v>51</v>
      </c>
    </row>
    <row r="50" spans="1:2" x14ac:dyDescent="0.25">
      <c r="A50" t="s">
        <v>222</v>
      </c>
      <c r="B50">
        <v>52</v>
      </c>
    </row>
    <row r="51" spans="1:2" x14ac:dyDescent="0.25">
      <c r="A51" t="s">
        <v>224</v>
      </c>
      <c r="B51">
        <v>53</v>
      </c>
    </row>
    <row r="52" spans="1:2" x14ac:dyDescent="0.25">
      <c r="A52" t="s">
        <v>226</v>
      </c>
      <c r="B52">
        <v>54</v>
      </c>
    </row>
    <row r="53" spans="1:2" x14ac:dyDescent="0.25">
      <c r="A53" t="s">
        <v>228</v>
      </c>
      <c r="B53">
        <v>55</v>
      </c>
    </row>
    <row r="54" spans="1:2" x14ac:dyDescent="0.25">
      <c r="A54" t="s">
        <v>231</v>
      </c>
      <c r="B54">
        <v>57</v>
      </c>
    </row>
    <row r="55" spans="1:2" x14ac:dyDescent="0.25">
      <c r="A55" t="s">
        <v>234</v>
      </c>
      <c r="B55">
        <v>58</v>
      </c>
    </row>
    <row r="56" spans="1:2" x14ac:dyDescent="0.25">
      <c r="A56" t="s">
        <v>236</v>
      </c>
      <c r="B56">
        <v>59</v>
      </c>
    </row>
    <row r="57" spans="1:2" x14ac:dyDescent="0.25">
      <c r="A57" t="s">
        <v>239</v>
      </c>
      <c r="B57">
        <v>61</v>
      </c>
    </row>
    <row r="58" spans="1:2" x14ac:dyDescent="0.25">
      <c r="A58" t="s">
        <v>241</v>
      </c>
      <c r="B58">
        <v>62</v>
      </c>
    </row>
    <row r="59" spans="1:2" x14ac:dyDescent="0.25">
      <c r="A59" t="s">
        <v>244</v>
      </c>
      <c r="B59">
        <v>63</v>
      </c>
    </row>
    <row r="60" spans="1:2" x14ac:dyDescent="0.25">
      <c r="A60" t="s">
        <v>246</v>
      </c>
      <c r="B60">
        <v>64</v>
      </c>
    </row>
    <row r="61" spans="1:2" x14ac:dyDescent="0.25">
      <c r="A61" t="s">
        <v>248</v>
      </c>
      <c r="B61">
        <v>65</v>
      </c>
    </row>
    <row r="62" spans="1:2" x14ac:dyDescent="0.25">
      <c r="A62" t="s">
        <v>251</v>
      </c>
      <c r="B62">
        <v>67</v>
      </c>
    </row>
    <row r="63" spans="1:2" x14ac:dyDescent="0.25">
      <c r="A63" t="s">
        <v>253</v>
      </c>
      <c r="B63">
        <v>68</v>
      </c>
    </row>
    <row r="64" spans="1:2" x14ac:dyDescent="0.25">
      <c r="A64" t="s">
        <v>256</v>
      </c>
      <c r="B64">
        <v>69</v>
      </c>
    </row>
    <row r="65" spans="1:24" x14ac:dyDescent="0.25">
      <c r="A65" t="s">
        <v>258</v>
      </c>
      <c r="B65">
        <v>70</v>
      </c>
    </row>
    <row r="66" spans="1:24" x14ac:dyDescent="0.25">
      <c r="A66" t="s">
        <v>260</v>
      </c>
      <c r="B66">
        <v>71</v>
      </c>
    </row>
    <row r="67" spans="1:24" x14ac:dyDescent="0.25">
      <c r="A67" t="s">
        <v>262</v>
      </c>
      <c r="B67" t="s">
        <v>263</v>
      </c>
    </row>
    <row r="68" spans="1:24" x14ac:dyDescent="0.25">
      <c r="A68" t="s">
        <v>264</v>
      </c>
      <c r="B68" t="s">
        <v>265</v>
      </c>
    </row>
    <row r="69" spans="1:24" x14ac:dyDescent="0.25">
      <c r="A69" t="s">
        <v>273</v>
      </c>
      <c r="B69" t="s">
        <v>274</v>
      </c>
    </row>
    <row r="70" spans="1:24" x14ac:dyDescent="0.25">
      <c r="A70" t="s">
        <v>276</v>
      </c>
      <c r="B70" t="s">
        <v>277</v>
      </c>
    </row>
    <row r="71" spans="1:24" x14ac:dyDescent="0.25">
      <c r="A71" t="s">
        <v>279</v>
      </c>
      <c r="B71" t="s">
        <v>280</v>
      </c>
    </row>
    <row r="72" spans="1:24" x14ac:dyDescent="0.25">
      <c r="A72" t="s">
        <v>282</v>
      </c>
      <c r="B72" t="s">
        <v>283</v>
      </c>
    </row>
    <row r="73" spans="1:24" x14ac:dyDescent="0.25">
      <c r="A73" t="s">
        <v>286</v>
      </c>
      <c r="B73" t="s">
        <v>287</v>
      </c>
    </row>
    <row r="74" spans="1:24" x14ac:dyDescent="0.25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5">
      <c r="A75" t="s">
        <v>304</v>
      </c>
      <c r="B75">
        <v>1</v>
      </c>
    </row>
    <row r="76" spans="1:24" x14ac:dyDescent="0.25">
      <c r="A76" t="s">
        <v>305</v>
      </c>
      <c r="B76">
        <v>2</v>
      </c>
    </row>
    <row r="77" spans="1:24" x14ac:dyDescent="0.25">
      <c r="A77" t="s">
        <v>306</v>
      </c>
      <c r="B77">
        <v>3</v>
      </c>
    </row>
    <row r="78" spans="1:24" x14ac:dyDescent="0.25">
      <c r="A78" t="s">
        <v>307</v>
      </c>
      <c r="B78">
        <v>4</v>
      </c>
    </row>
    <row r="79" spans="1:24" x14ac:dyDescent="0.25">
      <c r="A79" t="s">
        <v>308</v>
      </c>
      <c r="B79">
        <v>5</v>
      </c>
    </row>
    <row r="80" spans="1:24" x14ac:dyDescent="0.25">
      <c r="A80" t="s">
        <v>309</v>
      </c>
      <c r="B80">
        <v>6</v>
      </c>
    </row>
    <row r="81" spans="1:2" x14ac:dyDescent="0.25">
      <c r="A81" t="s">
        <v>312</v>
      </c>
      <c r="B81">
        <v>8</v>
      </c>
    </row>
    <row r="82" spans="1:2" x14ac:dyDescent="0.25">
      <c r="A82" t="s">
        <v>313</v>
      </c>
      <c r="B82">
        <v>9</v>
      </c>
    </row>
    <row r="83" spans="1:2" x14ac:dyDescent="0.25">
      <c r="A83" t="s">
        <v>314</v>
      </c>
      <c r="B83">
        <v>10</v>
      </c>
    </row>
    <row r="84" spans="1:2" x14ac:dyDescent="0.25">
      <c r="A84" t="s">
        <v>315</v>
      </c>
      <c r="B84">
        <v>11</v>
      </c>
    </row>
    <row r="85" spans="1:2" x14ac:dyDescent="0.25">
      <c r="A85" t="s">
        <v>316</v>
      </c>
      <c r="B85">
        <v>12</v>
      </c>
    </row>
    <row r="86" spans="1:2" x14ac:dyDescent="0.25">
      <c r="A86" t="s">
        <v>317</v>
      </c>
      <c r="B86">
        <v>13</v>
      </c>
    </row>
    <row r="87" spans="1:2" x14ac:dyDescent="0.25">
      <c r="A87" t="s">
        <v>318</v>
      </c>
      <c r="B87">
        <v>14</v>
      </c>
    </row>
    <row r="88" spans="1:2" x14ac:dyDescent="0.25">
      <c r="A88" t="s">
        <v>319</v>
      </c>
      <c r="B88">
        <v>15</v>
      </c>
    </row>
    <row r="89" spans="1:2" x14ac:dyDescent="0.25">
      <c r="A89" t="s">
        <v>320</v>
      </c>
      <c r="B89">
        <v>16</v>
      </c>
    </row>
    <row r="90" spans="1:2" x14ac:dyDescent="0.25">
      <c r="A90" t="s">
        <v>321</v>
      </c>
      <c r="B90">
        <v>17</v>
      </c>
    </row>
    <row r="91" spans="1:2" x14ac:dyDescent="0.25">
      <c r="A91" t="s">
        <v>322</v>
      </c>
      <c r="B91">
        <v>18</v>
      </c>
    </row>
    <row r="92" spans="1:2" x14ac:dyDescent="0.25">
      <c r="A92" t="s">
        <v>323</v>
      </c>
      <c r="B92">
        <v>19</v>
      </c>
    </row>
    <row r="93" spans="1:2" x14ac:dyDescent="0.25">
      <c r="A93" t="s">
        <v>324</v>
      </c>
      <c r="B93">
        <v>20</v>
      </c>
    </row>
    <row r="94" spans="1:2" x14ac:dyDescent="0.25">
      <c r="A94" t="s">
        <v>325</v>
      </c>
      <c r="B94">
        <v>21</v>
      </c>
    </row>
    <row r="95" spans="1:2" x14ac:dyDescent="0.25">
      <c r="A95" t="s">
        <v>326</v>
      </c>
      <c r="B95">
        <v>22</v>
      </c>
    </row>
    <row r="96" spans="1:2" x14ac:dyDescent="0.25">
      <c r="A96" t="s">
        <v>327</v>
      </c>
      <c r="B96">
        <v>23</v>
      </c>
    </row>
    <row r="97" spans="1:2" x14ac:dyDescent="0.25">
      <c r="A97" t="s">
        <v>328</v>
      </c>
      <c r="B97">
        <v>24</v>
      </c>
    </row>
    <row r="98" spans="1:2" x14ac:dyDescent="0.25">
      <c r="A98" t="s">
        <v>329</v>
      </c>
      <c r="B98">
        <v>25</v>
      </c>
    </row>
    <row r="99" spans="1:2" x14ac:dyDescent="0.25">
      <c r="A99" t="s">
        <v>330</v>
      </c>
      <c r="B99">
        <v>26</v>
      </c>
    </row>
    <row r="100" spans="1:2" x14ac:dyDescent="0.25">
      <c r="A100" t="s">
        <v>331</v>
      </c>
      <c r="B100">
        <v>27</v>
      </c>
    </row>
    <row r="101" spans="1:2" x14ac:dyDescent="0.25">
      <c r="A101" t="s">
        <v>332</v>
      </c>
      <c r="B101">
        <v>28</v>
      </c>
    </row>
    <row r="102" spans="1:2" x14ac:dyDescent="0.25">
      <c r="A102" t="s">
        <v>333</v>
      </c>
      <c r="B102">
        <v>29</v>
      </c>
    </row>
    <row r="103" spans="1:2" x14ac:dyDescent="0.25">
      <c r="A103" t="s">
        <v>335</v>
      </c>
      <c r="B103">
        <v>31</v>
      </c>
    </row>
    <row r="104" spans="1:2" x14ac:dyDescent="0.25">
      <c r="A104" t="s">
        <v>336</v>
      </c>
      <c r="B104">
        <v>32</v>
      </c>
    </row>
    <row r="105" spans="1:2" x14ac:dyDescent="0.25">
      <c r="A105" t="s">
        <v>337</v>
      </c>
      <c r="B105">
        <v>33</v>
      </c>
    </row>
    <row r="106" spans="1:2" x14ac:dyDescent="0.25">
      <c r="A106" t="s">
        <v>338</v>
      </c>
      <c r="B106">
        <v>34</v>
      </c>
    </row>
    <row r="107" spans="1:2" x14ac:dyDescent="0.25">
      <c r="A107" t="s">
        <v>339</v>
      </c>
      <c r="B107">
        <v>35</v>
      </c>
    </row>
    <row r="108" spans="1:2" x14ac:dyDescent="0.25">
      <c r="A108" t="s">
        <v>340</v>
      </c>
      <c r="B108">
        <v>36</v>
      </c>
    </row>
    <row r="109" spans="1:2" x14ac:dyDescent="0.25">
      <c r="A109" t="s">
        <v>341</v>
      </c>
      <c r="B109">
        <v>37</v>
      </c>
    </row>
    <row r="110" spans="1:2" x14ac:dyDescent="0.25">
      <c r="A110" t="s">
        <v>342</v>
      </c>
      <c r="B110">
        <v>38</v>
      </c>
    </row>
    <row r="111" spans="1:2" x14ac:dyDescent="0.25">
      <c r="A111" t="s">
        <v>343</v>
      </c>
      <c r="B111">
        <v>39</v>
      </c>
    </row>
    <row r="112" spans="1:2" x14ac:dyDescent="0.25">
      <c r="A112" t="s">
        <v>344</v>
      </c>
      <c r="B112">
        <v>40</v>
      </c>
    </row>
    <row r="113" spans="1:2" x14ac:dyDescent="0.25">
      <c r="A113" t="s">
        <v>345</v>
      </c>
      <c r="B113">
        <v>41</v>
      </c>
    </row>
    <row r="114" spans="1:2" x14ac:dyDescent="0.25">
      <c r="A114" t="s">
        <v>346</v>
      </c>
      <c r="B114">
        <v>42</v>
      </c>
    </row>
    <row r="115" spans="1:2" x14ac:dyDescent="0.25">
      <c r="A115" t="s">
        <v>347</v>
      </c>
      <c r="B115">
        <v>43</v>
      </c>
    </row>
    <row r="116" spans="1:2" x14ac:dyDescent="0.25">
      <c r="A116" t="s">
        <v>348</v>
      </c>
      <c r="B116">
        <v>44</v>
      </c>
    </row>
    <row r="117" spans="1:2" x14ac:dyDescent="0.25">
      <c r="A117" t="s">
        <v>349</v>
      </c>
      <c r="B117">
        <v>45</v>
      </c>
    </row>
    <row r="118" spans="1:2" x14ac:dyDescent="0.25">
      <c r="A118" t="s">
        <v>350</v>
      </c>
      <c r="B118">
        <v>46</v>
      </c>
    </row>
    <row r="119" spans="1:2" x14ac:dyDescent="0.25">
      <c r="A119" t="s">
        <v>351</v>
      </c>
      <c r="B119">
        <v>47</v>
      </c>
    </row>
    <row r="120" spans="1:2" x14ac:dyDescent="0.25">
      <c r="A120" t="s">
        <v>352</v>
      </c>
      <c r="B120">
        <v>48</v>
      </c>
    </row>
    <row r="121" spans="1:2" x14ac:dyDescent="0.25">
      <c r="A121" t="s">
        <v>353</v>
      </c>
      <c r="B121">
        <v>49</v>
      </c>
    </row>
    <row r="122" spans="1:2" x14ac:dyDescent="0.25">
      <c r="A122" t="s">
        <v>354</v>
      </c>
      <c r="B122">
        <v>50</v>
      </c>
    </row>
    <row r="123" spans="1:2" x14ac:dyDescent="0.25">
      <c r="A123" t="s">
        <v>355</v>
      </c>
      <c r="B123">
        <v>51</v>
      </c>
    </row>
    <row r="124" spans="1:2" x14ac:dyDescent="0.25">
      <c r="A124" t="s">
        <v>356</v>
      </c>
      <c r="B124">
        <v>52</v>
      </c>
    </row>
    <row r="125" spans="1:2" x14ac:dyDescent="0.25">
      <c r="A125" t="s">
        <v>359</v>
      </c>
      <c r="B125">
        <v>54</v>
      </c>
    </row>
    <row r="126" spans="1:2" x14ac:dyDescent="0.25">
      <c r="A126" t="s">
        <v>361</v>
      </c>
      <c r="B126">
        <v>55</v>
      </c>
    </row>
    <row r="127" spans="1:2" x14ac:dyDescent="0.25">
      <c r="A127" t="s">
        <v>363</v>
      </c>
      <c r="B127">
        <v>56</v>
      </c>
    </row>
    <row r="128" spans="1:2" x14ac:dyDescent="0.25">
      <c r="A128" t="s">
        <v>364</v>
      </c>
      <c r="B128">
        <v>57</v>
      </c>
    </row>
    <row r="129" spans="1:23" x14ac:dyDescent="0.25">
      <c r="A129" t="s">
        <v>365</v>
      </c>
      <c r="B129">
        <v>58</v>
      </c>
    </row>
    <row r="130" spans="1:23" x14ac:dyDescent="0.25">
      <c r="A130" t="s">
        <v>367</v>
      </c>
      <c r="B130" t="s">
        <v>368</v>
      </c>
    </row>
    <row r="131" spans="1:23" x14ac:dyDescent="0.25">
      <c r="A131" t="s">
        <v>369</v>
      </c>
      <c r="B131" t="s">
        <v>370</v>
      </c>
    </row>
    <row r="132" spans="1:23" x14ac:dyDescent="0.25">
      <c r="A132" t="s">
        <v>371</v>
      </c>
      <c r="B132" t="s">
        <v>372</v>
      </c>
    </row>
    <row r="133" spans="1:23" x14ac:dyDescent="0.25">
      <c r="A133" t="s">
        <v>373</v>
      </c>
      <c r="B133" t="s">
        <v>374</v>
      </c>
    </row>
    <row r="134" spans="1:23" x14ac:dyDescent="0.25">
      <c r="A134" t="s">
        <v>375</v>
      </c>
      <c r="B134" t="s">
        <v>376</v>
      </c>
    </row>
    <row r="135" spans="1:23" x14ac:dyDescent="0.25">
      <c r="A135" t="s">
        <v>377</v>
      </c>
      <c r="B135" t="s">
        <v>378</v>
      </c>
    </row>
    <row r="136" spans="1:23" x14ac:dyDescent="0.25">
      <c r="A136" t="s">
        <v>379</v>
      </c>
      <c r="B136" t="s">
        <v>380</v>
      </c>
    </row>
    <row r="137" spans="1:23" x14ac:dyDescent="0.25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5">
      <c r="A138" t="s">
        <v>386</v>
      </c>
      <c r="B138">
        <v>1</v>
      </c>
    </row>
    <row r="139" spans="1:23" x14ac:dyDescent="0.25">
      <c r="A139" t="s">
        <v>387</v>
      </c>
      <c r="B139">
        <v>2</v>
      </c>
    </row>
    <row r="140" spans="1:23" x14ac:dyDescent="0.25">
      <c r="A140" t="s">
        <v>388</v>
      </c>
      <c r="B140">
        <v>3</v>
      </c>
    </row>
    <row r="141" spans="1:23" x14ac:dyDescent="0.25">
      <c r="A141" t="s">
        <v>389</v>
      </c>
      <c r="B141">
        <v>4</v>
      </c>
    </row>
    <row r="142" spans="1:23" x14ac:dyDescent="0.25">
      <c r="A142" t="s">
        <v>390</v>
      </c>
      <c r="B142">
        <v>5</v>
      </c>
    </row>
    <row r="143" spans="1:23" x14ac:dyDescent="0.25">
      <c r="A143" t="s">
        <v>391</v>
      </c>
      <c r="B143">
        <v>6</v>
      </c>
    </row>
    <row r="144" spans="1:23" x14ac:dyDescent="0.25">
      <c r="A144" t="s">
        <v>392</v>
      </c>
      <c r="B144">
        <v>8</v>
      </c>
    </row>
    <row r="145" spans="1:2" x14ac:dyDescent="0.25">
      <c r="A145" t="s">
        <v>393</v>
      </c>
      <c r="B145">
        <v>9</v>
      </c>
    </row>
    <row r="146" spans="1:2" x14ac:dyDescent="0.25">
      <c r="A146" t="s">
        <v>394</v>
      </c>
      <c r="B146">
        <v>10</v>
      </c>
    </row>
    <row r="147" spans="1:2" x14ac:dyDescent="0.25">
      <c r="A147" t="s">
        <v>395</v>
      </c>
      <c r="B147">
        <v>11</v>
      </c>
    </row>
    <row r="148" spans="1:2" x14ac:dyDescent="0.25">
      <c r="A148" t="s">
        <v>396</v>
      </c>
      <c r="B148">
        <v>12</v>
      </c>
    </row>
    <row r="149" spans="1:2" x14ac:dyDescent="0.25">
      <c r="A149" t="s">
        <v>397</v>
      </c>
      <c r="B149">
        <v>13</v>
      </c>
    </row>
    <row r="150" spans="1:2" x14ac:dyDescent="0.25">
      <c r="A150" t="s">
        <v>398</v>
      </c>
      <c r="B150">
        <v>14</v>
      </c>
    </row>
    <row r="151" spans="1:2" x14ac:dyDescent="0.25">
      <c r="A151" t="s">
        <v>399</v>
      </c>
      <c r="B151">
        <v>15</v>
      </c>
    </row>
    <row r="152" spans="1:2" x14ac:dyDescent="0.25">
      <c r="A152" t="s">
        <v>400</v>
      </c>
      <c r="B152">
        <v>16</v>
      </c>
    </row>
    <row r="153" spans="1:2" x14ac:dyDescent="0.25">
      <c r="A153" t="s">
        <v>401</v>
      </c>
      <c r="B153">
        <v>17</v>
      </c>
    </row>
    <row r="154" spans="1:2" x14ac:dyDescent="0.25">
      <c r="A154" t="s">
        <v>402</v>
      </c>
      <c r="B154">
        <v>18</v>
      </c>
    </row>
    <row r="155" spans="1:2" x14ac:dyDescent="0.25">
      <c r="A155" t="s">
        <v>403</v>
      </c>
      <c r="B155">
        <v>19</v>
      </c>
    </row>
    <row r="156" spans="1:2" x14ac:dyDescent="0.25">
      <c r="A156" t="s">
        <v>404</v>
      </c>
      <c r="B156">
        <v>20</v>
      </c>
    </row>
    <row r="157" spans="1:2" x14ac:dyDescent="0.25">
      <c r="A157" t="s">
        <v>405</v>
      </c>
      <c r="B157">
        <v>21</v>
      </c>
    </row>
    <row r="158" spans="1:2" x14ac:dyDescent="0.25">
      <c r="A158" t="s">
        <v>406</v>
      </c>
      <c r="B158">
        <v>22</v>
      </c>
    </row>
    <row r="159" spans="1:2" x14ac:dyDescent="0.25">
      <c r="A159" t="s">
        <v>407</v>
      </c>
      <c r="B159">
        <v>23</v>
      </c>
    </row>
    <row r="160" spans="1:2" x14ac:dyDescent="0.25">
      <c r="A160" t="s">
        <v>408</v>
      </c>
      <c r="B160">
        <v>24</v>
      </c>
    </row>
    <row r="161" spans="1:2" x14ac:dyDescent="0.25">
      <c r="A161" t="s">
        <v>409</v>
      </c>
      <c r="B161">
        <v>25</v>
      </c>
    </row>
    <row r="162" spans="1:2" x14ac:dyDescent="0.25">
      <c r="A162" t="s">
        <v>410</v>
      </c>
      <c r="B162">
        <v>26</v>
      </c>
    </row>
    <row r="163" spans="1:2" x14ac:dyDescent="0.25">
      <c r="A163" t="s">
        <v>411</v>
      </c>
      <c r="B163">
        <v>27</v>
      </c>
    </row>
    <row r="164" spans="1:2" x14ac:dyDescent="0.25">
      <c r="A164" t="s">
        <v>412</v>
      </c>
      <c r="B164">
        <v>28</v>
      </c>
    </row>
    <row r="165" spans="1:2" x14ac:dyDescent="0.25">
      <c r="A165" t="s">
        <v>413</v>
      </c>
      <c r="B165">
        <v>29</v>
      </c>
    </row>
    <row r="166" spans="1:2" x14ac:dyDescent="0.25">
      <c r="A166" t="s">
        <v>414</v>
      </c>
      <c r="B166">
        <v>31</v>
      </c>
    </row>
    <row r="167" spans="1:2" x14ac:dyDescent="0.25">
      <c r="A167" t="s">
        <v>415</v>
      </c>
      <c r="B167">
        <v>32</v>
      </c>
    </row>
    <row r="168" spans="1:2" x14ac:dyDescent="0.25">
      <c r="A168" t="s">
        <v>416</v>
      </c>
      <c r="B168">
        <v>33</v>
      </c>
    </row>
    <row r="169" spans="1:2" x14ac:dyDescent="0.25">
      <c r="A169" t="s">
        <v>417</v>
      </c>
      <c r="B169">
        <v>34</v>
      </c>
    </row>
    <row r="170" spans="1:2" x14ac:dyDescent="0.25">
      <c r="A170" t="s">
        <v>418</v>
      </c>
      <c r="B170">
        <v>35</v>
      </c>
    </row>
    <row r="171" spans="1:2" x14ac:dyDescent="0.25">
      <c r="A171" t="s">
        <v>419</v>
      </c>
      <c r="B171">
        <v>36</v>
      </c>
    </row>
    <row r="172" spans="1:2" x14ac:dyDescent="0.25">
      <c r="A172" t="s">
        <v>420</v>
      </c>
      <c r="B172">
        <v>37</v>
      </c>
    </row>
    <row r="173" spans="1:2" x14ac:dyDescent="0.25">
      <c r="A173" t="s">
        <v>421</v>
      </c>
      <c r="B173">
        <v>38</v>
      </c>
    </row>
    <row r="174" spans="1:2" x14ac:dyDescent="0.25">
      <c r="A174" t="s">
        <v>422</v>
      </c>
      <c r="B174">
        <v>39</v>
      </c>
    </row>
    <row r="175" spans="1:2" x14ac:dyDescent="0.25">
      <c r="A175" t="s">
        <v>423</v>
      </c>
      <c r="B175">
        <v>40</v>
      </c>
    </row>
    <row r="176" spans="1:2" x14ac:dyDescent="0.25">
      <c r="A176" t="s">
        <v>424</v>
      </c>
      <c r="B176">
        <v>41</v>
      </c>
    </row>
    <row r="177" spans="1:2" x14ac:dyDescent="0.25">
      <c r="A177" t="s">
        <v>425</v>
      </c>
      <c r="B177">
        <v>42</v>
      </c>
    </row>
    <row r="178" spans="1:2" x14ac:dyDescent="0.25">
      <c r="A178" t="s">
        <v>426</v>
      </c>
      <c r="B178">
        <v>43</v>
      </c>
    </row>
    <row r="179" spans="1:2" x14ac:dyDescent="0.25">
      <c r="A179" t="s">
        <v>427</v>
      </c>
      <c r="B179">
        <v>44</v>
      </c>
    </row>
    <row r="180" spans="1:2" x14ac:dyDescent="0.25">
      <c r="A180" t="s">
        <v>428</v>
      </c>
      <c r="B180">
        <v>45</v>
      </c>
    </row>
    <row r="181" spans="1:2" x14ac:dyDescent="0.25">
      <c r="A181" t="s">
        <v>429</v>
      </c>
      <c r="B181">
        <v>46</v>
      </c>
    </row>
    <row r="182" spans="1:2" x14ac:dyDescent="0.25">
      <c r="A182" t="s">
        <v>430</v>
      </c>
      <c r="B182">
        <v>47</v>
      </c>
    </row>
    <row r="183" spans="1:2" x14ac:dyDescent="0.25">
      <c r="A183" t="s">
        <v>431</v>
      </c>
      <c r="B183">
        <v>48</v>
      </c>
    </row>
    <row r="184" spans="1:2" x14ac:dyDescent="0.25">
      <c r="A184" t="s">
        <v>432</v>
      </c>
      <c r="B184">
        <v>49</v>
      </c>
    </row>
    <row r="185" spans="1:2" x14ac:dyDescent="0.25">
      <c r="A185" t="s">
        <v>433</v>
      </c>
      <c r="B185">
        <v>50</v>
      </c>
    </row>
    <row r="186" spans="1:2" x14ac:dyDescent="0.25">
      <c r="A186" t="s">
        <v>434</v>
      </c>
      <c r="B186">
        <v>51</v>
      </c>
    </row>
    <row r="187" spans="1:2" x14ac:dyDescent="0.25">
      <c r="A187" t="s">
        <v>435</v>
      </c>
      <c r="B187">
        <v>52</v>
      </c>
    </row>
    <row r="188" spans="1:2" x14ac:dyDescent="0.25">
      <c r="A188" t="s">
        <v>436</v>
      </c>
      <c r="B188">
        <v>54</v>
      </c>
    </row>
    <row r="189" spans="1:2" x14ac:dyDescent="0.25">
      <c r="A189" t="s">
        <v>437</v>
      </c>
      <c r="B189">
        <v>55</v>
      </c>
    </row>
    <row r="190" spans="1:2" x14ac:dyDescent="0.25">
      <c r="A190" t="s">
        <v>438</v>
      </c>
      <c r="B190">
        <v>56</v>
      </c>
    </row>
    <row r="191" spans="1:2" x14ac:dyDescent="0.25">
      <c r="A191" t="s">
        <v>439</v>
      </c>
      <c r="B191">
        <v>57</v>
      </c>
    </row>
    <row r="192" spans="1:2" x14ac:dyDescent="0.25">
      <c r="A192" t="s">
        <v>440</v>
      </c>
      <c r="B192">
        <v>58</v>
      </c>
    </row>
    <row r="193" spans="1:23" x14ac:dyDescent="0.25">
      <c r="A193" t="s">
        <v>442</v>
      </c>
      <c r="B193" t="s">
        <v>443</v>
      </c>
    </row>
    <row r="194" spans="1:23" x14ac:dyDescent="0.25">
      <c r="A194" t="s">
        <v>444</v>
      </c>
      <c r="B194" t="s">
        <v>445</v>
      </c>
    </row>
    <row r="195" spans="1:23" x14ac:dyDescent="0.25">
      <c r="A195" t="s">
        <v>446</v>
      </c>
      <c r="B195" t="s">
        <v>447</v>
      </c>
    </row>
    <row r="196" spans="1:23" x14ac:dyDescent="0.25">
      <c r="A196" t="s">
        <v>448</v>
      </c>
      <c r="B196" t="s">
        <v>449</v>
      </c>
    </row>
    <row r="197" spans="1:23" x14ac:dyDescent="0.25">
      <c r="A197" t="s">
        <v>450</v>
      </c>
      <c r="B197" t="s">
        <v>451</v>
      </c>
    </row>
    <row r="198" spans="1:23" x14ac:dyDescent="0.25">
      <c r="A198" t="s">
        <v>452</v>
      </c>
      <c r="B198" t="s">
        <v>453</v>
      </c>
    </row>
    <row r="199" spans="1:23" x14ac:dyDescent="0.25">
      <c r="A199" t="s">
        <v>454</v>
      </c>
      <c r="B199" t="s">
        <v>455</v>
      </c>
    </row>
    <row r="200" spans="1:23" x14ac:dyDescent="0.25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5">
      <c r="A201" t="s">
        <v>462</v>
      </c>
      <c r="B201">
        <v>1</v>
      </c>
    </row>
    <row r="202" spans="1:23" x14ac:dyDescent="0.25">
      <c r="A202" t="s">
        <v>463</v>
      </c>
      <c r="B202">
        <v>2</v>
      </c>
    </row>
    <row r="203" spans="1:23" x14ac:dyDescent="0.25">
      <c r="A203" t="s">
        <v>464</v>
      </c>
      <c r="B203">
        <v>3</v>
      </c>
    </row>
    <row r="204" spans="1:23" x14ac:dyDescent="0.25">
      <c r="A204" t="s">
        <v>465</v>
      </c>
      <c r="B204">
        <v>4</v>
      </c>
    </row>
    <row r="205" spans="1:23" x14ac:dyDescent="0.25">
      <c r="A205" t="s">
        <v>466</v>
      </c>
      <c r="B205">
        <v>5</v>
      </c>
    </row>
    <row r="206" spans="1:23" x14ac:dyDescent="0.25">
      <c r="A206" t="s">
        <v>467</v>
      </c>
      <c r="B206">
        <v>6</v>
      </c>
    </row>
    <row r="207" spans="1:23" x14ac:dyDescent="0.25">
      <c r="A207" t="s">
        <v>468</v>
      </c>
      <c r="B207">
        <v>7</v>
      </c>
    </row>
    <row r="208" spans="1:23" x14ac:dyDescent="0.25">
      <c r="A208" t="s">
        <v>469</v>
      </c>
      <c r="B208">
        <v>9</v>
      </c>
    </row>
    <row r="209" spans="1:2" x14ac:dyDescent="0.25">
      <c r="A209" t="s">
        <v>470</v>
      </c>
      <c r="B209">
        <v>10</v>
      </c>
    </row>
    <row r="210" spans="1:2" x14ac:dyDescent="0.25">
      <c r="A210" t="s">
        <v>471</v>
      </c>
      <c r="B210">
        <v>11</v>
      </c>
    </row>
    <row r="211" spans="1:2" x14ac:dyDescent="0.25">
      <c r="A211" t="s">
        <v>472</v>
      </c>
      <c r="B211">
        <v>12</v>
      </c>
    </row>
    <row r="212" spans="1:2" x14ac:dyDescent="0.25">
      <c r="A212" t="s">
        <v>473</v>
      </c>
      <c r="B212">
        <v>13</v>
      </c>
    </row>
    <row r="213" spans="1:2" x14ac:dyDescent="0.25">
      <c r="A213" t="s">
        <v>474</v>
      </c>
      <c r="B213">
        <v>14</v>
      </c>
    </row>
    <row r="214" spans="1:2" x14ac:dyDescent="0.25">
      <c r="A214" t="s">
        <v>475</v>
      </c>
      <c r="B214">
        <v>15</v>
      </c>
    </row>
    <row r="215" spans="1:2" x14ac:dyDescent="0.25">
      <c r="A215" t="s">
        <v>476</v>
      </c>
      <c r="B215">
        <v>16</v>
      </c>
    </row>
    <row r="216" spans="1:2" x14ac:dyDescent="0.25">
      <c r="A216" t="s">
        <v>477</v>
      </c>
      <c r="B216">
        <v>17</v>
      </c>
    </row>
    <row r="217" spans="1:2" x14ac:dyDescent="0.25">
      <c r="A217" t="s">
        <v>478</v>
      </c>
      <c r="B217">
        <v>18</v>
      </c>
    </row>
    <row r="218" spans="1:2" x14ac:dyDescent="0.25">
      <c r="A218" t="s">
        <v>479</v>
      </c>
      <c r="B218">
        <v>19</v>
      </c>
    </row>
    <row r="219" spans="1:2" x14ac:dyDescent="0.25">
      <c r="A219" t="s">
        <v>480</v>
      </c>
      <c r="B219">
        <v>20</v>
      </c>
    </row>
    <row r="220" spans="1:2" x14ac:dyDescent="0.25">
      <c r="A220" t="s">
        <v>481</v>
      </c>
      <c r="B220">
        <v>21</v>
      </c>
    </row>
    <row r="221" spans="1:2" x14ac:dyDescent="0.25">
      <c r="A221" t="s">
        <v>482</v>
      </c>
      <c r="B221">
        <v>22</v>
      </c>
    </row>
    <row r="222" spans="1:2" x14ac:dyDescent="0.25">
      <c r="A222" t="s">
        <v>483</v>
      </c>
      <c r="B222">
        <v>23</v>
      </c>
    </row>
    <row r="223" spans="1:2" x14ac:dyDescent="0.25">
      <c r="A223" t="s">
        <v>484</v>
      </c>
      <c r="B223">
        <v>24</v>
      </c>
    </row>
    <row r="224" spans="1:2" x14ac:dyDescent="0.25">
      <c r="A224" t="s">
        <v>485</v>
      </c>
      <c r="B224">
        <v>25</v>
      </c>
    </row>
    <row r="225" spans="1:2" x14ac:dyDescent="0.25">
      <c r="A225" t="s">
        <v>486</v>
      </c>
      <c r="B225">
        <v>26</v>
      </c>
    </row>
    <row r="226" spans="1:2" x14ac:dyDescent="0.25">
      <c r="A226" t="s">
        <v>487</v>
      </c>
      <c r="B226">
        <v>27</v>
      </c>
    </row>
    <row r="227" spans="1:2" x14ac:dyDescent="0.25">
      <c r="A227" t="s">
        <v>488</v>
      </c>
      <c r="B227">
        <v>28</v>
      </c>
    </row>
    <row r="228" spans="1:2" x14ac:dyDescent="0.25">
      <c r="A228" t="s">
        <v>489</v>
      </c>
      <c r="B228">
        <v>29</v>
      </c>
    </row>
    <row r="229" spans="1:2" x14ac:dyDescent="0.25">
      <c r="A229" t="s">
        <v>490</v>
      </c>
      <c r="B229">
        <v>30</v>
      </c>
    </row>
    <row r="230" spans="1:2" x14ac:dyDescent="0.25">
      <c r="A230" t="s">
        <v>491</v>
      </c>
      <c r="B230">
        <v>31</v>
      </c>
    </row>
    <row r="231" spans="1:2" x14ac:dyDescent="0.25">
      <c r="A231" t="s">
        <v>492</v>
      </c>
      <c r="B231">
        <v>33</v>
      </c>
    </row>
    <row r="232" spans="1:2" x14ac:dyDescent="0.25">
      <c r="A232" t="s">
        <v>493</v>
      </c>
      <c r="B232">
        <v>34</v>
      </c>
    </row>
    <row r="233" spans="1:2" x14ac:dyDescent="0.25">
      <c r="A233" t="s">
        <v>494</v>
      </c>
      <c r="B233">
        <v>35</v>
      </c>
    </row>
    <row r="234" spans="1:2" x14ac:dyDescent="0.25">
      <c r="A234" t="s">
        <v>495</v>
      </c>
      <c r="B234">
        <v>36</v>
      </c>
    </row>
    <row r="235" spans="1:2" x14ac:dyDescent="0.25">
      <c r="A235" t="s">
        <v>496</v>
      </c>
      <c r="B235">
        <v>37</v>
      </c>
    </row>
    <row r="236" spans="1:2" x14ac:dyDescent="0.25">
      <c r="A236" t="s">
        <v>497</v>
      </c>
      <c r="B236">
        <v>38</v>
      </c>
    </row>
    <row r="237" spans="1:2" x14ac:dyDescent="0.25">
      <c r="A237" t="s">
        <v>498</v>
      </c>
      <c r="B237">
        <v>39</v>
      </c>
    </row>
    <row r="238" spans="1:2" x14ac:dyDescent="0.25">
      <c r="A238" t="s">
        <v>499</v>
      </c>
      <c r="B238">
        <v>40</v>
      </c>
    </row>
    <row r="239" spans="1:2" x14ac:dyDescent="0.25">
      <c r="A239" t="s">
        <v>500</v>
      </c>
      <c r="B239">
        <v>41</v>
      </c>
    </row>
    <row r="240" spans="1:2" x14ac:dyDescent="0.25">
      <c r="A240" t="s">
        <v>501</v>
      </c>
      <c r="B240">
        <v>42</v>
      </c>
    </row>
    <row r="241" spans="1:2" x14ac:dyDescent="0.25">
      <c r="A241" t="s">
        <v>502</v>
      </c>
      <c r="B241">
        <v>43</v>
      </c>
    </row>
    <row r="242" spans="1:2" x14ac:dyDescent="0.25">
      <c r="A242" t="s">
        <v>503</v>
      </c>
      <c r="B242">
        <v>44</v>
      </c>
    </row>
    <row r="243" spans="1:2" x14ac:dyDescent="0.25">
      <c r="A243" t="s">
        <v>504</v>
      </c>
      <c r="B243">
        <v>45</v>
      </c>
    </row>
    <row r="244" spans="1:2" x14ac:dyDescent="0.25">
      <c r="A244" t="s">
        <v>505</v>
      </c>
      <c r="B244">
        <v>46</v>
      </c>
    </row>
    <row r="245" spans="1:2" x14ac:dyDescent="0.25">
      <c r="A245" t="s">
        <v>506</v>
      </c>
      <c r="B245">
        <v>47</v>
      </c>
    </row>
    <row r="246" spans="1:2" x14ac:dyDescent="0.25">
      <c r="A246" t="s">
        <v>507</v>
      </c>
      <c r="B246">
        <v>48</v>
      </c>
    </row>
    <row r="247" spans="1:2" x14ac:dyDescent="0.25">
      <c r="A247" t="s">
        <v>508</v>
      </c>
      <c r="B247">
        <v>49</v>
      </c>
    </row>
    <row r="248" spans="1:2" x14ac:dyDescent="0.25">
      <c r="A248" t="s">
        <v>509</v>
      </c>
      <c r="B248">
        <v>50</v>
      </c>
    </row>
    <row r="249" spans="1:2" x14ac:dyDescent="0.25">
      <c r="A249" t="s">
        <v>510</v>
      </c>
      <c r="B249">
        <v>51</v>
      </c>
    </row>
    <row r="250" spans="1:2" x14ac:dyDescent="0.25">
      <c r="A250" t="s">
        <v>511</v>
      </c>
      <c r="B250">
        <v>52</v>
      </c>
    </row>
    <row r="251" spans="1:2" x14ac:dyDescent="0.25">
      <c r="A251" t="s">
        <v>512</v>
      </c>
      <c r="B251">
        <v>53</v>
      </c>
    </row>
    <row r="252" spans="1:2" x14ac:dyDescent="0.25">
      <c r="A252" t="s">
        <v>513</v>
      </c>
      <c r="B252">
        <v>54</v>
      </c>
    </row>
    <row r="253" spans="1:2" x14ac:dyDescent="0.25">
      <c r="A253" t="s">
        <v>514</v>
      </c>
      <c r="B253">
        <v>55</v>
      </c>
    </row>
    <row r="254" spans="1:2" x14ac:dyDescent="0.25">
      <c r="A254" t="s">
        <v>515</v>
      </c>
      <c r="B254">
        <v>57</v>
      </c>
    </row>
    <row r="255" spans="1:2" x14ac:dyDescent="0.25">
      <c r="A255" t="s">
        <v>516</v>
      </c>
      <c r="B255">
        <v>58</v>
      </c>
    </row>
    <row r="256" spans="1:2" x14ac:dyDescent="0.25">
      <c r="A256" t="s">
        <v>517</v>
      </c>
      <c r="B256">
        <v>59</v>
      </c>
    </row>
    <row r="257" spans="1:2" x14ac:dyDescent="0.25">
      <c r="A257" t="s">
        <v>518</v>
      </c>
      <c r="B257">
        <v>61</v>
      </c>
    </row>
    <row r="258" spans="1:2" x14ac:dyDescent="0.25">
      <c r="A258" t="s">
        <v>519</v>
      </c>
      <c r="B258">
        <v>62</v>
      </c>
    </row>
    <row r="259" spans="1:2" x14ac:dyDescent="0.25">
      <c r="A259" t="s">
        <v>520</v>
      </c>
      <c r="B259">
        <v>63</v>
      </c>
    </row>
    <row r="260" spans="1:2" x14ac:dyDescent="0.25">
      <c r="A260" t="s">
        <v>521</v>
      </c>
      <c r="B260">
        <v>64</v>
      </c>
    </row>
    <row r="261" spans="1:2" x14ac:dyDescent="0.25">
      <c r="A261" t="s">
        <v>522</v>
      </c>
      <c r="B261">
        <v>65</v>
      </c>
    </row>
    <row r="262" spans="1:2" x14ac:dyDescent="0.25">
      <c r="A262" t="s">
        <v>523</v>
      </c>
      <c r="B262">
        <v>67</v>
      </c>
    </row>
    <row r="263" spans="1:2" x14ac:dyDescent="0.25">
      <c r="A263" t="s">
        <v>524</v>
      </c>
      <c r="B263">
        <v>68</v>
      </c>
    </row>
    <row r="264" spans="1:2" x14ac:dyDescent="0.25">
      <c r="A264" t="s">
        <v>525</v>
      </c>
      <c r="B264">
        <v>69</v>
      </c>
    </row>
    <row r="265" spans="1:2" x14ac:dyDescent="0.25">
      <c r="A265" t="s">
        <v>526</v>
      </c>
      <c r="B265">
        <v>70</v>
      </c>
    </row>
    <row r="266" spans="1:2" x14ac:dyDescent="0.25">
      <c r="A266" t="s">
        <v>527</v>
      </c>
      <c r="B266">
        <v>71</v>
      </c>
    </row>
    <row r="267" spans="1:2" x14ac:dyDescent="0.25">
      <c r="A267" t="s">
        <v>529</v>
      </c>
      <c r="B267" t="s">
        <v>530</v>
      </c>
    </row>
    <row r="268" spans="1:2" x14ac:dyDescent="0.25">
      <c r="A268" t="s">
        <v>531</v>
      </c>
      <c r="B268" t="s">
        <v>532</v>
      </c>
    </row>
    <row r="269" spans="1:2" x14ac:dyDescent="0.25">
      <c r="A269" t="s">
        <v>533</v>
      </c>
      <c r="B269" t="s">
        <v>534</v>
      </c>
    </row>
    <row r="270" spans="1:2" x14ac:dyDescent="0.25">
      <c r="A270" t="s">
        <v>535</v>
      </c>
      <c r="B270" t="s">
        <v>536</v>
      </c>
    </row>
    <row r="271" spans="1:2" x14ac:dyDescent="0.25">
      <c r="A271" t="s">
        <v>537</v>
      </c>
      <c r="B271" t="s">
        <v>538</v>
      </c>
    </row>
    <row r="272" spans="1:2" x14ac:dyDescent="0.25">
      <c r="A272" t="s">
        <v>539</v>
      </c>
      <c r="B272" t="s">
        <v>540</v>
      </c>
    </row>
    <row r="273" spans="1:24" x14ac:dyDescent="0.25">
      <c r="A273" t="s">
        <v>541</v>
      </c>
      <c r="B273" t="s">
        <v>542</v>
      </c>
    </row>
    <row r="274" spans="1:24" x14ac:dyDescent="0.25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V1" activePane="topRight" state="frozen"/>
      <selection pane="topRight" activeCell="AM5" sqref="AM5:AZ9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141" t="s">
        <v>366</v>
      </c>
      <c r="B1" s="141"/>
      <c r="C1" s="141"/>
      <c r="D1" s="141"/>
      <c r="E1" s="141"/>
      <c r="F1" s="141"/>
      <c r="H1" s="137" t="s">
        <v>2</v>
      </c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E1" s="138" t="s">
        <v>3</v>
      </c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</row>
    <row r="2" spans="1:60" ht="30" customHeight="1" x14ac:dyDescent="0.25">
      <c r="A2" s="143" t="s">
        <v>93</v>
      </c>
      <c r="B2" s="142" t="s">
        <v>96</v>
      </c>
      <c r="C2" s="143" t="s">
        <v>102</v>
      </c>
      <c r="D2" s="142" t="s">
        <v>105</v>
      </c>
      <c r="E2" s="143" t="s">
        <v>108</v>
      </c>
      <c r="F2" s="142" t="s">
        <v>111</v>
      </c>
      <c r="H2" s="143" t="s">
        <v>310</v>
      </c>
      <c r="I2" s="142" t="s">
        <v>114</v>
      </c>
      <c r="J2" s="140" t="s">
        <v>117</v>
      </c>
      <c r="K2" s="140"/>
      <c r="L2" s="140"/>
      <c r="M2" s="140"/>
      <c r="N2" s="143" t="s">
        <v>130</v>
      </c>
      <c r="O2" s="142" t="s">
        <v>133</v>
      </c>
      <c r="P2" s="143" t="s">
        <v>24</v>
      </c>
      <c r="Q2" s="139" t="s">
        <v>142</v>
      </c>
      <c r="R2" s="139"/>
      <c r="S2" s="139"/>
      <c r="T2" s="139"/>
      <c r="U2" s="140" t="s">
        <v>153</v>
      </c>
      <c r="V2" s="140"/>
      <c r="W2" s="139" t="s">
        <v>160</v>
      </c>
      <c r="X2" s="139"/>
      <c r="Y2" s="139"/>
      <c r="Z2" s="140" t="s">
        <v>170</v>
      </c>
      <c r="AA2" s="140"/>
      <c r="AB2" s="139" t="s">
        <v>177</v>
      </c>
      <c r="AC2" s="139"/>
      <c r="AE2" s="143" t="s">
        <v>310</v>
      </c>
      <c r="AF2" s="142" t="s">
        <v>114</v>
      </c>
      <c r="AG2" s="140" t="s">
        <v>117</v>
      </c>
      <c r="AH2" s="140"/>
      <c r="AI2" s="140"/>
      <c r="AJ2" s="140"/>
      <c r="AK2" s="143" t="s">
        <v>192</v>
      </c>
      <c r="AL2" s="142" t="s">
        <v>133</v>
      </c>
      <c r="AM2" s="143" t="s">
        <v>24</v>
      </c>
      <c r="AN2" s="139" t="s">
        <v>142</v>
      </c>
      <c r="AO2" s="139"/>
      <c r="AP2" s="139"/>
      <c r="AQ2" s="139"/>
      <c r="AR2" s="140" t="s">
        <v>153</v>
      </c>
      <c r="AS2" s="140"/>
      <c r="AT2" s="139" t="s">
        <v>160</v>
      </c>
      <c r="AU2" s="139"/>
      <c r="AV2" s="139"/>
      <c r="AW2" s="140" t="s">
        <v>170</v>
      </c>
      <c r="AX2" s="140"/>
      <c r="AY2" s="139" t="s">
        <v>177</v>
      </c>
      <c r="AZ2" s="139"/>
      <c r="BB2" s="140" t="s">
        <v>357</v>
      </c>
      <c r="BC2" s="140"/>
      <c r="BD2" s="140"/>
      <c r="BE2" s="142" t="s">
        <v>232</v>
      </c>
      <c r="BF2" s="143" t="s">
        <v>232</v>
      </c>
      <c r="BH2" t="s">
        <v>550</v>
      </c>
    </row>
    <row r="3" spans="1:60" ht="30.75" thickBot="1" x14ac:dyDescent="0.3">
      <c r="A3" s="143"/>
      <c r="B3" s="142"/>
      <c r="C3" s="143"/>
      <c r="D3" s="142"/>
      <c r="E3" s="143"/>
      <c r="F3" s="142"/>
      <c r="H3" s="143"/>
      <c r="I3" s="142"/>
      <c r="J3" s="11" t="s">
        <v>118</v>
      </c>
      <c r="K3" s="11" t="s">
        <v>121</v>
      </c>
      <c r="L3" s="11" t="s">
        <v>124</v>
      </c>
      <c r="M3" s="11" t="s">
        <v>127</v>
      </c>
      <c r="N3" s="143"/>
      <c r="O3" s="142"/>
      <c r="P3" s="143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43"/>
      <c r="AF3" s="142"/>
      <c r="AG3" s="11" t="s">
        <v>118</v>
      </c>
      <c r="AH3" s="11" t="s">
        <v>121</v>
      </c>
      <c r="AI3" s="11" t="s">
        <v>124</v>
      </c>
      <c r="AJ3" s="11" t="s">
        <v>127</v>
      </c>
      <c r="AK3" s="143"/>
      <c r="AL3" s="142"/>
      <c r="AM3" s="143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42"/>
      <c r="BF3" s="143"/>
    </row>
    <row r="4" spans="1:60" ht="123.75" hidden="1" x14ac:dyDescent="0.25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5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0.2950521679436014</v>
      </c>
      <c r="I5" s="17">
        <f>IF(OR(ISBLANK(Q5),ISBLANK(F5)),"·",Q5*F5/E5/1000000)</f>
        <v>207.162645</v>
      </c>
      <c r="J5" s="18">
        <f>IF(ISBLANK(Q5),"·",Q5/C5)</f>
        <v>8.8515650383080402</v>
      </c>
      <c r="K5" s="18">
        <f>IF(N5="","·",N5/C5)</f>
        <v>1.3701716380176028</v>
      </c>
      <c r="L5" s="18">
        <f>IF(R5="","·",R5/C5)</f>
        <v>1.2905172221449788</v>
      </c>
      <c r="M5" s="18">
        <f>IF(ISBLANK(T5),"·",T5/C5)</f>
        <v>7.4813991685180072</v>
      </c>
      <c r="N5" s="15">
        <f>IF(OR(ISBLANK(R5),ISBLANK(S5)),"",R5+S5)</f>
        <v>34205432</v>
      </c>
      <c r="O5" s="18">
        <f>IF(ISBLANK(Q5),"·",Q5/P5)</f>
        <v>8.8515650383080402</v>
      </c>
      <c r="P5" s="58">
        <v>24964341</v>
      </c>
      <c r="Q5" s="59">
        <v>220973488</v>
      </c>
      <c r="R5" s="59">
        <v>32216912</v>
      </c>
      <c r="S5" s="59">
        <v>1988520</v>
      </c>
      <c r="T5" s="59">
        <v>186768200</v>
      </c>
      <c r="U5" s="60" t="s">
        <v>549</v>
      </c>
      <c r="V5" s="60" t="s">
        <v>549</v>
      </c>
      <c r="W5" s="60" t="s">
        <v>549</v>
      </c>
      <c r="X5" s="60" t="s">
        <v>549</v>
      </c>
      <c r="Y5" s="60" t="s">
        <v>549</v>
      </c>
      <c r="Z5" s="61">
        <v>3390.24</v>
      </c>
      <c r="AA5" s="61">
        <v>4016.19</v>
      </c>
      <c r="AB5" s="61">
        <v>3.2719999999999998</v>
      </c>
      <c r="AC5" s="61">
        <v>23.744</v>
      </c>
      <c r="AE5" s="19">
        <f>IF(ISBLANK(AN5),"·",AN5/(C5*D5*3))</f>
        <v>0.2950521679436014</v>
      </c>
      <c r="AF5" s="17">
        <f>IF(OR(ISBLANK(AN5),ISBLANK(F5)),"·",AN5*F5/E5/1000000)</f>
        <v>207.162645</v>
      </c>
      <c r="AG5" s="18">
        <f>IF(ISBLANK(AN5),"·",AN5/C5)</f>
        <v>8.8515650383080402</v>
      </c>
      <c r="AH5" s="18">
        <f>IF(AK5="","·",AK5/C5)</f>
        <v>1.3701640538665412</v>
      </c>
      <c r="AI5" s="18">
        <f>IF(AO5="","·",AO5/C5)</f>
        <v>1.2905147653073117</v>
      </c>
      <c r="AJ5" s="18">
        <f>IF(ISBLANK(AQ5),"·",AQ5/C5)</f>
        <v>7.481396711680353</v>
      </c>
      <c r="AK5" s="15">
        <f>IF(OR(ISBLANK(AO5),ISBLANK(AP5)),"",AO5+AP5)</f>
        <v>34205242.666666701</v>
      </c>
      <c r="AL5" s="18">
        <f>IF(ISBLANK(AN5),"·",AN5/AM5)</f>
        <v>8.8515650383080402</v>
      </c>
      <c r="AM5" s="92">
        <v>24964341</v>
      </c>
      <c r="AN5" s="93">
        <v>220973488</v>
      </c>
      <c r="AO5" s="93">
        <v>32216850.666666701</v>
      </c>
      <c r="AP5" s="93">
        <v>1988392</v>
      </c>
      <c r="AQ5" s="93">
        <v>186768138.66666701</v>
      </c>
      <c r="AR5" s="94" t="s">
        <v>549</v>
      </c>
      <c r="AS5" s="94" t="s">
        <v>549</v>
      </c>
      <c r="AT5" s="94" t="s">
        <v>549</v>
      </c>
      <c r="AU5" s="94" t="s">
        <v>549</v>
      </c>
      <c r="AV5" s="94" t="s">
        <v>549</v>
      </c>
      <c r="AW5" s="95">
        <v>4457.68</v>
      </c>
      <c r="AX5" s="95">
        <v>7242.37</v>
      </c>
      <c r="AY5" s="95">
        <v>3.77</v>
      </c>
      <c r="AZ5" s="95">
        <v>25.672000000000001</v>
      </c>
      <c r="BB5" s="20">
        <f t="shared" ref="BB5:BB12" si="0">AG5/J5</f>
        <v>1</v>
      </c>
      <c r="BC5" s="20">
        <f t="shared" ref="BC5:BD12" si="1">AI5/L5</f>
        <v>0.99999809623798508</v>
      </c>
      <c r="BD5" s="20">
        <f t="shared" si="1"/>
        <v>0.99999967160719549</v>
      </c>
      <c r="BE5" s="19">
        <f>(AK5/AN5) - (N5/Q5)</f>
        <v>-8.5681470213261335E-7</v>
      </c>
      <c r="BF5" s="19">
        <f t="array" ref="BF5">AVERAGE(AK5:AK5/AN5:AN5) - AVERAGE(N5:N5/Q5:Q5)</f>
        <v>-8.5681470213261335E-7</v>
      </c>
      <c r="BH5">
        <f>AN5-Q5</f>
        <v>0</v>
      </c>
    </row>
    <row r="6" spans="1:60" collapsed="1" x14ac:dyDescent="0.25">
      <c r="A6" s="21"/>
      <c r="B6" s="21" t="s">
        <v>275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0.42430317639830295</v>
      </c>
      <c r="I6" s="23">
        <f>IF(OR(ISBLANK(Q6),ISBLANK(F6)),"·",Q6*F6/E6/1000000)</f>
        <v>270.35153250000002</v>
      </c>
      <c r="J6" s="24">
        <f>IF(ISBLANK(Q6),"·",Q6/C6)</f>
        <v>12.729095291949088</v>
      </c>
      <c r="K6" s="24">
        <f>IF(N6="","·",N6/C6)</f>
        <v>1.6688130708257756</v>
      </c>
      <c r="L6" s="24">
        <f>IF(R6="","·",R6/C6)</f>
        <v>1.5309702509257535</v>
      </c>
      <c r="M6" s="24">
        <f>IF(ISBLANK(T6),"·",T6/C6)</f>
        <v>11.060288577395269</v>
      </c>
      <c r="N6" s="21">
        <f>IF(OR(ISBLANK(R6),ISBLANK(S6)),"",R6+S6)</f>
        <v>37806608</v>
      </c>
      <c r="O6" s="24">
        <f>IF(ISBLANK(Q6),"·",Q6/P6)</f>
        <v>12.729095291949088</v>
      </c>
      <c r="P6" s="62">
        <v>22654789</v>
      </c>
      <c r="Q6" s="63">
        <v>288374968</v>
      </c>
      <c r="R6" s="63">
        <v>34683808</v>
      </c>
      <c r="S6" s="63">
        <v>3122800</v>
      </c>
      <c r="T6" s="63">
        <v>250568504</v>
      </c>
      <c r="U6" s="64" t="s">
        <v>549</v>
      </c>
      <c r="V6" s="64" t="s">
        <v>549</v>
      </c>
      <c r="W6" s="64" t="s">
        <v>549</v>
      </c>
      <c r="X6" s="64" t="s">
        <v>549</v>
      </c>
      <c r="Y6" s="64" t="s">
        <v>549</v>
      </c>
      <c r="Z6" s="65">
        <v>3129</v>
      </c>
      <c r="AA6" s="65">
        <v>4074.93</v>
      </c>
      <c r="AB6" s="65">
        <v>2.952</v>
      </c>
      <c r="AC6" s="65">
        <v>23.911999999999999</v>
      </c>
      <c r="AE6" s="25">
        <f>IF(ISBLANK(AN6),"·",AN6/(C6*D6*3))</f>
        <v>0.42430317639830295</v>
      </c>
      <c r="AF6" s="23">
        <f>IF(OR(ISBLANK(AN6),ISBLANK(F6)),"·",AN6*F6/E6/1000000)</f>
        <v>270.35153250000002</v>
      </c>
      <c r="AG6" s="24">
        <f>IF(ISBLANK(AN6),"·",AN6/C6)</f>
        <v>12.729095291949088</v>
      </c>
      <c r="AH6" s="24">
        <f>IF(AK6="","·",AK6/C6)</f>
        <v>1.6688047135052417</v>
      </c>
      <c r="AI6" s="24">
        <f>IF(AO6="","·",AO6/C6)</f>
        <v>1.5309675436247365</v>
      </c>
      <c r="AJ6" s="24">
        <f>IF(ISBLANK(AQ6),"·",AQ6/C6)</f>
        <v>11.060285870094267</v>
      </c>
      <c r="AK6" s="21">
        <f>IF(OR(ISBLANK(AO6),ISBLANK(AP6)),"",AO6+AP6)</f>
        <v>37806418.666666701</v>
      </c>
      <c r="AL6" s="24">
        <f>IF(ISBLANK(AN6),"·",AN6/AM6)</f>
        <v>12.729095291949088</v>
      </c>
      <c r="AM6" s="97">
        <v>22654789</v>
      </c>
      <c r="AN6" s="98">
        <v>288374968</v>
      </c>
      <c r="AO6" s="98">
        <v>34683746.666666701</v>
      </c>
      <c r="AP6" s="98">
        <v>3122672</v>
      </c>
      <c r="AQ6" s="98">
        <v>250568442.66666701</v>
      </c>
      <c r="AR6" s="99" t="s">
        <v>549</v>
      </c>
      <c r="AS6" s="99" t="s">
        <v>549</v>
      </c>
      <c r="AT6" s="99" t="s">
        <v>549</v>
      </c>
      <c r="AU6" s="99" t="s">
        <v>549</v>
      </c>
      <c r="AV6" s="99" t="s">
        <v>549</v>
      </c>
      <c r="AW6" s="100">
        <v>4195.7700000000004</v>
      </c>
      <c r="AX6" s="100">
        <v>7273.58</v>
      </c>
      <c r="AY6" s="100">
        <v>3.75</v>
      </c>
      <c r="AZ6" s="100">
        <v>30.969000000000001</v>
      </c>
      <c r="BB6" s="26">
        <f t="shared" si="0"/>
        <v>1</v>
      </c>
      <c r="BC6" s="26">
        <f t="shared" si="1"/>
        <v>0.99999823164361601</v>
      </c>
      <c r="BD6" s="26">
        <f t="shared" si="1"/>
        <v>0.99999975522329432</v>
      </c>
      <c r="BE6" s="25">
        <f>(AK6/AN6) - (N6/Q6)</f>
        <v>-6.5655259404162614E-7</v>
      </c>
      <c r="BF6" s="25">
        <f t="array" ref="BF6">AVERAGE(AK6:AK6/AN6:AN6) - AVERAGE(N6:N6/Q6:Q6)</f>
        <v>-6.5655259404162614E-7</v>
      </c>
      <c r="BH6" s="4">
        <f t="shared" ref="BH6:BH9" si="2">AN6-Q6</f>
        <v>0</v>
      </c>
    </row>
    <row r="7" spans="1:60" collapsed="1" x14ac:dyDescent="0.25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0.32849717124825101</v>
      </c>
      <c r="I7" s="17">
        <f>IF(OR(ISBLANK(Q7),ISBLANK(F7)),"·",Q7*F7/E7/1000000)</f>
        <v>313.64238749999998</v>
      </c>
      <c r="J7" s="18">
        <f>IF(ISBLANK(Q7),"·",Q7/C7)</f>
        <v>9.8549151374475308</v>
      </c>
      <c r="K7" s="18">
        <f>IF(N7="","·",N7/C7)</f>
        <v>1.6144670460618296</v>
      </c>
      <c r="L7" s="18">
        <f>IF(R7="","·",R7/C7)</f>
        <v>1.5006737124421736</v>
      </c>
      <c r="M7" s="18">
        <f>IF(ISBLANK(T7),"·",T7/C7)</f>
        <v>8.2404523332024855</v>
      </c>
      <c r="N7" s="15">
        <f>IF(OR(ISBLANK(R7),ISBLANK(S7)),"",R7+S7)</f>
        <v>54807472</v>
      </c>
      <c r="O7" s="18">
        <f>IF(ISBLANK(Q7),"·",Q7/P7)</f>
        <v>9.8549151374475308</v>
      </c>
      <c r="P7" s="58">
        <v>33947718</v>
      </c>
      <c r="Q7" s="59">
        <v>334551880</v>
      </c>
      <c r="R7" s="59">
        <v>50944448</v>
      </c>
      <c r="S7" s="59">
        <v>3863024</v>
      </c>
      <c r="T7" s="59">
        <v>279744552</v>
      </c>
      <c r="U7" s="60" t="s">
        <v>549</v>
      </c>
      <c r="V7" s="60" t="s">
        <v>549</v>
      </c>
      <c r="W7" s="60" t="s">
        <v>549</v>
      </c>
      <c r="X7" s="60" t="s">
        <v>549</v>
      </c>
      <c r="Y7" s="60" t="s">
        <v>549</v>
      </c>
      <c r="Z7" s="61">
        <v>6197.69</v>
      </c>
      <c r="AA7" s="61">
        <v>6585.92</v>
      </c>
      <c r="AB7" s="61">
        <v>4.4880000000000004</v>
      </c>
      <c r="AC7" s="61">
        <v>30.463999999999999</v>
      </c>
      <c r="AE7" s="19">
        <f>IF(ISBLANK(AN7),"·",AN7/(C7*D7*3))</f>
        <v>0.32849717124825101</v>
      </c>
      <c r="AF7" s="17">
        <f>IF(OR(ISBLANK(AN7),ISBLANK(F7)),"·",AN7*F7/E7/1000000)</f>
        <v>313.64238749999998</v>
      </c>
      <c r="AG7" s="18">
        <f>IF(ISBLANK(AN7),"·",AN7/C7)</f>
        <v>9.8549151374475308</v>
      </c>
      <c r="AH7" s="18">
        <f>IF(AK7="","·",AK7/C7)</f>
        <v>1.6144614688582808</v>
      </c>
      <c r="AI7" s="18">
        <f>IF(AO7="","·",AO7/C7)</f>
        <v>1.5006719057424331</v>
      </c>
      <c r="AJ7" s="18">
        <f>IF(ISBLANK(AQ7),"·",AQ7/C7)</f>
        <v>8.2404505265027534</v>
      </c>
      <c r="AK7" s="15">
        <f>IF(OR(ISBLANK(AO7),ISBLANK(AP7)),"",AO7+AP7)</f>
        <v>54807282.666666701</v>
      </c>
      <c r="AL7" s="18">
        <f>IF(ISBLANK(AN7),"·",AN7/AM7)</f>
        <v>9.8549151374475308</v>
      </c>
      <c r="AM7" s="92">
        <v>33947718</v>
      </c>
      <c r="AN7" s="93">
        <v>334551880</v>
      </c>
      <c r="AO7" s="93">
        <v>50944386.666666701</v>
      </c>
      <c r="AP7" s="93">
        <v>3862896</v>
      </c>
      <c r="AQ7" s="93">
        <v>279744490.66666698</v>
      </c>
      <c r="AR7" s="94" t="s">
        <v>549</v>
      </c>
      <c r="AS7" s="94" t="s">
        <v>549</v>
      </c>
      <c r="AT7" s="94" t="s">
        <v>549</v>
      </c>
      <c r="AU7" s="94" t="s">
        <v>549</v>
      </c>
      <c r="AV7" s="94" t="s">
        <v>549</v>
      </c>
      <c r="AW7" s="95">
        <v>6295.96</v>
      </c>
      <c r="AX7" s="95">
        <v>9639.68</v>
      </c>
      <c r="AY7" s="95">
        <v>4.952</v>
      </c>
      <c r="AZ7" s="95">
        <v>31.678999999999998</v>
      </c>
      <c r="BB7" s="20">
        <f t="shared" si="0"/>
        <v>1</v>
      </c>
      <c r="BC7" s="20">
        <f t="shared" si="1"/>
        <v>0.99999879607423947</v>
      </c>
      <c r="BD7" s="20">
        <f t="shared" si="1"/>
        <v>0.99999978075235929</v>
      </c>
      <c r="BE7" s="19">
        <f>(AK7/AN7) - (N7/Q7)</f>
        <v>-5.6593115932423999E-7</v>
      </c>
      <c r="BF7" s="19">
        <f t="array" ref="BF7">AVERAGE(AK7:AK7/AN7:AN7) - AVERAGE(N7:N7/Q7:Q7)</f>
        <v>-5.6593115932423999E-7</v>
      </c>
      <c r="BH7" s="4">
        <f t="shared" si="2"/>
        <v>0</v>
      </c>
    </row>
    <row r="8" spans="1:60" ht="15.75" collapsed="1" thickBot="1" x14ac:dyDescent="0.3">
      <c r="A8" s="33"/>
      <c r="B8" s="33" t="s">
        <v>281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0.26317799713996626</v>
      </c>
      <c r="I8" s="35">
        <f>IF(OR(ISBLANK(Q8),ISBLANK(F8)),"·",Q8*F8/E8/1000000)</f>
        <v>397.35325</v>
      </c>
      <c r="J8" s="36">
        <f>IF(ISBLANK(Q8),"·",Q8/C8)</f>
        <v>7.8953399141989866</v>
      </c>
      <c r="K8" s="36">
        <f>IF(N8="","·",N8/C8)</f>
        <v>1.2380188131858525</v>
      </c>
      <c r="L8" s="36">
        <f>IF(R8="","·",R8/C8)</f>
        <v>1.0871914351860403</v>
      </c>
      <c r="M8" s="36">
        <f>IF(ISBLANK(T8),"·",T8/C8)</f>
        <v>6.6573255717239705</v>
      </c>
      <c r="N8" s="33">
        <f>IF(OR(ISBLANK(R8),ISBLANK(S8)),"",R8+S8)</f>
        <v>39876144</v>
      </c>
      <c r="O8" s="36">
        <f>IF(ISBLANK(Q8),"·",Q8/P8)</f>
        <v>7.8953399141989866</v>
      </c>
      <c r="P8" s="70">
        <v>32209643</v>
      </c>
      <c r="Q8" s="71">
        <v>254306080</v>
      </c>
      <c r="R8" s="71">
        <v>35018048</v>
      </c>
      <c r="S8" s="71">
        <v>4858096</v>
      </c>
      <c r="T8" s="71">
        <v>214430080</v>
      </c>
      <c r="U8" s="72" t="s">
        <v>549</v>
      </c>
      <c r="V8" s="72" t="s">
        <v>549</v>
      </c>
      <c r="W8" s="72" t="s">
        <v>549</v>
      </c>
      <c r="X8" s="72" t="s">
        <v>549</v>
      </c>
      <c r="Y8" s="72" t="s">
        <v>549</v>
      </c>
      <c r="Z8" s="73">
        <v>6213.18</v>
      </c>
      <c r="AA8" s="73">
        <v>4605.16</v>
      </c>
      <c r="AB8" s="73">
        <v>4.0999999999999996</v>
      </c>
      <c r="AC8" s="73">
        <v>25.872</v>
      </c>
      <c r="AE8" s="37">
        <f>IF(ISBLANK(AN8),"·",AN8/(C8*D8*3))</f>
        <v>0.26317799713996626</v>
      </c>
      <c r="AF8" s="35">
        <f>IF(OR(ISBLANK(AN8),ISBLANK(F8)),"·",AN8*F8/E8/1000000)</f>
        <v>397.35325</v>
      </c>
      <c r="AG8" s="36">
        <f>IF(ISBLANK(AN8),"·",AN8/C8)</f>
        <v>7.8953399141989866</v>
      </c>
      <c r="AH8" s="36">
        <f>IF(AK8="","·",AK8/C8)</f>
        <v>1.238012935029013</v>
      </c>
      <c r="AI8" s="36">
        <f>IF(AO8="","·",AO8/C8)</f>
        <v>1.0871895309943889</v>
      </c>
      <c r="AJ8" s="36">
        <f>IF(ISBLANK(AQ8),"·",AQ8/C8)</f>
        <v>6.6573236675323288</v>
      </c>
      <c r="AK8" s="33">
        <f>IF(OR(ISBLANK(AO8),ISBLANK(AP8)),"",AO8+AP8)</f>
        <v>39875954.666666701</v>
      </c>
      <c r="AL8" s="36">
        <f>IF(ISBLANK(AN8),"·",AN8/AM8)</f>
        <v>7.8953399141989866</v>
      </c>
      <c r="AM8" s="107">
        <v>32209643</v>
      </c>
      <c r="AN8" s="108">
        <v>254306080</v>
      </c>
      <c r="AO8" s="108">
        <v>35017986.666666701</v>
      </c>
      <c r="AP8" s="108">
        <v>4857968</v>
      </c>
      <c r="AQ8" s="108">
        <v>214430018.66666701</v>
      </c>
      <c r="AR8" s="109" t="s">
        <v>549</v>
      </c>
      <c r="AS8" s="109" t="s">
        <v>549</v>
      </c>
      <c r="AT8" s="109" t="s">
        <v>549</v>
      </c>
      <c r="AU8" s="109" t="s">
        <v>549</v>
      </c>
      <c r="AV8" s="109" t="s">
        <v>549</v>
      </c>
      <c r="AW8" s="110">
        <v>6140.25</v>
      </c>
      <c r="AX8" s="110">
        <v>7168.75</v>
      </c>
      <c r="AY8" s="110">
        <v>5.0439999999999996</v>
      </c>
      <c r="AZ8" s="110">
        <v>24.423999999999999</v>
      </c>
      <c r="BB8" s="38">
        <f t="shared" si="0"/>
        <v>1</v>
      </c>
      <c r="BC8" s="38">
        <f t="shared" si="1"/>
        <v>0.99999824852221064</v>
      </c>
      <c r="BD8" s="38">
        <f t="shared" si="1"/>
        <v>0.99999971397047938</v>
      </c>
      <c r="BE8" s="37">
        <f>(AK8/AN8) - (N8/Q8)</f>
        <v>-7.4450966056072154E-7</v>
      </c>
      <c r="BF8" s="37">
        <f t="array" ref="BF8">AVERAGE(AK8:AK8/AN8:AN8) - AVERAGE(N8:N8/Q8:Q8)</f>
        <v>-7.4450966056072154E-7</v>
      </c>
      <c r="BH8" s="4">
        <f t="shared" si="2"/>
        <v>0</v>
      </c>
    </row>
    <row r="9" spans="1:60" ht="15.75" collapsed="1" thickBot="1" x14ac:dyDescent="0.3">
      <c r="A9" s="27" t="s">
        <v>285</v>
      </c>
      <c r="B9" s="27" t="s">
        <v>284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0.50098941725865564</v>
      </c>
      <c r="I9" s="29">
        <f>IF(OR(ISBLANK(Q9),ISBLANK(F9)),"·",Q9*F9/E9/1000000)</f>
        <v>356.66011500000002</v>
      </c>
      <c r="J9" s="30">
        <f>IF(ISBLANK(Q9),"·",Q9/C9)</f>
        <v>15.029682517759669</v>
      </c>
      <c r="K9" s="30">
        <f>IF(N9="","·",N9/C9)</f>
        <v>1.5098546135950401</v>
      </c>
      <c r="L9" s="30">
        <f>IF(R9="","·",R9/C9)</f>
        <v>1.411390018681747</v>
      </c>
      <c r="M9" s="30">
        <f>IF(ISBLANK(T9),"·",T9/C9)</f>
        <v>13.519833593074194</v>
      </c>
      <c r="N9" s="27">
        <f>IF(OR(ISBLANK(R9),ISBLANK(S9)),"",R9+S9)</f>
        <v>38218056</v>
      </c>
      <c r="O9" s="30">
        <f>IF(ISBLANK(Q9),"·",Q9/P9)</f>
        <v>15.029682517759669</v>
      </c>
      <c r="P9" s="66">
        <v>25312408</v>
      </c>
      <c r="Q9" s="67">
        <v>380437456</v>
      </c>
      <c r="R9" s="67">
        <v>35725680</v>
      </c>
      <c r="S9" s="67">
        <v>2492376</v>
      </c>
      <c r="T9" s="67">
        <v>342219544</v>
      </c>
      <c r="U9" s="68" t="s">
        <v>549</v>
      </c>
      <c r="V9" s="68" t="s">
        <v>549</v>
      </c>
      <c r="W9" s="68" t="s">
        <v>549</v>
      </c>
      <c r="X9" s="68" t="s">
        <v>549</v>
      </c>
      <c r="Y9" s="68" t="s">
        <v>549</v>
      </c>
      <c r="Z9" s="69">
        <v>4939.92</v>
      </c>
      <c r="AA9" s="69">
        <v>5330.96</v>
      </c>
      <c r="AB9" s="69">
        <v>3.7240000000000002</v>
      </c>
      <c r="AC9" s="69">
        <v>32.316000000000003</v>
      </c>
      <c r="AE9" s="31">
        <f>IF(ISBLANK(AN9),"·",AN9/(C9*D9*3))</f>
        <v>0.50098941725865564</v>
      </c>
      <c r="AF9" s="29">
        <f>IF(OR(ISBLANK(AN9),ISBLANK(F9)),"·",AN9*F9/E9/1000000)</f>
        <v>356.66011500000002</v>
      </c>
      <c r="AG9" s="30">
        <f>IF(ISBLANK(AN9),"·",AN9/C9)</f>
        <v>15.029682517759669</v>
      </c>
      <c r="AH9" s="30">
        <f>IF(AK9="","·",AK9/C9)</f>
        <v>1.5098471337324644</v>
      </c>
      <c r="AI9" s="30">
        <f>IF(AO9="","·",AO9/C9)</f>
        <v>1.411387595627674</v>
      </c>
      <c r="AJ9" s="30">
        <f>IF(ISBLANK(AQ9),"·",AQ9/C9)</f>
        <v>13.519831170020133</v>
      </c>
      <c r="AK9" s="27">
        <f>IF(OR(ISBLANK(AO9),ISBLANK(AP9)),"",AO9+AP9)</f>
        <v>38217866.666666701</v>
      </c>
      <c r="AL9" s="30">
        <f>IF(ISBLANK(AN9),"·",AN9/AM9)</f>
        <v>15.029682517759669</v>
      </c>
      <c r="AM9" s="102">
        <v>25312408</v>
      </c>
      <c r="AN9" s="103">
        <v>380437456</v>
      </c>
      <c r="AO9" s="103">
        <v>35725618.666666701</v>
      </c>
      <c r="AP9" s="103">
        <v>2492248</v>
      </c>
      <c r="AQ9" s="103">
        <v>342219482.66666698</v>
      </c>
      <c r="AR9" s="104" t="s">
        <v>549</v>
      </c>
      <c r="AS9" s="104" t="s">
        <v>549</v>
      </c>
      <c r="AT9" s="104" t="s">
        <v>549</v>
      </c>
      <c r="AU9" s="104" t="s">
        <v>549</v>
      </c>
      <c r="AV9" s="104" t="s">
        <v>549</v>
      </c>
      <c r="AW9" s="105">
        <v>4724.57</v>
      </c>
      <c r="AX9" s="105">
        <v>8338.0300000000007</v>
      </c>
      <c r="AY9" s="105">
        <v>3.6059999999999999</v>
      </c>
      <c r="AZ9" s="105">
        <v>29.881</v>
      </c>
      <c r="BB9" s="32">
        <f t="shared" si="0"/>
        <v>1</v>
      </c>
      <c r="BC9" s="32">
        <f t="shared" si="1"/>
        <v>0.99999828321439088</v>
      </c>
      <c r="BD9" s="32">
        <f t="shared" si="1"/>
        <v>0.99999982077781913</v>
      </c>
      <c r="BE9" s="31">
        <f>(AK9/AN9) - (N9/Q9)</f>
        <v>-4.9767269313938378E-7</v>
      </c>
      <c r="BF9" s="31">
        <f t="array" ref="BF9">AVERAGE(AK9:AK9/AN9:AN9) - AVERAGE(N9:N9/Q9:Q9)</f>
        <v>-4.9767269313938378E-7</v>
      </c>
      <c r="BH9" s="4">
        <f t="shared" si="2"/>
        <v>0</v>
      </c>
    </row>
    <row r="10" spans="1:60" x14ac:dyDescent="0.25">
      <c r="B10" s="39" t="s">
        <v>288</v>
      </c>
      <c r="J10" s="40">
        <f>AVERAGE(J5:J8)</f>
        <v>9.832728845475911</v>
      </c>
      <c r="K10" s="40">
        <f>AVERAGE(K5:K8)</f>
        <v>1.4728676420227651</v>
      </c>
      <c r="L10" s="40">
        <f>AVERAGE(L5:L8)</f>
        <v>1.3523381551747367</v>
      </c>
      <c r="M10" s="40">
        <f>AVERAGE(M5:M8)</f>
        <v>8.359866412709934</v>
      </c>
      <c r="AG10" s="40">
        <f>AVERAGE(AG5:AG8)</f>
        <v>9.832728845475911</v>
      </c>
      <c r="AH10" s="40">
        <f>AVERAGE(AH5:AH8)</f>
        <v>1.472860792814769</v>
      </c>
      <c r="AI10" s="40">
        <f>AVERAGE(AI5:AI8)</f>
        <v>1.3523359364172176</v>
      </c>
      <c r="AJ10" s="40">
        <f>AVERAGE(AJ5:AJ8)</f>
        <v>8.3598641939524256</v>
      </c>
      <c r="BB10" s="5">
        <f t="shared" si="0"/>
        <v>1</v>
      </c>
      <c r="BC10" s="5">
        <f t="shared" si="1"/>
        <v>0.99999835931751935</v>
      </c>
      <c r="BD10" s="5">
        <f t="shared" si="1"/>
        <v>0.99999973459414315</v>
      </c>
      <c r="BF10" s="8">
        <f>AVERAGE(BF5:BF8)</f>
        <v>-7.0595202901480025E-7</v>
      </c>
    </row>
    <row r="11" spans="1:60" x14ac:dyDescent="0.25">
      <c r="B11" s="39" t="s">
        <v>289</v>
      </c>
      <c r="J11" s="40">
        <f>AVERAGE(J9:J9)</f>
        <v>15.029682517759669</v>
      </c>
      <c r="K11" s="40">
        <f>AVERAGE(K9:K9)</f>
        <v>1.5098546135950401</v>
      </c>
      <c r="L11" s="40">
        <f>AVERAGE(L9:L9)</f>
        <v>1.411390018681747</v>
      </c>
      <c r="M11" s="40">
        <f>AVERAGE(M9:M9)</f>
        <v>13.519833593074194</v>
      </c>
      <c r="AG11" s="40">
        <f>AVERAGE(AG9:AG9)</f>
        <v>15.029682517759669</v>
      </c>
      <c r="AH11" s="40">
        <f>AVERAGE(AH9:AH9)</f>
        <v>1.5098471337324644</v>
      </c>
      <c r="AI11" s="40">
        <f>AVERAGE(AI9:AI9)</f>
        <v>1.411387595627674</v>
      </c>
      <c r="AJ11" s="40">
        <f>AVERAGE(AJ9:AJ9)</f>
        <v>13.519831170020133</v>
      </c>
      <c r="BB11" s="5">
        <f t="shared" si="0"/>
        <v>1</v>
      </c>
      <c r="BC11" s="5">
        <f t="shared" si="1"/>
        <v>0.99999828321439088</v>
      </c>
      <c r="BD11" s="5">
        <f t="shared" si="1"/>
        <v>0.99999982077781913</v>
      </c>
      <c r="BF11" s="8">
        <f>AVERAGE(BF9:BF9)</f>
        <v>-4.9767269313938378E-7</v>
      </c>
    </row>
    <row r="12" spans="1:60" collapsed="1" x14ac:dyDescent="0.25">
      <c r="B12" s="39" t="s">
        <v>290</v>
      </c>
      <c r="J12" s="40">
        <f>AVERAGE(J5:J9)</f>
        <v>10.872119579932662</v>
      </c>
      <c r="K12" s="40">
        <f>AVERAGE(K5:K9)</f>
        <v>1.4802650363372201</v>
      </c>
      <c r="L12" s="40">
        <f>AVERAGE(L5:L9)</f>
        <v>1.3641485278761387</v>
      </c>
      <c r="M12" s="40">
        <f>AVERAGE(M5:M9)</f>
        <v>9.3918598487827865</v>
      </c>
      <c r="AG12" s="40">
        <f>AVERAGE(AG5:AG9)</f>
        <v>10.872119579932662</v>
      </c>
      <c r="AH12" s="40">
        <f>AVERAGE(AH5:AH9)</f>
        <v>1.4802580609983083</v>
      </c>
      <c r="AI12" s="40">
        <f>AVERAGE(AI5:AI9)</f>
        <v>1.3641462682593088</v>
      </c>
      <c r="AJ12" s="40">
        <f>AVERAGE(AJ5:AJ9)</f>
        <v>9.3918575891659675</v>
      </c>
      <c r="BB12" s="5">
        <f t="shared" si="0"/>
        <v>1</v>
      </c>
      <c r="BC12" s="5">
        <f t="shared" si="1"/>
        <v>0.99999834356979189</v>
      </c>
      <c r="BD12" s="5">
        <f t="shared" si="1"/>
        <v>0.99999975940688479</v>
      </c>
      <c r="BF12" s="8">
        <f>AVERAGE(BF5:BF9)</f>
        <v>-6.64296161839717E-7</v>
      </c>
    </row>
    <row r="13" spans="1:60" hidden="1" outlineLevel="2" x14ac:dyDescent="0.25">
      <c r="A13" s="39" t="s">
        <v>291</v>
      </c>
      <c r="B13" s="39" t="s">
        <v>292</v>
      </c>
      <c r="Z13" s="41">
        <f>SUM(Z5:Z8,Z9:Z9)</f>
        <v>23870.03</v>
      </c>
      <c r="AA13" s="41">
        <f>SUM(AA5:AA8,AA9:AA9)</f>
        <v>24613.16</v>
      </c>
      <c r="AB13" s="41">
        <f>SUM(AB5:AB8,AB9:AB9)</f>
        <v>18.536000000000001</v>
      </c>
      <c r="AC13" s="41">
        <f>SUM(AC5:AC8,AC9:AC9)</f>
        <v>136.30799999999999</v>
      </c>
      <c r="AW13" s="41">
        <f>SUM(AW5:AW8,AW9:AW9)</f>
        <v>25814.23</v>
      </c>
      <c r="AX13" s="41">
        <f>SUM(AX5:AX8,AX9:AX9)</f>
        <v>39662.410000000003</v>
      </c>
      <c r="AY13" s="41">
        <f>SUM(AY5:AY8,AY9:AY9)</f>
        <v>21.122</v>
      </c>
      <c r="AZ13" s="41">
        <f>SUM(AZ5:AZ8,AZ9:AZ9)</f>
        <v>142.625</v>
      </c>
    </row>
    <row r="14" spans="1:60" hidden="1" outlineLevel="2" x14ac:dyDescent="0.25">
      <c r="B14" s="39" t="s">
        <v>293</v>
      </c>
      <c r="AW14" s="8">
        <f>AW13/Z13</f>
        <v>1.0814494158574581</v>
      </c>
      <c r="AX14" s="8">
        <f>AX13/AA13</f>
        <v>1.6114310393301796</v>
      </c>
      <c r="AY14" s="8">
        <f>AY13/AB13</f>
        <v>1.1395123003884333</v>
      </c>
      <c r="AZ14" s="8">
        <f>AZ13/AC13</f>
        <v>1.0463435748452035</v>
      </c>
    </row>
    <row r="15" spans="1:60" hidden="1" outlineLevel="2" x14ac:dyDescent="0.25">
      <c r="B15" s="39" t="s">
        <v>294</v>
      </c>
      <c r="Z15" s="41">
        <f>GEOMEAN(Z5:Z8,Z9:Z9)</f>
        <v>4581.2072733173836</v>
      </c>
      <c r="AA15" s="41">
        <f>GEOMEAN(AA5:AA8,AA9:AA9)</f>
        <v>4836.3775924754864</v>
      </c>
      <c r="AB15" s="41">
        <f>GEOMEAN(AB5:AB8,AB9:AB9)</f>
        <v>3.6656855291513883</v>
      </c>
      <c r="AC15" s="41">
        <f>GEOMEAN(AC5:AC8,AC9:AC9)</f>
        <v>27.042127921644958</v>
      </c>
      <c r="AW15" s="41">
        <f>GEOMEAN(AW5:AW8,AW9:AW9)</f>
        <v>5089.8639366931484</v>
      </c>
      <c r="AX15" s="41">
        <f>GEOMEAN(AX5:AX8,AX9:AX9)</f>
        <v>7878.4301120008977</v>
      </c>
      <c r="AY15" s="41">
        <f>GEOMEAN(AY5:AY8,AY9:AY9)</f>
        <v>4.1782152594779909</v>
      </c>
      <c r="AZ15" s="41">
        <f>GEOMEAN(AZ5:AZ8,AZ9:AZ9)</f>
        <v>28.370961458490626</v>
      </c>
    </row>
    <row r="16" spans="1:60" outlineLevel="2" collapsed="1" x14ac:dyDescent="0.25">
      <c r="B16" s="39" t="s">
        <v>295</v>
      </c>
      <c r="AW16" s="8">
        <f>AW15/Z15</f>
        <v>1.1110311393982031</v>
      </c>
      <c r="AX16" s="8">
        <f>AX15/AA15</f>
        <v>1.6289940066421376</v>
      </c>
      <c r="AY16" s="8">
        <f>AY15/AB15</f>
        <v>1.139818248524241</v>
      </c>
      <c r="AZ16" s="8">
        <f>AZ15/AC15</f>
        <v>1.0491393850622994</v>
      </c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3"/>
  <sheetViews>
    <sheetView zoomScale="85" zoomScaleNormal="85" workbookViewId="0">
      <pane xSplit="2" topLeftCell="P1" activePane="topRight" state="frozen"/>
      <selection pane="topRight" activeCell="AQ29" sqref="AQ29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141" t="s">
        <v>441</v>
      </c>
      <c r="B1" s="141"/>
      <c r="C1" s="141"/>
      <c r="D1" s="141"/>
      <c r="E1" s="141"/>
      <c r="F1" s="141"/>
      <c r="H1" s="137" t="s">
        <v>2</v>
      </c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E1" s="138" t="s">
        <v>3</v>
      </c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</row>
    <row r="2" spans="1:60" ht="30" customHeight="1" x14ac:dyDescent="0.25">
      <c r="A2" s="143" t="s">
        <v>93</v>
      </c>
      <c r="B2" s="142" t="s">
        <v>96</v>
      </c>
      <c r="C2" s="143" t="s">
        <v>102</v>
      </c>
      <c r="D2" s="142" t="s">
        <v>105</v>
      </c>
      <c r="E2" s="143" t="s">
        <v>108</v>
      </c>
      <c r="F2" s="142" t="s">
        <v>111</v>
      </c>
      <c r="H2" s="143" t="s">
        <v>310</v>
      </c>
      <c r="I2" s="142" t="s">
        <v>114</v>
      </c>
      <c r="J2" s="140" t="s">
        <v>117</v>
      </c>
      <c r="K2" s="140"/>
      <c r="L2" s="140"/>
      <c r="M2" s="140"/>
      <c r="N2" s="143" t="s">
        <v>130</v>
      </c>
      <c r="O2" s="142" t="s">
        <v>133</v>
      </c>
      <c r="P2" s="143" t="s">
        <v>24</v>
      </c>
      <c r="Q2" s="139" t="s">
        <v>142</v>
      </c>
      <c r="R2" s="139"/>
      <c r="S2" s="139"/>
      <c r="T2" s="139"/>
      <c r="U2" s="140" t="s">
        <v>153</v>
      </c>
      <c r="V2" s="140"/>
      <c r="W2" s="139" t="s">
        <v>160</v>
      </c>
      <c r="X2" s="139"/>
      <c r="Y2" s="139"/>
      <c r="Z2" s="140" t="s">
        <v>170</v>
      </c>
      <c r="AA2" s="140"/>
      <c r="AB2" s="139" t="s">
        <v>177</v>
      </c>
      <c r="AC2" s="139"/>
      <c r="AE2" s="143" t="s">
        <v>310</v>
      </c>
      <c r="AF2" s="142" t="s">
        <v>114</v>
      </c>
      <c r="AG2" s="140" t="s">
        <v>117</v>
      </c>
      <c r="AH2" s="140"/>
      <c r="AI2" s="140"/>
      <c r="AJ2" s="140"/>
      <c r="AK2" s="143" t="s">
        <v>192</v>
      </c>
      <c r="AL2" s="142" t="s">
        <v>133</v>
      </c>
      <c r="AM2" s="143" t="s">
        <v>24</v>
      </c>
      <c r="AN2" s="139" t="s">
        <v>142</v>
      </c>
      <c r="AO2" s="139"/>
      <c r="AP2" s="139"/>
      <c r="AQ2" s="139"/>
      <c r="AR2" s="140" t="s">
        <v>153</v>
      </c>
      <c r="AS2" s="140"/>
      <c r="AT2" s="139" t="s">
        <v>160</v>
      </c>
      <c r="AU2" s="139"/>
      <c r="AV2" s="139"/>
      <c r="AW2" s="140" t="s">
        <v>170</v>
      </c>
      <c r="AX2" s="140"/>
      <c r="AY2" s="139" t="s">
        <v>177</v>
      </c>
      <c r="AZ2" s="139"/>
      <c r="BB2" s="140" t="s">
        <v>357</v>
      </c>
      <c r="BC2" s="140"/>
      <c r="BD2" s="140"/>
      <c r="BE2" s="142" t="s">
        <v>232</v>
      </c>
      <c r="BF2" s="143" t="s">
        <v>232</v>
      </c>
      <c r="BH2" t="s">
        <v>550</v>
      </c>
    </row>
    <row r="3" spans="1:60" ht="30.75" thickBot="1" x14ac:dyDescent="0.3">
      <c r="A3" s="143"/>
      <c r="B3" s="142"/>
      <c r="C3" s="143"/>
      <c r="D3" s="142"/>
      <c r="E3" s="143"/>
      <c r="F3" s="142"/>
      <c r="H3" s="143"/>
      <c r="I3" s="142"/>
      <c r="J3" s="11" t="s">
        <v>118</v>
      </c>
      <c r="K3" s="11" t="s">
        <v>121</v>
      </c>
      <c r="L3" s="11" t="s">
        <v>124</v>
      </c>
      <c r="M3" s="11" t="s">
        <v>127</v>
      </c>
      <c r="N3" s="143"/>
      <c r="O3" s="142"/>
      <c r="P3" s="143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43"/>
      <c r="AF3" s="142"/>
      <c r="AG3" s="11" t="s">
        <v>118</v>
      </c>
      <c r="AH3" s="11" t="s">
        <v>121</v>
      </c>
      <c r="AI3" s="11" t="s">
        <v>124</v>
      </c>
      <c r="AJ3" s="11" t="s">
        <v>127</v>
      </c>
      <c r="AK3" s="143"/>
      <c r="AL3" s="142"/>
      <c r="AM3" s="143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42"/>
      <c r="BF3" s="143"/>
    </row>
    <row r="4" spans="1:60" ht="123.75" hidden="1" x14ac:dyDescent="0.25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5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0.29250305999799209</v>
      </c>
      <c r="I5" s="17">
        <f>IF(OR(ISBLANK(Q5),ISBLANK(F5)),"·",Q5*F5/E5/1000000)</f>
        <v>205.37286</v>
      </c>
      <c r="J5" s="18">
        <f>IF(ISBLANK(Q5),"·",Q5/C5)</f>
        <v>8.7750917999397622</v>
      </c>
      <c r="K5" s="18">
        <f>IF(N5="","·",N5/C5)</f>
        <v>1.3458950909218874</v>
      </c>
      <c r="L5" s="18">
        <f>IF(R5="","·",R5/C5)</f>
        <v>1.2657442870212356</v>
      </c>
      <c r="M5" s="18">
        <f>IF(ISBLANK(T5),"·",T5/C5)</f>
        <v>7.4292024772454441</v>
      </c>
      <c r="N5" s="15">
        <f>IF(OR(ISBLANK(R5),ISBLANK(S5)),"",R5+S5)</f>
        <v>33599384</v>
      </c>
      <c r="O5" s="18">
        <f>IF(ISBLANK(Q5),"·",Q5/P5)</f>
        <v>8.7750917999397622</v>
      </c>
      <c r="P5" s="74">
        <v>24964341</v>
      </c>
      <c r="Q5" s="75">
        <v>219064384</v>
      </c>
      <c r="R5" s="75">
        <v>31598472</v>
      </c>
      <c r="S5" s="75">
        <v>2000912</v>
      </c>
      <c r="T5" s="75">
        <v>185465144</v>
      </c>
      <c r="U5" s="76" t="s">
        <v>549</v>
      </c>
      <c r="V5" s="76" t="s">
        <v>549</v>
      </c>
      <c r="W5" s="76" t="s">
        <v>549</v>
      </c>
      <c r="X5" s="76" t="s">
        <v>549</v>
      </c>
      <c r="Y5" s="76" t="s">
        <v>549</v>
      </c>
      <c r="Z5" s="77">
        <v>4392.03</v>
      </c>
      <c r="AA5" s="77">
        <v>6898.42</v>
      </c>
      <c r="AB5" s="77">
        <v>3.6640000000000001</v>
      </c>
      <c r="AC5" s="77">
        <v>25.391999999999999</v>
      </c>
      <c r="AE5" s="19">
        <f>IF(ISBLANK(AN5),"·",AN5/(C5*D5*3))</f>
        <v>0.29250305999799209</v>
      </c>
      <c r="AF5" s="17">
        <f>IF(OR(ISBLANK(AN5),ISBLANK(F5)),"·",AN5*F5/E5/1000000)</f>
        <v>205.37286</v>
      </c>
      <c r="AG5" s="18">
        <f>IF(ISBLANK(AN5),"·",AN5/C5)</f>
        <v>8.7750917999397622</v>
      </c>
      <c r="AH5" s="18">
        <f>IF(AK5="","·",AK5/C5)</f>
        <v>1.3458875067708258</v>
      </c>
      <c r="AI5" s="18">
        <f>IF(AO5="","·",AO5/C5)</f>
        <v>1.2657418301835688</v>
      </c>
      <c r="AJ5" s="18">
        <f>IF(ISBLANK(AQ5),"·",AQ5/C5)</f>
        <v>7.429200020407789</v>
      </c>
      <c r="AK5" s="15">
        <f>IF(OR(ISBLANK(AO5),ISBLANK(AP5)),"",AO5+AP5)</f>
        <v>33599194.666666701</v>
      </c>
      <c r="AL5" s="18">
        <f>IF(ISBLANK(AN5),"·",AN5/AM5)</f>
        <v>8.7750917999397622</v>
      </c>
      <c r="AM5" s="92">
        <v>24964341</v>
      </c>
      <c r="AN5" s="93">
        <v>219064384</v>
      </c>
      <c r="AO5" s="93">
        <v>31598410.666666701</v>
      </c>
      <c r="AP5" s="93">
        <v>2000784</v>
      </c>
      <c r="AQ5" s="93">
        <v>185465082.66666701</v>
      </c>
      <c r="AR5" s="94" t="s">
        <v>549</v>
      </c>
      <c r="AS5" s="94" t="s">
        <v>549</v>
      </c>
      <c r="AT5" s="94" t="s">
        <v>549</v>
      </c>
      <c r="AU5" s="94" t="s">
        <v>549</v>
      </c>
      <c r="AV5" s="94" t="s">
        <v>549</v>
      </c>
      <c r="AW5" s="95">
        <v>4465.3999999999996</v>
      </c>
      <c r="AX5" s="95">
        <v>9267.51</v>
      </c>
      <c r="AY5" s="95">
        <v>3.7770000000000001</v>
      </c>
      <c r="AZ5" s="95">
        <v>23.657</v>
      </c>
      <c r="BB5" s="20">
        <f t="shared" ref="BB5:BB12" si="0">AG5/J5</f>
        <v>1</v>
      </c>
      <c r="BC5" s="20">
        <f t="shared" ref="BC5:BD12" si="1">AI5/L5</f>
        <v>0.99999805897787408</v>
      </c>
      <c r="BD5" s="20">
        <f t="shared" si="1"/>
        <v>0.99999966929994677</v>
      </c>
      <c r="BE5" s="19">
        <f>(AK5/AN5) - (N5/Q5)</f>
        <v>-8.6428167755947527E-7</v>
      </c>
      <c r="BF5" s="19">
        <f t="array" ref="BF5">AVERAGE(AK5:AK5/AN5:AN5) - AVERAGE(N5:N5/Q5:Q5)</f>
        <v>-8.6428167755947527E-7</v>
      </c>
      <c r="BH5">
        <f>AN5-Q5</f>
        <v>0</v>
      </c>
    </row>
    <row r="6" spans="1:60" collapsed="1" x14ac:dyDescent="0.25">
      <c r="A6" s="21"/>
      <c r="B6" s="21" t="s">
        <v>275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0.42176153866039834</v>
      </c>
      <c r="I6" s="23">
        <f>IF(OR(ISBLANK(Q6),ISBLANK(F6)),"·",Q6*F6/E6/1000000)</f>
        <v>268.73208749999998</v>
      </c>
      <c r="J6" s="24">
        <f>IF(ISBLANK(Q6),"·",Q6/C6)</f>
        <v>12.652846159811949</v>
      </c>
      <c r="K6" s="24">
        <f>IF(N6="","·",N6/C6)</f>
        <v>1.6680810401721242</v>
      </c>
      <c r="L6" s="24">
        <f>IF(R6="","·",R6/C6)</f>
        <v>1.5234140560744132</v>
      </c>
      <c r="M6" s="24">
        <f>IF(ISBLANK(T6),"·",T6/C6)</f>
        <v>10.984771475911781</v>
      </c>
      <c r="N6" s="21">
        <f>IF(OR(ISBLANK(R6),ISBLANK(S6)),"",R6+S6)</f>
        <v>37790024</v>
      </c>
      <c r="O6" s="24">
        <f>IF(ISBLANK(Q6),"·",Q6/P6)</f>
        <v>12.652846159811949</v>
      </c>
      <c r="P6" s="78">
        <v>22654789</v>
      </c>
      <c r="Q6" s="79">
        <v>286647560</v>
      </c>
      <c r="R6" s="79">
        <v>34512624</v>
      </c>
      <c r="S6" s="79">
        <v>3277400</v>
      </c>
      <c r="T6" s="79">
        <v>248857680</v>
      </c>
      <c r="U6" s="80" t="s">
        <v>549</v>
      </c>
      <c r="V6" s="80" t="s">
        <v>549</v>
      </c>
      <c r="W6" s="80" t="s">
        <v>549</v>
      </c>
      <c r="X6" s="80" t="s">
        <v>549</v>
      </c>
      <c r="Y6" s="80" t="s">
        <v>549</v>
      </c>
      <c r="Z6" s="81">
        <v>4086.96</v>
      </c>
      <c r="AA6" s="81">
        <v>9150.7099999999991</v>
      </c>
      <c r="AB6" s="81">
        <v>3.6280000000000001</v>
      </c>
      <c r="AC6" s="81">
        <v>29.768000000000001</v>
      </c>
      <c r="AE6" s="25">
        <f>IF(ISBLANK(AN6),"·",AN6/(C6*D6*3))</f>
        <v>0.42176153866039834</v>
      </c>
      <c r="AF6" s="23">
        <f>IF(OR(ISBLANK(AN6),ISBLANK(F6)),"·",AN6*F6/E6/1000000)</f>
        <v>268.73208749999998</v>
      </c>
      <c r="AG6" s="24">
        <f>IF(ISBLANK(AN6),"·",AN6/C6)</f>
        <v>12.652846159811949</v>
      </c>
      <c r="AH6" s="24">
        <f>IF(AK6="","·",AK6/C6)</f>
        <v>1.6680726828515906</v>
      </c>
      <c r="AI6" s="24">
        <f>IF(AO6="","·",AO6/C6)</f>
        <v>1.5234113487733962</v>
      </c>
      <c r="AJ6" s="24">
        <f>IF(ISBLANK(AQ6),"·",AQ6/C6)</f>
        <v>10.984768768610779</v>
      </c>
      <c r="AK6" s="21">
        <f>IF(OR(ISBLANK(AO6),ISBLANK(AP6)),"",AO6+AP6)</f>
        <v>37789834.666666701</v>
      </c>
      <c r="AL6" s="24">
        <f>IF(ISBLANK(AN6),"·",AN6/AM6)</f>
        <v>12.652846159811949</v>
      </c>
      <c r="AM6" s="97">
        <v>22654789</v>
      </c>
      <c r="AN6" s="98">
        <v>286647560</v>
      </c>
      <c r="AO6" s="98">
        <v>34512562.666666701</v>
      </c>
      <c r="AP6" s="98">
        <v>3277272</v>
      </c>
      <c r="AQ6" s="98">
        <v>248857618.66666701</v>
      </c>
      <c r="AR6" s="99" t="s">
        <v>549</v>
      </c>
      <c r="AS6" s="99" t="s">
        <v>549</v>
      </c>
      <c r="AT6" s="99" t="s">
        <v>549</v>
      </c>
      <c r="AU6" s="99" t="s">
        <v>549</v>
      </c>
      <c r="AV6" s="99" t="s">
        <v>549</v>
      </c>
      <c r="AW6" s="100">
        <v>4183.21</v>
      </c>
      <c r="AX6" s="100">
        <v>11450.3</v>
      </c>
      <c r="AY6" s="100">
        <v>3.746</v>
      </c>
      <c r="AZ6" s="100">
        <v>24.686</v>
      </c>
      <c r="BB6" s="26">
        <f t="shared" si="0"/>
        <v>1</v>
      </c>
      <c r="BC6" s="26">
        <f t="shared" si="1"/>
        <v>0.9999982228724974</v>
      </c>
      <c r="BD6" s="26">
        <f t="shared" si="1"/>
        <v>0.99999975354052584</v>
      </c>
      <c r="BE6" s="25">
        <f>(AK6/AN6) - (N6/Q6)</f>
        <v>-6.6050913985482573E-7</v>
      </c>
      <c r="BF6" s="25">
        <f t="array" ref="BF6">AVERAGE(AK6:AK6/AN6:AN6) - AVERAGE(N6:N6/Q6:Q6)</f>
        <v>-6.6050913985482573E-7</v>
      </c>
      <c r="BH6" s="4">
        <f t="shared" ref="BH6:BH9" si="2">AN6-Q6</f>
        <v>0</v>
      </c>
    </row>
    <row r="7" spans="1:60" collapsed="1" x14ac:dyDescent="0.25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0.32094374453485602</v>
      </c>
      <c r="I7" s="17">
        <f>IF(OR(ISBLANK(Q7),ISBLANK(F7)),"·",Q7*F7/E7/1000000)</f>
        <v>306.43052999999998</v>
      </c>
      <c r="J7" s="18">
        <f>IF(ISBLANK(Q7),"·",Q7/C7)</f>
        <v>9.6283123360456813</v>
      </c>
      <c r="K7" s="18">
        <f>IF(N7="","·",N7/C7)</f>
        <v>1.4795061040627238</v>
      </c>
      <c r="L7" s="18">
        <f>IF(R7="","·",R7/C7)</f>
        <v>1.3674314132101604</v>
      </c>
      <c r="M7" s="18">
        <f>IF(ISBLANK(T7),"·",T7/C7)</f>
        <v>8.1488104737997418</v>
      </c>
      <c r="N7" s="15">
        <f>IF(OR(ISBLANK(R7),ISBLANK(S7)),"",R7+S7)</f>
        <v>50225856</v>
      </c>
      <c r="O7" s="18">
        <f>IF(ISBLANK(Q7),"·",Q7/P7)</f>
        <v>9.6283123360456813</v>
      </c>
      <c r="P7" s="74">
        <v>33947718</v>
      </c>
      <c r="Q7" s="75">
        <v>326859232</v>
      </c>
      <c r="R7" s="75">
        <v>46421176</v>
      </c>
      <c r="S7" s="75">
        <v>3804680</v>
      </c>
      <c r="T7" s="75">
        <v>276633520</v>
      </c>
      <c r="U7" s="76" t="s">
        <v>549</v>
      </c>
      <c r="V7" s="76" t="s">
        <v>549</v>
      </c>
      <c r="W7" s="76" t="s">
        <v>549</v>
      </c>
      <c r="X7" s="76" t="s">
        <v>549</v>
      </c>
      <c r="Y7" s="76" t="s">
        <v>549</v>
      </c>
      <c r="Z7" s="77">
        <v>5930.6</v>
      </c>
      <c r="AA7" s="77">
        <v>9758.4</v>
      </c>
      <c r="AB7" s="77">
        <v>4.3760000000000003</v>
      </c>
      <c r="AC7" s="77">
        <v>29.616</v>
      </c>
      <c r="AE7" s="19">
        <f>IF(ISBLANK(AN7),"·",AN7/(C7*D7*3))</f>
        <v>0.32094374453485602</v>
      </c>
      <c r="AF7" s="17">
        <f>IF(OR(ISBLANK(AN7),ISBLANK(F7)),"·",AN7*F7/E7/1000000)</f>
        <v>306.43052999999998</v>
      </c>
      <c r="AG7" s="18">
        <f>IF(ISBLANK(AN7),"·",AN7/C7)</f>
        <v>9.6283123360456813</v>
      </c>
      <c r="AH7" s="18">
        <f>IF(AK7="","·",AK7/C7)</f>
        <v>1.479500526859175</v>
      </c>
      <c r="AI7" s="18">
        <f>IF(AO7="","·",AO7/C7)</f>
        <v>1.3674296065104199</v>
      </c>
      <c r="AJ7" s="18">
        <f>IF(ISBLANK(AQ7),"·",AQ7/C7)</f>
        <v>8.1488086671000097</v>
      </c>
      <c r="AK7" s="15">
        <f>IF(OR(ISBLANK(AO7),ISBLANK(AP7)),"",AO7+AP7)</f>
        <v>50225666.666666701</v>
      </c>
      <c r="AL7" s="18">
        <f>IF(ISBLANK(AN7),"·",AN7/AM7)</f>
        <v>9.6283123360456813</v>
      </c>
      <c r="AM7" s="92">
        <v>33947718</v>
      </c>
      <c r="AN7" s="93">
        <v>326859232</v>
      </c>
      <c r="AO7" s="93">
        <v>46421114.666666701</v>
      </c>
      <c r="AP7" s="93">
        <v>3804552</v>
      </c>
      <c r="AQ7" s="93">
        <v>276633458.66666698</v>
      </c>
      <c r="AR7" s="94" t="s">
        <v>549</v>
      </c>
      <c r="AS7" s="94" t="s">
        <v>549</v>
      </c>
      <c r="AT7" s="94" t="s">
        <v>549</v>
      </c>
      <c r="AU7" s="94" t="s">
        <v>549</v>
      </c>
      <c r="AV7" s="94" t="s">
        <v>549</v>
      </c>
      <c r="AW7" s="95">
        <v>6064.12</v>
      </c>
      <c r="AX7" s="95">
        <v>11633</v>
      </c>
      <c r="AY7" s="95">
        <v>5.899</v>
      </c>
      <c r="AZ7" s="95">
        <v>28.742000000000001</v>
      </c>
      <c r="BB7" s="20">
        <f t="shared" si="0"/>
        <v>1</v>
      </c>
      <c r="BC7" s="20">
        <f t="shared" si="1"/>
        <v>0.99999867876390502</v>
      </c>
      <c r="BD7" s="20">
        <f t="shared" si="1"/>
        <v>0.99999977828669129</v>
      </c>
      <c r="BE7" s="19">
        <f>(AK7/AN7) - (N7/Q7)</f>
        <v>-5.7925037680317537E-7</v>
      </c>
      <c r="BF7" s="19">
        <f t="array" ref="BF7">AVERAGE(AK7:AK7/AN7:AN7) - AVERAGE(N7:N7/Q7:Q7)</f>
        <v>-5.7925037680317537E-7</v>
      </c>
      <c r="BH7" s="4">
        <f t="shared" si="2"/>
        <v>0</v>
      </c>
    </row>
    <row r="8" spans="1:60" ht="15.75" collapsed="1" thickBot="1" x14ac:dyDescent="0.3">
      <c r="A8" s="33"/>
      <c r="B8" s="33" t="s">
        <v>281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0.24077102624204808</v>
      </c>
      <c r="I8" s="35">
        <f>IF(OR(ISBLANK(Q8),ISBLANK(F8)),"·",Q8*F8/E8/1000000)</f>
        <v>363.52260000000001</v>
      </c>
      <c r="J8" s="36">
        <f>IF(ISBLANK(Q8),"·",Q8/C8)</f>
        <v>7.2231307872614421</v>
      </c>
      <c r="K8" s="36">
        <f>IF(N8="","·",N8/C8)</f>
        <v>0.88954727005201517</v>
      </c>
      <c r="L8" s="36">
        <f>IF(R8="","·",R8/C8)</f>
        <v>0.78847194922340491</v>
      </c>
      <c r="M8" s="36">
        <f>IF(ISBLANK(T8),"·",T8/C8)</f>
        <v>6.3335879879202635</v>
      </c>
      <c r="N8" s="33">
        <f>IF(OR(ISBLANK(R8),ISBLANK(S8)),"",R8+S8)</f>
        <v>28652000</v>
      </c>
      <c r="O8" s="36">
        <f>IF(ISBLANK(Q8),"·",Q8/P8)</f>
        <v>7.2231307872614421</v>
      </c>
      <c r="P8" s="86">
        <v>32209643</v>
      </c>
      <c r="Q8" s="87">
        <v>232654464</v>
      </c>
      <c r="R8" s="87">
        <v>25396400</v>
      </c>
      <c r="S8" s="87">
        <v>3255600</v>
      </c>
      <c r="T8" s="87">
        <v>204002608</v>
      </c>
      <c r="U8" s="88" t="s">
        <v>549</v>
      </c>
      <c r="V8" s="88" t="s">
        <v>549</v>
      </c>
      <c r="W8" s="88" t="s">
        <v>549</v>
      </c>
      <c r="X8" s="88" t="s">
        <v>549</v>
      </c>
      <c r="Y8" s="88" t="s">
        <v>549</v>
      </c>
      <c r="Z8" s="89">
        <v>5868.05</v>
      </c>
      <c r="AA8" s="89">
        <v>6566.12</v>
      </c>
      <c r="AB8" s="89">
        <v>3.7559999999999998</v>
      </c>
      <c r="AC8" s="89">
        <v>22.364000000000001</v>
      </c>
      <c r="AE8" s="37">
        <f>IF(ISBLANK(AN8),"·",AN8/(C8*D8*3))</f>
        <v>0.24077102624204808</v>
      </c>
      <c r="AF8" s="35">
        <f>IF(OR(ISBLANK(AN8),ISBLANK(F8)),"·",AN8*F8/E8/1000000)</f>
        <v>363.52260000000001</v>
      </c>
      <c r="AG8" s="36">
        <f>IF(ISBLANK(AN8),"·",AN8/C8)</f>
        <v>7.2231307872614421</v>
      </c>
      <c r="AH8" s="36">
        <f>IF(AK8="","·",AK8/C8)</f>
        <v>0.88954139189517567</v>
      </c>
      <c r="AI8" s="36">
        <f>IF(AO8="","·",AO8/C8)</f>
        <v>0.78847004503175344</v>
      </c>
      <c r="AJ8" s="36">
        <f>IF(ISBLANK(AQ8),"·",AQ8/C8)</f>
        <v>6.3335860837286218</v>
      </c>
      <c r="AK8" s="33">
        <f>IF(OR(ISBLANK(AO8),ISBLANK(AP8)),"",AO8+AP8)</f>
        <v>28651810.666666701</v>
      </c>
      <c r="AL8" s="36">
        <f>IF(ISBLANK(AN8),"·",AN8/AM8)</f>
        <v>7.2231307872614421</v>
      </c>
      <c r="AM8" s="107">
        <v>32209643</v>
      </c>
      <c r="AN8" s="108">
        <v>232654464</v>
      </c>
      <c r="AO8" s="108">
        <v>25396338.666666701</v>
      </c>
      <c r="AP8" s="108">
        <v>3255472</v>
      </c>
      <c r="AQ8" s="108">
        <v>204002546.66666701</v>
      </c>
      <c r="AR8" s="109" t="s">
        <v>549</v>
      </c>
      <c r="AS8" s="109" t="s">
        <v>549</v>
      </c>
      <c r="AT8" s="109" t="s">
        <v>549</v>
      </c>
      <c r="AU8" s="109" t="s">
        <v>549</v>
      </c>
      <c r="AV8" s="109" t="s">
        <v>549</v>
      </c>
      <c r="AW8" s="110">
        <v>6123.53</v>
      </c>
      <c r="AX8" s="110">
        <v>8380.7999999999993</v>
      </c>
      <c r="AY8" s="110">
        <v>4.6689999999999996</v>
      </c>
      <c r="AZ8" s="110">
        <v>24.776</v>
      </c>
      <c r="BB8" s="38">
        <f t="shared" si="0"/>
        <v>1</v>
      </c>
      <c r="BC8" s="38">
        <f t="shared" si="1"/>
        <v>0.99999758495954949</v>
      </c>
      <c r="BD8" s="38">
        <f t="shared" si="1"/>
        <v>0.99999969935025057</v>
      </c>
      <c r="BE8" s="37">
        <f>(AK8/AN8) - (N8/Q8)</f>
        <v>-8.1379626268307526E-7</v>
      </c>
      <c r="BF8" s="37">
        <f t="array" ref="BF8">AVERAGE(AK8:AK8/AN8:AN8) - AVERAGE(N8:N8/Q8:Q8)</f>
        <v>-8.1379626268307526E-7</v>
      </c>
      <c r="BH8" s="4">
        <f t="shared" si="2"/>
        <v>0</v>
      </c>
    </row>
    <row r="9" spans="1:60" ht="15.75" collapsed="1" thickBot="1" x14ac:dyDescent="0.3">
      <c r="A9" s="27" t="s">
        <v>285</v>
      </c>
      <c r="B9" s="27" t="s">
        <v>284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0.49655001346902017</v>
      </c>
      <c r="I9" s="29">
        <f>IF(OR(ISBLANK(Q9),ISBLANK(F9)),"·",Q9*F9/E9/1000000)</f>
        <v>353.49965250000002</v>
      </c>
      <c r="J9" s="30">
        <f>IF(ISBLANK(Q9),"·",Q9/C9)</f>
        <v>14.896500404070604</v>
      </c>
      <c r="K9" s="30">
        <f>IF(N9="","·",N9/C9)</f>
        <v>1.5113792413586253</v>
      </c>
      <c r="L9" s="30">
        <f>IF(R9="","·",R9/C9)</f>
        <v>1.4072428036084121</v>
      </c>
      <c r="M9" s="30">
        <f>IF(ISBLANK(T9),"·",T9/C9)</f>
        <v>13.385126851621544</v>
      </c>
      <c r="N9" s="27">
        <f>IF(OR(ISBLANK(R9),ISBLANK(S9)),"",R9+S9)</f>
        <v>38256648</v>
      </c>
      <c r="O9" s="30">
        <f>IF(ISBLANK(Q9),"·",Q9/P9)</f>
        <v>14.896500404070604</v>
      </c>
      <c r="P9" s="82">
        <v>25312408</v>
      </c>
      <c r="Q9" s="83">
        <v>377066296</v>
      </c>
      <c r="R9" s="83">
        <v>35620704</v>
      </c>
      <c r="S9" s="83">
        <v>2635944</v>
      </c>
      <c r="T9" s="83">
        <v>338809792</v>
      </c>
      <c r="U9" s="84" t="s">
        <v>549</v>
      </c>
      <c r="V9" s="84" t="s">
        <v>549</v>
      </c>
      <c r="W9" s="84" t="s">
        <v>549</v>
      </c>
      <c r="X9" s="84" t="s">
        <v>549</v>
      </c>
      <c r="Y9" s="84" t="s">
        <v>549</v>
      </c>
      <c r="Z9" s="85">
        <v>4646.42</v>
      </c>
      <c r="AA9" s="85">
        <v>10364.6</v>
      </c>
      <c r="AB9" s="85">
        <v>3.32</v>
      </c>
      <c r="AC9" s="85">
        <v>29.152000000000001</v>
      </c>
      <c r="AE9" s="31">
        <f>IF(ISBLANK(AN9),"·",AN9/(C9*D9*3))</f>
        <v>0.49655001346902017</v>
      </c>
      <c r="AF9" s="29">
        <f>IF(OR(ISBLANK(AN9),ISBLANK(F9)),"·",AN9*F9/E9/1000000)</f>
        <v>353.49965250000002</v>
      </c>
      <c r="AG9" s="30">
        <f>IF(ISBLANK(AN9),"·",AN9/C9)</f>
        <v>14.896500404070604</v>
      </c>
      <c r="AH9" s="30">
        <f>IF(AK9="","·",AK9/C9)</f>
        <v>1.5113717614960498</v>
      </c>
      <c r="AI9" s="30">
        <f>IF(AO9="","·",AO9/C9)</f>
        <v>1.4072403805543392</v>
      </c>
      <c r="AJ9" s="30">
        <f>IF(ISBLANK(AQ9),"·",AQ9/C9)</f>
        <v>13.385124428567483</v>
      </c>
      <c r="AK9" s="27">
        <f>IF(OR(ISBLANK(AO9),ISBLANK(AP9)),"",AO9+AP9)</f>
        <v>38256458.666666701</v>
      </c>
      <c r="AL9" s="30">
        <f>IF(ISBLANK(AN9),"·",AN9/AM9)</f>
        <v>14.896500404070604</v>
      </c>
      <c r="AM9" s="102">
        <v>25312408</v>
      </c>
      <c r="AN9" s="103">
        <v>377066296</v>
      </c>
      <c r="AO9" s="103">
        <v>35620642.666666701</v>
      </c>
      <c r="AP9" s="103">
        <v>2635816</v>
      </c>
      <c r="AQ9" s="103">
        <v>338809730.66666698</v>
      </c>
      <c r="AR9" s="104" t="s">
        <v>549</v>
      </c>
      <c r="AS9" s="104" t="s">
        <v>549</v>
      </c>
      <c r="AT9" s="104" t="s">
        <v>549</v>
      </c>
      <c r="AU9" s="104" t="s">
        <v>549</v>
      </c>
      <c r="AV9" s="104" t="s">
        <v>549</v>
      </c>
      <c r="AW9" s="105">
        <v>4684.12</v>
      </c>
      <c r="AX9" s="105">
        <v>12596.7</v>
      </c>
      <c r="AY9" s="105">
        <v>5.1239999999999997</v>
      </c>
      <c r="AZ9" s="105">
        <v>29.501999999999999</v>
      </c>
      <c r="BB9" s="32">
        <f t="shared" si="0"/>
        <v>1</v>
      </c>
      <c r="BC9" s="32">
        <f t="shared" si="1"/>
        <v>0.99999827815493758</v>
      </c>
      <c r="BD9" s="32">
        <f t="shared" si="1"/>
        <v>0.99999981897414281</v>
      </c>
      <c r="BE9" s="31">
        <f>(AK9/AN9) - (N9/Q9)</f>
        <v>-5.0212213424660757E-7</v>
      </c>
      <c r="BF9" s="31">
        <f t="array" ref="BF9">AVERAGE(AK9:AK9/AN9:AN9) - AVERAGE(N9:N9/Q9:Q9)</f>
        <v>-5.0212213424660757E-7</v>
      </c>
      <c r="BH9" s="4">
        <f t="shared" si="2"/>
        <v>0</v>
      </c>
    </row>
    <row r="10" spans="1:60" x14ac:dyDescent="0.25">
      <c r="B10" s="39" t="s">
        <v>288</v>
      </c>
      <c r="J10" s="40">
        <f>AVERAGE(J5:J8)</f>
        <v>9.5698452707647075</v>
      </c>
      <c r="K10" s="40">
        <f>AVERAGE(K5:K8)</f>
        <v>1.3457573763021875</v>
      </c>
      <c r="L10" s="40">
        <f>AVERAGE(L5:L8)</f>
        <v>1.2362654263823036</v>
      </c>
      <c r="M10" s="40">
        <f>AVERAGE(M5:M8)</f>
        <v>8.2240931037193068</v>
      </c>
      <c r="AG10" s="40">
        <f>AVERAGE(AG5:AG8)</f>
        <v>9.5698452707647075</v>
      </c>
      <c r="AH10" s="40">
        <f>AVERAGE(AH5:AH8)</f>
        <v>1.3457505270941916</v>
      </c>
      <c r="AI10" s="40">
        <f>AVERAGE(AI5:AI8)</f>
        <v>1.2362632076247846</v>
      </c>
      <c r="AJ10" s="40">
        <f>AVERAGE(AJ5:AJ8)</f>
        <v>8.2240908849618002</v>
      </c>
      <c r="BB10" s="5">
        <f t="shared" si="0"/>
        <v>1</v>
      </c>
      <c r="BC10" s="5">
        <f t="shared" si="1"/>
        <v>0.99999820527414929</v>
      </c>
      <c r="BD10" s="5">
        <f t="shared" si="1"/>
        <v>0.99999973021250144</v>
      </c>
      <c r="BF10" s="8">
        <f>AVERAGE(BF5:BF8)</f>
        <v>-7.2945936422513791E-7</v>
      </c>
    </row>
    <row r="11" spans="1:60" x14ac:dyDescent="0.25">
      <c r="B11" s="39" t="s">
        <v>289</v>
      </c>
      <c r="J11" s="40">
        <f>AVERAGE(J9:J9)</f>
        <v>14.896500404070604</v>
      </c>
      <c r="K11" s="40">
        <f>AVERAGE(K9:K9)</f>
        <v>1.5113792413586253</v>
      </c>
      <c r="L11" s="40">
        <f>AVERAGE(L9:L9)</f>
        <v>1.4072428036084121</v>
      </c>
      <c r="M11" s="40">
        <f>AVERAGE(M9:M9)</f>
        <v>13.385126851621544</v>
      </c>
      <c r="AG11" s="40">
        <f>AVERAGE(AG9:AG9)</f>
        <v>14.896500404070604</v>
      </c>
      <c r="AH11" s="40">
        <f>AVERAGE(AH9:AH9)</f>
        <v>1.5113717614960498</v>
      </c>
      <c r="AI11" s="40">
        <f>AVERAGE(AI9:AI9)</f>
        <v>1.4072403805543392</v>
      </c>
      <c r="AJ11" s="40">
        <f>AVERAGE(AJ9:AJ9)</f>
        <v>13.385124428567483</v>
      </c>
      <c r="BB11" s="5">
        <f t="shared" si="0"/>
        <v>1</v>
      </c>
      <c r="BC11" s="5">
        <f t="shared" si="1"/>
        <v>0.99999827815493758</v>
      </c>
      <c r="BD11" s="5">
        <f t="shared" si="1"/>
        <v>0.99999981897414281</v>
      </c>
      <c r="BF11" s="8">
        <f>AVERAGE(BF9:BF9)</f>
        <v>-5.0212213424660757E-7</v>
      </c>
    </row>
    <row r="12" spans="1:60" collapsed="1" x14ac:dyDescent="0.25">
      <c r="B12" s="39" t="s">
        <v>290</v>
      </c>
      <c r="J12" s="40">
        <f>AVERAGE(J5:J9)</f>
        <v>10.635176297425886</v>
      </c>
      <c r="K12" s="40">
        <f>AVERAGE(K5:K9)</f>
        <v>1.3788817493134751</v>
      </c>
      <c r="L12" s="40">
        <f>AVERAGE(L5:L9)</f>
        <v>1.2704609018275252</v>
      </c>
      <c r="M12" s="40">
        <f>AVERAGE(M5:M9)</f>
        <v>9.2562998532997547</v>
      </c>
      <c r="AG12" s="40">
        <f>AVERAGE(AG5:AG9)</f>
        <v>10.635176297425886</v>
      </c>
      <c r="AH12" s="40">
        <f>AVERAGE(AH5:AH9)</f>
        <v>1.3788747739745633</v>
      </c>
      <c r="AI12" s="40">
        <f>AVERAGE(AI5:AI9)</f>
        <v>1.2704586422106954</v>
      </c>
      <c r="AJ12" s="40">
        <f>AVERAGE(AJ5:AJ9)</f>
        <v>9.2562975936829357</v>
      </c>
      <c r="BB12" s="5">
        <f t="shared" si="0"/>
        <v>1</v>
      </c>
      <c r="BC12" s="5">
        <f t="shared" si="1"/>
        <v>0.99999822141962291</v>
      </c>
      <c r="BD12" s="5">
        <f t="shared" si="1"/>
        <v>0.99999975588335999</v>
      </c>
      <c r="BF12" s="8">
        <f>AVERAGE(BF5:BF9)</f>
        <v>-6.8399191822943184E-7</v>
      </c>
    </row>
    <row r="13" spans="1:60" hidden="1" outlineLevel="2" x14ac:dyDescent="0.25">
      <c r="A13" s="39" t="s">
        <v>291</v>
      </c>
      <c r="B13" s="39" t="s">
        <v>292</v>
      </c>
      <c r="Z13" s="41">
        <f>SUM(Z5:Z8,Z9:Z9)</f>
        <v>24924.059999999998</v>
      </c>
      <c r="AA13" s="41">
        <f>SUM(AA5:AA8,AA9:AA9)</f>
        <v>42738.25</v>
      </c>
      <c r="AB13" s="41">
        <f>SUM(AB5:AB8,AB9:AB9)</f>
        <v>18.744</v>
      </c>
      <c r="AC13" s="41">
        <f>SUM(AC5:AC8,AC9:AC9)</f>
        <v>136.292</v>
      </c>
      <c r="AW13" s="41">
        <f>SUM(AW5:AW8,AW9:AW9)</f>
        <v>25520.379999999997</v>
      </c>
      <c r="AX13" s="41">
        <f>SUM(AX5:AX8,AX9:AX9)</f>
        <v>53328.31</v>
      </c>
      <c r="AY13" s="41">
        <f>SUM(AY5:AY8,AY9:AY9)</f>
        <v>23.215</v>
      </c>
      <c r="AZ13" s="41">
        <f>SUM(AZ5:AZ8,AZ9:AZ9)</f>
        <v>131.363</v>
      </c>
    </row>
    <row r="14" spans="1:60" hidden="1" outlineLevel="2" x14ac:dyDescent="0.25">
      <c r="B14" s="39" t="s">
        <v>293</v>
      </c>
      <c r="AW14" s="8">
        <f>AW13/Z13</f>
        <v>1.0239254760259764</v>
      </c>
      <c r="AX14" s="8">
        <f>AX13/AA13</f>
        <v>1.2477888074500008</v>
      </c>
      <c r="AY14" s="8">
        <f>AY13/AB13</f>
        <v>1.2385296628254374</v>
      </c>
      <c r="AZ14" s="8">
        <f>AZ13/AC13</f>
        <v>0.96383500132069377</v>
      </c>
    </row>
    <row r="15" spans="1:60" hidden="1" outlineLevel="2" x14ac:dyDescent="0.25">
      <c r="B15" s="39" t="s">
        <v>294</v>
      </c>
      <c r="Z15" s="41">
        <f>GEOMEAN(Z5:Z8,Z9:Z9)</f>
        <v>4926.6909235650019</v>
      </c>
      <c r="AA15" s="41">
        <f>GEOMEAN(AA5:AA8,AA9:AA9)</f>
        <v>8404.0548918056593</v>
      </c>
      <c r="AB15" s="41">
        <f>GEOMEAN(AB5:AB8,AB9:AB9)</f>
        <v>3.7334706779459541</v>
      </c>
      <c r="AC15" s="41">
        <f>GEOMEAN(AC5:AC8,AC9:AC9)</f>
        <v>27.091818745038228</v>
      </c>
      <c r="AW15" s="41">
        <f>GEOMEAN(AW5:AW8,AW9:AW9)</f>
        <v>5039.1064964782545</v>
      </c>
      <c r="AX15" s="41">
        <f>GEOMEAN(AX5:AX8,AX9:AX9)</f>
        <v>10543.936554559539</v>
      </c>
      <c r="AY15" s="41">
        <f>GEOMEAN(AY5:AY8,AY9:AY9)</f>
        <v>4.571568481294662</v>
      </c>
      <c r="AZ15" s="41">
        <f>GEOMEAN(AZ5:AZ8,AZ9:AZ9)</f>
        <v>26.167486339513033</v>
      </c>
    </row>
    <row r="16" spans="1:60" outlineLevel="2" collapsed="1" x14ac:dyDescent="0.25">
      <c r="B16" s="39" t="s">
        <v>295</v>
      </c>
      <c r="AW16" s="8">
        <f>AW15/Z15</f>
        <v>1.0228176629419869</v>
      </c>
      <c r="AX16" s="8">
        <f>AX15/AA15</f>
        <v>1.2546249031334105</v>
      </c>
      <c r="AY16" s="8">
        <f>AY15/AB15</f>
        <v>1.2244822246226412</v>
      </c>
      <c r="AZ16" s="8">
        <f>AZ15/AC15</f>
        <v>0.9658814930727202</v>
      </c>
    </row>
    <row r="19" spans="40:43" x14ac:dyDescent="0.25">
      <c r="AO19" s="90"/>
      <c r="AP19" s="90"/>
      <c r="AQ19" s="90"/>
    </row>
    <row r="20" spans="40:43" x14ac:dyDescent="0.25">
      <c r="AN20" s="90"/>
      <c r="AO20" s="90"/>
      <c r="AP20" s="90"/>
      <c r="AQ20" s="90"/>
    </row>
    <row r="21" spans="40:43" x14ac:dyDescent="0.25">
      <c r="AN21" s="90"/>
      <c r="AO21" s="90"/>
      <c r="AP21" s="90"/>
      <c r="AQ21" s="90"/>
    </row>
    <row r="22" spans="40:43" x14ac:dyDescent="0.25">
      <c r="AN22" s="90"/>
      <c r="AO22" s="90"/>
      <c r="AP22" s="90"/>
      <c r="AQ22" s="90"/>
    </row>
    <row r="23" spans="40:43" x14ac:dyDescent="0.25">
      <c r="AN23" s="90"/>
      <c r="AO23" s="90"/>
      <c r="AP23" s="90"/>
      <c r="AQ23" s="90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6"/>
  <sheetViews>
    <sheetView zoomScale="85" zoomScaleNormal="85" workbookViewId="0">
      <pane xSplit="2" topLeftCell="O1" activePane="topRight" state="frozen"/>
      <selection pane="topRight" activeCell="AN45" sqref="AN45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141" t="s">
        <v>528</v>
      </c>
      <c r="B1" s="141"/>
      <c r="C1" s="141"/>
      <c r="D1" s="141"/>
      <c r="E1" s="141"/>
      <c r="F1" s="141"/>
      <c r="G1" s="141"/>
      <c r="I1" s="137" t="s">
        <v>2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G1" s="138" t="s">
        <v>3</v>
      </c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</row>
    <row r="2" spans="1:73" ht="30" customHeight="1" x14ac:dyDescent="0.25">
      <c r="A2" s="143" t="s">
        <v>93</v>
      </c>
      <c r="B2" s="142" t="s">
        <v>96</v>
      </c>
      <c r="C2" s="143" t="s">
        <v>99</v>
      </c>
      <c r="D2" s="142" t="s">
        <v>102</v>
      </c>
      <c r="E2" s="143" t="s">
        <v>105</v>
      </c>
      <c r="F2" s="142" t="s">
        <v>108</v>
      </c>
      <c r="G2" s="143" t="s">
        <v>111</v>
      </c>
      <c r="I2" s="142" t="s">
        <v>114</v>
      </c>
      <c r="J2" s="140" t="s">
        <v>117</v>
      </c>
      <c r="K2" s="140"/>
      <c r="L2" s="140"/>
      <c r="M2" s="140"/>
      <c r="N2" s="143" t="s">
        <v>130</v>
      </c>
      <c r="O2" s="142" t="s">
        <v>133</v>
      </c>
      <c r="P2" s="143" t="s">
        <v>24</v>
      </c>
      <c r="Q2" s="142" t="s">
        <v>26</v>
      </c>
      <c r="R2" s="143" t="s">
        <v>22</v>
      </c>
      <c r="S2" s="139" t="s">
        <v>142</v>
      </c>
      <c r="T2" s="139"/>
      <c r="U2" s="139"/>
      <c r="V2" s="139"/>
      <c r="W2" s="140" t="s">
        <v>153</v>
      </c>
      <c r="X2" s="140"/>
      <c r="Y2" s="139" t="s">
        <v>160</v>
      </c>
      <c r="Z2" s="139"/>
      <c r="AA2" s="139"/>
      <c r="AB2" s="140" t="s">
        <v>170</v>
      </c>
      <c r="AC2" s="140"/>
      <c r="AD2" s="139" t="s">
        <v>177</v>
      </c>
      <c r="AE2" s="139"/>
      <c r="AG2" s="143" t="s">
        <v>114</v>
      </c>
      <c r="AH2" s="139" t="s">
        <v>117</v>
      </c>
      <c r="AI2" s="139"/>
      <c r="AJ2" s="139"/>
      <c r="AK2" s="139"/>
      <c r="AL2" s="142" t="s">
        <v>192</v>
      </c>
      <c r="AM2" s="143" t="s">
        <v>133</v>
      </c>
      <c r="AN2" s="142" t="s">
        <v>24</v>
      </c>
      <c r="AO2" s="143" t="s">
        <v>26</v>
      </c>
      <c r="AP2" s="142" t="s">
        <v>22</v>
      </c>
      <c r="AQ2" s="140" t="s">
        <v>142</v>
      </c>
      <c r="AR2" s="140"/>
      <c r="AS2" s="140"/>
      <c r="AT2" s="140"/>
      <c r="AU2" s="139" t="s">
        <v>153</v>
      </c>
      <c r="AV2" s="139"/>
      <c r="AW2" s="140" t="s">
        <v>160</v>
      </c>
      <c r="AX2" s="140"/>
      <c r="AY2" s="140"/>
      <c r="AZ2" s="139" t="s">
        <v>170</v>
      </c>
      <c r="BA2" s="139"/>
      <c r="BB2" s="140" t="s">
        <v>177</v>
      </c>
      <c r="BC2" s="140"/>
      <c r="BE2" s="142" t="s">
        <v>229</v>
      </c>
      <c r="BF2" s="143" t="s">
        <v>232</v>
      </c>
      <c r="BG2" s="142" t="s">
        <v>232</v>
      </c>
      <c r="BI2" s="140" t="s">
        <v>237</v>
      </c>
      <c r="BJ2" s="140"/>
      <c r="BK2" s="139" t="s">
        <v>242</v>
      </c>
      <c r="BL2" s="139"/>
      <c r="BM2" s="139"/>
      <c r="BO2" s="140" t="s">
        <v>249</v>
      </c>
      <c r="BP2" s="140"/>
      <c r="BQ2" s="139" t="s">
        <v>254</v>
      </c>
      <c r="BR2" s="139"/>
      <c r="BS2" s="139"/>
      <c r="BU2" t="s">
        <v>550</v>
      </c>
    </row>
    <row r="3" spans="1:73" ht="15.75" thickBot="1" x14ac:dyDescent="0.3">
      <c r="A3" s="143"/>
      <c r="B3" s="142"/>
      <c r="C3" s="143"/>
      <c r="D3" s="142"/>
      <c r="E3" s="143"/>
      <c r="F3" s="142"/>
      <c r="G3" s="143"/>
      <c r="I3" s="142"/>
      <c r="J3" s="11" t="s">
        <v>118</v>
      </c>
      <c r="K3" s="11" t="s">
        <v>121</v>
      </c>
      <c r="L3" s="11" t="s">
        <v>124</v>
      </c>
      <c r="M3" s="11" t="s">
        <v>127</v>
      </c>
      <c r="N3" s="143"/>
      <c r="O3" s="142"/>
      <c r="P3" s="143"/>
      <c r="Q3" s="142"/>
      <c r="R3" s="143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43"/>
      <c r="AH3" s="12" t="s">
        <v>118</v>
      </c>
      <c r="AI3" s="12" t="s">
        <v>121</v>
      </c>
      <c r="AJ3" s="12" t="s">
        <v>124</v>
      </c>
      <c r="AK3" s="12" t="s">
        <v>127</v>
      </c>
      <c r="AL3" s="142"/>
      <c r="AM3" s="143"/>
      <c r="AN3" s="142"/>
      <c r="AO3" s="143"/>
      <c r="AP3" s="142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42"/>
      <c r="BF3" s="143"/>
      <c r="BG3" s="142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.75" hidden="1" x14ac:dyDescent="0.25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5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1.2086775000000001</v>
      </c>
      <c r="J5" s="18">
        <f t="shared" ref="J5:J29" si="1">IF(ISBLANK(S5),"·",S5/D5)</f>
        <v>5.1643902797193803E-2</v>
      </c>
      <c r="K5" s="18">
        <f t="shared" ref="K5:K29" si="2">IF(N5="","·",N5/D5)</f>
        <v>4.3441162736881381E-2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1084480</v>
      </c>
      <c r="O5" s="18">
        <f t="shared" ref="O5:O29" si="6">IF(ISBLANK(S5),"·",S5/P5)</f>
        <v>5.5327167102587359E-2</v>
      </c>
      <c r="P5" s="115">
        <v>23302404</v>
      </c>
      <c r="Q5" s="115">
        <v>728200.125</v>
      </c>
      <c r="R5" s="115">
        <v>16212.03125</v>
      </c>
      <c r="S5" s="116">
        <v>1289256</v>
      </c>
      <c r="T5" s="116">
        <v>649160</v>
      </c>
      <c r="U5" s="116">
        <v>435320</v>
      </c>
      <c r="V5" s="116">
        <v>204920</v>
      </c>
      <c r="W5" s="117">
        <v>66.750615624999995</v>
      </c>
      <c r="X5" s="117">
        <v>68.466490625000006</v>
      </c>
      <c r="Y5" s="117">
        <v>31.668503124999901</v>
      </c>
      <c r="Z5" s="117">
        <v>44.340690625000001</v>
      </c>
      <c r="AA5" s="117">
        <v>43.451671874999903</v>
      </c>
      <c r="AB5" s="118">
        <v>6002.32</v>
      </c>
      <c r="AC5" s="118">
        <v>3868.27</v>
      </c>
      <c r="AD5" s="118">
        <v>6.508</v>
      </c>
      <c r="AE5" s="118">
        <v>18.96</v>
      </c>
      <c r="AG5" s="17">
        <f t="shared" ref="AG5:AG29" si="7">IF(OR(ISBLANK(AQ5),ISBLANK(G5)),"·",AQ5*G5/F5/1000000)</f>
        <v>1.2086775000000001</v>
      </c>
      <c r="AH5" s="18">
        <f t="shared" ref="AH5:AH29" si="8">IF(ISBLANK(AQ5),"·",AQ5/D5)</f>
        <v>5.1643902797193803E-2</v>
      </c>
      <c r="AI5" s="18">
        <f t="shared" ref="AI5:AI29" si="9">IF(AL5="","·",AL5/D5)</f>
        <v>4.3433578585818346E-2</v>
      </c>
      <c r="AJ5" s="18">
        <f t="shared" ref="AJ5:AJ29" si="10">IF(AR5="","·",AR5/D5)</f>
        <v>2.6001033500810896E-2</v>
      </c>
      <c r="AK5" s="18">
        <f t="shared" ref="AK5:AK29" si="11">IF(ISBLANK(AT5),"·",AT5/D5)</f>
        <v>8.2060514502132059E-3</v>
      </c>
      <c r="AL5" s="15">
        <f t="shared" ref="AL5:AL29" si="12">IF(OR(ISBLANK(AR5),ISBLANK(AS5)),"",AR5+AS5)</f>
        <v>1084290.666666667</v>
      </c>
      <c r="AM5" s="18">
        <f t="shared" ref="AM5:AM29" si="13">IF(ISBLANK(AQ5),"·",AQ5/AN5)</f>
        <v>5.5327167102587359E-2</v>
      </c>
      <c r="AN5" s="92">
        <v>23302404</v>
      </c>
      <c r="AO5" s="92">
        <v>728200.125</v>
      </c>
      <c r="AP5" s="92">
        <v>16212.03125</v>
      </c>
      <c r="AQ5" s="93">
        <v>1289256</v>
      </c>
      <c r="AR5" s="93">
        <v>649098.66666666698</v>
      </c>
      <c r="AS5" s="93">
        <v>435192</v>
      </c>
      <c r="AT5" s="93">
        <v>204858.66666666701</v>
      </c>
      <c r="AU5" s="94">
        <v>66.750615624999995</v>
      </c>
      <c r="AV5" s="94">
        <v>68.466490625000006</v>
      </c>
      <c r="AW5" s="94">
        <v>31.668503125000001</v>
      </c>
      <c r="AX5" s="94">
        <v>44.340690625000001</v>
      </c>
      <c r="AY5" s="94">
        <v>43.451671875000002</v>
      </c>
      <c r="AZ5" s="95">
        <v>4655.92</v>
      </c>
      <c r="BA5" s="95">
        <v>5855.99</v>
      </c>
      <c r="BB5" s="95">
        <v>11.331</v>
      </c>
      <c r="BC5" s="95">
        <v>26.751000000000001</v>
      </c>
      <c r="BE5" s="19">
        <f t="shared" ref="BE5:BE29" si="14">(AP5/AO5) - (R5/Q5)</f>
        <v>0</v>
      </c>
      <c r="BF5" s="19">
        <f t="shared" ref="BF5:BF29" si="15">(AL5/AQ5) - (N5/S5)</f>
        <v>-1.4685472344744266E-4</v>
      </c>
      <c r="BG5" s="19">
        <f t="array" ref="BG5">AVERAGE(AL5:AL9/AQ5:AQ9) - AVERAGE(N5:N9/S5:S9)</f>
        <v>-8.3727462668270469E-5</v>
      </c>
      <c r="BI5" s="96">
        <f>IF( OR(ISBLANK(N5:N9),ISBLANK(AL5:AL9), ISBLANK(W5:W9),ISBLANK(AU5:AU9)), "·", bdRateExtend( N5:N9,W5:W9, AL5:AL9,AU5:AU9))</f>
        <v>-1.2105785900318189E-4</v>
      </c>
      <c r="BJ5" s="96">
        <f>IF( OR(ISBLANK(N5:N9),ISBLANK(AL5:AL9), ISBLANK(X5:X9),ISBLANK(AV5:AV9)), "·", bdRateExtend( N5:N9,X5:X9, AL5:AL9,AV5:AV9))</f>
        <v>-1.1730237515672481E-4</v>
      </c>
      <c r="BK5" s="96">
        <f>IF( OR(ISBLANK(V5:V9),ISBLANK(AT5:AT9), ISBLANK(Y5:Y9),ISBLANK(AW5:AW9)), "·", bdRateExtend( V5:V9,Y5:Y9, AT5:AT9,AW5:AW9))</f>
        <v>-1.072041252507816E-4</v>
      </c>
      <c r="BL5" s="96">
        <f>IF( OR(ISBLANK(V5:V9),ISBLANK(AT5:AT9), ISBLANK(Z5:Z9),ISBLANK(AX5:AX9)), "·", bdRateExtend( V5:V9,Z5:Z9, AT5:AT9,AX5:AX9))</f>
        <v>-1.0218966630515247E-4</v>
      </c>
      <c r="BM5" s="96">
        <f>IF( OR(ISBLANK(V5:V9),ISBLANK(AT5:AT9), ISBLANK(AA5:AA9),ISBLANK(AY5:AY9)), "·", bdRateExtend( V5:V9,AA5:AA9, AT5:AT9,AY5:AY9))</f>
        <v>-1.08646379591959E-4</v>
      </c>
      <c r="BN5" s="114"/>
      <c r="BO5" s="96">
        <f>IF( OR(ISBLANK(S5:S9),ISBLANK(AQ5:AQ9), ISBLANK(W5:W9),ISBLANK(AU5:AU9)), "·", bdRateExtend( S5:S9,W5:W9, AQ5:AQ9,AU5:AU9))</f>
        <v>-1.5543122344752192E-14</v>
      </c>
      <c r="BP5" s="96">
        <f>IF( OR(ISBLANK(S5:S9),ISBLANK(AQ5:AQ9), ISBLANK(X5:X9),ISBLANK(AV5:AV9)), "·", bdRateExtend( S5:S9,X5:X9, AQ5:AQ9,AV5:AV9))</f>
        <v>-1.1990408665951691E-14</v>
      </c>
      <c r="BQ5" s="96">
        <f>IF( OR(ISBLANK(S5:S9),ISBLANK(AQ5:AQ9), ISBLANK(Y5:Y9),ISBLANK(AW5:AW9)), "·", bdRateExtend( S5:S9,Y5:Y9, AQ5:AQ9,AW5:AW9))</f>
        <v>-5.1070259132757201E-15</v>
      </c>
      <c r="BR5" s="96">
        <f>IF( OR(ISBLANK(S5:S9),ISBLANK(AQ5:AQ9), ISBLANK(Z5:Z9),ISBLANK(AX5:AX9)), "·", bdRateExtend( S5:S9,Z5:Z9, AQ5:AQ9,AX5:AX9))</f>
        <v>-6.2172489379008766E-15</v>
      </c>
      <c r="BS5" s="96">
        <f>IF( OR(ISBLANK(S5:S9),ISBLANK(AQ5:AQ9), ISBLANK(AA5:AA9),ISBLANK(AY5:AY9)), "·", bdRateExtend( S5:S9,AA5:AA9, AQ5:AQ9,AY5:AY9))</f>
        <v>0</v>
      </c>
      <c r="BU5">
        <f>AQ5-S5</f>
        <v>0</v>
      </c>
    </row>
    <row r="6" spans="1:73" outlineLevel="1" x14ac:dyDescent="0.25">
      <c r="A6" s="21"/>
      <c r="B6" s="21" t="s">
        <v>266</v>
      </c>
      <c r="C6" s="22" t="s">
        <v>269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1.5521624999999999</v>
      </c>
      <c r="J6" s="24">
        <f t="shared" si="1"/>
        <v>6.6320196475444709E-2</v>
      </c>
      <c r="K6" s="24">
        <f t="shared" si="2"/>
        <v>5.1904754866150885E-2</v>
      </c>
      <c r="L6" s="24">
        <f t="shared" si="3"/>
        <v>3.4467082467748697E-2</v>
      </c>
      <c r="M6" s="24">
        <f t="shared" si="4"/>
        <v>1.4421209836862908E-2</v>
      </c>
      <c r="N6" s="21">
        <f t="shared" si="5"/>
        <v>1295768</v>
      </c>
      <c r="O6" s="24">
        <f t="shared" si="6"/>
        <v>6.7220266347577065E-2</v>
      </c>
      <c r="P6" s="119">
        <v>24630072</v>
      </c>
      <c r="Q6" s="119">
        <v>769689.75</v>
      </c>
      <c r="R6" s="119">
        <v>19807.3125</v>
      </c>
      <c r="S6" s="120">
        <v>1655640</v>
      </c>
      <c r="T6" s="120">
        <v>860448</v>
      </c>
      <c r="U6" s="120">
        <v>435320</v>
      </c>
      <c r="V6" s="120">
        <v>360016</v>
      </c>
      <c r="W6" s="121">
        <v>68.474656249999995</v>
      </c>
      <c r="X6" s="121">
        <v>70.500003125000006</v>
      </c>
      <c r="Y6" s="121">
        <v>33.831906250000003</v>
      </c>
      <c r="Z6" s="121">
        <v>45.376818749999899</v>
      </c>
      <c r="AA6" s="121">
        <v>44.926993750000001</v>
      </c>
      <c r="AB6" s="122">
        <v>5895.1</v>
      </c>
      <c r="AC6" s="122">
        <v>4148.54</v>
      </c>
      <c r="AD6" s="122">
        <v>5.18</v>
      </c>
      <c r="AE6" s="122">
        <v>14.747999999999999</v>
      </c>
      <c r="AG6" s="23">
        <f t="shared" si="7"/>
        <v>1.5521624999999999</v>
      </c>
      <c r="AH6" s="24">
        <f t="shared" si="8"/>
        <v>6.6320196475444709E-2</v>
      </c>
      <c r="AI6" s="24">
        <f t="shared" si="9"/>
        <v>5.1897170715087849E-2</v>
      </c>
      <c r="AJ6" s="24">
        <f t="shared" si="10"/>
        <v>3.4464625630080403E-2</v>
      </c>
      <c r="AK6" s="24">
        <f t="shared" si="11"/>
        <v>1.4418752999194611E-2</v>
      </c>
      <c r="AL6" s="21">
        <f t="shared" si="12"/>
        <v>1295578.666666667</v>
      </c>
      <c r="AM6" s="24">
        <f t="shared" si="13"/>
        <v>6.7220266347577065E-2</v>
      </c>
      <c r="AN6" s="97">
        <v>24630072</v>
      </c>
      <c r="AO6" s="97">
        <v>769689.75</v>
      </c>
      <c r="AP6" s="97">
        <v>19807.3125</v>
      </c>
      <c r="AQ6" s="98">
        <v>1655640</v>
      </c>
      <c r="AR6" s="98">
        <v>860386.66666666698</v>
      </c>
      <c r="AS6" s="98">
        <v>435192</v>
      </c>
      <c r="AT6" s="98">
        <v>359954.66666666698</v>
      </c>
      <c r="AU6" s="99">
        <v>68.474656249999995</v>
      </c>
      <c r="AV6" s="99">
        <v>70.500003125000006</v>
      </c>
      <c r="AW6" s="99">
        <v>33.831906250000003</v>
      </c>
      <c r="AX6" s="99">
        <v>45.376818749999998</v>
      </c>
      <c r="AY6" s="99">
        <v>44.926993750000001</v>
      </c>
      <c r="AZ6" s="100">
        <v>4534.3100000000004</v>
      </c>
      <c r="BA6" s="100">
        <v>6127.03</v>
      </c>
      <c r="BB6" s="100">
        <v>11.284000000000001</v>
      </c>
      <c r="BC6" s="100">
        <v>26.1</v>
      </c>
      <c r="BE6" s="25">
        <f t="shared" si="14"/>
        <v>0</v>
      </c>
      <c r="BF6" s="25">
        <f t="shared" si="15"/>
        <v>-1.143565831539517E-4</v>
      </c>
      <c r="BG6" s="25"/>
      <c r="BI6" s="101"/>
      <c r="BJ6" s="101"/>
      <c r="BK6" s="101"/>
      <c r="BL6" s="101"/>
      <c r="BM6" s="101"/>
      <c r="BN6" s="114"/>
      <c r="BO6" s="101"/>
      <c r="BP6" s="101"/>
      <c r="BQ6" s="101"/>
      <c r="BR6" s="101"/>
      <c r="BS6" s="101"/>
      <c r="BU6" s="4">
        <f t="shared" ref="BU6:BU29" si="16">AQ6-S6</f>
        <v>0</v>
      </c>
    </row>
    <row r="7" spans="1:73" outlineLevel="1" x14ac:dyDescent="0.25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2.1322874999999999</v>
      </c>
      <c r="J7" s="18">
        <f t="shared" si="1"/>
        <v>9.1107552168110506E-2</v>
      </c>
      <c r="K7" s="18">
        <f t="shared" si="2"/>
        <v>6.3408843838497486E-2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1582960</v>
      </c>
      <c r="O7" s="18">
        <f t="shared" si="6"/>
        <v>9.1273061853988785E-2</v>
      </c>
      <c r="P7" s="115">
        <v>24919072</v>
      </c>
      <c r="Q7" s="115">
        <v>778721</v>
      </c>
      <c r="R7" s="115">
        <v>21072.28125</v>
      </c>
      <c r="S7" s="116">
        <v>2274440</v>
      </c>
      <c r="T7" s="116">
        <v>1147640</v>
      </c>
      <c r="U7" s="116">
        <v>435320</v>
      </c>
      <c r="V7" s="116">
        <v>691624</v>
      </c>
      <c r="W7" s="117">
        <v>69.796599999999998</v>
      </c>
      <c r="X7" s="117">
        <v>72.151678125000004</v>
      </c>
      <c r="Y7" s="117">
        <v>36.257321875000002</v>
      </c>
      <c r="Z7" s="117">
        <v>46.796909374999998</v>
      </c>
      <c r="AA7" s="117">
        <v>46.487650000000002</v>
      </c>
      <c r="AB7" s="118">
        <v>7887.92</v>
      </c>
      <c r="AC7" s="118">
        <v>4072.98</v>
      </c>
      <c r="AD7" s="118">
        <v>6.6959999999999997</v>
      </c>
      <c r="AE7" s="118">
        <v>19.908000000000001</v>
      </c>
      <c r="AG7" s="17">
        <f t="shared" si="7"/>
        <v>2.1322874999999999</v>
      </c>
      <c r="AH7" s="18">
        <f t="shared" si="8"/>
        <v>9.1107552168110506E-2</v>
      </c>
      <c r="AI7" s="18">
        <f t="shared" si="9"/>
        <v>6.3401259687434569E-2</v>
      </c>
      <c r="AJ7" s="18">
        <f t="shared" si="10"/>
        <v>4.5968714602427116E-2</v>
      </c>
      <c r="AK7" s="18">
        <f t="shared" si="11"/>
        <v>2.7702019719513804E-2</v>
      </c>
      <c r="AL7" s="15">
        <f t="shared" si="12"/>
        <v>1582770.66666667</v>
      </c>
      <c r="AM7" s="18">
        <f t="shared" si="13"/>
        <v>9.1273061853988785E-2</v>
      </c>
      <c r="AN7" s="92">
        <v>24919072</v>
      </c>
      <c r="AO7" s="92">
        <v>778721</v>
      </c>
      <c r="AP7" s="92">
        <v>21072.28125</v>
      </c>
      <c r="AQ7" s="93">
        <v>2274440</v>
      </c>
      <c r="AR7" s="93">
        <v>1147578.66666667</v>
      </c>
      <c r="AS7" s="93">
        <v>435192</v>
      </c>
      <c r="AT7" s="93">
        <v>691562.66666666698</v>
      </c>
      <c r="AU7" s="94">
        <v>69.796599999999998</v>
      </c>
      <c r="AV7" s="94">
        <v>72.151678125000004</v>
      </c>
      <c r="AW7" s="94">
        <v>36.257321875000002</v>
      </c>
      <c r="AX7" s="94">
        <v>46.796909374999998</v>
      </c>
      <c r="AY7" s="94">
        <v>46.487650000000002</v>
      </c>
      <c r="AZ7" s="95">
        <v>4516.2</v>
      </c>
      <c r="BA7" s="95">
        <v>6412.56</v>
      </c>
      <c r="BB7" s="95">
        <v>11.733000000000001</v>
      </c>
      <c r="BC7" s="95">
        <v>26.384</v>
      </c>
      <c r="BE7" s="19">
        <f t="shared" si="14"/>
        <v>0</v>
      </c>
      <c r="BF7" s="19">
        <f t="shared" si="15"/>
        <v>-8.3243934036469902E-5</v>
      </c>
      <c r="BG7" s="19"/>
      <c r="BI7" s="96"/>
      <c r="BJ7" s="96"/>
      <c r="BK7" s="96"/>
      <c r="BL7" s="96"/>
      <c r="BM7" s="96"/>
      <c r="BN7" s="114"/>
      <c r="BO7" s="96"/>
      <c r="BP7" s="96"/>
      <c r="BQ7" s="96"/>
      <c r="BR7" s="96"/>
      <c r="BS7" s="96"/>
      <c r="BU7" s="4">
        <f t="shared" si="16"/>
        <v>0</v>
      </c>
    </row>
    <row r="8" spans="1:73" outlineLevel="1" x14ac:dyDescent="0.25">
      <c r="A8" s="21"/>
      <c r="B8" s="21" t="s">
        <v>266</v>
      </c>
      <c r="C8" s="22" t="s">
        <v>271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3.5141550000000001</v>
      </c>
      <c r="J8" s="24">
        <f t="shared" si="1"/>
        <v>0.15015145002225375</v>
      </c>
      <c r="K8" s="24">
        <f t="shared" si="2"/>
        <v>8.8533320386867009E-2</v>
      </c>
      <c r="L8" s="24">
        <f t="shared" si="3"/>
        <v>7.1095647988464822E-2</v>
      </c>
      <c r="M8" s="24">
        <f t="shared" si="4"/>
        <v>6.1623897862955808E-2</v>
      </c>
      <c r="N8" s="21">
        <f t="shared" si="5"/>
        <v>2210176</v>
      </c>
      <c r="O8" s="24">
        <f t="shared" si="6"/>
        <v>0.14414770837710847</v>
      </c>
      <c r="P8" s="119">
        <v>26004104</v>
      </c>
      <c r="Q8" s="119">
        <v>812628.25</v>
      </c>
      <c r="R8" s="119">
        <v>24474.75</v>
      </c>
      <c r="S8" s="120">
        <v>3748432</v>
      </c>
      <c r="T8" s="120">
        <v>1774856</v>
      </c>
      <c r="U8" s="120">
        <v>435320</v>
      </c>
      <c r="V8" s="120">
        <v>1538400</v>
      </c>
      <c r="W8" s="121">
        <v>70.793118749999906</v>
      </c>
      <c r="X8" s="121">
        <v>73.333334374999893</v>
      </c>
      <c r="Y8" s="121">
        <v>38.702150000000003</v>
      </c>
      <c r="Z8" s="121">
        <v>48.108049999999999</v>
      </c>
      <c r="AA8" s="121">
        <v>47.962968750000002</v>
      </c>
      <c r="AB8" s="122">
        <v>7886.44</v>
      </c>
      <c r="AC8" s="122">
        <v>4409.3</v>
      </c>
      <c r="AD8" s="122">
        <v>5.984</v>
      </c>
      <c r="AE8" s="122">
        <v>18.731999999999999</v>
      </c>
      <c r="AG8" s="23">
        <f t="shared" si="7"/>
        <v>3.5141550000000001</v>
      </c>
      <c r="AH8" s="24">
        <f t="shared" si="8"/>
        <v>0.15015145002225375</v>
      </c>
      <c r="AI8" s="24">
        <f t="shared" si="9"/>
        <v>8.8525736235804092E-2</v>
      </c>
      <c r="AJ8" s="24">
        <f t="shared" si="10"/>
        <v>7.1093191150796653E-2</v>
      </c>
      <c r="AK8" s="24">
        <f t="shared" si="11"/>
        <v>6.1621441025287632E-2</v>
      </c>
      <c r="AL8" s="21">
        <f t="shared" si="12"/>
        <v>2209986.6666666698</v>
      </c>
      <c r="AM8" s="24">
        <f t="shared" si="13"/>
        <v>0.14414770837710847</v>
      </c>
      <c r="AN8" s="97">
        <v>26004104</v>
      </c>
      <c r="AO8" s="97">
        <v>812628.25</v>
      </c>
      <c r="AP8" s="97">
        <v>24474.75</v>
      </c>
      <c r="AQ8" s="98">
        <v>3748432</v>
      </c>
      <c r="AR8" s="98">
        <v>1774794.66666667</v>
      </c>
      <c r="AS8" s="98">
        <v>435192</v>
      </c>
      <c r="AT8" s="98">
        <v>1538338.66666667</v>
      </c>
      <c r="AU8" s="99">
        <v>70.793118750000005</v>
      </c>
      <c r="AV8" s="99">
        <v>73.333334375000007</v>
      </c>
      <c r="AW8" s="99">
        <v>38.702150000000003</v>
      </c>
      <c r="AX8" s="99">
        <v>48.108049999999999</v>
      </c>
      <c r="AY8" s="99">
        <v>47.962968750000002</v>
      </c>
      <c r="AZ8" s="100">
        <v>4617.78</v>
      </c>
      <c r="BA8" s="100">
        <v>6714.06</v>
      </c>
      <c r="BB8" s="100">
        <v>11.506</v>
      </c>
      <c r="BC8" s="100">
        <v>21.789000000000001</v>
      </c>
      <c r="BE8" s="25">
        <f t="shared" si="14"/>
        <v>0</v>
      </c>
      <c r="BF8" s="25">
        <f t="shared" si="15"/>
        <v>-5.0510008806403661E-5</v>
      </c>
      <c r="BG8" s="25"/>
      <c r="BI8" s="101"/>
      <c r="BJ8" s="101"/>
      <c r="BK8" s="101"/>
      <c r="BL8" s="101"/>
      <c r="BM8" s="101"/>
      <c r="BN8" s="114"/>
      <c r="BO8" s="101"/>
      <c r="BP8" s="101"/>
      <c r="BQ8" s="101"/>
      <c r="BR8" s="101"/>
      <c r="BS8" s="101"/>
      <c r="BU8" s="4">
        <f t="shared" si="16"/>
        <v>0</v>
      </c>
    </row>
    <row r="9" spans="1:73" ht="15.75" outlineLevel="1" thickBot="1" x14ac:dyDescent="0.3">
      <c r="A9" s="15"/>
      <c r="B9" s="27" t="s">
        <v>266</v>
      </c>
      <c r="C9" s="28" t="s">
        <v>272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7.4982899999999999</v>
      </c>
      <c r="J9" s="30">
        <f t="shared" si="1"/>
        <v>0.32038402295498208</v>
      </c>
      <c r="K9" s="30">
        <f t="shared" si="2"/>
        <v>0.15074045014847379</v>
      </c>
      <c r="L9" s="30">
        <f t="shared" si="3"/>
        <v>0.11441663931765714</v>
      </c>
      <c r="M9" s="30">
        <f t="shared" si="4"/>
        <v>0.16964934103407736</v>
      </c>
      <c r="N9" s="27">
        <f t="shared" si="5"/>
        <v>3763136</v>
      </c>
      <c r="O9" s="30">
        <f t="shared" si="6"/>
        <v>0.31959791806397769</v>
      </c>
      <c r="P9" s="123">
        <v>25025745</v>
      </c>
      <c r="Q9" s="123">
        <v>782054.53125</v>
      </c>
      <c r="R9" s="123">
        <v>10275.84375</v>
      </c>
      <c r="S9" s="124">
        <v>7998176</v>
      </c>
      <c r="T9" s="124">
        <v>2856336</v>
      </c>
      <c r="U9" s="124">
        <v>906800</v>
      </c>
      <c r="V9" s="124">
        <v>4235184</v>
      </c>
      <c r="W9" s="125">
        <v>72.048096874999999</v>
      </c>
      <c r="X9" s="125">
        <v>75.254449999999906</v>
      </c>
      <c r="Y9" s="125">
        <v>41.140931249999902</v>
      </c>
      <c r="Z9" s="125">
        <v>49.543940624999998</v>
      </c>
      <c r="AA9" s="125">
        <v>49.608296875000001</v>
      </c>
      <c r="AB9" s="126">
        <v>7934.92</v>
      </c>
      <c r="AC9" s="126">
        <v>5048.84</v>
      </c>
      <c r="AD9" s="126">
        <v>7.08</v>
      </c>
      <c r="AE9" s="126">
        <v>23.492000000000001</v>
      </c>
      <c r="AG9" s="29">
        <f t="shared" si="7"/>
        <v>7.4982899999999999</v>
      </c>
      <c r="AH9" s="30">
        <f t="shared" si="8"/>
        <v>0.32038402295498208</v>
      </c>
      <c r="AI9" s="30">
        <f t="shared" si="9"/>
        <v>0.15073286599741087</v>
      </c>
      <c r="AJ9" s="30">
        <f t="shared" si="10"/>
        <v>0.11441418247998895</v>
      </c>
      <c r="AK9" s="30">
        <f t="shared" si="11"/>
        <v>0.16964688419640919</v>
      </c>
      <c r="AL9" s="27">
        <f t="shared" si="12"/>
        <v>3762946.6666666698</v>
      </c>
      <c r="AM9" s="30">
        <f t="shared" si="13"/>
        <v>0.31959791806397769</v>
      </c>
      <c r="AN9" s="102">
        <v>25025745</v>
      </c>
      <c r="AO9" s="102">
        <v>782054.53125</v>
      </c>
      <c r="AP9" s="102">
        <v>10275.84375</v>
      </c>
      <c r="AQ9" s="103">
        <v>7998176</v>
      </c>
      <c r="AR9" s="103">
        <v>2856274.6666666698</v>
      </c>
      <c r="AS9" s="103">
        <v>906672</v>
      </c>
      <c r="AT9" s="103">
        <v>4235122.6666666698</v>
      </c>
      <c r="AU9" s="104">
        <v>72.048096874999999</v>
      </c>
      <c r="AV9" s="104">
        <v>75.254450000000006</v>
      </c>
      <c r="AW9" s="104">
        <v>41.140931250000001</v>
      </c>
      <c r="AX9" s="104">
        <v>49.543940624999998</v>
      </c>
      <c r="AY9" s="104">
        <v>49.608296875000001</v>
      </c>
      <c r="AZ9" s="105">
        <v>4597.2299999999996</v>
      </c>
      <c r="BA9" s="105">
        <v>7514.39</v>
      </c>
      <c r="BB9" s="105">
        <v>7.8719999999999999</v>
      </c>
      <c r="BC9" s="105">
        <v>24.978999999999999</v>
      </c>
      <c r="BE9" s="31">
        <f t="shared" si="14"/>
        <v>0</v>
      </c>
      <c r="BF9" s="31">
        <f t="shared" si="15"/>
        <v>-2.3672063896862383E-5</v>
      </c>
      <c r="BG9" s="31"/>
      <c r="BI9" s="106"/>
      <c r="BJ9" s="106"/>
      <c r="BK9" s="106"/>
      <c r="BL9" s="106"/>
      <c r="BM9" s="106"/>
      <c r="BN9" s="114"/>
      <c r="BO9" s="106"/>
      <c r="BP9" s="106"/>
      <c r="BQ9" s="106"/>
      <c r="BR9" s="106"/>
      <c r="BS9" s="106"/>
      <c r="BU9" s="4">
        <f t="shared" si="16"/>
        <v>0</v>
      </c>
    </row>
    <row r="10" spans="1:73" x14ac:dyDescent="0.25">
      <c r="A10" s="21"/>
      <c r="B10" s="21" t="s">
        <v>275</v>
      </c>
      <c r="C10" s="22" t="s">
        <v>268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2.0552250000000001</v>
      </c>
      <c r="J10" s="24">
        <f t="shared" si="1"/>
        <v>9.6767178012560615E-2</v>
      </c>
      <c r="K10" s="24">
        <f t="shared" si="2"/>
        <v>7.1235799194598548E-2</v>
      </c>
      <c r="L10" s="24">
        <f t="shared" si="3"/>
        <v>3.912638515414997E-2</v>
      </c>
      <c r="M10" s="24">
        <f t="shared" si="4"/>
        <v>2.5537735089918516E-2</v>
      </c>
      <c r="N10" s="21">
        <f t="shared" si="5"/>
        <v>1613832</v>
      </c>
      <c r="O10" s="24">
        <f t="shared" si="6"/>
        <v>0.1050372546765808</v>
      </c>
      <c r="P10" s="119">
        <v>20871071</v>
      </c>
      <c r="Q10" s="119">
        <v>652220.96875</v>
      </c>
      <c r="R10" s="119">
        <v>18933.5625</v>
      </c>
      <c r="S10" s="120">
        <v>2192240</v>
      </c>
      <c r="T10" s="120">
        <v>886400</v>
      </c>
      <c r="U10" s="120">
        <v>727432</v>
      </c>
      <c r="V10" s="120">
        <v>578552</v>
      </c>
      <c r="W10" s="121">
        <v>65.969918750000005</v>
      </c>
      <c r="X10" s="121">
        <v>67.878562500000001</v>
      </c>
      <c r="Y10" s="121">
        <v>31.036003124999901</v>
      </c>
      <c r="Z10" s="121">
        <v>38.622875000000001</v>
      </c>
      <c r="AA10" s="121">
        <v>30.1112156249999</v>
      </c>
      <c r="AB10" s="122">
        <v>6764.04</v>
      </c>
      <c r="AC10" s="122">
        <v>4854.6000000000004</v>
      </c>
      <c r="AD10" s="122">
        <v>6.58</v>
      </c>
      <c r="AE10" s="122">
        <v>23.815999999999999</v>
      </c>
      <c r="AG10" s="23">
        <f t="shared" si="7"/>
        <v>2.0552250000000001</v>
      </c>
      <c r="AH10" s="24">
        <f t="shared" si="8"/>
        <v>9.6767178012560615E-2</v>
      </c>
      <c r="AI10" s="24">
        <f t="shared" si="9"/>
        <v>7.1227441874063227E-2</v>
      </c>
      <c r="AJ10" s="24">
        <f t="shared" si="10"/>
        <v>3.9123677853131492E-2</v>
      </c>
      <c r="AK10" s="24">
        <f t="shared" si="11"/>
        <v>2.5535027788900041E-2</v>
      </c>
      <c r="AL10" s="21">
        <f t="shared" si="12"/>
        <v>1613642.666666667</v>
      </c>
      <c r="AM10" s="24">
        <f t="shared" si="13"/>
        <v>0.1050372546765808</v>
      </c>
      <c r="AN10" s="97">
        <v>20871071</v>
      </c>
      <c r="AO10" s="97">
        <v>652220.96875</v>
      </c>
      <c r="AP10" s="97">
        <v>18933.5625</v>
      </c>
      <c r="AQ10" s="98">
        <v>2192240</v>
      </c>
      <c r="AR10" s="98">
        <v>886338.66666666698</v>
      </c>
      <c r="AS10" s="98">
        <v>727304</v>
      </c>
      <c r="AT10" s="98">
        <v>578490.66666666698</v>
      </c>
      <c r="AU10" s="99">
        <v>65.969918750000005</v>
      </c>
      <c r="AV10" s="99">
        <v>67.878562500000001</v>
      </c>
      <c r="AW10" s="99">
        <v>31.036003125000001</v>
      </c>
      <c r="AX10" s="99">
        <v>38.622875000000001</v>
      </c>
      <c r="AY10" s="99">
        <v>30.111215625</v>
      </c>
      <c r="AZ10" s="100">
        <v>4131.3900000000003</v>
      </c>
      <c r="BA10" s="100">
        <v>7049.84</v>
      </c>
      <c r="BB10" s="100">
        <v>7.3310000000000004</v>
      </c>
      <c r="BC10" s="100">
        <v>29.026</v>
      </c>
      <c r="BE10" s="25">
        <f t="shared" si="14"/>
        <v>0</v>
      </c>
      <c r="BF10" s="25">
        <f t="shared" si="15"/>
        <v>-8.6365239815422434E-5</v>
      </c>
      <c r="BG10" s="25">
        <f t="array" ref="BG10">AVERAGE(AL10:AL14/AQ10:AQ14) - AVERAGE(N10:N14/S10:S14)</f>
        <v>-4.7173948651169084E-5</v>
      </c>
      <c r="BI10" s="101">
        <f>IF( OR(ISBLANK(N10:N14),ISBLANK(AL10:AL14), ISBLANK(W10:W14),ISBLANK(AU10:AU14)), "·", bdRateExtend( N10:N14,W10:W14, AL10:AL14,AU10:AU14))</f>
        <v>-8.1172765229453603E-5</v>
      </c>
      <c r="BJ10" s="101">
        <f>IF( OR(ISBLANK(N10:N14),ISBLANK(AL10:AL14), ISBLANK(X10:X14),ISBLANK(AV10:AV14)), "·", bdRateExtend( N10:N14,X10:X14, AL10:AL14,AV10:AV14))</f>
        <v>-7.5653135268805016E-5</v>
      </c>
      <c r="BK10" s="101">
        <f>IF( OR(ISBLANK(V10:V14),ISBLANK(AT10:AT14), ISBLANK(Y10:Y14),ISBLANK(AW10:AW14)), "·", bdRateExtend( V10:V14,Y10:Y14, AT10:AT14,AW10:AW14))</f>
        <v>-3.8424011358451082E-5</v>
      </c>
      <c r="BL10" s="101">
        <f>IF( OR(ISBLANK(V10:V14),ISBLANK(AT10:AT14), ISBLANK(Z10:Z14),ISBLANK(AX10:AX14)), "·", bdRateExtend( V10:V14,Z10:Z14, AT10:AT14,AX10:AX14))</f>
        <v>-3.8988888745650208E-5</v>
      </c>
      <c r="BM10" s="101">
        <f>IF( OR(ISBLANK(V10:V14),ISBLANK(AT10:AT14), ISBLANK(AA10:AA14),ISBLANK(AY10:AY14)), "·", bdRateExtend( V10:V14,AA10:AA14, AT10:AT14,AY10:AY14))</f>
        <v>-4.1143927719256013E-5</v>
      </c>
      <c r="BN10" s="114"/>
      <c r="BO10" s="101">
        <f>IF( OR(ISBLANK(S10:S14),ISBLANK(AQ10:AQ14), ISBLANK(W10:W14),ISBLANK(AU10:AU14)), "·", bdRateExtend( S10:S14,W10:W14, AQ10:AQ14,AU10:AU14))</f>
        <v>0</v>
      </c>
      <c r="BP10" s="101">
        <f>IF( OR(ISBLANK(S10:S14),ISBLANK(AQ10:AQ14), ISBLANK(X10:X14),ISBLANK(AV10:AV14)), "·", bdRateExtend( S10:S14,X10:X14, AQ10:AQ14,AV10:AV14))</f>
        <v>-7.1054273576010019E-15</v>
      </c>
      <c r="BQ10" s="101">
        <f>IF( OR(ISBLANK(S10:S14),ISBLANK(AQ10:AQ14), ISBLANK(Y10:Y14),ISBLANK(AW10:AW14)), "·", bdRateExtend( S10:S14,Y10:Y14, AQ10:AQ14,AW10:AW14))</f>
        <v>-7.5495165674510645E-15</v>
      </c>
      <c r="BR10" s="101">
        <f>IF( OR(ISBLANK(S10:S14),ISBLANK(AQ10:AQ14), ISBLANK(Z10:Z14),ISBLANK(AX10:AX14)), "·", bdRateExtend( S10:S14,Z10:Z14, AQ10:AQ14,AX10:AX14))</f>
        <v>-5.5511151231257827E-15</v>
      </c>
      <c r="BS10" s="101">
        <f>IF( OR(ISBLANK(S10:S14),ISBLANK(AQ10:AQ14), ISBLANK(AA10:AA14),ISBLANK(AY10:AY14)), "·", bdRateExtend( S10:S14,AA10:AA14, AQ10:AQ14,AY10:AY14))</f>
        <v>-1.1768364061026659E-14</v>
      </c>
      <c r="BU10" s="4">
        <f t="shared" si="16"/>
        <v>0</v>
      </c>
    </row>
    <row r="11" spans="1:73" outlineLevel="1" x14ac:dyDescent="0.25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2.7926924999999998</v>
      </c>
      <c r="J11" s="18">
        <f t="shared" si="1"/>
        <v>0.1314897260795499</v>
      </c>
      <c r="K11" s="18">
        <f t="shared" si="2"/>
        <v>8.6273326138680884E-2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1954504</v>
      </c>
      <c r="O11" s="18">
        <f t="shared" si="6"/>
        <v>0.1331087798820603</v>
      </c>
      <c r="P11" s="115">
        <v>22379230</v>
      </c>
      <c r="Q11" s="115">
        <v>699350.9375</v>
      </c>
      <c r="R11" s="115">
        <v>24081.75</v>
      </c>
      <c r="S11" s="116">
        <v>2978872</v>
      </c>
      <c r="T11" s="116">
        <v>1227072</v>
      </c>
      <c r="U11" s="116">
        <v>727432</v>
      </c>
      <c r="V11" s="116">
        <v>1024512</v>
      </c>
      <c r="W11" s="117">
        <v>67.698618749999994</v>
      </c>
      <c r="X11" s="117">
        <v>69.777518749999999</v>
      </c>
      <c r="Y11" s="117">
        <v>32.909609375000002</v>
      </c>
      <c r="Z11" s="117">
        <v>39.656315624999998</v>
      </c>
      <c r="AA11" s="117">
        <v>32.299137499999901</v>
      </c>
      <c r="AB11" s="118">
        <v>6724.68</v>
      </c>
      <c r="AC11" s="118">
        <v>5144.04</v>
      </c>
      <c r="AD11" s="118">
        <v>6.76</v>
      </c>
      <c r="AE11" s="118">
        <v>24.771999999999998</v>
      </c>
      <c r="AG11" s="17">
        <f t="shared" si="7"/>
        <v>2.7926924999999998</v>
      </c>
      <c r="AH11" s="18">
        <f t="shared" si="8"/>
        <v>0.1314897260795499</v>
      </c>
      <c r="AI11" s="18">
        <f t="shared" si="9"/>
        <v>8.6264968818145688E-2</v>
      </c>
      <c r="AJ11" s="18">
        <f t="shared" si="10"/>
        <v>5.4161204797213959E-2</v>
      </c>
      <c r="AK11" s="18">
        <f t="shared" si="11"/>
        <v>4.5220048911807122E-2</v>
      </c>
      <c r="AL11" s="15">
        <f t="shared" si="12"/>
        <v>1954314.66666667</v>
      </c>
      <c r="AM11" s="18">
        <f t="shared" si="13"/>
        <v>0.1331087798820603</v>
      </c>
      <c r="AN11" s="92">
        <v>22379230</v>
      </c>
      <c r="AO11" s="92">
        <v>699350.9375</v>
      </c>
      <c r="AP11" s="92">
        <v>24081.75</v>
      </c>
      <c r="AQ11" s="93">
        <v>2978872</v>
      </c>
      <c r="AR11" s="93">
        <v>1227010.66666667</v>
      </c>
      <c r="AS11" s="93">
        <v>727304</v>
      </c>
      <c r="AT11" s="93">
        <v>1024450.66666667</v>
      </c>
      <c r="AU11" s="94">
        <v>67.698618749999994</v>
      </c>
      <c r="AV11" s="94">
        <v>69.777518749999999</v>
      </c>
      <c r="AW11" s="94">
        <v>32.909609375000002</v>
      </c>
      <c r="AX11" s="94">
        <v>39.656315624999998</v>
      </c>
      <c r="AY11" s="94">
        <v>32.299137500000001</v>
      </c>
      <c r="AZ11" s="95">
        <v>4266.3999999999996</v>
      </c>
      <c r="BA11" s="95">
        <v>7686.65</v>
      </c>
      <c r="BB11" s="95">
        <v>9.0449999999999999</v>
      </c>
      <c r="BC11" s="95">
        <v>26.885999999999999</v>
      </c>
      <c r="BE11" s="19">
        <f t="shared" si="14"/>
        <v>0</v>
      </c>
      <c r="BF11" s="19">
        <f t="shared" si="15"/>
        <v>-6.3558734088031699E-5</v>
      </c>
      <c r="BG11" s="19"/>
      <c r="BI11" s="96"/>
      <c r="BJ11" s="96"/>
      <c r="BK11" s="96"/>
      <c r="BL11" s="96"/>
      <c r="BM11" s="96"/>
      <c r="BN11" s="114"/>
      <c r="BO11" s="96"/>
      <c r="BP11" s="96"/>
      <c r="BQ11" s="96"/>
      <c r="BR11" s="96"/>
      <c r="BS11" s="96"/>
      <c r="BU11" s="4">
        <f t="shared" si="16"/>
        <v>0</v>
      </c>
    </row>
    <row r="12" spans="1:73" outlineLevel="1" x14ac:dyDescent="0.25">
      <c r="A12" s="21"/>
      <c r="B12" s="21" t="s">
        <v>275</v>
      </c>
      <c r="C12" s="22" t="s">
        <v>270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3.9566699999999999</v>
      </c>
      <c r="J12" s="24">
        <f t="shared" si="1"/>
        <v>0.18629385601428466</v>
      </c>
      <c r="K12" s="24">
        <f t="shared" si="2"/>
        <v>0.10820670190307224</v>
      </c>
      <c r="L12" s="24">
        <f t="shared" si="3"/>
        <v>7.6097287862623667E-2</v>
      </c>
      <c r="M12" s="24">
        <f t="shared" si="4"/>
        <v>7.8093510383168876E-2</v>
      </c>
      <c r="N12" s="21">
        <f t="shared" si="5"/>
        <v>2451400</v>
      </c>
      <c r="O12" s="24">
        <f t="shared" si="6"/>
        <v>0.18578440590869041</v>
      </c>
      <c r="P12" s="119">
        <v>22716912</v>
      </c>
      <c r="Q12" s="119">
        <v>709903.5</v>
      </c>
      <c r="R12" s="119">
        <v>25579.28125</v>
      </c>
      <c r="S12" s="120">
        <v>4220448</v>
      </c>
      <c r="T12" s="120">
        <v>1723968</v>
      </c>
      <c r="U12" s="120">
        <v>727432</v>
      </c>
      <c r="V12" s="120">
        <v>1769192</v>
      </c>
      <c r="W12" s="121">
        <v>69.047799999999995</v>
      </c>
      <c r="X12" s="121">
        <v>71.398093750000001</v>
      </c>
      <c r="Y12" s="121">
        <v>34.942528125000003</v>
      </c>
      <c r="Z12" s="121">
        <v>40.653209374999904</v>
      </c>
      <c r="AA12" s="121">
        <v>34.211896875000001</v>
      </c>
      <c r="AB12" s="122">
        <v>7837.58</v>
      </c>
      <c r="AC12" s="122">
        <v>5474.32</v>
      </c>
      <c r="AD12" s="122">
        <v>6.8840000000000003</v>
      </c>
      <c r="AE12" s="122">
        <v>25.155999999999999</v>
      </c>
      <c r="AG12" s="23">
        <f t="shared" si="7"/>
        <v>3.9566699999999999</v>
      </c>
      <c r="AH12" s="24">
        <f t="shared" si="8"/>
        <v>0.18629385601428466</v>
      </c>
      <c r="AI12" s="24">
        <f t="shared" si="9"/>
        <v>0.10819834458253705</v>
      </c>
      <c r="AJ12" s="24">
        <f t="shared" si="10"/>
        <v>7.6094580561605313E-2</v>
      </c>
      <c r="AK12" s="24">
        <f t="shared" si="11"/>
        <v>7.8090803082150537E-2</v>
      </c>
      <c r="AL12" s="21">
        <f t="shared" si="12"/>
        <v>2451210.6666666698</v>
      </c>
      <c r="AM12" s="24">
        <f t="shared" si="13"/>
        <v>0.18578440590869041</v>
      </c>
      <c r="AN12" s="97">
        <v>22716912</v>
      </c>
      <c r="AO12" s="97">
        <v>709903.5</v>
      </c>
      <c r="AP12" s="97">
        <v>25579.28125</v>
      </c>
      <c r="AQ12" s="98">
        <v>4220448</v>
      </c>
      <c r="AR12" s="98">
        <v>1723906.66666667</v>
      </c>
      <c r="AS12" s="98">
        <v>727304</v>
      </c>
      <c r="AT12" s="98">
        <v>1769130.66666667</v>
      </c>
      <c r="AU12" s="99">
        <v>69.047799999999995</v>
      </c>
      <c r="AV12" s="99">
        <v>71.398093750000001</v>
      </c>
      <c r="AW12" s="99">
        <v>34.942528125000003</v>
      </c>
      <c r="AX12" s="99">
        <v>40.653209375000003</v>
      </c>
      <c r="AY12" s="99">
        <v>34.211896875000001</v>
      </c>
      <c r="AZ12" s="100">
        <v>4302.1099999999997</v>
      </c>
      <c r="BA12" s="100">
        <v>7943.31</v>
      </c>
      <c r="BB12" s="100">
        <v>7.8730000000000002</v>
      </c>
      <c r="BC12" s="100">
        <v>26.495999999999999</v>
      </c>
      <c r="BE12" s="25">
        <f t="shared" si="14"/>
        <v>0</v>
      </c>
      <c r="BF12" s="25">
        <f t="shared" si="15"/>
        <v>-4.4860956308512279E-5</v>
      </c>
      <c r="BG12" s="25"/>
      <c r="BI12" s="101"/>
      <c r="BJ12" s="101"/>
      <c r="BK12" s="101"/>
      <c r="BL12" s="101"/>
      <c r="BM12" s="101"/>
      <c r="BN12" s="114"/>
      <c r="BO12" s="101"/>
      <c r="BP12" s="101"/>
      <c r="BQ12" s="101"/>
      <c r="BR12" s="101"/>
      <c r="BS12" s="101"/>
      <c r="BU12" s="4">
        <f t="shared" si="16"/>
        <v>0</v>
      </c>
    </row>
    <row r="13" spans="1:73" outlineLevel="1" x14ac:dyDescent="0.25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6.4486875000000001</v>
      </c>
      <c r="J13" s="18">
        <f t="shared" si="1"/>
        <v>0.30362675194194039</v>
      </c>
      <c r="K13" s="18">
        <f t="shared" si="2"/>
        <v>0.1483931719690702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3361816</v>
      </c>
      <c r="O13" s="18">
        <f t="shared" si="6"/>
        <v>0.29104908754888231</v>
      </c>
      <c r="P13" s="115">
        <v>23633814</v>
      </c>
      <c r="Q13" s="115">
        <v>738556.6875</v>
      </c>
      <c r="R13" s="115">
        <v>29497.75</v>
      </c>
      <c r="S13" s="116">
        <v>6878600</v>
      </c>
      <c r="T13" s="116">
        <v>2634384</v>
      </c>
      <c r="U13" s="116">
        <v>727432</v>
      </c>
      <c r="V13" s="116">
        <v>3516928</v>
      </c>
      <c r="W13" s="117">
        <v>70.054337500000003</v>
      </c>
      <c r="X13" s="117">
        <v>72.592015625000002</v>
      </c>
      <c r="Y13" s="117">
        <v>37.139621874999897</v>
      </c>
      <c r="Z13" s="117">
        <v>41.702190625</v>
      </c>
      <c r="AA13" s="117">
        <v>36.228109375000003</v>
      </c>
      <c r="AB13" s="118">
        <v>7856.88</v>
      </c>
      <c r="AC13" s="118">
        <v>5936.53</v>
      </c>
      <c r="AD13" s="118">
        <v>6.0519999999999996</v>
      </c>
      <c r="AE13" s="118">
        <v>22.532</v>
      </c>
      <c r="AG13" s="17">
        <f t="shared" si="7"/>
        <v>6.4486875000000001</v>
      </c>
      <c r="AH13" s="18">
        <f t="shared" si="8"/>
        <v>0.30362675194194039</v>
      </c>
      <c r="AI13" s="18">
        <f t="shared" si="9"/>
        <v>0.14838481464853501</v>
      </c>
      <c r="AJ13" s="18">
        <f t="shared" si="10"/>
        <v>0.11628105062760327</v>
      </c>
      <c r="AK13" s="18">
        <f t="shared" si="11"/>
        <v>0.15523722894380829</v>
      </c>
      <c r="AL13" s="15">
        <f t="shared" si="12"/>
        <v>3361626.6666666698</v>
      </c>
      <c r="AM13" s="18">
        <f t="shared" si="13"/>
        <v>0.29104908754888231</v>
      </c>
      <c r="AN13" s="92">
        <v>23633814</v>
      </c>
      <c r="AO13" s="92">
        <v>738556.6875</v>
      </c>
      <c r="AP13" s="92">
        <v>29497.75</v>
      </c>
      <c r="AQ13" s="93">
        <v>6878600</v>
      </c>
      <c r="AR13" s="93">
        <v>2634322.6666666698</v>
      </c>
      <c r="AS13" s="93">
        <v>727304</v>
      </c>
      <c r="AT13" s="93">
        <v>3516866.6666666698</v>
      </c>
      <c r="AU13" s="94">
        <v>70.054337500000003</v>
      </c>
      <c r="AV13" s="94">
        <v>72.592015625000002</v>
      </c>
      <c r="AW13" s="94">
        <v>37.139621875000003</v>
      </c>
      <c r="AX13" s="94">
        <v>41.702190625</v>
      </c>
      <c r="AY13" s="94">
        <v>36.228109375000003</v>
      </c>
      <c r="AZ13" s="95">
        <v>4244.74</v>
      </c>
      <c r="BA13" s="95">
        <v>8363.7900000000009</v>
      </c>
      <c r="BB13" s="95">
        <v>7.7770000000000001</v>
      </c>
      <c r="BC13" s="95">
        <v>24.966999999999999</v>
      </c>
      <c r="BE13" s="19">
        <f t="shared" si="14"/>
        <v>0</v>
      </c>
      <c r="BF13" s="19">
        <f t="shared" si="15"/>
        <v>-2.7524980858062431E-5</v>
      </c>
      <c r="BG13" s="19"/>
      <c r="BI13" s="96"/>
      <c r="BJ13" s="96"/>
      <c r="BK13" s="96"/>
      <c r="BL13" s="96"/>
      <c r="BM13" s="96"/>
      <c r="BN13" s="114"/>
      <c r="BO13" s="96"/>
      <c r="BP13" s="96"/>
      <c r="BQ13" s="96"/>
      <c r="BR13" s="96"/>
      <c r="BS13" s="96"/>
      <c r="BU13" s="4">
        <f t="shared" si="16"/>
        <v>0</v>
      </c>
    </row>
    <row r="14" spans="1:73" ht="15.75" outlineLevel="1" thickBot="1" x14ac:dyDescent="0.3">
      <c r="A14" s="21"/>
      <c r="B14" s="33" t="s">
        <v>275</v>
      </c>
      <c r="C14" s="34" t="s">
        <v>272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13.090132499999999</v>
      </c>
      <c r="J14" s="36">
        <f t="shared" si="1"/>
        <v>0.61632920085903253</v>
      </c>
      <c r="K14" s="36">
        <f t="shared" si="2"/>
        <v>0.24840557994161852</v>
      </c>
      <c r="L14" s="36">
        <f t="shared" si="3"/>
        <v>0.18634435306371647</v>
      </c>
      <c r="M14" s="36">
        <f t="shared" si="4"/>
        <v>0.36792997718937043</v>
      </c>
      <c r="N14" s="33">
        <f t="shared" si="5"/>
        <v>5627576</v>
      </c>
      <c r="O14" s="36">
        <f t="shared" si="6"/>
        <v>0.6231610404517991</v>
      </c>
      <c r="P14" s="127">
        <v>22406420</v>
      </c>
      <c r="Q14" s="127">
        <v>700200.625</v>
      </c>
      <c r="R14" s="127">
        <v>13452.625</v>
      </c>
      <c r="S14" s="128">
        <v>13962808</v>
      </c>
      <c r="T14" s="128">
        <v>4221592</v>
      </c>
      <c r="U14" s="128">
        <v>1405984</v>
      </c>
      <c r="V14" s="128">
        <v>8335376</v>
      </c>
      <c r="W14" s="129">
        <v>71.156053125</v>
      </c>
      <c r="X14" s="129">
        <v>74.731656249999901</v>
      </c>
      <c r="Y14" s="129">
        <v>39.604943749999997</v>
      </c>
      <c r="Z14" s="129">
        <v>43.019550000000002</v>
      </c>
      <c r="AA14" s="129">
        <v>38.466506249999902</v>
      </c>
      <c r="AB14" s="130">
        <v>7854.54</v>
      </c>
      <c r="AC14" s="130">
        <v>6741.86</v>
      </c>
      <c r="AD14" s="130">
        <v>6.016</v>
      </c>
      <c r="AE14" s="130">
        <v>24.536000000000001</v>
      </c>
      <c r="AG14" s="35">
        <f t="shared" si="7"/>
        <v>13.090132499999999</v>
      </c>
      <c r="AH14" s="36">
        <f t="shared" si="8"/>
        <v>0.61632920085903253</v>
      </c>
      <c r="AI14" s="36">
        <f t="shared" si="9"/>
        <v>0.24839722262108332</v>
      </c>
      <c r="AJ14" s="36">
        <f t="shared" si="10"/>
        <v>0.1863416457626981</v>
      </c>
      <c r="AK14" s="36">
        <f t="shared" si="11"/>
        <v>0.36792726988835206</v>
      </c>
      <c r="AL14" s="33">
        <f t="shared" si="12"/>
        <v>5627386.6666666698</v>
      </c>
      <c r="AM14" s="36">
        <f t="shared" si="13"/>
        <v>0.6231610404517991</v>
      </c>
      <c r="AN14" s="107">
        <v>22406420</v>
      </c>
      <c r="AO14" s="107">
        <v>700200.625</v>
      </c>
      <c r="AP14" s="107">
        <v>13452.625</v>
      </c>
      <c r="AQ14" s="108">
        <v>13962808</v>
      </c>
      <c r="AR14" s="108">
        <v>4221530.6666666698</v>
      </c>
      <c r="AS14" s="108">
        <v>1405856</v>
      </c>
      <c r="AT14" s="108">
        <v>8335314.6666666698</v>
      </c>
      <c r="AU14" s="109">
        <v>71.156053125</v>
      </c>
      <c r="AV14" s="109">
        <v>74.73165625</v>
      </c>
      <c r="AW14" s="109">
        <v>39.604943749999997</v>
      </c>
      <c r="AX14" s="109">
        <v>43.019550000000002</v>
      </c>
      <c r="AY14" s="109">
        <v>38.466506250000002</v>
      </c>
      <c r="AZ14" s="110">
        <v>4078.71</v>
      </c>
      <c r="BA14" s="110">
        <v>9030.6</v>
      </c>
      <c r="BB14" s="110">
        <v>7.165</v>
      </c>
      <c r="BC14" s="110">
        <v>28.297999999999998</v>
      </c>
      <c r="BE14" s="37">
        <f t="shared" si="14"/>
        <v>0</v>
      </c>
      <c r="BF14" s="37">
        <f t="shared" si="15"/>
        <v>-1.3559832186316179E-5</v>
      </c>
      <c r="BG14" s="37"/>
      <c r="BI14" s="111"/>
      <c r="BJ14" s="111"/>
      <c r="BK14" s="111"/>
      <c r="BL14" s="111"/>
      <c r="BM14" s="111"/>
      <c r="BN14" s="114"/>
      <c r="BO14" s="111"/>
      <c r="BP14" s="111"/>
      <c r="BQ14" s="111"/>
      <c r="BR14" s="111"/>
      <c r="BS14" s="111"/>
      <c r="BU14" s="4">
        <f t="shared" si="16"/>
        <v>0</v>
      </c>
    </row>
    <row r="15" spans="1:73" x14ac:dyDescent="0.25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1.9025624999999999</v>
      </c>
      <c r="J15" s="18">
        <f t="shared" si="1"/>
        <v>5.9780159597178223E-2</v>
      </c>
      <c r="K15" s="18">
        <f t="shared" si="2"/>
        <v>4.9235238727975764E-2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1671424</v>
      </c>
      <c r="O15" s="18">
        <f t="shared" si="6"/>
        <v>6.2235010919646949E-2</v>
      </c>
      <c r="P15" s="115">
        <v>32608655</v>
      </c>
      <c r="Q15" s="115">
        <v>1019020.46875</v>
      </c>
      <c r="R15" s="115">
        <v>33932.375</v>
      </c>
      <c r="S15" s="116">
        <v>2029400</v>
      </c>
      <c r="T15" s="116">
        <v>876168</v>
      </c>
      <c r="U15" s="116">
        <v>795256</v>
      </c>
      <c r="V15" s="116">
        <v>358120</v>
      </c>
      <c r="W15" s="117">
        <v>66.342974999999996</v>
      </c>
      <c r="X15" s="117">
        <v>67.898153124999993</v>
      </c>
      <c r="Y15" s="117">
        <v>29.318606249999998</v>
      </c>
      <c r="Z15" s="117">
        <v>43.358424999999997</v>
      </c>
      <c r="AA15" s="117">
        <v>43.505356249999998</v>
      </c>
      <c r="AB15" s="118">
        <v>11719.1</v>
      </c>
      <c r="AC15" s="118">
        <v>4653.08</v>
      </c>
      <c r="AD15" s="118">
        <v>9.66</v>
      </c>
      <c r="AE15" s="118">
        <v>27.14</v>
      </c>
      <c r="AG15" s="17">
        <f t="shared" si="7"/>
        <v>1.9025624999999999</v>
      </c>
      <c r="AH15" s="18">
        <f t="shared" si="8"/>
        <v>5.9780159597178223E-2</v>
      </c>
      <c r="AI15" s="18">
        <f t="shared" si="9"/>
        <v>4.9229661524426087E-2</v>
      </c>
      <c r="AJ15" s="18">
        <f t="shared" si="10"/>
        <v>2.5807527524137765E-2</v>
      </c>
      <c r="AK15" s="18">
        <f t="shared" si="11"/>
        <v>1.054735598624529E-2</v>
      </c>
      <c r="AL15" s="15">
        <f t="shared" si="12"/>
        <v>1671234.666666667</v>
      </c>
      <c r="AM15" s="18">
        <f t="shared" si="13"/>
        <v>6.2235010919646949E-2</v>
      </c>
      <c r="AN15" s="92">
        <v>32608655</v>
      </c>
      <c r="AO15" s="92">
        <v>1019020.46875</v>
      </c>
      <c r="AP15" s="92">
        <v>33932.375</v>
      </c>
      <c r="AQ15" s="93">
        <v>2029400</v>
      </c>
      <c r="AR15" s="93">
        <v>876106.66666666698</v>
      </c>
      <c r="AS15" s="93">
        <v>795128</v>
      </c>
      <c r="AT15" s="93">
        <v>358058.66666666698</v>
      </c>
      <c r="AU15" s="94">
        <v>66.342974999999996</v>
      </c>
      <c r="AV15" s="94">
        <v>67.898153124999993</v>
      </c>
      <c r="AW15" s="94">
        <v>29.318606249999998</v>
      </c>
      <c r="AX15" s="94">
        <v>43.358424999999997</v>
      </c>
      <c r="AY15" s="94">
        <v>43.505356249999998</v>
      </c>
      <c r="AZ15" s="95">
        <v>6309.27</v>
      </c>
      <c r="BA15" s="95">
        <v>6703.65</v>
      </c>
      <c r="BB15" s="95">
        <v>8.6389999999999993</v>
      </c>
      <c r="BC15" s="95">
        <v>30.456</v>
      </c>
      <c r="BE15" s="19">
        <f t="shared" si="14"/>
        <v>0</v>
      </c>
      <c r="BF15" s="19">
        <f t="shared" si="15"/>
        <v>-9.3295226832101896E-5</v>
      </c>
      <c r="BG15" s="19">
        <f t="array" ref="BG15">AVERAGE(AL15:AL19/AQ15:AQ19) - AVERAGE(N15:N19/S15:S19)</f>
        <v>-5.1803819923090799E-5</v>
      </c>
      <c r="BI15" s="96">
        <f>IF( OR(ISBLANK(N15:N19),ISBLANK(AL15:AL19), ISBLANK(W15:W19),ISBLANK(AU15:AU19)), "·", bdRateExtend( N15:N19,W15:W19, AL15:AL19,AU15:AU19))</f>
        <v>-8.2949578820379344E-5</v>
      </c>
      <c r="BJ15" s="96">
        <f>IF( OR(ISBLANK(N15:N19),ISBLANK(AL15:AL19), ISBLANK(X15:X19),ISBLANK(AV15:AV19)), "·", bdRateExtend( N15:N19,X15:X19, AL15:AL19,AV15:AV19))</f>
        <v>-7.8913972798022591E-5</v>
      </c>
      <c r="BK15" s="96">
        <f>IF( OR(ISBLANK(V15:V19),ISBLANK(AT15:AT19), ISBLANK(Y15:Y19),ISBLANK(AW15:AW19)), "·", bdRateExtend( V15:V19,Y15:Y19, AT15:AT19,AW15:AW19))</f>
        <v>-6.0578677615774623E-5</v>
      </c>
      <c r="BL15" s="96">
        <f>IF( OR(ISBLANK(V15:V19),ISBLANK(AT15:AT19), ISBLANK(Z15:Z19),ISBLANK(AX15:AX19)), "·", bdRateExtend( V15:V19,Z15:Z19, AT15:AT19,AX15:AX19))</f>
        <v>-4.3447400852159035E-5</v>
      </c>
      <c r="BM15" s="96">
        <f>IF( OR(ISBLANK(V15:V19),ISBLANK(AT15:AT19), ISBLANK(AA15:AA19),ISBLANK(AY15:AY19)), "·", bdRateExtend( V15:V19,AA15:AA19, AT15:AT19,AY15:AY19))</f>
        <v>-4.865527380437662E-5</v>
      </c>
      <c r="BN15" s="114"/>
      <c r="BO15" s="96">
        <f>IF( OR(ISBLANK(S15:S19),ISBLANK(AQ15:AQ19), ISBLANK(W15:W19),ISBLANK(AU15:AU19)), "·", bdRateExtend( S15:S19,W15:W19, AQ15:AQ19,AU15:AU19))</f>
        <v>-1.8873791418627661E-14</v>
      </c>
      <c r="BP15" s="96">
        <f>IF( OR(ISBLANK(S15:S19),ISBLANK(AQ15:AQ19), ISBLANK(X15:X19),ISBLANK(AV15:AV19)), "·", bdRateExtend( S15:S19,X15:X19, AQ15:AQ19,AV15:AV19))</f>
        <v>-1.354472090042691E-14</v>
      </c>
      <c r="BQ15" s="96">
        <f>IF( OR(ISBLANK(S15:S19),ISBLANK(AQ15:AQ19), ISBLANK(Y15:Y19),ISBLANK(AW15:AW19)), "·", bdRateExtend( S15:S19,Y15:Y19, AQ15:AQ19,AW15:AW19))</f>
        <v>0</v>
      </c>
      <c r="BR15" s="96">
        <f>IF( OR(ISBLANK(S15:S19),ISBLANK(AQ15:AQ19), ISBLANK(Z15:Z19),ISBLANK(AX15:AX19)), "·", bdRateExtend( S15:S19,Z15:Z19, AQ15:AQ19,AX15:AX19))</f>
        <v>-3.3306690738754696E-15</v>
      </c>
      <c r="BS15" s="96">
        <f>IF( OR(ISBLANK(S15:S19),ISBLANK(AQ15:AQ19), ISBLANK(AA15:AA19),ISBLANK(AY15:AY19)), "·", bdRateExtend( S15:S19,AA15:AA19, AQ15:AQ19,AY15:AY19))</f>
        <v>-9.1038288019262836E-15</v>
      </c>
      <c r="BU15" s="4">
        <f t="shared" si="16"/>
        <v>0</v>
      </c>
    </row>
    <row r="16" spans="1:73" outlineLevel="1" x14ac:dyDescent="0.25">
      <c r="A16" s="21"/>
      <c r="B16" s="21" t="s">
        <v>278</v>
      </c>
      <c r="C16" s="22" t="s">
        <v>269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2.4427425</v>
      </c>
      <c r="J16" s="24">
        <f t="shared" si="1"/>
        <v>7.6753082489962945E-2</v>
      </c>
      <c r="K16" s="24">
        <f t="shared" si="2"/>
        <v>5.7451402182615047E-2</v>
      </c>
      <c r="L16" s="24">
        <f t="shared" si="3"/>
        <v>3.4025497678518479E-2</v>
      </c>
      <c r="M16" s="24">
        <f t="shared" si="4"/>
        <v>1.9305922124132173E-2</v>
      </c>
      <c r="N16" s="21">
        <f t="shared" si="5"/>
        <v>1950344</v>
      </c>
      <c r="O16" s="24">
        <f t="shared" si="6"/>
        <v>7.6400119467916222E-2</v>
      </c>
      <c r="P16" s="119">
        <v>34104554</v>
      </c>
      <c r="Q16" s="119">
        <v>1065767.3125</v>
      </c>
      <c r="R16" s="119">
        <v>39391.28125</v>
      </c>
      <c r="S16" s="120">
        <v>2605592</v>
      </c>
      <c r="T16" s="120">
        <v>1155088</v>
      </c>
      <c r="U16" s="120">
        <v>795256</v>
      </c>
      <c r="V16" s="120">
        <v>655392</v>
      </c>
      <c r="W16" s="121">
        <v>68.094181249999906</v>
      </c>
      <c r="X16" s="121">
        <v>70.090278124999898</v>
      </c>
      <c r="Y16" s="121">
        <v>31.73281875</v>
      </c>
      <c r="Z16" s="121">
        <v>43.915612500000002</v>
      </c>
      <c r="AA16" s="121">
        <v>44.425890625000001</v>
      </c>
      <c r="AB16" s="122">
        <v>11735.3</v>
      </c>
      <c r="AC16" s="122">
        <v>4953.24</v>
      </c>
      <c r="AD16" s="122">
        <v>10.08</v>
      </c>
      <c r="AE16" s="122">
        <v>28.696000000000002</v>
      </c>
      <c r="AG16" s="23">
        <f t="shared" si="7"/>
        <v>2.4427425</v>
      </c>
      <c r="AH16" s="24">
        <f t="shared" si="8"/>
        <v>7.6753082489962945E-2</v>
      </c>
      <c r="AI16" s="24">
        <f t="shared" si="9"/>
        <v>5.7445824979065453E-2</v>
      </c>
      <c r="AJ16" s="24">
        <f t="shared" si="10"/>
        <v>3.4023690978777131E-2</v>
      </c>
      <c r="AK16" s="24">
        <f t="shared" si="11"/>
        <v>1.9304115424390735E-2</v>
      </c>
      <c r="AL16" s="21">
        <f t="shared" si="12"/>
        <v>1950154.66666667</v>
      </c>
      <c r="AM16" s="24">
        <f t="shared" si="13"/>
        <v>7.6400119467916222E-2</v>
      </c>
      <c r="AN16" s="97">
        <v>34104554</v>
      </c>
      <c r="AO16" s="97">
        <v>1065767.3125</v>
      </c>
      <c r="AP16" s="97">
        <v>39391.28125</v>
      </c>
      <c r="AQ16" s="98">
        <v>2605592</v>
      </c>
      <c r="AR16" s="98">
        <v>1155026.66666667</v>
      </c>
      <c r="AS16" s="98">
        <v>795128</v>
      </c>
      <c r="AT16" s="98">
        <v>655330.66666666698</v>
      </c>
      <c r="AU16" s="99">
        <v>68.094181250000005</v>
      </c>
      <c r="AV16" s="99">
        <v>70.090278124999998</v>
      </c>
      <c r="AW16" s="99">
        <v>31.73281875</v>
      </c>
      <c r="AX16" s="99">
        <v>43.915612500000002</v>
      </c>
      <c r="AY16" s="99">
        <v>44.425890625000001</v>
      </c>
      <c r="AZ16" s="100">
        <v>6367.4</v>
      </c>
      <c r="BA16" s="100">
        <v>6976.87</v>
      </c>
      <c r="BB16" s="100">
        <v>9.9250000000000007</v>
      </c>
      <c r="BC16" s="100">
        <v>28.27</v>
      </c>
      <c r="BE16" s="25">
        <f t="shared" si="14"/>
        <v>0</v>
      </c>
      <c r="BF16" s="25">
        <f t="shared" si="15"/>
        <v>-7.2664228831675892E-5</v>
      </c>
      <c r="BG16" s="25"/>
      <c r="BI16" s="101"/>
      <c r="BJ16" s="101"/>
      <c r="BK16" s="101"/>
      <c r="BL16" s="101"/>
      <c r="BM16" s="101"/>
      <c r="BN16" s="114"/>
      <c r="BO16" s="101"/>
      <c r="BP16" s="101"/>
      <c r="BQ16" s="101"/>
      <c r="BR16" s="101"/>
      <c r="BS16" s="101"/>
      <c r="BU16" s="4">
        <f t="shared" si="16"/>
        <v>0</v>
      </c>
    </row>
    <row r="17" spans="1:73" outlineLevel="1" x14ac:dyDescent="0.25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3.4026375</v>
      </c>
      <c r="J17" s="18">
        <f t="shared" si="1"/>
        <v>0.10691381376503717</v>
      </c>
      <c r="K17" s="18">
        <f t="shared" si="2"/>
        <v>6.735934356471325E-2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2286696</v>
      </c>
      <c r="O17" s="18">
        <f t="shared" si="6"/>
        <v>0.10600165736746098</v>
      </c>
      <c r="P17" s="115">
        <v>34239842</v>
      </c>
      <c r="Q17" s="115">
        <v>1069995.0625</v>
      </c>
      <c r="R17" s="115">
        <v>40498.25</v>
      </c>
      <c r="S17" s="116">
        <v>3629480</v>
      </c>
      <c r="T17" s="116">
        <v>1491440</v>
      </c>
      <c r="U17" s="116">
        <v>795256</v>
      </c>
      <c r="V17" s="116">
        <v>1342928</v>
      </c>
      <c r="W17" s="117">
        <v>69.468378125000001</v>
      </c>
      <c r="X17" s="117">
        <v>71.867181250000002</v>
      </c>
      <c r="Y17" s="117">
        <v>34.163890625000001</v>
      </c>
      <c r="Z17" s="117">
        <v>45.253209374999997</v>
      </c>
      <c r="AA17" s="117">
        <v>45.705962499999998</v>
      </c>
      <c r="AB17" s="118">
        <v>11133.9</v>
      </c>
      <c r="AC17" s="118">
        <v>5312.52</v>
      </c>
      <c r="AD17" s="118">
        <v>10.116</v>
      </c>
      <c r="AE17" s="118">
        <v>29.187999999999999</v>
      </c>
      <c r="AG17" s="17">
        <f t="shared" si="7"/>
        <v>3.4026375</v>
      </c>
      <c r="AH17" s="18">
        <f t="shared" si="8"/>
        <v>0.10691381376503717</v>
      </c>
      <c r="AI17" s="18">
        <f t="shared" si="9"/>
        <v>6.735376636116365E-2</v>
      </c>
      <c r="AJ17" s="18">
        <f t="shared" si="10"/>
        <v>4.3931632360875335E-2</v>
      </c>
      <c r="AK17" s="18">
        <f t="shared" si="11"/>
        <v>3.9556905317366838E-2</v>
      </c>
      <c r="AL17" s="15">
        <f t="shared" si="12"/>
        <v>2286506.6666666698</v>
      </c>
      <c r="AM17" s="18">
        <f t="shared" si="13"/>
        <v>0.10600165736746098</v>
      </c>
      <c r="AN17" s="92">
        <v>34239842</v>
      </c>
      <c r="AO17" s="92">
        <v>1069995.0625</v>
      </c>
      <c r="AP17" s="92">
        <v>40498.25</v>
      </c>
      <c r="AQ17" s="93">
        <v>3629480</v>
      </c>
      <c r="AR17" s="93">
        <v>1491378.66666667</v>
      </c>
      <c r="AS17" s="93">
        <v>795128</v>
      </c>
      <c r="AT17" s="93">
        <v>1342866.66666667</v>
      </c>
      <c r="AU17" s="94">
        <v>69.468378125000001</v>
      </c>
      <c r="AV17" s="94">
        <v>71.867181250000002</v>
      </c>
      <c r="AW17" s="94">
        <v>34.163890625000001</v>
      </c>
      <c r="AX17" s="94">
        <v>45.253209374999997</v>
      </c>
      <c r="AY17" s="94">
        <v>45.705962499999998</v>
      </c>
      <c r="AZ17" s="95">
        <v>6159.8</v>
      </c>
      <c r="BA17" s="95">
        <v>7105.53</v>
      </c>
      <c r="BB17" s="95">
        <v>9.9879999999999995</v>
      </c>
      <c r="BC17" s="95">
        <v>29.440999999999999</v>
      </c>
      <c r="BE17" s="19">
        <f t="shared" si="14"/>
        <v>0</v>
      </c>
      <c r="BF17" s="19">
        <f t="shared" si="15"/>
        <v>-5.2165415797889025E-5</v>
      </c>
      <c r="BG17" s="19"/>
      <c r="BI17" s="96"/>
      <c r="BJ17" s="96"/>
      <c r="BK17" s="96"/>
      <c r="BL17" s="96"/>
      <c r="BM17" s="96"/>
      <c r="BN17" s="114"/>
      <c r="BO17" s="96"/>
      <c r="BP17" s="96"/>
      <c r="BQ17" s="96"/>
      <c r="BR17" s="96"/>
      <c r="BS17" s="96"/>
      <c r="BU17" s="4">
        <f t="shared" si="16"/>
        <v>0</v>
      </c>
    </row>
    <row r="18" spans="1:73" outlineLevel="1" x14ac:dyDescent="0.25">
      <c r="A18" s="21"/>
      <c r="B18" s="21" t="s">
        <v>278</v>
      </c>
      <c r="C18" s="22" t="s">
        <v>271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6.1874025000000001</v>
      </c>
      <c r="J18" s="24">
        <f t="shared" si="1"/>
        <v>0.19441353907794331</v>
      </c>
      <c r="K18" s="24">
        <f t="shared" si="2"/>
        <v>9.5229258119794685E-2</v>
      </c>
      <c r="L18" s="24">
        <f t="shared" si="3"/>
        <v>7.1803353615698118E-2</v>
      </c>
      <c r="M18" s="24">
        <f t="shared" si="4"/>
        <v>9.9188522774932911E-2</v>
      </c>
      <c r="N18" s="21">
        <f t="shared" si="5"/>
        <v>3232816</v>
      </c>
      <c r="O18" s="24">
        <f t="shared" si="6"/>
        <v>0.18559825926336915</v>
      </c>
      <c r="P18" s="119">
        <v>35560118</v>
      </c>
      <c r="Q18" s="119">
        <v>1111253.6875</v>
      </c>
      <c r="R18" s="119">
        <v>45639.40625</v>
      </c>
      <c r="S18" s="120">
        <v>6599896</v>
      </c>
      <c r="T18" s="120">
        <v>2437560</v>
      </c>
      <c r="U18" s="120">
        <v>795256</v>
      </c>
      <c r="V18" s="120">
        <v>3367224</v>
      </c>
      <c r="W18" s="121">
        <v>70.4932625</v>
      </c>
      <c r="X18" s="121">
        <v>73.121421874999996</v>
      </c>
      <c r="Y18" s="121">
        <v>36.5251375</v>
      </c>
      <c r="Z18" s="121">
        <v>46.468596875000003</v>
      </c>
      <c r="AA18" s="121">
        <v>46.962015624999999</v>
      </c>
      <c r="AB18" s="122">
        <v>11686.1</v>
      </c>
      <c r="AC18" s="122">
        <v>5855.42</v>
      </c>
      <c r="AD18" s="122">
        <v>10.14</v>
      </c>
      <c r="AE18" s="122">
        <v>29.812000000000001</v>
      </c>
      <c r="AG18" s="23">
        <f t="shared" si="7"/>
        <v>6.1874025000000001</v>
      </c>
      <c r="AH18" s="24">
        <f t="shared" si="8"/>
        <v>0.19441353907794331</v>
      </c>
      <c r="AI18" s="24">
        <f t="shared" si="9"/>
        <v>9.5223680916245085E-2</v>
      </c>
      <c r="AJ18" s="24">
        <f t="shared" si="10"/>
        <v>7.1801546915956763E-2</v>
      </c>
      <c r="AK18" s="24">
        <f t="shared" si="11"/>
        <v>9.9186716075191556E-2</v>
      </c>
      <c r="AL18" s="21">
        <f t="shared" si="12"/>
        <v>3232626.6666666698</v>
      </c>
      <c r="AM18" s="24">
        <f t="shared" si="13"/>
        <v>0.18559825926336915</v>
      </c>
      <c r="AN18" s="97">
        <v>35560118</v>
      </c>
      <c r="AO18" s="97">
        <v>1111253.6875</v>
      </c>
      <c r="AP18" s="97">
        <v>45639.40625</v>
      </c>
      <c r="AQ18" s="98">
        <v>6599896</v>
      </c>
      <c r="AR18" s="98">
        <v>2437498.6666666698</v>
      </c>
      <c r="AS18" s="98">
        <v>795128</v>
      </c>
      <c r="AT18" s="98">
        <v>3367162.6666666698</v>
      </c>
      <c r="AU18" s="99">
        <v>70.4932625</v>
      </c>
      <c r="AV18" s="99">
        <v>73.121421874999996</v>
      </c>
      <c r="AW18" s="99">
        <v>36.5251375</v>
      </c>
      <c r="AX18" s="99">
        <v>46.468596875000003</v>
      </c>
      <c r="AY18" s="99">
        <v>46.962015624999999</v>
      </c>
      <c r="AZ18" s="100">
        <v>6296.55</v>
      </c>
      <c r="BA18" s="100">
        <v>8002.17</v>
      </c>
      <c r="BB18" s="100">
        <v>10.156000000000001</v>
      </c>
      <c r="BC18" s="100">
        <v>30.158999999999999</v>
      </c>
      <c r="BE18" s="25">
        <f t="shared" si="14"/>
        <v>0</v>
      </c>
      <c r="BF18" s="25">
        <f t="shared" si="15"/>
        <v>-2.8687320729026133E-5</v>
      </c>
      <c r="BG18" s="25"/>
      <c r="BI18" s="101"/>
      <c r="BJ18" s="101"/>
      <c r="BK18" s="101"/>
      <c r="BL18" s="101"/>
      <c r="BM18" s="101"/>
      <c r="BN18" s="114"/>
      <c r="BO18" s="101"/>
      <c r="BP18" s="101"/>
      <c r="BQ18" s="101"/>
      <c r="BR18" s="101"/>
      <c r="BS18" s="101"/>
      <c r="BU18" s="4">
        <f t="shared" si="16"/>
        <v>0</v>
      </c>
    </row>
    <row r="19" spans="1:73" ht="15.75" outlineLevel="1" thickBot="1" x14ac:dyDescent="0.3">
      <c r="A19" s="15"/>
      <c r="B19" s="27" t="s">
        <v>278</v>
      </c>
      <c r="C19" s="28" t="s">
        <v>272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14.5409475</v>
      </c>
      <c r="J19" s="30">
        <f t="shared" si="1"/>
        <v>0.45688914936786029</v>
      </c>
      <c r="K19" s="30">
        <f t="shared" si="2"/>
        <v>0.16535992198356309</v>
      </c>
      <c r="L19" s="30">
        <f t="shared" si="3"/>
        <v>0.1167036912466399</v>
      </c>
      <c r="M19" s="30">
        <f t="shared" si="4"/>
        <v>0.29153346920108147</v>
      </c>
      <c r="N19" s="27">
        <f t="shared" si="5"/>
        <v>5613592</v>
      </c>
      <c r="O19" s="30">
        <f t="shared" si="6"/>
        <v>0.46137596872303216</v>
      </c>
      <c r="P19" s="123">
        <v>33617581</v>
      </c>
      <c r="Q19" s="123">
        <v>1050549.40625</v>
      </c>
      <c r="R19" s="123">
        <v>19923.5625</v>
      </c>
      <c r="S19" s="124">
        <v>15510344</v>
      </c>
      <c r="T19" s="124">
        <v>3961824</v>
      </c>
      <c r="U19" s="124">
        <v>1651768</v>
      </c>
      <c r="V19" s="124">
        <v>9896896</v>
      </c>
      <c r="W19" s="125">
        <v>71.522968749999905</v>
      </c>
      <c r="X19" s="125">
        <v>75.1362968749999</v>
      </c>
      <c r="Y19" s="125">
        <v>38.812965624999997</v>
      </c>
      <c r="Z19" s="125">
        <v>48.258624999999903</v>
      </c>
      <c r="AA19" s="125">
        <v>48.851871874999901</v>
      </c>
      <c r="AB19" s="126">
        <v>11480.3</v>
      </c>
      <c r="AC19" s="126">
        <v>7189.76</v>
      </c>
      <c r="AD19" s="126">
        <v>8.48</v>
      </c>
      <c r="AE19" s="126">
        <v>28.204000000000001</v>
      </c>
      <c r="AG19" s="29">
        <f t="shared" si="7"/>
        <v>14.5409475</v>
      </c>
      <c r="AH19" s="30">
        <f t="shared" si="8"/>
        <v>0.45688914936786029</v>
      </c>
      <c r="AI19" s="30">
        <f t="shared" si="9"/>
        <v>0.16535434478001348</v>
      </c>
      <c r="AJ19" s="30">
        <f t="shared" si="10"/>
        <v>0.11670188454689855</v>
      </c>
      <c r="AK19" s="30">
        <f t="shared" si="11"/>
        <v>0.29153166250134016</v>
      </c>
      <c r="AL19" s="27">
        <f t="shared" si="12"/>
        <v>5613402.6666666698</v>
      </c>
      <c r="AM19" s="30">
        <f t="shared" si="13"/>
        <v>0.46137596872303216</v>
      </c>
      <c r="AN19" s="102">
        <v>33617581</v>
      </c>
      <c r="AO19" s="102">
        <v>1050549.40625</v>
      </c>
      <c r="AP19" s="102">
        <v>19923.5625</v>
      </c>
      <c r="AQ19" s="103">
        <v>15510344</v>
      </c>
      <c r="AR19" s="103">
        <v>3961762.6666666698</v>
      </c>
      <c r="AS19" s="103">
        <v>1651640</v>
      </c>
      <c r="AT19" s="103">
        <v>9896834.6666666698</v>
      </c>
      <c r="AU19" s="104">
        <v>71.522968750000004</v>
      </c>
      <c r="AV19" s="104">
        <v>75.136296874999999</v>
      </c>
      <c r="AW19" s="104">
        <v>38.812965624999997</v>
      </c>
      <c r="AX19" s="104">
        <v>48.258625000000002</v>
      </c>
      <c r="AY19" s="104">
        <v>48.851871875000001</v>
      </c>
      <c r="AZ19" s="105">
        <v>6005.95</v>
      </c>
      <c r="BA19" s="105">
        <v>8723.51</v>
      </c>
      <c r="BB19" s="105">
        <v>11.427</v>
      </c>
      <c r="BC19" s="105">
        <v>34.808999999999997</v>
      </c>
      <c r="BE19" s="31">
        <f t="shared" si="14"/>
        <v>0</v>
      </c>
      <c r="BF19" s="31">
        <f t="shared" si="15"/>
        <v>-1.2206907424483493E-5</v>
      </c>
      <c r="BG19" s="31"/>
      <c r="BI19" s="106"/>
      <c r="BJ19" s="106"/>
      <c r="BK19" s="106"/>
      <c r="BL19" s="106"/>
      <c r="BM19" s="106"/>
      <c r="BN19" s="114"/>
      <c r="BO19" s="106"/>
      <c r="BP19" s="106"/>
      <c r="BQ19" s="106"/>
      <c r="BR19" s="106"/>
      <c r="BS19" s="106"/>
      <c r="BU19" s="4">
        <f t="shared" si="16"/>
        <v>0</v>
      </c>
    </row>
    <row r="20" spans="1:73" x14ac:dyDescent="0.25">
      <c r="A20" s="21"/>
      <c r="B20" s="21" t="s">
        <v>281</v>
      </c>
      <c r="C20" s="22" t="s">
        <v>268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2.2821750000000001</v>
      </c>
      <c r="J20" s="24">
        <f t="shared" si="1"/>
        <v>4.5346420014652132E-2</v>
      </c>
      <c r="K20" s="24">
        <f t="shared" si="2"/>
        <v>3.3996527064891716E-2</v>
      </c>
      <c r="L20" s="24">
        <f t="shared" si="3"/>
        <v>1.8871367186528581E-2</v>
      </c>
      <c r="M20" s="24">
        <f t="shared" si="4"/>
        <v>1.1354363660596922E-2</v>
      </c>
      <c r="N20" s="21">
        <f t="shared" si="5"/>
        <v>1095016</v>
      </c>
      <c r="O20" s="24">
        <f t="shared" si="6"/>
        <v>4.7419037701880211E-2</v>
      </c>
      <c r="P20" s="119">
        <v>30801806</v>
      </c>
      <c r="Q20" s="119">
        <v>962556.4375</v>
      </c>
      <c r="R20" s="119">
        <v>28246.0625</v>
      </c>
      <c r="S20" s="120">
        <v>1460592</v>
      </c>
      <c r="T20" s="120">
        <v>607840</v>
      </c>
      <c r="U20" s="120">
        <v>487176</v>
      </c>
      <c r="V20" s="120">
        <v>365720</v>
      </c>
      <c r="W20" s="121">
        <v>67.130621874999903</v>
      </c>
      <c r="X20" s="121">
        <v>68.790568749999906</v>
      </c>
      <c r="Y20" s="121">
        <v>30.041068749999901</v>
      </c>
      <c r="Z20" s="121">
        <v>39.297615624999999</v>
      </c>
      <c r="AA20" s="121">
        <v>37.967503125</v>
      </c>
      <c r="AB20" s="122">
        <v>10096.700000000001</v>
      </c>
      <c r="AC20" s="122">
        <v>3588.12</v>
      </c>
      <c r="AD20" s="122">
        <v>11.728</v>
      </c>
      <c r="AE20" s="122">
        <v>28.888000000000002</v>
      </c>
      <c r="AG20" s="23">
        <f t="shared" si="7"/>
        <v>2.2821750000000001</v>
      </c>
      <c r="AH20" s="24">
        <f t="shared" si="8"/>
        <v>4.5346420014652132E-2</v>
      </c>
      <c r="AI20" s="24">
        <f t="shared" si="9"/>
        <v>3.399064890805114E-2</v>
      </c>
      <c r="AJ20" s="24">
        <f t="shared" si="10"/>
        <v>1.8869462994876005E-2</v>
      </c>
      <c r="AK20" s="24">
        <f t="shared" si="11"/>
        <v>1.1352459468944346E-2</v>
      </c>
      <c r="AL20" s="21">
        <f t="shared" si="12"/>
        <v>1094826.666666667</v>
      </c>
      <c r="AM20" s="24">
        <f t="shared" si="13"/>
        <v>4.7419037701880211E-2</v>
      </c>
      <c r="AN20" s="97">
        <v>30801806</v>
      </c>
      <c r="AO20" s="97">
        <v>962556.4375</v>
      </c>
      <c r="AP20" s="97">
        <v>28246.0625</v>
      </c>
      <c r="AQ20" s="98">
        <v>1460592</v>
      </c>
      <c r="AR20" s="98">
        <v>607778.66666666698</v>
      </c>
      <c r="AS20" s="98">
        <v>487048</v>
      </c>
      <c r="AT20" s="98">
        <v>365658.66666666698</v>
      </c>
      <c r="AU20" s="99">
        <v>67.130621875000003</v>
      </c>
      <c r="AV20" s="99">
        <v>68.790568750000006</v>
      </c>
      <c r="AW20" s="99">
        <v>30.041068750000001</v>
      </c>
      <c r="AX20" s="99">
        <v>39.297615624999999</v>
      </c>
      <c r="AY20" s="99">
        <v>37.967503125</v>
      </c>
      <c r="AZ20" s="100">
        <v>6105.51</v>
      </c>
      <c r="BA20" s="100">
        <v>5453.67</v>
      </c>
      <c r="BB20" s="100">
        <v>9.7029999999999994</v>
      </c>
      <c r="BC20" s="100">
        <v>21.492999999999999</v>
      </c>
      <c r="BE20" s="25">
        <f t="shared" si="14"/>
        <v>0</v>
      </c>
      <c r="BF20" s="25">
        <f t="shared" si="15"/>
        <v>-1.2962780388570128E-4</v>
      </c>
      <c r="BG20" s="25">
        <f t="array" ref="BG20">AVERAGE(AL20:AL24/AQ20:AQ24) - AVERAGE(N20:N24/S20:S24)</f>
        <v>-6.59372147855386E-5</v>
      </c>
      <c r="BI20" s="101">
        <f>IF( OR(ISBLANK(N20:N24),ISBLANK(AL20:AL24), ISBLANK(W20:W24),ISBLANK(AU20:AU24)), "·", bdRateExtend( N20:N24,W20:W24, AL20:AL24,AU20:AU24))</f>
        <v>-1.2627520030028538E-4</v>
      </c>
      <c r="BJ20" s="101">
        <f>IF( OR(ISBLANK(N20:N24),ISBLANK(AL20:AL24), ISBLANK(X20:X24),ISBLANK(AV20:AV24)), "·", bdRateExtend( N20:N24,X20:X24, AL20:AL24,AV20:AV24))</f>
        <v>-1.1810668673772895E-4</v>
      </c>
      <c r="BK20" s="101">
        <f>IF( OR(ISBLANK(V20:V24),ISBLANK(AT20:AT24), ISBLANK(Y20:Y24),ISBLANK(AW20:AW24)), "·", bdRateExtend( V20:V24,Y20:Y24, AT20:AT24,AW20:AW24))</f>
        <v>-5.1992722747362663E-5</v>
      </c>
      <c r="BL20" s="101">
        <f>IF( OR(ISBLANK(V20:V24),ISBLANK(AT20:AT24), ISBLANK(Z20:Z24),ISBLANK(AX20:AX24)), "·", bdRateExtend( V20:V24,Z20:Z24, AT20:AT24,AX20:AX24))</f>
        <v>-5.7676723153377019E-5</v>
      </c>
      <c r="BM20" s="101">
        <f>IF( OR(ISBLANK(V20:V24),ISBLANK(AT20:AT24), ISBLANK(AA20:AA24),ISBLANK(AY20:AY24)), "·", bdRateExtend( V20:V24,AA20:AA24, AT20:AT24,AY20:AY24))</f>
        <v>-6.197754457193394E-5</v>
      </c>
      <c r="BN20" s="114"/>
      <c r="BO20" s="101">
        <f>IF( OR(ISBLANK(S20:S24),ISBLANK(AQ20:AQ24), ISBLANK(W20:W24),ISBLANK(AU20:AU24)), "·", bdRateExtend( S20:S24,W20:W24, AQ20:AQ24,AU20:AU24))</f>
        <v>-1.1990408665951691E-14</v>
      </c>
      <c r="BP20" s="101">
        <f>IF( OR(ISBLANK(S20:S24),ISBLANK(AQ20:AQ24), ISBLANK(X20:X24),ISBLANK(AV20:AV24)), "·", bdRateExtend( S20:S24,X20:X24, AQ20:AQ24,AV20:AV24))</f>
        <v>0</v>
      </c>
      <c r="BQ20" s="101">
        <f>IF( OR(ISBLANK(S20:S24),ISBLANK(AQ20:AQ24), ISBLANK(Y20:Y24),ISBLANK(AW20:AW24)), "·", bdRateExtend( S20:S24,Y20:Y24, AQ20:AQ24,AW20:AW24))</f>
        <v>-1.4210854715202004E-14</v>
      </c>
      <c r="BR20" s="101">
        <f>IF( OR(ISBLANK(S20:S24),ISBLANK(AQ20:AQ24), ISBLANK(Z20:Z24),ISBLANK(AX20:AX24)), "·", bdRateExtend( S20:S24,Z20:Z24, AQ20:AQ24,AX20:AX24))</f>
        <v>-2.8421709430404007E-14</v>
      </c>
      <c r="BS20" s="101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 x14ac:dyDescent="0.25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3.1211000000000002</v>
      </c>
      <c r="J21" s="18">
        <f t="shared" si="1"/>
        <v>6.2015713741378632E-2</v>
      </c>
      <c r="K21" s="18">
        <f t="shared" si="2"/>
        <v>3.9562562056338221E-2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1274296</v>
      </c>
      <c r="O21" s="18">
        <f t="shared" si="6"/>
        <v>6.3156943536351123E-2</v>
      </c>
      <c r="P21" s="115">
        <v>31627623</v>
      </c>
      <c r="Q21" s="115">
        <v>988363.21875</v>
      </c>
      <c r="R21" s="115">
        <v>32272.96875</v>
      </c>
      <c r="S21" s="116">
        <v>1997504</v>
      </c>
      <c r="T21" s="116">
        <v>787120</v>
      </c>
      <c r="U21" s="116">
        <v>487176</v>
      </c>
      <c r="V21" s="116">
        <v>723352</v>
      </c>
      <c r="W21" s="117">
        <v>68.791021874999998</v>
      </c>
      <c r="X21" s="117">
        <v>70.898106249999998</v>
      </c>
      <c r="Y21" s="117">
        <v>31.547462499999899</v>
      </c>
      <c r="Z21" s="117">
        <v>40.477543749999903</v>
      </c>
      <c r="AA21" s="117">
        <v>39.232834375000003</v>
      </c>
      <c r="AB21" s="118">
        <v>11480.8</v>
      </c>
      <c r="AC21" s="118">
        <v>3804.04</v>
      </c>
      <c r="AD21" s="118">
        <v>7.1</v>
      </c>
      <c r="AE21" s="118">
        <v>19.231999999999999</v>
      </c>
      <c r="AG21" s="17">
        <f t="shared" si="7"/>
        <v>3.1211000000000002</v>
      </c>
      <c r="AH21" s="18">
        <f t="shared" si="8"/>
        <v>6.2015713741378632E-2</v>
      </c>
      <c r="AI21" s="18">
        <f t="shared" si="9"/>
        <v>3.9556683899497645E-2</v>
      </c>
      <c r="AJ21" s="18">
        <f t="shared" si="10"/>
        <v>2.443549798632251E-2</v>
      </c>
      <c r="AK21" s="18">
        <f t="shared" si="11"/>
        <v>2.2455718204224338E-2</v>
      </c>
      <c r="AL21" s="15">
        <f t="shared" si="12"/>
        <v>1274106.666666667</v>
      </c>
      <c r="AM21" s="18">
        <f t="shared" si="13"/>
        <v>6.3156943536351123E-2</v>
      </c>
      <c r="AN21" s="92">
        <v>31627623</v>
      </c>
      <c r="AO21" s="92">
        <v>988363.21875</v>
      </c>
      <c r="AP21" s="92">
        <v>32272.96875</v>
      </c>
      <c r="AQ21" s="93">
        <v>1997504</v>
      </c>
      <c r="AR21" s="93">
        <v>787058.66666666698</v>
      </c>
      <c r="AS21" s="93">
        <v>487048</v>
      </c>
      <c r="AT21" s="93">
        <v>723290.66666666698</v>
      </c>
      <c r="AU21" s="94">
        <v>68.791021874999998</v>
      </c>
      <c r="AV21" s="94">
        <v>70.898106249999998</v>
      </c>
      <c r="AW21" s="94">
        <v>31.547462500000002</v>
      </c>
      <c r="AX21" s="94">
        <v>40.477543750000002</v>
      </c>
      <c r="AY21" s="94">
        <v>39.232834375000003</v>
      </c>
      <c r="AZ21" s="95">
        <v>6139.31</v>
      </c>
      <c r="BA21" s="95">
        <v>5665.78</v>
      </c>
      <c r="BB21" s="95">
        <v>9.1929999999999996</v>
      </c>
      <c r="BC21" s="95">
        <v>27.489000000000001</v>
      </c>
      <c r="BE21" s="19">
        <f t="shared" si="14"/>
        <v>0</v>
      </c>
      <c r="BF21" s="19">
        <f t="shared" si="15"/>
        <v>-9.4784958294402699E-5</v>
      </c>
      <c r="BG21" s="19"/>
      <c r="BI21" s="96"/>
      <c r="BJ21" s="96"/>
      <c r="BK21" s="96"/>
      <c r="BL21" s="96"/>
      <c r="BM21" s="96"/>
      <c r="BN21" s="114"/>
      <c r="BO21" s="96"/>
      <c r="BP21" s="96"/>
      <c r="BQ21" s="96"/>
      <c r="BR21" s="96"/>
      <c r="BS21" s="96"/>
      <c r="BU21" s="4">
        <f t="shared" si="16"/>
        <v>0</v>
      </c>
    </row>
    <row r="22" spans="1:73" outlineLevel="1" x14ac:dyDescent="0.25">
      <c r="A22" s="21"/>
      <c r="B22" s="21" t="s">
        <v>281</v>
      </c>
      <c r="C22" s="22" t="s">
        <v>270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5.1036625000000004</v>
      </c>
      <c r="J22" s="24">
        <f t="shared" si="1"/>
        <v>0.10140888553157823</v>
      </c>
      <c r="K22" s="24">
        <f t="shared" si="2"/>
        <v>4.6562204989356759E-2</v>
      </c>
      <c r="L22" s="24">
        <f t="shared" si="3"/>
        <v>3.1437045110993621E-2</v>
      </c>
      <c r="M22" s="24">
        <f t="shared" si="4"/>
        <v>5.4851151253057971E-2</v>
      </c>
      <c r="N22" s="21">
        <f t="shared" si="5"/>
        <v>1499752</v>
      </c>
      <c r="O22" s="24">
        <f t="shared" si="6"/>
        <v>9.9745989051694489E-2</v>
      </c>
      <c r="P22" s="119">
        <v>32746620</v>
      </c>
      <c r="Q22" s="119">
        <v>1023331.875</v>
      </c>
      <c r="R22" s="119">
        <v>34640.1875</v>
      </c>
      <c r="S22" s="120">
        <v>3266344</v>
      </c>
      <c r="T22" s="120">
        <v>1012576</v>
      </c>
      <c r="U22" s="120">
        <v>487176</v>
      </c>
      <c r="V22" s="120">
        <v>1766736</v>
      </c>
      <c r="W22" s="121">
        <v>70.003465624999905</v>
      </c>
      <c r="X22" s="121">
        <v>72.449924999999993</v>
      </c>
      <c r="Y22" s="121">
        <v>33.569618749999997</v>
      </c>
      <c r="Z22" s="121">
        <v>41.681912499999903</v>
      </c>
      <c r="AA22" s="121">
        <v>40.571950000000001</v>
      </c>
      <c r="AB22" s="122">
        <v>11482.4</v>
      </c>
      <c r="AC22" s="122">
        <v>4023.62</v>
      </c>
      <c r="AD22" s="122">
        <v>7.7679999999999998</v>
      </c>
      <c r="AE22" s="122">
        <v>20.936</v>
      </c>
      <c r="AG22" s="23">
        <f t="shared" si="7"/>
        <v>5.1036625000000004</v>
      </c>
      <c r="AH22" s="24">
        <f t="shared" si="8"/>
        <v>0.10140888553157823</v>
      </c>
      <c r="AI22" s="24">
        <f t="shared" si="9"/>
        <v>4.6556326832516273E-2</v>
      </c>
      <c r="AJ22" s="24">
        <f t="shared" si="10"/>
        <v>3.1435140919341145E-2</v>
      </c>
      <c r="AK22" s="24">
        <f t="shared" si="11"/>
        <v>5.4849247061405496E-2</v>
      </c>
      <c r="AL22" s="21">
        <f t="shared" si="12"/>
        <v>1499562.66666667</v>
      </c>
      <c r="AM22" s="24">
        <f t="shared" si="13"/>
        <v>9.9745989051694489E-2</v>
      </c>
      <c r="AN22" s="97">
        <v>32746620</v>
      </c>
      <c r="AO22" s="97">
        <v>1023331.875</v>
      </c>
      <c r="AP22" s="97">
        <v>34640.1875</v>
      </c>
      <c r="AQ22" s="98">
        <v>3266344</v>
      </c>
      <c r="AR22" s="98">
        <v>1012514.66666667</v>
      </c>
      <c r="AS22" s="98">
        <v>487048</v>
      </c>
      <c r="AT22" s="98">
        <v>1766674.66666667</v>
      </c>
      <c r="AU22" s="99">
        <v>70.003465625000004</v>
      </c>
      <c r="AV22" s="99">
        <v>72.449924999999993</v>
      </c>
      <c r="AW22" s="99">
        <v>33.569618749999997</v>
      </c>
      <c r="AX22" s="99">
        <v>41.681912500000003</v>
      </c>
      <c r="AY22" s="99">
        <v>40.571950000000001</v>
      </c>
      <c r="AZ22" s="100">
        <v>6151.86</v>
      </c>
      <c r="BA22" s="100">
        <v>6145.63</v>
      </c>
      <c r="BB22" s="100">
        <v>8.9860000000000007</v>
      </c>
      <c r="BC22" s="100">
        <v>21.36</v>
      </c>
      <c r="BE22" s="25">
        <f t="shared" si="14"/>
        <v>0</v>
      </c>
      <c r="BF22" s="25">
        <f t="shared" si="15"/>
        <v>-5.7964909185970193E-5</v>
      </c>
      <c r="BG22" s="25"/>
      <c r="BI22" s="101"/>
      <c r="BJ22" s="101"/>
      <c r="BK22" s="101"/>
      <c r="BL22" s="101"/>
      <c r="BM22" s="101"/>
      <c r="BN22" s="114"/>
      <c r="BO22" s="101"/>
      <c r="BP22" s="101"/>
      <c r="BQ22" s="101"/>
      <c r="BR22" s="101"/>
      <c r="BS22" s="101"/>
      <c r="BU22" s="4">
        <f t="shared" si="16"/>
        <v>0</v>
      </c>
    </row>
    <row r="23" spans="1:73" outlineLevel="1" x14ac:dyDescent="0.25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9.4715000000000007</v>
      </c>
      <c r="J23" s="18">
        <f t="shared" si="1"/>
        <v>0.18819705639084544</v>
      </c>
      <c r="K23" s="18">
        <f t="shared" si="2"/>
        <v>6.6090766668851317E-2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2128760</v>
      </c>
      <c r="O23" s="18">
        <f t="shared" si="6"/>
        <v>0.18341060161301215</v>
      </c>
      <c r="P23" s="115">
        <v>33050216</v>
      </c>
      <c r="Q23" s="115">
        <v>1032819.25</v>
      </c>
      <c r="R23" s="115">
        <v>36820.71875</v>
      </c>
      <c r="S23" s="116">
        <v>6061760</v>
      </c>
      <c r="T23" s="116">
        <v>1641584</v>
      </c>
      <c r="U23" s="116">
        <v>487176</v>
      </c>
      <c r="V23" s="116">
        <v>3933144</v>
      </c>
      <c r="W23" s="117">
        <v>70.935637499999999</v>
      </c>
      <c r="X23" s="117">
        <v>73.669268750000001</v>
      </c>
      <c r="Y23" s="117">
        <v>35.486553125</v>
      </c>
      <c r="Z23" s="117">
        <v>42.753943749999998</v>
      </c>
      <c r="AA23" s="117">
        <v>41.608881250000003</v>
      </c>
      <c r="AB23" s="118">
        <v>8075.64</v>
      </c>
      <c r="AC23" s="118">
        <v>4365.7299999999996</v>
      </c>
      <c r="AD23" s="118">
        <v>7.1239999999999997</v>
      </c>
      <c r="AE23" s="118">
        <v>19.579999999999998</v>
      </c>
      <c r="AG23" s="17">
        <f t="shared" si="7"/>
        <v>9.4715000000000007</v>
      </c>
      <c r="AH23" s="18">
        <f t="shared" si="8"/>
        <v>0.18819705639084544</v>
      </c>
      <c r="AI23" s="18">
        <f t="shared" si="9"/>
        <v>6.6084888512010817E-2</v>
      </c>
      <c r="AJ23" s="18">
        <f t="shared" si="10"/>
        <v>5.0963702598835696E-2</v>
      </c>
      <c r="AK23" s="18">
        <f t="shared" si="11"/>
        <v>0.12210885624117813</v>
      </c>
      <c r="AL23" s="15">
        <f t="shared" si="12"/>
        <v>2128570.6666666698</v>
      </c>
      <c r="AM23" s="18">
        <f t="shared" si="13"/>
        <v>0.18341060161301215</v>
      </c>
      <c r="AN23" s="92">
        <v>33050216</v>
      </c>
      <c r="AO23" s="92">
        <v>1032819.25</v>
      </c>
      <c r="AP23" s="92">
        <v>36820.71875</v>
      </c>
      <c r="AQ23" s="93">
        <v>6061760</v>
      </c>
      <c r="AR23" s="93">
        <v>1641522.66666667</v>
      </c>
      <c r="AS23" s="93">
        <v>487048</v>
      </c>
      <c r="AT23" s="93">
        <v>3933082.6666666698</v>
      </c>
      <c r="AU23" s="94">
        <v>70.935637499999999</v>
      </c>
      <c r="AV23" s="94">
        <v>73.669268750000001</v>
      </c>
      <c r="AW23" s="94">
        <v>35.486553125</v>
      </c>
      <c r="AX23" s="94">
        <v>42.753943749999998</v>
      </c>
      <c r="AY23" s="94">
        <v>41.608881250000003</v>
      </c>
      <c r="AZ23" s="95">
        <v>6155.66</v>
      </c>
      <c r="BA23" s="95">
        <v>6532.66</v>
      </c>
      <c r="BB23" s="95">
        <v>7.6630000000000003</v>
      </c>
      <c r="BC23" s="95">
        <v>23.457000000000001</v>
      </c>
      <c r="BE23" s="19">
        <f t="shared" si="14"/>
        <v>0</v>
      </c>
      <c r="BF23" s="19">
        <f t="shared" si="15"/>
        <v>-3.1234053035789078E-5</v>
      </c>
      <c r="BG23" s="19"/>
      <c r="BI23" s="96"/>
      <c r="BJ23" s="96"/>
      <c r="BK23" s="96"/>
      <c r="BL23" s="96"/>
      <c r="BM23" s="96"/>
      <c r="BN23" s="114"/>
      <c r="BO23" s="96"/>
      <c r="BP23" s="96"/>
      <c r="BQ23" s="96"/>
      <c r="BR23" s="96"/>
      <c r="BS23" s="96"/>
      <c r="BU23" s="4">
        <f t="shared" si="16"/>
        <v>0</v>
      </c>
    </row>
    <row r="24" spans="1:73" ht="15.75" outlineLevel="1" thickBot="1" x14ac:dyDescent="0.3">
      <c r="A24" s="33"/>
      <c r="B24" s="33" t="s">
        <v>281</v>
      </c>
      <c r="C24" s="34" t="s">
        <v>272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18.404062499999998</v>
      </c>
      <c r="J24" s="36">
        <f t="shared" si="1"/>
        <v>0.36568551846414443</v>
      </c>
      <c r="K24" s="36">
        <f t="shared" si="2"/>
        <v>0.11236386569078087</v>
      </c>
      <c r="L24" s="36">
        <f t="shared" si="3"/>
        <v>8.0886087436610216E-2</v>
      </c>
      <c r="M24" s="36">
        <f t="shared" si="4"/>
        <v>0.25332612348420008</v>
      </c>
      <c r="N24" s="33">
        <f t="shared" si="5"/>
        <v>3619200</v>
      </c>
      <c r="O24" s="36">
        <f t="shared" si="6"/>
        <v>0.37401213575485337</v>
      </c>
      <c r="P24" s="127">
        <v>31492561</v>
      </c>
      <c r="Q24" s="127">
        <v>984142.53125</v>
      </c>
      <c r="R24" s="127">
        <v>17732.5</v>
      </c>
      <c r="S24" s="128">
        <v>11778600</v>
      </c>
      <c r="T24" s="128">
        <v>2605312</v>
      </c>
      <c r="U24" s="128">
        <v>1013888</v>
      </c>
      <c r="V24" s="128">
        <v>8159544</v>
      </c>
      <c r="W24" s="129">
        <v>71.941287500000001</v>
      </c>
      <c r="X24" s="129">
        <v>75.855562500000005</v>
      </c>
      <c r="Y24" s="129">
        <v>36.955393749999899</v>
      </c>
      <c r="Z24" s="129">
        <v>43.6213499999999</v>
      </c>
      <c r="AA24" s="129">
        <v>42.239159375</v>
      </c>
      <c r="AB24" s="130">
        <v>8043.7</v>
      </c>
      <c r="AC24" s="130">
        <v>4895.3</v>
      </c>
      <c r="AD24" s="130">
        <v>7.44</v>
      </c>
      <c r="AE24" s="130">
        <v>22.771999999999998</v>
      </c>
      <c r="AG24" s="35">
        <f t="shared" si="7"/>
        <v>18.404062499999998</v>
      </c>
      <c r="AH24" s="36">
        <f t="shared" si="8"/>
        <v>0.36568551846414443</v>
      </c>
      <c r="AI24" s="36">
        <f t="shared" si="9"/>
        <v>0.11235798753394037</v>
      </c>
      <c r="AJ24" s="36">
        <f t="shared" si="10"/>
        <v>8.0884183244957719E-2</v>
      </c>
      <c r="AK24" s="36">
        <f t="shared" si="11"/>
        <v>0.25332421929254756</v>
      </c>
      <c r="AL24" s="33">
        <f t="shared" si="12"/>
        <v>3619010.6666666698</v>
      </c>
      <c r="AM24" s="36">
        <f t="shared" si="13"/>
        <v>0.37401213575485337</v>
      </c>
      <c r="AN24" s="107">
        <v>31492561</v>
      </c>
      <c r="AO24" s="107">
        <v>984142.53125</v>
      </c>
      <c r="AP24" s="107">
        <v>17732.5</v>
      </c>
      <c r="AQ24" s="108">
        <v>11778600</v>
      </c>
      <c r="AR24" s="108">
        <v>2605250.6666666698</v>
      </c>
      <c r="AS24" s="108">
        <v>1013760</v>
      </c>
      <c r="AT24" s="108">
        <v>8159482.6666666698</v>
      </c>
      <c r="AU24" s="109">
        <v>71.941287500000001</v>
      </c>
      <c r="AV24" s="109">
        <v>75.855562500000005</v>
      </c>
      <c r="AW24" s="109">
        <v>36.955393749999999</v>
      </c>
      <c r="AX24" s="109">
        <v>43.62135</v>
      </c>
      <c r="AY24" s="109">
        <v>42.239159375</v>
      </c>
      <c r="AZ24" s="110">
        <v>6111.89</v>
      </c>
      <c r="BA24" s="110">
        <v>6932.22</v>
      </c>
      <c r="BB24" s="110">
        <v>12.577</v>
      </c>
      <c r="BC24" s="110">
        <v>25.338999999999999</v>
      </c>
      <c r="BE24" s="37">
        <f t="shared" si="14"/>
        <v>0</v>
      </c>
      <c r="BF24" s="37">
        <f t="shared" si="15"/>
        <v>-1.6074349526273846E-5</v>
      </c>
      <c r="BG24" s="37"/>
      <c r="BI24" s="111"/>
      <c r="BJ24" s="111"/>
      <c r="BK24" s="111"/>
      <c r="BL24" s="111"/>
      <c r="BM24" s="111"/>
      <c r="BN24" s="114"/>
      <c r="BO24" s="111"/>
      <c r="BP24" s="111"/>
      <c r="BQ24" s="111"/>
      <c r="BR24" s="111"/>
      <c r="BS24" s="111"/>
      <c r="BU24" s="4">
        <f t="shared" si="16"/>
        <v>0</v>
      </c>
    </row>
    <row r="25" spans="1:73" x14ac:dyDescent="0.25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2.2620225</v>
      </c>
      <c r="J25" s="18">
        <f t="shared" si="1"/>
        <v>9.532178842882115E-2</v>
      </c>
      <c r="K25" s="18">
        <f t="shared" si="2"/>
        <v>6.1190859439370603E-2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1548888</v>
      </c>
      <c r="O25" s="18">
        <f t="shared" si="6"/>
        <v>0.1035848333014714</v>
      </c>
      <c r="P25" s="115">
        <v>23293217</v>
      </c>
      <c r="Q25" s="115">
        <v>727913.03125</v>
      </c>
      <c r="R25" s="115">
        <v>18037.96875</v>
      </c>
      <c r="S25" s="116">
        <v>2412824</v>
      </c>
      <c r="T25" s="116">
        <v>911200</v>
      </c>
      <c r="U25" s="116">
        <v>637688</v>
      </c>
      <c r="V25" s="116">
        <v>864080</v>
      </c>
      <c r="W25" s="117">
        <v>66.258609374999907</v>
      </c>
      <c r="X25" s="117">
        <v>68.024615624999996</v>
      </c>
      <c r="Y25" s="117">
        <v>26.0055624999999</v>
      </c>
      <c r="Z25" s="117">
        <v>32.538881249999903</v>
      </c>
      <c r="AA25" s="117">
        <v>31.726471875000001</v>
      </c>
      <c r="AB25" s="118">
        <v>6924.89</v>
      </c>
      <c r="AC25" s="118">
        <v>6161.92</v>
      </c>
      <c r="AD25" s="118">
        <v>6.78</v>
      </c>
      <c r="AE25" s="118">
        <v>29.332000000000001</v>
      </c>
      <c r="AG25" s="17">
        <f t="shared" si="7"/>
        <v>2.2620225</v>
      </c>
      <c r="AH25" s="18">
        <f t="shared" si="8"/>
        <v>9.532178842882115E-2</v>
      </c>
      <c r="AI25" s="18">
        <f t="shared" si="9"/>
        <v>6.1183379576793602E-2</v>
      </c>
      <c r="AJ25" s="18">
        <f t="shared" si="10"/>
        <v>3.5995732475024383E-2</v>
      </c>
      <c r="AK25" s="18">
        <f t="shared" si="11"/>
        <v>3.4134194844941936E-2</v>
      </c>
      <c r="AL25" s="15">
        <f t="shared" si="12"/>
        <v>1548698.666666667</v>
      </c>
      <c r="AM25" s="18">
        <f t="shared" si="13"/>
        <v>0.1035848333014714</v>
      </c>
      <c r="AN25" s="92">
        <v>23293217</v>
      </c>
      <c r="AO25" s="92">
        <v>727913.03125</v>
      </c>
      <c r="AP25" s="92">
        <v>18037.96875</v>
      </c>
      <c r="AQ25" s="93">
        <v>2412824</v>
      </c>
      <c r="AR25" s="93">
        <v>911138.66666666698</v>
      </c>
      <c r="AS25" s="93">
        <v>637560</v>
      </c>
      <c r="AT25" s="93">
        <v>864018.66666666698</v>
      </c>
      <c r="AU25" s="94">
        <v>66.258609375000006</v>
      </c>
      <c r="AV25" s="94">
        <v>68.024615624999996</v>
      </c>
      <c r="AW25" s="94">
        <v>26.0055625</v>
      </c>
      <c r="AX25" s="94">
        <v>32.538881250000003</v>
      </c>
      <c r="AY25" s="94">
        <v>31.726471875000001</v>
      </c>
      <c r="AZ25" s="95">
        <v>4652.8599999999997</v>
      </c>
      <c r="BA25" s="95">
        <v>8430.67</v>
      </c>
      <c r="BB25" s="95">
        <v>7.0629999999999997</v>
      </c>
      <c r="BC25" s="95">
        <v>32.554000000000002</v>
      </c>
      <c r="BE25" s="19">
        <f t="shared" si="14"/>
        <v>0</v>
      </c>
      <c r="BF25" s="19">
        <f t="shared" si="15"/>
        <v>-7.8469599661290523E-5</v>
      </c>
      <c r="BG25" s="19">
        <f t="array" ref="BG25">AVERAGE(AL25:AL29/AQ25:AQ29) - AVERAGE(N25:N29/S25:S29)</f>
        <v>-3.6249561738199709E-5</v>
      </c>
      <c r="BI25" s="96">
        <f>IF( OR(ISBLANK(N25:N29),ISBLANK(AL25:AL29), ISBLANK(W25:W29),ISBLANK(AU25:AU29)), "·", bdRateExtend( N25:N29,W25:W29, AL25:AL29,AU25:AU29))</f>
        <v>-8.4615896704831606E-5</v>
      </c>
      <c r="BJ25" s="96">
        <f>IF( OR(ISBLANK(N25:N29),ISBLANK(AL25:AL29), ISBLANK(X25:X29),ISBLANK(AV25:AV29)), "·", bdRateExtend( N25:N29,X25:X29, AL25:AL29,AV25:AV29))</f>
        <v>-8.0045273704865139E-5</v>
      </c>
      <c r="BK25" s="96">
        <f>IF( OR(ISBLANK(V25:V29),ISBLANK(AT25:AT29), ISBLANK(Y25:Y29),ISBLANK(AW25:AW29)), "·", bdRateExtend( V25:V29,Y25:Y29, AT25:AT29,AW25:AW29))</f>
        <v>-2.0550266365271241E-5</v>
      </c>
      <c r="BL25" s="96">
        <f>IF( OR(ISBLANK(V25:V29),ISBLANK(AT25:AT29), ISBLANK(Z25:Z29),ISBLANK(AX25:AX29)), "·", bdRateExtend( V25:V29,Z25:Z29, AT25:AT29,AX25:AX29))</f>
        <v>-1.9276239856980126E-5</v>
      </c>
      <c r="BM25" s="96">
        <f>IF( OR(ISBLANK(V25:V29),ISBLANK(AT25:AT29), ISBLANK(AA25:AA29),ISBLANK(AY25:AY29)), "·", bdRateExtend( V25:V29,AA25:AA29, AT25:AT29,AY25:AY29))</f>
        <v>-2.0555990343118502E-5</v>
      </c>
      <c r="BN25" s="114"/>
      <c r="BO25" s="96">
        <f>IF( OR(ISBLANK(S25:S29),ISBLANK(AQ25:AQ29), ISBLANK(W25:W29),ISBLANK(AU25:AU29)), "·", bdRateExtend( S25:S29,W25:W29, AQ25:AQ29,AU25:AU29))</f>
        <v>-3.1086244689504383E-15</v>
      </c>
      <c r="BP25" s="96">
        <f>IF( OR(ISBLANK(S25:S29),ISBLANK(AQ25:AQ29), ISBLANK(X25:X29),ISBLANK(AV25:AV29)), "·", bdRateExtend( S25:S29,X25:X29, AQ25:AQ29,AV25:AV29))</f>
        <v>-7.1054273576010019E-15</v>
      </c>
      <c r="BQ25" s="96">
        <f>IF( OR(ISBLANK(S25:S29),ISBLANK(AQ25:AQ29), ISBLANK(Y25:Y29),ISBLANK(AW25:AW29)), "·", bdRateExtend( S25:S29,Y25:Y29, AQ25:AQ29,AW25:AW29))</f>
        <v>-6.8833827526759706E-15</v>
      </c>
      <c r="BR25" s="96">
        <f>IF( OR(ISBLANK(S25:S29),ISBLANK(AQ25:AQ29), ISBLANK(Z25:Z29),ISBLANK(AX25:AX29)), "·", bdRateExtend( S25:S29,Z25:Z29, AQ25:AQ29,AX25:AX29))</f>
        <v>-2.6645352591003757E-15</v>
      </c>
      <c r="BS25" s="96">
        <f>IF( OR(ISBLANK(S25:S29),ISBLANK(AQ25:AQ29), ISBLANK(AA25:AA29),ISBLANK(AY25:AY29)), "·", bdRateExtend( S25:S29,AA25:AA29, AQ25:AQ29,AY25:AY29))</f>
        <v>-2.5979218776228663E-14</v>
      </c>
      <c r="BU25" s="4">
        <f t="shared" si="16"/>
        <v>0</v>
      </c>
    </row>
    <row r="26" spans="1:73" outlineLevel="1" x14ac:dyDescent="0.25">
      <c r="A26" s="21"/>
      <c r="B26" s="21" t="s">
        <v>284</v>
      </c>
      <c r="C26" s="22" t="s">
        <v>269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3.4634325000000001</v>
      </c>
      <c r="J26" s="24">
        <f t="shared" si="1"/>
        <v>0.14594929095643527</v>
      </c>
      <c r="K26" s="24">
        <f t="shared" si="2"/>
        <v>7.4960232941883684E-2</v>
      </c>
      <c r="L26" s="24">
        <f t="shared" si="3"/>
        <v>4.976752903161169E-2</v>
      </c>
      <c r="M26" s="24">
        <f t="shared" si="4"/>
        <v>7.0994746924117211E-2</v>
      </c>
      <c r="N26" s="21">
        <f t="shared" si="5"/>
        <v>1897424</v>
      </c>
      <c r="O26" s="24">
        <f t="shared" si="6"/>
        <v>0.14802537299863444</v>
      </c>
      <c r="P26" s="119">
        <v>24957397</v>
      </c>
      <c r="Q26" s="119">
        <v>779918.65625</v>
      </c>
      <c r="R26" s="119">
        <v>22437.59375</v>
      </c>
      <c r="S26" s="120">
        <v>3694328</v>
      </c>
      <c r="T26" s="120">
        <v>1259736</v>
      </c>
      <c r="U26" s="120">
        <v>637688</v>
      </c>
      <c r="V26" s="120">
        <v>1797048</v>
      </c>
      <c r="W26" s="121">
        <v>68.062037500000002</v>
      </c>
      <c r="X26" s="121">
        <v>70.048765625000001</v>
      </c>
      <c r="Y26" s="121">
        <v>28.064584374999999</v>
      </c>
      <c r="Z26" s="121">
        <v>33.763143749999998</v>
      </c>
      <c r="AA26" s="121">
        <v>33.161640624999997</v>
      </c>
      <c r="AB26" s="122">
        <v>6952.96</v>
      </c>
      <c r="AC26" s="122">
        <v>6691.01</v>
      </c>
      <c r="AD26" s="122">
        <v>6.8760000000000003</v>
      </c>
      <c r="AE26" s="122">
        <v>30.004000000000001</v>
      </c>
      <c r="AG26" s="23">
        <f t="shared" si="7"/>
        <v>3.4634325000000001</v>
      </c>
      <c r="AH26" s="24">
        <f t="shared" si="8"/>
        <v>0.14594929095643527</v>
      </c>
      <c r="AI26" s="24">
        <f t="shared" si="9"/>
        <v>7.4952753079306794E-2</v>
      </c>
      <c r="AJ26" s="24">
        <f t="shared" si="10"/>
        <v>4.9765105977537576E-2</v>
      </c>
      <c r="AK26" s="24">
        <f t="shared" si="11"/>
        <v>7.0992323870043103E-2</v>
      </c>
      <c r="AL26" s="21">
        <f t="shared" si="12"/>
        <v>1897234.66666667</v>
      </c>
      <c r="AM26" s="24">
        <f t="shared" si="13"/>
        <v>0.14802537299863444</v>
      </c>
      <c r="AN26" s="97">
        <v>24957397</v>
      </c>
      <c r="AO26" s="97">
        <v>779918.65625</v>
      </c>
      <c r="AP26" s="97">
        <v>22437.59375</v>
      </c>
      <c r="AQ26" s="98">
        <v>3694328</v>
      </c>
      <c r="AR26" s="98">
        <v>1259674.66666667</v>
      </c>
      <c r="AS26" s="98">
        <v>637560</v>
      </c>
      <c r="AT26" s="98">
        <v>1796986.66666667</v>
      </c>
      <c r="AU26" s="99">
        <v>68.062037500000002</v>
      </c>
      <c r="AV26" s="99">
        <v>70.048765625000001</v>
      </c>
      <c r="AW26" s="99">
        <v>28.064584374999999</v>
      </c>
      <c r="AX26" s="99">
        <v>33.763143749999998</v>
      </c>
      <c r="AY26" s="99">
        <v>33.161640624999997</v>
      </c>
      <c r="AZ26" s="100">
        <v>4700.47</v>
      </c>
      <c r="BA26" s="100">
        <v>8916.4</v>
      </c>
      <c r="BB26" s="100">
        <v>8.0890000000000004</v>
      </c>
      <c r="BC26" s="100">
        <v>31.021000000000001</v>
      </c>
      <c r="BE26" s="25">
        <f t="shared" si="14"/>
        <v>0</v>
      </c>
      <c r="BF26" s="25">
        <f t="shared" si="15"/>
        <v>-5.1249735629865789E-5</v>
      </c>
      <c r="BG26" s="25"/>
      <c r="BI26" s="101"/>
      <c r="BJ26" s="101"/>
      <c r="BK26" s="101"/>
      <c r="BL26" s="101"/>
      <c r="BM26" s="101"/>
      <c r="BN26" s="114"/>
      <c r="BO26" s="101"/>
      <c r="BP26" s="101"/>
      <c r="BQ26" s="101"/>
      <c r="BR26" s="101"/>
      <c r="BS26" s="101"/>
      <c r="BU26" s="4">
        <f t="shared" si="16"/>
        <v>0</v>
      </c>
    </row>
    <row r="27" spans="1:73" outlineLevel="1" x14ac:dyDescent="0.25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5.88957</v>
      </c>
      <c r="J27" s="18">
        <f t="shared" si="1"/>
        <v>0.24818689711385816</v>
      </c>
      <c r="K27" s="18">
        <f t="shared" si="2"/>
        <v>9.4737410996219726E-2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2398032</v>
      </c>
      <c r="O27" s="18">
        <f t="shared" si="6"/>
        <v>0.24866233631706383</v>
      </c>
      <c r="P27" s="115">
        <v>25264011</v>
      </c>
      <c r="Q27" s="115">
        <v>789500.34375</v>
      </c>
      <c r="R27" s="115">
        <v>23649.9375</v>
      </c>
      <c r="S27" s="116">
        <v>6282208</v>
      </c>
      <c r="T27" s="116">
        <v>1760344</v>
      </c>
      <c r="U27" s="116">
        <v>637688</v>
      </c>
      <c r="V27" s="116">
        <v>3884320</v>
      </c>
      <c r="W27" s="117">
        <v>69.418368749999999</v>
      </c>
      <c r="X27" s="117">
        <v>71.767524999999907</v>
      </c>
      <c r="Y27" s="117">
        <v>30.349296874999901</v>
      </c>
      <c r="Z27" s="117">
        <v>35.025328125000001</v>
      </c>
      <c r="AA27" s="117">
        <v>34.500487499999899</v>
      </c>
      <c r="AB27" s="118">
        <v>7067.31</v>
      </c>
      <c r="AC27" s="118">
        <v>7055.68</v>
      </c>
      <c r="AD27" s="118">
        <v>7.1040000000000001</v>
      </c>
      <c r="AE27" s="118">
        <v>31.004000000000001</v>
      </c>
      <c r="AG27" s="17">
        <f t="shared" si="7"/>
        <v>5.88957</v>
      </c>
      <c r="AH27" s="18">
        <f t="shared" si="8"/>
        <v>0.24818689711385816</v>
      </c>
      <c r="AI27" s="18">
        <f t="shared" si="9"/>
        <v>9.4729931133642822E-2</v>
      </c>
      <c r="AJ27" s="18">
        <f t="shared" si="10"/>
        <v>6.9542284031873611E-2</v>
      </c>
      <c r="AK27" s="18">
        <f t="shared" si="11"/>
        <v>0.15345275197312994</v>
      </c>
      <c r="AL27" s="15">
        <f t="shared" si="12"/>
        <v>2397842.6666666698</v>
      </c>
      <c r="AM27" s="18">
        <f t="shared" si="13"/>
        <v>0.24866233631706383</v>
      </c>
      <c r="AN27" s="92">
        <v>25264011</v>
      </c>
      <c r="AO27" s="92">
        <v>789500.34375</v>
      </c>
      <c r="AP27" s="92">
        <v>23649.9375</v>
      </c>
      <c r="AQ27" s="93">
        <v>6282208</v>
      </c>
      <c r="AR27" s="93">
        <v>1760282.66666667</v>
      </c>
      <c r="AS27" s="93">
        <v>637560</v>
      </c>
      <c r="AT27" s="93">
        <v>3884258.6666666698</v>
      </c>
      <c r="AU27" s="94">
        <v>69.418368749999999</v>
      </c>
      <c r="AV27" s="94">
        <v>71.767525000000006</v>
      </c>
      <c r="AW27" s="94">
        <v>30.349296875</v>
      </c>
      <c r="AX27" s="94">
        <v>35.025328125000001</v>
      </c>
      <c r="AY27" s="94">
        <v>34.500487499999998</v>
      </c>
      <c r="AZ27" s="95">
        <v>4742.21</v>
      </c>
      <c r="BA27" s="95">
        <v>9251.7999999999993</v>
      </c>
      <c r="BB27" s="95">
        <v>7.6749999999999998</v>
      </c>
      <c r="BC27" s="95">
        <v>33.548999999999999</v>
      </c>
      <c r="BE27" s="19">
        <f t="shared" si="14"/>
        <v>0</v>
      </c>
      <c r="BF27" s="19">
        <f t="shared" si="15"/>
        <v>-3.0138023658254909E-5</v>
      </c>
      <c r="BG27" s="19"/>
      <c r="BI27" s="96"/>
      <c r="BJ27" s="96"/>
      <c r="BK27" s="96"/>
      <c r="BL27" s="96"/>
      <c r="BM27" s="96"/>
      <c r="BN27" s="114"/>
      <c r="BO27" s="96"/>
      <c r="BP27" s="96"/>
      <c r="BQ27" s="96"/>
      <c r="BR27" s="96"/>
      <c r="BS27" s="96"/>
      <c r="BU27" s="4">
        <f t="shared" si="16"/>
        <v>0</v>
      </c>
    </row>
    <row r="28" spans="1:73" outlineLevel="1" x14ac:dyDescent="0.25">
      <c r="A28" s="21"/>
      <c r="B28" s="21" t="s">
        <v>284</v>
      </c>
      <c r="C28" s="22" t="s">
        <v>271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11.8741275</v>
      </c>
      <c r="J28" s="24">
        <f t="shared" si="1"/>
        <v>0.50037657420819071</v>
      </c>
      <c r="K28" s="24">
        <f t="shared" si="2"/>
        <v>0.12906018265824412</v>
      </c>
      <c r="L28" s="24">
        <f t="shared" si="3"/>
        <v>0.10386747874797214</v>
      </c>
      <c r="M28" s="24">
        <f t="shared" si="4"/>
        <v>0.3713220804595122</v>
      </c>
      <c r="N28" s="21">
        <f t="shared" si="5"/>
        <v>3266824</v>
      </c>
      <c r="O28" s="24">
        <f t="shared" si="6"/>
        <v>0.48285039091453791</v>
      </c>
      <c r="P28" s="119">
        <v>26231181</v>
      </c>
      <c r="Q28" s="119">
        <v>819724.40625</v>
      </c>
      <c r="R28" s="119">
        <v>27138.5625</v>
      </c>
      <c r="S28" s="120">
        <v>12665736</v>
      </c>
      <c r="T28" s="120">
        <v>2629136</v>
      </c>
      <c r="U28" s="120">
        <v>637688</v>
      </c>
      <c r="V28" s="120">
        <v>9399056</v>
      </c>
      <c r="W28" s="121">
        <v>70.446950000000001</v>
      </c>
      <c r="X28" s="121">
        <v>72.997609374999996</v>
      </c>
      <c r="Y28" s="121">
        <v>32.832218750000003</v>
      </c>
      <c r="Z28" s="121">
        <v>36.566724999999998</v>
      </c>
      <c r="AA28" s="121">
        <v>36.046299999999903</v>
      </c>
      <c r="AB28" s="122">
        <v>7255.56</v>
      </c>
      <c r="AC28" s="122">
        <v>7622.68</v>
      </c>
      <c r="AD28" s="122">
        <v>7.3840000000000003</v>
      </c>
      <c r="AE28" s="122">
        <v>32.951999999999998</v>
      </c>
      <c r="AG28" s="23">
        <f t="shared" si="7"/>
        <v>11.8741275</v>
      </c>
      <c r="AH28" s="24">
        <f t="shared" si="8"/>
        <v>0.50037657420819071</v>
      </c>
      <c r="AI28" s="24">
        <f t="shared" si="9"/>
        <v>0.12905270279566725</v>
      </c>
      <c r="AJ28" s="24">
        <f t="shared" si="10"/>
        <v>0.10386505569389802</v>
      </c>
      <c r="AK28" s="24">
        <f t="shared" si="11"/>
        <v>0.37131965740543804</v>
      </c>
      <c r="AL28" s="21">
        <f t="shared" si="12"/>
        <v>3266634.6666666698</v>
      </c>
      <c r="AM28" s="24">
        <f t="shared" si="13"/>
        <v>0.48285039091453791</v>
      </c>
      <c r="AN28" s="97">
        <v>26231181</v>
      </c>
      <c r="AO28" s="97">
        <v>819724.40625</v>
      </c>
      <c r="AP28" s="97">
        <v>27138.5625</v>
      </c>
      <c r="AQ28" s="98">
        <v>12665736</v>
      </c>
      <c r="AR28" s="98">
        <v>2629074.6666666698</v>
      </c>
      <c r="AS28" s="98">
        <v>637560</v>
      </c>
      <c r="AT28" s="98">
        <v>9398994.6666666698</v>
      </c>
      <c r="AU28" s="99">
        <v>70.446950000000001</v>
      </c>
      <c r="AV28" s="99">
        <v>72.997609374999996</v>
      </c>
      <c r="AW28" s="99">
        <v>32.832218750000003</v>
      </c>
      <c r="AX28" s="99">
        <v>36.566724999999998</v>
      </c>
      <c r="AY28" s="99">
        <v>36.046300000000002</v>
      </c>
      <c r="AZ28" s="100">
        <v>4579.8900000000003</v>
      </c>
      <c r="BA28" s="100">
        <v>9872.7900000000009</v>
      </c>
      <c r="BB28" s="100">
        <v>7.5419999999999998</v>
      </c>
      <c r="BC28" s="100">
        <v>32.844000000000001</v>
      </c>
      <c r="BE28" s="25">
        <f t="shared" si="14"/>
        <v>0</v>
      </c>
      <c r="BF28" s="25">
        <f t="shared" si="15"/>
        <v>-1.4948466739717059E-5</v>
      </c>
      <c r="BG28" s="25"/>
      <c r="BI28" s="101"/>
      <c r="BJ28" s="101"/>
      <c r="BK28" s="101"/>
      <c r="BL28" s="101"/>
      <c r="BM28" s="101"/>
      <c r="BN28" s="114"/>
      <c r="BO28" s="101"/>
      <c r="BP28" s="101"/>
      <c r="BQ28" s="101"/>
      <c r="BR28" s="101"/>
      <c r="BS28" s="101"/>
      <c r="BU28" s="4">
        <f t="shared" si="16"/>
        <v>0</v>
      </c>
    </row>
    <row r="29" spans="1:73" ht="15.75" outlineLevel="1" thickBot="1" x14ac:dyDescent="0.3">
      <c r="A29" s="27"/>
      <c r="B29" s="27" t="s">
        <v>284</v>
      </c>
      <c r="C29" s="28" t="s">
        <v>272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1.1611118152014617</v>
      </c>
      <c r="K29" s="30">
        <f t="shared" si="2"/>
        <v>0.21132876808875711</v>
      </c>
      <c r="L29" s="30">
        <f t="shared" si="3"/>
        <v>0.16190636623745952</v>
      </c>
      <c r="M29" s="30">
        <f t="shared" si="4"/>
        <v>0.94978873602227021</v>
      </c>
      <c r="N29" s="27">
        <f t="shared" si="5"/>
        <v>5349240</v>
      </c>
      <c r="O29" s="30">
        <f t="shared" si="6"/>
        <v>1.1722858179336515</v>
      </c>
      <c r="P29" s="123">
        <v>25071135</v>
      </c>
      <c r="Q29" s="123">
        <v>783472.96875</v>
      </c>
      <c r="R29" s="123">
        <v>12108.53125</v>
      </c>
      <c r="S29" s="124">
        <v>29390536</v>
      </c>
      <c r="T29" s="124">
        <v>4098240</v>
      </c>
      <c r="U29" s="124">
        <v>1251000</v>
      </c>
      <c r="V29" s="124">
        <v>24041440</v>
      </c>
      <c r="W29" s="125">
        <v>71.482781250000002</v>
      </c>
      <c r="X29" s="125">
        <v>74.907206250000002</v>
      </c>
      <c r="Y29" s="125">
        <v>35.524450000000002</v>
      </c>
      <c r="Z29" s="125">
        <v>38.553015625</v>
      </c>
      <c r="AA29" s="125">
        <v>37.999199999999902</v>
      </c>
      <c r="AB29" s="126">
        <v>7035.17</v>
      </c>
      <c r="AC29" s="126">
        <v>8530.4500000000007</v>
      </c>
      <c r="AD29" s="126">
        <v>7.1239999999999997</v>
      </c>
      <c r="AE29" s="126">
        <v>36.631999999999998</v>
      </c>
      <c r="AG29" s="29">
        <f t="shared" si="7"/>
        <v>27.553627500000001</v>
      </c>
      <c r="AH29" s="30">
        <f t="shared" si="8"/>
        <v>1.1611118152014617</v>
      </c>
      <c r="AI29" s="30">
        <f t="shared" si="9"/>
        <v>0.21132128822618021</v>
      </c>
      <c r="AJ29" s="30">
        <f t="shared" si="10"/>
        <v>0.16190394318338538</v>
      </c>
      <c r="AK29" s="30">
        <f t="shared" si="11"/>
        <v>0.94978631296819727</v>
      </c>
      <c r="AL29" s="27">
        <f t="shared" si="12"/>
        <v>5349050.6666666698</v>
      </c>
      <c r="AM29" s="30">
        <f t="shared" si="13"/>
        <v>1.1722858179336515</v>
      </c>
      <c r="AN29" s="102">
        <v>25071135</v>
      </c>
      <c r="AO29" s="102">
        <v>783472.96875</v>
      </c>
      <c r="AP29" s="102">
        <v>12108.53125</v>
      </c>
      <c r="AQ29" s="103">
        <v>29390536</v>
      </c>
      <c r="AR29" s="103">
        <v>4098178.6666666698</v>
      </c>
      <c r="AS29" s="103">
        <v>1250872</v>
      </c>
      <c r="AT29" s="103">
        <v>24041378.666666701</v>
      </c>
      <c r="AU29" s="104">
        <v>71.482781250000002</v>
      </c>
      <c r="AV29" s="104">
        <v>74.907206250000002</v>
      </c>
      <c r="AW29" s="104">
        <v>35.524450000000002</v>
      </c>
      <c r="AX29" s="104">
        <v>38.553015625</v>
      </c>
      <c r="AY29" s="104">
        <v>37.999200000000002</v>
      </c>
      <c r="AZ29" s="105">
        <v>4760.79</v>
      </c>
      <c r="BA29" s="105">
        <v>10635.1</v>
      </c>
      <c r="BB29" s="105">
        <v>7.6189999999999998</v>
      </c>
      <c r="BC29" s="105">
        <v>33.719000000000001</v>
      </c>
      <c r="BE29" s="31">
        <f t="shared" si="14"/>
        <v>0</v>
      </c>
      <c r="BF29" s="31">
        <f t="shared" si="15"/>
        <v>-6.4419830019535329E-6</v>
      </c>
      <c r="BG29" s="31"/>
      <c r="BI29" s="106"/>
      <c r="BJ29" s="106"/>
      <c r="BK29" s="106"/>
      <c r="BL29" s="106"/>
      <c r="BM29" s="106"/>
      <c r="BN29" s="114"/>
      <c r="BO29" s="106"/>
      <c r="BP29" s="106"/>
      <c r="BQ29" s="106"/>
      <c r="BR29" s="106"/>
      <c r="BS29" s="106"/>
      <c r="BU29" s="4">
        <f t="shared" si="16"/>
        <v>0</v>
      </c>
    </row>
    <row r="30" spans="1:73" x14ac:dyDescent="0.25">
      <c r="B30" s="39" t="s">
        <v>288</v>
      </c>
      <c r="J30" s="40">
        <f>AVERAGE(J5:J24)</f>
        <v>0.18357585878829669</v>
      </c>
      <c r="K30" s="40">
        <f>AVERAGE(K5:K24)</f>
        <v>8.9687710108639587E-2</v>
      </c>
      <c r="L30" s="40">
        <f>AVERAGE(L5:L24)</f>
        <v>6.3142127609386853E-2</v>
      </c>
      <c r="M30" s="40">
        <f>AVERAGE(M5:M24)</f>
        <v>9.3893357936443683E-2</v>
      </c>
      <c r="AH30" s="40">
        <f>AVERAGE(AH5:AH24)</f>
        <v>0.18357585878829669</v>
      </c>
      <c r="AI30" s="40">
        <f>AVERAGE(AI5:AI24)</f>
        <v>8.9680860900642506E-2</v>
      </c>
      <c r="AJ30" s="40">
        <f>AVERAGE(AJ5:AJ24)</f>
        <v>6.3139908851866738E-2</v>
      </c>
      <c r="AK30" s="40">
        <f>AVERAGE(AK5:AK24)</f>
        <v>9.3891139178923555E-2</v>
      </c>
      <c r="BG30" s="8">
        <f>AVERAGE(BG5:BG24)</f>
        <v>-6.2160611507017238E-5</v>
      </c>
      <c r="BI30" s="91">
        <f>AVERAGE(BI5:BI24)</f>
        <v>-1.0286385083832505E-4</v>
      </c>
      <c r="BJ30" s="91">
        <f>AVERAGE(BJ5:BJ24)</f>
        <v>-9.7494042490320343E-5</v>
      </c>
      <c r="BK30" s="91">
        <f>AVERAGE(BK5:BK24)</f>
        <v>-6.4549884243092492E-5</v>
      </c>
      <c r="BL30" s="91">
        <f>AVERAGE(BL5:BL24)</f>
        <v>-6.0575669764084683E-5</v>
      </c>
      <c r="BM30" s="91">
        <f>AVERAGE(BM5:BM24)</f>
        <v>-6.5105781421881392E-5</v>
      </c>
      <c r="BN30" s="114"/>
      <c r="BO30" s="91">
        <f>AVERAGE(BO5:BO24)</f>
        <v>-1.1601830607332886E-14</v>
      </c>
      <c r="BP30" s="91">
        <f>AVERAGE(BP5:BP24)</f>
        <v>-8.1601392309949006E-15</v>
      </c>
      <c r="BQ30" s="91">
        <f>AVERAGE(BQ5:BQ24)</f>
        <v>-6.7168492989821971E-15</v>
      </c>
      <c r="BR30" s="91">
        <f>AVERAGE(BR5:BR24)</f>
        <v>-1.0880185641326534E-14</v>
      </c>
      <c r="BS30" s="91">
        <f>AVERAGE(BS5:BS24)</f>
        <v>-5.2180482157382357E-15</v>
      </c>
    </row>
    <row r="31" spans="1:73" x14ac:dyDescent="0.25">
      <c r="B31" s="39" t="s">
        <v>289</v>
      </c>
      <c r="J31" s="40">
        <f>AVERAGE(J25:J29)</f>
        <v>0.43018927318175343</v>
      </c>
      <c r="K31" s="40">
        <f>AVERAGE(K25:K29)</f>
        <v>0.11425549082489506</v>
      </c>
      <c r="L31" s="40">
        <f>AVERAGE(L25:L29)</f>
        <v>8.4216847326417946E-2</v>
      </c>
      <c r="M31" s="40">
        <f>AVERAGE(M25:M29)</f>
        <v>0.31593947126642397</v>
      </c>
      <c r="AH31" s="40">
        <f>AVERAGE(AH25:AH29)</f>
        <v>0.43018927318175343</v>
      </c>
      <c r="AI31" s="40">
        <f>AVERAGE(AI25:AI29)</f>
        <v>0.11424801096231814</v>
      </c>
      <c r="AJ31" s="40">
        <f>AVERAGE(AJ25:AJ29)</f>
        <v>8.4214424272343796E-2</v>
      </c>
      <c r="AK31" s="40">
        <f>AVERAGE(AK25:AK29)</f>
        <v>0.31593704821235002</v>
      </c>
      <c r="BG31" s="8">
        <f>AVERAGE(BG25:BG29)</f>
        <v>-3.6249561738199709E-5</v>
      </c>
      <c r="BI31" s="91">
        <f>AVERAGE(BI25:BI29)</f>
        <v>-8.4615896704831606E-5</v>
      </c>
      <c r="BJ31" s="91">
        <f>AVERAGE(BJ25:BJ29)</f>
        <v>-8.0045273704865139E-5</v>
      </c>
      <c r="BK31" s="91">
        <f>AVERAGE(BK25:BK29)</f>
        <v>-2.0550266365271241E-5</v>
      </c>
      <c r="BL31" s="91">
        <f>AVERAGE(BL25:BL29)</f>
        <v>-1.9276239856980126E-5</v>
      </c>
      <c r="BM31" s="91">
        <f>AVERAGE(BM25:BM29)</f>
        <v>-2.0555990343118502E-5</v>
      </c>
      <c r="BN31" s="114"/>
      <c r="BO31" s="91">
        <f>AVERAGE(BO25:BO29)</f>
        <v>-3.1086244689504383E-15</v>
      </c>
      <c r="BP31" s="91">
        <f>AVERAGE(BP25:BP29)</f>
        <v>-7.1054273576010019E-15</v>
      </c>
      <c r="BQ31" s="91">
        <f>AVERAGE(BQ25:BQ29)</f>
        <v>-6.8833827526759706E-15</v>
      </c>
      <c r="BR31" s="91">
        <f>AVERAGE(BR25:BR29)</f>
        <v>-2.6645352591003757E-15</v>
      </c>
      <c r="BS31" s="91">
        <f>AVERAGE(BS25:BS29)</f>
        <v>-2.5979218776228663E-14</v>
      </c>
    </row>
    <row r="32" spans="1:73" collapsed="1" x14ac:dyDescent="0.25">
      <c r="B32" s="39" t="s">
        <v>290</v>
      </c>
      <c r="J32" s="40">
        <f>AVERAGE(J5:J29)</f>
        <v>0.23289854166698803</v>
      </c>
      <c r="K32" s="40">
        <f>AVERAGE(K5:K29)</f>
        <v>9.4601266251890678E-2</v>
      </c>
      <c r="L32" s="40">
        <f>AVERAGE(L5:L29)</f>
        <v>6.735707155279308E-2</v>
      </c>
      <c r="M32" s="40">
        <f>AVERAGE(M5:M29)</f>
        <v>0.13830258060243972</v>
      </c>
      <c r="AH32" s="40">
        <f>AVERAGE(AH5:AH29)</f>
        <v>0.23289854166698803</v>
      </c>
      <c r="AI32" s="40">
        <f>AVERAGE(AI5:AI29)</f>
        <v>9.4594290912977622E-2</v>
      </c>
      <c r="AJ32" s="40">
        <f>AVERAGE(AJ5:AJ29)</f>
        <v>6.7354811935962142E-2</v>
      </c>
      <c r="AK32" s="40">
        <f>AVERAGE(AK5:AK29)</f>
        <v>0.13830032098560888</v>
      </c>
      <c r="BG32" s="8">
        <f>AVERAGE(BG5:BG29)</f>
        <v>-5.6978401553253731E-5</v>
      </c>
      <c r="BI32" s="91">
        <f>AVERAGE(BI5:BI29)</f>
        <v>-9.9214260011626368E-5</v>
      </c>
      <c r="BJ32" s="91">
        <f>AVERAGE(BJ5:BJ29)</f>
        <v>-9.4004288733229305E-5</v>
      </c>
      <c r="BK32" s="91">
        <f>AVERAGE(BK5:BK29)</f>
        <v>-5.5749960667528245E-5</v>
      </c>
      <c r="BL32" s="91">
        <f>AVERAGE(BL5:BL29)</f>
        <v>-5.2315783782663774E-5</v>
      </c>
      <c r="BM32" s="91">
        <f>AVERAGE(BM5:BM29)</f>
        <v>-5.6195823206128813E-5</v>
      </c>
      <c r="BN32" s="114"/>
      <c r="BO32" s="91">
        <f>AVERAGE(BO5:BO29)</f>
        <v>-9.9031893796563967E-15</v>
      </c>
      <c r="BP32" s="91">
        <f>AVERAGE(BP5:BP29)</f>
        <v>-7.9491968563161202E-15</v>
      </c>
      <c r="BQ32" s="91">
        <f>AVERAGE(BQ5:BQ29)</f>
        <v>-6.7501559897209515E-15</v>
      </c>
      <c r="BR32" s="91">
        <f>AVERAGE(BR5:BR29)</f>
        <v>-9.2370555648813027E-15</v>
      </c>
      <c r="BS32" s="91">
        <f>AVERAGE(BS5:BS29)</f>
        <v>-9.3702823278363218E-15</v>
      </c>
    </row>
    <row r="33" spans="1:55" hidden="1" outlineLevel="2" x14ac:dyDescent="0.25">
      <c r="A33" s="39" t="s">
        <v>291</v>
      </c>
      <c r="B33" s="39" t="s">
        <v>292</v>
      </c>
      <c r="AB33" s="41">
        <f>SUM(AB5:AB24,AB25:AB29)</f>
        <v>214814.25000000003</v>
      </c>
      <c r="AC33" s="41">
        <f>SUM(AC5:AC24,AC25:AC29)</f>
        <v>134401.84999999998</v>
      </c>
      <c r="AD33" s="41">
        <f>SUM(AD5:AD24,AD25:AD29)</f>
        <v>188.64399999999998</v>
      </c>
      <c r="AE33" s="41">
        <f>SUM(AE5:AE24,AE25:AE29)</f>
        <v>631.02399999999989</v>
      </c>
      <c r="AZ33" s="41">
        <f>SUM(AZ5:AZ24,AZ25:AZ29)</f>
        <v>129184.20999999999</v>
      </c>
      <c r="BA33" s="41">
        <f>SUM(BA5:BA24,BA25:BA29)</f>
        <v>188046.66999999998</v>
      </c>
      <c r="BB33" s="41">
        <f>SUM(BB5:BB24,BB25:BB29)</f>
        <v>229.16200000000001</v>
      </c>
      <c r="BC33" s="41">
        <f>SUM(BC5:BC24,BC25:BC29)</f>
        <v>697.63599999999985</v>
      </c>
    </row>
    <row r="34" spans="1:55" hidden="1" outlineLevel="2" x14ac:dyDescent="0.25">
      <c r="B34" s="39" t="s">
        <v>293</v>
      </c>
      <c r="AZ34" s="8">
        <f>AZ33/AB33</f>
        <v>0.60137635189471828</v>
      </c>
      <c r="BA34" s="8">
        <f>BA33/AC33</f>
        <v>1.3991375118720466</v>
      </c>
      <c r="BB34" s="8">
        <f>BB33/AD33</f>
        <v>1.2147855219354977</v>
      </c>
      <c r="BC34" s="8">
        <f>BC33/AE33</f>
        <v>1.105561753594158</v>
      </c>
    </row>
    <row r="35" spans="1:55" hidden="1" outlineLevel="2" x14ac:dyDescent="0.25">
      <c r="B35" s="39" t="s">
        <v>294</v>
      </c>
      <c r="AB35" s="41">
        <f>GEOMEAN(AB5:AB24,AB25:AB29)</f>
        <v>8374.4327720354522</v>
      </c>
      <c r="AC35" s="41">
        <f>GEOMEAN(AC5:AC24,AC25:AC29)</f>
        <v>5228.573431129008</v>
      </c>
      <c r="AD35" s="41">
        <f>GEOMEAN(AD5:AD24,AD25:AD29)</f>
        <v>7.4007481003016711</v>
      </c>
      <c r="AE35" s="41">
        <f>GEOMEAN(AE5:AE24,AE25:AE29)</f>
        <v>24.699140583444485</v>
      </c>
      <c r="AZ35" s="41">
        <f>GEOMEAN(AZ5:AZ24,AZ25:AZ29)</f>
        <v>5099.5512457546811</v>
      </c>
      <c r="BA35" s="41">
        <f>GEOMEAN(BA5:BA24,BA25:BA29)</f>
        <v>7406.4159835097526</v>
      </c>
      <c r="BB35" s="41">
        <f>GEOMEAN(BB5:BB24,BB25:BB29)</f>
        <v>9.0227475365304741</v>
      </c>
      <c r="BC35" s="41">
        <f>GEOMEAN(BC5:BC24,BC25:BC29)</f>
        <v>27.644449529115267</v>
      </c>
    </row>
    <row r="36" spans="1:55" outlineLevel="2" collapsed="1" x14ac:dyDescent="0.25">
      <c r="B36" s="39" t="s">
        <v>295</v>
      </c>
      <c r="AZ36" s="8">
        <f>AZ35/AB35</f>
        <v>0.60894288420148213</v>
      </c>
      <c r="BA36" s="8">
        <f>BA35/AC35</f>
        <v>1.4165271045854819</v>
      </c>
      <c r="BB36" s="8">
        <f>BB35/AD35</f>
        <v>1.2191669564003518</v>
      </c>
      <c r="BC36" s="8">
        <f>BC35/AE35</f>
        <v>1.1192474262705716</v>
      </c>
    </row>
    <row r="41" spans="1:55" x14ac:dyDescent="0.25">
      <c r="AR41" s="90"/>
      <c r="AS41" s="90"/>
      <c r="AT41" s="90"/>
    </row>
    <row r="42" spans="1:55" x14ac:dyDescent="0.25">
      <c r="AQ42" s="90"/>
      <c r="AR42" s="90"/>
      <c r="AS42" s="90"/>
      <c r="AT42" s="90"/>
    </row>
    <row r="43" spans="1:55" x14ac:dyDescent="0.25">
      <c r="AQ43" s="90"/>
      <c r="AR43" s="90"/>
      <c r="AS43" s="90"/>
      <c r="AT43" s="90"/>
    </row>
    <row r="44" spans="1:55" x14ac:dyDescent="0.25">
      <c r="AQ44" s="90"/>
      <c r="AR44" s="90"/>
      <c r="AS44" s="90"/>
      <c r="AT44" s="90"/>
    </row>
    <row r="45" spans="1:55" x14ac:dyDescent="0.25">
      <c r="AQ45" s="90"/>
      <c r="AR45" s="90"/>
      <c r="AS45" s="90"/>
      <c r="AT45" s="90"/>
    </row>
    <row r="46" spans="1:55" x14ac:dyDescent="0.25">
      <c r="AQ46" s="90"/>
      <c r="AR46" s="90"/>
      <c r="AS46" s="90"/>
      <c r="AT46" s="90"/>
    </row>
    <row r="47" spans="1:55" x14ac:dyDescent="0.25">
      <c r="AQ47" s="90"/>
      <c r="AR47" s="90"/>
      <c r="AS47" s="90"/>
      <c r="AT47" s="90"/>
    </row>
    <row r="48" spans="1:55" x14ac:dyDescent="0.25">
      <c r="AQ48" s="90"/>
      <c r="AR48" s="90"/>
      <c r="AS48" s="90"/>
      <c r="AT48" s="90"/>
    </row>
    <row r="49" spans="43:46" x14ac:dyDescent="0.25">
      <c r="AQ49" s="90"/>
      <c r="AR49" s="90"/>
      <c r="AS49" s="90"/>
      <c r="AT49" s="90"/>
    </row>
    <row r="50" spans="43:46" x14ac:dyDescent="0.25">
      <c r="AQ50" s="90"/>
      <c r="AR50" s="90"/>
      <c r="AS50" s="90"/>
      <c r="AT50" s="90"/>
    </row>
    <row r="51" spans="43:46" x14ac:dyDescent="0.25">
      <c r="AQ51" s="90"/>
      <c r="AR51" s="90"/>
      <c r="AS51" s="90"/>
      <c r="AT51" s="90"/>
    </row>
    <row r="52" spans="43:46" x14ac:dyDescent="0.25">
      <c r="AQ52" s="90"/>
      <c r="AR52" s="90"/>
      <c r="AS52" s="90"/>
      <c r="AT52" s="90"/>
    </row>
    <row r="53" spans="43:46" x14ac:dyDescent="0.25">
      <c r="AQ53" s="90"/>
      <c r="AR53" s="90"/>
      <c r="AS53" s="90"/>
      <c r="AT53" s="90"/>
    </row>
    <row r="54" spans="43:46" x14ac:dyDescent="0.25">
      <c r="AQ54" s="90"/>
      <c r="AR54" s="90"/>
      <c r="AS54" s="90"/>
      <c r="AT54" s="90"/>
    </row>
    <row r="55" spans="43:46" x14ac:dyDescent="0.25">
      <c r="AQ55" s="90"/>
      <c r="AR55" s="90"/>
      <c r="AS55" s="90"/>
      <c r="AT55" s="90"/>
    </row>
    <row r="56" spans="43:46" x14ac:dyDescent="0.25">
      <c r="AQ56" s="90"/>
      <c r="AR56" s="90"/>
      <c r="AS56" s="90"/>
      <c r="AT56" s="90"/>
    </row>
    <row r="57" spans="43:46" x14ac:dyDescent="0.25">
      <c r="AQ57" s="90"/>
      <c r="AR57" s="90"/>
      <c r="AS57" s="90"/>
      <c r="AT57" s="90"/>
    </row>
    <row r="58" spans="43:46" x14ac:dyDescent="0.25">
      <c r="AQ58" s="90"/>
      <c r="AR58" s="90"/>
      <c r="AS58" s="90"/>
      <c r="AT58" s="90"/>
    </row>
    <row r="59" spans="43:46" x14ac:dyDescent="0.25">
      <c r="AQ59" s="90"/>
      <c r="AR59" s="90"/>
      <c r="AS59" s="90"/>
      <c r="AT59" s="90"/>
    </row>
    <row r="60" spans="43:46" x14ac:dyDescent="0.25">
      <c r="AQ60" s="90"/>
      <c r="AR60" s="90"/>
      <c r="AS60" s="90"/>
      <c r="AT60" s="90"/>
    </row>
    <row r="61" spans="43:46" x14ac:dyDescent="0.25">
      <c r="AQ61" s="90"/>
      <c r="AR61" s="90"/>
      <c r="AS61" s="90"/>
      <c r="AT61" s="90"/>
    </row>
    <row r="62" spans="43:46" x14ac:dyDescent="0.25">
      <c r="AQ62" s="90"/>
      <c r="AR62" s="90"/>
      <c r="AS62" s="90"/>
      <c r="AT62" s="90"/>
    </row>
    <row r="63" spans="43:46" x14ac:dyDescent="0.25">
      <c r="AQ63" s="90"/>
      <c r="AR63" s="90"/>
      <c r="AS63" s="90"/>
      <c r="AT63" s="90"/>
    </row>
    <row r="64" spans="43:46" x14ac:dyDescent="0.25">
      <c r="AQ64" s="90"/>
      <c r="AR64" s="90"/>
      <c r="AS64" s="90"/>
      <c r="AT64" s="90"/>
    </row>
    <row r="65" spans="43:46" x14ac:dyDescent="0.25">
      <c r="AQ65" s="90"/>
      <c r="AR65" s="90"/>
      <c r="AS65" s="90"/>
      <c r="AT65" s="90"/>
    </row>
    <row r="66" spans="43:46" x14ac:dyDescent="0.25">
      <c r="AQ66" s="90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Rajan Joshi</cp:lastModifiedBy>
  <dcterms:created xsi:type="dcterms:W3CDTF">2018-08-31T19:13:00Z</dcterms:created>
  <dcterms:modified xsi:type="dcterms:W3CDTF">2019-04-29T07:10:30Z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