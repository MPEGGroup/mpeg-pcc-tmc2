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C:\Users\1000314552\Documents\MPEG\SONY\127Meeting\mpeg-pcc-tmc2_integration\test\"/>
    </mc:Choice>
  </mc:AlternateContent>
  <xr:revisionPtr revIDLastSave="0" documentId="13_ncr:1_{03DBBE03-D0D0-4A19-A5E8-0A69E6F72D14}" xr6:coauthVersionLast="36" xr6:coauthVersionMax="36" xr10:uidLastSave="{00000000-0000-0000-0000-000000000000}"/>
  <bookViews>
    <workbookView xWindow="240" yWindow="15" windowWidth="16095" windowHeight="9660" activeTab="6" xr2:uid="{00000000-000D-0000-FFFF-FFFF00000000}"/>
  </bookViews>
  <sheets>
    <sheet name="Summary" sheetId="1" r:id="rId1"/>
    <sheet name="Graphs" sheetId="2" r:id="rId2"/>
    <sheet name="C2 lossyG,lossyA,intra" sheetId="3" r:id="rId3"/>
    <sheet name="names" sheetId="4" state="hidden" r:id="rId4"/>
    <sheet name="CW losslG,losslA,intra" sheetId="5" r:id="rId5"/>
    <sheet name="CW losslG,losslA,interLD" sheetId="6" r:id="rId6"/>
    <sheet name="C2 lossyG,lossyA,interRA" sheetId="7" r:id="rId7"/>
  </sheets>
  <functionGroups builtInGroupCount="19"/>
  <definedNames>
    <definedName name="all_cols" localSheetId="1">Graphs!$I$2:$I$39</definedName>
    <definedName name="filter_cols" localSheetId="1">IF(ISREF(Graphs!filter_cols_),Graphs!filter_cols_,Graphs!all_cols)</definedName>
    <definedName name="filter_cols_" localSheetId="1">INDIRECT(HLOOKUP(Graphs!$B$1,Graphs!$M$1:$ZZ$2,2,0))</definedName>
    <definedName name="graph_a_A_title" localSheetId="1">INDIRECT(VLOOKUP("name.A."&amp;Graphs!$B$1,names!$A:$B,2,0))</definedName>
    <definedName name="graph_a_B_title" localSheetId="1">INDIRECT(VLOOKUP("name.B."&amp;Graphs!$B$1,names!$A:$B,2,0))</definedName>
    <definedName name="graph_a_title" localSheetId="1">CONCATENATE(Graphs!graph_a_y_title, " (Graph a)")</definedName>
    <definedName name="graph_a_x_range_A" localSheetId="1">IF(ISREF(Graphs!graph_a_x_range_A_),Graphs!graph_a_x_range_A_,{0})</definedName>
    <definedName name="graph_a_x_range_A_" localSheetId="1">INDEX(INDIRECT(VLOOKUP("range." &amp; Graphs!$B$1 &amp;"."&amp; Graphs!$B$2, names!$A:$B,2,0)), 0, VLOOKUP("col."&amp; Graphs!$B$1 &amp;".A."&amp; Graphs!$B$4, names!$A:$B,2,0))</definedName>
    <definedName name="graph_a_x_range_B" localSheetId="1">IF(ISREF(Graphs!graph_a_x_range_B_),Graphs!graph_a_x_range_B_,{0})</definedName>
    <definedName name="graph_a_x_range_B_" localSheetId="1">INDEX(INDIRECT(VLOOKUP("range." &amp; Graphs!$B$1 &amp;"."&amp; Graphs!$B$2, names!$A:$B,2,0)), 0, VLOOKUP("col."&amp; Graphs!$B$1 &amp;".B."&amp; Graphs!$B$4, names!$A:$B,2,0))</definedName>
    <definedName name="graph_a_x_title" localSheetId="1">OFFSET(Graphs!all_cols, MATCH(Graphs!$B$4, Graphs!all_cols, 0)-1,1,1,1)</definedName>
    <definedName name="graph_a_y_range_A" localSheetId="1">IF(ISREF(Graphs!graph_a_y_range_A_),Graphs!graph_a_y_range_A_,{0})</definedName>
    <definedName name="graph_a_y_range_A_" localSheetId="1">INDEX(INDIRECT(VLOOKUP("range." &amp; Graphs!$B$1 &amp;"."&amp; Graphs!$B$2, names!$A:$B,2,0)), 0, VLOOKUP("col."&amp; Graphs!$B$1 &amp;".A."&amp; Graphs!$D$4, names!$A:$B,2,0))</definedName>
    <definedName name="graph_a_y_range_B" localSheetId="1">IF(ISREF(Graphs!graph_a_y_range_B_),Graphs!graph_a_y_range_B_,{0})</definedName>
    <definedName name="graph_a_y_range_B_" localSheetId="1">INDEX(INDIRECT(VLOOKUP("range." &amp; Graphs!$B$1 &amp;"."&amp; Graphs!$B$2, names!$A:$B,2,0)), 0, VLOOKUP("col."&amp; Graphs!$B$1 &amp;".B."&amp; Graphs!$D$4, names!$A:$B,2,0))</definedName>
    <definedName name="graph_a_y_title" localSheetId="1">OFFSET(Graphs!all_cols, MATCH(Graphs!$D$4, Graphs!all_cols, 0)-1,1,1,1)</definedName>
    <definedName name="graph_b_A_title" localSheetId="1">INDIRECT(VLOOKUP("name.A."&amp;Graphs!$B$1,names!$A:$B,2,0))</definedName>
    <definedName name="graph_b_B_title" localSheetId="1">INDIRECT(VLOOKUP("name.B."&amp;Graphs!$B$1,names!$A:$B,2,0))</definedName>
    <definedName name="graph_b_title" localSheetId="1">CONCATENATE(Graphs!graph_b_y_title, " (Graph b)")</definedName>
    <definedName name="graph_b_x_range_A" localSheetId="1">IF(ISREF(Graphs!graph_b_x_range_A_),Graphs!graph_b_x_range_A_,{0})</definedName>
    <definedName name="graph_b_x_range_A_" localSheetId="1">INDEX(INDIRECT(VLOOKUP("range." &amp; Graphs!$B$1 &amp;"."&amp; Graphs!$B$2, names!$A:$B,2,0)), 0, VLOOKUP("col."&amp; Graphs!$B$1 &amp;".A."&amp; Graphs!$B$5, names!$A:$B,2,0))</definedName>
    <definedName name="graph_b_x_range_B" localSheetId="1">IF(ISREF(Graphs!graph_b_x_range_B_),Graphs!graph_b_x_range_B_,{0})</definedName>
    <definedName name="graph_b_x_range_B_" localSheetId="1">INDEX(INDIRECT(VLOOKUP("range." &amp; Graphs!$B$1 &amp;"."&amp; Graphs!$B$2, names!$A:$B,2,0)), 0, VLOOKUP("col."&amp; Graphs!$B$1 &amp;".B."&amp; Graphs!$B$5, names!$A:$B,2,0))</definedName>
    <definedName name="graph_b_x_title" localSheetId="1">OFFSET(Graphs!all_cols, MATCH(Graphs!$B$5, Graphs!all_cols, 0)-1,1,1,1)</definedName>
    <definedName name="graph_b_y_range_A" localSheetId="1">IF(ISREF(Graphs!graph_b_y_range_A_),Graphs!graph_b_y_range_A_,{0})</definedName>
    <definedName name="graph_b_y_range_A_" localSheetId="1">INDEX(INDIRECT(VLOOKUP("range." &amp; Graphs!$B$1 &amp;"."&amp; Graphs!$B$2, names!$A:$B,2,0)), 0, VLOOKUP("col."&amp; Graphs!$B$1 &amp;".A."&amp; Graphs!$D$5, names!$A:$B,2,0))</definedName>
    <definedName name="graph_b_y_range_B" localSheetId="1">IF(ISREF(Graphs!graph_b_y_range_B_),Graphs!graph_b_y_range_B_,{0})</definedName>
    <definedName name="graph_b_y_range_B_" localSheetId="1">INDEX(INDIRECT(VLOOKUP("range." &amp; Graphs!$B$1 &amp;"."&amp; Graphs!$B$2, names!$A:$B,2,0)), 0, VLOOKUP("col."&amp; Graphs!$B$1 &amp;".B."&amp; Graphs!$D$5, names!$A:$B,2,0))</definedName>
    <definedName name="graph_b_y_title" localSheetId="1">OFFSET(Graphs!all_cols, MATCH(Graphs!$D$5, Graphs!all_cols, 0)-1,1,1,1)</definedName>
    <definedName name="graph_c_A_title" localSheetId="1">INDIRECT(VLOOKUP("name.A."&amp;Graphs!$B$1,names!$A:$B,2,0))</definedName>
    <definedName name="graph_c_B_title" localSheetId="1">INDIRECT(VLOOKUP("name.B."&amp;Graphs!$B$1,names!$A:$B,2,0))</definedName>
    <definedName name="graph_c_title" localSheetId="1">CONCATENATE(Graphs!graph_c_y_title, " (Graph c)")</definedName>
    <definedName name="graph_c_x_range_A" localSheetId="1">IF(ISREF(Graphs!graph_c_x_range_A_),Graphs!graph_c_x_range_A_,{0})</definedName>
    <definedName name="graph_c_x_range_A_" localSheetId="1">INDEX(INDIRECT(VLOOKUP("range." &amp; Graphs!$B$1 &amp;"."&amp; Graphs!$B$2, names!$A:$B,2,0)), 0, VLOOKUP("col."&amp; Graphs!$B$1 &amp;".A."&amp; Graphs!$B$6, names!$A:$B,2,0))</definedName>
    <definedName name="graph_c_x_range_B" localSheetId="1">IF(ISREF(Graphs!graph_c_x_range_B_),Graphs!graph_c_x_range_B_,{0})</definedName>
    <definedName name="graph_c_x_range_B_" localSheetId="1">INDEX(INDIRECT(VLOOKUP("range." &amp; Graphs!$B$1 &amp;"."&amp; Graphs!$B$2, names!$A:$B,2,0)), 0, VLOOKUP("col."&amp; Graphs!$B$1 &amp;".B."&amp; Graphs!$B$6, names!$A:$B,2,0))</definedName>
    <definedName name="graph_c_x_title" localSheetId="1">OFFSET(Graphs!all_cols, MATCH(Graphs!$B$6, Graphs!all_cols, 0)-1,1,1,1)</definedName>
    <definedName name="graph_c_y_range_A" localSheetId="1">IF(ISREF(Graphs!graph_c_y_range_A_),Graphs!graph_c_y_range_A_,{0})</definedName>
    <definedName name="graph_c_y_range_A_" localSheetId="1">INDEX(INDIRECT(VLOOKUP("range." &amp; Graphs!$B$1 &amp;"."&amp; Graphs!$B$2, names!$A:$B,2,0)), 0, VLOOKUP("col."&amp; Graphs!$B$1 &amp;".A."&amp; Graphs!$D$6, names!$A:$B,2,0))</definedName>
    <definedName name="graph_c_y_range_B" localSheetId="1">IF(ISREF(Graphs!graph_c_y_range_B_),Graphs!graph_c_y_range_B_,{0})</definedName>
    <definedName name="graph_c_y_range_B_" localSheetId="1">INDEX(INDIRECT(VLOOKUP("range." &amp; Graphs!$B$1 &amp;"."&amp; Graphs!$B$2, names!$A:$B,2,0)), 0, VLOOKUP("col."&amp; Graphs!$B$1 &amp;".B."&amp; Graphs!$D$6, names!$A:$B,2,0))</definedName>
    <definedName name="graph_c_y_title" localSheetId="1">OFFSET(Graphs!all_cols, MATCH(Graphs!$D$6, Graphs!all_cols, 0)-1,1,1,1)</definedName>
    <definedName name="graph_d_A_title" localSheetId="1">INDIRECT(VLOOKUP("name.A."&amp;Graphs!$B$1,names!$A:$B,2,0))</definedName>
    <definedName name="graph_d_B_title" localSheetId="1">INDIRECT(VLOOKUP("name.B."&amp;Graphs!$B$1,names!$A:$B,2,0))</definedName>
    <definedName name="graph_d_title" localSheetId="1">CONCATENATE(Graphs!graph_d_y_title, " (Graph d)")</definedName>
    <definedName name="graph_d_x_range_A" localSheetId="1">IF(ISREF(Graphs!graph_d_x_range_A_),Graphs!graph_d_x_range_A_,{0})</definedName>
    <definedName name="graph_d_x_range_A_" localSheetId="1">INDEX(INDIRECT(VLOOKUP("range." &amp; Graphs!$B$1 &amp;"."&amp; Graphs!$B$2, names!$A:$B,2,0)), 0, VLOOKUP("col."&amp; Graphs!$B$1 &amp;".A."&amp; Graphs!$B$7, names!$A:$B,2,0))</definedName>
    <definedName name="graph_d_x_range_B" localSheetId="1">IF(ISREF(Graphs!graph_d_x_range_B_),Graphs!graph_d_x_range_B_,{0})</definedName>
    <definedName name="graph_d_x_range_B_" localSheetId="1">INDEX(INDIRECT(VLOOKUP("range." &amp; Graphs!$B$1 &amp;"."&amp; Graphs!$B$2, names!$A:$B,2,0)), 0, VLOOKUP("col."&amp; Graphs!$B$1 &amp;".B."&amp; Graphs!$B$7, names!$A:$B,2,0))</definedName>
    <definedName name="graph_d_x_title" localSheetId="1">OFFSET(Graphs!all_cols, MATCH(Graphs!$B$7, Graphs!all_cols, 0)-1,1,1,1)</definedName>
    <definedName name="graph_d_y_range_A" localSheetId="1">IF(ISREF(Graphs!graph_d_y_range_A_),Graphs!graph_d_y_range_A_,{0})</definedName>
    <definedName name="graph_d_y_range_A_" localSheetId="1">INDEX(INDIRECT(VLOOKUP("range." &amp; Graphs!$B$1 &amp;"."&amp; Graphs!$B$2, names!$A:$B,2,0)), 0, VLOOKUP("col."&amp; Graphs!$B$1 &amp;".A."&amp; Graphs!$D$7, names!$A:$B,2,0))</definedName>
    <definedName name="graph_d_y_range_B" localSheetId="1">IF(ISREF(Graphs!graph_d_y_range_B_),Graphs!graph_d_y_range_B_,{0})</definedName>
    <definedName name="graph_d_y_range_B_" localSheetId="1">INDEX(INDIRECT(VLOOKUP("range." &amp; Graphs!$B$1 &amp;"."&amp; Graphs!$B$2, names!$A:$B,2,0)), 0, VLOOKUP("col."&amp; Graphs!$B$1 &amp;".B."&amp; Graphs!$D$7, names!$A:$B,2,0))</definedName>
    <definedName name="graph_d_y_title" localSheetId="1">OFFSET(Graphs!all_cols, MATCH(Graphs!$D$7, Graphs!all_cols, 0)-1,1,1,1)</definedName>
    <definedName name="graph_e_A_title" localSheetId="1">INDIRECT(VLOOKUP("name.A."&amp;Graphs!$B$1,names!$A:$B,2,0))</definedName>
    <definedName name="graph_e_B_title" localSheetId="1">INDIRECT(VLOOKUP("name.B."&amp;Graphs!$B$1,names!$A:$B,2,0))</definedName>
    <definedName name="graph_e_title" localSheetId="1">CONCATENATE(Graphs!graph_e_y_title, " (Graph e)")</definedName>
    <definedName name="graph_e_x_range_A" localSheetId="1">IF(ISREF(Graphs!graph_e_x_range_A_),Graphs!graph_e_x_range_A_,{0})</definedName>
    <definedName name="graph_e_x_range_A_" localSheetId="1">INDEX(INDIRECT(VLOOKUP("range." &amp; Graphs!$B$1 &amp;"."&amp; Graphs!$B$2, names!$A:$B,2,0)), 0, VLOOKUP("col."&amp; Graphs!$B$1 &amp;".A."&amp; Graphs!$B$8, names!$A:$B,2,0))</definedName>
    <definedName name="graph_e_x_range_B" localSheetId="1">IF(ISREF(Graphs!graph_e_x_range_B_),Graphs!graph_e_x_range_B_,{0})</definedName>
    <definedName name="graph_e_x_range_B_" localSheetId="1">INDEX(INDIRECT(VLOOKUP("range." &amp; Graphs!$B$1 &amp;"."&amp; Graphs!$B$2, names!$A:$B,2,0)), 0, VLOOKUP("col."&amp; Graphs!$B$1 &amp;".B."&amp; Graphs!$B$8, names!$A:$B,2,0))</definedName>
    <definedName name="graph_e_x_title" localSheetId="1">OFFSET(Graphs!all_cols, MATCH(Graphs!$B$8, Graphs!all_cols, 0)-1,1,1,1)</definedName>
    <definedName name="graph_e_y_range_A" localSheetId="1">IF(ISREF(Graphs!graph_e_y_range_A_),Graphs!graph_e_y_range_A_,{0})</definedName>
    <definedName name="graph_e_y_range_A_" localSheetId="1">INDEX(INDIRECT(VLOOKUP("range." &amp; Graphs!$B$1 &amp;"."&amp; Graphs!$B$2, names!$A:$B,2,0)), 0, VLOOKUP("col."&amp; Graphs!$B$1 &amp;".A."&amp; Graphs!$D$8, names!$A:$B,2,0))</definedName>
    <definedName name="graph_e_y_range_B" localSheetId="1">IF(ISREF(Graphs!graph_e_y_range_B_),Graphs!graph_e_y_range_B_,{0})</definedName>
    <definedName name="graph_e_y_range_B_" localSheetId="1">INDEX(INDIRECT(VLOOKUP("range." &amp; Graphs!$B$1 &amp;"."&amp; Graphs!$B$2, names!$A:$B,2,0)), 0, VLOOKUP("col."&amp; Graphs!$B$1 &amp;".B."&amp; Graphs!$D$8, names!$A:$B,2,0))</definedName>
    <definedName name="graph_e_y_title" localSheetId="1">OFFSET(Graphs!all_cols, MATCH(Graphs!$D$8, Graphs!all_cols, 0)-1,1,1,1)</definedName>
    <definedName name="graph_f_A_title" localSheetId="1">INDIRECT(VLOOKUP("name.A."&amp;Graphs!$B$1,names!$A:$B,2,0))</definedName>
    <definedName name="graph_f_B_title" localSheetId="1">INDIRECT(VLOOKUP("name.B."&amp;Graphs!$B$1,names!$A:$B,2,0))</definedName>
    <definedName name="graph_f_title" localSheetId="1">CONCATENATE(Graphs!graph_f_y_title, " (Graph f)")</definedName>
    <definedName name="graph_f_x_range_A" localSheetId="1">IF(ISREF(Graphs!graph_f_x_range_A_),Graphs!graph_f_x_range_A_,{0})</definedName>
    <definedName name="graph_f_x_range_A_" localSheetId="1">INDEX(INDIRECT(VLOOKUP("range." &amp; Graphs!$B$1 &amp;"."&amp; Graphs!$B$2, names!$A:$B,2,0)), 0, VLOOKUP("col."&amp; Graphs!$B$1 &amp;".A."&amp; Graphs!$B$9, names!$A:$B,2,0))</definedName>
    <definedName name="graph_f_x_range_B" localSheetId="1">IF(ISREF(Graphs!graph_f_x_range_B_),Graphs!graph_f_x_range_B_,{0})</definedName>
    <definedName name="graph_f_x_range_B_" localSheetId="1">INDEX(INDIRECT(VLOOKUP("range." &amp; Graphs!$B$1 &amp;"."&amp; Graphs!$B$2, names!$A:$B,2,0)), 0, VLOOKUP("col."&amp; Graphs!$B$1 &amp;".B."&amp; Graphs!$B$9, names!$A:$B,2,0))</definedName>
    <definedName name="graph_f_x_title" localSheetId="1">OFFSET(Graphs!all_cols, MATCH(Graphs!$B$9, Graphs!all_cols, 0)-1,1,1,1)</definedName>
    <definedName name="graph_f_y_range_A" localSheetId="1">IF(ISREF(Graphs!graph_f_y_range_A_),Graphs!graph_f_y_range_A_,{0})</definedName>
    <definedName name="graph_f_y_range_A_" localSheetId="1">INDEX(INDIRECT(VLOOKUP("range." &amp; Graphs!$B$1 &amp;"."&amp; Graphs!$B$2, names!$A:$B,2,0)), 0, VLOOKUP("col."&amp; Graphs!$B$1 &amp;".A."&amp; Graphs!$D$9, names!$A:$B,2,0))</definedName>
    <definedName name="graph_f_y_range_B" localSheetId="1">IF(ISREF(Graphs!graph_f_y_range_B_),Graphs!graph_f_y_range_B_,{0})</definedName>
    <definedName name="graph_f_y_range_B_" localSheetId="1">INDEX(INDIRECT(VLOOKUP("range." &amp; Graphs!$B$1 &amp;"."&amp; Graphs!$B$2, names!$A:$B,2,0)), 0, VLOOKUP("col."&amp; Graphs!$B$1 &amp;".B."&amp; Graphs!$D$9, names!$A:$B,2,0))</definedName>
    <definedName name="graph_f_y_title" localSheetId="1">OFFSET(Graphs!all_cols, MATCH(Graphs!$D$9, Graphs!all_cols, 0)-1,1,1,1)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1" i="5" l="1"/>
  <c r="AE1" i="5"/>
  <c r="H1" i="6"/>
  <c r="AE1" i="6"/>
  <c r="I1" i="7"/>
  <c r="AG1" i="7"/>
  <c r="AG1" i="3"/>
  <c r="I1" i="3"/>
  <c r="BU6" i="7" l="1"/>
  <c r="BU7" i="7"/>
  <c r="BU8" i="7"/>
  <c r="BU9" i="7"/>
  <c r="BU10" i="7"/>
  <c r="BU11" i="7"/>
  <c r="BU12" i="7"/>
  <c r="BU13" i="7"/>
  <c r="BU14" i="7"/>
  <c r="BU15" i="7"/>
  <c r="BU16" i="7"/>
  <c r="BU17" i="7"/>
  <c r="BU18" i="7"/>
  <c r="BU19" i="7"/>
  <c r="BU20" i="7"/>
  <c r="BU21" i="7"/>
  <c r="BU22" i="7"/>
  <c r="BU23" i="7"/>
  <c r="BU24" i="7"/>
  <c r="BU25" i="7"/>
  <c r="BU26" i="7"/>
  <c r="BU27" i="7"/>
  <c r="BU28" i="7"/>
  <c r="BU29" i="7"/>
  <c r="BU5" i="7"/>
  <c r="BU6" i="3"/>
  <c r="BU7" i="3"/>
  <c r="BU8" i="3"/>
  <c r="BU9" i="3"/>
  <c r="BU10" i="3"/>
  <c r="BU11" i="3"/>
  <c r="BU12" i="3"/>
  <c r="BU13" i="3"/>
  <c r="BU14" i="3"/>
  <c r="BU15" i="3"/>
  <c r="BU16" i="3"/>
  <c r="BU17" i="3"/>
  <c r="BU18" i="3"/>
  <c r="BU19" i="3"/>
  <c r="BU20" i="3"/>
  <c r="BU21" i="3"/>
  <c r="BU22" i="3"/>
  <c r="BU23" i="3"/>
  <c r="BU24" i="3"/>
  <c r="BU25" i="3"/>
  <c r="BU26" i="3"/>
  <c r="BU27" i="3"/>
  <c r="BU28" i="3"/>
  <c r="BU29" i="3"/>
  <c r="BU5" i="3"/>
  <c r="BH6" i="6"/>
  <c r="BH7" i="6"/>
  <c r="BH8" i="6"/>
  <c r="BH9" i="6"/>
  <c r="BH5" i="6"/>
  <c r="BH6" i="5"/>
  <c r="BH7" i="5"/>
  <c r="BH8" i="5"/>
  <c r="BH9" i="5"/>
  <c r="BH5" i="5"/>
  <c r="BC35" i="7" l="1"/>
  <c r="BB35" i="7"/>
  <c r="BA35" i="7"/>
  <c r="AZ35" i="7"/>
  <c r="AE35" i="7"/>
  <c r="AD35" i="7"/>
  <c r="AC35" i="7"/>
  <c r="AB35" i="7"/>
  <c r="BC33" i="7"/>
  <c r="BB33" i="7"/>
  <c r="BA33" i="7"/>
  <c r="AZ33" i="7"/>
  <c r="AE33" i="7"/>
  <c r="AD33" i="7"/>
  <c r="AC33" i="7"/>
  <c r="AB33" i="7"/>
  <c r="BE29" i="7"/>
  <c r="AM29" i="7"/>
  <c r="AL29" i="7"/>
  <c r="AK29" i="7"/>
  <c r="AJ29" i="7"/>
  <c r="AH29" i="7"/>
  <c r="AG29" i="7"/>
  <c r="O29" i="7"/>
  <c r="N29" i="7"/>
  <c r="K29" i="7" s="1"/>
  <c r="M29" i="7"/>
  <c r="L29" i="7"/>
  <c r="J29" i="7"/>
  <c r="I29" i="7"/>
  <c r="BE28" i="7"/>
  <c r="AM28" i="7"/>
  <c r="AL28" i="7"/>
  <c r="AK28" i="7"/>
  <c r="AJ28" i="7"/>
  <c r="AH28" i="7"/>
  <c r="AG28" i="7"/>
  <c r="O28" i="7"/>
  <c r="N28" i="7"/>
  <c r="K28" i="7" s="1"/>
  <c r="M28" i="7"/>
  <c r="L28" i="7"/>
  <c r="J28" i="7"/>
  <c r="I28" i="7"/>
  <c r="BE27" i="7"/>
  <c r="AM27" i="7"/>
  <c r="AL27" i="7"/>
  <c r="AK27" i="7"/>
  <c r="AJ27" i="7"/>
  <c r="AH27" i="7"/>
  <c r="AG27" i="7"/>
  <c r="O27" i="7"/>
  <c r="N27" i="7"/>
  <c r="K27" i="7" s="1"/>
  <c r="M27" i="7"/>
  <c r="L27" i="7"/>
  <c r="J27" i="7"/>
  <c r="I27" i="7"/>
  <c r="BE26" i="7"/>
  <c r="AM26" i="7"/>
  <c r="AL26" i="7"/>
  <c r="AK26" i="7"/>
  <c r="AJ26" i="7"/>
  <c r="AH26" i="7"/>
  <c r="AG26" i="7"/>
  <c r="O26" i="7"/>
  <c r="N26" i="7"/>
  <c r="K26" i="7" s="1"/>
  <c r="M26" i="7"/>
  <c r="L26" i="7"/>
  <c r="J26" i="7"/>
  <c r="I26" i="7"/>
  <c r="BE25" i="7"/>
  <c r="AM25" i="7"/>
  <c r="AL25" i="7"/>
  <c r="AK25" i="7"/>
  <c r="AJ25" i="7"/>
  <c r="AH25" i="7"/>
  <c r="AG25" i="7"/>
  <c r="O25" i="7"/>
  <c r="N25" i="7"/>
  <c r="M25" i="7"/>
  <c r="L25" i="7"/>
  <c r="J25" i="7"/>
  <c r="I25" i="7"/>
  <c r="BE24" i="7"/>
  <c r="AM24" i="7"/>
  <c r="AL24" i="7"/>
  <c r="AI24" i="7" s="1"/>
  <c r="AK24" i="7"/>
  <c r="AJ24" i="7"/>
  <c r="AH24" i="7"/>
  <c r="AG24" i="7"/>
  <c r="O24" i="7"/>
  <c r="N24" i="7"/>
  <c r="K24" i="7" s="1"/>
  <c r="M24" i="7"/>
  <c r="L24" i="7"/>
  <c r="J24" i="7"/>
  <c r="I24" i="7"/>
  <c r="BE23" i="7"/>
  <c r="AM23" i="7"/>
  <c r="AL23" i="7"/>
  <c r="AK23" i="7"/>
  <c r="AJ23" i="7"/>
  <c r="AI23" i="7"/>
  <c r="AH23" i="7"/>
  <c r="AG23" i="7"/>
  <c r="O23" i="7"/>
  <c r="N23" i="7"/>
  <c r="K23" i="7" s="1"/>
  <c r="M23" i="7"/>
  <c r="L23" i="7"/>
  <c r="J23" i="7"/>
  <c r="I23" i="7"/>
  <c r="BE22" i="7"/>
  <c r="AM22" i="7"/>
  <c r="AL22" i="7"/>
  <c r="AI22" i="7" s="1"/>
  <c r="AK22" i="7"/>
  <c r="AJ22" i="7"/>
  <c r="AH22" i="7"/>
  <c r="AG22" i="7"/>
  <c r="O22" i="7"/>
  <c r="N22" i="7"/>
  <c r="K22" i="7" s="1"/>
  <c r="M22" i="7"/>
  <c r="L22" i="7"/>
  <c r="J22" i="7"/>
  <c r="I22" i="7"/>
  <c r="BE21" i="7"/>
  <c r="AM21" i="7"/>
  <c r="AL21" i="7"/>
  <c r="AK21" i="7"/>
  <c r="AJ21" i="7"/>
  <c r="AH21" i="7"/>
  <c r="AG21" i="7"/>
  <c r="O21" i="7"/>
  <c r="N21" i="7"/>
  <c r="K21" i="7" s="1"/>
  <c r="M21" i="7"/>
  <c r="L21" i="7"/>
  <c r="J21" i="7"/>
  <c r="I21" i="7"/>
  <c r="BE20" i="7"/>
  <c r="AM20" i="7"/>
  <c r="AL20" i="7"/>
  <c r="AI20" i="7" s="1"/>
  <c r="AK20" i="7"/>
  <c r="AJ20" i="7"/>
  <c r="AH20" i="7"/>
  <c r="AG20" i="7"/>
  <c r="O20" i="7"/>
  <c r="N20" i="7"/>
  <c r="M20" i="7"/>
  <c r="L20" i="7"/>
  <c r="J20" i="7"/>
  <c r="I20" i="7"/>
  <c r="BE19" i="7"/>
  <c r="AM19" i="7"/>
  <c r="AL19" i="7"/>
  <c r="AK19" i="7"/>
  <c r="AJ19" i="7"/>
  <c r="AH19" i="7"/>
  <c r="AG19" i="7"/>
  <c r="O19" i="7"/>
  <c r="N19" i="7"/>
  <c r="K19" i="7" s="1"/>
  <c r="M19" i="7"/>
  <c r="L19" i="7"/>
  <c r="J19" i="7"/>
  <c r="I19" i="7"/>
  <c r="BE18" i="7"/>
  <c r="AM18" i="7"/>
  <c r="AL18" i="7"/>
  <c r="AI18" i="7" s="1"/>
  <c r="AK18" i="7"/>
  <c r="AJ18" i="7"/>
  <c r="AH18" i="7"/>
  <c r="AG18" i="7"/>
  <c r="O18" i="7"/>
  <c r="N18" i="7"/>
  <c r="K18" i="7" s="1"/>
  <c r="M18" i="7"/>
  <c r="L18" i="7"/>
  <c r="J18" i="7"/>
  <c r="I18" i="7"/>
  <c r="BE17" i="7"/>
  <c r="AM17" i="7"/>
  <c r="AL17" i="7"/>
  <c r="AK17" i="7"/>
  <c r="AJ17" i="7"/>
  <c r="AH17" i="7"/>
  <c r="AG17" i="7"/>
  <c r="O17" i="7"/>
  <c r="N17" i="7"/>
  <c r="K17" i="7" s="1"/>
  <c r="M17" i="7"/>
  <c r="L17" i="7"/>
  <c r="J17" i="7"/>
  <c r="I17" i="7"/>
  <c r="BE16" i="7"/>
  <c r="AM16" i="7"/>
  <c r="AL16" i="7"/>
  <c r="AI16" i="7" s="1"/>
  <c r="AK16" i="7"/>
  <c r="AJ16" i="7"/>
  <c r="AH16" i="7"/>
  <c r="AG16" i="7"/>
  <c r="O16" i="7"/>
  <c r="N16" i="7"/>
  <c r="K16" i="7" s="1"/>
  <c r="M16" i="7"/>
  <c r="L16" i="7"/>
  <c r="J16" i="7"/>
  <c r="I16" i="7"/>
  <c r="BE15" i="7"/>
  <c r="AM15" i="7"/>
  <c r="AL15" i="7"/>
  <c r="AI15" i="7" s="1"/>
  <c r="AK15" i="7"/>
  <c r="AJ15" i="7"/>
  <c r="AH15" i="7"/>
  <c r="AG15" i="7"/>
  <c r="O15" i="7"/>
  <c r="N15" i="7"/>
  <c r="M15" i="7"/>
  <c r="L15" i="7"/>
  <c r="J15" i="7"/>
  <c r="I15" i="7"/>
  <c r="BE14" i="7"/>
  <c r="AM14" i="7"/>
  <c r="AL14" i="7"/>
  <c r="AI14" i="7" s="1"/>
  <c r="AK14" i="7"/>
  <c r="AJ14" i="7"/>
  <c r="AH14" i="7"/>
  <c r="AG14" i="7"/>
  <c r="O14" i="7"/>
  <c r="N14" i="7"/>
  <c r="K14" i="7" s="1"/>
  <c r="M14" i="7"/>
  <c r="L14" i="7"/>
  <c r="J14" i="7"/>
  <c r="I14" i="7"/>
  <c r="BE13" i="7"/>
  <c r="AM13" i="7"/>
  <c r="AL13" i="7"/>
  <c r="AK13" i="7"/>
  <c r="AJ13" i="7"/>
  <c r="AH13" i="7"/>
  <c r="AG13" i="7"/>
  <c r="O13" i="7"/>
  <c r="N13" i="7"/>
  <c r="K13" i="7" s="1"/>
  <c r="M13" i="7"/>
  <c r="L13" i="7"/>
  <c r="J13" i="7"/>
  <c r="I13" i="7"/>
  <c r="BE12" i="7"/>
  <c r="AM12" i="7"/>
  <c r="AL12" i="7"/>
  <c r="AI12" i="7" s="1"/>
  <c r="AK12" i="7"/>
  <c r="AJ12" i="7"/>
  <c r="AH12" i="7"/>
  <c r="AG12" i="7"/>
  <c r="O12" i="7"/>
  <c r="N12" i="7"/>
  <c r="K12" i="7" s="1"/>
  <c r="M12" i="7"/>
  <c r="L12" i="7"/>
  <c r="J12" i="7"/>
  <c r="I12" i="7"/>
  <c r="BE11" i="7"/>
  <c r="AM11" i="7"/>
  <c r="AL11" i="7"/>
  <c r="AK11" i="7"/>
  <c r="AJ11" i="7"/>
  <c r="AH11" i="7"/>
  <c r="AG11" i="7"/>
  <c r="O11" i="7"/>
  <c r="N11" i="7"/>
  <c r="K11" i="7" s="1"/>
  <c r="M11" i="7"/>
  <c r="L11" i="7"/>
  <c r="J11" i="7"/>
  <c r="I11" i="7"/>
  <c r="BG10" i="7" a="1"/>
  <c r="BE10" i="7"/>
  <c r="AM10" i="7"/>
  <c r="AL10" i="7"/>
  <c r="AI10" i="7" s="1"/>
  <c r="AK10" i="7"/>
  <c r="AJ10" i="7"/>
  <c r="AH10" i="7"/>
  <c r="AG10" i="7"/>
  <c r="O10" i="7"/>
  <c r="N10" i="7"/>
  <c r="M10" i="7"/>
  <c r="L10" i="7"/>
  <c r="J10" i="7"/>
  <c r="I10" i="7"/>
  <c r="BE9" i="7"/>
  <c r="AM9" i="7"/>
  <c r="AL9" i="7"/>
  <c r="AI9" i="7" s="1"/>
  <c r="AK9" i="7"/>
  <c r="AJ9" i="7"/>
  <c r="AH9" i="7"/>
  <c r="AG9" i="7"/>
  <c r="O9" i="7"/>
  <c r="N9" i="7"/>
  <c r="K9" i="7" s="1"/>
  <c r="M9" i="7"/>
  <c r="L9" i="7"/>
  <c r="J9" i="7"/>
  <c r="I9" i="7"/>
  <c r="BE8" i="7"/>
  <c r="AM8" i="7"/>
  <c r="AL8" i="7"/>
  <c r="AI8" i="7" s="1"/>
  <c r="AK8" i="7"/>
  <c r="AJ8" i="7"/>
  <c r="AH8" i="7"/>
  <c r="AG8" i="7"/>
  <c r="O8" i="7"/>
  <c r="N8" i="7"/>
  <c r="K8" i="7" s="1"/>
  <c r="M8" i="7"/>
  <c r="L8" i="7"/>
  <c r="J8" i="7"/>
  <c r="I8" i="7"/>
  <c r="BE7" i="7"/>
  <c r="AM7" i="7"/>
  <c r="AL7" i="7"/>
  <c r="AI7" i="7" s="1"/>
  <c r="AK7" i="7"/>
  <c r="AJ7" i="7"/>
  <c r="AH7" i="7"/>
  <c r="AG7" i="7"/>
  <c r="O7" i="7"/>
  <c r="N7" i="7"/>
  <c r="K7" i="7" s="1"/>
  <c r="M7" i="7"/>
  <c r="L7" i="7"/>
  <c r="J7" i="7"/>
  <c r="I7" i="7"/>
  <c r="BE6" i="7"/>
  <c r="AM6" i="7"/>
  <c r="AL6" i="7"/>
  <c r="AI6" i="7" s="1"/>
  <c r="AK6" i="7"/>
  <c r="AJ6" i="7"/>
  <c r="AH6" i="7"/>
  <c r="AG6" i="7"/>
  <c r="O6" i="7"/>
  <c r="N6" i="7"/>
  <c r="K6" i="7" s="1"/>
  <c r="M6" i="7"/>
  <c r="L6" i="7"/>
  <c r="J6" i="7"/>
  <c r="I6" i="7"/>
  <c r="BE5" i="7"/>
  <c r="AM5" i="7"/>
  <c r="AL5" i="7"/>
  <c r="AI5" i="7" s="1"/>
  <c r="AK5" i="7"/>
  <c r="AJ5" i="7"/>
  <c r="AH5" i="7"/>
  <c r="AG5" i="7"/>
  <c r="O5" i="7"/>
  <c r="N5" i="7"/>
  <c r="M5" i="7"/>
  <c r="L5" i="7"/>
  <c r="J5" i="7"/>
  <c r="I5" i="7"/>
  <c r="AZ15" i="6"/>
  <c r="AY15" i="6"/>
  <c r="AX15" i="6"/>
  <c r="AW15" i="6"/>
  <c r="AC15" i="6"/>
  <c r="AB15" i="6"/>
  <c r="AA15" i="6"/>
  <c r="Z15" i="6"/>
  <c r="AZ13" i="6"/>
  <c r="AY13" i="6"/>
  <c r="AX13" i="6"/>
  <c r="AW13" i="6"/>
  <c r="AC13" i="6"/>
  <c r="AB13" i="6"/>
  <c r="AA13" i="6"/>
  <c r="Z13" i="6"/>
  <c r="AL9" i="6"/>
  <c r="AK9" i="6"/>
  <c r="AJ9" i="6"/>
  <c r="AJ11" i="6" s="1"/>
  <c r="AI9" i="6"/>
  <c r="AI11" i="6" s="1"/>
  <c r="AG9" i="6"/>
  <c r="AG11" i="6" s="1"/>
  <c r="AF9" i="6"/>
  <c r="AE9" i="6"/>
  <c r="O9" i="6"/>
  <c r="N9" i="6"/>
  <c r="BE9" i="6" s="1"/>
  <c r="M9" i="6"/>
  <c r="M11" i="6" s="1"/>
  <c r="L9" i="6"/>
  <c r="L11" i="6" s="1"/>
  <c r="J9" i="6"/>
  <c r="J11" i="6" s="1"/>
  <c r="I9" i="6"/>
  <c r="H9" i="6"/>
  <c r="AL8" i="6"/>
  <c r="AK8" i="6"/>
  <c r="AH8" i="6" s="1"/>
  <c r="AJ8" i="6"/>
  <c r="AI8" i="6"/>
  <c r="AG8" i="6"/>
  <c r="AF8" i="6"/>
  <c r="AE8" i="6"/>
  <c r="O8" i="6"/>
  <c r="N8" i="6"/>
  <c r="M8" i="6"/>
  <c r="L8" i="6"/>
  <c r="J8" i="6"/>
  <c r="I8" i="6"/>
  <c r="H8" i="6"/>
  <c r="AL7" i="6"/>
  <c r="AK7" i="6"/>
  <c r="BF7" i="6" s="1" a="1"/>
  <c r="AJ7" i="6"/>
  <c r="AI7" i="6"/>
  <c r="AG7" i="6"/>
  <c r="AF7" i="6"/>
  <c r="AE7" i="6"/>
  <c r="O7" i="6"/>
  <c r="N7" i="6"/>
  <c r="K7" i="6" s="1"/>
  <c r="M7" i="6"/>
  <c r="L7" i="6"/>
  <c r="J7" i="6"/>
  <c r="I7" i="6"/>
  <c r="H7" i="6"/>
  <c r="AL6" i="6"/>
  <c r="AK6" i="6"/>
  <c r="AH6" i="6" s="1"/>
  <c r="AJ6" i="6"/>
  <c r="AI6" i="6"/>
  <c r="AG6" i="6"/>
  <c r="AF6" i="6"/>
  <c r="AE6" i="6"/>
  <c r="O6" i="6"/>
  <c r="N6" i="6"/>
  <c r="BF6" i="6" s="1" a="1"/>
  <c r="M6" i="6"/>
  <c r="L6" i="6"/>
  <c r="J6" i="6"/>
  <c r="I6" i="6"/>
  <c r="H6" i="6"/>
  <c r="AL5" i="6"/>
  <c r="AK5" i="6"/>
  <c r="AH5" i="6" s="1"/>
  <c r="AJ5" i="6"/>
  <c r="AI5" i="6"/>
  <c r="AG5" i="6"/>
  <c r="AF5" i="6"/>
  <c r="AE5" i="6"/>
  <c r="O5" i="6"/>
  <c r="N5" i="6"/>
  <c r="K5" i="6" s="1"/>
  <c r="M5" i="6"/>
  <c r="L5" i="6"/>
  <c r="J5" i="6"/>
  <c r="I5" i="6"/>
  <c r="H5" i="6"/>
  <c r="AZ15" i="5"/>
  <c r="AY15" i="5"/>
  <c r="AX15" i="5"/>
  <c r="AW15" i="5"/>
  <c r="AC15" i="5"/>
  <c r="AB15" i="5"/>
  <c r="AA15" i="5"/>
  <c r="Z15" i="5"/>
  <c r="AZ13" i="5"/>
  <c r="AY13" i="5"/>
  <c r="AX13" i="5"/>
  <c r="AW13" i="5"/>
  <c r="AC13" i="5"/>
  <c r="AB13" i="5"/>
  <c r="AA13" i="5"/>
  <c r="Z13" i="5"/>
  <c r="BF9" i="5" a="1"/>
  <c r="AL9" i="5"/>
  <c r="AK9" i="5"/>
  <c r="AH9" i="5" s="1"/>
  <c r="AH11" i="5" s="1"/>
  <c r="AJ9" i="5"/>
  <c r="AJ11" i="5" s="1"/>
  <c r="AI9" i="5"/>
  <c r="AI11" i="5" s="1"/>
  <c r="AG9" i="5"/>
  <c r="AG11" i="5" s="1"/>
  <c r="AF9" i="5"/>
  <c r="AE9" i="5"/>
  <c r="O9" i="5"/>
  <c r="N9" i="5"/>
  <c r="K9" i="5" s="1"/>
  <c r="K11" i="5" s="1"/>
  <c r="M9" i="5"/>
  <c r="M11" i="5" s="1"/>
  <c r="L9" i="5"/>
  <c r="L11" i="5" s="1"/>
  <c r="J9" i="5"/>
  <c r="J11" i="5" s="1"/>
  <c r="I9" i="5"/>
  <c r="H9" i="5"/>
  <c r="AL8" i="5"/>
  <c r="AK8" i="5"/>
  <c r="AJ8" i="5"/>
  <c r="AI8" i="5"/>
  <c r="AG8" i="5"/>
  <c r="AF8" i="5"/>
  <c r="AE8" i="5"/>
  <c r="O8" i="5"/>
  <c r="N8" i="5"/>
  <c r="K8" i="5" s="1"/>
  <c r="M8" i="5"/>
  <c r="L8" i="5"/>
  <c r="J8" i="5"/>
  <c r="I8" i="5"/>
  <c r="H8" i="5"/>
  <c r="AL7" i="5"/>
  <c r="AK7" i="5"/>
  <c r="AH7" i="5" s="1"/>
  <c r="AJ7" i="5"/>
  <c r="AI7" i="5"/>
  <c r="AG7" i="5"/>
  <c r="AF7" i="5"/>
  <c r="AE7" i="5"/>
  <c r="O7" i="5"/>
  <c r="N7" i="5"/>
  <c r="K7" i="5" s="1"/>
  <c r="M7" i="5"/>
  <c r="L7" i="5"/>
  <c r="J7" i="5"/>
  <c r="I7" i="5"/>
  <c r="H7" i="5"/>
  <c r="BF6" i="5" a="1"/>
  <c r="AL6" i="5"/>
  <c r="AK6" i="5"/>
  <c r="AH6" i="5" s="1"/>
  <c r="AJ6" i="5"/>
  <c r="AI6" i="5"/>
  <c r="AG6" i="5"/>
  <c r="AF6" i="5"/>
  <c r="AE6" i="5"/>
  <c r="O6" i="5"/>
  <c r="N6" i="5"/>
  <c r="K6" i="5" s="1"/>
  <c r="M6" i="5"/>
  <c r="L6" i="5"/>
  <c r="J6" i="5"/>
  <c r="I6" i="5"/>
  <c r="H6" i="5"/>
  <c r="AL5" i="5"/>
  <c r="AK5" i="5"/>
  <c r="AJ5" i="5"/>
  <c r="AI5" i="5"/>
  <c r="AG5" i="5"/>
  <c r="AF5" i="5"/>
  <c r="AE5" i="5"/>
  <c r="O5" i="5"/>
  <c r="N5" i="5"/>
  <c r="K5" i="5" s="1"/>
  <c r="M5" i="5"/>
  <c r="L5" i="5"/>
  <c r="J5" i="5"/>
  <c r="I5" i="5"/>
  <c r="H5" i="5"/>
  <c r="BC35" i="3"/>
  <c r="BB35" i="3"/>
  <c r="BA35" i="3"/>
  <c r="AZ35" i="3"/>
  <c r="AE35" i="3"/>
  <c r="AD35" i="3"/>
  <c r="AC35" i="3"/>
  <c r="AB35" i="3"/>
  <c r="BC33" i="3"/>
  <c r="BB33" i="3"/>
  <c r="BA33" i="3"/>
  <c r="AZ33" i="3"/>
  <c r="AE33" i="3"/>
  <c r="BC34" i="3" s="1"/>
  <c r="AD33" i="3"/>
  <c r="AC33" i="3"/>
  <c r="AB33" i="3"/>
  <c r="BE29" i="3"/>
  <c r="AM29" i="3"/>
  <c r="AL29" i="3"/>
  <c r="AI29" i="3" s="1"/>
  <c r="AK29" i="3"/>
  <c r="AJ29" i="3"/>
  <c r="AH29" i="3"/>
  <c r="AG29" i="3"/>
  <c r="O29" i="3"/>
  <c r="N29" i="3"/>
  <c r="M29" i="3"/>
  <c r="L29" i="3"/>
  <c r="J29" i="3"/>
  <c r="I29" i="3"/>
  <c r="BE28" i="3"/>
  <c r="AM28" i="3"/>
  <c r="AL28" i="3"/>
  <c r="AI28" i="3" s="1"/>
  <c r="AK28" i="3"/>
  <c r="AJ28" i="3"/>
  <c r="AH28" i="3"/>
  <c r="AG28" i="3"/>
  <c r="O28" i="3"/>
  <c r="N28" i="3"/>
  <c r="M28" i="3"/>
  <c r="L28" i="3"/>
  <c r="J28" i="3"/>
  <c r="I28" i="3"/>
  <c r="BE27" i="3"/>
  <c r="AM27" i="3"/>
  <c r="AL27" i="3"/>
  <c r="AI27" i="3" s="1"/>
  <c r="AK27" i="3"/>
  <c r="AJ27" i="3"/>
  <c r="AH27" i="3"/>
  <c r="AG27" i="3"/>
  <c r="O27" i="3"/>
  <c r="N27" i="3"/>
  <c r="M27" i="3"/>
  <c r="L27" i="3"/>
  <c r="J27" i="3"/>
  <c r="I27" i="3"/>
  <c r="BE26" i="3"/>
  <c r="AM26" i="3"/>
  <c r="AL26" i="3"/>
  <c r="AI26" i="3" s="1"/>
  <c r="AK26" i="3"/>
  <c r="AJ26" i="3"/>
  <c r="AH26" i="3"/>
  <c r="AG26" i="3"/>
  <c r="O26" i="3"/>
  <c r="N26" i="3"/>
  <c r="M26" i="3"/>
  <c r="L26" i="3"/>
  <c r="J26" i="3"/>
  <c r="I26" i="3"/>
  <c r="BE25" i="3"/>
  <c r="AM25" i="3"/>
  <c r="AL25" i="3"/>
  <c r="AI25" i="3" s="1"/>
  <c r="AK25" i="3"/>
  <c r="AJ25" i="3"/>
  <c r="AH25" i="3"/>
  <c r="AG25" i="3"/>
  <c r="O25" i="3"/>
  <c r="N25" i="3"/>
  <c r="M25" i="3"/>
  <c r="L25" i="3"/>
  <c r="J25" i="3"/>
  <c r="I25" i="3"/>
  <c r="BE24" i="3"/>
  <c r="AM24" i="3"/>
  <c r="AL24" i="3"/>
  <c r="AI24" i="3" s="1"/>
  <c r="AK24" i="3"/>
  <c r="AJ24" i="3"/>
  <c r="AH24" i="3"/>
  <c r="AG24" i="3"/>
  <c r="O24" i="3"/>
  <c r="N24" i="3"/>
  <c r="M24" i="3"/>
  <c r="L24" i="3"/>
  <c r="J24" i="3"/>
  <c r="I24" i="3"/>
  <c r="BE23" i="3"/>
  <c r="AM23" i="3"/>
  <c r="AL23" i="3"/>
  <c r="AI23" i="3" s="1"/>
  <c r="AK23" i="3"/>
  <c r="AJ23" i="3"/>
  <c r="AH23" i="3"/>
  <c r="AG23" i="3"/>
  <c r="O23" i="3"/>
  <c r="N23" i="3"/>
  <c r="M23" i="3"/>
  <c r="L23" i="3"/>
  <c r="J23" i="3"/>
  <c r="I23" i="3"/>
  <c r="BE22" i="3"/>
  <c r="AM22" i="3"/>
  <c r="AL22" i="3"/>
  <c r="AI22" i="3" s="1"/>
  <c r="AK22" i="3"/>
  <c r="AJ22" i="3"/>
  <c r="AH22" i="3"/>
  <c r="AG22" i="3"/>
  <c r="O22" i="3"/>
  <c r="N22" i="3"/>
  <c r="M22" i="3"/>
  <c r="L22" i="3"/>
  <c r="J22" i="3"/>
  <c r="I22" i="3"/>
  <c r="BE21" i="3"/>
  <c r="AM21" i="3"/>
  <c r="AL21" i="3"/>
  <c r="AI21" i="3" s="1"/>
  <c r="AK21" i="3"/>
  <c r="AJ21" i="3"/>
  <c r="AH21" i="3"/>
  <c r="AG21" i="3"/>
  <c r="O21" i="3"/>
  <c r="N21" i="3"/>
  <c r="M21" i="3"/>
  <c r="L21" i="3"/>
  <c r="J21" i="3"/>
  <c r="I21" i="3"/>
  <c r="BE20" i="3"/>
  <c r="AM20" i="3"/>
  <c r="AL20" i="3"/>
  <c r="AI20" i="3" s="1"/>
  <c r="AK20" i="3"/>
  <c r="AJ20" i="3"/>
  <c r="AH20" i="3"/>
  <c r="AG20" i="3"/>
  <c r="O20" i="3"/>
  <c r="N20" i="3"/>
  <c r="M20" i="3"/>
  <c r="L20" i="3"/>
  <c r="J20" i="3"/>
  <c r="I20" i="3"/>
  <c r="BE19" i="3"/>
  <c r="AM19" i="3"/>
  <c r="AL19" i="3"/>
  <c r="AI19" i="3" s="1"/>
  <c r="AK19" i="3"/>
  <c r="AJ19" i="3"/>
  <c r="AH19" i="3"/>
  <c r="AG19" i="3"/>
  <c r="O19" i="3"/>
  <c r="N19" i="3"/>
  <c r="M19" i="3"/>
  <c r="L19" i="3"/>
  <c r="J19" i="3"/>
  <c r="I19" i="3"/>
  <c r="BE18" i="3"/>
  <c r="AM18" i="3"/>
  <c r="AL18" i="3"/>
  <c r="AI18" i="3" s="1"/>
  <c r="AK18" i="3"/>
  <c r="AJ18" i="3"/>
  <c r="AH18" i="3"/>
  <c r="AG18" i="3"/>
  <c r="O18" i="3"/>
  <c r="N18" i="3"/>
  <c r="M18" i="3"/>
  <c r="L18" i="3"/>
  <c r="J18" i="3"/>
  <c r="I18" i="3"/>
  <c r="BE17" i="3"/>
  <c r="AM17" i="3"/>
  <c r="AL17" i="3"/>
  <c r="AI17" i="3" s="1"/>
  <c r="AK17" i="3"/>
  <c r="AJ17" i="3"/>
  <c r="AH17" i="3"/>
  <c r="AG17" i="3"/>
  <c r="O17" i="3"/>
  <c r="N17" i="3"/>
  <c r="M17" i="3"/>
  <c r="L17" i="3"/>
  <c r="J17" i="3"/>
  <c r="I17" i="3"/>
  <c r="BE16" i="3"/>
  <c r="AM16" i="3"/>
  <c r="AL16" i="3"/>
  <c r="AI16" i="3" s="1"/>
  <c r="AK16" i="3"/>
  <c r="AJ16" i="3"/>
  <c r="AH16" i="3"/>
  <c r="AG16" i="3"/>
  <c r="O16" i="3"/>
  <c r="N16" i="3"/>
  <c r="M16" i="3"/>
  <c r="L16" i="3"/>
  <c r="J16" i="3"/>
  <c r="I16" i="3"/>
  <c r="BE15" i="3"/>
  <c r="AM15" i="3"/>
  <c r="AL15" i="3"/>
  <c r="AI15" i="3" s="1"/>
  <c r="AK15" i="3"/>
  <c r="AJ15" i="3"/>
  <c r="AH15" i="3"/>
  <c r="AG15" i="3"/>
  <c r="O15" i="3"/>
  <c r="N15" i="3"/>
  <c r="M15" i="3"/>
  <c r="L15" i="3"/>
  <c r="J15" i="3"/>
  <c r="I15" i="3"/>
  <c r="BE14" i="3"/>
  <c r="AM14" i="3"/>
  <c r="AL14" i="3"/>
  <c r="AI14" i="3" s="1"/>
  <c r="AK14" i="3"/>
  <c r="AJ14" i="3"/>
  <c r="AH14" i="3"/>
  <c r="AG14" i="3"/>
  <c r="O14" i="3"/>
  <c r="N14" i="3"/>
  <c r="M14" i="3"/>
  <c r="L14" i="3"/>
  <c r="J14" i="3"/>
  <c r="I14" i="3"/>
  <c r="BE13" i="3"/>
  <c r="AM13" i="3"/>
  <c r="AL13" i="3"/>
  <c r="AI13" i="3" s="1"/>
  <c r="AK13" i="3"/>
  <c r="AJ13" i="3"/>
  <c r="AH13" i="3"/>
  <c r="AG13" i="3"/>
  <c r="O13" i="3"/>
  <c r="N13" i="3"/>
  <c r="M13" i="3"/>
  <c r="L13" i="3"/>
  <c r="J13" i="3"/>
  <c r="I13" i="3"/>
  <c r="BE12" i="3"/>
  <c r="AM12" i="3"/>
  <c r="AL12" i="3"/>
  <c r="AI12" i="3" s="1"/>
  <c r="AK12" i="3"/>
  <c r="AJ12" i="3"/>
  <c r="AH12" i="3"/>
  <c r="AG12" i="3"/>
  <c r="O12" i="3"/>
  <c r="N12" i="3"/>
  <c r="M12" i="3"/>
  <c r="L12" i="3"/>
  <c r="J12" i="3"/>
  <c r="I12" i="3"/>
  <c r="BE11" i="3"/>
  <c r="AM11" i="3"/>
  <c r="AL11" i="3"/>
  <c r="AI11" i="3" s="1"/>
  <c r="AK11" i="3"/>
  <c r="AJ11" i="3"/>
  <c r="AH11" i="3"/>
  <c r="AG11" i="3"/>
  <c r="O11" i="3"/>
  <c r="N11" i="3"/>
  <c r="M11" i="3"/>
  <c r="L11" i="3"/>
  <c r="J11" i="3"/>
  <c r="I11" i="3"/>
  <c r="BE10" i="3"/>
  <c r="AM10" i="3"/>
  <c r="AL10" i="3"/>
  <c r="AI10" i="3" s="1"/>
  <c r="AK10" i="3"/>
  <c r="AJ10" i="3"/>
  <c r="AH10" i="3"/>
  <c r="AG10" i="3"/>
  <c r="O10" i="3"/>
  <c r="N10" i="3"/>
  <c r="M10" i="3"/>
  <c r="L10" i="3"/>
  <c r="J10" i="3"/>
  <c r="I10" i="3"/>
  <c r="BE9" i="3"/>
  <c r="AM9" i="3"/>
  <c r="AL9" i="3"/>
  <c r="AI9" i="3" s="1"/>
  <c r="AK9" i="3"/>
  <c r="AJ9" i="3"/>
  <c r="AH9" i="3"/>
  <c r="AG9" i="3"/>
  <c r="O9" i="3"/>
  <c r="N9" i="3"/>
  <c r="M9" i="3"/>
  <c r="L9" i="3"/>
  <c r="J9" i="3"/>
  <c r="I9" i="3"/>
  <c r="BE8" i="3"/>
  <c r="AM8" i="3"/>
  <c r="AL8" i="3"/>
  <c r="AI8" i="3" s="1"/>
  <c r="AK8" i="3"/>
  <c r="AJ8" i="3"/>
  <c r="AH8" i="3"/>
  <c r="AG8" i="3"/>
  <c r="O8" i="3"/>
  <c r="N8" i="3"/>
  <c r="M8" i="3"/>
  <c r="L8" i="3"/>
  <c r="J8" i="3"/>
  <c r="I8" i="3"/>
  <c r="BE7" i="3"/>
  <c r="AM7" i="3"/>
  <c r="AL7" i="3"/>
  <c r="AI7" i="3" s="1"/>
  <c r="AK7" i="3"/>
  <c r="AJ7" i="3"/>
  <c r="AH7" i="3"/>
  <c r="AG7" i="3"/>
  <c r="O7" i="3"/>
  <c r="N7" i="3"/>
  <c r="M7" i="3"/>
  <c r="L7" i="3"/>
  <c r="J7" i="3"/>
  <c r="I7" i="3"/>
  <c r="BE6" i="3"/>
  <c r="AM6" i="3"/>
  <c r="AL6" i="3"/>
  <c r="AI6" i="3" s="1"/>
  <c r="AK6" i="3"/>
  <c r="AJ6" i="3"/>
  <c r="AH6" i="3"/>
  <c r="AG6" i="3"/>
  <c r="O6" i="3"/>
  <c r="N6" i="3"/>
  <c r="M6" i="3"/>
  <c r="L6" i="3"/>
  <c r="J6" i="3"/>
  <c r="I6" i="3"/>
  <c r="BE5" i="3"/>
  <c r="AM5" i="3"/>
  <c r="AL5" i="3"/>
  <c r="AI5" i="3" s="1"/>
  <c r="AK5" i="3"/>
  <c r="AJ5" i="3"/>
  <c r="AH5" i="3"/>
  <c r="AG5" i="3"/>
  <c r="O5" i="3"/>
  <c r="N5" i="3"/>
  <c r="M5" i="3"/>
  <c r="L5" i="3"/>
  <c r="J5" i="3"/>
  <c r="I5" i="3"/>
  <c r="B1" i="2"/>
  <c r="B2" i="2" s="1"/>
  <c r="BP20" i="7"/>
  <c r="BR20" i="7"/>
  <c r="BS20" i="3"/>
  <c r="BP20" i="3"/>
  <c r="BQ20" i="3"/>
  <c r="BQ20" i="7"/>
  <c r="BL20" i="7"/>
  <c r="BK20" i="3"/>
  <c r="BO20" i="7"/>
  <c r="BS20" i="7"/>
  <c r="BK20" i="7"/>
  <c r="BM20" i="3"/>
  <c r="BR20" i="3"/>
  <c r="BL20" i="3"/>
  <c r="BM20" i="7"/>
  <c r="BO20" i="3"/>
  <c r="BK10" i="7"/>
  <c r="BM25" i="7"/>
  <c r="BR15" i="7"/>
  <c r="BL15" i="7"/>
  <c r="BR5" i="7"/>
  <c r="BJ25" i="7"/>
  <c r="BL10" i="7"/>
  <c r="BO25" i="7"/>
  <c r="BP5" i="7"/>
  <c r="BO15" i="7"/>
  <c r="BM10" i="7"/>
  <c r="BR25" i="7"/>
  <c r="BQ15" i="7"/>
  <c r="BS15" i="7"/>
  <c r="BO10" i="7"/>
  <c r="BM15" i="7"/>
  <c r="BO5" i="7"/>
  <c r="BK5" i="7"/>
  <c r="BP15" i="7"/>
  <c r="BR10" i="7"/>
  <c r="BL5" i="7"/>
  <c r="BL25" i="7"/>
  <c r="BP10" i="7"/>
  <c r="BK15" i="7"/>
  <c r="BS5" i="7"/>
  <c r="BK25" i="7"/>
  <c r="BQ10" i="7"/>
  <c r="BM5" i="7"/>
  <c r="BS10" i="7"/>
  <c r="BQ25" i="7"/>
  <c r="BP25" i="7"/>
  <c r="BS25" i="7"/>
  <c r="BQ5" i="7"/>
  <c r="BL25" i="3"/>
  <c r="BK10" i="3"/>
  <c r="BR5" i="3"/>
  <c r="BO25" i="3"/>
  <c r="BR10" i="3"/>
  <c r="BK5" i="3"/>
  <c r="BO10" i="3"/>
  <c r="BS5" i="3"/>
  <c r="BJ15" i="3"/>
  <c r="BS25" i="3"/>
  <c r="BP15" i="3"/>
  <c r="BQ25" i="3"/>
  <c r="BL15" i="3"/>
  <c r="BP10" i="3"/>
  <c r="BQ15" i="3"/>
  <c r="BO15" i="3"/>
  <c r="BK25" i="3"/>
  <c r="BJ10" i="3"/>
  <c r="BR15" i="3"/>
  <c r="BM10" i="3"/>
  <c r="BQ5" i="3"/>
  <c r="BP25" i="3"/>
  <c r="BL5" i="3"/>
  <c r="BM5" i="3"/>
  <c r="BL10" i="3"/>
  <c r="BS15" i="3"/>
  <c r="BO5" i="3"/>
  <c r="BK15" i="3"/>
  <c r="BP5" i="3"/>
  <c r="BM15" i="3"/>
  <c r="BM25" i="3"/>
  <c r="BR25" i="3"/>
  <c r="BQ10" i="3"/>
  <c r="BS10" i="3"/>
  <c r="BG5" i="3" l="1" a="1"/>
  <c r="BF5" i="5" a="1"/>
  <c r="BE8" i="6"/>
  <c r="BF8" i="6" a="1"/>
  <c r="BF8" i="6" s="1"/>
  <c r="BG5" i="7" a="1"/>
  <c r="BG10" i="3" a="1"/>
  <c r="BF7" i="5" a="1"/>
  <c r="BF9" i="6" a="1"/>
  <c r="BB8" i="6"/>
  <c r="K8" i="6"/>
  <c r="BC8" i="6"/>
  <c r="BC7" i="5"/>
  <c r="AK30" i="7"/>
  <c r="BF21" i="3"/>
  <c r="BF29" i="3"/>
  <c r="BE5" i="5"/>
  <c r="BF15" i="7"/>
  <c r="BF13" i="7"/>
  <c r="BF19" i="7"/>
  <c r="BF23" i="7"/>
  <c r="BF29" i="7"/>
  <c r="BF17" i="7"/>
  <c r="BF21" i="7"/>
  <c r="BF27" i="7"/>
  <c r="AZ36" i="7"/>
  <c r="C43" i="1" s="1"/>
  <c r="BF11" i="7"/>
  <c r="BF25" i="7"/>
  <c r="BE6" i="6"/>
  <c r="K9" i="6"/>
  <c r="K11" i="6" s="1"/>
  <c r="AZ14" i="5"/>
  <c r="BE8" i="5"/>
  <c r="BD8" i="5"/>
  <c r="BF13" i="3"/>
  <c r="BF17" i="3"/>
  <c r="BF23" i="3"/>
  <c r="J31" i="3"/>
  <c r="AI13" i="7"/>
  <c r="AI21" i="7"/>
  <c r="BF8" i="3"/>
  <c r="BE7" i="6"/>
  <c r="AX16" i="6"/>
  <c r="AY16" i="5"/>
  <c r="C22" i="1" s="1"/>
  <c r="AI11" i="7"/>
  <c r="AI19" i="7"/>
  <c r="AI17" i="7"/>
  <c r="AI25" i="7"/>
  <c r="BD7" i="6"/>
  <c r="BE7" i="5"/>
  <c r="BE9" i="5"/>
  <c r="AH5" i="5"/>
  <c r="BF7" i="5"/>
  <c r="BF6" i="3"/>
  <c r="AJ31" i="3"/>
  <c r="BF11" i="3"/>
  <c r="BF19" i="3"/>
  <c r="BF27" i="3"/>
  <c r="BJ31" i="7"/>
  <c r="D41" i="1" s="1"/>
  <c r="BR31" i="7"/>
  <c r="K41" i="1" s="1"/>
  <c r="BO31" i="7"/>
  <c r="H41" i="1" s="1"/>
  <c r="BS31" i="7"/>
  <c r="L41" i="1" s="1"/>
  <c r="BO32" i="7"/>
  <c r="H42" i="1" s="1"/>
  <c r="BK31" i="7"/>
  <c r="E41" i="1" s="1"/>
  <c r="BP31" i="7"/>
  <c r="I41" i="1" s="1"/>
  <c r="BS32" i="7"/>
  <c r="L42" i="1" s="1"/>
  <c r="BM31" i="7"/>
  <c r="G41" i="1" s="1"/>
  <c r="BL31" i="7"/>
  <c r="F41" i="1" s="1"/>
  <c r="BQ31" i="7"/>
  <c r="J41" i="1" s="1"/>
  <c r="BS31" i="3"/>
  <c r="L10" i="1" s="1"/>
  <c r="BP31" i="3"/>
  <c r="I10" i="1" s="1"/>
  <c r="BL31" i="3"/>
  <c r="F10" i="1" s="1"/>
  <c r="BQ31" i="3"/>
  <c r="J10" i="1" s="1"/>
  <c r="BO31" i="3"/>
  <c r="H10" i="1" s="1"/>
  <c r="BK31" i="3"/>
  <c r="E10" i="1" s="1"/>
  <c r="BM31" i="3"/>
  <c r="G10" i="1" s="1"/>
  <c r="BR31" i="3"/>
  <c r="K10" i="1" s="1"/>
  <c r="BF12" i="3"/>
  <c r="BF14" i="3"/>
  <c r="BF16" i="3"/>
  <c r="BF18" i="3"/>
  <c r="BF24" i="3"/>
  <c r="BF28" i="3"/>
  <c r="BF7" i="3"/>
  <c r="BF9" i="3"/>
  <c r="BF22" i="3"/>
  <c r="BF26" i="3"/>
  <c r="AK30" i="3"/>
  <c r="AI31" i="3"/>
  <c r="AH9" i="6"/>
  <c r="AH11" i="6" s="1"/>
  <c r="AH7" i="6"/>
  <c r="BF6" i="5"/>
  <c r="AH30" i="7"/>
  <c r="J31" i="7"/>
  <c r="AJ31" i="7"/>
  <c r="L31" i="7"/>
  <c r="AK31" i="7"/>
  <c r="AJ32" i="7"/>
  <c r="AH31" i="7"/>
  <c r="AK31" i="3"/>
  <c r="AH31" i="3"/>
  <c r="AI32" i="3"/>
  <c r="AH32" i="3"/>
  <c r="AJ32" i="3"/>
  <c r="AI12" i="6"/>
  <c r="BC6" i="6"/>
  <c r="L12" i="6"/>
  <c r="BC7" i="6"/>
  <c r="AJ12" i="6"/>
  <c r="BB6" i="6"/>
  <c r="BC8" i="5"/>
  <c r="BB9" i="5"/>
  <c r="BC6" i="5"/>
  <c r="BB7" i="5"/>
  <c r="AJ12" i="5"/>
  <c r="AG12" i="5"/>
  <c r="L12" i="5"/>
  <c r="AI12" i="5"/>
  <c r="BB5" i="5"/>
  <c r="AZ16" i="6"/>
  <c r="M12" i="6"/>
  <c r="BD5" i="6"/>
  <c r="K6" i="6"/>
  <c r="K10" i="6" s="1"/>
  <c r="BF6" i="6"/>
  <c r="BC11" i="6"/>
  <c r="D30" i="1" s="1"/>
  <c r="BC9" i="6"/>
  <c r="AW14" i="6"/>
  <c r="AW16" i="6"/>
  <c r="C32" i="1" s="1"/>
  <c r="BB7" i="6"/>
  <c r="BF7" i="6"/>
  <c r="AZ14" i="6"/>
  <c r="BD9" i="6"/>
  <c r="AX14" i="6"/>
  <c r="BC5" i="6"/>
  <c r="BF9" i="6"/>
  <c r="BF11" i="6" s="1"/>
  <c r="AY14" i="6"/>
  <c r="AY16" i="6"/>
  <c r="C33" i="1" s="1"/>
  <c r="AX16" i="5"/>
  <c r="AY14" i="5"/>
  <c r="BD11" i="5"/>
  <c r="E19" i="1" s="1"/>
  <c r="J12" i="5"/>
  <c r="BF5" i="5"/>
  <c r="AW14" i="5"/>
  <c r="AZ16" i="5"/>
  <c r="M12" i="5"/>
  <c r="BE6" i="5"/>
  <c r="BF9" i="5"/>
  <c r="BF11" i="5" s="1"/>
  <c r="AX14" i="5"/>
  <c r="AW16" i="5"/>
  <c r="C21" i="1" s="1"/>
  <c r="BG10" i="7"/>
  <c r="M31" i="7"/>
  <c r="BA34" i="7"/>
  <c r="BA36" i="7"/>
  <c r="AZ34" i="7"/>
  <c r="L32" i="7"/>
  <c r="BG5" i="7"/>
  <c r="BB34" i="7"/>
  <c r="BB36" i="7"/>
  <c r="C44" i="1" s="1"/>
  <c r="M30" i="7"/>
  <c r="BF5" i="7"/>
  <c r="BF12" i="7"/>
  <c r="BF14" i="7"/>
  <c r="BF16" i="7"/>
  <c r="BF18" i="7"/>
  <c r="BF20" i="7"/>
  <c r="BF22" i="7"/>
  <c r="BF24" i="7"/>
  <c r="BF26" i="7"/>
  <c r="BF28" i="7"/>
  <c r="BC34" i="7"/>
  <c r="BC36" i="7"/>
  <c r="M30" i="3"/>
  <c r="BK32" i="3"/>
  <c r="E11" i="1" s="1"/>
  <c r="BP30" i="3"/>
  <c r="I9" i="1" s="1"/>
  <c r="L31" i="3"/>
  <c r="BM32" i="3"/>
  <c r="G11" i="1" s="1"/>
  <c r="BR32" i="3"/>
  <c r="K11" i="1" s="1"/>
  <c r="BB36" i="3"/>
  <c r="C13" i="1" s="1"/>
  <c r="AZ34" i="3"/>
  <c r="BC36" i="3"/>
  <c r="J32" i="3"/>
  <c r="BG10" i="3"/>
  <c r="M31" i="3"/>
  <c r="BA34" i="3"/>
  <c r="AZ36" i="3"/>
  <c r="C12" i="1" s="1"/>
  <c r="L30" i="3"/>
  <c r="BG5" i="3"/>
  <c r="BB34" i="3"/>
  <c r="BA36" i="3"/>
  <c r="BL32" i="3"/>
  <c r="F11" i="1" s="1"/>
  <c r="BQ32" i="3"/>
  <c r="J11" i="1" s="1"/>
  <c r="BM32" i="7"/>
  <c r="G42" i="1" s="1"/>
  <c r="BR32" i="7"/>
  <c r="K42" i="1" s="1"/>
  <c r="BO30" i="3"/>
  <c r="H9" i="1" s="1"/>
  <c r="BS30" i="3"/>
  <c r="L9" i="1" s="1"/>
  <c r="BK30" i="7"/>
  <c r="E40" i="1" s="1"/>
  <c r="BP30" i="7"/>
  <c r="I40" i="1" s="1"/>
  <c r="BC11" i="5"/>
  <c r="C19" i="1" s="1"/>
  <c r="J30" i="3"/>
  <c r="AH30" i="3"/>
  <c r="BL30" i="3"/>
  <c r="F9" i="1" s="1"/>
  <c r="BQ30" i="3"/>
  <c r="J9" i="1" s="1"/>
  <c r="L32" i="3"/>
  <c r="AK32" i="3"/>
  <c r="BS32" i="3"/>
  <c r="L11" i="1" s="1"/>
  <c r="BD5" i="5"/>
  <c r="BC5" i="5"/>
  <c r="AH8" i="5"/>
  <c r="AH10" i="5" s="1"/>
  <c r="BF8" i="5" a="1"/>
  <c r="BF8" i="5" s="1"/>
  <c r="AI10" i="5"/>
  <c r="BD6" i="6"/>
  <c r="BB11" i="6"/>
  <c r="C30" i="1" s="1"/>
  <c r="K5" i="7"/>
  <c r="BL30" i="7"/>
  <c r="F40" i="1" s="1"/>
  <c r="BL32" i="7"/>
  <c r="F42" i="1" s="1"/>
  <c r="BQ30" i="7"/>
  <c r="J40" i="1" s="1"/>
  <c r="BQ32" i="7"/>
  <c r="J42" i="1" s="1"/>
  <c r="BF7" i="7"/>
  <c r="BF9" i="7"/>
  <c r="BG15" i="3" a="1"/>
  <c r="BG15" i="3" s="1"/>
  <c r="BG20" i="3" a="1"/>
  <c r="BG20" i="3" s="1"/>
  <c r="BG25" i="3" a="1"/>
  <c r="BG25" i="3" s="1"/>
  <c r="BG31" i="3" s="1"/>
  <c r="AI30" i="3"/>
  <c r="BM30" i="3"/>
  <c r="G9" i="1" s="1"/>
  <c r="BR30" i="3"/>
  <c r="K9" i="1" s="1"/>
  <c r="M32" i="3"/>
  <c r="BO32" i="3"/>
  <c r="H11" i="1" s="1"/>
  <c r="BD6" i="5"/>
  <c r="BD7" i="5"/>
  <c r="AJ10" i="5"/>
  <c r="J30" i="7"/>
  <c r="J32" i="7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AJ30" i="3"/>
  <c r="BP32" i="3"/>
  <c r="I11" i="1" s="1"/>
  <c r="K12" i="5"/>
  <c r="K10" i="5"/>
  <c r="BB6" i="5"/>
  <c r="BD9" i="5"/>
  <c r="BC9" i="5"/>
  <c r="L10" i="5"/>
  <c r="J12" i="6"/>
  <c r="J10" i="6"/>
  <c r="AG12" i="6"/>
  <c r="AG10" i="6"/>
  <c r="BB5" i="6"/>
  <c r="BF5" i="6" a="1"/>
  <c r="BF5" i="6" s="1"/>
  <c r="BE5" i="6"/>
  <c r="BF6" i="7"/>
  <c r="BF8" i="7"/>
  <c r="BF10" i="7"/>
  <c r="BF5" i="3"/>
  <c r="BF10" i="3"/>
  <c r="BF15" i="3"/>
  <c r="BF20" i="3"/>
  <c r="BF25" i="3"/>
  <c r="BK30" i="3"/>
  <c r="E9" i="1" s="1"/>
  <c r="BB8" i="5"/>
  <c r="BB11" i="5"/>
  <c r="D19" i="1" s="1"/>
  <c r="M10" i="5"/>
  <c r="BD8" i="6"/>
  <c r="BD11" i="6"/>
  <c r="E30" i="1" s="1"/>
  <c r="K10" i="7"/>
  <c r="BG15" i="7" a="1"/>
  <c r="BG15" i="7" s="1"/>
  <c r="BG20" i="7" a="1"/>
  <c r="BG20" i="7" s="1"/>
  <c r="BG25" i="7" a="1"/>
  <c r="BG25" i="7" s="1"/>
  <c r="BG31" i="7" s="1"/>
  <c r="AI26" i="7"/>
  <c r="AI27" i="7"/>
  <c r="AI28" i="7"/>
  <c r="AI29" i="7"/>
  <c r="BM30" i="7"/>
  <c r="G40" i="1" s="1"/>
  <c r="BR30" i="7"/>
  <c r="K40" i="1" s="1"/>
  <c r="M32" i="7"/>
  <c r="AK32" i="7"/>
  <c r="BK32" i="7"/>
  <c r="E42" i="1" s="1"/>
  <c r="BP32" i="7"/>
  <c r="I42" i="1" s="1"/>
  <c r="J10" i="5"/>
  <c r="AG10" i="5"/>
  <c r="BB9" i="6"/>
  <c r="L10" i="6"/>
  <c r="AI10" i="6"/>
  <c r="K15" i="7"/>
  <c r="K20" i="7"/>
  <c r="K25" i="7"/>
  <c r="K31" i="7" s="1"/>
  <c r="L30" i="7"/>
  <c r="AJ30" i="7"/>
  <c r="BO30" i="7"/>
  <c r="H40" i="1" s="1"/>
  <c r="BS30" i="7"/>
  <c r="L40" i="1" s="1"/>
  <c r="AH32" i="7"/>
  <c r="M10" i="6"/>
  <c r="AJ10" i="6"/>
  <c r="BI20" i="3"/>
  <c r="BI20" i="7"/>
  <c r="BJ20" i="3"/>
  <c r="BJ20" i="7"/>
  <c r="BI5" i="7"/>
  <c r="BJ10" i="7"/>
  <c r="BI25" i="7"/>
  <c r="BI15" i="7"/>
  <c r="BI10" i="7"/>
  <c r="BJ5" i="7"/>
  <c r="BJ15" i="7"/>
  <c r="BI25" i="3"/>
  <c r="BJ25" i="3"/>
  <c r="BI10" i="3"/>
  <c r="BJ5" i="3"/>
  <c r="BI15" i="3"/>
  <c r="BI5" i="3"/>
  <c r="AH12" i="6" l="1"/>
  <c r="BF12" i="5"/>
  <c r="BJ31" i="3"/>
  <c r="D10" i="1" s="1"/>
  <c r="AI30" i="7"/>
  <c r="BD12" i="6"/>
  <c r="E31" i="1" s="1"/>
  <c r="BG32" i="7"/>
  <c r="BG30" i="7"/>
  <c r="AH10" i="6"/>
  <c r="BI31" i="7"/>
  <c r="C41" i="1" s="1"/>
  <c r="BI31" i="3"/>
  <c r="C10" i="1" s="1"/>
  <c r="BJ32" i="3"/>
  <c r="D11" i="1" s="1"/>
  <c r="BJ30" i="3"/>
  <c r="D9" i="1" s="1"/>
  <c r="BG32" i="3"/>
  <c r="BD12" i="5"/>
  <c r="E20" i="1" s="1"/>
  <c r="BF10" i="5"/>
  <c r="AI32" i="7"/>
  <c r="BC12" i="6"/>
  <c r="D31" i="1" s="1"/>
  <c r="K12" i="6"/>
  <c r="BC12" i="5"/>
  <c r="C20" i="1" s="1"/>
  <c r="AH12" i="5"/>
  <c r="BB12" i="5"/>
  <c r="D20" i="1" s="1"/>
  <c r="BC10" i="6"/>
  <c r="D29" i="1" s="1"/>
  <c r="BG30" i="3"/>
  <c r="AI31" i="7"/>
  <c r="K31" i="3"/>
  <c r="K32" i="3"/>
  <c r="K30" i="3"/>
  <c r="BB10" i="6"/>
  <c r="C29" i="1" s="1"/>
  <c r="BD10" i="5"/>
  <c r="E18" i="1" s="1"/>
  <c r="K32" i="7"/>
  <c r="K30" i="7"/>
  <c r="BB12" i="6"/>
  <c r="C31" i="1" s="1"/>
  <c r="BI32" i="7"/>
  <c r="C42" i="1" s="1"/>
  <c r="BI30" i="7"/>
  <c r="C40" i="1" s="1"/>
  <c r="BD10" i="6"/>
  <c r="E29" i="1" s="1"/>
  <c r="BB10" i="5"/>
  <c r="D18" i="1" s="1"/>
  <c r="BF12" i="6"/>
  <c r="BF10" i="6"/>
  <c r="BI32" i="3"/>
  <c r="C11" i="1" s="1"/>
  <c r="BI30" i="3"/>
  <c r="C9" i="1" s="1"/>
  <c r="BJ32" i="7"/>
  <c r="D42" i="1" s="1"/>
  <c r="BJ30" i="7"/>
  <c r="D40" i="1" s="1"/>
  <c r="BC10" i="5"/>
  <c r="C18" i="1" s="1"/>
</calcChain>
</file>

<file path=xl/sharedStrings.xml><?xml version="1.0" encoding="utf-8"?>
<sst xmlns="http://schemas.openxmlformats.org/spreadsheetml/2006/main" count="1302" uniqueCount="550">
  <si>
    <t>Reference:</t>
  </si>
  <si>
    <t>Tested:</t>
  </si>
  <si>
    <t>Columns</t>
  </si>
  <si>
    <t>dec.cb-hpsnr</t>
  </si>
  <si>
    <t>Chroma Cb EtE Hausdorff PSNR</t>
  </si>
  <si>
    <t>dec.cb-psnr</t>
  </si>
  <si>
    <t>Chroma Cb End-to-end PSNR</t>
  </si>
  <si>
    <t>dec.cr-hpsnr</t>
  </si>
  <si>
    <t>Chroma Cr EtE Hausdorff PSNR</t>
  </si>
  <si>
    <t>dec.cr-psnr</t>
  </si>
  <si>
    <t>Chroma Cr End-to-end PSNR</t>
  </si>
  <si>
    <t>dec.d1-mse</t>
  </si>
  <si>
    <t>D1 Geometry MSE</t>
  </si>
  <si>
    <t>dec.d1-psnr</t>
  </si>
  <si>
    <t>D1 Geometry PSNR</t>
  </si>
  <si>
    <t>dec.d2-mse</t>
  </si>
  <si>
    <t>D2 Geometry MSE</t>
  </si>
  <si>
    <t>dec.d2-psnr</t>
  </si>
  <si>
    <t>D2 Geometry PSNR</t>
  </si>
  <si>
    <t>dec.numduppoints.mean</t>
  </si>
  <si>
    <t>Mean duplicate points</t>
  </si>
  <si>
    <t>dec.numpoints</t>
  </si>
  <si>
    <t>№ output points</t>
  </si>
  <si>
    <t>dec.numpoints.mean</t>
  </si>
  <si>
    <t>Mean output points</t>
  </si>
  <si>
    <t>dec.post-recolour.cb-psnr</t>
  </si>
  <si>
    <t>Chroma Cb Post recolour PSNR</t>
  </si>
  <si>
    <t>dec.post-recolour.cr-psnr</t>
  </si>
  <si>
    <t>Chroma Cr Post recolour PSNR</t>
  </si>
  <si>
    <t>dec.post-recolour.y-psnr</t>
  </si>
  <si>
    <t>Luma Post recolour PSNR</t>
  </si>
  <si>
    <t>dec.reflectance-hpsnr</t>
  </si>
  <si>
    <t>Reflectance EtE Hausdorff PSNR</t>
  </si>
  <si>
    <t>dec.reflectance-psnr</t>
  </si>
  <si>
    <t>Reflectance End-to-end PSNR</t>
  </si>
  <si>
    <t>dec.utime</t>
  </si>
  <si>
    <t>User Decoder runtime</t>
  </si>
  <si>
    <t>dec.utime.children</t>
  </si>
  <si>
    <t>Child Decoder runtime</t>
  </si>
  <si>
    <t>dec.utime.self</t>
  </si>
  <si>
    <t>Self Decoder runtime</t>
  </si>
  <si>
    <t>dec.y-hpsnr</t>
  </si>
  <si>
    <t>Luma EtE Hausdorff PSNR</t>
  </si>
  <si>
    <t>dec.y-psnr</t>
  </si>
  <si>
    <t>Luma End-to-end PSNR</t>
  </si>
  <si>
    <t>enc.bits.colour</t>
  </si>
  <si>
    <t>Colour Bitstream</t>
  </si>
  <si>
    <t>enc.bits.geometry</t>
  </si>
  <si>
    <t>Geometry Bitstream</t>
  </si>
  <si>
    <t>enc.bits.occ+patch</t>
  </si>
  <si>
    <t>Occ+Patch Bitstream</t>
  </si>
  <si>
    <t>enc.bits.reflectance</t>
  </si>
  <si>
    <t>Reflectance Bitstream</t>
  </si>
  <si>
    <t>enc.ext.bits</t>
  </si>
  <si>
    <t>Total Bitstream</t>
  </si>
  <si>
    <t>enc.utime</t>
  </si>
  <si>
    <t>User Encoder runtime</t>
  </si>
  <si>
    <t>enc.utime.children</t>
  </si>
  <si>
    <t>Child Encoder runtime</t>
  </si>
  <si>
    <t>enc.utime.self</t>
  </si>
  <si>
    <t>Self Encoder runtime</t>
  </si>
  <si>
    <t>eqn.bitrate</t>
  </si>
  <si>
    <t>Rate</t>
  </si>
  <si>
    <t>eqn.bits.totalgeometry</t>
  </si>
  <si>
    <t>eqn.bits.totalgeometry Bitstream</t>
  </si>
  <si>
    <t>eqn.bpop</t>
  </si>
  <si>
    <t>Total Bits per output point</t>
  </si>
  <si>
    <t>eqn.bpp</t>
  </si>
  <si>
    <t>Total Bits per input point</t>
  </si>
  <si>
    <t>eqn.bpp.colour</t>
  </si>
  <si>
    <t>Colour  Bits per input point</t>
  </si>
  <si>
    <t>eqn.bpp.geometry</t>
  </si>
  <si>
    <t>Geometry Bits per input point</t>
  </si>
  <si>
    <t>eqn.bpp.geometry+occ+patch</t>
  </si>
  <si>
    <t>Tot.Geom Bits per input point</t>
  </si>
  <si>
    <t>eqn.bpp.reflectance</t>
  </si>
  <si>
    <t>Reflectance Bits per input point</t>
  </si>
  <si>
    <t>eqn.compratio</t>
  </si>
  <si>
    <t>Comp. ratio</t>
  </si>
  <si>
    <t>Condition:</t>
  </si>
  <si>
    <t>← Select this …</t>
  </si>
  <si>
    <t>Sequence:</t>
  </si>
  <si>
    <t>← … then this</t>
  </si>
  <si>
    <t>X:</t>
  </si>
  <si>
    <t>Y:</t>
  </si>
  <si>
    <t>← settings for graph a</t>
  </si>
  <si>
    <t>← settings for graph b</t>
  </si>
  <si>
    <t>← settings for graph c</t>
  </si>
  <si>
    <t>← settings for graph d</t>
  </si>
  <si>
    <t>← settings for graph e</t>
  </si>
  <si>
    <t>← settings for graph f</t>
  </si>
  <si>
    <t>Class</t>
  </si>
  <si>
    <t>class</t>
  </si>
  <si>
    <t>col.C2 lossyG,lossyA,intra.class</t>
  </si>
  <si>
    <t>Sequence</t>
  </si>
  <si>
    <t>sequence</t>
  </si>
  <si>
    <t>col.C2 lossyG,lossyA,intra.sequence</t>
  </si>
  <si>
    <t>Variant</t>
  </si>
  <si>
    <t>variant</t>
  </si>
  <si>
    <t>col.C2 lossyG,lossyA,intra.variant</t>
  </si>
  <si>
    <t>№ input points</t>
  </si>
  <si>
    <t>src.numpoints</t>
  </si>
  <si>
    <t>col.C2 lossyG,lossyA,intra.src.numpoints</t>
  </si>
  <si>
    <t>Geometry precision [bits]</t>
  </si>
  <si>
    <t>src.geometry-precision</t>
  </si>
  <si>
    <t>col.C2 lossyG,lossyA,intra.src.geometry-precision</t>
  </si>
  <si>
    <t>№ frames</t>
  </si>
  <si>
    <t>src.framecount</t>
  </si>
  <si>
    <t>col.C2 lossyG,lossyA,intra.src.framecount</t>
  </si>
  <si>
    <t>Frame rate [fps]</t>
  </si>
  <si>
    <t>src.framerate</t>
  </si>
  <si>
    <t>col.C2 lossyG,lossyA,intra.src.framerate</t>
  </si>
  <si>
    <t>Rate [Mbps]</t>
  </si>
  <si>
    <t>A.eqn.bitrate</t>
  </si>
  <si>
    <t>col.C2 lossyG,lossyA,intra.A.eqn.bitrate</t>
  </si>
  <si>
    <t>Bits per input point [bpip]</t>
  </si>
  <si>
    <t>Total</t>
  </si>
  <si>
    <t>A.eqn.bpp</t>
  </si>
  <si>
    <t>col.C2 lossyG,lossyA,intra.A.eqn.bpp</t>
  </si>
  <si>
    <t>Tot.Geom</t>
  </si>
  <si>
    <t>A.eqn.bpp.geometry+occ+patch</t>
  </si>
  <si>
    <t>col.C2 lossyG,lossyA,intra.A.eqn.bpp.geometry+occ+patch</t>
  </si>
  <si>
    <t>Geometry</t>
  </si>
  <si>
    <t>A.eqn.bpp.geometry</t>
  </si>
  <si>
    <t>col.C2 lossyG,lossyA,intra.A.eqn.bpp.geometry</t>
  </si>
  <si>
    <t xml:space="preserve">Colour </t>
  </si>
  <si>
    <t>A.eqn.bpp.colour</t>
  </si>
  <si>
    <t>col.C2 lossyG,lossyA,intra.A.eqn.bpp.colour</t>
  </si>
  <si>
    <t>A.eqn.bits.totalgeometry Bitstream [bits]</t>
  </si>
  <si>
    <t>A.eqn.bits.totalgeometry</t>
  </si>
  <si>
    <t>col.C2 lossyG,lossyA,intra.A.eqn.bits.totalgeometry</t>
  </si>
  <si>
    <t>Total Bits per output point [bpop]</t>
  </si>
  <si>
    <t>A.eqn.bpop</t>
  </si>
  <si>
    <t>col.C2 lossyG,lossyA,intra.A.eqn.bpop</t>
  </si>
  <si>
    <t>A.dec.numpoints</t>
  </si>
  <si>
    <t>col.C2 lossyG,lossyA,intra.A.dec.numpoints</t>
  </si>
  <si>
    <t>A.dec.numpoints.mean</t>
  </si>
  <si>
    <t>col.C2 lossyG,lossyA,intra.A.dec.numpoints.mean</t>
  </si>
  <si>
    <t>A.dec.numduppoints.mean</t>
  </si>
  <si>
    <t>col.C2 lossyG,lossyA,intra.A.dec.numduppoints.mean</t>
  </si>
  <si>
    <t>Bitstream [bits]</t>
  </si>
  <si>
    <t>A.enc.ext.bits</t>
  </si>
  <si>
    <t>col.C2 lossyG,lossyA,intra.A.enc.ext.bits</t>
  </si>
  <si>
    <t>A.enc.bits.geometry</t>
  </si>
  <si>
    <t>col.C2 lossyG,lossyA,intra.A.enc.bits.geometry</t>
  </si>
  <si>
    <t>Occ+Patch</t>
  </si>
  <si>
    <t>A.enc.bits.occ+patch</t>
  </si>
  <si>
    <t>col.C2 lossyG,lossyA,intra.A.enc.bits.occ+patch</t>
  </si>
  <si>
    <t>Colour</t>
  </si>
  <si>
    <t>A.enc.bits.colour</t>
  </si>
  <si>
    <t>col.C2 lossyG,lossyA,intra.A.enc.bits.colour</t>
  </si>
  <si>
    <t>Geometry PSNR [dB]</t>
  </si>
  <si>
    <t>D1</t>
  </si>
  <si>
    <t>A.dec.d1-psnr</t>
  </si>
  <si>
    <t>col.C2 lossyG,lossyA,intra.A.dec.d1-psnr</t>
  </si>
  <si>
    <t>D2</t>
  </si>
  <si>
    <t>A.dec.d2-psnr</t>
  </si>
  <si>
    <t>col.C2 lossyG,lossyA,intra.A.dec.d2-psnr</t>
  </si>
  <si>
    <t>End-to-end PSNR [dB]</t>
  </si>
  <si>
    <t>Luma</t>
  </si>
  <si>
    <t>A.dec.y-psnr</t>
  </si>
  <si>
    <t>col.C2 lossyG,lossyA,intra.A.dec.y-psnr</t>
  </si>
  <si>
    <t>Chroma Cb</t>
  </si>
  <si>
    <t>A.dec.cb-psnr</t>
  </si>
  <si>
    <t>col.C2 lossyG,lossyA,intra.A.dec.cb-psnr</t>
  </si>
  <si>
    <t>Chroma Cr</t>
  </si>
  <si>
    <t>A.dec.cr-psnr</t>
  </si>
  <si>
    <t>col.C2 lossyG,lossyA,intra.A.dec.cr-psnr</t>
  </si>
  <si>
    <t>Encoder runtime [s]</t>
  </si>
  <si>
    <t>Self</t>
  </si>
  <si>
    <t>A.enc.utime.self</t>
  </si>
  <si>
    <t>col.C2 lossyG,lossyA,intra.A.enc.utime.self</t>
  </si>
  <si>
    <t>Child</t>
  </si>
  <si>
    <t>A.enc.utime.children</t>
  </si>
  <si>
    <t>col.C2 lossyG,lossyA,intra.A.enc.utime.children</t>
  </si>
  <si>
    <t>Decoder runtime [s]</t>
  </si>
  <si>
    <t>A.dec.utime.self</t>
  </si>
  <si>
    <t>col.C2 lossyG,lossyA,intra.A.dec.utime.self</t>
  </si>
  <si>
    <t>A.dec.utime.children</t>
  </si>
  <si>
    <t>col.C2 lossyG,lossyA,intra.A.dec.utime.children</t>
  </si>
  <si>
    <t>B.eqn.bitrate</t>
  </si>
  <si>
    <t>col.C2 lossyG,lossyA,intra.B.eqn.bitrate</t>
  </si>
  <si>
    <t>B.eqn.bpp</t>
  </si>
  <si>
    <t>col.C2 lossyG,lossyA,intra.B.eqn.bpp</t>
  </si>
  <si>
    <t>B.eqn.bpp.geometry+occ+patch</t>
  </si>
  <si>
    <t>col.C2 lossyG,lossyA,intra.B.eqn.bpp.geometry+occ+patch</t>
  </si>
  <si>
    <t>B.eqn.bpp.geometry</t>
  </si>
  <si>
    <t>col.C2 lossyG,lossyA,intra.B.eqn.bpp.geometry</t>
  </si>
  <si>
    <t>B.eqn.bpp.colour</t>
  </si>
  <si>
    <t>col.C2 lossyG,lossyA,intra.B.eqn.bpp.colour</t>
  </si>
  <si>
    <t>B.eqn.bits.totalgeometry Bitstream [bits]</t>
  </si>
  <si>
    <t>B.eqn.bits.totalgeometry</t>
  </si>
  <si>
    <t>col.C2 lossyG,lossyA,intra.B.eqn.bits.totalgeometry</t>
  </si>
  <si>
    <t>B.eqn.bpop</t>
  </si>
  <si>
    <t>col.C2 lossyG,lossyA,intra.B.eqn.bpop</t>
  </si>
  <si>
    <t>B.dec.numpoints</t>
  </si>
  <si>
    <t>col.C2 lossyG,lossyA,intra.B.dec.numpoints</t>
  </si>
  <si>
    <t>B.dec.numpoints.mean</t>
  </si>
  <si>
    <t>col.C2 lossyG,lossyA,intra.B.dec.numpoints.mean</t>
  </si>
  <si>
    <t>B.dec.numduppoints.mean</t>
  </si>
  <si>
    <t>col.C2 lossyG,lossyA,intra.B.dec.numduppoints.mean</t>
  </si>
  <si>
    <t>B.enc.ext.bits</t>
  </si>
  <si>
    <t>col.C2 lossyG,lossyA,intra.B.enc.ext.bits</t>
  </si>
  <si>
    <t>B.enc.bits.geometry</t>
  </si>
  <si>
    <t>col.C2 lossyG,lossyA,intra.B.enc.bits.geometry</t>
  </si>
  <si>
    <t>B.enc.bits.occ+patch</t>
  </si>
  <si>
    <t>col.C2 lossyG,lossyA,intra.B.enc.bits.occ+patch</t>
  </si>
  <si>
    <t>B.enc.bits.colour</t>
  </si>
  <si>
    <t>col.C2 lossyG,lossyA,intra.B.enc.bits.colour</t>
  </si>
  <si>
    <t>B.dec.d1-psnr</t>
  </si>
  <si>
    <t>col.C2 lossyG,lossyA,intra.B.dec.d1-psnr</t>
  </si>
  <si>
    <t>B.dec.d2-psnr</t>
  </si>
  <si>
    <t>col.C2 lossyG,lossyA,intra.B.dec.d2-psnr</t>
  </si>
  <si>
    <t>B.dec.y-psnr</t>
  </si>
  <si>
    <t>col.C2 lossyG,lossyA,intra.B.dec.y-psnr</t>
  </si>
  <si>
    <t>B.dec.cb-psnr</t>
  </si>
  <si>
    <t>col.C2 lossyG,lossyA,intra.B.dec.cb-psnr</t>
  </si>
  <si>
    <t>B.dec.cr-psnr</t>
  </si>
  <si>
    <t>col.C2 lossyG,lossyA,intra.B.dec.cr-psnr</t>
  </si>
  <si>
    <t>B.enc.utime.self</t>
  </si>
  <si>
    <t>col.C2 lossyG,lossyA,intra.B.enc.utime.self</t>
  </si>
  <si>
    <t>B.enc.utime.children</t>
  </si>
  <si>
    <t>col.C2 lossyG,lossyA,intra.B.enc.utime.children</t>
  </si>
  <si>
    <t>B.dec.utime.self</t>
  </si>
  <si>
    <t>col.C2 lossyG,lossyA,intra.B.dec.utime.self</t>
  </si>
  <si>
    <t>B.dec.utime.children</t>
  </si>
  <si>
    <t>col.C2 lossyG,lossyA,intra.B.dec.utime.children</t>
  </si>
  <si>
    <t>Shift in duppoint ratio [pp]</t>
  </si>
  <si>
    <t>eqn.ab.delta-duppoints_ratio</t>
  </si>
  <si>
    <t>col.C2 lossyG,lossyA,intra.eqn.ab.delta-duppoints_ratio</t>
  </si>
  <si>
    <t>Shift in G:T bits ratio [pp]</t>
  </si>
  <si>
    <t>eqn.ab.delta-geom_texture_bits_ratio</t>
  </si>
  <si>
    <t>col.C2 lossyG,lossyA,intra.eqn.ab.delta-geom_texture_bits_ratio</t>
  </si>
  <si>
    <t>eqn.ab.summary-delta-geom_texture_bits_ratio</t>
  </si>
  <si>
    <t>col.C2 lossyG,lossyA,intra.eqn.ab.summary-delta-geom_texture_bits_ratio</t>
  </si>
  <si>
    <t>Geom. BD‑TotGeomRate [%]</t>
  </si>
  <si>
    <t>eqn.ab.bdrate-d1-geomrate</t>
  </si>
  <si>
    <t>col.C2 lossyG,lossyA,intra.eqn.ab.bdrate-d1-geomrate</t>
  </si>
  <si>
    <t>eqn.ab.bdrate-d2-geomrate</t>
  </si>
  <si>
    <t>col.C2 lossyG,lossyA,intra.eqn.ab.bdrate-d2-geomrate</t>
  </si>
  <si>
    <t>End-to-End BD‑AttrRate [%]</t>
  </si>
  <si>
    <t>eqn.ab.bdrate-y-attrrate</t>
  </si>
  <si>
    <t>col.C2 lossyG,lossyA,intra.eqn.ab.bdrate-y-attrrate</t>
  </si>
  <si>
    <t>eqn.ab.bdrate-cb-attrrate</t>
  </si>
  <si>
    <t>col.C2 lossyG,lossyA,intra.eqn.ab.bdrate-cb-attrrate</t>
  </si>
  <si>
    <t>eqn.ab.bdrate-cr-attrrate</t>
  </si>
  <si>
    <t>col.C2 lossyG,lossyA,intra.eqn.ab.bdrate-cr-attrrate</t>
  </si>
  <si>
    <t>Geom. BD‑TotalRate [%]</t>
  </si>
  <si>
    <t>eqn.ab.bdrate-d1</t>
  </si>
  <si>
    <t>col.C2 lossyG,lossyA,intra.eqn.ab.bdrate-d1</t>
  </si>
  <si>
    <t>eqn.ab.bdrate-d2</t>
  </si>
  <si>
    <t>col.C2 lossyG,lossyA,intra.eqn.ab.bdrate-d2</t>
  </si>
  <si>
    <t>End-to-End BD‑TotalRate [%]</t>
  </si>
  <si>
    <t>eqn.ab.bdrate-y</t>
  </si>
  <si>
    <t>col.C2 lossyG,lossyA,intra.eqn.ab.bdrate-y</t>
  </si>
  <si>
    <t>eqn.ab.bdrate-cb</t>
  </si>
  <si>
    <t>col.C2 lossyG,lossyA,intra.eqn.ab.bdrate-cb</t>
  </si>
  <si>
    <t>eqn.ab.bdrate-cr</t>
  </si>
  <si>
    <t>col.C2 lossyG,lossyA,intra.eqn.ab.bdrate-cr</t>
  </si>
  <si>
    <t>C2_ai — lossy geometry, lossy attributes [all intra]</t>
  </si>
  <si>
    <t>name.A.C2 lossyG,lossyA,intra</t>
  </si>
  <si>
    <t>'C2 lossyG,lossyA,intra'!$I$1</t>
  </si>
  <si>
    <t>name.B.C2 lossyG,lossyA,intra</t>
  </si>
  <si>
    <t>'C2 lossyG,lossyA,intra'!$AG$1</t>
  </si>
  <si>
    <t>8ivfbv2_loot_vox10</t>
  </si>
  <si>
    <t>cat2-A</t>
  </si>
  <si>
    <t>r01</t>
  </si>
  <si>
    <t>r02</t>
  </si>
  <si>
    <t>r03</t>
  </si>
  <si>
    <t>r04</t>
  </si>
  <si>
    <t>r05</t>
  </si>
  <si>
    <t>range.C2 lossyG,lossyA,intra.8ivfbv2_loot_vox10</t>
  </si>
  <si>
    <t>'C2 lossyG,lossyA,intra'!$A$5:$BS$9</t>
  </si>
  <si>
    <t>8ivfbv2_redandblack_vox10</t>
  </si>
  <si>
    <t>range.C2 lossyG,lossyA,intra.8ivfbv2_redandblack_vox10</t>
  </si>
  <si>
    <t>'C2 lossyG,lossyA,intra'!$A$10:$BS$14</t>
  </si>
  <si>
    <t>8ivfbv2_soldier_vox10</t>
  </si>
  <si>
    <t>range.C2 lossyG,lossyA,intra.8ivfbv2_soldier_vox10</t>
  </si>
  <si>
    <t>'C2 lossyG,lossyA,intra'!$A$15:$BS$19</t>
  </si>
  <si>
    <t>queen</t>
  </si>
  <si>
    <t>range.C2 lossyG,lossyA,intra.queen</t>
  </si>
  <si>
    <t>'C2 lossyG,lossyA,intra'!$A$20:$BS$24</t>
  </si>
  <si>
    <t>8ivfbv2_longdress_vox10</t>
  </si>
  <si>
    <t>cat2-B</t>
  </si>
  <si>
    <t>range.C2 lossyG,lossyA,intra.8ivfbv2_longdress_vox10</t>
  </si>
  <si>
    <t>'C2 lossyG,lossyA,intra'!$A$25:$BS$29</t>
  </si>
  <si>
    <t>Cat2-A average</t>
  </si>
  <si>
    <t>Cat2-B average</t>
  </si>
  <si>
    <t>Overall average</t>
  </si>
  <si>
    <t>Overall</t>
  </si>
  <si>
    <t>Total time [s]</t>
  </si>
  <si>
    <t>Total time [%]</t>
  </si>
  <si>
    <t>Avg (geometric) time [s]</t>
  </si>
  <si>
    <t>Avg (geometric) time [%]</t>
  </si>
  <si>
    <t>All Intra</t>
  </si>
  <si>
    <t>C2_ai</t>
  </si>
  <si>
    <t>lossy geometry, lossy attributes [all intra]</t>
  </si>
  <si>
    <t>Avg. Enc Time [%]</t>
  </si>
  <si>
    <t>Avg. Dec Time [%]</t>
  </si>
  <si>
    <t>C2 lossyG,lossyA,intra</t>
  </si>
  <si>
    <t>cols.C2 lossyG,lossyA,intra</t>
  </si>
  <si>
    <t>names!$B$74:$X$74</t>
  </si>
  <si>
    <t>col.CW losslG,losslA,intra.class</t>
  </si>
  <si>
    <t>col.CW losslG,losslA,intra.sequence</t>
  </si>
  <si>
    <t>col.CW losslG,losslA,intra.src.numpoints</t>
  </si>
  <si>
    <t>col.CW losslG,losslA,intra.src.geometry-precision</t>
  </si>
  <si>
    <t>col.CW losslG,losslA,intra.src.framecount</t>
  </si>
  <si>
    <t>col.CW losslG,losslA,intra.src.framerate</t>
  </si>
  <si>
    <t>Comp. ratio [%]</t>
  </si>
  <si>
    <t>A.eqn.compratio</t>
  </si>
  <si>
    <t>col.CW losslG,losslA,intra.A.eqn.compratio</t>
  </si>
  <si>
    <t>col.CW losslG,losslA,intra.A.eqn.bitrate</t>
  </si>
  <si>
    <t>col.CW losslG,losslA,intra.A.eqn.bpp</t>
  </si>
  <si>
    <t>col.CW losslG,losslA,intra.A.eqn.bpp.geometry+occ+patch</t>
  </si>
  <si>
    <t>col.CW losslG,losslA,intra.A.eqn.bpp.geometry</t>
  </si>
  <si>
    <t>col.CW losslG,losslA,intra.A.eqn.bpp.colour</t>
  </si>
  <si>
    <t>col.CW losslG,losslA,intra.A.eqn.bits.totalgeometry</t>
  </si>
  <si>
    <t>col.CW losslG,losslA,intra.A.eqn.bpop</t>
  </si>
  <si>
    <t>col.CW losslG,losslA,intra.A.dec.numpoints</t>
  </si>
  <si>
    <t>col.CW losslG,losslA,intra.A.enc.ext.bits</t>
  </si>
  <si>
    <t>col.CW losslG,losslA,intra.A.enc.bits.geometry</t>
  </si>
  <si>
    <t>col.CW losslG,losslA,intra.A.enc.bits.occ+patch</t>
  </si>
  <si>
    <t>col.CW losslG,losslA,intra.A.enc.bits.colour</t>
  </si>
  <si>
    <t>col.CW losslG,losslA,intra.A.dec.d1-psnr</t>
  </si>
  <si>
    <t>col.CW losslG,losslA,intra.A.dec.d2-psnr</t>
  </si>
  <si>
    <t>col.CW losslG,losslA,intra.A.dec.y-psnr</t>
  </si>
  <si>
    <t>col.CW losslG,losslA,intra.A.dec.cb-psnr</t>
  </si>
  <si>
    <t>col.CW losslG,losslA,intra.A.dec.cr-psnr</t>
  </si>
  <si>
    <t>col.CW losslG,losslA,intra.A.enc.utime.self</t>
  </si>
  <si>
    <t>col.CW losslG,losslA,intra.A.enc.utime.children</t>
  </si>
  <si>
    <t>col.CW losslG,losslA,intra.A.dec.utime.self</t>
  </si>
  <si>
    <t>col.CW losslG,losslA,intra.A.dec.utime.children</t>
  </si>
  <si>
    <t>B.eqn.compratio</t>
  </si>
  <si>
    <t>col.CW losslG,losslA,intra.B.eqn.compratio</t>
  </si>
  <si>
    <t>col.CW losslG,losslA,intra.B.eqn.bitrate</t>
  </si>
  <si>
    <t>col.CW losslG,losslA,intra.B.eqn.bpp</t>
  </si>
  <si>
    <t>col.CW losslG,losslA,intra.B.eqn.bpp.geometry+occ+patch</t>
  </si>
  <si>
    <t>col.CW losslG,losslA,intra.B.eqn.bpp.geometry</t>
  </si>
  <si>
    <t>col.CW losslG,losslA,intra.B.eqn.bpp.colour</t>
  </si>
  <si>
    <t>col.CW losslG,losslA,intra.B.eqn.bits.totalgeometry</t>
  </si>
  <si>
    <t>col.CW losslG,losslA,intra.B.eqn.bpop</t>
  </si>
  <si>
    <t>col.CW losslG,losslA,intra.B.dec.numpoints</t>
  </si>
  <si>
    <t>col.CW losslG,losslA,intra.B.enc.ext.bits</t>
  </si>
  <si>
    <t>col.CW losslG,losslA,intra.B.enc.bits.geometry</t>
  </si>
  <si>
    <t>col.CW losslG,losslA,intra.B.enc.bits.occ+patch</t>
  </si>
  <si>
    <t>col.CW losslG,losslA,intra.B.enc.bits.colour</t>
  </si>
  <si>
    <t>col.CW losslG,losslA,intra.B.dec.d1-psnr</t>
  </si>
  <si>
    <t>col.CW losslG,losslA,intra.B.dec.d2-psnr</t>
  </si>
  <si>
    <t>col.CW losslG,losslA,intra.B.dec.y-psnr</t>
  </si>
  <si>
    <t>col.CW losslG,losslA,intra.B.dec.cb-psnr</t>
  </si>
  <si>
    <t>col.CW losslG,losslA,intra.B.dec.cr-psnr</t>
  </si>
  <si>
    <t>col.CW losslG,losslA,intra.B.enc.utime.self</t>
  </si>
  <si>
    <t>col.CW losslG,losslA,intra.B.enc.utime.children</t>
  </si>
  <si>
    <t>col.CW losslG,losslA,intra.B.dec.utime.self</t>
  </si>
  <si>
    <t>col.CW losslG,losslA,intra.B.dec.utime.children</t>
  </si>
  <si>
    <t>bpip ratio [%]</t>
  </si>
  <si>
    <t>eqn.ab.ratio-bpp</t>
  </si>
  <si>
    <t>col.CW losslG,losslA,intra.eqn.ab.ratio-bpp</t>
  </si>
  <si>
    <t>eqn.ab.ratio-bpp-geometry</t>
  </si>
  <si>
    <t>col.CW losslG,losslA,intra.eqn.ab.ratio-bpp-geometry</t>
  </si>
  <si>
    <t>eqn.ab.ratio-bpp-colour</t>
  </si>
  <si>
    <t>col.CW losslG,losslA,intra.eqn.ab.ratio-bpp-colour</t>
  </si>
  <si>
    <t>col.CW losslG,losslA,intra.eqn.ab.delta-geom_texture_bits_ratio</t>
  </si>
  <si>
    <t>col.CW losslG,losslA,intra.eqn.ab.summary-delta-geom_texture_bits_ratio</t>
  </si>
  <si>
    <t>CW_ai — lossless geometry, lossless attributes [all intra]</t>
  </si>
  <si>
    <t>name.A.CW losslG,losslA,intra</t>
  </si>
  <si>
    <t>'CW losslG,losslA,intra'!$H$1</t>
  </si>
  <si>
    <t>name.B.CW losslG,losslA,intra</t>
  </si>
  <si>
    <t>'CW losslG,losslA,intra'!$AE$1</t>
  </si>
  <si>
    <t>range.CW losslG,losslA,intra.8ivfbv2_loot_vox10</t>
  </si>
  <si>
    <t>'CW losslG,losslA,intra'!$A$5:$BF$5</t>
  </si>
  <si>
    <t>range.CW losslG,losslA,intra.8ivfbv2_redandblack_vox10</t>
  </si>
  <si>
    <t>'CW losslG,losslA,intra'!$A$6:$BF$6</t>
  </si>
  <si>
    <t>range.CW losslG,losslA,intra.8ivfbv2_soldier_vox10</t>
  </si>
  <si>
    <t>'CW losslG,losslA,intra'!$A$7:$BF$7</t>
  </si>
  <si>
    <t>range.CW losslG,losslA,intra.queen</t>
  </si>
  <si>
    <t>'CW losslG,losslA,intra'!$A$8:$BF$8</t>
  </si>
  <si>
    <t>range.CW losslG,losslA,intra.8ivfbv2_longdress_vox10</t>
  </si>
  <si>
    <t>'CW losslG,losslA,intra'!$A$9:$BF$9</t>
  </si>
  <si>
    <t>CW_ai</t>
  </si>
  <si>
    <t>lossless geometry, lossless attributes [all intra]</t>
  </si>
  <si>
    <t>CW losslG,losslA,intra</t>
  </si>
  <si>
    <t>cols.CW losslG,losslA,intra</t>
  </si>
  <si>
    <t>names!$B$137:$W$137</t>
  </si>
  <si>
    <t>col.CW losslG,losslA,interLD.class</t>
  </si>
  <si>
    <t>col.CW losslG,losslA,interLD.sequence</t>
  </si>
  <si>
    <t>col.CW losslG,losslA,interLD.src.numpoints</t>
  </si>
  <si>
    <t>col.CW losslG,losslA,interLD.src.geometry-precision</t>
  </si>
  <si>
    <t>col.CW losslG,losslA,interLD.src.framecount</t>
  </si>
  <si>
    <t>col.CW losslG,losslA,interLD.src.framerate</t>
  </si>
  <si>
    <t>col.CW losslG,losslA,interLD.A.eqn.compratio</t>
  </si>
  <si>
    <t>col.CW losslG,losslA,interLD.A.eqn.bitrate</t>
  </si>
  <si>
    <t>col.CW losslG,losslA,interLD.A.eqn.bpp</t>
  </si>
  <si>
    <t>col.CW losslG,losslA,interLD.A.eqn.bpp.geometry+occ+patch</t>
  </si>
  <si>
    <t>col.CW losslG,losslA,interLD.A.eqn.bpp.geometry</t>
  </si>
  <si>
    <t>col.CW losslG,losslA,interLD.A.eqn.bpp.colour</t>
  </si>
  <si>
    <t>col.CW losslG,losslA,interLD.A.eqn.bits.totalgeometry</t>
  </si>
  <si>
    <t>col.CW losslG,losslA,interLD.A.eqn.bpop</t>
  </si>
  <si>
    <t>col.CW losslG,losslA,interLD.A.dec.numpoints</t>
  </si>
  <si>
    <t>col.CW losslG,losslA,interLD.A.enc.ext.bits</t>
  </si>
  <si>
    <t>col.CW losslG,losslA,interLD.A.enc.bits.geometry</t>
  </si>
  <si>
    <t>col.CW losslG,losslA,interLD.A.enc.bits.occ+patch</t>
  </si>
  <si>
    <t>col.CW losslG,losslA,interLD.A.enc.bits.colour</t>
  </si>
  <si>
    <t>col.CW losslG,losslA,interLD.A.dec.d1-psnr</t>
  </si>
  <si>
    <t>col.CW losslG,losslA,interLD.A.dec.d2-psnr</t>
  </si>
  <si>
    <t>col.CW losslG,losslA,interLD.A.dec.y-psnr</t>
  </si>
  <si>
    <t>col.CW losslG,losslA,interLD.A.dec.cb-psnr</t>
  </si>
  <si>
    <t>col.CW losslG,losslA,interLD.A.dec.cr-psnr</t>
  </si>
  <si>
    <t>col.CW losslG,losslA,interLD.A.enc.utime.self</t>
  </si>
  <si>
    <t>col.CW losslG,losslA,interLD.A.enc.utime.children</t>
  </si>
  <si>
    <t>col.CW losslG,losslA,interLD.A.dec.utime.self</t>
  </si>
  <si>
    <t>col.CW losslG,losslA,interLD.A.dec.utime.children</t>
  </si>
  <si>
    <t>col.CW losslG,losslA,interLD.B.eqn.compratio</t>
  </si>
  <si>
    <t>col.CW losslG,losslA,interLD.B.eqn.bitrate</t>
  </si>
  <si>
    <t>col.CW losslG,losslA,interLD.B.eqn.bpp</t>
  </si>
  <si>
    <t>col.CW losslG,losslA,interLD.B.eqn.bpp.geometry+occ+patch</t>
  </si>
  <si>
    <t>col.CW losslG,losslA,interLD.B.eqn.bpp.geometry</t>
  </si>
  <si>
    <t>col.CW losslG,losslA,interLD.B.eqn.bpp.colour</t>
  </si>
  <si>
    <t>col.CW losslG,losslA,interLD.B.eqn.bits.totalgeometry</t>
  </si>
  <si>
    <t>col.CW losslG,losslA,interLD.B.eqn.bpop</t>
  </si>
  <si>
    <t>col.CW losslG,losslA,interLD.B.dec.numpoints</t>
  </si>
  <si>
    <t>col.CW losslG,losslA,interLD.B.enc.ext.bits</t>
  </si>
  <si>
    <t>col.CW losslG,losslA,interLD.B.enc.bits.geometry</t>
  </si>
  <si>
    <t>col.CW losslG,losslA,interLD.B.enc.bits.occ+patch</t>
  </si>
  <si>
    <t>col.CW losslG,losslA,interLD.B.enc.bits.colour</t>
  </si>
  <si>
    <t>col.CW losslG,losslA,interLD.B.dec.d1-psnr</t>
  </si>
  <si>
    <t>col.CW losslG,losslA,interLD.B.dec.d2-psnr</t>
  </si>
  <si>
    <t>col.CW losslG,losslA,interLD.B.dec.y-psnr</t>
  </si>
  <si>
    <t>col.CW losslG,losslA,interLD.B.dec.cb-psnr</t>
  </si>
  <si>
    <t>col.CW losslG,losslA,interLD.B.dec.cr-psnr</t>
  </si>
  <si>
    <t>col.CW losslG,losslA,interLD.B.enc.utime.self</t>
  </si>
  <si>
    <t>col.CW losslG,losslA,interLD.B.enc.utime.children</t>
  </si>
  <si>
    <t>col.CW losslG,losslA,interLD.B.dec.utime.self</t>
  </si>
  <si>
    <t>col.CW losslG,losslA,interLD.B.dec.utime.children</t>
  </si>
  <si>
    <t>col.CW losslG,losslA,interLD.eqn.ab.ratio-bpp</t>
  </si>
  <si>
    <t>col.CW losslG,losslA,interLD.eqn.ab.ratio-bpp-geometry</t>
  </si>
  <si>
    <t>col.CW losslG,losslA,interLD.eqn.ab.ratio-bpp-colour</t>
  </si>
  <si>
    <t>col.CW losslG,losslA,interLD.eqn.ab.delta-geom_texture_bits_ratio</t>
  </si>
  <si>
    <t>col.CW losslG,losslA,interLD.eqn.ab.summary-delta-geom_texture_bits_ratio</t>
  </si>
  <si>
    <t>CW_ld — lossless geometry, lossless attributes [inter, low delay]</t>
  </si>
  <si>
    <t>name.A.CW losslG,losslA,interLD</t>
  </si>
  <si>
    <t>'CW losslG,losslA,interLD'!$H$1</t>
  </si>
  <si>
    <t>name.B.CW losslG,losslA,interLD</t>
  </si>
  <si>
    <t>'CW losslG,losslA,interLD'!$AE$1</t>
  </si>
  <si>
    <t>range.CW losslG,losslA,interLD.8ivfbv2_loot_vox10</t>
  </si>
  <si>
    <t>'CW losslG,losslA,interLD'!$A$5:$BF$5</t>
  </si>
  <si>
    <t>range.CW losslG,losslA,interLD.8ivfbv2_redandblack_vox10</t>
  </si>
  <si>
    <t>'CW losslG,losslA,interLD'!$A$6:$BF$6</t>
  </si>
  <si>
    <t>range.CW losslG,losslA,interLD.8ivfbv2_soldier_vox10</t>
  </si>
  <si>
    <t>'CW losslG,losslA,interLD'!$A$7:$BF$7</t>
  </si>
  <si>
    <t>range.CW losslG,losslA,interLD.queen</t>
  </si>
  <si>
    <t>'CW losslG,losslA,interLD'!$A$8:$BF$8</t>
  </si>
  <si>
    <t>range.CW losslG,losslA,interLD.8ivfbv2_longdress_vox10</t>
  </si>
  <si>
    <t>'CW losslG,losslA,interLD'!$A$9:$BF$9</t>
  </si>
  <si>
    <t>Inter, Low Delay</t>
  </si>
  <si>
    <t>CW_ld</t>
  </si>
  <si>
    <t>lossless geometry, lossless attributes [inter, low delay]</t>
  </si>
  <si>
    <t>CW losslG,losslA,interLD</t>
  </si>
  <si>
    <t>cols.CW losslG,losslA,interLD</t>
  </si>
  <si>
    <t>names!$B$200:$W$200</t>
  </si>
  <si>
    <t>col.C2 lossyG,lossyA,interRA.class</t>
  </si>
  <si>
    <t>col.C2 lossyG,lossyA,interRA.sequence</t>
  </si>
  <si>
    <t>col.C2 lossyG,lossyA,interRA.variant</t>
  </si>
  <si>
    <t>col.C2 lossyG,lossyA,interRA.src.numpoints</t>
  </si>
  <si>
    <t>col.C2 lossyG,lossyA,interRA.src.geometry-precision</t>
  </si>
  <si>
    <t>col.C2 lossyG,lossyA,interRA.src.framecount</t>
  </si>
  <si>
    <t>col.C2 lossyG,lossyA,interRA.src.framerate</t>
  </si>
  <si>
    <t>col.C2 lossyG,lossyA,interRA.A.eqn.bitrate</t>
  </si>
  <si>
    <t>col.C2 lossyG,lossyA,interRA.A.eqn.bpp</t>
  </si>
  <si>
    <t>col.C2 lossyG,lossyA,interRA.A.eqn.bpp.geometry+occ+patch</t>
  </si>
  <si>
    <t>col.C2 lossyG,lossyA,interRA.A.eqn.bpp.geometry</t>
  </si>
  <si>
    <t>col.C2 lossyG,lossyA,interRA.A.eqn.bpp.colour</t>
  </si>
  <si>
    <t>col.C2 lossyG,lossyA,interRA.A.eqn.bits.totalgeometry</t>
  </si>
  <si>
    <t>col.C2 lossyG,lossyA,interRA.A.eqn.bpop</t>
  </si>
  <si>
    <t>col.C2 lossyG,lossyA,interRA.A.dec.numpoints</t>
  </si>
  <si>
    <t>col.C2 lossyG,lossyA,interRA.A.dec.numpoints.mean</t>
  </si>
  <si>
    <t>col.C2 lossyG,lossyA,interRA.A.dec.numduppoints.mean</t>
  </si>
  <si>
    <t>col.C2 lossyG,lossyA,interRA.A.enc.ext.bits</t>
  </si>
  <si>
    <t>col.C2 lossyG,lossyA,interRA.A.enc.bits.geometry</t>
  </si>
  <si>
    <t>col.C2 lossyG,lossyA,interRA.A.enc.bits.occ+patch</t>
  </si>
  <si>
    <t>col.C2 lossyG,lossyA,interRA.A.enc.bits.colour</t>
  </si>
  <si>
    <t>col.C2 lossyG,lossyA,interRA.A.dec.d1-psnr</t>
  </si>
  <si>
    <t>col.C2 lossyG,lossyA,interRA.A.dec.d2-psnr</t>
  </si>
  <si>
    <t>col.C2 lossyG,lossyA,interRA.A.dec.y-psnr</t>
  </si>
  <si>
    <t>col.C2 lossyG,lossyA,interRA.A.dec.cb-psnr</t>
  </si>
  <si>
    <t>col.C2 lossyG,lossyA,interRA.A.dec.cr-psnr</t>
  </si>
  <si>
    <t>col.C2 lossyG,lossyA,interRA.A.enc.utime.self</t>
  </si>
  <si>
    <t>col.C2 lossyG,lossyA,interRA.A.enc.utime.children</t>
  </si>
  <si>
    <t>col.C2 lossyG,lossyA,interRA.A.dec.utime.self</t>
  </si>
  <si>
    <t>col.C2 lossyG,lossyA,interRA.A.dec.utime.children</t>
  </si>
  <si>
    <t>col.C2 lossyG,lossyA,interRA.B.eqn.bitrate</t>
  </si>
  <si>
    <t>col.C2 lossyG,lossyA,interRA.B.eqn.bpp</t>
  </si>
  <si>
    <t>col.C2 lossyG,lossyA,interRA.B.eqn.bpp.geometry+occ+patch</t>
  </si>
  <si>
    <t>col.C2 lossyG,lossyA,interRA.B.eqn.bpp.geometry</t>
  </si>
  <si>
    <t>col.C2 lossyG,lossyA,interRA.B.eqn.bpp.colour</t>
  </si>
  <si>
    <t>col.C2 lossyG,lossyA,interRA.B.eqn.bits.totalgeometry</t>
  </si>
  <si>
    <t>col.C2 lossyG,lossyA,interRA.B.eqn.bpop</t>
  </si>
  <si>
    <t>col.C2 lossyG,lossyA,interRA.B.dec.numpoints</t>
  </si>
  <si>
    <t>col.C2 lossyG,lossyA,interRA.B.dec.numpoints.mean</t>
  </si>
  <si>
    <t>col.C2 lossyG,lossyA,interRA.B.dec.numduppoints.mean</t>
  </si>
  <si>
    <t>col.C2 lossyG,lossyA,interRA.B.enc.ext.bits</t>
  </si>
  <si>
    <t>col.C2 lossyG,lossyA,interRA.B.enc.bits.geometry</t>
  </si>
  <si>
    <t>col.C2 lossyG,lossyA,interRA.B.enc.bits.occ+patch</t>
  </si>
  <si>
    <t>col.C2 lossyG,lossyA,interRA.B.enc.bits.colour</t>
  </si>
  <si>
    <t>col.C2 lossyG,lossyA,interRA.B.dec.d1-psnr</t>
  </si>
  <si>
    <t>col.C2 lossyG,lossyA,interRA.B.dec.d2-psnr</t>
  </si>
  <si>
    <t>col.C2 lossyG,lossyA,interRA.B.dec.y-psnr</t>
  </si>
  <si>
    <t>col.C2 lossyG,lossyA,interRA.B.dec.cb-psnr</t>
  </si>
  <si>
    <t>col.C2 lossyG,lossyA,interRA.B.dec.cr-psnr</t>
  </si>
  <si>
    <t>col.C2 lossyG,lossyA,interRA.B.enc.utime.self</t>
  </si>
  <si>
    <t>col.C2 lossyG,lossyA,interRA.B.enc.utime.children</t>
  </si>
  <si>
    <t>col.C2 lossyG,lossyA,interRA.B.dec.utime.self</t>
  </si>
  <si>
    <t>col.C2 lossyG,lossyA,interRA.B.dec.utime.children</t>
  </si>
  <si>
    <t>col.C2 lossyG,lossyA,interRA.eqn.ab.delta-duppoints_ratio</t>
  </si>
  <si>
    <t>col.C2 lossyG,lossyA,interRA.eqn.ab.delta-geom_texture_bits_ratio</t>
  </si>
  <si>
    <t>col.C2 lossyG,lossyA,interRA.eqn.ab.summary-delta-geom_texture_bits_ratio</t>
  </si>
  <si>
    <t>col.C2 lossyG,lossyA,interRA.eqn.ab.bdrate-d1-geomrate</t>
  </si>
  <si>
    <t>col.C2 lossyG,lossyA,interRA.eqn.ab.bdrate-d2-geomrate</t>
  </si>
  <si>
    <t>col.C2 lossyG,lossyA,interRA.eqn.ab.bdrate-y-attrrate</t>
  </si>
  <si>
    <t>col.C2 lossyG,lossyA,interRA.eqn.ab.bdrate-cb-attrrate</t>
  </si>
  <si>
    <t>col.C2 lossyG,lossyA,interRA.eqn.ab.bdrate-cr-attrrate</t>
  </si>
  <si>
    <t>col.C2 lossyG,lossyA,interRA.eqn.ab.bdrate-d1</t>
  </si>
  <si>
    <t>col.C2 lossyG,lossyA,interRA.eqn.ab.bdrate-d2</t>
  </si>
  <si>
    <t>col.C2 lossyG,lossyA,interRA.eqn.ab.bdrate-y</t>
  </si>
  <si>
    <t>col.C2 lossyG,lossyA,interRA.eqn.ab.bdrate-cb</t>
  </si>
  <si>
    <t>col.C2 lossyG,lossyA,interRA.eqn.ab.bdrate-cr</t>
  </si>
  <si>
    <t>C2_ra — lossy geometry, lossy attributes [inter, random access]</t>
  </si>
  <si>
    <t>name.A.C2 lossyG,lossyA,interRA</t>
  </si>
  <si>
    <t>'C2 lossyG,lossyA,interRA'!$I$1</t>
  </si>
  <si>
    <t>name.B.C2 lossyG,lossyA,interRA</t>
  </si>
  <si>
    <t>'C2 lossyG,lossyA,interRA'!$AG$1</t>
  </si>
  <si>
    <t>range.C2 lossyG,lossyA,interRA.8ivfbv2_loot_vox10</t>
  </si>
  <si>
    <t>'C2 lossyG,lossyA,interRA'!$A$5:$BS$9</t>
  </si>
  <si>
    <t>range.C2 lossyG,lossyA,interRA.8ivfbv2_redandblack_vox10</t>
  </si>
  <si>
    <t>'C2 lossyG,lossyA,interRA'!$A$10:$BS$14</t>
  </si>
  <si>
    <t>range.C2 lossyG,lossyA,interRA.8ivfbv2_soldier_vox10</t>
  </si>
  <si>
    <t>'C2 lossyG,lossyA,interRA'!$A$15:$BS$19</t>
  </si>
  <si>
    <t>range.C2 lossyG,lossyA,interRA.queen</t>
  </si>
  <si>
    <t>'C2 lossyG,lossyA,interRA'!$A$20:$BS$24</t>
  </si>
  <si>
    <t>range.C2 lossyG,lossyA,interRA.8ivfbv2_longdress_vox10</t>
  </si>
  <si>
    <t>'C2 lossyG,lossyA,interRA'!$A$25:$BS$29</t>
  </si>
  <si>
    <t>Inter, Random Access</t>
  </si>
  <si>
    <t>C2_ra</t>
  </si>
  <si>
    <t>lossy geometry, lossy attributes [inter, random access]</t>
  </si>
  <si>
    <t>C2 lossyG,lossyA,interRA</t>
  </si>
  <si>
    <t>cols.C2 lossyG,lossyA,interRA</t>
  </si>
  <si>
    <t>names!$B$274:$X$274</t>
  </si>
  <si>
    <t>Diff</t>
  </si>
  <si>
    <t>tested: rc0.6 (lossy occupancy map, CTC)</t>
  </si>
  <si>
    <t>tested-rc0.7 (texture padding - spp, CTC)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</si>
</sst>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00"/>
    <numFmt numFmtId="166" formatCode="[&gt;1000]0;[&gt;100]0.0;0.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DA9694"/>
        <bgColor auto="1"/>
      </patternFill>
    </fill>
    <fill>
      <patternFill patternType="solid">
        <fgColor rgb="FFC4D796"/>
        <bgColor auto="1"/>
      </patternFill>
    </fill>
    <fill>
      <patternFill patternType="solid">
        <fgColor rgb="FFBFBFBF"/>
        <bgColor auto="1"/>
      </patternFill>
    </fill>
    <fill>
      <patternFill patternType="solid">
        <fgColor rgb="FFA6A6A6"/>
        <bgColor auto="1"/>
      </patternFill>
    </fill>
    <fill>
      <patternFill patternType="solid">
        <fgColor rgb="FFFFFF00"/>
        <bgColor auto="1"/>
      </patternFill>
    </fill>
    <fill>
      <patternFill patternType="solid">
        <fgColor rgb="FFC4BF97"/>
        <bgColor auto="1"/>
      </patternFill>
    </fill>
    <fill>
      <patternFill patternType="solid">
        <fgColor rgb="FFF2F2F2"/>
        <bgColor auto="1"/>
      </patternFill>
    </fill>
    <fill>
      <patternFill patternType="solid">
        <fgColor rgb="FFDCE6F1"/>
        <bgColor auto="1"/>
      </patternFill>
    </fill>
    <fill>
      <patternFill patternType="solid">
        <fgColor rgb="FFD9D9D9"/>
        <bgColor auto="1"/>
      </patternFill>
    </fill>
    <fill>
      <patternFill patternType="solid">
        <fgColor rgb="FFB8CCE4"/>
        <bgColor auto="1"/>
      </patternFill>
    </fill>
  </fills>
  <borders count="5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87">
    <xf numFmtId="0" fontId="0" fillId="0" borderId="0" xfId="0"/>
    <xf numFmtId="0" fontId="1" fillId="4" borderId="0" xfId="0" applyFont="1" applyFill="1"/>
    <xf numFmtId="0" fontId="1" fillId="4" borderId="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0" fillId="0" borderId="0" xfId="0"/>
    <xf numFmtId="164" fontId="0" fillId="0" borderId="0" xfId="0" applyNumberFormat="1" applyAlignment="1">
      <alignment horizontal="center"/>
    </xf>
    <xf numFmtId="0" fontId="1" fillId="0" borderId="4" xfId="0" applyFont="1" applyBorder="1"/>
    <xf numFmtId="164" fontId="0" fillId="0" borderId="4" xfId="0" applyNumberFormat="1" applyBorder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3" xfId="0" applyBorder="1"/>
    <xf numFmtId="0" fontId="0" fillId="6" borderId="0" xfId="0" applyFill="1"/>
    <xf numFmtId="0" fontId="1" fillId="5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textRotation="90" wrapText="1"/>
    </xf>
    <xf numFmtId="0" fontId="1" fillId="4" borderId="3" xfId="0" applyFont="1" applyFill="1" applyBorder="1" applyAlignment="1">
      <alignment horizontal="center" textRotation="90" wrapText="1"/>
    </xf>
    <xf numFmtId="0" fontId="0" fillId="8" borderId="0" xfId="0" applyFill="1"/>
    <xf numFmtId="0" fontId="0" fillId="8" borderId="0" xfId="0" applyFill="1" applyAlignment="1">
      <alignment horizontal="center"/>
    </xf>
    <xf numFmtId="165" fontId="0" fillId="8" borderId="0" xfId="0" applyNumberFormat="1" applyFill="1" applyAlignment="1">
      <alignment horizontal="center"/>
    </xf>
    <xf numFmtId="2" fontId="0" fillId="8" borderId="0" xfId="0" applyNumberFormat="1" applyFill="1" applyAlignment="1">
      <alignment horizontal="center"/>
    </xf>
    <xf numFmtId="0" fontId="0" fillId="9" borderId="0" xfId="0" applyFill="1"/>
    <xf numFmtId="0" fontId="0" fillId="9" borderId="0" xfId="0" applyFill="1" applyAlignment="1">
      <alignment horizontal="center"/>
    </xf>
    <xf numFmtId="2" fontId="0" fillId="9" borderId="0" xfId="0" applyNumberFormat="1" applyFill="1" applyAlignment="1">
      <alignment horizontal="center"/>
    </xf>
    <xf numFmtId="166" fontId="0" fillId="9" borderId="0" xfId="0" applyNumberFormat="1" applyFill="1" applyAlignment="1">
      <alignment horizontal="center"/>
    </xf>
    <xf numFmtId="9" fontId="0" fillId="8" borderId="0" xfId="0" applyNumberFormat="1" applyFill="1" applyAlignment="1">
      <alignment horizontal="center"/>
    </xf>
    <xf numFmtId="164" fontId="0" fillId="8" borderId="0" xfId="0" applyNumberFormat="1" applyFill="1" applyAlignment="1">
      <alignment horizontal="center"/>
    </xf>
    <xf numFmtId="0" fontId="0" fillId="10" borderId="0" xfId="0" applyFill="1"/>
    <xf numFmtId="0" fontId="0" fillId="10" borderId="0" xfId="0" applyFill="1" applyAlignment="1">
      <alignment horizontal="center"/>
    </xf>
    <xf numFmtId="165" fontId="0" fillId="10" borderId="0" xfId="0" applyNumberFormat="1" applyFill="1" applyAlignment="1">
      <alignment horizontal="center"/>
    </xf>
    <xf numFmtId="2" fontId="0" fillId="10" borderId="0" xfId="0" applyNumberFormat="1" applyFill="1" applyAlignment="1">
      <alignment horizontal="center"/>
    </xf>
    <xf numFmtId="0" fontId="0" fillId="11" borderId="0" xfId="0" applyFill="1"/>
    <xf numFmtId="0" fontId="0" fillId="11" borderId="0" xfId="0" applyFill="1" applyAlignment="1">
      <alignment horizontal="center"/>
    </xf>
    <xf numFmtId="2" fontId="0" fillId="11" borderId="0" xfId="0" applyNumberFormat="1" applyFill="1" applyAlignment="1">
      <alignment horizontal="center"/>
    </xf>
    <xf numFmtId="166" fontId="0" fillId="11" borderId="0" xfId="0" applyNumberFormat="1" applyFill="1" applyAlignment="1">
      <alignment horizontal="center"/>
    </xf>
    <xf numFmtId="9" fontId="0" fillId="10" borderId="0" xfId="0" applyNumberFormat="1" applyFill="1" applyAlignment="1">
      <alignment horizontal="center"/>
    </xf>
    <xf numFmtId="164" fontId="0" fillId="10" borderId="0" xfId="0" applyNumberFormat="1" applyFill="1" applyAlignment="1">
      <alignment horizontal="center"/>
    </xf>
    <xf numFmtId="0" fontId="0" fillId="8" borderId="3" xfId="0" applyFill="1" applyBorder="1"/>
    <xf numFmtId="0" fontId="0" fillId="8" borderId="3" xfId="0" applyFill="1" applyBorder="1" applyAlignment="1">
      <alignment horizontal="center"/>
    </xf>
    <xf numFmtId="165" fontId="0" fillId="8" borderId="3" xfId="0" applyNumberFormat="1" applyFill="1" applyBorder="1" applyAlignment="1">
      <alignment horizontal="center"/>
    </xf>
    <xf numFmtId="2" fontId="0" fillId="8" borderId="3" xfId="0" applyNumberFormat="1" applyFill="1" applyBorder="1" applyAlignment="1">
      <alignment horizontal="center"/>
    </xf>
    <xf numFmtId="0" fontId="0" fillId="9" borderId="3" xfId="0" applyFill="1" applyBorder="1"/>
    <xf numFmtId="0" fontId="0" fillId="9" borderId="3" xfId="0" applyFill="1" applyBorder="1" applyAlignment="1">
      <alignment horizontal="center"/>
    </xf>
    <xf numFmtId="2" fontId="0" fillId="9" borderId="3" xfId="0" applyNumberFormat="1" applyFill="1" applyBorder="1" applyAlignment="1">
      <alignment horizontal="center"/>
    </xf>
    <xf numFmtId="166" fontId="0" fillId="9" borderId="3" xfId="0" applyNumberFormat="1" applyFill="1" applyBorder="1" applyAlignment="1">
      <alignment horizontal="center"/>
    </xf>
    <xf numFmtId="9" fontId="0" fillId="8" borderId="3" xfId="0" applyNumberFormat="1" applyFill="1" applyBorder="1" applyAlignment="1">
      <alignment horizontal="center"/>
    </xf>
    <xf numFmtId="164" fontId="0" fillId="8" borderId="3" xfId="0" applyNumberFormat="1" applyFill="1" applyBorder="1" applyAlignment="1">
      <alignment horizontal="center"/>
    </xf>
    <xf numFmtId="0" fontId="0" fillId="10" borderId="3" xfId="0" applyFill="1" applyBorder="1"/>
    <xf numFmtId="0" fontId="0" fillId="10" borderId="3" xfId="0" applyFill="1" applyBorder="1" applyAlignment="1">
      <alignment horizontal="center"/>
    </xf>
    <xf numFmtId="165" fontId="0" fillId="10" borderId="3" xfId="0" applyNumberFormat="1" applyFill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0" fontId="0" fillId="11" borderId="3" xfId="0" applyFill="1" applyBorder="1"/>
    <xf numFmtId="0" fontId="0" fillId="11" borderId="3" xfId="0" applyFill="1" applyBorder="1" applyAlignment="1">
      <alignment horizontal="center"/>
    </xf>
    <xf numFmtId="2" fontId="0" fillId="11" borderId="3" xfId="0" applyNumberFormat="1" applyFill="1" applyBorder="1" applyAlignment="1">
      <alignment horizontal="center"/>
    </xf>
    <xf numFmtId="166" fontId="0" fillId="11" borderId="3" xfId="0" applyNumberFormat="1" applyFill="1" applyBorder="1" applyAlignment="1">
      <alignment horizontal="center"/>
    </xf>
    <xf numFmtId="9" fontId="0" fillId="10" borderId="3" xfId="0" applyNumberFormat="1" applyFill="1" applyBorder="1" applyAlignment="1">
      <alignment horizontal="center"/>
    </xf>
    <xf numFmtId="164" fontId="0" fillId="10" borderId="3" xfId="0" applyNumberFormat="1" applyFill="1" applyBorder="1" applyAlignment="1">
      <alignment horizontal="center"/>
    </xf>
    <xf numFmtId="0" fontId="1" fillId="0" borderId="0" xfId="0" applyFont="1" applyAlignment="1">
      <alignment wrapText="1"/>
    </xf>
    <xf numFmtId="2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0" fillId="9" borderId="0" xfId="0" applyFill="1"/>
    <xf numFmtId="0" fontId="0" fillId="9" borderId="0" xfId="0" applyFill="1" applyAlignment="1">
      <alignment horizontal="center"/>
    </xf>
    <xf numFmtId="2" fontId="0" fillId="9" borderId="0" xfId="0" applyNumberFormat="1" applyFill="1" applyAlignment="1">
      <alignment horizontal="center"/>
    </xf>
    <xf numFmtId="166" fontId="0" fillId="9" borderId="0" xfId="0" applyNumberFormat="1" applyFill="1" applyAlignment="1">
      <alignment horizontal="center"/>
    </xf>
    <xf numFmtId="0" fontId="0" fillId="11" borderId="0" xfId="0" applyFill="1"/>
    <xf numFmtId="0" fontId="0" fillId="11" borderId="0" xfId="0" applyFill="1" applyAlignment="1">
      <alignment horizontal="center"/>
    </xf>
    <xf numFmtId="2" fontId="0" fillId="11" borderId="0" xfId="0" applyNumberFormat="1" applyFill="1" applyAlignment="1">
      <alignment horizontal="center"/>
    </xf>
    <xf numFmtId="166" fontId="0" fillId="11" borderId="0" xfId="0" applyNumberFormat="1" applyFill="1" applyAlignment="1">
      <alignment horizontal="center"/>
    </xf>
    <xf numFmtId="0" fontId="0" fillId="9" borderId="3" xfId="0" applyFill="1" applyBorder="1"/>
    <xf numFmtId="0" fontId="0" fillId="9" borderId="3" xfId="0" applyFill="1" applyBorder="1" applyAlignment="1">
      <alignment horizontal="center"/>
    </xf>
    <xf numFmtId="2" fontId="0" fillId="9" borderId="3" xfId="0" applyNumberFormat="1" applyFill="1" applyBorder="1" applyAlignment="1">
      <alignment horizontal="center"/>
    </xf>
    <xf numFmtId="166" fontId="0" fillId="9" borderId="3" xfId="0" applyNumberFormat="1" applyFill="1" applyBorder="1" applyAlignment="1">
      <alignment horizontal="center"/>
    </xf>
    <xf numFmtId="0" fontId="0" fillId="11" borderId="3" xfId="0" applyFill="1" applyBorder="1"/>
    <xf numFmtId="0" fontId="0" fillId="11" borderId="3" xfId="0" applyFill="1" applyBorder="1" applyAlignment="1">
      <alignment horizontal="center"/>
    </xf>
    <xf numFmtId="2" fontId="0" fillId="11" borderId="3" xfId="0" applyNumberFormat="1" applyFill="1" applyBorder="1" applyAlignment="1">
      <alignment horizontal="center"/>
    </xf>
    <xf numFmtId="166" fontId="0" fillId="11" borderId="3" xfId="0" applyNumberFormat="1" applyFill="1" applyBorder="1" applyAlignment="1">
      <alignment horizontal="center"/>
    </xf>
    <xf numFmtId="9" fontId="0" fillId="0" borderId="0" xfId="0" applyNumberFormat="1" applyAlignment="1">
      <alignment horizontal="center"/>
    </xf>
    <xf numFmtId="9" fontId="0" fillId="0" borderId="3" xfId="0" applyNumberFormat="1" applyBorder="1" applyAlignment="1">
      <alignment horizontal="center"/>
    </xf>
    <xf numFmtId="0" fontId="1" fillId="4" borderId="1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1" fillId="5" borderId="0" xfId="0" applyFont="1" applyFill="1" applyAlignment="1">
      <alignment horizontal="center" wrapText="1"/>
    </xf>
    <xf numFmtId="0" fontId="1" fillId="7" borderId="0" xfId="0" applyFont="1" applyFill="1" applyAlignment="1">
      <alignment horizontal="left" vertical="top"/>
    </xf>
    <xf numFmtId="0" fontId="1" fillId="4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wrapText="1"/>
    </xf>
  </cellXfs>
  <cellStyles count="1">
    <cellStyle name="Normal" xfId="0" builtinId="0"/>
  </cellStyles>
  <dxfs count="106"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Graphs!graph_a_title</c:f>
          <c:strCache>
            <c:ptCount val="1"/>
            <c:pt idx="0">
              <c:v>D1 Geometry PSNR (Graph a)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Graphs!graph_a_A_title</c:f>
              <c:strCache>
                <c:ptCount val="1"/>
                <c:pt idx="0">
                  <c:v>tested: rc0.6 (lossy occupancy map, CTC)</c:v>
                </c:pt>
              </c:strCache>
            </c:strRef>
          </c:tx>
          <c:xVal>
            <c:numRef>
              <c:f>Graphs!graph_a_x_range_A</c:f>
              <c:numCache>
                <c:formatCode>0.00</c:formatCode>
                <c:ptCount val="5"/>
                <c:pt idx="0">
                  <c:v>9.6086814388571279E-2</c:v>
                </c:pt>
                <c:pt idx="1">
                  <c:v>0.14909233934915406</c:v>
                </c:pt>
                <c:pt idx="2">
                  <c:v>0.24425880098337063</c:v>
                </c:pt>
                <c:pt idx="3">
                  <c:v>0.42463255889670792</c:v>
                </c:pt>
                <c:pt idx="4">
                  <c:v>0.77477262468093988</c:v>
                </c:pt>
              </c:numCache>
            </c:numRef>
          </c:xVal>
          <c:yVal>
            <c:numRef>
              <c:f>Graphs!graph_a_y_range_A</c:f>
              <c:numCache>
                <c:formatCode>0.00</c:formatCode>
                <c:ptCount val="5"/>
                <c:pt idx="0">
                  <c:v>66.333168749999999</c:v>
                </c:pt>
                <c:pt idx="1">
                  <c:v>68.2381125</c:v>
                </c:pt>
                <c:pt idx="2">
                  <c:v>69.677409374999996</c:v>
                </c:pt>
                <c:pt idx="3">
                  <c:v>70.749765624999995</c:v>
                </c:pt>
                <c:pt idx="4">
                  <c:v>72.062162499999999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D0A-4E9C-8D2A-F3CCB41420FC}"/>
            </c:ext>
          </c:extLst>
        </c:ser>
        <c:ser>
          <c:idx val="1"/>
          <c:order val="1"/>
          <c:tx>
            <c:strRef>
              <c:f>Graphs!graph_a_B_title</c:f>
              <c:strCache>
                <c:ptCount val="1"/>
                <c:pt idx="0">
                  <c:v>tested-rc0.7 (texture padding - spp, CTC)</c:v>
                </c:pt>
              </c:strCache>
            </c:strRef>
          </c:tx>
          <c:xVal>
            <c:numRef>
              <c:f>Graphs!graph_a_x_range_B</c:f>
              <c:numCache>
                <c:formatCode>0.00</c:formatCode>
                <c:ptCount val="5"/>
                <c:pt idx="0">
                  <c:v>9.6086814388571279E-2</c:v>
                </c:pt>
                <c:pt idx="1">
                  <c:v>0.14909233934915406</c:v>
                </c:pt>
                <c:pt idx="2">
                  <c:v>0.24425880098337063</c:v>
                </c:pt>
                <c:pt idx="3">
                  <c:v>0.42463255889670792</c:v>
                </c:pt>
                <c:pt idx="4">
                  <c:v>0.77477262468093988</c:v>
                </c:pt>
              </c:numCache>
            </c:numRef>
          </c:xVal>
          <c:yVal>
            <c:numRef>
              <c:f>Graphs!graph_a_y_range_B</c:f>
              <c:numCache>
                <c:formatCode>0.00</c:formatCode>
                <c:ptCount val="5"/>
                <c:pt idx="0">
                  <c:v>66.333168749999999</c:v>
                </c:pt>
                <c:pt idx="1">
                  <c:v>68.2381125</c:v>
                </c:pt>
                <c:pt idx="2">
                  <c:v>69.677409374999897</c:v>
                </c:pt>
                <c:pt idx="3">
                  <c:v>70.749765624999995</c:v>
                </c:pt>
                <c:pt idx="4">
                  <c:v>72.062162499999999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D0A-4E9C-8D2A-F3CCB41420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10001"/>
        <c:axId val="50010002"/>
      </c:scatterChart>
      <c:valAx>
        <c:axId val="50010001"/>
        <c:scaling>
          <c:orientation val="minMax"/>
        </c:scaling>
        <c:delete val="0"/>
        <c:axPos val="b"/>
        <c:title>
          <c:tx>
            <c:strRef>
              <c:f>Graphs!graph_a_x_title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10002"/>
        <c:crosses val="autoZero"/>
        <c:crossBetween val="midCat"/>
      </c:valAx>
      <c:valAx>
        <c:axId val="50010002"/>
        <c:scaling>
          <c:orientation val="minMax"/>
        </c:scaling>
        <c:delete val="0"/>
        <c:axPos val="l"/>
        <c:majorGridlines/>
        <c:title>
          <c:tx>
            <c:strRef>
              <c:f>Graphs!graph_a_y_title</c:f>
              <c:strCache>
                <c:ptCount val="1"/>
                <c:pt idx="0">
                  <c:v>D1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1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Graphs!graph_b_title</c:f>
          <c:strCache>
            <c:ptCount val="1"/>
            <c:pt idx="0">
              <c:v>D2 Geometry PSNR (Graph b)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Graphs!graph_b_A_title</c:f>
              <c:strCache>
                <c:ptCount val="1"/>
                <c:pt idx="0">
                  <c:v>tested: rc0.6 (lossy occupancy map, CTC)</c:v>
                </c:pt>
              </c:strCache>
            </c:strRef>
          </c:tx>
          <c:xVal>
            <c:numRef>
              <c:f>Graphs!graph_b_x_range_A</c:f>
              <c:numCache>
                <c:formatCode>0.00</c:formatCode>
                <c:ptCount val="5"/>
                <c:pt idx="0">
                  <c:v>9.6086814388571279E-2</c:v>
                </c:pt>
                <c:pt idx="1">
                  <c:v>0.14909233934915406</c:v>
                </c:pt>
                <c:pt idx="2">
                  <c:v>0.24425880098337063</c:v>
                </c:pt>
                <c:pt idx="3">
                  <c:v>0.42463255889670792</c:v>
                </c:pt>
                <c:pt idx="4">
                  <c:v>0.77477262468093988</c:v>
                </c:pt>
              </c:numCache>
            </c:numRef>
          </c:xVal>
          <c:yVal>
            <c:numRef>
              <c:f>Graphs!graph_b_y_range_A</c:f>
              <c:numCache>
                <c:formatCode>0.00</c:formatCode>
                <c:ptCount val="5"/>
                <c:pt idx="0">
                  <c:v>68.402850000000001</c:v>
                </c:pt>
                <c:pt idx="1">
                  <c:v>70.356650000000002</c:v>
                </c:pt>
                <c:pt idx="2">
                  <c:v>72.041343749999996</c:v>
                </c:pt>
                <c:pt idx="3">
                  <c:v>73.293743750000004</c:v>
                </c:pt>
                <c:pt idx="4">
                  <c:v>75.321165625000006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CF-4903-9C37-D411CCEB7BDA}"/>
            </c:ext>
          </c:extLst>
        </c:ser>
        <c:ser>
          <c:idx val="1"/>
          <c:order val="1"/>
          <c:tx>
            <c:strRef>
              <c:f>Graphs!graph_b_B_title</c:f>
              <c:strCache>
                <c:ptCount val="1"/>
                <c:pt idx="0">
                  <c:v>tested-rc0.7 (texture padding - spp, CTC)</c:v>
                </c:pt>
              </c:strCache>
            </c:strRef>
          </c:tx>
          <c:xVal>
            <c:numRef>
              <c:f>Graphs!graph_b_x_range_B</c:f>
              <c:numCache>
                <c:formatCode>0.00</c:formatCode>
                <c:ptCount val="5"/>
                <c:pt idx="0">
                  <c:v>9.6086814388571279E-2</c:v>
                </c:pt>
                <c:pt idx="1">
                  <c:v>0.14909233934915406</c:v>
                </c:pt>
                <c:pt idx="2">
                  <c:v>0.24425880098337063</c:v>
                </c:pt>
                <c:pt idx="3">
                  <c:v>0.42463255889670792</c:v>
                </c:pt>
                <c:pt idx="4">
                  <c:v>0.77477262468093988</c:v>
                </c:pt>
              </c:numCache>
            </c:numRef>
          </c:xVal>
          <c:yVal>
            <c:numRef>
              <c:f>Graphs!graph_b_y_range_B</c:f>
              <c:numCache>
                <c:formatCode>0.00</c:formatCode>
                <c:ptCount val="5"/>
                <c:pt idx="0">
                  <c:v>68.402850000000001</c:v>
                </c:pt>
                <c:pt idx="1">
                  <c:v>70.356650000000002</c:v>
                </c:pt>
                <c:pt idx="2">
                  <c:v>72.041343749999996</c:v>
                </c:pt>
                <c:pt idx="3">
                  <c:v>73.293743750000004</c:v>
                </c:pt>
                <c:pt idx="4">
                  <c:v>75.321165625000006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CF-4903-9C37-D411CCEB7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20001"/>
        <c:axId val="50020002"/>
      </c:scatterChart>
      <c:valAx>
        <c:axId val="50020001"/>
        <c:scaling>
          <c:orientation val="minMax"/>
        </c:scaling>
        <c:delete val="0"/>
        <c:axPos val="b"/>
        <c:title>
          <c:tx>
            <c:strRef>
              <c:f>Graphs!graph_b_x_title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20002"/>
        <c:crosses val="autoZero"/>
        <c:crossBetween val="midCat"/>
      </c:valAx>
      <c:valAx>
        <c:axId val="50020002"/>
        <c:scaling>
          <c:orientation val="minMax"/>
        </c:scaling>
        <c:delete val="0"/>
        <c:axPos val="l"/>
        <c:majorGridlines/>
        <c:title>
          <c:tx>
            <c:strRef>
              <c:f>Graphs!graph_b_y_title</c:f>
              <c:strCache>
                <c:ptCount val="1"/>
                <c:pt idx="0">
                  <c:v>D2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2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Graphs!graph_c_title</c:f>
          <c:strCache>
            <c:ptCount val="1"/>
            <c:pt idx="0">
              <c:v>Luma End-to-end PSNR (Graph c)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Graphs!graph_c_A_title</c:f>
              <c:strCache>
                <c:ptCount val="1"/>
                <c:pt idx="0">
                  <c:v>tested: rc0.6 (lossy occupancy map, CTC)</c:v>
                </c:pt>
              </c:strCache>
            </c:strRef>
          </c:tx>
          <c:xVal>
            <c:numRef>
              <c:f>Graphs!graph_c_x_range_A</c:f>
              <c:numCache>
                <c:formatCode>0.00</c:formatCode>
                <c:ptCount val="5"/>
                <c:pt idx="0">
                  <c:v>9.6086814388571279E-2</c:v>
                </c:pt>
                <c:pt idx="1">
                  <c:v>0.14909233934915406</c:v>
                </c:pt>
                <c:pt idx="2">
                  <c:v>0.24425880098337063</c:v>
                </c:pt>
                <c:pt idx="3">
                  <c:v>0.42463255889670792</c:v>
                </c:pt>
                <c:pt idx="4">
                  <c:v>0.77477262468093988</c:v>
                </c:pt>
              </c:numCache>
            </c:numRef>
          </c:xVal>
          <c:yVal>
            <c:numRef>
              <c:f>Graphs!graph_c_y_range_A</c:f>
              <c:numCache>
                <c:formatCode>0.00</c:formatCode>
                <c:ptCount val="5"/>
                <c:pt idx="0">
                  <c:v>32.165624999999999</c:v>
                </c:pt>
                <c:pt idx="1">
                  <c:v>34.445496875000003</c:v>
                </c:pt>
                <c:pt idx="2">
                  <c:v>36.986228124999997</c:v>
                </c:pt>
                <c:pt idx="3">
                  <c:v>39.614121875000002</c:v>
                </c:pt>
                <c:pt idx="4">
                  <c:v>42.039612499999997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8B-40DB-BAE9-63E188F7BDEE}"/>
            </c:ext>
          </c:extLst>
        </c:ser>
        <c:ser>
          <c:idx val="1"/>
          <c:order val="1"/>
          <c:tx>
            <c:strRef>
              <c:f>Graphs!graph_c_B_title</c:f>
              <c:strCache>
                <c:ptCount val="1"/>
                <c:pt idx="0">
                  <c:v>tested-rc0.7 (texture padding - spp, CTC)</c:v>
                </c:pt>
              </c:strCache>
            </c:strRef>
          </c:tx>
          <c:xVal>
            <c:numRef>
              <c:f>Graphs!graph_c_x_range_B</c:f>
              <c:numCache>
                <c:formatCode>0.00</c:formatCode>
                <c:ptCount val="5"/>
                <c:pt idx="0">
                  <c:v>9.6086814388571279E-2</c:v>
                </c:pt>
                <c:pt idx="1">
                  <c:v>0.14909233934915406</c:v>
                </c:pt>
                <c:pt idx="2">
                  <c:v>0.24425880098337063</c:v>
                </c:pt>
                <c:pt idx="3">
                  <c:v>0.42463255889670792</c:v>
                </c:pt>
                <c:pt idx="4">
                  <c:v>0.77477262468093988</c:v>
                </c:pt>
              </c:numCache>
            </c:numRef>
          </c:xVal>
          <c:yVal>
            <c:numRef>
              <c:f>Graphs!graph_c_y_range_B</c:f>
              <c:numCache>
                <c:formatCode>0.00</c:formatCode>
                <c:ptCount val="5"/>
                <c:pt idx="0">
                  <c:v>32.165624999999899</c:v>
                </c:pt>
                <c:pt idx="1">
                  <c:v>34.445496874999897</c:v>
                </c:pt>
                <c:pt idx="2">
                  <c:v>36.986228124999897</c:v>
                </c:pt>
                <c:pt idx="3">
                  <c:v>39.614121875000002</c:v>
                </c:pt>
                <c:pt idx="4">
                  <c:v>42.039612499999997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8B-40DB-BAE9-63E188F7BD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0001"/>
        <c:axId val="50030002"/>
      </c:scatterChart>
      <c:valAx>
        <c:axId val="50030001"/>
        <c:scaling>
          <c:orientation val="minMax"/>
        </c:scaling>
        <c:delete val="0"/>
        <c:axPos val="b"/>
        <c:title>
          <c:tx>
            <c:strRef>
              <c:f>Graphs!graph_c_x_title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30002"/>
        <c:crosses val="autoZero"/>
        <c:crossBetween val="midCat"/>
      </c:valAx>
      <c:valAx>
        <c:axId val="50030002"/>
        <c:scaling>
          <c:orientation val="minMax"/>
        </c:scaling>
        <c:delete val="0"/>
        <c:axPos val="l"/>
        <c:majorGridlines/>
        <c:title>
          <c:tx>
            <c:strRef>
              <c:f>Graphs!graph_c_y_title</c:f>
              <c:strCache>
                <c:ptCount val="1"/>
                <c:pt idx="0">
                  <c:v>Luma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3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Graphs!graph_d_title</c:f>
          <c:strCache>
            <c:ptCount val="1"/>
            <c:pt idx="0">
              <c:v>Chroma Cb End-to-end PSNR (Graph d)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Graphs!graph_d_A_title</c:f>
              <c:strCache>
                <c:ptCount val="1"/>
                <c:pt idx="0">
                  <c:v>tested: rc0.6 (lossy occupancy map, CTC)</c:v>
                </c:pt>
              </c:strCache>
            </c:strRef>
          </c:tx>
          <c:xVal>
            <c:numRef>
              <c:f>Graphs!graph_d_x_range_A</c:f>
              <c:numCache>
                <c:formatCode>0.00</c:formatCode>
                <c:ptCount val="5"/>
                <c:pt idx="0">
                  <c:v>9.6086814388571279E-2</c:v>
                </c:pt>
                <c:pt idx="1">
                  <c:v>0.14909233934915406</c:v>
                </c:pt>
                <c:pt idx="2">
                  <c:v>0.24425880098337063</c:v>
                </c:pt>
                <c:pt idx="3">
                  <c:v>0.42463255889670792</c:v>
                </c:pt>
                <c:pt idx="4">
                  <c:v>0.77477262468093988</c:v>
                </c:pt>
              </c:numCache>
            </c:numRef>
          </c:xVal>
          <c:yVal>
            <c:numRef>
              <c:f>Graphs!graph_d_y_range_A</c:f>
              <c:numCache>
                <c:formatCode>0.00</c:formatCode>
                <c:ptCount val="5"/>
                <c:pt idx="0">
                  <c:v>44.153831250000003</c:v>
                </c:pt>
                <c:pt idx="1">
                  <c:v>45.472078125000003</c:v>
                </c:pt>
                <c:pt idx="2">
                  <c:v>46.565628125000003</c:v>
                </c:pt>
                <c:pt idx="3">
                  <c:v>47.886353124999999</c:v>
                </c:pt>
                <c:pt idx="4">
                  <c:v>49.434653124999997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A3-4189-B622-871A1E3A6D5F}"/>
            </c:ext>
          </c:extLst>
        </c:ser>
        <c:ser>
          <c:idx val="1"/>
          <c:order val="1"/>
          <c:tx>
            <c:strRef>
              <c:f>Graphs!graph_d_B_title</c:f>
              <c:strCache>
                <c:ptCount val="1"/>
                <c:pt idx="0">
                  <c:v>tested-rc0.7 (texture padding - spp, CTC)</c:v>
                </c:pt>
              </c:strCache>
            </c:strRef>
          </c:tx>
          <c:xVal>
            <c:numRef>
              <c:f>Graphs!graph_d_x_range_B</c:f>
              <c:numCache>
                <c:formatCode>0.00</c:formatCode>
                <c:ptCount val="5"/>
                <c:pt idx="0">
                  <c:v>9.6086814388571279E-2</c:v>
                </c:pt>
                <c:pt idx="1">
                  <c:v>0.14909233934915406</c:v>
                </c:pt>
                <c:pt idx="2">
                  <c:v>0.24425880098337063</c:v>
                </c:pt>
                <c:pt idx="3">
                  <c:v>0.42463255889670792</c:v>
                </c:pt>
                <c:pt idx="4">
                  <c:v>0.77477262468093988</c:v>
                </c:pt>
              </c:numCache>
            </c:numRef>
          </c:xVal>
          <c:yVal>
            <c:numRef>
              <c:f>Graphs!graph_d_y_range_B</c:f>
              <c:numCache>
                <c:formatCode>0.00</c:formatCode>
                <c:ptCount val="5"/>
                <c:pt idx="0">
                  <c:v>44.153831250000003</c:v>
                </c:pt>
                <c:pt idx="1">
                  <c:v>45.472078124999904</c:v>
                </c:pt>
                <c:pt idx="2">
                  <c:v>46.565628125000003</c:v>
                </c:pt>
                <c:pt idx="3">
                  <c:v>47.886353124999999</c:v>
                </c:pt>
                <c:pt idx="4">
                  <c:v>49.434653124999997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A3-4189-B622-871A1E3A6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40001"/>
        <c:axId val="50040002"/>
      </c:scatterChart>
      <c:valAx>
        <c:axId val="50040001"/>
        <c:scaling>
          <c:orientation val="minMax"/>
        </c:scaling>
        <c:delete val="0"/>
        <c:axPos val="b"/>
        <c:title>
          <c:tx>
            <c:strRef>
              <c:f>Graphs!graph_d_x_title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40002"/>
        <c:crosses val="autoZero"/>
        <c:crossBetween val="midCat"/>
      </c:valAx>
      <c:valAx>
        <c:axId val="50040002"/>
        <c:scaling>
          <c:orientation val="minMax"/>
        </c:scaling>
        <c:delete val="0"/>
        <c:axPos val="l"/>
        <c:majorGridlines/>
        <c:title>
          <c:tx>
            <c:strRef>
              <c:f>Graphs!graph_d_y_title</c:f>
              <c:strCache>
                <c:ptCount val="1"/>
                <c:pt idx="0">
                  <c:v>Chroma Cb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4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Graphs!graph_e_title</c:f>
          <c:strCache>
            <c:ptCount val="1"/>
            <c:pt idx="0">
              <c:v>Chroma Cr End-to-end PSNR (Graph e)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Graphs!graph_e_A_title</c:f>
              <c:strCache>
                <c:ptCount val="1"/>
                <c:pt idx="0">
                  <c:v>tested: rc0.6 (lossy occupancy map, CTC)</c:v>
                </c:pt>
              </c:strCache>
            </c:strRef>
          </c:tx>
          <c:xVal>
            <c:numRef>
              <c:f>Graphs!graph_e_x_range_A</c:f>
              <c:numCache>
                <c:formatCode>0.00</c:formatCode>
                <c:ptCount val="5"/>
                <c:pt idx="0">
                  <c:v>9.6086814388571279E-2</c:v>
                </c:pt>
                <c:pt idx="1">
                  <c:v>0.14909233934915406</c:v>
                </c:pt>
                <c:pt idx="2">
                  <c:v>0.24425880098337063</c:v>
                </c:pt>
                <c:pt idx="3">
                  <c:v>0.42463255889670792</c:v>
                </c:pt>
                <c:pt idx="4">
                  <c:v>0.77477262468093988</c:v>
                </c:pt>
              </c:numCache>
            </c:numRef>
          </c:xVal>
          <c:yVal>
            <c:numRef>
              <c:f>Graphs!graph_e_y_range_A</c:f>
              <c:numCache>
                <c:formatCode>0.00</c:formatCode>
                <c:ptCount val="5"/>
                <c:pt idx="0">
                  <c:v>43.731209374999999</c:v>
                </c:pt>
                <c:pt idx="1">
                  <c:v>45.189937499999999</c:v>
                </c:pt>
                <c:pt idx="2">
                  <c:v>46.444781249999998</c:v>
                </c:pt>
                <c:pt idx="3">
                  <c:v>47.917003125000001</c:v>
                </c:pt>
                <c:pt idx="4">
                  <c:v>49.581253125000003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92-4E32-A536-24C5B0680239}"/>
            </c:ext>
          </c:extLst>
        </c:ser>
        <c:ser>
          <c:idx val="1"/>
          <c:order val="1"/>
          <c:tx>
            <c:strRef>
              <c:f>Graphs!graph_e_B_title</c:f>
              <c:strCache>
                <c:ptCount val="1"/>
                <c:pt idx="0">
                  <c:v>tested-rc0.7 (texture padding - spp, CTC)</c:v>
                </c:pt>
              </c:strCache>
            </c:strRef>
          </c:tx>
          <c:xVal>
            <c:numRef>
              <c:f>Graphs!graph_e_x_range_B</c:f>
              <c:numCache>
                <c:formatCode>0.00</c:formatCode>
                <c:ptCount val="5"/>
                <c:pt idx="0">
                  <c:v>9.6086814388571279E-2</c:v>
                </c:pt>
                <c:pt idx="1">
                  <c:v>0.14909233934915406</c:v>
                </c:pt>
                <c:pt idx="2">
                  <c:v>0.24425880098337063</c:v>
                </c:pt>
                <c:pt idx="3">
                  <c:v>0.42463255889670792</c:v>
                </c:pt>
                <c:pt idx="4">
                  <c:v>0.77477262468093988</c:v>
                </c:pt>
              </c:numCache>
            </c:numRef>
          </c:xVal>
          <c:yVal>
            <c:numRef>
              <c:f>Graphs!graph_e_y_range_B</c:f>
              <c:numCache>
                <c:formatCode>0.00</c:formatCode>
                <c:ptCount val="5"/>
                <c:pt idx="0">
                  <c:v>43.731209374999999</c:v>
                </c:pt>
                <c:pt idx="1">
                  <c:v>45.189937499999999</c:v>
                </c:pt>
                <c:pt idx="2">
                  <c:v>46.444781249999998</c:v>
                </c:pt>
                <c:pt idx="3">
                  <c:v>47.917003124999901</c:v>
                </c:pt>
                <c:pt idx="4">
                  <c:v>49.581253124999897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92-4E32-A536-24C5B06802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50001"/>
        <c:axId val="50050002"/>
      </c:scatterChart>
      <c:valAx>
        <c:axId val="50050001"/>
        <c:scaling>
          <c:orientation val="minMax"/>
        </c:scaling>
        <c:delete val="0"/>
        <c:axPos val="b"/>
        <c:title>
          <c:tx>
            <c:strRef>
              <c:f>Graphs!graph_e_x_title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50002"/>
        <c:crosses val="autoZero"/>
        <c:crossBetween val="midCat"/>
      </c:valAx>
      <c:valAx>
        <c:axId val="50050002"/>
        <c:scaling>
          <c:orientation val="minMax"/>
        </c:scaling>
        <c:delete val="0"/>
        <c:axPos val="l"/>
        <c:majorGridlines/>
        <c:title>
          <c:tx>
            <c:strRef>
              <c:f>Graphs!graph_e_y_title</c:f>
              <c:strCache>
                <c:ptCount val="1"/>
                <c:pt idx="0">
                  <c:v>Chroma Cr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5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Graphs!graph_f_title</c:f>
          <c:strCache>
            <c:ptCount val="1"/>
            <c:pt idx="0">
              <c:v>Reflectance End-to-end PSNR (Graph f)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Graphs!graph_f_A_title</c:f>
              <c:strCache>
                <c:ptCount val="1"/>
                <c:pt idx="0">
                  <c:v>tested: rc0.6 (lossy occupancy map, CTC)</c:v>
                </c:pt>
              </c:strCache>
            </c:strRef>
          </c:tx>
          <c:xVal>
            <c:numRef>
              <c:f>Graphs!graph_f_x_range_A</c:f>
              <c:numCache>
                <c:formatCode>0.00</c:formatCode>
                <c:ptCount val="5"/>
                <c:pt idx="0">
                  <c:v>9.6086814388571279E-2</c:v>
                </c:pt>
                <c:pt idx="1">
                  <c:v>0.14909233934915406</c:v>
                </c:pt>
                <c:pt idx="2">
                  <c:v>0.24425880098337063</c:v>
                </c:pt>
                <c:pt idx="3">
                  <c:v>0.42463255889670792</c:v>
                </c:pt>
                <c:pt idx="4">
                  <c:v>0.77477262468093988</c:v>
                </c:pt>
              </c:numCache>
            </c:numRef>
          </c:xVal>
          <c:yVal>
            <c:numRef>
              <c:f>Graphs!graph_f_y_range_A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8B-4A00-95A9-E37EA0CAEBFA}"/>
            </c:ext>
          </c:extLst>
        </c:ser>
        <c:ser>
          <c:idx val="1"/>
          <c:order val="1"/>
          <c:tx>
            <c:strRef>
              <c:f>Graphs!graph_f_B_title</c:f>
              <c:strCache>
                <c:ptCount val="1"/>
                <c:pt idx="0">
                  <c:v>tested-rc0.7 (texture padding - spp, CTC)</c:v>
                </c:pt>
              </c:strCache>
            </c:strRef>
          </c:tx>
          <c:xVal>
            <c:numRef>
              <c:f>Graphs!graph_f_x_range_B</c:f>
              <c:numCache>
                <c:formatCode>0.00</c:formatCode>
                <c:ptCount val="5"/>
                <c:pt idx="0">
                  <c:v>9.6086814388571279E-2</c:v>
                </c:pt>
                <c:pt idx="1">
                  <c:v>0.14909233934915406</c:v>
                </c:pt>
                <c:pt idx="2">
                  <c:v>0.24425880098337063</c:v>
                </c:pt>
                <c:pt idx="3">
                  <c:v>0.42463255889670792</c:v>
                </c:pt>
                <c:pt idx="4">
                  <c:v>0.77477262468093988</c:v>
                </c:pt>
              </c:numCache>
            </c:numRef>
          </c:xVal>
          <c:yVal>
            <c:numRef>
              <c:f>Graphs!graph_f_y_range_B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8B-4A00-95A9-E37EA0CAEB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60001"/>
        <c:axId val="50060002"/>
      </c:scatterChart>
      <c:valAx>
        <c:axId val="50060001"/>
        <c:scaling>
          <c:orientation val="minMax"/>
        </c:scaling>
        <c:delete val="0"/>
        <c:axPos val="b"/>
        <c:title>
          <c:tx>
            <c:strRef>
              <c:f>Graphs!graph_f_x_title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60002"/>
        <c:crosses val="autoZero"/>
        <c:crossBetween val="midCat"/>
      </c:valAx>
      <c:valAx>
        <c:axId val="50060002"/>
        <c:scaling>
          <c:orientation val="minMax"/>
        </c:scaling>
        <c:delete val="0"/>
        <c:axPos val="l"/>
        <c:majorGridlines/>
        <c:title>
          <c:tx>
            <c:strRef>
              <c:f>Graphs!graph_f_y_title</c:f>
              <c:strCache>
                <c:ptCount val="1"/>
                <c:pt idx="0">
                  <c:v>Reflectance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5006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7</xdr:col>
      <xdr:colOff>276225</xdr:colOff>
      <xdr:row>30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9</xdr:row>
      <xdr:rowOff>0</xdr:rowOff>
    </xdr:from>
    <xdr:to>
      <xdr:col>18</xdr:col>
      <xdr:colOff>257175</xdr:colOff>
      <xdr:row>30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31</xdr:row>
      <xdr:rowOff>0</xdr:rowOff>
    </xdr:from>
    <xdr:to>
      <xdr:col>7</xdr:col>
      <xdr:colOff>276225</xdr:colOff>
      <xdr:row>52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31</xdr:row>
      <xdr:rowOff>0</xdr:rowOff>
    </xdr:from>
    <xdr:to>
      <xdr:col>18</xdr:col>
      <xdr:colOff>257175</xdr:colOff>
      <xdr:row>52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0</xdr:colOff>
      <xdr:row>31</xdr:row>
      <xdr:rowOff>0</xdr:rowOff>
    </xdr:from>
    <xdr:to>
      <xdr:col>30</xdr:col>
      <xdr:colOff>152400</xdr:colOff>
      <xdr:row>52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0</xdr:colOff>
      <xdr:row>9</xdr:row>
      <xdr:rowOff>0</xdr:rowOff>
    </xdr:from>
    <xdr:to>
      <xdr:col>30</xdr:col>
      <xdr:colOff>152400</xdr:colOff>
      <xdr:row>30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L44"/>
  <sheetViews>
    <sheetView workbookViewId="0">
      <selection activeCell="C3" sqref="C3"/>
    </sheetView>
  </sheetViews>
  <sheetFormatPr defaultRowHeight="15" x14ac:dyDescent="0.25"/>
  <cols>
    <col min="2" max="2" width="16.7109375" customWidth="1"/>
    <col min="3" max="12" width="24.7109375" customWidth="1"/>
  </cols>
  <sheetData>
    <row r="1" spans="2:12" x14ac:dyDescent="0.25">
      <c r="B1" t="s">
        <v>0</v>
      </c>
      <c r="C1" s="80" t="s">
        <v>548</v>
      </c>
      <c r="D1" s="80"/>
      <c r="E1" s="80"/>
    </row>
    <row r="2" spans="2:12" x14ac:dyDescent="0.25">
      <c r="B2" t="s">
        <v>1</v>
      </c>
      <c r="C2" s="81" t="s">
        <v>549</v>
      </c>
      <c r="D2" s="81"/>
      <c r="E2" s="81"/>
    </row>
    <row r="4" spans="2:12" s="1" customFormat="1" x14ac:dyDescent="0.25">
      <c r="B4" s="1" t="s">
        <v>294</v>
      </c>
    </row>
    <row r="6" spans="2:12" x14ac:dyDescent="0.25">
      <c r="B6" s="76" t="s">
        <v>295</v>
      </c>
      <c r="C6" s="77" t="s">
        <v>296</v>
      </c>
      <c r="D6" s="77"/>
      <c r="E6" s="77"/>
      <c r="F6" s="77"/>
      <c r="G6" s="77"/>
      <c r="H6" s="77"/>
      <c r="I6" s="77"/>
      <c r="J6" s="77"/>
      <c r="K6" s="77"/>
      <c r="L6" s="77"/>
    </row>
    <row r="7" spans="2:12" x14ac:dyDescent="0.25">
      <c r="B7" s="76"/>
      <c r="C7" s="78" t="s">
        <v>235</v>
      </c>
      <c r="D7" s="78"/>
      <c r="E7" s="79" t="s">
        <v>240</v>
      </c>
      <c r="F7" s="79"/>
      <c r="G7" s="79"/>
      <c r="H7" s="78" t="s">
        <v>247</v>
      </c>
      <c r="I7" s="78"/>
      <c r="J7" s="79" t="s">
        <v>252</v>
      </c>
      <c r="K7" s="79"/>
      <c r="L7" s="79"/>
    </row>
    <row r="8" spans="2:12" x14ac:dyDescent="0.25">
      <c r="B8" s="76"/>
      <c r="C8" s="2" t="s">
        <v>152</v>
      </c>
      <c r="D8" s="2" t="s">
        <v>155</v>
      </c>
      <c r="E8" s="3" t="s">
        <v>159</v>
      </c>
      <c r="F8" s="3" t="s">
        <v>162</v>
      </c>
      <c r="G8" s="3" t="s">
        <v>165</v>
      </c>
      <c r="H8" s="2" t="s">
        <v>152</v>
      </c>
      <c r="I8" s="2" t="s">
        <v>155</v>
      </c>
      <c r="J8" s="3" t="s">
        <v>159</v>
      </c>
      <c r="K8" s="3" t="s">
        <v>162</v>
      </c>
      <c r="L8" s="3" t="s">
        <v>165</v>
      </c>
    </row>
    <row r="9" spans="2:12" x14ac:dyDescent="0.25">
      <c r="B9" s="4" t="s">
        <v>286</v>
      </c>
      <c r="C9" s="5">
        <f>'C2 lossyG,lossyA,intra'!$BI$30:$BI$30</f>
        <v>6.9755153607372236E-5</v>
      </c>
      <c r="D9" s="5">
        <f>'C2 lossyG,lossyA,intra'!$BJ$30:$BJ$30</f>
        <v>6.5972674978024656E-5</v>
      </c>
      <c r="E9" s="5">
        <f>'C2 lossyG,lossyA,intra'!$BK$30:$BK$30</f>
        <v>1.5109543045325561E-5</v>
      </c>
      <c r="F9" s="5">
        <f>'C2 lossyG,lossyA,intra'!$BL$30:$BL$30</f>
        <v>1.4059285291449323E-5</v>
      </c>
      <c r="G9" s="5">
        <f>'C2 lossyG,lossyA,intra'!$BM$30:$BM$30</f>
        <v>1.4654355614022544E-5</v>
      </c>
      <c r="H9" s="5">
        <f>'C2 lossyG,lossyA,intra'!$BO$30:$BO$30</f>
        <v>1.0732155904709847E-14</v>
      </c>
      <c r="I9" s="5">
        <f>'C2 lossyG,lossyA,intra'!$BP$30:$BP$30</f>
        <v>6.9573976209843141E-15</v>
      </c>
      <c r="J9" s="5">
        <f>'C2 lossyG,lossyA,intra'!$BQ$30:$BQ$30</f>
        <v>5.5511151231257827E-15</v>
      </c>
      <c r="K9" s="5">
        <f>'C2 lossyG,lossyA,intra'!$BR$30:$BR$30</f>
        <v>1.495100339828544E-14</v>
      </c>
      <c r="L9" s="5">
        <f>'C2 lossyG,lossyA,intra'!$BS$30:$BS$30</f>
        <v>1.0880185641326534E-14</v>
      </c>
    </row>
    <row r="10" spans="2:12" x14ac:dyDescent="0.25">
      <c r="B10" s="4" t="s">
        <v>287</v>
      </c>
      <c r="C10" s="5">
        <f>'C2 lossyG,lossyA,intra'!$BI$31:$BI$31</f>
        <v>7.5783582025534812E-5</v>
      </c>
      <c r="D10" s="5">
        <f>'C2 lossyG,lossyA,intra'!$BJ$31:$BJ$31</f>
        <v>7.1513072314344228E-5</v>
      </c>
      <c r="E10" s="5">
        <f>'C2 lossyG,lossyA,intra'!$BK$31:$BK$31</f>
        <v>6.7901963176630886E-6</v>
      </c>
      <c r="F10" s="5">
        <f>'C2 lossyG,lossyA,intra'!$BL$31:$BL$31</f>
        <v>5.4158572579954267E-6</v>
      </c>
      <c r="G10" s="5">
        <f>'C2 lossyG,lossyA,intra'!$BM$31:$BM$31</f>
        <v>5.7683784151496553E-6</v>
      </c>
      <c r="H10" s="5">
        <f>'C2 lossyG,lossyA,intra'!$BO$31:$BO$31</f>
        <v>1.8429702208777599E-14</v>
      </c>
      <c r="I10" s="5">
        <f>'C2 lossyG,lossyA,intra'!$BP$31:$BP$31</f>
        <v>1.4210854715202004E-14</v>
      </c>
      <c r="J10" s="5">
        <f>'C2 lossyG,lossyA,intra'!$BQ$31:$BQ$31</f>
        <v>1.0880185641326534E-14</v>
      </c>
      <c r="K10" s="5">
        <f>'C2 lossyG,lossyA,intra'!$BR$31:$BR$31</f>
        <v>3.5971225997855072E-14</v>
      </c>
      <c r="L10" s="5">
        <f>'C2 lossyG,lossyA,intra'!$BS$31:$BS$31</f>
        <v>1.8207657603852567E-14</v>
      </c>
    </row>
    <row r="11" spans="2:12" x14ac:dyDescent="0.25">
      <c r="B11" s="6" t="s">
        <v>288</v>
      </c>
      <c r="C11" s="7">
        <f>'C2 lossyG,lossyA,intra'!$BI$32:$BI$32</f>
        <v>7.1262260711912884E-5</v>
      </c>
      <c r="D11" s="7">
        <f>'C2 lossyG,lossyA,intra'!$BJ$32:$BJ$32</f>
        <v>6.7357774312104546E-5</v>
      </c>
      <c r="E11" s="7">
        <f>'C2 lossyG,lossyA,intra'!$BK$32:$BK$32</f>
        <v>1.3029706363409943E-5</v>
      </c>
      <c r="F11" s="7">
        <f>'C2 lossyG,lossyA,intra'!$BL$32:$BL$32</f>
        <v>1.1898428283085849E-5</v>
      </c>
      <c r="G11" s="7">
        <f>'C2 lossyG,lossyA,intra'!$BM$32:$BM$32</f>
        <v>1.2432861314304322E-5</v>
      </c>
      <c r="H11" s="7">
        <f>'C2 lossyG,lossyA,intra'!$BO$32:$BO$32</f>
        <v>1.2656542480726785E-14</v>
      </c>
      <c r="I11" s="7">
        <f>'C2 lossyG,lossyA,intra'!$BP$32:$BP$32</f>
        <v>8.7707618945387367E-15</v>
      </c>
      <c r="J11" s="7">
        <f>'C2 lossyG,lossyA,intra'!$BQ$32:$BQ$32</f>
        <v>6.8833827526759706E-15</v>
      </c>
      <c r="K11" s="7">
        <f>'C2 lossyG,lossyA,intra'!$BR$32:$BR$32</f>
        <v>2.0206059048177849E-14</v>
      </c>
      <c r="L11" s="7">
        <f>'C2 lossyG,lossyA,intra'!$BS$32:$BS$32</f>
        <v>1.2712053631958042E-14</v>
      </c>
    </row>
    <row r="12" spans="2:12" x14ac:dyDescent="0.25">
      <c r="B12" t="s">
        <v>297</v>
      </c>
      <c r="C12" s="74" t="e">
        <f>'C2 lossyG,lossyA,intra'!AZ36</f>
        <v>#NUM!</v>
      </c>
      <c r="D12" s="74"/>
      <c r="E12" s="74"/>
      <c r="F12" s="74"/>
      <c r="G12" s="74"/>
      <c r="H12" s="74"/>
      <c r="I12" s="74"/>
      <c r="J12" s="74"/>
      <c r="K12" s="74"/>
      <c r="L12" s="74"/>
    </row>
    <row r="13" spans="2:12" x14ac:dyDescent="0.25">
      <c r="B13" s="9" t="s">
        <v>298</v>
      </c>
      <c r="C13" s="75" t="e">
        <f>'C2 lossyG,lossyA,intra'!BB36</f>
        <v>#NUM!</v>
      </c>
      <c r="D13" s="75"/>
      <c r="E13" s="75"/>
      <c r="F13" s="75"/>
      <c r="G13" s="75"/>
      <c r="H13" s="75"/>
      <c r="I13" s="75"/>
      <c r="J13" s="75"/>
      <c r="K13" s="75"/>
      <c r="L13" s="75"/>
    </row>
    <row r="15" spans="2:12" x14ac:dyDescent="0.25">
      <c r="B15" s="76" t="s">
        <v>379</v>
      </c>
      <c r="C15" s="77" t="s">
        <v>380</v>
      </c>
      <c r="D15" s="77"/>
      <c r="E15" s="77"/>
    </row>
    <row r="16" spans="2:12" x14ac:dyDescent="0.25">
      <c r="B16" s="76"/>
      <c r="C16" s="78" t="s">
        <v>355</v>
      </c>
      <c r="D16" s="78"/>
      <c r="E16" s="78"/>
    </row>
    <row r="17" spans="2:5" x14ac:dyDescent="0.25">
      <c r="B17" s="76"/>
      <c r="C17" s="2" t="s">
        <v>122</v>
      </c>
      <c r="D17" s="2" t="s">
        <v>116</v>
      </c>
      <c r="E17" s="2" t="s">
        <v>148</v>
      </c>
    </row>
    <row r="18" spans="2:5" x14ac:dyDescent="0.25">
      <c r="B18" s="4" t="s">
        <v>286</v>
      </c>
      <c r="C18" s="5" t="e">
        <f>'CW losslG,losslA,intra'!BC10</f>
        <v>#DIV/0!</v>
      </c>
      <c r="D18" s="5" t="e">
        <f>'CW losslG,losslA,intra'!BB10</f>
        <v>#DIV/0!</v>
      </c>
      <c r="E18" s="5" t="e">
        <f>'CW losslG,losslA,intra'!BD10</f>
        <v>#DIV/0!</v>
      </c>
    </row>
    <row r="19" spans="2:5" x14ac:dyDescent="0.25">
      <c r="B19" s="4" t="s">
        <v>287</v>
      </c>
      <c r="C19" s="5" t="e">
        <f>'CW losslG,losslA,intra'!BC11</f>
        <v>#DIV/0!</v>
      </c>
      <c r="D19" s="5" t="e">
        <f>'CW losslG,losslA,intra'!BB11</f>
        <v>#DIV/0!</v>
      </c>
      <c r="E19" s="5" t="e">
        <f>'CW losslG,losslA,intra'!BD11</f>
        <v>#DIV/0!</v>
      </c>
    </row>
    <row r="20" spans="2:5" x14ac:dyDescent="0.25">
      <c r="B20" s="6" t="s">
        <v>288</v>
      </c>
      <c r="C20" s="7" t="e">
        <f>'CW losslG,losslA,intra'!BC12</f>
        <v>#DIV/0!</v>
      </c>
      <c r="D20" s="7" t="e">
        <f>'CW losslG,losslA,intra'!BB12</f>
        <v>#DIV/0!</v>
      </c>
      <c r="E20" s="7" t="e">
        <f>'CW losslG,losslA,intra'!BD12</f>
        <v>#DIV/0!</v>
      </c>
    </row>
    <row r="21" spans="2:5" x14ac:dyDescent="0.25">
      <c r="B21" t="s">
        <v>297</v>
      </c>
      <c r="C21" s="74" t="e">
        <f>'CW losslG,losslA,intra'!AW16</f>
        <v>#NUM!</v>
      </c>
      <c r="D21" s="74"/>
      <c r="E21" s="74"/>
    </row>
    <row r="22" spans="2:5" x14ac:dyDescent="0.25">
      <c r="B22" s="9" t="s">
        <v>298</v>
      </c>
      <c r="C22" s="75" t="e">
        <f>'CW losslG,losslA,intra'!AY16</f>
        <v>#NUM!</v>
      </c>
      <c r="D22" s="75"/>
      <c r="E22" s="75"/>
    </row>
    <row r="24" spans="2:5" s="1" customFormat="1" x14ac:dyDescent="0.25">
      <c r="B24" s="1" t="s">
        <v>454</v>
      </c>
    </row>
    <row r="26" spans="2:5" x14ac:dyDescent="0.25">
      <c r="B26" s="76" t="s">
        <v>455</v>
      </c>
      <c r="C26" s="77" t="s">
        <v>456</v>
      </c>
      <c r="D26" s="77"/>
      <c r="E26" s="77"/>
    </row>
    <row r="27" spans="2:5" x14ac:dyDescent="0.25">
      <c r="B27" s="76"/>
      <c r="C27" s="78" t="s">
        <v>355</v>
      </c>
      <c r="D27" s="78"/>
      <c r="E27" s="78"/>
    </row>
    <row r="28" spans="2:5" x14ac:dyDescent="0.25">
      <c r="B28" s="76"/>
      <c r="C28" s="2" t="s">
        <v>116</v>
      </c>
      <c r="D28" s="2" t="s">
        <v>122</v>
      </c>
      <c r="E28" s="2" t="s">
        <v>148</v>
      </c>
    </row>
    <row r="29" spans="2:5" x14ac:dyDescent="0.25">
      <c r="B29" s="4" t="s">
        <v>286</v>
      </c>
      <c r="C29" s="5" t="e">
        <f>'CW losslG,losslA,interLD'!BB10</f>
        <v>#DIV/0!</v>
      </c>
      <c r="D29" s="5" t="e">
        <f>'CW losslG,losslA,interLD'!BC10</f>
        <v>#DIV/0!</v>
      </c>
      <c r="E29" s="5" t="e">
        <f>'CW losslG,losslA,interLD'!BD10</f>
        <v>#DIV/0!</v>
      </c>
    </row>
    <row r="30" spans="2:5" x14ac:dyDescent="0.25">
      <c r="B30" s="4" t="s">
        <v>287</v>
      </c>
      <c r="C30" s="5" t="e">
        <f>'CW losslG,losslA,interLD'!BB11</f>
        <v>#DIV/0!</v>
      </c>
      <c r="D30" s="5" t="e">
        <f>'CW losslG,losslA,interLD'!BC11</f>
        <v>#DIV/0!</v>
      </c>
      <c r="E30" s="5" t="e">
        <f>'CW losslG,losslA,interLD'!BD11</f>
        <v>#DIV/0!</v>
      </c>
    </row>
    <row r="31" spans="2:5" x14ac:dyDescent="0.25">
      <c r="B31" s="6" t="s">
        <v>288</v>
      </c>
      <c r="C31" s="7" t="e">
        <f>'CW losslG,losslA,interLD'!BB12</f>
        <v>#DIV/0!</v>
      </c>
      <c r="D31" s="7" t="e">
        <f>'CW losslG,losslA,interLD'!BC12</f>
        <v>#DIV/0!</v>
      </c>
      <c r="E31" s="7" t="e">
        <f>'CW losslG,losslA,interLD'!BD12</f>
        <v>#DIV/0!</v>
      </c>
    </row>
    <row r="32" spans="2:5" x14ac:dyDescent="0.25">
      <c r="B32" t="s">
        <v>297</v>
      </c>
      <c r="C32" s="74" t="e">
        <f>'CW losslG,losslA,interLD'!AW16</f>
        <v>#NUM!</v>
      </c>
      <c r="D32" s="74"/>
      <c r="E32" s="74"/>
    </row>
    <row r="33" spans="2:12" x14ac:dyDescent="0.25">
      <c r="B33" s="9" t="s">
        <v>298</v>
      </c>
      <c r="C33" s="75" t="e">
        <f>'CW losslG,losslA,interLD'!AY16</f>
        <v>#NUM!</v>
      </c>
      <c r="D33" s="75"/>
      <c r="E33" s="75"/>
    </row>
    <row r="35" spans="2:12" s="1" customFormat="1" x14ac:dyDescent="0.25">
      <c r="B35" s="1" t="s">
        <v>541</v>
      </c>
    </row>
    <row r="37" spans="2:12" x14ac:dyDescent="0.25">
      <c r="B37" s="76" t="s">
        <v>542</v>
      </c>
      <c r="C37" s="77" t="s">
        <v>543</v>
      </c>
      <c r="D37" s="77"/>
      <c r="E37" s="77"/>
      <c r="F37" s="77"/>
      <c r="G37" s="77"/>
      <c r="H37" s="77"/>
      <c r="I37" s="77"/>
      <c r="J37" s="77"/>
      <c r="K37" s="77"/>
      <c r="L37" s="77"/>
    </row>
    <row r="38" spans="2:12" x14ac:dyDescent="0.25">
      <c r="B38" s="76"/>
      <c r="C38" s="78" t="s">
        <v>235</v>
      </c>
      <c r="D38" s="78"/>
      <c r="E38" s="79" t="s">
        <v>240</v>
      </c>
      <c r="F38" s="79"/>
      <c r="G38" s="79"/>
      <c r="H38" s="78" t="s">
        <v>247</v>
      </c>
      <c r="I38" s="78"/>
      <c r="J38" s="79" t="s">
        <v>252</v>
      </c>
      <c r="K38" s="79"/>
      <c r="L38" s="79"/>
    </row>
    <row r="39" spans="2:12" x14ac:dyDescent="0.25">
      <c r="B39" s="76"/>
      <c r="C39" s="2" t="s">
        <v>152</v>
      </c>
      <c r="D39" s="2" t="s">
        <v>155</v>
      </c>
      <c r="E39" s="3" t="s">
        <v>159</v>
      </c>
      <c r="F39" s="3" t="s">
        <v>162</v>
      </c>
      <c r="G39" s="3" t="s">
        <v>165</v>
      </c>
      <c r="H39" s="2" t="s">
        <v>152</v>
      </c>
      <c r="I39" s="2" t="s">
        <v>155</v>
      </c>
      <c r="J39" s="3" t="s">
        <v>159</v>
      </c>
      <c r="K39" s="3" t="s">
        <v>162</v>
      </c>
      <c r="L39" s="3" t="s">
        <v>165</v>
      </c>
    </row>
    <row r="40" spans="2:12" x14ac:dyDescent="0.25">
      <c r="B40" s="4" t="s">
        <v>286</v>
      </c>
      <c r="C40" s="5">
        <f>'C2 lossyG,lossyA,interRA'!$BI$30:$BI$30</f>
        <v>9.5069874539888133E-5</v>
      </c>
      <c r="D40" s="5">
        <f>'C2 lossyG,lossyA,interRA'!$BJ$30:$BJ$30</f>
        <v>9.0632132572284377E-5</v>
      </c>
      <c r="E40" s="5">
        <f>'C2 lossyG,lossyA,interRA'!$BK$30:$BK$30</f>
        <v>6.8741151547202506E-5</v>
      </c>
      <c r="F40" s="5">
        <f>'C2 lossyG,lossyA,interRA'!$BL$30:$BL$30</f>
        <v>6.1546602549829757E-5</v>
      </c>
      <c r="G40" s="5">
        <f>'C2 lossyG,lossyA,interRA'!$BM$30:$BM$30</f>
        <v>6.6153815592458656E-5</v>
      </c>
      <c r="H40" s="5">
        <f>'C2 lossyG,lossyA,interRA'!$BO$30:$BO$30</f>
        <v>9.3998882751596592E-15</v>
      </c>
      <c r="I40" s="5">
        <f>'C2 lossyG,lossyA,interRA'!$BP$30:$BP$30</f>
        <v>1.0288066694859784E-14</v>
      </c>
      <c r="J40" s="5">
        <f>'C2 lossyG,lossyA,interRA'!$BQ$30:$BQ$30</f>
        <v>4.8849813083506888E-15</v>
      </c>
      <c r="K40" s="5">
        <f>'C2 lossyG,lossyA,interRA'!$BR$30:$BR$30</f>
        <v>7.9936057773011271E-15</v>
      </c>
      <c r="L40" s="5">
        <f>'C2 lossyG,lossyA,interRA'!$BS$30:$BS$30</f>
        <v>5.9952043329758453E-15</v>
      </c>
    </row>
    <row r="41" spans="2:12" x14ac:dyDescent="0.25">
      <c r="B41" s="4" t="s">
        <v>287</v>
      </c>
      <c r="C41" s="5">
        <f>'C2 lossyG,lossyA,interRA'!$BI$31:$BI$31</f>
        <v>8.4623386176874149E-5</v>
      </c>
      <c r="D41" s="5">
        <f>'C2 lossyG,lossyA,interRA'!$BJ$31:$BJ$31</f>
        <v>8.0051981318218779E-5</v>
      </c>
      <c r="E41" s="5">
        <f>'C2 lossyG,lossyA,interRA'!$BK$31:$BK$31</f>
        <v>2.0550688687448471E-5</v>
      </c>
      <c r="F41" s="5">
        <f>'C2 lossyG,lossyA,interRA'!$BL$31:$BL$31</f>
        <v>1.9276611437524238E-5</v>
      </c>
      <c r="G41" s="5">
        <f>'C2 lossyG,lossyA,interRA'!$BM$31:$BM$31</f>
        <v>2.055641290055199E-5</v>
      </c>
      <c r="H41" s="5">
        <f>'C2 lossyG,lossyA,interRA'!$BO$31:$BO$31</f>
        <v>3.1086244689504383E-15</v>
      </c>
      <c r="I41" s="5">
        <f>'C2 lossyG,lossyA,interRA'!$BP$31:$BP$31</f>
        <v>9.5479180117763462E-15</v>
      </c>
      <c r="J41" s="5">
        <f>'C2 lossyG,lossyA,interRA'!$BQ$31:$BQ$31</f>
        <v>6.8833827526759706E-15</v>
      </c>
      <c r="K41" s="5">
        <f>'C2 lossyG,lossyA,interRA'!$BR$31:$BR$31</f>
        <v>2.6645352591003757E-15</v>
      </c>
      <c r="L41" s="5">
        <f>'C2 lossyG,lossyA,interRA'!$BS$31:$BS$31</f>
        <v>3.1308289294429414E-14</v>
      </c>
    </row>
    <row r="42" spans="2:12" x14ac:dyDescent="0.25">
      <c r="B42" s="6" t="s">
        <v>288</v>
      </c>
      <c r="C42" s="7">
        <f>'C2 lossyG,lossyA,interRA'!$BI$32:$BI$32</f>
        <v>9.2458252449134637E-5</v>
      </c>
      <c r="D42" s="7">
        <f>'C2 lossyG,lossyA,interRA'!$BJ$32:$BJ$32</f>
        <v>8.7987094758767981E-5</v>
      </c>
      <c r="E42" s="7">
        <f>'C2 lossyG,lossyA,interRA'!$BK$32:$BK$32</f>
        <v>5.6693535832263997E-5</v>
      </c>
      <c r="F42" s="7">
        <f>'C2 lossyG,lossyA,interRA'!$BL$32:$BL$32</f>
        <v>5.0979104771753381E-5</v>
      </c>
      <c r="G42" s="7">
        <f>'C2 lossyG,lossyA,interRA'!$BM$32:$BM$32</f>
        <v>5.4754464919481993E-5</v>
      </c>
      <c r="H42" s="7">
        <f>'C2 lossyG,lossyA,interRA'!$BO$32:$BO$32</f>
        <v>7.8270723236073536E-15</v>
      </c>
      <c r="I42" s="7">
        <f>'C2 lossyG,lossyA,interRA'!$BP$32:$BP$32</f>
        <v>1.0103029524088925E-14</v>
      </c>
      <c r="J42" s="7">
        <f>'C2 lossyG,lossyA,interRA'!$BQ$32:$BQ$32</f>
        <v>5.3845816694320092E-15</v>
      </c>
      <c r="K42" s="7">
        <f>'C2 lossyG,lossyA,interRA'!$BR$32:$BR$32</f>
        <v>6.6613381477509392E-15</v>
      </c>
      <c r="L42" s="7">
        <f>'C2 lossyG,lossyA,interRA'!$BS$32:$BS$32</f>
        <v>1.2323475573339238E-14</v>
      </c>
    </row>
    <row r="43" spans="2:12" x14ac:dyDescent="0.25">
      <c r="B43" t="s">
        <v>297</v>
      </c>
      <c r="C43" s="74" t="e">
        <f>'C2 lossyG,lossyA,interRA'!AZ36</f>
        <v>#NUM!</v>
      </c>
      <c r="D43" s="74"/>
      <c r="E43" s="74"/>
      <c r="F43" s="74"/>
      <c r="G43" s="74"/>
      <c r="H43" s="74"/>
      <c r="I43" s="74"/>
      <c r="J43" s="74"/>
      <c r="K43" s="74"/>
      <c r="L43" s="74"/>
    </row>
    <row r="44" spans="2:12" x14ac:dyDescent="0.25">
      <c r="B44" s="9" t="s">
        <v>298</v>
      </c>
      <c r="C44" s="75" t="e">
        <f>'C2 lossyG,lossyA,interRA'!BB36</f>
        <v>#NUM!</v>
      </c>
      <c r="D44" s="75"/>
      <c r="E44" s="75"/>
      <c r="F44" s="75"/>
      <c r="G44" s="75"/>
      <c r="H44" s="75"/>
      <c r="I44" s="75"/>
      <c r="J44" s="75"/>
      <c r="K44" s="75"/>
      <c r="L44" s="75"/>
    </row>
  </sheetData>
  <mergeCells count="28">
    <mergeCell ref="C1:E1"/>
    <mergeCell ref="C2:E2"/>
    <mergeCell ref="B6:B8"/>
    <mergeCell ref="C6:L6"/>
    <mergeCell ref="C7:D7"/>
    <mergeCell ref="E7:G7"/>
    <mergeCell ref="H7:I7"/>
    <mergeCell ref="J7:L7"/>
    <mergeCell ref="C12:L12"/>
    <mergeCell ref="C13:L13"/>
    <mergeCell ref="B15:B17"/>
    <mergeCell ref="C15:E15"/>
    <mergeCell ref="C16:E16"/>
    <mergeCell ref="C21:E21"/>
    <mergeCell ref="C22:E22"/>
    <mergeCell ref="B26:B28"/>
    <mergeCell ref="C26:E26"/>
    <mergeCell ref="C27:E27"/>
    <mergeCell ref="C43:L43"/>
    <mergeCell ref="C44:L44"/>
    <mergeCell ref="C32:E32"/>
    <mergeCell ref="C33:E33"/>
    <mergeCell ref="B37:B39"/>
    <mergeCell ref="C37:L37"/>
    <mergeCell ref="C38:D38"/>
    <mergeCell ref="E38:G38"/>
    <mergeCell ref="H38:I38"/>
    <mergeCell ref="J38:L38"/>
  </mergeCells>
  <conditionalFormatting sqref="C18 C19 C20">
    <cfRule type="cellIs" dxfId="105" priority="23" operator="greaterThanOrEqual">
      <formula>1.03</formula>
    </cfRule>
    <cfRule type="cellIs" dxfId="104" priority="24" operator="lessThanOrEqual">
      <formula>0.97</formula>
    </cfRule>
  </conditionalFormatting>
  <conditionalFormatting sqref="C29 C30 C31">
    <cfRule type="cellIs" dxfId="103" priority="29" operator="greaterThanOrEqual">
      <formula>1.03</formula>
    </cfRule>
    <cfRule type="cellIs" dxfId="102" priority="30" operator="lessThanOrEqual">
      <formula>0.97</formula>
    </cfRule>
  </conditionalFormatting>
  <conditionalFormatting sqref="C40 C41 C42">
    <cfRule type="cellIs" dxfId="101" priority="35" operator="greaterThanOrEqual">
      <formula>0.03</formula>
    </cfRule>
    <cfRule type="cellIs" dxfId="100" priority="36" operator="lessThanOrEqual">
      <formula>-0.03</formula>
    </cfRule>
  </conditionalFormatting>
  <conditionalFormatting sqref="C9 C10 C11">
    <cfRule type="cellIs" dxfId="99" priority="1" operator="greaterThanOrEqual">
      <formula>0.03</formula>
    </cfRule>
    <cfRule type="cellIs" dxfId="98" priority="2" operator="lessThanOrEqual">
      <formula>-0.03</formula>
    </cfRule>
  </conditionalFormatting>
  <conditionalFormatting sqref="D18 D19 D20">
    <cfRule type="cellIs" dxfId="97" priority="25" operator="greaterThanOrEqual">
      <formula>1.03</formula>
    </cfRule>
    <cfRule type="cellIs" dxfId="96" priority="26" operator="lessThanOrEqual">
      <formula>0.97</formula>
    </cfRule>
  </conditionalFormatting>
  <conditionalFormatting sqref="D29 D30 D31">
    <cfRule type="cellIs" dxfId="95" priority="31" operator="greaterThanOrEqual">
      <formula>1.03</formula>
    </cfRule>
    <cfRule type="cellIs" dxfId="94" priority="32" operator="lessThanOrEqual">
      <formula>0.97</formula>
    </cfRule>
  </conditionalFormatting>
  <conditionalFormatting sqref="D40 D41 D42">
    <cfRule type="cellIs" dxfId="93" priority="33" operator="greaterThanOrEqual">
      <formula>0.03</formula>
    </cfRule>
    <cfRule type="cellIs" dxfId="92" priority="34" operator="lessThanOrEqual">
      <formula>-0.03</formula>
    </cfRule>
  </conditionalFormatting>
  <conditionalFormatting sqref="D9 D10 D11">
    <cfRule type="cellIs" dxfId="91" priority="7" operator="greaterThanOrEqual">
      <formula>0.03</formula>
    </cfRule>
    <cfRule type="cellIs" dxfId="90" priority="8" operator="lessThanOrEqual">
      <formula>-0.03</formula>
    </cfRule>
  </conditionalFormatting>
  <conditionalFormatting sqref="E18 E19 E20">
    <cfRule type="cellIs" dxfId="89" priority="21" operator="greaterThanOrEqual">
      <formula>1.03</formula>
    </cfRule>
    <cfRule type="cellIs" dxfId="88" priority="22" operator="lessThanOrEqual">
      <formula>0.97</formula>
    </cfRule>
  </conditionalFormatting>
  <conditionalFormatting sqref="E29 E30 E31">
    <cfRule type="cellIs" dxfId="87" priority="27" operator="greaterThanOrEqual">
      <formula>1.03</formula>
    </cfRule>
    <cfRule type="cellIs" dxfId="86" priority="28" operator="lessThanOrEqual">
      <formula>0.97</formula>
    </cfRule>
  </conditionalFormatting>
  <conditionalFormatting sqref="E40 E41 E42">
    <cfRule type="cellIs" dxfId="85" priority="43" operator="greaterThanOrEqual">
      <formula>0.03</formula>
    </cfRule>
    <cfRule type="cellIs" dxfId="84" priority="44" operator="lessThanOrEqual">
      <formula>-0.03</formula>
    </cfRule>
  </conditionalFormatting>
  <conditionalFormatting sqref="E9 E10 E11">
    <cfRule type="cellIs" dxfId="83" priority="19" operator="greaterThanOrEqual">
      <formula>0.03</formula>
    </cfRule>
    <cfRule type="cellIs" dxfId="82" priority="20" operator="lessThanOrEqual">
      <formula>-0.03</formula>
    </cfRule>
  </conditionalFormatting>
  <conditionalFormatting sqref="F40 F41 F42">
    <cfRule type="cellIs" dxfId="81" priority="47" operator="greaterThanOrEqual">
      <formula>0.03</formula>
    </cfRule>
    <cfRule type="cellIs" dxfId="80" priority="48" operator="lessThanOrEqual">
      <formula>-0.03</formula>
    </cfRule>
  </conditionalFormatting>
  <conditionalFormatting sqref="F9 F10 F11">
    <cfRule type="cellIs" dxfId="79" priority="11" operator="greaterThanOrEqual">
      <formula>0.03</formula>
    </cfRule>
    <cfRule type="cellIs" dxfId="78" priority="12" operator="lessThanOrEqual">
      <formula>-0.03</formula>
    </cfRule>
  </conditionalFormatting>
  <conditionalFormatting sqref="G40 G41 G42">
    <cfRule type="cellIs" dxfId="77" priority="49" operator="greaterThanOrEqual">
      <formula>0.03</formula>
    </cfRule>
    <cfRule type="cellIs" dxfId="76" priority="50" operator="lessThanOrEqual">
      <formula>-0.03</formula>
    </cfRule>
  </conditionalFormatting>
  <conditionalFormatting sqref="G9 G10 G11">
    <cfRule type="cellIs" dxfId="75" priority="9" operator="greaterThanOrEqual">
      <formula>0.03</formula>
    </cfRule>
    <cfRule type="cellIs" dxfId="74" priority="10" operator="lessThanOrEqual">
      <formula>-0.03</formula>
    </cfRule>
  </conditionalFormatting>
  <conditionalFormatting sqref="H40 H41 H42">
    <cfRule type="cellIs" dxfId="73" priority="41" operator="greaterThanOrEqual">
      <formula>0.03</formula>
    </cfRule>
    <cfRule type="cellIs" dxfId="72" priority="42" operator="lessThanOrEqual">
      <formula>-0.03</formula>
    </cfRule>
  </conditionalFormatting>
  <conditionalFormatting sqref="H9 H10 H11">
    <cfRule type="cellIs" dxfId="71" priority="17" operator="greaterThanOrEqual">
      <formula>0.03</formula>
    </cfRule>
    <cfRule type="cellIs" dxfId="70" priority="18" operator="lessThanOrEqual">
      <formula>-0.03</formula>
    </cfRule>
  </conditionalFormatting>
  <conditionalFormatting sqref="I40 I41 I42">
    <cfRule type="cellIs" dxfId="69" priority="51" operator="greaterThanOrEqual">
      <formula>0.03</formula>
    </cfRule>
    <cfRule type="cellIs" dxfId="68" priority="52" operator="lessThanOrEqual">
      <formula>-0.03</formula>
    </cfRule>
  </conditionalFormatting>
  <conditionalFormatting sqref="I9 I10 I11">
    <cfRule type="cellIs" dxfId="67" priority="15" operator="greaterThanOrEqual">
      <formula>0.03</formula>
    </cfRule>
    <cfRule type="cellIs" dxfId="66" priority="16" operator="lessThanOrEqual">
      <formula>-0.03</formula>
    </cfRule>
  </conditionalFormatting>
  <conditionalFormatting sqref="J40 J41 J42">
    <cfRule type="cellIs" dxfId="65" priority="37" operator="greaterThanOrEqual">
      <formula>0.03</formula>
    </cfRule>
    <cfRule type="cellIs" dxfId="64" priority="38" operator="lessThanOrEqual">
      <formula>-0.03</formula>
    </cfRule>
  </conditionalFormatting>
  <conditionalFormatting sqref="J9 J10 J11">
    <cfRule type="cellIs" dxfId="63" priority="5" operator="greaterThanOrEqual">
      <formula>0.03</formula>
    </cfRule>
    <cfRule type="cellIs" dxfId="62" priority="6" operator="lessThanOrEqual">
      <formula>-0.03</formula>
    </cfRule>
  </conditionalFormatting>
  <conditionalFormatting sqref="K40 K41 K42">
    <cfRule type="cellIs" dxfId="61" priority="39" operator="greaterThanOrEqual">
      <formula>0.03</formula>
    </cfRule>
    <cfRule type="cellIs" dxfId="60" priority="40" operator="lessThanOrEqual">
      <formula>-0.03</formula>
    </cfRule>
  </conditionalFormatting>
  <conditionalFormatting sqref="K9 K10 K11">
    <cfRule type="cellIs" dxfId="59" priority="3" operator="greaterThanOrEqual">
      <formula>0.03</formula>
    </cfRule>
    <cfRule type="cellIs" dxfId="58" priority="4" operator="lessThanOrEqual">
      <formula>-0.03</formula>
    </cfRule>
  </conditionalFormatting>
  <conditionalFormatting sqref="L40 L41 L42">
    <cfRule type="cellIs" dxfId="57" priority="45" operator="greaterThanOrEqual">
      <formula>0.03</formula>
    </cfRule>
    <cfRule type="cellIs" dxfId="56" priority="46" operator="lessThanOrEqual">
      <formula>-0.03</formula>
    </cfRule>
  </conditionalFormatting>
  <conditionalFormatting sqref="L9 L10 L11">
    <cfRule type="cellIs" dxfId="55" priority="13" operator="greaterThanOrEqual">
      <formula>0.03</formula>
    </cfRule>
    <cfRule type="cellIs" dxfId="54" priority="14" operator="lessThanOrEqual">
      <formula>-0.03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P39"/>
  <sheetViews>
    <sheetView workbookViewId="0"/>
  </sheetViews>
  <sheetFormatPr defaultRowHeight="15" x14ac:dyDescent="0.25"/>
  <cols>
    <col min="1" max="1" width="12.7109375" customWidth="1"/>
    <col min="2" max="2" width="24.7109375" customWidth="1"/>
    <col min="4" max="4" width="24.7109375" customWidth="1"/>
    <col min="9" max="9" width="16.7109375" customWidth="1"/>
  </cols>
  <sheetData>
    <row r="1" spans="1:16" x14ac:dyDescent="0.25">
      <c r="A1" t="s">
        <v>79</v>
      </c>
      <c r="B1" s="10" t="str">
        <f>M1</f>
        <v>C2 lossyG,lossyA,intra</v>
      </c>
      <c r="C1" t="s">
        <v>80</v>
      </c>
      <c r="I1" t="s">
        <v>2</v>
      </c>
      <c r="M1" t="s">
        <v>299</v>
      </c>
      <c r="N1" t="s">
        <v>381</v>
      </c>
      <c r="O1" t="s">
        <v>457</v>
      </c>
      <c r="P1" t="s">
        <v>544</v>
      </c>
    </row>
    <row r="2" spans="1:16" x14ac:dyDescent="0.25">
      <c r="A2" t="s">
        <v>81</v>
      </c>
      <c r="B2" s="10" t="str">
        <f>HLOOKUP(B1,M1:ZZ3,3,0)</f>
        <v>8ivfbv2_loot_vox10</v>
      </c>
      <c r="C2" t="s">
        <v>82</v>
      </c>
      <c r="I2" t="s">
        <v>3</v>
      </c>
      <c r="J2" t="s">
        <v>4</v>
      </c>
      <c r="M2" t="s">
        <v>301</v>
      </c>
      <c r="N2" t="s">
        <v>383</v>
      </c>
      <c r="O2" t="s">
        <v>459</v>
      </c>
      <c r="P2" t="s">
        <v>546</v>
      </c>
    </row>
    <row r="3" spans="1:16" x14ac:dyDescent="0.25">
      <c r="I3" t="s">
        <v>5</v>
      </c>
      <c r="J3" t="s">
        <v>6</v>
      </c>
      <c r="M3" t="s">
        <v>264</v>
      </c>
      <c r="N3" t="s">
        <v>264</v>
      </c>
      <c r="O3" t="s">
        <v>264</v>
      </c>
      <c r="P3" t="s">
        <v>264</v>
      </c>
    </row>
    <row r="4" spans="1:16" x14ac:dyDescent="0.25">
      <c r="A4" t="s">
        <v>83</v>
      </c>
      <c r="B4" s="10" t="s">
        <v>67</v>
      </c>
      <c r="C4" t="s">
        <v>84</v>
      </c>
      <c r="D4" s="10" t="s">
        <v>13</v>
      </c>
      <c r="E4" t="s">
        <v>85</v>
      </c>
      <c r="I4" t="s">
        <v>7</v>
      </c>
      <c r="J4" t="s">
        <v>8</v>
      </c>
      <c r="M4" t="s">
        <v>273</v>
      </c>
      <c r="N4" t="s">
        <v>273</v>
      </c>
      <c r="O4" t="s">
        <v>273</v>
      </c>
      <c r="P4" t="s">
        <v>273</v>
      </c>
    </row>
    <row r="5" spans="1:16" x14ac:dyDescent="0.25">
      <c r="A5" t="s">
        <v>83</v>
      </c>
      <c r="B5" s="10" t="s">
        <v>67</v>
      </c>
      <c r="C5" t="s">
        <v>84</v>
      </c>
      <c r="D5" s="10" t="s">
        <v>17</v>
      </c>
      <c r="E5" t="s">
        <v>86</v>
      </c>
      <c r="I5" t="s">
        <v>9</v>
      </c>
      <c r="J5" t="s">
        <v>10</v>
      </c>
      <c r="M5" t="s">
        <v>276</v>
      </c>
      <c r="N5" t="s">
        <v>276</v>
      </c>
      <c r="O5" t="s">
        <v>276</v>
      </c>
      <c r="P5" t="s">
        <v>276</v>
      </c>
    </row>
    <row r="6" spans="1:16" x14ac:dyDescent="0.25">
      <c r="A6" t="s">
        <v>83</v>
      </c>
      <c r="B6" s="10" t="s">
        <v>67</v>
      </c>
      <c r="C6" t="s">
        <v>84</v>
      </c>
      <c r="D6" s="10" t="s">
        <v>43</v>
      </c>
      <c r="E6" t="s">
        <v>87</v>
      </c>
      <c r="I6" t="s">
        <v>11</v>
      </c>
      <c r="J6" t="s">
        <v>12</v>
      </c>
      <c r="M6" t="s">
        <v>279</v>
      </c>
      <c r="N6" t="s">
        <v>279</v>
      </c>
      <c r="O6" t="s">
        <v>279</v>
      </c>
      <c r="P6" t="s">
        <v>279</v>
      </c>
    </row>
    <row r="7" spans="1:16" x14ac:dyDescent="0.25">
      <c r="A7" t="s">
        <v>83</v>
      </c>
      <c r="B7" s="10" t="s">
        <v>67</v>
      </c>
      <c r="C7" t="s">
        <v>84</v>
      </c>
      <c r="D7" s="10" t="s">
        <v>5</v>
      </c>
      <c r="E7" t="s">
        <v>88</v>
      </c>
      <c r="I7" t="s">
        <v>13</v>
      </c>
      <c r="J7" t="s">
        <v>14</v>
      </c>
      <c r="M7" t="s">
        <v>282</v>
      </c>
      <c r="N7" t="s">
        <v>282</v>
      </c>
      <c r="O7" t="s">
        <v>282</v>
      </c>
      <c r="P7" t="s">
        <v>282</v>
      </c>
    </row>
    <row r="8" spans="1:16" x14ac:dyDescent="0.25">
      <c r="A8" t="s">
        <v>83</v>
      </c>
      <c r="B8" s="10" t="s">
        <v>67</v>
      </c>
      <c r="C8" t="s">
        <v>84</v>
      </c>
      <c r="D8" s="10" t="s">
        <v>9</v>
      </c>
      <c r="E8" t="s">
        <v>89</v>
      </c>
      <c r="I8" t="s">
        <v>15</v>
      </c>
      <c r="J8" t="s">
        <v>16</v>
      </c>
    </row>
    <row r="9" spans="1:16" x14ac:dyDescent="0.25">
      <c r="A9" t="s">
        <v>83</v>
      </c>
      <c r="B9" s="10" t="s">
        <v>67</v>
      </c>
      <c r="C9" t="s">
        <v>84</v>
      </c>
      <c r="D9" s="10" t="s">
        <v>33</v>
      </c>
      <c r="E9" t="s">
        <v>90</v>
      </c>
      <c r="I9" t="s">
        <v>17</v>
      </c>
      <c r="J9" t="s">
        <v>18</v>
      </c>
    </row>
    <row r="10" spans="1:16" x14ac:dyDescent="0.25">
      <c r="I10" t="s">
        <v>19</v>
      </c>
      <c r="J10" t="s">
        <v>20</v>
      </c>
    </row>
    <row r="11" spans="1:16" x14ac:dyDescent="0.25">
      <c r="I11" t="s">
        <v>21</v>
      </c>
      <c r="J11" t="s">
        <v>22</v>
      </c>
    </row>
    <row r="12" spans="1:16" x14ac:dyDescent="0.25">
      <c r="I12" t="s">
        <v>23</v>
      </c>
      <c r="J12" t="s">
        <v>24</v>
      </c>
    </row>
    <row r="13" spans="1:16" x14ac:dyDescent="0.25">
      <c r="I13" t="s">
        <v>25</v>
      </c>
      <c r="J13" t="s">
        <v>26</v>
      </c>
    </row>
    <row r="14" spans="1:16" x14ac:dyDescent="0.25">
      <c r="I14" t="s">
        <v>27</v>
      </c>
      <c r="J14" t="s">
        <v>28</v>
      </c>
    </row>
    <row r="15" spans="1:16" x14ac:dyDescent="0.25">
      <c r="I15" t="s">
        <v>29</v>
      </c>
      <c r="J15" t="s">
        <v>30</v>
      </c>
    </row>
    <row r="16" spans="1:16" x14ac:dyDescent="0.25">
      <c r="I16" t="s">
        <v>31</v>
      </c>
      <c r="J16" t="s">
        <v>32</v>
      </c>
    </row>
    <row r="17" spans="9:10" x14ac:dyDescent="0.25">
      <c r="I17" t="s">
        <v>33</v>
      </c>
      <c r="J17" t="s">
        <v>34</v>
      </c>
    </row>
    <row r="18" spans="9:10" x14ac:dyDescent="0.25">
      <c r="I18" t="s">
        <v>35</v>
      </c>
      <c r="J18" t="s">
        <v>36</v>
      </c>
    </row>
    <row r="19" spans="9:10" x14ac:dyDescent="0.25">
      <c r="I19" t="s">
        <v>37</v>
      </c>
      <c r="J19" t="s">
        <v>38</v>
      </c>
    </row>
    <row r="20" spans="9:10" x14ac:dyDescent="0.25">
      <c r="I20" t="s">
        <v>39</v>
      </c>
      <c r="J20" t="s">
        <v>40</v>
      </c>
    </row>
    <row r="21" spans="9:10" x14ac:dyDescent="0.25">
      <c r="I21" t="s">
        <v>41</v>
      </c>
      <c r="J21" t="s">
        <v>42</v>
      </c>
    </row>
    <row r="22" spans="9:10" x14ac:dyDescent="0.25">
      <c r="I22" t="s">
        <v>43</v>
      </c>
      <c r="J22" t="s">
        <v>44</v>
      </c>
    </row>
    <row r="23" spans="9:10" x14ac:dyDescent="0.25">
      <c r="I23" t="s">
        <v>45</v>
      </c>
      <c r="J23" t="s">
        <v>46</v>
      </c>
    </row>
    <row r="24" spans="9:10" x14ac:dyDescent="0.25">
      <c r="I24" t="s">
        <v>47</v>
      </c>
      <c r="J24" t="s">
        <v>48</v>
      </c>
    </row>
    <row r="25" spans="9:10" x14ac:dyDescent="0.25">
      <c r="I25" t="s">
        <v>49</v>
      </c>
      <c r="J25" t="s">
        <v>50</v>
      </c>
    </row>
    <row r="26" spans="9:10" x14ac:dyDescent="0.25">
      <c r="I26" t="s">
        <v>51</v>
      </c>
      <c r="J26" t="s">
        <v>52</v>
      </c>
    </row>
    <row r="27" spans="9:10" x14ac:dyDescent="0.25">
      <c r="I27" t="s">
        <v>53</v>
      </c>
      <c r="J27" t="s">
        <v>54</v>
      </c>
    </row>
    <row r="28" spans="9:10" x14ac:dyDescent="0.25">
      <c r="I28" t="s">
        <v>55</v>
      </c>
      <c r="J28" t="s">
        <v>56</v>
      </c>
    </row>
    <row r="29" spans="9:10" x14ac:dyDescent="0.25">
      <c r="I29" t="s">
        <v>57</v>
      </c>
      <c r="J29" t="s">
        <v>58</v>
      </c>
    </row>
    <row r="30" spans="9:10" x14ac:dyDescent="0.25">
      <c r="I30" t="s">
        <v>59</v>
      </c>
      <c r="J30" t="s">
        <v>60</v>
      </c>
    </row>
    <row r="31" spans="9:10" x14ac:dyDescent="0.25">
      <c r="I31" t="s">
        <v>61</v>
      </c>
      <c r="J31" t="s">
        <v>62</v>
      </c>
    </row>
    <row r="32" spans="9:10" x14ac:dyDescent="0.25">
      <c r="I32" t="s">
        <v>63</v>
      </c>
      <c r="J32" t="s">
        <v>64</v>
      </c>
    </row>
    <row r="33" spans="9:10" x14ac:dyDescent="0.25">
      <c r="I33" t="s">
        <v>65</v>
      </c>
      <c r="J33" t="s">
        <v>66</v>
      </c>
    </row>
    <row r="34" spans="9:10" x14ac:dyDescent="0.25">
      <c r="I34" t="s">
        <v>67</v>
      </c>
      <c r="J34" t="s">
        <v>68</v>
      </c>
    </row>
    <row r="35" spans="9:10" x14ac:dyDescent="0.25">
      <c r="I35" t="s">
        <v>69</v>
      </c>
      <c r="J35" t="s">
        <v>70</v>
      </c>
    </row>
    <row r="36" spans="9:10" x14ac:dyDescent="0.25">
      <c r="I36" t="s">
        <v>71</v>
      </c>
      <c r="J36" t="s">
        <v>72</v>
      </c>
    </row>
    <row r="37" spans="9:10" x14ac:dyDescent="0.25">
      <c r="I37" t="s">
        <v>73</v>
      </c>
      <c r="J37" t="s">
        <v>74</v>
      </c>
    </row>
    <row r="38" spans="9:10" x14ac:dyDescent="0.25">
      <c r="I38" t="s">
        <v>75</v>
      </c>
      <c r="J38" t="s">
        <v>76</v>
      </c>
    </row>
    <row r="39" spans="9:10" x14ac:dyDescent="0.25">
      <c r="I39" t="s">
        <v>77</v>
      </c>
      <c r="J39" t="s">
        <v>78</v>
      </c>
    </row>
  </sheetData>
  <conditionalFormatting sqref="B2">
    <cfRule type="expression" dxfId="53" priority="1">
      <formula>ISNA(MATCH(B2,OFFSET(M:M,2,MATCH(B1,M1:ZZ1,0)-1,COUNTA(INDEX(M:ZZ,,MATCH(B1,M1:ZZ1,0)))-2),0))</formula>
    </cfRule>
  </conditionalFormatting>
  <conditionalFormatting sqref="B4 D4 B5 D5 B6 D6 B7 D7 B8 D8 B9 D9">
    <cfRule type="expression" dxfId="52" priority="2">
      <formula>ISNA(MATCH(B4,filter_cols,0))</formula>
    </cfRule>
  </conditionalFormatting>
  <dataValidations count="3">
    <dataValidation type="list" allowBlank="1" showInputMessage="1" showErrorMessage="1" sqref="B1" xr:uid="{00000000-0002-0000-0100-000000000000}">
      <formula1>OFFSET(1:1,0,COLUMN(M1)-1,1,COUNTA(M1:ZZ1))</formula1>
    </dataValidation>
    <dataValidation type="list" allowBlank="1" showInputMessage="1" showErrorMessage="1" sqref="B2" xr:uid="{00000000-0002-0000-0100-000001000000}">
      <formula1>OFFSET(M:M,2,MATCH(B1,M1:ZZ1,0)-1,COUNTA(INDEX(M:ZZ,,MATCH(B1,M1:ZZ1,0)))-2)</formula1>
    </dataValidation>
    <dataValidation type="list" allowBlank="1" showInputMessage="1" showErrorMessage="1" sqref="B4:B9 D4:D9" xr:uid="{00000000-0002-0000-0100-000002000000}">
      <formula1>Graphs!filter_cols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outlinePr summaryBelow="0"/>
  </sheetPr>
  <dimension ref="A1:BU36"/>
  <sheetViews>
    <sheetView zoomScale="85" zoomScaleNormal="85" workbookViewId="0">
      <pane xSplit="2" topLeftCell="AK1" activePane="topRight" state="frozen"/>
      <selection pane="topRight" activeCell="AN5" sqref="AN5:BC29"/>
    </sheetView>
  </sheetViews>
  <sheetFormatPr defaultRowHeight="15" outlineLevelRow="2" x14ac:dyDescent="0.25"/>
  <cols>
    <col min="2" max="2" width="24.7109375" customWidth="1"/>
    <col min="4" max="5" width="10.7109375" customWidth="1"/>
    <col min="8" max="8" width="1.7109375" customWidth="1"/>
    <col min="10" max="13" width="10.7109375" customWidth="1"/>
    <col min="14" max="14" width="24.7109375" hidden="1" customWidth="1"/>
    <col min="15" max="15" width="12.7109375" customWidth="1"/>
    <col min="16" max="16" width="10.7109375" customWidth="1"/>
    <col min="19" max="22" width="12.7109375" customWidth="1"/>
    <col min="23" max="27" width="11.7109375" customWidth="1"/>
    <col min="32" max="32" width="1.7109375" customWidth="1"/>
    <col min="34" max="37" width="10.7109375" customWidth="1"/>
    <col min="38" max="38" width="24.7109375" hidden="1" customWidth="1"/>
    <col min="39" max="39" width="12.7109375" customWidth="1"/>
    <col min="40" max="40" width="10.7109375" customWidth="1"/>
    <col min="43" max="46" width="12.7109375" customWidth="1"/>
    <col min="47" max="51" width="11.7109375" customWidth="1"/>
    <col min="56" max="56" width="1.7109375" customWidth="1"/>
    <col min="60" max="60" width="1.7109375" customWidth="1"/>
    <col min="63" max="65" width="11.7109375" customWidth="1"/>
    <col min="66" max="66" width="1.7109375" customWidth="1"/>
    <col min="69" max="71" width="11.7109375" customWidth="1"/>
    <col min="72" max="72" width="1.7109375" customWidth="1"/>
  </cols>
  <sheetData>
    <row r="1" spans="1:73" x14ac:dyDescent="0.25">
      <c r="A1" s="84" t="s">
        <v>259</v>
      </c>
      <c r="B1" s="84"/>
      <c r="C1" s="84"/>
      <c r="D1" s="84"/>
      <c r="E1" s="84"/>
      <c r="F1" s="84"/>
      <c r="G1" s="84"/>
      <c r="I1" s="80" t="str">
        <f>Summary!C1</f>
        <v>tested: rc0.6 (lossy occupancy map, CTC)</v>
      </c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  <c r="AD1" s="80"/>
      <c r="AE1" s="80"/>
      <c r="AG1" s="81" t="str">
        <f>Summary!C2</f>
        <v>tested-rc0.7 (texture padding - spp, CTC)</v>
      </c>
      <c r="AH1" s="81"/>
      <c r="AI1" s="81"/>
      <c r="AJ1" s="81"/>
      <c r="AK1" s="81"/>
      <c r="AL1" s="81"/>
      <c r="AM1" s="81"/>
      <c r="AN1" s="81"/>
      <c r="AO1" s="81"/>
      <c r="AP1" s="81"/>
      <c r="AQ1" s="81"/>
      <c r="AR1" s="81"/>
      <c r="AS1" s="81"/>
      <c r="AT1" s="81"/>
      <c r="AU1" s="81"/>
      <c r="AV1" s="81"/>
      <c r="AW1" s="81"/>
      <c r="AX1" s="81"/>
      <c r="AY1" s="81"/>
      <c r="AZ1" s="81"/>
      <c r="BA1" s="81"/>
      <c r="BB1" s="81"/>
      <c r="BC1" s="81"/>
    </row>
    <row r="2" spans="1:73" ht="30" customHeight="1" x14ac:dyDescent="0.25">
      <c r="A2" s="86" t="s">
        <v>91</v>
      </c>
      <c r="B2" s="85" t="s">
        <v>94</v>
      </c>
      <c r="C2" s="86" t="s">
        <v>97</v>
      </c>
      <c r="D2" s="85" t="s">
        <v>100</v>
      </c>
      <c r="E2" s="86" t="s">
        <v>103</v>
      </c>
      <c r="F2" s="85" t="s">
        <v>106</v>
      </c>
      <c r="G2" s="86" t="s">
        <v>109</v>
      </c>
      <c r="I2" s="85" t="s">
        <v>112</v>
      </c>
      <c r="J2" s="83" t="s">
        <v>115</v>
      </c>
      <c r="K2" s="83"/>
      <c r="L2" s="83"/>
      <c r="M2" s="83"/>
      <c r="N2" s="86" t="s">
        <v>128</v>
      </c>
      <c r="O2" s="85" t="s">
        <v>131</v>
      </c>
      <c r="P2" s="86" t="s">
        <v>22</v>
      </c>
      <c r="Q2" s="85" t="s">
        <v>24</v>
      </c>
      <c r="R2" s="86" t="s">
        <v>20</v>
      </c>
      <c r="S2" s="82" t="s">
        <v>140</v>
      </c>
      <c r="T2" s="82"/>
      <c r="U2" s="82"/>
      <c r="V2" s="82"/>
      <c r="W2" s="83" t="s">
        <v>151</v>
      </c>
      <c r="X2" s="83"/>
      <c r="Y2" s="82" t="s">
        <v>158</v>
      </c>
      <c r="Z2" s="82"/>
      <c r="AA2" s="82"/>
      <c r="AB2" s="83" t="s">
        <v>168</v>
      </c>
      <c r="AC2" s="83"/>
      <c r="AD2" s="82" t="s">
        <v>175</v>
      </c>
      <c r="AE2" s="82"/>
      <c r="AG2" s="86" t="s">
        <v>112</v>
      </c>
      <c r="AH2" s="82" t="s">
        <v>115</v>
      </c>
      <c r="AI2" s="82"/>
      <c r="AJ2" s="82"/>
      <c r="AK2" s="82"/>
      <c r="AL2" s="85" t="s">
        <v>190</v>
      </c>
      <c r="AM2" s="86" t="s">
        <v>131</v>
      </c>
      <c r="AN2" s="85" t="s">
        <v>22</v>
      </c>
      <c r="AO2" s="86" t="s">
        <v>24</v>
      </c>
      <c r="AP2" s="85" t="s">
        <v>20</v>
      </c>
      <c r="AQ2" s="83" t="s">
        <v>140</v>
      </c>
      <c r="AR2" s="83"/>
      <c r="AS2" s="83"/>
      <c r="AT2" s="83"/>
      <c r="AU2" s="82" t="s">
        <v>151</v>
      </c>
      <c r="AV2" s="82"/>
      <c r="AW2" s="83" t="s">
        <v>158</v>
      </c>
      <c r="AX2" s="83"/>
      <c r="AY2" s="83"/>
      <c r="AZ2" s="82" t="s">
        <v>168</v>
      </c>
      <c r="BA2" s="82"/>
      <c r="BB2" s="83" t="s">
        <v>175</v>
      </c>
      <c r="BC2" s="83"/>
      <c r="BE2" s="85" t="s">
        <v>227</v>
      </c>
      <c r="BF2" s="86" t="s">
        <v>230</v>
      </c>
      <c r="BG2" s="85" t="s">
        <v>230</v>
      </c>
      <c r="BI2" s="83" t="s">
        <v>235</v>
      </c>
      <c r="BJ2" s="83"/>
      <c r="BK2" s="82" t="s">
        <v>240</v>
      </c>
      <c r="BL2" s="82"/>
      <c r="BM2" s="82"/>
      <c r="BO2" s="83" t="s">
        <v>247</v>
      </c>
      <c r="BP2" s="83"/>
      <c r="BQ2" s="82" t="s">
        <v>252</v>
      </c>
      <c r="BR2" s="82"/>
      <c r="BS2" s="82"/>
      <c r="BU2" t="s">
        <v>547</v>
      </c>
    </row>
    <row r="3" spans="1:73" ht="15.75" thickBot="1" x14ac:dyDescent="0.3">
      <c r="A3" s="86"/>
      <c r="B3" s="85"/>
      <c r="C3" s="86"/>
      <c r="D3" s="85"/>
      <c r="E3" s="86"/>
      <c r="F3" s="85"/>
      <c r="G3" s="86"/>
      <c r="I3" s="85"/>
      <c r="J3" s="11" t="s">
        <v>116</v>
      </c>
      <c r="K3" s="11" t="s">
        <v>119</v>
      </c>
      <c r="L3" s="11" t="s">
        <v>122</v>
      </c>
      <c r="M3" s="11" t="s">
        <v>125</v>
      </c>
      <c r="N3" s="86"/>
      <c r="O3" s="85"/>
      <c r="P3" s="86"/>
      <c r="Q3" s="85"/>
      <c r="R3" s="86"/>
      <c r="S3" s="12" t="s">
        <v>116</v>
      </c>
      <c r="T3" s="12" t="s">
        <v>122</v>
      </c>
      <c r="U3" s="12" t="s">
        <v>145</v>
      </c>
      <c r="V3" s="12" t="s">
        <v>148</v>
      </c>
      <c r="W3" s="11" t="s">
        <v>152</v>
      </c>
      <c r="X3" s="11" t="s">
        <v>155</v>
      </c>
      <c r="Y3" s="12" t="s">
        <v>159</v>
      </c>
      <c r="Z3" s="12" t="s">
        <v>162</v>
      </c>
      <c r="AA3" s="12" t="s">
        <v>165</v>
      </c>
      <c r="AB3" s="11" t="s">
        <v>169</v>
      </c>
      <c r="AC3" s="11" t="s">
        <v>172</v>
      </c>
      <c r="AD3" s="12" t="s">
        <v>169</v>
      </c>
      <c r="AE3" s="12" t="s">
        <v>172</v>
      </c>
      <c r="AG3" s="86"/>
      <c r="AH3" s="12" t="s">
        <v>116</v>
      </c>
      <c r="AI3" s="12" t="s">
        <v>119</v>
      </c>
      <c r="AJ3" s="12" t="s">
        <v>122</v>
      </c>
      <c r="AK3" s="12" t="s">
        <v>125</v>
      </c>
      <c r="AL3" s="85"/>
      <c r="AM3" s="86"/>
      <c r="AN3" s="85"/>
      <c r="AO3" s="86"/>
      <c r="AP3" s="85"/>
      <c r="AQ3" s="11" t="s">
        <v>116</v>
      </c>
      <c r="AR3" s="11" t="s">
        <v>122</v>
      </c>
      <c r="AS3" s="11" t="s">
        <v>145</v>
      </c>
      <c r="AT3" s="11" t="s">
        <v>148</v>
      </c>
      <c r="AU3" s="12" t="s">
        <v>152</v>
      </c>
      <c r="AV3" s="12" t="s">
        <v>155</v>
      </c>
      <c r="AW3" s="11" t="s">
        <v>159</v>
      </c>
      <c r="AX3" s="11" t="s">
        <v>162</v>
      </c>
      <c r="AY3" s="11" t="s">
        <v>165</v>
      </c>
      <c r="AZ3" s="12" t="s">
        <v>169</v>
      </c>
      <c r="BA3" s="12" t="s">
        <v>172</v>
      </c>
      <c r="BB3" s="11" t="s">
        <v>169</v>
      </c>
      <c r="BC3" s="11" t="s">
        <v>172</v>
      </c>
      <c r="BE3" s="85"/>
      <c r="BF3" s="86"/>
      <c r="BG3" s="85"/>
      <c r="BI3" s="11" t="s">
        <v>152</v>
      </c>
      <c r="BJ3" s="11" t="s">
        <v>155</v>
      </c>
      <c r="BK3" s="12" t="s">
        <v>159</v>
      </c>
      <c r="BL3" s="12" t="s">
        <v>162</v>
      </c>
      <c r="BM3" s="12" t="s">
        <v>165</v>
      </c>
      <c r="BO3" s="11" t="s">
        <v>152</v>
      </c>
      <c r="BP3" s="11" t="s">
        <v>155</v>
      </c>
      <c r="BQ3" s="12" t="s">
        <v>159</v>
      </c>
      <c r="BR3" s="12" t="s">
        <v>162</v>
      </c>
      <c r="BS3" s="12" t="s">
        <v>165</v>
      </c>
    </row>
    <row r="4" spans="1:73" ht="121.5" hidden="1" x14ac:dyDescent="0.25">
      <c r="A4" s="13" t="s">
        <v>92</v>
      </c>
      <c r="B4" s="14" t="s">
        <v>95</v>
      </c>
      <c r="C4" s="13" t="s">
        <v>98</v>
      </c>
      <c r="D4" s="14" t="s">
        <v>101</v>
      </c>
      <c r="E4" s="13" t="s">
        <v>104</v>
      </c>
      <c r="F4" s="14" t="s">
        <v>107</v>
      </c>
      <c r="G4" s="13" t="s">
        <v>110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3" t="s">
        <v>129</v>
      </c>
      <c r="O4" s="14" t="s">
        <v>132</v>
      </c>
      <c r="P4" s="13" t="s">
        <v>134</v>
      </c>
      <c r="Q4" s="14" t="s">
        <v>136</v>
      </c>
      <c r="R4" s="13" t="s">
        <v>138</v>
      </c>
      <c r="S4" s="14" t="s">
        <v>141</v>
      </c>
      <c r="T4" s="14" t="s">
        <v>143</v>
      </c>
      <c r="U4" s="14" t="s">
        <v>146</v>
      </c>
      <c r="V4" s="14" t="s">
        <v>149</v>
      </c>
      <c r="W4" s="13" t="s">
        <v>153</v>
      </c>
      <c r="X4" s="13" t="s">
        <v>156</v>
      </c>
      <c r="Y4" s="14" t="s">
        <v>160</v>
      </c>
      <c r="Z4" s="14" t="s">
        <v>163</v>
      </c>
      <c r="AA4" s="14" t="s">
        <v>166</v>
      </c>
      <c r="AB4" s="13" t="s">
        <v>170</v>
      </c>
      <c r="AC4" s="13" t="s">
        <v>173</v>
      </c>
      <c r="AD4" s="14" t="s">
        <v>176</v>
      </c>
      <c r="AE4" s="14" t="s">
        <v>178</v>
      </c>
      <c r="AG4" s="13" t="s">
        <v>180</v>
      </c>
      <c r="AH4" s="14" t="s">
        <v>182</v>
      </c>
      <c r="AI4" s="14" t="s">
        <v>184</v>
      </c>
      <c r="AJ4" s="14" t="s">
        <v>186</v>
      </c>
      <c r="AK4" s="14" t="s">
        <v>188</v>
      </c>
      <c r="AL4" s="14" t="s">
        <v>191</v>
      </c>
      <c r="AM4" s="13" t="s">
        <v>193</v>
      </c>
      <c r="AN4" s="14" t="s">
        <v>195</v>
      </c>
      <c r="AO4" s="13" t="s">
        <v>197</v>
      </c>
      <c r="AP4" s="14" t="s">
        <v>199</v>
      </c>
      <c r="AQ4" s="13" t="s">
        <v>201</v>
      </c>
      <c r="AR4" s="13" t="s">
        <v>203</v>
      </c>
      <c r="AS4" s="13" t="s">
        <v>205</v>
      </c>
      <c r="AT4" s="13" t="s">
        <v>207</v>
      </c>
      <c r="AU4" s="14" t="s">
        <v>209</v>
      </c>
      <c r="AV4" s="14" t="s">
        <v>211</v>
      </c>
      <c r="AW4" s="13" t="s">
        <v>213</v>
      </c>
      <c r="AX4" s="13" t="s">
        <v>215</v>
      </c>
      <c r="AY4" s="13" t="s">
        <v>217</v>
      </c>
      <c r="AZ4" s="14" t="s">
        <v>219</v>
      </c>
      <c r="BA4" s="14" t="s">
        <v>221</v>
      </c>
      <c r="BB4" s="13" t="s">
        <v>223</v>
      </c>
      <c r="BC4" s="13" t="s">
        <v>225</v>
      </c>
      <c r="BE4" s="14" t="s">
        <v>228</v>
      </c>
      <c r="BF4" s="13" t="s">
        <v>231</v>
      </c>
      <c r="BG4" s="14" t="s">
        <v>233</v>
      </c>
      <c r="BI4" s="13" t="s">
        <v>236</v>
      </c>
      <c r="BJ4" s="13" t="s">
        <v>238</v>
      </c>
      <c r="BK4" s="14" t="s">
        <v>241</v>
      </c>
      <c r="BL4" s="14" t="s">
        <v>243</v>
      </c>
      <c r="BM4" s="14" t="s">
        <v>245</v>
      </c>
      <c r="BO4" s="13" t="s">
        <v>248</v>
      </c>
      <c r="BP4" s="13" t="s">
        <v>250</v>
      </c>
      <c r="BQ4" s="14" t="s">
        <v>253</v>
      </c>
      <c r="BR4" s="14" t="s">
        <v>255</v>
      </c>
      <c r="BS4" s="14" t="s">
        <v>257</v>
      </c>
    </row>
    <row r="5" spans="1:73" x14ac:dyDescent="0.25">
      <c r="A5" s="15" t="s">
        <v>265</v>
      </c>
      <c r="B5" s="15" t="s">
        <v>264</v>
      </c>
      <c r="C5" s="16" t="s">
        <v>266</v>
      </c>
      <c r="D5" s="15">
        <v>24964341</v>
      </c>
      <c r="E5" s="16">
        <v>10</v>
      </c>
      <c r="F5" s="16">
        <v>32</v>
      </c>
      <c r="G5" s="16">
        <v>30</v>
      </c>
      <c r="I5" s="17">
        <f t="shared" ref="I5:I29" si="0">IF(OR(ISBLANK(S5),ISBLANK(G5)),"·",S5*G5/F5/1000000)</f>
        <v>2.2488225000000002</v>
      </c>
      <c r="J5" s="18">
        <f t="shared" ref="J5:J29" si="1">IF(ISBLANK(S5),"·",S5/D5)</f>
        <v>9.6086814388571279E-2</v>
      </c>
      <c r="K5" s="18">
        <f t="shared" ref="K5:K29" si="2">IF(N5="","·",N5/D5)</f>
        <v>6.1031479527805958E-2</v>
      </c>
      <c r="L5" s="18">
        <f t="shared" ref="L5:L29" si="3">IF(T5="","·",T5/D5)</f>
        <v>3.392882138033073E-2</v>
      </c>
      <c r="M5" s="18">
        <f t="shared" ref="M5:M29" si="4">IF(ISBLANK(V5),"·",V5/D5)</f>
        <v>3.505106209960307E-2</v>
      </c>
      <c r="N5" s="15">
        <f t="shared" ref="N5:N29" si="5">IF(OR(ISBLANK(T5),ISBLANK(U5)),"",T5+U5)</f>
        <v>1523610.666666667</v>
      </c>
      <c r="O5" s="18">
        <f t="shared" ref="O5:O29" si="6">IF(ISBLANK(S5),"·",S5/P5)</f>
        <v>0.11071691150762263</v>
      </c>
      <c r="P5" s="58">
        <v>21665561</v>
      </c>
      <c r="Q5" s="58">
        <v>677048.78125</v>
      </c>
      <c r="R5" s="58">
        <v>13554.6875</v>
      </c>
      <c r="S5" s="59">
        <v>2398744</v>
      </c>
      <c r="T5" s="59">
        <v>847010.66666666698</v>
      </c>
      <c r="U5" s="59">
        <v>676600</v>
      </c>
      <c r="V5" s="59">
        <v>875026.66666666698</v>
      </c>
      <c r="W5" s="60">
        <v>66.333168749999999</v>
      </c>
      <c r="X5" s="60">
        <v>68.402850000000001</v>
      </c>
      <c r="Y5" s="60">
        <v>32.165624999999999</v>
      </c>
      <c r="Z5" s="60">
        <v>44.153831250000003</v>
      </c>
      <c r="AA5" s="60">
        <v>43.731209374999999</v>
      </c>
      <c r="AB5" s="61"/>
      <c r="AC5" s="61"/>
      <c r="AD5" s="61"/>
      <c r="AE5" s="61"/>
      <c r="AG5" s="17">
        <f t="shared" ref="AG5:AG29" si="7">IF(OR(ISBLANK(AQ5),ISBLANK(G5)),"·",AQ5*G5/F5/1000000)</f>
        <v>2.2488225000000002</v>
      </c>
      <c r="AH5" s="18">
        <f t="shared" ref="AH5:AH29" si="8">IF(ISBLANK(AQ5),"·",AQ5/D5)</f>
        <v>9.6086814388571279E-2</v>
      </c>
      <c r="AI5" s="18">
        <f t="shared" ref="AI5:AI29" si="9">IF(AL5="","·",AL5/D5)</f>
        <v>6.1039063678868993E-2</v>
      </c>
      <c r="AJ5" s="18">
        <f t="shared" ref="AJ5:AJ29" si="10">IF(AR5="","·",AR5/D5)</f>
        <v>3.3931278217999024E-2</v>
      </c>
      <c r="AK5" s="18">
        <f t="shared" ref="AK5:AK29" si="11">IF(ISBLANK(AT5),"·",AT5/D5)</f>
        <v>3.5053518937271363E-2</v>
      </c>
      <c r="AL5" s="15">
        <f t="shared" ref="AL5:AL29" si="12">IF(OR(ISBLANK(AR5),ISBLANK(AS5)),"",AR5+AS5)</f>
        <v>1523800</v>
      </c>
      <c r="AM5" s="18">
        <f t="shared" ref="AM5:AM29" si="13">IF(ISBLANK(AQ5),"·",AQ5/AN5)</f>
        <v>0.11071691150762263</v>
      </c>
      <c r="AN5" s="58">
        <v>21665561</v>
      </c>
      <c r="AO5" s="58">
        <v>677048.78125</v>
      </c>
      <c r="AP5" s="58">
        <v>13554.6875</v>
      </c>
      <c r="AQ5" s="59">
        <v>2398744</v>
      </c>
      <c r="AR5" s="59">
        <v>847072</v>
      </c>
      <c r="AS5" s="59">
        <v>676728</v>
      </c>
      <c r="AT5" s="59">
        <v>875088</v>
      </c>
      <c r="AU5" s="60">
        <v>66.333168749999999</v>
      </c>
      <c r="AV5" s="60">
        <v>68.402850000000001</v>
      </c>
      <c r="AW5" s="60">
        <v>32.165624999999899</v>
      </c>
      <c r="AX5" s="60">
        <v>44.153831250000003</v>
      </c>
      <c r="AY5" s="60">
        <v>43.731209374999999</v>
      </c>
      <c r="AZ5" s="61">
        <v>6090.94</v>
      </c>
      <c r="BA5" s="61">
        <v>1144.5899999999999</v>
      </c>
      <c r="BB5" s="61">
        <v>6.0679999999999996</v>
      </c>
      <c r="BC5" s="61">
        <v>19.327999999999999</v>
      </c>
      <c r="BE5" s="23">
        <f t="shared" ref="BE5:BE29" si="14">(AP5/AO5) - (R5/Q5)</f>
        <v>0</v>
      </c>
      <c r="BF5" s="23">
        <f t="shared" ref="BF5:BF29" si="15">(AL5/AQ5) - (N5/S5)</f>
        <v>7.8930195691162552E-5</v>
      </c>
      <c r="BG5" s="23">
        <f t="array" ref="BG5">AVERAGE(AL5:AL9/AQ5:AQ9) - AVERAGE(N5:N9/S5:S9)</f>
        <v>3.7699608609553792E-5</v>
      </c>
      <c r="BI5" s="24">
        <f>IF( OR(ISBLANK(N5:N9),ISBLANK(AL5:AL9), ISBLANK(W5:W9),ISBLANK(AU5:AU9)), "·", bdRateExtend( N5:N9,W5:W9, AL5:AL9,AU5:AU9))</f>
        <v>8.6601742298242357E-5</v>
      </c>
      <c r="BJ5" s="24">
        <f>IF( OR(ISBLANK(N5:N9),ISBLANK(AL5:AL9), ISBLANK(X5:X9),ISBLANK(AV5:AV9)), "·", bdRateExtend( N5:N9,X5:X9, AL5:AL9,AV5:AV9))</f>
        <v>8.2591611881399629E-5</v>
      </c>
      <c r="BK5" s="24">
        <f>IF( OR(ISBLANK(V5:V9),ISBLANK(AT5:AT9), ISBLANK(Y5:Y9),ISBLANK(AW5:AW9)), "·", bdRateExtend( V5:V9,Y5:Y9, AT5:AT9,AW5:AW9))</f>
        <v>2.185635905194161E-5</v>
      </c>
      <c r="BL5" s="24">
        <f>IF( OR(ISBLANK(V5:V9),ISBLANK(AT5:AT9), ISBLANK(Z5:Z9),ISBLANK(AX5:AX9)), "·", bdRateExtend( V5:V9,Z5:Z9, AT5:AT9,AX5:AX9))</f>
        <v>2.1795260834123198E-5</v>
      </c>
      <c r="BM5" s="24">
        <f>IF( OR(ISBLANK(V5:V9),ISBLANK(AT5:AT9), ISBLANK(AA5:AA9),ISBLANK(AY5:AY9)), "·", bdRateExtend( V5:V9,AA5:AA9, AT5:AT9,AY5:AY9))</f>
        <v>2.191384363481319E-5</v>
      </c>
      <c r="BO5" s="24">
        <f>IF( OR(ISBLANK(S5:S9),ISBLANK(AQ5:AQ9), ISBLANK(W5:W9),ISBLANK(AU5:AU9)), "·", bdRateExtend( S5:S9,W5:W9, AQ5:AQ9,AU5:AU9))</f>
        <v>1.1324274851176597E-14</v>
      </c>
      <c r="BP5" s="24">
        <f>IF( OR(ISBLANK(S5:S9),ISBLANK(AQ5:AQ9), ISBLANK(X5:X9),ISBLANK(AV5:AV9)), "·", bdRateExtend( S5:S9,X5:X9, AQ5:AQ9,AV5:AV9))</f>
        <v>0</v>
      </c>
      <c r="BQ5" s="24">
        <f>IF( OR(ISBLANK(S5:S9),ISBLANK(AQ5:AQ9), ISBLANK(Y5:Y9),ISBLANK(AW5:AW9)), "·", bdRateExtend( S5:S9,Y5:Y9, AQ5:AQ9,AW5:AW9))</f>
        <v>9.9920072216264089E-15</v>
      </c>
      <c r="BR5" s="24">
        <f>IF( OR(ISBLANK(S5:S9),ISBLANK(AQ5:AQ9), ISBLANK(Z5:Z9),ISBLANK(AX5:AX9)), "·", bdRateExtend( S5:S9,Z5:Z9, AQ5:AQ9,AX5:AX9))</f>
        <v>9.3258734068513149E-15</v>
      </c>
      <c r="BS5" s="24">
        <f>IF( OR(ISBLANK(S5:S9),ISBLANK(AQ5:AQ9), ISBLANK(AA5:AA9),ISBLANK(AY5:AY9)), "·", bdRateExtend( S5:S9,AA5:AA9, AQ5:AQ9,AY5:AY9))</f>
        <v>1.9539925233402755E-14</v>
      </c>
      <c r="BU5">
        <f>AQ5-S5</f>
        <v>0</v>
      </c>
    </row>
    <row r="6" spans="1:73" outlineLevel="1" x14ac:dyDescent="0.25">
      <c r="A6" s="25"/>
      <c r="B6" s="25" t="s">
        <v>264</v>
      </c>
      <c r="C6" s="26" t="s">
        <v>267</v>
      </c>
      <c r="D6" s="25">
        <v>24964341</v>
      </c>
      <c r="E6" s="26">
        <v>10</v>
      </c>
      <c r="F6" s="26">
        <v>32</v>
      </c>
      <c r="G6" s="26">
        <v>30</v>
      </c>
      <c r="I6" s="27">
        <f t="shared" si="0"/>
        <v>3.4893675000000002</v>
      </c>
      <c r="J6" s="28">
        <f t="shared" si="1"/>
        <v>0.14909233934915406</v>
      </c>
      <c r="K6" s="28">
        <f t="shared" si="2"/>
        <v>7.3698827726582886E-2</v>
      </c>
      <c r="L6" s="28">
        <f t="shared" si="3"/>
        <v>4.6596169579107657E-2</v>
      </c>
      <c r="M6" s="28">
        <f t="shared" si="4"/>
        <v>7.5389238861409164E-2</v>
      </c>
      <c r="N6" s="25">
        <f t="shared" si="5"/>
        <v>1839842.66666667</v>
      </c>
      <c r="O6" s="28">
        <f t="shared" si="6"/>
        <v>0.1540485128864631</v>
      </c>
      <c r="P6" s="62">
        <v>24161168</v>
      </c>
      <c r="Q6" s="62">
        <v>755036.5</v>
      </c>
      <c r="R6" s="62">
        <v>19192.28125</v>
      </c>
      <c r="S6" s="63">
        <v>3721992</v>
      </c>
      <c r="T6" s="63">
        <v>1163242.66666667</v>
      </c>
      <c r="U6" s="63">
        <v>676600</v>
      </c>
      <c r="V6" s="63">
        <v>1882042.66666667</v>
      </c>
      <c r="W6" s="64">
        <v>68.2381125</v>
      </c>
      <c r="X6" s="64">
        <v>70.356650000000002</v>
      </c>
      <c r="Y6" s="64">
        <v>34.445496875000003</v>
      </c>
      <c r="Z6" s="64">
        <v>45.472078125000003</v>
      </c>
      <c r="AA6" s="64">
        <v>45.189937499999999</v>
      </c>
      <c r="AB6" s="65"/>
      <c r="AC6" s="65"/>
      <c r="AD6" s="65"/>
      <c r="AE6" s="65"/>
      <c r="AG6" s="27">
        <f t="shared" si="7"/>
        <v>3.4893675000000002</v>
      </c>
      <c r="AH6" s="28">
        <f t="shared" si="8"/>
        <v>0.14909233934915406</v>
      </c>
      <c r="AI6" s="28">
        <f t="shared" si="9"/>
        <v>7.3706411877645803E-2</v>
      </c>
      <c r="AJ6" s="28">
        <f t="shared" si="10"/>
        <v>4.6598626416775833E-2</v>
      </c>
      <c r="AK6" s="28">
        <f t="shared" si="11"/>
        <v>7.5391695699077332E-2</v>
      </c>
      <c r="AL6" s="25">
        <f t="shared" si="12"/>
        <v>1840032</v>
      </c>
      <c r="AM6" s="28">
        <f t="shared" si="13"/>
        <v>0.1540485128864631</v>
      </c>
      <c r="AN6" s="62">
        <v>24161168</v>
      </c>
      <c r="AO6" s="62">
        <v>755036.5</v>
      </c>
      <c r="AP6" s="62">
        <v>19192.28125</v>
      </c>
      <c r="AQ6" s="63">
        <v>3721992</v>
      </c>
      <c r="AR6" s="63">
        <v>1163304</v>
      </c>
      <c r="AS6" s="63">
        <v>676728</v>
      </c>
      <c r="AT6" s="63">
        <v>1882104</v>
      </c>
      <c r="AU6" s="64">
        <v>68.2381125</v>
      </c>
      <c r="AV6" s="64">
        <v>70.356650000000002</v>
      </c>
      <c r="AW6" s="64">
        <v>34.445496874999897</v>
      </c>
      <c r="AX6" s="64">
        <v>45.472078124999904</v>
      </c>
      <c r="AY6" s="64">
        <v>45.189937499999999</v>
      </c>
      <c r="AZ6" s="65">
        <v>6472.4</v>
      </c>
      <c r="BA6" s="65">
        <v>1207.5</v>
      </c>
      <c r="BB6" s="65">
        <v>7.46</v>
      </c>
      <c r="BC6" s="65">
        <v>23.172000000000001</v>
      </c>
      <c r="BE6" s="33">
        <f t="shared" si="14"/>
        <v>0</v>
      </c>
      <c r="BF6" s="33">
        <f t="shared" si="15"/>
        <v>5.0868817915217246E-5</v>
      </c>
      <c r="BG6" s="33"/>
      <c r="BI6" s="34"/>
      <c r="BJ6" s="34"/>
      <c r="BK6" s="34"/>
      <c r="BL6" s="34"/>
      <c r="BM6" s="34"/>
      <c r="BO6" s="34"/>
      <c r="BP6" s="34"/>
      <c r="BQ6" s="34"/>
      <c r="BR6" s="34"/>
      <c r="BS6" s="34"/>
      <c r="BU6" s="4">
        <f t="shared" ref="BU6:BU29" si="16">AQ6-S6</f>
        <v>0</v>
      </c>
    </row>
    <row r="7" spans="1:73" outlineLevel="1" x14ac:dyDescent="0.25">
      <c r="A7" s="15"/>
      <c r="B7" s="15" t="s">
        <v>264</v>
      </c>
      <c r="C7" s="16" t="s">
        <v>268</v>
      </c>
      <c r="D7" s="15">
        <v>24964341</v>
      </c>
      <c r="E7" s="16">
        <v>10</v>
      </c>
      <c r="F7" s="16">
        <v>32</v>
      </c>
      <c r="G7" s="16">
        <v>30</v>
      </c>
      <c r="I7" s="17">
        <f t="shared" si="0"/>
        <v>5.7166499999999996</v>
      </c>
      <c r="J7" s="18">
        <f t="shared" si="1"/>
        <v>0.24425880098337063</v>
      </c>
      <c r="K7" s="18">
        <f t="shared" si="2"/>
        <v>9.1614301641956816E-2</v>
      </c>
      <c r="L7" s="18">
        <f t="shared" si="3"/>
        <v>6.4511643494481588E-2</v>
      </c>
      <c r="M7" s="18">
        <f t="shared" si="4"/>
        <v>0.15264022658025181</v>
      </c>
      <c r="N7" s="15">
        <f t="shared" si="5"/>
        <v>2287090.6666666698</v>
      </c>
      <c r="O7" s="18">
        <f t="shared" si="6"/>
        <v>0.24536718423153209</v>
      </c>
      <c r="P7" s="58">
        <v>24851571</v>
      </c>
      <c r="Q7" s="58">
        <v>776611.59375</v>
      </c>
      <c r="R7" s="58">
        <v>21049.5</v>
      </c>
      <c r="S7" s="59">
        <v>6097760</v>
      </c>
      <c r="T7" s="59">
        <v>1610490.66666667</v>
      </c>
      <c r="U7" s="59">
        <v>676600</v>
      </c>
      <c r="V7" s="59">
        <v>3810562.6666666698</v>
      </c>
      <c r="W7" s="60">
        <v>69.677409374999996</v>
      </c>
      <c r="X7" s="60">
        <v>72.041343749999996</v>
      </c>
      <c r="Y7" s="60">
        <v>36.986228124999997</v>
      </c>
      <c r="Z7" s="60">
        <v>46.565628125000003</v>
      </c>
      <c r="AA7" s="60">
        <v>46.444781249999998</v>
      </c>
      <c r="AB7" s="61"/>
      <c r="AC7" s="61"/>
      <c r="AD7" s="61"/>
      <c r="AE7" s="61"/>
      <c r="AG7" s="17">
        <f t="shared" si="7"/>
        <v>5.7166499999999996</v>
      </c>
      <c r="AH7" s="18">
        <f t="shared" si="8"/>
        <v>0.24425880098337063</v>
      </c>
      <c r="AI7" s="18">
        <f t="shared" si="9"/>
        <v>9.1621885793019733E-2</v>
      </c>
      <c r="AJ7" s="18">
        <f t="shared" si="10"/>
        <v>6.4514100332149771E-2</v>
      </c>
      <c r="AK7" s="18">
        <f t="shared" si="11"/>
        <v>0.15264268341791998</v>
      </c>
      <c r="AL7" s="15">
        <f t="shared" si="12"/>
        <v>2287280</v>
      </c>
      <c r="AM7" s="18">
        <f t="shared" si="13"/>
        <v>0.24536718423153209</v>
      </c>
      <c r="AN7" s="58">
        <v>24851571</v>
      </c>
      <c r="AO7" s="58">
        <v>776611.59375</v>
      </c>
      <c r="AP7" s="58">
        <v>21049.5</v>
      </c>
      <c r="AQ7" s="59">
        <v>6097760</v>
      </c>
      <c r="AR7" s="59">
        <v>1610552</v>
      </c>
      <c r="AS7" s="59">
        <v>676728</v>
      </c>
      <c r="AT7" s="59">
        <v>3810624</v>
      </c>
      <c r="AU7" s="60">
        <v>69.677409374999897</v>
      </c>
      <c r="AV7" s="60">
        <v>72.041343749999996</v>
      </c>
      <c r="AW7" s="60">
        <v>36.986228124999897</v>
      </c>
      <c r="AX7" s="60">
        <v>46.565628125000003</v>
      </c>
      <c r="AY7" s="60">
        <v>46.444781249999998</v>
      </c>
      <c r="AZ7" s="61">
        <v>6443.22</v>
      </c>
      <c r="BA7" s="61">
        <v>1276.8800000000001</v>
      </c>
      <c r="BB7" s="61">
        <v>6.4279999999999999</v>
      </c>
      <c r="BC7" s="61">
        <v>20.111999999999998</v>
      </c>
      <c r="BE7" s="23">
        <f t="shared" si="14"/>
        <v>0</v>
      </c>
      <c r="BF7" s="23">
        <f t="shared" si="15"/>
        <v>3.1049653205494909E-5</v>
      </c>
      <c r="BG7" s="23"/>
      <c r="BI7" s="24"/>
      <c r="BJ7" s="24"/>
      <c r="BK7" s="24"/>
      <c r="BL7" s="24"/>
      <c r="BM7" s="24"/>
      <c r="BO7" s="24"/>
      <c r="BP7" s="24"/>
      <c r="BQ7" s="24"/>
      <c r="BR7" s="24"/>
      <c r="BS7" s="24"/>
      <c r="BU7" s="4">
        <f t="shared" si="16"/>
        <v>0</v>
      </c>
    </row>
    <row r="8" spans="1:73" outlineLevel="1" x14ac:dyDescent="0.25">
      <c r="A8" s="25"/>
      <c r="B8" s="25" t="s">
        <v>264</v>
      </c>
      <c r="C8" s="26" t="s">
        <v>269</v>
      </c>
      <c r="D8" s="25">
        <v>24964341</v>
      </c>
      <c r="E8" s="26">
        <v>10</v>
      </c>
      <c r="F8" s="26">
        <v>32</v>
      </c>
      <c r="G8" s="26">
        <v>30</v>
      </c>
      <c r="I8" s="27">
        <f t="shared" si="0"/>
        <v>9.9381299999999992</v>
      </c>
      <c r="J8" s="28">
        <f t="shared" si="1"/>
        <v>0.42463255889670792</v>
      </c>
      <c r="K8" s="28">
        <f t="shared" si="2"/>
        <v>0.12106334658169705</v>
      </c>
      <c r="L8" s="28">
        <f t="shared" si="3"/>
        <v>9.3960688434221826E-2</v>
      </c>
      <c r="M8" s="28">
        <f t="shared" si="4"/>
        <v>0.30356493955384883</v>
      </c>
      <c r="N8" s="25">
        <f t="shared" si="5"/>
        <v>3022266.6666666698</v>
      </c>
      <c r="O8" s="28">
        <f t="shared" si="6"/>
        <v>0.40887703717783497</v>
      </c>
      <c r="P8" s="62">
        <v>25926308</v>
      </c>
      <c r="Q8" s="62">
        <v>810197.125</v>
      </c>
      <c r="R8" s="62">
        <v>24362.6875</v>
      </c>
      <c r="S8" s="63">
        <v>10600672</v>
      </c>
      <c r="T8" s="63">
        <v>2345666.6666666698</v>
      </c>
      <c r="U8" s="63">
        <v>676600</v>
      </c>
      <c r="V8" s="63">
        <v>7578298.6666666698</v>
      </c>
      <c r="W8" s="64">
        <v>70.749765624999995</v>
      </c>
      <c r="X8" s="64">
        <v>73.293743750000004</v>
      </c>
      <c r="Y8" s="64">
        <v>39.614121875000002</v>
      </c>
      <c r="Z8" s="64">
        <v>47.886353124999999</v>
      </c>
      <c r="AA8" s="64">
        <v>47.917003125000001</v>
      </c>
      <c r="AB8" s="65"/>
      <c r="AC8" s="65"/>
      <c r="AD8" s="65"/>
      <c r="AE8" s="65"/>
      <c r="AG8" s="27">
        <f t="shared" si="7"/>
        <v>9.9381299999999992</v>
      </c>
      <c r="AH8" s="28">
        <f t="shared" si="8"/>
        <v>0.42463255889670792</v>
      </c>
      <c r="AI8" s="28">
        <f t="shared" si="9"/>
        <v>0.12107093073275998</v>
      </c>
      <c r="AJ8" s="28">
        <f t="shared" si="10"/>
        <v>9.3963145271890008E-2</v>
      </c>
      <c r="AK8" s="28">
        <f t="shared" si="11"/>
        <v>0.30356739639151703</v>
      </c>
      <c r="AL8" s="25">
        <f t="shared" si="12"/>
        <v>3022456</v>
      </c>
      <c r="AM8" s="28">
        <f t="shared" si="13"/>
        <v>0.40887703717783497</v>
      </c>
      <c r="AN8" s="62">
        <v>25926308</v>
      </c>
      <c r="AO8" s="62">
        <v>810197.125</v>
      </c>
      <c r="AP8" s="62">
        <v>24362.6875</v>
      </c>
      <c r="AQ8" s="63">
        <v>10600672</v>
      </c>
      <c r="AR8" s="63">
        <v>2345728</v>
      </c>
      <c r="AS8" s="63">
        <v>676728</v>
      </c>
      <c r="AT8" s="63">
        <v>7578360</v>
      </c>
      <c r="AU8" s="64">
        <v>70.749765624999995</v>
      </c>
      <c r="AV8" s="64">
        <v>73.293743750000004</v>
      </c>
      <c r="AW8" s="64">
        <v>39.614121875000002</v>
      </c>
      <c r="AX8" s="64">
        <v>47.886353124999999</v>
      </c>
      <c r="AY8" s="64">
        <v>47.917003124999901</v>
      </c>
      <c r="AZ8" s="65">
        <v>7211.25</v>
      </c>
      <c r="BA8" s="65">
        <v>1402.4</v>
      </c>
      <c r="BB8" s="65">
        <v>6.5119999999999996</v>
      </c>
      <c r="BC8" s="65">
        <v>20.8</v>
      </c>
      <c r="BE8" s="33">
        <f t="shared" si="14"/>
        <v>0</v>
      </c>
      <c r="BF8" s="33">
        <f t="shared" si="15"/>
        <v>1.7860502931343891E-5</v>
      </c>
      <c r="BG8" s="33"/>
      <c r="BI8" s="34"/>
      <c r="BJ8" s="34"/>
      <c r="BK8" s="34"/>
      <c r="BL8" s="34"/>
      <c r="BM8" s="34"/>
      <c r="BO8" s="34"/>
      <c r="BP8" s="34"/>
      <c r="BQ8" s="34"/>
      <c r="BR8" s="34"/>
      <c r="BS8" s="34"/>
      <c r="BU8" s="4">
        <f t="shared" si="16"/>
        <v>0</v>
      </c>
    </row>
    <row r="9" spans="1:73" ht="15.75" outlineLevel="1" thickBot="1" x14ac:dyDescent="0.3">
      <c r="A9" s="15"/>
      <c r="B9" s="35" t="s">
        <v>264</v>
      </c>
      <c r="C9" s="36" t="s">
        <v>270</v>
      </c>
      <c r="D9" s="35">
        <v>24964341</v>
      </c>
      <c r="E9" s="36">
        <v>10</v>
      </c>
      <c r="F9" s="36">
        <v>32</v>
      </c>
      <c r="G9" s="36">
        <v>30</v>
      </c>
      <c r="I9" s="37">
        <f t="shared" si="0"/>
        <v>18.132832499999999</v>
      </c>
      <c r="J9" s="38">
        <f t="shared" si="1"/>
        <v>0.77477262468093988</v>
      </c>
      <c r="K9" s="38">
        <f t="shared" si="2"/>
        <v>0.19590065151996883</v>
      </c>
      <c r="L9" s="38">
        <f t="shared" si="3"/>
        <v>0.14376292435144472</v>
      </c>
      <c r="M9" s="38">
        <f t="shared" si="4"/>
        <v>0.57886770039981028</v>
      </c>
      <c r="N9" s="35">
        <f t="shared" si="5"/>
        <v>4890530.6666666698</v>
      </c>
      <c r="O9" s="38">
        <f t="shared" si="6"/>
        <v>0.77391467739137176</v>
      </c>
      <c r="P9" s="66">
        <v>24992016</v>
      </c>
      <c r="Q9" s="66">
        <v>781000.5</v>
      </c>
      <c r="R9" s="66">
        <v>10306.34375</v>
      </c>
      <c r="S9" s="67">
        <v>19341688</v>
      </c>
      <c r="T9" s="67">
        <v>3588946.6666666698</v>
      </c>
      <c r="U9" s="67">
        <v>1301584</v>
      </c>
      <c r="V9" s="67">
        <v>14451050.6666667</v>
      </c>
      <c r="W9" s="68">
        <v>72.062162499999999</v>
      </c>
      <c r="X9" s="68">
        <v>75.321165625000006</v>
      </c>
      <c r="Y9" s="68">
        <v>42.039612499999997</v>
      </c>
      <c r="Z9" s="68">
        <v>49.434653124999997</v>
      </c>
      <c r="AA9" s="68">
        <v>49.581253125000003</v>
      </c>
      <c r="AB9" s="69"/>
      <c r="AC9" s="69"/>
      <c r="AD9" s="69"/>
      <c r="AE9" s="69"/>
      <c r="AG9" s="37">
        <f t="shared" si="7"/>
        <v>18.132832499999999</v>
      </c>
      <c r="AH9" s="38">
        <f t="shared" si="8"/>
        <v>0.77477262468093988</v>
      </c>
      <c r="AI9" s="38">
        <f t="shared" si="9"/>
        <v>0.19590823567103174</v>
      </c>
      <c r="AJ9" s="38">
        <f t="shared" si="10"/>
        <v>0.14376538118911289</v>
      </c>
      <c r="AK9" s="38">
        <f t="shared" si="11"/>
        <v>0.57887015723747726</v>
      </c>
      <c r="AL9" s="35">
        <f t="shared" si="12"/>
        <v>4890720</v>
      </c>
      <c r="AM9" s="38">
        <f t="shared" si="13"/>
        <v>0.77391467739137176</v>
      </c>
      <c r="AN9" s="66">
        <v>24992016</v>
      </c>
      <c r="AO9" s="66">
        <v>781000.5</v>
      </c>
      <c r="AP9" s="66">
        <v>10306.34375</v>
      </c>
      <c r="AQ9" s="67">
        <v>19341688</v>
      </c>
      <c r="AR9" s="67">
        <v>3589008</v>
      </c>
      <c r="AS9" s="67">
        <v>1301712</v>
      </c>
      <c r="AT9" s="67">
        <v>14451112</v>
      </c>
      <c r="AU9" s="68">
        <v>72.062162499999999</v>
      </c>
      <c r="AV9" s="68">
        <v>75.321165625000006</v>
      </c>
      <c r="AW9" s="68">
        <v>42.039612499999997</v>
      </c>
      <c r="AX9" s="68">
        <v>49.434653124999997</v>
      </c>
      <c r="AY9" s="68">
        <v>49.581253124999897</v>
      </c>
      <c r="AZ9" s="69">
        <v>7221.22</v>
      </c>
      <c r="BA9" s="69">
        <v>1640.85</v>
      </c>
      <c r="BB9" s="69">
        <v>6.52</v>
      </c>
      <c r="BC9" s="69">
        <v>22.492000000000001</v>
      </c>
      <c r="BE9" s="43">
        <f t="shared" si="14"/>
        <v>0</v>
      </c>
      <c r="BF9" s="43">
        <f t="shared" si="15"/>
        <v>9.7888733046613829E-6</v>
      </c>
      <c r="BG9" s="43"/>
      <c r="BI9" s="44"/>
      <c r="BJ9" s="44"/>
      <c r="BK9" s="44"/>
      <c r="BL9" s="44"/>
      <c r="BM9" s="44"/>
      <c r="BO9" s="44"/>
      <c r="BP9" s="44"/>
      <c r="BQ9" s="44"/>
      <c r="BR9" s="44"/>
      <c r="BS9" s="44"/>
      <c r="BU9" s="4">
        <f t="shared" si="16"/>
        <v>0</v>
      </c>
    </row>
    <row r="10" spans="1:73" x14ac:dyDescent="0.25">
      <c r="A10" s="25"/>
      <c r="B10" s="25" t="s">
        <v>273</v>
      </c>
      <c r="C10" s="26" t="s">
        <v>266</v>
      </c>
      <c r="D10" s="25">
        <v>22654789</v>
      </c>
      <c r="E10" s="26">
        <v>10</v>
      </c>
      <c r="F10" s="26">
        <v>32</v>
      </c>
      <c r="G10" s="26">
        <v>30</v>
      </c>
      <c r="I10" s="27">
        <f t="shared" si="0"/>
        <v>3.2629649999999999</v>
      </c>
      <c r="J10" s="28">
        <f t="shared" si="1"/>
        <v>0.1536317994398447</v>
      </c>
      <c r="K10" s="28">
        <f t="shared" si="2"/>
        <v>7.9618427109017301E-2</v>
      </c>
      <c r="L10" s="28">
        <f t="shared" si="3"/>
        <v>4.0423182342005787E-2</v>
      </c>
      <c r="M10" s="28">
        <f t="shared" si="4"/>
        <v>7.4008663981230197E-2</v>
      </c>
      <c r="N10" s="25">
        <f t="shared" si="5"/>
        <v>1803738.666666667</v>
      </c>
      <c r="O10" s="28">
        <f t="shared" si="6"/>
        <v>0.16845792264256165</v>
      </c>
      <c r="P10" s="62">
        <v>20660922</v>
      </c>
      <c r="Q10" s="62">
        <v>645653.8125</v>
      </c>
      <c r="R10" s="62">
        <v>18447.71875</v>
      </c>
      <c r="S10" s="63">
        <v>3480496</v>
      </c>
      <c r="T10" s="63">
        <v>915778.66666666698</v>
      </c>
      <c r="U10" s="63">
        <v>887960</v>
      </c>
      <c r="V10" s="63">
        <v>1676650.66666667</v>
      </c>
      <c r="W10" s="64">
        <v>65.910393749999997</v>
      </c>
      <c r="X10" s="64">
        <v>67.841156249999997</v>
      </c>
      <c r="Y10" s="64">
        <v>32.503643750000002</v>
      </c>
      <c r="Z10" s="64">
        <v>39.236006250000003</v>
      </c>
      <c r="AA10" s="64">
        <v>32.222728125000003</v>
      </c>
      <c r="AB10" s="65"/>
      <c r="AC10" s="65"/>
      <c r="AD10" s="65"/>
      <c r="AE10" s="65"/>
      <c r="AG10" s="27">
        <f t="shared" si="7"/>
        <v>3.2629649999999999</v>
      </c>
      <c r="AH10" s="28">
        <f t="shared" si="8"/>
        <v>0.1536317994398447</v>
      </c>
      <c r="AI10" s="28">
        <f t="shared" si="9"/>
        <v>7.9626784429552622E-2</v>
      </c>
      <c r="AJ10" s="28">
        <f t="shared" si="10"/>
        <v>4.0425889643024265E-2</v>
      </c>
      <c r="AK10" s="28">
        <f t="shared" si="11"/>
        <v>7.4011371282248536E-2</v>
      </c>
      <c r="AL10" s="25">
        <f t="shared" si="12"/>
        <v>1803928</v>
      </c>
      <c r="AM10" s="28">
        <f t="shared" si="13"/>
        <v>0.16845792264256165</v>
      </c>
      <c r="AN10" s="62">
        <v>20660922</v>
      </c>
      <c r="AO10" s="62">
        <v>645653.8125</v>
      </c>
      <c r="AP10" s="62">
        <v>18447.71875</v>
      </c>
      <c r="AQ10" s="63">
        <v>3480496</v>
      </c>
      <c r="AR10" s="63">
        <v>915840</v>
      </c>
      <c r="AS10" s="63">
        <v>888088</v>
      </c>
      <c r="AT10" s="63">
        <v>1676712</v>
      </c>
      <c r="AU10" s="64">
        <v>65.910393749999997</v>
      </c>
      <c r="AV10" s="64">
        <v>67.841156249999997</v>
      </c>
      <c r="AW10" s="64">
        <v>32.503643750000002</v>
      </c>
      <c r="AX10" s="64">
        <v>39.236006249999903</v>
      </c>
      <c r="AY10" s="64">
        <v>32.222728125000003</v>
      </c>
      <c r="AZ10" s="65">
        <v>6946.16</v>
      </c>
      <c r="BA10" s="65">
        <v>1142.68</v>
      </c>
      <c r="BB10" s="65">
        <v>5.9720000000000004</v>
      </c>
      <c r="BC10" s="65">
        <v>20.007999999999999</v>
      </c>
      <c r="BE10" s="33">
        <f t="shared" si="14"/>
        <v>0</v>
      </c>
      <c r="BF10" s="33">
        <f t="shared" si="15"/>
        <v>5.439837693621552E-5</v>
      </c>
      <c r="BG10" s="33">
        <f t="array" ref="BG10">AVERAGE(AL10:AL14/AQ10:AQ14) - AVERAGE(N10:N14/S10:S14)</f>
        <v>2.7644737674303865E-5</v>
      </c>
      <c r="BI10" s="34">
        <f>IF( OR(ISBLANK(N10:N14),ISBLANK(AL10:AL14), ISBLANK(W10:W14),ISBLANK(AU10:AU14)), "·", bdRateExtend( N10:N14,W10:W14, AL10:AL14,AU10:AU14))</f>
        <v>7.3376207791797654E-5</v>
      </c>
      <c r="BJ10" s="34">
        <f>IF( OR(ISBLANK(N10:N14),ISBLANK(AL10:AL14), ISBLANK(X10:X14),ISBLANK(AV10:AV14)), "·", bdRateExtend( N10:N14,X10:X14, AL10:AL14,AV10:AV14))</f>
        <v>6.8604360440760459E-5</v>
      </c>
      <c r="BK10" s="34">
        <f>IF( OR(ISBLANK(V10:V14),ISBLANK(AT10:AT14), ISBLANK(Y10:Y14),ISBLANK(AW10:AW14)), "·", bdRateExtend( V10:V14,Y10:Y14, AT10:AT14,AW10:AW14))</f>
        <v>1.3884324249424651E-5</v>
      </c>
      <c r="BL10" s="34">
        <f>IF( OR(ISBLANK(V10:V14),ISBLANK(AT10:AT14), ISBLANK(Z10:Z14),ISBLANK(AX10:AX14)), "·", bdRateExtend( V10:V14,Z10:Z14, AT10:AT14,AX10:AX14))</f>
        <v>1.299387434028354E-5</v>
      </c>
      <c r="BM10" s="34">
        <f>IF( OR(ISBLANK(V10:V14),ISBLANK(AT10:AT14), ISBLANK(AA10:AA14),ISBLANK(AY10:AY14)), "·", bdRateExtend( V10:V14,AA10:AA14, AT10:AT14,AY10:AY14))</f>
        <v>1.4281250397374379E-5</v>
      </c>
      <c r="BO10" s="34">
        <f>IF( OR(ISBLANK(S10:S14),ISBLANK(AQ10:AQ14), ISBLANK(W10:W14),ISBLANK(AU10:AU14)), "·", bdRateExtend( S10:S14,W10:W14, AQ10:AQ14,AU10:AU14))</f>
        <v>0</v>
      </c>
      <c r="BP10" s="34">
        <f>IF( OR(ISBLANK(S10:S14),ISBLANK(AQ10:AQ14), ISBLANK(X10:X14),ISBLANK(AV10:AV14)), "·", bdRateExtend( S10:S14,X10:X14, AQ10:AQ14,AV10:AV14))</f>
        <v>9.5479180117763462E-15</v>
      </c>
      <c r="BQ10" s="34">
        <f>IF( OR(ISBLANK(S10:S14),ISBLANK(AQ10:AQ14), ISBLANK(Y10:Y14),ISBLANK(AW10:AW14)), "·", bdRateExtend( S10:S14,Y10:Y14, AQ10:AQ14,AW10:AW14))</f>
        <v>0</v>
      </c>
      <c r="BR10" s="34">
        <f>IF( OR(ISBLANK(S10:S14),ISBLANK(AQ10:AQ14), ISBLANK(Z10:Z14),ISBLANK(AX10:AX14)), "·", bdRateExtend( S10:S14,Z10:Z14, AQ10:AQ14,AX10:AX14))</f>
        <v>2.8643754035329039E-14</v>
      </c>
      <c r="BS10" s="34">
        <f>IF( OR(ISBLANK(S10:S14),ISBLANK(AQ10:AQ14), ISBLANK(AA10:AA14),ISBLANK(AY10:AY14)), "·", bdRateExtend( S10:S14,AA10:AA14, AQ10:AQ14,AY10:AY14))</f>
        <v>1.3100631690576847E-14</v>
      </c>
      <c r="BU10" s="4">
        <f t="shared" si="16"/>
        <v>0</v>
      </c>
    </row>
    <row r="11" spans="1:73" outlineLevel="1" x14ac:dyDescent="0.25">
      <c r="A11" s="15"/>
      <c r="B11" s="15" t="s">
        <v>273</v>
      </c>
      <c r="C11" s="16" t="s">
        <v>267</v>
      </c>
      <c r="D11" s="15">
        <v>22654789</v>
      </c>
      <c r="E11" s="16">
        <v>10</v>
      </c>
      <c r="F11" s="16">
        <v>32</v>
      </c>
      <c r="G11" s="16">
        <v>30</v>
      </c>
      <c r="I11" s="17">
        <f t="shared" si="0"/>
        <v>4.7058</v>
      </c>
      <c r="J11" s="18">
        <f t="shared" si="1"/>
        <v>0.22156551535306729</v>
      </c>
      <c r="K11" s="18">
        <f t="shared" si="2"/>
        <v>9.5640823080129764E-2</v>
      </c>
      <c r="L11" s="18">
        <f t="shared" si="3"/>
        <v>5.6445578313118257E-2</v>
      </c>
      <c r="M11" s="18">
        <f t="shared" si="4"/>
        <v>0.12591998392334044</v>
      </c>
      <c r="N11" s="15">
        <f t="shared" si="5"/>
        <v>2166722.6666666698</v>
      </c>
      <c r="O11" s="18">
        <f t="shared" si="6"/>
        <v>0.22600665990953195</v>
      </c>
      <c r="P11" s="58">
        <v>22209611</v>
      </c>
      <c r="Q11" s="58">
        <v>694050.34375</v>
      </c>
      <c r="R11" s="58">
        <v>23853.375</v>
      </c>
      <c r="S11" s="59">
        <v>5019520</v>
      </c>
      <c r="T11" s="59">
        <v>1278762.66666667</v>
      </c>
      <c r="U11" s="59">
        <v>887960</v>
      </c>
      <c r="V11" s="59">
        <v>2852690.6666666698</v>
      </c>
      <c r="W11" s="60">
        <v>67.633171875000002</v>
      </c>
      <c r="X11" s="60">
        <v>69.747609374999996</v>
      </c>
      <c r="Y11" s="60">
        <v>34.396753124999996</v>
      </c>
      <c r="Z11" s="60">
        <v>40.0805875</v>
      </c>
      <c r="AA11" s="60">
        <v>33.994296875000003</v>
      </c>
      <c r="AB11" s="61"/>
      <c r="AC11" s="61"/>
      <c r="AD11" s="61"/>
      <c r="AE11" s="61"/>
      <c r="AG11" s="17">
        <f t="shared" si="7"/>
        <v>4.7058</v>
      </c>
      <c r="AH11" s="18">
        <f t="shared" si="8"/>
        <v>0.22156551535306729</v>
      </c>
      <c r="AI11" s="18">
        <f t="shared" si="9"/>
        <v>9.564918040066496E-2</v>
      </c>
      <c r="AJ11" s="18">
        <f t="shared" si="10"/>
        <v>5.6448285614136597E-2</v>
      </c>
      <c r="AK11" s="18">
        <f t="shared" si="11"/>
        <v>0.12592269122435878</v>
      </c>
      <c r="AL11" s="15">
        <f t="shared" si="12"/>
        <v>2166912</v>
      </c>
      <c r="AM11" s="18">
        <f t="shared" si="13"/>
        <v>0.22600665990953195</v>
      </c>
      <c r="AN11" s="58">
        <v>22209611</v>
      </c>
      <c r="AO11" s="58">
        <v>694050.34375</v>
      </c>
      <c r="AP11" s="58">
        <v>23853.375</v>
      </c>
      <c r="AQ11" s="59">
        <v>5019520</v>
      </c>
      <c r="AR11" s="59">
        <v>1278824</v>
      </c>
      <c r="AS11" s="59">
        <v>888088</v>
      </c>
      <c r="AT11" s="59">
        <v>2852752</v>
      </c>
      <c r="AU11" s="60">
        <v>67.633171875000002</v>
      </c>
      <c r="AV11" s="60">
        <v>69.747609374999996</v>
      </c>
      <c r="AW11" s="60">
        <v>34.396753124999996</v>
      </c>
      <c r="AX11" s="60">
        <v>40.080587499999901</v>
      </c>
      <c r="AY11" s="60">
        <v>33.994296874999897</v>
      </c>
      <c r="AZ11" s="61">
        <v>7018.78</v>
      </c>
      <c r="BA11" s="61">
        <v>1212.3399999999999</v>
      </c>
      <c r="BB11" s="61">
        <v>6.2</v>
      </c>
      <c r="BC11" s="61">
        <v>20.079999999999998</v>
      </c>
      <c r="BE11" s="23">
        <f t="shared" si="14"/>
        <v>0</v>
      </c>
      <c r="BF11" s="23">
        <f t="shared" si="15"/>
        <v>3.771941008906543E-5</v>
      </c>
      <c r="BG11" s="23"/>
      <c r="BI11" s="24"/>
      <c r="BJ11" s="24"/>
      <c r="BK11" s="24"/>
      <c r="BL11" s="24"/>
      <c r="BM11" s="24"/>
      <c r="BO11" s="24"/>
      <c r="BP11" s="24"/>
      <c r="BQ11" s="24"/>
      <c r="BR11" s="24"/>
      <c r="BS11" s="24"/>
      <c r="BU11" s="4">
        <f t="shared" si="16"/>
        <v>0</v>
      </c>
    </row>
    <row r="12" spans="1:73" outlineLevel="1" x14ac:dyDescent="0.25">
      <c r="A12" s="25"/>
      <c r="B12" s="25" t="s">
        <v>273</v>
      </c>
      <c r="C12" s="26" t="s">
        <v>268</v>
      </c>
      <c r="D12" s="25">
        <v>22654789</v>
      </c>
      <c r="E12" s="26">
        <v>10</v>
      </c>
      <c r="F12" s="26">
        <v>32</v>
      </c>
      <c r="G12" s="26">
        <v>30</v>
      </c>
      <c r="I12" s="27">
        <f t="shared" si="0"/>
        <v>7.300065</v>
      </c>
      <c r="J12" s="28">
        <f t="shared" si="1"/>
        <v>0.34371258103529456</v>
      </c>
      <c r="K12" s="28">
        <f t="shared" si="2"/>
        <v>0.11955629631627422</v>
      </c>
      <c r="L12" s="28">
        <f t="shared" si="3"/>
        <v>8.0361051549262721E-2</v>
      </c>
      <c r="M12" s="28">
        <f t="shared" si="4"/>
        <v>0.22415157636942326</v>
      </c>
      <c r="N12" s="25">
        <f t="shared" si="5"/>
        <v>2708522.6666666698</v>
      </c>
      <c r="O12" s="28">
        <f t="shared" si="6"/>
        <v>0.34275232094149466</v>
      </c>
      <c r="P12" s="62">
        <v>22718259</v>
      </c>
      <c r="Q12" s="62">
        <v>709945.59375</v>
      </c>
      <c r="R12" s="62">
        <v>25700.59375</v>
      </c>
      <c r="S12" s="63">
        <v>7786736</v>
      </c>
      <c r="T12" s="63">
        <v>1820562.66666667</v>
      </c>
      <c r="U12" s="63">
        <v>887960</v>
      </c>
      <c r="V12" s="63">
        <v>5078106.6666666698</v>
      </c>
      <c r="W12" s="64">
        <v>69.019671875</v>
      </c>
      <c r="X12" s="64">
        <v>71.363140625</v>
      </c>
      <c r="Y12" s="64">
        <v>36.512412500000003</v>
      </c>
      <c r="Z12" s="64">
        <v>41.018809374999996</v>
      </c>
      <c r="AA12" s="64">
        <v>35.786293749999999</v>
      </c>
      <c r="AB12" s="65"/>
      <c r="AC12" s="65"/>
      <c r="AD12" s="65"/>
      <c r="AE12" s="65"/>
      <c r="AG12" s="27">
        <f t="shared" si="7"/>
        <v>7.300065</v>
      </c>
      <c r="AH12" s="28">
        <f t="shared" si="8"/>
        <v>0.34371258103529456</v>
      </c>
      <c r="AI12" s="28">
        <f t="shared" si="9"/>
        <v>0.11956465363680942</v>
      </c>
      <c r="AJ12" s="28">
        <f t="shared" si="10"/>
        <v>8.0363758850281061E-2</v>
      </c>
      <c r="AK12" s="28">
        <f t="shared" si="11"/>
        <v>0.2241542836704416</v>
      </c>
      <c r="AL12" s="25">
        <f t="shared" si="12"/>
        <v>2708712</v>
      </c>
      <c r="AM12" s="28">
        <f t="shared" si="13"/>
        <v>0.34275232094149466</v>
      </c>
      <c r="AN12" s="62">
        <v>22718259</v>
      </c>
      <c r="AO12" s="62">
        <v>709945.59375</v>
      </c>
      <c r="AP12" s="62">
        <v>25700.59375</v>
      </c>
      <c r="AQ12" s="63">
        <v>7786736</v>
      </c>
      <c r="AR12" s="63">
        <v>1820624</v>
      </c>
      <c r="AS12" s="63">
        <v>888088</v>
      </c>
      <c r="AT12" s="63">
        <v>5078168</v>
      </c>
      <c r="AU12" s="64">
        <v>69.019671875</v>
      </c>
      <c r="AV12" s="64">
        <v>71.3631406249999</v>
      </c>
      <c r="AW12" s="64">
        <v>36.512412500000003</v>
      </c>
      <c r="AX12" s="64">
        <v>41.018809374999996</v>
      </c>
      <c r="AY12" s="64">
        <v>35.786293749999899</v>
      </c>
      <c r="AZ12" s="65">
        <v>3000.54</v>
      </c>
      <c r="BA12" s="65">
        <v>1392.04</v>
      </c>
      <c r="BB12" s="65">
        <v>5.48</v>
      </c>
      <c r="BC12" s="65">
        <v>18.488</v>
      </c>
      <c r="BE12" s="33">
        <f t="shared" si="14"/>
        <v>0</v>
      </c>
      <c r="BF12" s="33">
        <f t="shared" si="15"/>
        <v>2.4314851990669961E-5</v>
      </c>
      <c r="BG12" s="33"/>
      <c r="BI12" s="34"/>
      <c r="BJ12" s="34"/>
      <c r="BK12" s="34"/>
      <c r="BL12" s="34"/>
      <c r="BM12" s="34"/>
      <c r="BO12" s="34"/>
      <c r="BP12" s="34"/>
      <c r="BQ12" s="34"/>
      <c r="BR12" s="34"/>
      <c r="BS12" s="34"/>
      <c r="BU12" s="4">
        <f t="shared" si="16"/>
        <v>0</v>
      </c>
    </row>
    <row r="13" spans="1:73" outlineLevel="1" x14ac:dyDescent="0.25">
      <c r="A13" s="15"/>
      <c r="B13" s="15" t="s">
        <v>273</v>
      </c>
      <c r="C13" s="16" t="s">
        <v>269</v>
      </c>
      <c r="D13" s="15">
        <v>22654789</v>
      </c>
      <c r="E13" s="16">
        <v>10</v>
      </c>
      <c r="F13" s="16">
        <v>32</v>
      </c>
      <c r="G13" s="16">
        <v>30</v>
      </c>
      <c r="I13" s="17">
        <f t="shared" si="0"/>
        <v>12.6498525</v>
      </c>
      <c r="J13" s="18">
        <f t="shared" si="1"/>
        <v>0.59559927925172906</v>
      </c>
      <c r="K13" s="18">
        <f t="shared" si="2"/>
        <v>0.16115103374684575</v>
      </c>
      <c r="L13" s="18">
        <f t="shared" si="3"/>
        <v>0.12195578897983424</v>
      </c>
      <c r="M13" s="18">
        <f t="shared" si="4"/>
        <v>0.43444353715528622</v>
      </c>
      <c r="N13" s="15">
        <f t="shared" si="5"/>
        <v>3650842.6666666698</v>
      </c>
      <c r="O13" s="18">
        <f t="shared" si="6"/>
        <v>0.5720240922738753</v>
      </c>
      <c r="P13" s="58">
        <v>23588475</v>
      </c>
      <c r="Q13" s="58">
        <v>737139.84375</v>
      </c>
      <c r="R13" s="58">
        <v>29305.53125</v>
      </c>
      <c r="S13" s="59">
        <v>13493176</v>
      </c>
      <c r="T13" s="59">
        <v>2762882.6666666698</v>
      </c>
      <c r="U13" s="59">
        <v>887960</v>
      </c>
      <c r="V13" s="59">
        <v>9842226.6666666698</v>
      </c>
      <c r="W13" s="60">
        <v>70.058049999999994</v>
      </c>
      <c r="X13" s="60">
        <v>72.60575</v>
      </c>
      <c r="Y13" s="60">
        <v>38.843421874999997</v>
      </c>
      <c r="Z13" s="60">
        <v>42.199859375000003</v>
      </c>
      <c r="AA13" s="60">
        <v>37.872881249999999</v>
      </c>
      <c r="AB13" s="61"/>
      <c r="AC13" s="61"/>
      <c r="AD13" s="61"/>
      <c r="AE13" s="61"/>
      <c r="AG13" s="17">
        <f t="shared" si="7"/>
        <v>12.6498525</v>
      </c>
      <c r="AH13" s="18">
        <f t="shared" si="8"/>
        <v>0.59559927925172906</v>
      </c>
      <c r="AI13" s="18">
        <f t="shared" si="9"/>
        <v>0.16115939106738095</v>
      </c>
      <c r="AJ13" s="18">
        <f t="shared" si="10"/>
        <v>0.12195849628085258</v>
      </c>
      <c r="AK13" s="18">
        <f t="shared" si="11"/>
        <v>0.43444624445630459</v>
      </c>
      <c r="AL13" s="15">
        <f t="shared" si="12"/>
        <v>3651032</v>
      </c>
      <c r="AM13" s="18">
        <f t="shared" si="13"/>
        <v>0.5720240922738753</v>
      </c>
      <c r="AN13" s="58">
        <v>23588475</v>
      </c>
      <c r="AO13" s="58">
        <v>737139.84375</v>
      </c>
      <c r="AP13" s="58">
        <v>29305.53125</v>
      </c>
      <c r="AQ13" s="59">
        <v>13493176</v>
      </c>
      <c r="AR13" s="59">
        <v>2762944</v>
      </c>
      <c r="AS13" s="59">
        <v>888088</v>
      </c>
      <c r="AT13" s="59">
        <v>9842288</v>
      </c>
      <c r="AU13" s="60">
        <v>70.058049999999994</v>
      </c>
      <c r="AV13" s="60">
        <v>72.60575</v>
      </c>
      <c r="AW13" s="60">
        <v>38.843421874999997</v>
      </c>
      <c r="AX13" s="60">
        <v>42.199859374999903</v>
      </c>
      <c r="AY13" s="60">
        <v>37.872881249999999</v>
      </c>
      <c r="AZ13" s="61">
        <v>3028.61</v>
      </c>
      <c r="BA13" s="61">
        <v>1522.12</v>
      </c>
      <c r="BB13" s="61">
        <v>6.5880000000000001</v>
      </c>
      <c r="BC13" s="61">
        <v>22.344000000000001</v>
      </c>
      <c r="BE13" s="23">
        <f t="shared" si="14"/>
        <v>0</v>
      </c>
      <c r="BF13" s="23">
        <f t="shared" si="15"/>
        <v>1.403178416486961E-5</v>
      </c>
      <c r="BG13" s="23"/>
      <c r="BI13" s="24"/>
      <c r="BJ13" s="24"/>
      <c r="BK13" s="24"/>
      <c r="BL13" s="24"/>
      <c r="BM13" s="24"/>
      <c r="BO13" s="24"/>
      <c r="BP13" s="24"/>
      <c r="BQ13" s="24"/>
      <c r="BR13" s="24"/>
      <c r="BS13" s="24"/>
      <c r="BU13" s="4">
        <f t="shared" si="16"/>
        <v>0</v>
      </c>
    </row>
    <row r="14" spans="1:73" ht="15.75" outlineLevel="1" thickBot="1" x14ac:dyDescent="0.3">
      <c r="A14" s="25"/>
      <c r="B14" s="45" t="s">
        <v>273</v>
      </c>
      <c r="C14" s="46" t="s">
        <v>270</v>
      </c>
      <c r="D14" s="45">
        <v>22654789</v>
      </c>
      <c r="E14" s="46">
        <v>10</v>
      </c>
      <c r="F14" s="46">
        <v>32</v>
      </c>
      <c r="G14" s="46">
        <v>30</v>
      </c>
      <c r="I14" s="47">
        <f t="shared" si="0"/>
        <v>22.875877500000001</v>
      </c>
      <c r="J14" s="48">
        <f t="shared" si="1"/>
        <v>1.0770762861662495</v>
      </c>
      <c r="K14" s="48">
        <f t="shared" si="2"/>
        <v>0.26420597722921496</v>
      </c>
      <c r="L14" s="48">
        <f t="shared" si="3"/>
        <v>0.19156473567980128</v>
      </c>
      <c r="M14" s="48">
        <f t="shared" si="4"/>
        <v>0.81286560058743873</v>
      </c>
      <c r="N14" s="45">
        <f t="shared" si="5"/>
        <v>5985530.6666666698</v>
      </c>
      <c r="O14" s="48">
        <f t="shared" si="6"/>
        <v>1.0898605099056258</v>
      </c>
      <c r="P14" s="70">
        <v>22389045</v>
      </c>
      <c r="Q14" s="70">
        <v>699657.65625</v>
      </c>
      <c r="R14" s="70">
        <v>13460.21875</v>
      </c>
      <c r="S14" s="71">
        <v>24400936</v>
      </c>
      <c r="T14" s="71">
        <v>4339858.6666666698</v>
      </c>
      <c r="U14" s="71">
        <v>1645672</v>
      </c>
      <c r="V14" s="71">
        <v>18415298.666666701</v>
      </c>
      <c r="W14" s="72">
        <v>71.168831249999997</v>
      </c>
      <c r="X14" s="72">
        <v>74.761062499999994</v>
      </c>
      <c r="Y14" s="72">
        <v>41.099753124999999</v>
      </c>
      <c r="Z14" s="72">
        <v>43.515153124999998</v>
      </c>
      <c r="AA14" s="72">
        <v>39.69825625</v>
      </c>
      <c r="AB14" s="73"/>
      <c r="AC14" s="73"/>
      <c r="AD14" s="73"/>
      <c r="AE14" s="73"/>
      <c r="AG14" s="47">
        <f t="shared" si="7"/>
        <v>22.875877500000001</v>
      </c>
      <c r="AH14" s="48">
        <f t="shared" si="8"/>
        <v>1.0770762861662495</v>
      </c>
      <c r="AI14" s="48">
        <f t="shared" si="9"/>
        <v>0.26421433454975018</v>
      </c>
      <c r="AJ14" s="48">
        <f t="shared" si="10"/>
        <v>0.19156744298081965</v>
      </c>
      <c r="AK14" s="48">
        <f t="shared" si="11"/>
        <v>0.81286830788845577</v>
      </c>
      <c r="AL14" s="45">
        <f t="shared" si="12"/>
        <v>5985720</v>
      </c>
      <c r="AM14" s="48">
        <f t="shared" si="13"/>
        <v>1.0898605099056258</v>
      </c>
      <c r="AN14" s="70">
        <v>22389045</v>
      </c>
      <c r="AO14" s="70">
        <v>699657.65625</v>
      </c>
      <c r="AP14" s="70">
        <v>13460.21875</v>
      </c>
      <c r="AQ14" s="71">
        <v>24400936</v>
      </c>
      <c r="AR14" s="71">
        <v>4339920</v>
      </c>
      <c r="AS14" s="71">
        <v>1645800</v>
      </c>
      <c r="AT14" s="71">
        <v>18415360</v>
      </c>
      <c r="AU14" s="72">
        <v>71.168831249999997</v>
      </c>
      <c r="AV14" s="72">
        <v>74.761062499999994</v>
      </c>
      <c r="AW14" s="72">
        <v>41.099753124999999</v>
      </c>
      <c r="AX14" s="72">
        <v>43.515153124999998</v>
      </c>
      <c r="AY14" s="72">
        <v>39.69825625</v>
      </c>
      <c r="AZ14" s="73">
        <v>2974.2</v>
      </c>
      <c r="BA14" s="73">
        <v>1792.01</v>
      </c>
      <c r="BB14" s="73">
        <v>6.3319999999999999</v>
      </c>
      <c r="BC14" s="73">
        <v>24.024000000000001</v>
      </c>
      <c r="BE14" s="53">
        <f t="shared" si="14"/>
        <v>0</v>
      </c>
      <c r="BF14" s="53">
        <f t="shared" si="15"/>
        <v>7.7592651908930943E-6</v>
      </c>
      <c r="BG14" s="53"/>
      <c r="BI14" s="54"/>
      <c r="BJ14" s="54"/>
      <c r="BK14" s="54"/>
      <c r="BL14" s="54"/>
      <c r="BM14" s="54"/>
      <c r="BO14" s="54"/>
      <c r="BP14" s="54"/>
      <c r="BQ14" s="54"/>
      <c r="BR14" s="54"/>
      <c r="BS14" s="54"/>
      <c r="BU14" s="4">
        <f t="shared" si="16"/>
        <v>0</v>
      </c>
    </row>
    <row r="15" spans="1:73" x14ac:dyDescent="0.25">
      <c r="A15" s="15"/>
      <c r="B15" s="15" t="s">
        <v>276</v>
      </c>
      <c r="C15" s="16" t="s">
        <v>266</v>
      </c>
      <c r="D15" s="15">
        <v>33947718</v>
      </c>
      <c r="E15" s="16">
        <v>10</v>
      </c>
      <c r="F15" s="16">
        <v>32</v>
      </c>
      <c r="G15" s="16">
        <v>30</v>
      </c>
      <c r="I15" s="17">
        <f t="shared" si="0"/>
        <v>4.538265</v>
      </c>
      <c r="J15" s="18">
        <f t="shared" si="1"/>
        <v>0.14259621221078836</v>
      </c>
      <c r="K15" s="18">
        <f t="shared" si="2"/>
        <v>7.9609788989842251E-2</v>
      </c>
      <c r="L15" s="18">
        <f t="shared" si="3"/>
        <v>4.1411757534532072E-2</v>
      </c>
      <c r="M15" s="18">
        <f t="shared" si="4"/>
        <v>6.2983281134439434E-2</v>
      </c>
      <c r="N15" s="15">
        <f t="shared" si="5"/>
        <v>2702570.6666666698</v>
      </c>
      <c r="O15" s="18">
        <f t="shared" si="6"/>
        <v>0.15668405739159325</v>
      </c>
      <c r="P15" s="58">
        <v>30895396</v>
      </c>
      <c r="Q15" s="58">
        <v>965481.125</v>
      </c>
      <c r="R15" s="58">
        <v>29621.5625</v>
      </c>
      <c r="S15" s="59">
        <v>4840816</v>
      </c>
      <c r="T15" s="59">
        <v>1405834.66666667</v>
      </c>
      <c r="U15" s="59">
        <v>1296736</v>
      </c>
      <c r="V15" s="59">
        <v>2138138.6666666698</v>
      </c>
      <c r="W15" s="60">
        <v>65.996243750000005</v>
      </c>
      <c r="X15" s="60">
        <v>67.799565625</v>
      </c>
      <c r="Y15" s="60">
        <v>29.58718125</v>
      </c>
      <c r="Z15" s="60">
        <v>43.17996875</v>
      </c>
      <c r="AA15" s="60">
        <v>43.414346875</v>
      </c>
      <c r="AB15" s="61"/>
      <c r="AC15" s="61"/>
      <c r="AD15" s="61"/>
      <c r="AE15" s="61"/>
      <c r="AG15" s="17">
        <f t="shared" si="7"/>
        <v>4.538265</v>
      </c>
      <c r="AH15" s="18">
        <f t="shared" si="8"/>
        <v>0.14259621221078836</v>
      </c>
      <c r="AI15" s="18">
        <f t="shared" si="9"/>
        <v>7.9615366193391851E-2</v>
      </c>
      <c r="AJ15" s="18">
        <f t="shared" si="10"/>
        <v>4.141356423427342E-2</v>
      </c>
      <c r="AK15" s="18">
        <f t="shared" si="11"/>
        <v>6.2985087834180789E-2</v>
      </c>
      <c r="AL15" s="15">
        <f t="shared" si="12"/>
        <v>2702760</v>
      </c>
      <c r="AM15" s="18">
        <f t="shared" si="13"/>
        <v>0.15668405739159325</v>
      </c>
      <c r="AN15" s="58">
        <v>30895396</v>
      </c>
      <c r="AO15" s="58">
        <v>965481.125</v>
      </c>
      <c r="AP15" s="58">
        <v>29621.5625</v>
      </c>
      <c r="AQ15" s="59">
        <v>4840816</v>
      </c>
      <c r="AR15" s="59">
        <v>1405896</v>
      </c>
      <c r="AS15" s="59">
        <v>1296864</v>
      </c>
      <c r="AT15" s="59">
        <v>2138200</v>
      </c>
      <c r="AU15" s="60">
        <v>65.996243750000005</v>
      </c>
      <c r="AV15" s="60">
        <v>67.799565625</v>
      </c>
      <c r="AW15" s="60">
        <v>29.58718125</v>
      </c>
      <c r="AX15" s="60">
        <v>43.17996875</v>
      </c>
      <c r="AY15" s="60">
        <v>43.4143468749999</v>
      </c>
      <c r="AZ15" s="61">
        <v>11307.7</v>
      </c>
      <c r="BA15" s="61">
        <v>1530.08</v>
      </c>
      <c r="BB15" s="61">
        <v>8.7799999999999994</v>
      </c>
      <c r="BC15" s="61">
        <v>27.404</v>
      </c>
      <c r="BE15" s="23">
        <f t="shared" si="14"/>
        <v>0</v>
      </c>
      <c r="BF15" s="23">
        <f t="shared" si="15"/>
        <v>3.9111863233465272E-5</v>
      </c>
      <c r="BG15" s="23">
        <f t="array" ref="BG15">AVERAGE(AL15:AL19/AQ15:AQ19) - AVERAGE(N15:N19/S15:S19)</f>
        <v>1.8117095193614929E-5</v>
      </c>
      <c r="BI15" s="24">
        <f>IF( OR(ISBLANK(N15:N19),ISBLANK(AL15:AL19), ISBLANK(W15:W19),ISBLANK(AU15:AU19)), "·", bdRateExtend( N15:N19,W15:W19, AL15:AL19,AU15:AU19))</f>
        <v>4.9287510732076711E-5</v>
      </c>
      <c r="BJ15" s="24">
        <f>IF( OR(ISBLANK(N15:N19),ISBLANK(AL15:AL19), ISBLANK(X15:X19),ISBLANK(AV15:AV19)), "·", bdRateExtend( N15:N19,X15:X19, AL15:AL19,AV15:AV19))</f>
        <v>4.6722052611913867E-5</v>
      </c>
      <c r="BK15" s="24">
        <f>IF( OR(ISBLANK(V15:V19),ISBLANK(AT15:AT19), ISBLANK(Y15:Y19),ISBLANK(AW15:AW19)), "·", bdRateExtend( V15:V19,Y15:Y19, AT15:AT19,AW15:AW19))</f>
        <v>9.5879458346104229E-6</v>
      </c>
      <c r="BL15" s="24">
        <f>IF( OR(ISBLANK(V15:V19),ISBLANK(AT15:AT19), ISBLANK(Z15:Z19),ISBLANK(AX15:AX19)), "·", bdRateExtend( V15:V19,Z15:Z19, AT15:AT19,AX15:AX19))</f>
        <v>7.3887206999412314E-6</v>
      </c>
      <c r="BM15" s="24">
        <f>IF( OR(ISBLANK(V15:V19),ISBLANK(AT15:AT19), ISBLANK(AA15:AA19),ISBLANK(AY15:AY19)), "·", bdRateExtend( V15:V19,AA15:AA19, AT15:AT19,AY15:AY19))</f>
        <v>7.7679728098800638E-6</v>
      </c>
      <c r="BO15" s="24">
        <f>IF( OR(ISBLANK(S15:S19),ISBLANK(AQ15:AQ19), ISBLANK(W15:W19),ISBLANK(AU15:AU19)), "·", bdRateExtend( S15:S19,W15:W19, AQ15:AQ19,AU15:AU19))</f>
        <v>2.0872192862952943E-14</v>
      </c>
      <c r="BP15" s="24">
        <f>IF( OR(ISBLANK(S15:S19),ISBLANK(AQ15:AQ19), ISBLANK(X15:X19),ISBLANK(AV15:AV19)), "·", bdRateExtend( S15:S19,X15:X19, AQ15:AQ19,AV15:AV19))</f>
        <v>1.1324274851176597E-14</v>
      </c>
      <c r="BQ15" s="24">
        <f>IF( OR(ISBLANK(S15:S19),ISBLANK(AQ15:AQ19), ISBLANK(Y15:Y19),ISBLANK(AW15:AW19)), "·", bdRateExtend( S15:S19,Y15:Y19, AQ15:AQ19,AW15:AW19))</f>
        <v>6.6613381477509392E-15</v>
      </c>
      <c r="BR15" s="24">
        <f>IF( OR(ISBLANK(S15:S19),ISBLANK(AQ15:AQ19), ISBLANK(Z15:Z19),ISBLANK(AX15:AX19)), "·", bdRateExtend( S15:S19,Z15:Z19, AQ15:AQ19,AX15:AX19))</f>
        <v>6.8833827526759706E-15</v>
      </c>
      <c r="BS15" s="24">
        <f>IF( OR(ISBLANK(S15:S19),ISBLANK(AQ15:AQ19), ISBLANK(AA15:AA19),ISBLANK(AY15:AY19)), "·", bdRateExtend( S15:S19,AA15:AA19, AQ15:AQ19,AY15:AY19))</f>
        <v>0</v>
      </c>
      <c r="BU15" s="4">
        <f t="shared" si="16"/>
        <v>0</v>
      </c>
    </row>
    <row r="16" spans="1:73" outlineLevel="1" x14ac:dyDescent="0.25">
      <c r="A16" s="25"/>
      <c r="B16" s="25" t="s">
        <v>276</v>
      </c>
      <c r="C16" s="26" t="s">
        <v>267</v>
      </c>
      <c r="D16" s="25">
        <v>33947718</v>
      </c>
      <c r="E16" s="26">
        <v>10</v>
      </c>
      <c r="F16" s="26">
        <v>32</v>
      </c>
      <c r="G16" s="26">
        <v>30</v>
      </c>
      <c r="I16" s="27">
        <f t="shared" si="0"/>
        <v>7.2577274999999997</v>
      </c>
      <c r="J16" s="28">
        <f t="shared" si="1"/>
        <v>0.22804407648254885</v>
      </c>
      <c r="K16" s="28">
        <f t="shared" si="2"/>
        <v>9.5813293449258347E-2</v>
      </c>
      <c r="L16" s="28">
        <f t="shared" si="3"/>
        <v>5.7615261993948168E-2</v>
      </c>
      <c r="M16" s="28">
        <f t="shared" si="4"/>
        <v>0.1322276409467838</v>
      </c>
      <c r="N16" s="25">
        <f t="shared" si="5"/>
        <v>3252642.6666666698</v>
      </c>
      <c r="O16" s="28">
        <f t="shared" si="6"/>
        <v>0.23094398916705378</v>
      </c>
      <c r="P16" s="62">
        <v>33521444</v>
      </c>
      <c r="Q16" s="62">
        <v>1047545.125</v>
      </c>
      <c r="R16" s="62">
        <v>37744.8125</v>
      </c>
      <c r="S16" s="63">
        <v>7741576</v>
      </c>
      <c r="T16" s="63">
        <v>1955906.66666667</v>
      </c>
      <c r="U16" s="63">
        <v>1296736</v>
      </c>
      <c r="V16" s="63">
        <v>4488826.6666666698</v>
      </c>
      <c r="W16" s="64">
        <v>67.830737499999998</v>
      </c>
      <c r="X16" s="64">
        <v>69.850415624999997</v>
      </c>
      <c r="Y16" s="64">
        <v>32.045284375000001</v>
      </c>
      <c r="Z16" s="64">
        <v>43.979681249999999</v>
      </c>
      <c r="AA16" s="64">
        <v>44.391762499999999</v>
      </c>
      <c r="AB16" s="65"/>
      <c r="AC16" s="65"/>
      <c r="AD16" s="65"/>
      <c r="AE16" s="65"/>
      <c r="AG16" s="27">
        <f t="shared" si="7"/>
        <v>7.2577274999999997</v>
      </c>
      <c r="AH16" s="28">
        <f t="shared" si="8"/>
        <v>0.22804407648254885</v>
      </c>
      <c r="AI16" s="28">
        <f t="shared" si="9"/>
        <v>9.5818870652807947E-2</v>
      </c>
      <c r="AJ16" s="28">
        <f t="shared" si="10"/>
        <v>5.7617068693689516E-2</v>
      </c>
      <c r="AK16" s="28">
        <f t="shared" si="11"/>
        <v>0.13222944764652517</v>
      </c>
      <c r="AL16" s="25">
        <f t="shared" si="12"/>
        <v>3252832</v>
      </c>
      <c r="AM16" s="28">
        <f t="shared" si="13"/>
        <v>0.23094398916705378</v>
      </c>
      <c r="AN16" s="62">
        <v>33521444</v>
      </c>
      <c r="AO16" s="62">
        <v>1047545.125</v>
      </c>
      <c r="AP16" s="62">
        <v>37744.8125</v>
      </c>
      <c r="AQ16" s="63">
        <v>7741576</v>
      </c>
      <c r="AR16" s="63">
        <v>1955968</v>
      </c>
      <c r="AS16" s="63">
        <v>1296864</v>
      </c>
      <c r="AT16" s="63">
        <v>4488888</v>
      </c>
      <c r="AU16" s="64">
        <v>67.830737499999998</v>
      </c>
      <c r="AV16" s="64">
        <v>69.850415624999997</v>
      </c>
      <c r="AW16" s="64">
        <v>32.045284374999902</v>
      </c>
      <c r="AX16" s="64">
        <v>43.979681249999999</v>
      </c>
      <c r="AY16" s="64">
        <v>44.391762499999999</v>
      </c>
      <c r="AZ16" s="65">
        <v>10706.8</v>
      </c>
      <c r="BA16" s="65">
        <v>1650</v>
      </c>
      <c r="BB16" s="65">
        <v>7.94</v>
      </c>
      <c r="BC16" s="65">
        <v>23.988</v>
      </c>
      <c r="BE16" s="33">
        <f t="shared" si="14"/>
        <v>0</v>
      </c>
      <c r="BF16" s="33">
        <f t="shared" si="15"/>
        <v>2.4456691160856803E-5</v>
      </c>
      <c r="BG16" s="33"/>
      <c r="BI16" s="34"/>
      <c r="BJ16" s="34"/>
      <c r="BK16" s="34"/>
      <c r="BL16" s="34"/>
      <c r="BM16" s="34"/>
      <c r="BO16" s="34"/>
      <c r="BP16" s="34"/>
      <c r="BQ16" s="34"/>
      <c r="BR16" s="34"/>
      <c r="BS16" s="34"/>
      <c r="BU16" s="4">
        <f t="shared" si="16"/>
        <v>0</v>
      </c>
    </row>
    <row r="17" spans="1:73" outlineLevel="1" x14ac:dyDescent="0.25">
      <c r="A17" s="15"/>
      <c r="B17" s="15" t="s">
        <v>276</v>
      </c>
      <c r="C17" s="16" t="s">
        <v>268</v>
      </c>
      <c r="D17" s="15">
        <v>33947718</v>
      </c>
      <c r="E17" s="16">
        <v>10</v>
      </c>
      <c r="F17" s="16">
        <v>32</v>
      </c>
      <c r="G17" s="16">
        <v>30</v>
      </c>
      <c r="I17" s="17">
        <f t="shared" si="0"/>
        <v>12.2187225</v>
      </c>
      <c r="J17" s="18">
        <f t="shared" si="1"/>
        <v>0.38392283098380869</v>
      </c>
      <c r="K17" s="18">
        <f t="shared" si="2"/>
        <v>0.11977013202085247</v>
      </c>
      <c r="L17" s="18">
        <f t="shared" si="3"/>
        <v>8.1572100565542274E-2</v>
      </c>
      <c r="M17" s="18">
        <f t="shared" si="4"/>
        <v>0.26414955687644953</v>
      </c>
      <c r="N17" s="15">
        <f t="shared" si="5"/>
        <v>4065922.6666666698</v>
      </c>
      <c r="O17" s="18">
        <f t="shared" si="6"/>
        <v>0.38390314260972463</v>
      </c>
      <c r="P17" s="58">
        <v>33949459</v>
      </c>
      <c r="Q17" s="58">
        <v>1060920.59375</v>
      </c>
      <c r="R17" s="58">
        <v>39535.09375</v>
      </c>
      <c r="S17" s="59">
        <v>13033304</v>
      </c>
      <c r="T17" s="59">
        <v>2769186.6666666698</v>
      </c>
      <c r="U17" s="59">
        <v>1296736</v>
      </c>
      <c r="V17" s="59">
        <v>8967274.6666666698</v>
      </c>
      <c r="W17" s="60">
        <v>69.250596874999999</v>
      </c>
      <c r="X17" s="60">
        <v>71.669684375000003</v>
      </c>
      <c r="Y17" s="60">
        <v>34.602318750000002</v>
      </c>
      <c r="Z17" s="60">
        <v>44.831874999999997</v>
      </c>
      <c r="AA17" s="60">
        <v>45.299362500000001</v>
      </c>
      <c r="AB17" s="61"/>
      <c r="AC17" s="61"/>
      <c r="AD17" s="61"/>
      <c r="AE17" s="61"/>
      <c r="AG17" s="17">
        <f t="shared" si="7"/>
        <v>12.2187225</v>
      </c>
      <c r="AH17" s="18">
        <f t="shared" si="8"/>
        <v>0.38392283098380869</v>
      </c>
      <c r="AI17" s="18">
        <f t="shared" si="9"/>
        <v>0.11977570922440206</v>
      </c>
      <c r="AJ17" s="18">
        <f t="shared" si="10"/>
        <v>8.1573907265283629E-2</v>
      </c>
      <c r="AK17" s="18">
        <f t="shared" si="11"/>
        <v>0.2641513635761909</v>
      </c>
      <c r="AL17" s="15">
        <f t="shared" si="12"/>
        <v>4066112</v>
      </c>
      <c r="AM17" s="18">
        <f t="shared" si="13"/>
        <v>0.38390314260972463</v>
      </c>
      <c r="AN17" s="58">
        <v>33949459</v>
      </c>
      <c r="AO17" s="58">
        <v>1060920.59375</v>
      </c>
      <c r="AP17" s="58">
        <v>39535.09375</v>
      </c>
      <c r="AQ17" s="59">
        <v>13033304</v>
      </c>
      <c r="AR17" s="59">
        <v>2769248</v>
      </c>
      <c r="AS17" s="59">
        <v>1296864</v>
      </c>
      <c r="AT17" s="59">
        <v>8967336</v>
      </c>
      <c r="AU17" s="60">
        <v>69.250596874999999</v>
      </c>
      <c r="AV17" s="60">
        <v>71.669684375000003</v>
      </c>
      <c r="AW17" s="60">
        <v>34.602318750000002</v>
      </c>
      <c r="AX17" s="60">
        <v>44.831874999999897</v>
      </c>
      <c r="AY17" s="60">
        <v>45.299362500000001</v>
      </c>
      <c r="AZ17" s="61">
        <v>11227.8</v>
      </c>
      <c r="BA17" s="61">
        <v>1771.57</v>
      </c>
      <c r="BB17" s="61">
        <v>9.1839999999999993</v>
      </c>
      <c r="BC17" s="61">
        <v>27.52</v>
      </c>
      <c r="BE17" s="23">
        <f t="shared" si="14"/>
        <v>0</v>
      </c>
      <c r="BF17" s="23">
        <f t="shared" si="15"/>
        <v>1.4526886914500992E-5</v>
      </c>
      <c r="BG17" s="23"/>
      <c r="BI17" s="24"/>
      <c r="BJ17" s="24"/>
      <c r="BK17" s="24"/>
      <c r="BL17" s="24"/>
      <c r="BM17" s="24"/>
      <c r="BO17" s="24"/>
      <c r="BP17" s="24"/>
      <c r="BQ17" s="24"/>
      <c r="BR17" s="24"/>
      <c r="BS17" s="24"/>
      <c r="BU17" s="4">
        <f t="shared" si="16"/>
        <v>0</v>
      </c>
    </row>
    <row r="18" spans="1:73" outlineLevel="1" x14ac:dyDescent="0.25">
      <c r="A18" s="25"/>
      <c r="B18" s="25" t="s">
        <v>276</v>
      </c>
      <c r="C18" s="26" t="s">
        <v>269</v>
      </c>
      <c r="D18" s="25">
        <v>33947718</v>
      </c>
      <c r="E18" s="26">
        <v>10</v>
      </c>
      <c r="F18" s="26">
        <v>32</v>
      </c>
      <c r="G18" s="26">
        <v>30</v>
      </c>
      <c r="I18" s="27">
        <f t="shared" si="0"/>
        <v>22.058272500000001</v>
      </c>
      <c r="J18" s="28">
        <f t="shared" si="1"/>
        <v>0.69309000387006869</v>
      </c>
      <c r="K18" s="28">
        <f t="shared" si="2"/>
        <v>0.15907716290876076</v>
      </c>
      <c r="L18" s="28">
        <f t="shared" si="3"/>
        <v>0.12087913145345056</v>
      </c>
      <c r="M18" s="28">
        <f t="shared" si="4"/>
        <v>0.53400969887480221</v>
      </c>
      <c r="N18" s="25">
        <f t="shared" si="5"/>
        <v>5400306.6666666698</v>
      </c>
      <c r="O18" s="28">
        <f t="shared" si="6"/>
        <v>0.66452745725756457</v>
      </c>
      <c r="P18" s="62">
        <v>35406850</v>
      </c>
      <c r="Q18" s="62">
        <v>1106464.0625</v>
      </c>
      <c r="R18" s="62">
        <v>45080.28125</v>
      </c>
      <c r="S18" s="63">
        <v>23528824</v>
      </c>
      <c r="T18" s="63">
        <v>4103570.6666666698</v>
      </c>
      <c r="U18" s="63">
        <v>1296736</v>
      </c>
      <c r="V18" s="63">
        <v>18128410.666666701</v>
      </c>
      <c r="W18" s="64">
        <v>70.379759375000006</v>
      </c>
      <c r="X18" s="64">
        <v>72.996671875000004</v>
      </c>
      <c r="Y18" s="64">
        <v>37.257087499999997</v>
      </c>
      <c r="Z18" s="64">
        <v>46.193543750000003</v>
      </c>
      <c r="AA18" s="64">
        <v>46.690234375000003</v>
      </c>
      <c r="AB18" s="65"/>
      <c r="AC18" s="65"/>
      <c r="AD18" s="65"/>
      <c r="AE18" s="65"/>
      <c r="AG18" s="27">
        <f t="shared" si="7"/>
        <v>22.058272500000001</v>
      </c>
      <c r="AH18" s="28">
        <f t="shared" si="8"/>
        <v>0.69309000387006869</v>
      </c>
      <c r="AI18" s="28">
        <f t="shared" si="9"/>
        <v>0.15908274011231036</v>
      </c>
      <c r="AJ18" s="28">
        <f t="shared" si="10"/>
        <v>0.12088093815319191</v>
      </c>
      <c r="AK18" s="28">
        <f t="shared" si="11"/>
        <v>0.53401150557454258</v>
      </c>
      <c r="AL18" s="25">
        <f t="shared" si="12"/>
        <v>5400496</v>
      </c>
      <c r="AM18" s="28">
        <f t="shared" si="13"/>
        <v>0.66452745725756457</v>
      </c>
      <c r="AN18" s="62">
        <v>35406850</v>
      </c>
      <c r="AO18" s="62">
        <v>1106464.0625</v>
      </c>
      <c r="AP18" s="62">
        <v>45080.28125</v>
      </c>
      <c r="AQ18" s="63">
        <v>23528824</v>
      </c>
      <c r="AR18" s="63">
        <v>4103632</v>
      </c>
      <c r="AS18" s="63">
        <v>1296864</v>
      </c>
      <c r="AT18" s="63">
        <v>18128472</v>
      </c>
      <c r="AU18" s="64">
        <v>70.379759374999907</v>
      </c>
      <c r="AV18" s="64">
        <v>72.996671874999905</v>
      </c>
      <c r="AW18" s="64">
        <v>37.257087499999997</v>
      </c>
      <c r="AX18" s="64">
        <v>46.193543750000003</v>
      </c>
      <c r="AY18" s="64">
        <v>46.690234375000003</v>
      </c>
      <c r="AZ18" s="65">
        <v>10631.1</v>
      </c>
      <c r="BA18" s="65">
        <v>2041.04</v>
      </c>
      <c r="BB18" s="65">
        <v>9.7720000000000002</v>
      </c>
      <c r="BC18" s="65">
        <v>30.007999999999999</v>
      </c>
      <c r="BE18" s="33">
        <f t="shared" si="14"/>
        <v>0</v>
      </c>
      <c r="BF18" s="33">
        <f t="shared" si="15"/>
        <v>8.0468676773026715E-6</v>
      </c>
      <c r="BG18" s="33"/>
      <c r="BI18" s="34"/>
      <c r="BJ18" s="34"/>
      <c r="BK18" s="34"/>
      <c r="BL18" s="34"/>
      <c r="BM18" s="34"/>
      <c r="BO18" s="34"/>
      <c r="BP18" s="34"/>
      <c r="BQ18" s="34"/>
      <c r="BR18" s="34"/>
      <c r="BS18" s="34"/>
      <c r="BU18" s="4">
        <f t="shared" si="16"/>
        <v>0</v>
      </c>
    </row>
    <row r="19" spans="1:73" ht="15.75" outlineLevel="1" thickBot="1" x14ac:dyDescent="0.3">
      <c r="A19" s="15"/>
      <c r="B19" s="35" t="s">
        <v>276</v>
      </c>
      <c r="C19" s="36" t="s">
        <v>270</v>
      </c>
      <c r="D19" s="35">
        <v>33947718</v>
      </c>
      <c r="E19" s="36">
        <v>10</v>
      </c>
      <c r="F19" s="36">
        <v>32</v>
      </c>
      <c r="G19" s="36">
        <v>30</v>
      </c>
      <c r="I19" s="37">
        <f t="shared" si="0"/>
        <v>39.9489825</v>
      </c>
      <c r="J19" s="38">
        <f t="shared" si="1"/>
        <v>1.2552315887624612</v>
      </c>
      <c r="K19" s="38">
        <f t="shared" si="2"/>
        <v>0.25496390263011698</v>
      </c>
      <c r="L19" s="38">
        <f t="shared" si="3"/>
        <v>0.184159496867114</v>
      </c>
      <c r="M19" s="38">
        <f t="shared" si="4"/>
        <v>1.0002645440458384</v>
      </c>
      <c r="N19" s="35">
        <f t="shared" si="5"/>
        <v>8655442.6666666698</v>
      </c>
      <c r="O19" s="38">
        <f t="shared" si="6"/>
        <v>1.265302095055727</v>
      </c>
      <c r="P19" s="66">
        <v>33677529</v>
      </c>
      <c r="Q19" s="66">
        <v>1052422.78125</v>
      </c>
      <c r="R19" s="66">
        <v>20027.96875</v>
      </c>
      <c r="S19" s="67">
        <v>42612248</v>
      </c>
      <c r="T19" s="67">
        <v>6251794.6666666698</v>
      </c>
      <c r="U19" s="67">
        <v>2403648</v>
      </c>
      <c r="V19" s="67">
        <v>33956698.666666701</v>
      </c>
      <c r="W19" s="68">
        <v>71.497065625000005</v>
      </c>
      <c r="X19" s="68">
        <v>75.069756249999998</v>
      </c>
      <c r="Y19" s="68">
        <v>39.335715624999999</v>
      </c>
      <c r="Z19" s="68">
        <v>47.947415624999998</v>
      </c>
      <c r="AA19" s="68">
        <v>48.551328124999998</v>
      </c>
      <c r="AB19" s="69"/>
      <c r="AC19" s="69"/>
      <c r="AD19" s="69"/>
      <c r="AE19" s="69"/>
      <c r="AG19" s="37">
        <f t="shared" si="7"/>
        <v>39.9489825</v>
      </c>
      <c r="AH19" s="38">
        <f t="shared" si="8"/>
        <v>1.2552315887624612</v>
      </c>
      <c r="AI19" s="38">
        <f t="shared" si="9"/>
        <v>0.25496947983366658</v>
      </c>
      <c r="AJ19" s="38">
        <f t="shared" si="10"/>
        <v>0.18416130356685537</v>
      </c>
      <c r="AK19" s="38">
        <f t="shared" si="11"/>
        <v>1.0002663507455789</v>
      </c>
      <c r="AL19" s="35">
        <f t="shared" si="12"/>
        <v>8655632</v>
      </c>
      <c r="AM19" s="38">
        <f t="shared" si="13"/>
        <v>1.265302095055727</v>
      </c>
      <c r="AN19" s="66">
        <v>33677529</v>
      </c>
      <c r="AO19" s="66">
        <v>1052422.78125</v>
      </c>
      <c r="AP19" s="66">
        <v>20027.96875</v>
      </c>
      <c r="AQ19" s="67">
        <v>42612248</v>
      </c>
      <c r="AR19" s="67">
        <v>6251856</v>
      </c>
      <c r="AS19" s="67">
        <v>2403776</v>
      </c>
      <c r="AT19" s="67">
        <v>33956760</v>
      </c>
      <c r="AU19" s="68">
        <v>71.497065624999905</v>
      </c>
      <c r="AV19" s="68">
        <v>75.069756249999998</v>
      </c>
      <c r="AW19" s="68">
        <v>39.335715624999999</v>
      </c>
      <c r="AX19" s="68">
        <v>47.947415624999998</v>
      </c>
      <c r="AY19" s="68">
        <v>48.551328124999998</v>
      </c>
      <c r="AZ19" s="69">
        <v>8680.42</v>
      </c>
      <c r="BA19" s="69">
        <v>2708.11</v>
      </c>
      <c r="BB19" s="69">
        <v>9.44</v>
      </c>
      <c r="BC19" s="69">
        <v>32.375999999999998</v>
      </c>
      <c r="BE19" s="43">
        <f t="shared" si="14"/>
        <v>0</v>
      </c>
      <c r="BF19" s="43">
        <f t="shared" si="15"/>
        <v>4.4431669816991093E-6</v>
      </c>
      <c r="BG19" s="43"/>
      <c r="BI19" s="44"/>
      <c r="BJ19" s="44"/>
      <c r="BK19" s="44"/>
      <c r="BL19" s="44"/>
      <c r="BM19" s="44"/>
      <c r="BO19" s="44"/>
      <c r="BP19" s="44"/>
      <c r="BQ19" s="44"/>
      <c r="BR19" s="44"/>
      <c r="BS19" s="44"/>
      <c r="BU19" s="4">
        <f t="shared" si="16"/>
        <v>0</v>
      </c>
    </row>
    <row r="20" spans="1:73" x14ac:dyDescent="0.25">
      <c r="A20" s="25"/>
      <c r="B20" s="25" t="s">
        <v>279</v>
      </c>
      <c r="C20" s="26" t="s">
        <v>266</v>
      </c>
      <c r="D20" s="25">
        <v>32209643</v>
      </c>
      <c r="E20" s="26">
        <v>10</v>
      </c>
      <c r="F20" s="26">
        <v>32</v>
      </c>
      <c r="G20" s="26">
        <v>50</v>
      </c>
      <c r="I20" s="27" t="str">
        <f t="shared" si="0"/>
        <v>·</v>
      </c>
      <c r="J20" s="28" t="str">
        <f t="shared" si="1"/>
        <v>·</v>
      </c>
      <c r="K20" s="28" t="str">
        <f t="shared" si="2"/>
        <v>·</v>
      </c>
      <c r="L20" s="28" t="str">
        <f t="shared" si="3"/>
        <v>·</v>
      </c>
      <c r="M20" s="28" t="str">
        <f t="shared" si="4"/>
        <v>·</v>
      </c>
      <c r="N20" s="25" t="str">
        <f t="shared" si="5"/>
        <v/>
      </c>
      <c r="O20" s="28" t="str">
        <f t="shared" si="6"/>
        <v>·</v>
      </c>
      <c r="P20" s="62"/>
      <c r="Q20" s="62"/>
      <c r="R20" s="62"/>
      <c r="S20" s="63"/>
      <c r="T20" s="63"/>
      <c r="U20" s="63"/>
      <c r="V20" s="63"/>
      <c r="W20" s="64"/>
      <c r="X20" s="64"/>
      <c r="Y20" s="64"/>
      <c r="Z20" s="64"/>
      <c r="AA20" s="64"/>
      <c r="AB20" s="65"/>
      <c r="AC20" s="65"/>
      <c r="AD20" s="65"/>
      <c r="AE20" s="65"/>
      <c r="AG20" s="27">
        <f t="shared" si="7"/>
        <v>5.3420125000000001</v>
      </c>
      <c r="AH20" s="28">
        <f t="shared" si="8"/>
        <v>0.10614485854438063</v>
      </c>
      <c r="AI20" s="28">
        <f t="shared" si="9"/>
        <v>5.985288318780807E-2</v>
      </c>
      <c r="AJ20" s="28">
        <f t="shared" si="10"/>
        <v>2.9251861003240551E-2</v>
      </c>
      <c r="AK20" s="28">
        <f t="shared" si="11"/>
        <v>4.6296446067409069E-2</v>
      </c>
      <c r="AL20" s="25">
        <f t="shared" si="12"/>
        <v>1927840</v>
      </c>
      <c r="AM20" s="28">
        <f t="shared" si="13"/>
        <v>0.11309422642172766</v>
      </c>
      <c r="AN20" s="62">
        <v>30230438</v>
      </c>
      <c r="AO20" s="62">
        <v>944701.1875</v>
      </c>
      <c r="AP20" s="62">
        <v>27161</v>
      </c>
      <c r="AQ20" s="63">
        <v>3418888</v>
      </c>
      <c r="AR20" s="63">
        <v>942192</v>
      </c>
      <c r="AS20" s="63">
        <v>985648</v>
      </c>
      <c r="AT20" s="63">
        <v>1491192</v>
      </c>
      <c r="AU20" s="64">
        <v>67.065771874999996</v>
      </c>
      <c r="AV20" s="64">
        <v>68.733975000000001</v>
      </c>
      <c r="AW20" s="64">
        <v>30.882368750000001</v>
      </c>
      <c r="AX20" s="64">
        <v>39.533853124999901</v>
      </c>
      <c r="AY20" s="64">
        <v>38.3956374999999</v>
      </c>
      <c r="AZ20" s="65">
        <v>9329.7800000000007</v>
      </c>
      <c r="BA20" s="65">
        <v>1164.54</v>
      </c>
      <c r="BB20" s="65">
        <v>6.516</v>
      </c>
      <c r="BC20" s="65">
        <v>17.076000000000001</v>
      </c>
      <c r="BE20" s="33" t="e">
        <f t="shared" si="14"/>
        <v>#DIV/0!</v>
      </c>
      <c r="BF20" s="33" t="e">
        <f t="shared" si="15"/>
        <v>#VALUE!</v>
      </c>
      <c r="BG20" s="33" t="e">
        <f t="array" ref="BG20">AVERAGE(AL20:AL24/AQ20:AQ24) - AVERAGE(N20:N24/S20:S24)</f>
        <v>#VALUE!</v>
      </c>
      <c r="BI20" s="34" t="str">
        <f>IF( OR(ISBLANK(N20:N24),ISBLANK(AL20:AL24), ISBLANK(W20:W24),ISBLANK(AU20:AU24)), "·", bdRateExtend( N20:N24,W20:W24, AL20:AL24,AU20:AU24))</f>
        <v>·</v>
      </c>
      <c r="BJ20" s="34" t="str">
        <f>IF( OR(ISBLANK(N20:N24),ISBLANK(AL20:AL24), ISBLANK(X20:X24),ISBLANK(AV20:AV24)), "·", bdRateExtend( N20:N24,X20:X24, AL20:AL24,AV20:AV24))</f>
        <v>·</v>
      </c>
      <c r="BK20" s="34" t="str">
        <f>IF( OR(ISBLANK(V20:V24),ISBLANK(AT20:AT24), ISBLANK(Y20:Y24),ISBLANK(AW20:AW24)), "·", bdRateExtend( V20:V24,Y20:Y24, AT20:AT24,AW20:AW24))</f>
        <v>·</v>
      </c>
      <c r="BL20" s="34" t="str">
        <f>IF( OR(ISBLANK(V20:V24),ISBLANK(AT20:AT24), ISBLANK(Z20:Z24),ISBLANK(AX20:AX24)), "·", bdRateExtend( V20:V24,Z20:Z24, AT20:AT24,AX20:AX24))</f>
        <v>·</v>
      </c>
      <c r="BM20" s="34" t="str">
        <f>IF( OR(ISBLANK(V20:V24),ISBLANK(AT20:AT24), ISBLANK(AA20:AA24),ISBLANK(AY20:AY24)), "·", bdRateExtend( V20:V24,AA20:AA24, AT20:AT24,AY20:AY24))</f>
        <v>·</v>
      </c>
      <c r="BO20" s="34" t="str">
        <f>IF( OR(ISBLANK(S20:S24),ISBLANK(AQ20:AQ24), ISBLANK(W20:W24),ISBLANK(AU20:AU24)), "·", bdRateExtend( S20:S24,W20:W24, AQ20:AQ24,AU20:AU24))</f>
        <v>·</v>
      </c>
      <c r="BP20" s="34" t="str">
        <f>IF( OR(ISBLANK(S20:S24),ISBLANK(AQ20:AQ24), ISBLANK(X20:X24),ISBLANK(AV20:AV24)), "·", bdRateExtend( S20:S24,X20:X24, AQ20:AQ24,AV20:AV24))</f>
        <v>·</v>
      </c>
      <c r="BQ20" s="34" t="str">
        <f>IF( OR(ISBLANK(S20:S24),ISBLANK(AQ20:AQ24), ISBLANK(Y20:Y24),ISBLANK(AW20:AW24)), "·", bdRateExtend( S20:S24,Y20:Y24, AQ20:AQ24,AW20:AW24))</f>
        <v>·</v>
      </c>
      <c r="BR20" s="34" t="str">
        <f>IF( OR(ISBLANK(S20:S24),ISBLANK(AQ20:AQ24), ISBLANK(Z20:Z24),ISBLANK(AX20:AX24)), "·", bdRateExtend( S20:S24,Z20:Z24, AQ20:AQ24,AX20:AX24))</f>
        <v>·</v>
      </c>
      <c r="BS20" s="34" t="str">
        <f>IF( OR(ISBLANK(S20:S24),ISBLANK(AQ20:AQ24), ISBLANK(AA20:AA24),ISBLANK(AY20:AY24)), "·", bdRateExtend( S20:S24,AA20:AA24, AQ20:AQ24,AY20:AY24))</f>
        <v>·</v>
      </c>
      <c r="BU20" s="4">
        <f t="shared" si="16"/>
        <v>3418888</v>
      </c>
    </row>
    <row r="21" spans="1:73" outlineLevel="1" x14ac:dyDescent="0.25">
      <c r="A21" s="15"/>
      <c r="B21" s="15" t="s">
        <v>279</v>
      </c>
      <c r="C21" s="16" t="s">
        <v>267</v>
      </c>
      <c r="D21" s="15">
        <v>32209643</v>
      </c>
      <c r="E21" s="16">
        <v>10</v>
      </c>
      <c r="F21" s="16">
        <v>32</v>
      </c>
      <c r="G21" s="16">
        <v>50</v>
      </c>
      <c r="I21" s="17" t="str">
        <f t="shared" si="0"/>
        <v>·</v>
      </c>
      <c r="J21" s="18" t="str">
        <f t="shared" si="1"/>
        <v>·</v>
      </c>
      <c r="K21" s="18" t="str">
        <f t="shared" si="2"/>
        <v>·</v>
      </c>
      <c r="L21" s="18" t="str">
        <f t="shared" si="3"/>
        <v>·</v>
      </c>
      <c r="M21" s="18" t="str">
        <f t="shared" si="4"/>
        <v>·</v>
      </c>
      <c r="N21" s="15" t="str">
        <f t="shared" si="5"/>
        <v/>
      </c>
      <c r="O21" s="18" t="str">
        <f t="shared" si="6"/>
        <v>·</v>
      </c>
      <c r="P21" s="58"/>
      <c r="Q21" s="58"/>
      <c r="R21" s="58"/>
      <c r="S21" s="59"/>
      <c r="T21" s="59"/>
      <c r="U21" s="59"/>
      <c r="V21" s="59"/>
      <c r="W21" s="60"/>
      <c r="X21" s="60"/>
      <c r="Y21" s="60"/>
      <c r="Z21" s="60"/>
      <c r="AA21" s="60"/>
      <c r="AB21" s="61"/>
      <c r="AC21" s="61"/>
      <c r="AD21" s="61"/>
      <c r="AE21" s="61"/>
      <c r="AG21" s="17">
        <f t="shared" si="7"/>
        <v>8.4036249999999999</v>
      </c>
      <c r="AH21" s="18">
        <f t="shared" si="8"/>
        <v>0.16697856601515268</v>
      </c>
      <c r="AI21" s="18">
        <f t="shared" si="9"/>
        <v>7.0826988054477971E-2</v>
      </c>
      <c r="AJ21" s="18">
        <f t="shared" si="10"/>
        <v>4.0225965869910452E-2</v>
      </c>
      <c r="AK21" s="18">
        <f t="shared" si="11"/>
        <v>9.6156048671511202E-2</v>
      </c>
      <c r="AL21" s="15">
        <f t="shared" si="12"/>
        <v>2281312</v>
      </c>
      <c r="AM21" s="18">
        <f t="shared" si="13"/>
        <v>0.17029343504990174</v>
      </c>
      <c r="AN21" s="58">
        <v>31582662</v>
      </c>
      <c r="AO21" s="58">
        <v>986958.1875</v>
      </c>
      <c r="AP21" s="58">
        <v>32537.78125</v>
      </c>
      <c r="AQ21" s="59">
        <v>5378320</v>
      </c>
      <c r="AR21" s="59">
        <v>1295664</v>
      </c>
      <c r="AS21" s="59">
        <v>985648</v>
      </c>
      <c r="AT21" s="59">
        <v>3097152</v>
      </c>
      <c r="AU21" s="60">
        <v>68.659734374999999</v>
      </c>
      <c r="AV21" s="60">
        <v>70.740428124999994</v>
      </c>
      <c r="AW21" s="60">
        <v>32.778812499999901</v>
      </c>
      <c r="AX21" s="60">
        <v>40.701953125000003</v>
      </c>
      <c r="AY21" s="60">
        <v>39.685953124999997</v>
      </c>
      <c r="AZ21" s="61">
        <v>9014.5</v>
      </c>
      <c r="BA21" s="61">
        <v>1275.03</v>
      </c>
      <c r="BB21" s="61">
        <v>7.3760000000000003</v>
      </c>
      <c r="BC21" s="61">
        <v>19.468</v>
      </c>
      <c r="BE21" s="23" t="e">
        <f t="shared" si="14"/>
        <v>#DIV/0!</v>
      </c>
      <c r="BF21" s="23" t="e">
        <f t="shared" si="15"/>
        <v>#VALUE!</v>
      </c>
      <c r="BG21" s="23"/>
      <c r="BI21" s="24"/>
      <c r="BJ21" s="24"/>
      <c r="BK21" s="24"/>
      <c r="BL21" s="24"/>
      <c r="BM21" s="24"/>
      <c r="BO21" s="24"/>
      <c r="BP21" s="24"/>
      <c r="BQ21" s="24"/>
      <c r="BR21" s="24"/>
      <c r="BS21" s="24"/>
      <c r="BU21" s="4">
        <f t="shared" si="16"/>
        <v>5378320</v>
      </c>
    </row>
    <row r="22" spans="1:73" outlineLevel="1" x14ac:dyDescent="0.25">
      <c r="A22" s="25"/>
      <c r="B22" s="25" t="s">
        <v>279</v>
      </c>
      <c r="C22" s="26" t="s">
        <v>268</v>
      </c>
      <c r="D22" s="25">
        <v>32209643</v>
      </c>
      <c r="E22" s="26">
        <v>10</v>
      </c>
      <c r="F22" s="26">
        <v>32</v>
      </c>
      <c r="G22" s="26">
        <v>50</v>
      </c>
      <c r="I22" s="27" t="str">
        <f t="shared" si="0"/>
        <v>·</v>
      </c>
      <c r="J22" s="28" t="str">
        <f t="shared" si="1"/>
        <v>·</v>
      </c>
      <c r="K22" s="28" t="str">
        <f t="shared" si="2"/>
        <v>·</v>
      </c>
      <c r="L22" s="28" t="str">
        <f t="shared" si="3"/>
        <v>·</v>
      </c>
      <c r="M22" s="28" t="str">
        <f t="shared" si="4"/>
        <v>·</v>
      </c>
      <c r="N22" s="25" t="str">
        <f t="shared" si="5"/>
        <v/>
      </c>
      <c r="O22" s="28" t="str">
        <f t="shared" si="6"/>
        <v>·</v>
      </c>
      <c r="P22" s="62"/>
      <c r="Q22" s="62"/>
      <c r="R22" s="62"/>
      <c r="S22" s="63"/>
      <c r="T22" s="63"/>
      <c r="U22" s="63"/>
      <c r="V22" s="63"/>
      <c r="W22" s="64"/>
      <c r="X22" s="64"/>
      <c r="Y22" s="64"/>
      <c r="Z22" s="64"/>
      <c r="AA22" s="64"/>
      <c r="AB22" s="65"/>
      <c r="AC22" s="65"/>
      <c r="AD22" s="65"/>
      <c r="AE22" s="65"/>
      <c r="AG22" s="27">
        <f t="shared" si="7"/>
        <v>13.930999999999999</v>
      </c>
      <c r="AH22" s="28">
        <f t="shared" si="8"/>
        <v>0.2768065451703392</v>
      </c>
      <c r="AI22" s="28">
        <f t="shared" si="9"/>
        <v>8.7328630124835591E-2</v>
      </c>
      <c r="AJ22" s="28">
        <f t="shared" si="10"/>
        <v>5.6727607940268071E-2</v>
      </c>
      <c r="AK22" s="28">
        <f t="shared" si="11"/>
        <v>0.1894823857563401</v>
      </c>
      <c r="AL22" s="25">
        <f t="shared" si="12"/>
        <v>2812824</v>
      </c>
      <c r="AM22" s="28">
        <f t="shared" si="13"/>
        <v>0.27091126235944668</v>
      </c>
      <c r="AN22" s="62">
        <v>32910555</v>
      </c>
      <c r="AO22" s="62">
        <v>1028454.84375</v>
      </c>
      <c r="AP22" s="62">
        <v>34769.59375</v>
      </c>
      <c r="AQ22" s="63">
        <v>8915840</v>
      </c>
      <c r="AR22" s="63">
        <v>1827176</v>
      </c>
      <c r="AS22" s="63">
        <v>985648</v>
      </c>
      <c r="AT22" s="63">
        <v>6103160</v>
      </c>
      <c r="AU22" s="64">
        <v>69.831643749999998</v>
      </c>
      <c r="AV22" s="64">
        <v>72.240359374999898</v>
      </c>
      <c r="AW22" s="64">
        <v>34.624715625</v>
      </c>
      <c r="AX22" s="64">
        <v>41.744956250000001</v>
      </c>
      <c r="AY22" s="64">
        <v>40.748353125000001</v>
      </c>
      <c r="AZ22" s="65">
        <v>9318.73</v>
      </c>
      <c r="BA22" s="65">
        <v>1371.82</v>
      </c>
      <c r="BB22" s="65">
        <v>7.5039999999999996</v>
      </c>
      <c r="BC22" s="65">
        <v>20.571999999999999</v>
      </c>
      <c r="BE22" s="33" t="e">
        <f t="shared" si="14"/>
        <v>#DIV/0!</v>
      </c>
      <c r="BF22" s="33" t="e">
        <f t="shared" si="15"/>
        <v>#VALUE!</v>
      </c>
      <c r="BG22" s="33"/>
      <c r="BI22" s="34"/>
      <c r="BJ22" s="34"/>
      <c r="BK22" s="34"/>
      <c r="BL22" s="34"/>
      <c r="BM22" s="34"/>
      <c r="BO22" s="34"/>
      <c r="BP22" s="34"/>
      <c r="BQ22" s="34"/>
      <c r="BR22" s="34"/>
      <c r="BS22" s="34"/>
      <c r="BU22" s="4">
        <f t="shared" si="16"/>
        <v>8915840</v>
      </c>
    </row>
    <row r="23" spans="1:73" outlineLevel="1" x14ac:dyDescent="0.25">
      <c r="A23" s="15"/>
      <c r="B23" s="15" t="s">
        <v>279</v>
      </c>
      <c r="C23" s="16" t="s">
        <v>269</v>
      </c>
      <c r="D23" s="15">
        <v>32209643</v>
      </c>
      <c r="E23" s="16">
        <v>10</v>
      </c>
      <c r="F23" s="16">
        <v>32</v>
      </c>
      <c r="G23" s="16">
        <v>50</v>
      </c>
      <c r="I23" s="17" t="str">
        <f t="shared" si="0"/>
        <v>·</v>
      </c>
      <c r="J23" s="18" t="str">
        <f t="shared" si="1"/>
        <v>·</v>
      </c>
      <c r="K23" s="18" t="str">
        <f t="shared" si="2"/>
        <v>·</v>
      </c>
      <c r="L23" s="18" t="str">
        <f t="shared" si="3"/>
        <v>·</v>
      </c>
      <c r="M23" s="18" t="str">
        <f t="shared" si="4"/>
        <v>·</v>
      </c>
      <c r="N23" s="15" t="str">
        <f t="shared" si="5"/>
        <v/>
      </c>
      <c r="O23" s="18" t="str">
        <f t="shared" si="6"/>
        <v>·</v>
      </c>
      <c r="P23" s="58"/>
      <c r="Q23" s="58"/>
      <c r="R23" s="58"/>
      <c r="S23" s="59"/>
      <c r="T23" s="59"/>
      <c r="U23" s="59"/>
      <c r="V23" s="59"/>
      <c r="W23" s="60"/>
      <c r="X23" s="60"/>
      <c r="Y23" s="60"/>
      <c r="Z23" s="60"/>
      <c r="AA23" s="60"/>
      <c r="AB23" s="61"/>
      <c r="AC23" s="61"/>
      <c r="AD23" s="61"/>
      <c r="AE23" s="61"/>
      <c r="AG23" s="17">
        <f t="shared" si="7"/>
        <v>24.305</v>
      </c>
      <c r="AH23" s="18">
        <f t="shared" si="8"/>
        <v>0.48293611947204756</v>
      </c>
      <c r="AI23" s="18">
        <f t="shared" si="9"/>
        <v>0.11576806361995381</v>
      </c>
      <c r="AJ23" s="18">
        <f t="shared" si="10"/>
        <v>8.5167041435386295E-2</v>
      </c>
      <c r="AK23" s="18">
        <f t="shared" si="11"/>
        <v>0.36717252656293026</v>
      </c>
      <c r="AL23" s="15">
        <f t="shared" si="12"/>
        <v>3728848</v>
      </c>
      <c r="AM23" s="18">
        <f t="shared" si="13"/>
        <v>0.47201741929743835</v>
      </c>
      <c r="AN23" s="58">
        <v>32954716</v>
      </c>
      <c r="AO23" s="58">
        <v>1029834.875</v>
      </c>
      <c r="AP23" s="58">
        <v>36665.46875</v>
      </c>
      <c r="AQ23" s="59">
        <v>15555200</v>
      </c>
      <c r="AR23" s="59">
        <v>2743200</v>
      </c>
      <c r="AS23" s="59">
        <v>985648</v>
      </c>
      <c r="AT23" s="59">
        <v>11826496</v>
      </c>
      <c r="AU23" s="60">
        <v>70.837203125000002</v>
      </c>
      <c r="AV23" s="60">
        <v>73.567968750000006</v>
      </c>
      <c r="AW23" s="60">
        <v>36.275565624999999</v>
      </c>
      <c r="AX23" s="60">
        <v>42.939684374999899</v>
      </c>
      <c r="AY23" s="60">
        <v>41.844209374999998</v>
      </c>
      <c r="AZ23" s="61">
        <v>7667.52</v>
      </c>
      <c r="BA23" s="61">
        <v>1606.94</v>
      </c>
      <c r="BB23" s="61">
        <v>7.3719999999999999</v>
      </c>
      <c r="BC23" s="61">
        <v>20.852</v>
      </c>
      <c r="BE23" s="23" t="e">
        <f t="shared" si="14"/>
        <v>#DIV/0!</v>
      </c>
      <c r="BF23" s="23" t="e">
        <f t="shared" si="15"/>
        <v>#VALUE!</v>
      </c>
      <c r="BG23" s="23"/>
      <c r="BI23" s="24"/>
      <c r="BJ23" s="24"/>
      <c r="BK23" s="24"/>
      <c r="BL23" s="24"/>
      <c r="BM23" s="24"/>
      <c r="BO23" s="24"/>
      <c r="BP23" s="24"/>
      <c r="BQ23" s="24"/>
      <c r="BR23" s="24"/>
      <c r="BS23" s="24"/>
      <c r="BU23" s="4">
        <f t="shared" si="16"/>
        <v>15555200</v>
      </c>
    </row>
    <row r="24" spans="1:73" ht="15.75" outlineLevel="1" thickBot="1" x14ac:dyDescent="0.3">
      <c r="A24" s="45"/>
      <c r="B24" s="45" t="s">
        <v>279</v>
      </c>
      <c r="C24" s="46" t="s">
        <v>270</v>
      </c>
      <c r="D24" s="45">
        <v>32209643</v>
      </c>
      <c r="E24" s="46">
        <v>10</v>
      </c>
      <c r="F24" s="46">
        <v>32</v>
      </c>
      <c r="G24" s="46">
        <v>50</v>
      </c>
      <c r="I24" s="47" t="str">
        <f t="shared" si="0"/>
        <v>·</v>
      </c>
      <c r="J24" s="48" t="str">
        <f t="shared" si="1"/>
        <v>·</v>
      </c>
      <c r="K24" s="48" t="str">
        <f t="shared" si="2"/>
        <v>·</v>
      </c>
      <c r="L24" s="48" t="str">
        <f t="shared" si="3"/>
        <v>·</v>
      </c>
      <c r="M24" s="48" t="str">
        <f t="shared" si="4"/>
        <v>·</v>
      </c>
      <c r="N24" s="45" t="str">
        <f t="shared" si="5"/>
        <v/>
      </c>
      <c r="O24" s="48" t="str">
        <f t="shared" si="6"/>
        <v>·</v>
      </c>
      <c r="P24" s="70"/>
      <c r="Q24" s="70"/>
      <c r="R24" s="70"/>
      <c r="S24" s="71"/>
      <c r="T24" s="71"/>
      <c r="U24" s="71"/>
      <c r="V24" s="71"/>
      <c r="W24" s="72"/>
      <c r="X24" s="72"/>
      <c r="Y24" s="72"/>
      <c r="Z24" s="72"/>
      <c r="AA24" s="72"/>
      <c r="AB24" s="73"/>
      <c r="AC24" s="73"/>
      <c r="AD24" s="73"/>
      <c r="AE24" s="73"/>
      <c r="AG24" s="47">
        <f t="shared" si="7"/>
        <v>41.250999999999998</v>
      </c>
      <c r="AH24" s="48">
        <f t="shared" si="8"/>
        <v>0.81965018985152982</v>
      </c>
      <c r="AI24" s="48">
        <f t="shared" si="9"/>
        <v>0.19083254042896408</v>
      </c>
      <c r="AJ24" s="48">
        <f t="shared" si="10"/>
        <v>0.13218650079418762</v>
      </c>
      <c r="AK24" s="48">
        <f t="shared" si="11"/>
        <v>0.62882212013340233</v>
      </c>
      <c r="AL24" s="45">
        <f t="shared" si="12"/>
        <v>6146648</v>
      </c>
      <c r="AM24" s="48">
        <f t="shared" si="13"/>
        <v>0.83586230958671248</v>
      </c>
      <c r="AN24" s="70">
        <v>31584915</v>
      </c>
      <c r="AO24" s="70">
        <v>987028.59375</v>
      </c>
      <c r="AP24" s="70">
        <v>18072.71875</v>
      </c>
      <c r="AQ24" s="71">
        <v>26400640</v>
      </c>
      <c r="AR24" s="71">
        <v>4257680</v>
      </c>
      <c r="AS24" s="71">
        <v>1888968</v>
      </c>
      <c r="AT24" s="71">
        <v>20254136</v>
      </c>
      <c r="AU24" s="72">
        <v>71.893762499999994</v>
      </c>
      <c r="AV24" s="72">
        <v>75.707471874999996</v>
      </c>
      <c r="AW24" s="72">
        <v>37.303737499999997</v>
      </c>
      <c r="AX24" s="72">
        <v>43.797081249999898</v>
      </c>
      <c r="AY24" s="72">
        <v>42.424003124999999</v>
      </c>
      <c r="AZ24" s="73">
        <v>7799.65</v>
      </c>
      <c r="BA24" s="73">
        <v>1867.21</v>
      </c>
      <c r="BB24" s="73">
        <v>7.54</v>
      </c>
      <c r="BC24" s="73">
        <v>22.707999999999998</v>
      </c>
      <c r="BE24" s="53" t="e">
        <f t="shared" si="14"/>
        <v>#DIV/0!</v>
      </c>
      <c r="BF24" s="53" t="e">
        <f t="shared" si="15"/>
        <v>#VALUE!</v>
      </c>
      <c r="BG24" s="53"/>
      <c r="BI24" s="54"/>
      <c r="BJ24" s="54"/>
      <c r="BK24" s="54"/>
      <c r="BL24" s="54"/>
      <c r="BM24" s="54"/>
      <c r="BO24" s="54"/>
      <c r="BP24" s="54"/>
      <c r="BQ24" s="54"/>
      <c r="BR24" s="54"/>
      <c r="BS24" s="54"/>
      <c r="BU24" s="4">
        <f t="shared" si="16"/>
        <v>26400640</v>
      </c>
    </row>
    <row r="25" spans="1:73" x14ac:dyDescent="0.25">
      <c r="A25" s="15" t="s">
        <v>283</v>
      </c>
      <c r="B25" s="15" t="s">
        <v>282</v>
      </c>
      <c r="C25" s="16" t="s">
        <v>266</v>
      </c>
      <c r="D25" s="15">
        <v>25312408</v>
      </c>
      <c r="E25" s="16">
        <v>10</v>
      </c>
      <c r="F25" s="16">
        <v>32</v>
      </c>
      <c r="G25" s="16">
        <v>30</v>
      </c>
      <c r="I25" s="17">
        <f t="shared" si="0"/>
        <v>4.7024549999999996</v>
      </c>
      <c r="J25" s="18">
        <f t="shared" si="1"/>
        <v>0.19816178689913658</v>
      </c>
      <c r="K25" s="18">
        <f t="shared" si="2"/>
        <v>6.9616239856226517E-2</v>
      </c>
      <c r="L25" s="18">
        <f t="shared" si="3"/>
        <v>3.770366954683517E-2</v>
      </c>
      <c r="M25" s="18">
        <f t="shared" si="4"/>
        <v>0.12854133303582455</v>
      </c>
      <c r="N25" s="15">
        <f t="shared" si="5"/>
        <v>1762154.666666667</v>
      </c>
      <c r="O25" s="18">
        <f t="shared" si="6"/>
        <v>0.21862107101029399</v>
      </c>
      <c r="P25" s="58">
        <v>22943589</v>
      </c>
      <c r="Q25" s="58">
        <v>716987.15625</v>
      </c>
      <c r="R25" s="58">
        <v>16957.03125</v>
      </c>
      <c r="S25" s="59">
        <v>5015952</v>
      </c>
      <c r="T25" s="59">
        <v>954370.66666666698</v>
      </c>
      <c r="U25" s="59">
        <v>807784</v>
      </c>
      <c r="V25" s="59">
        <v>3253690.6666666698</v>
      </c>
      <c r="W25" s="60">
        <v>66.188337500000003</v>
      </c>
      <c r="X25" s="60">
        <v>68.025690624999996</v>
      </c>
      <c r="Y25" s="60">
        <v>27.492265625000002</v>
      </c>
      <c r="Z25" s="60">
        <v>33.271618750000002</v>
      </c>
      <c r="AA25" s="60">
        <v>32.724562499999998</v>
      </c>
      <c r="AB25" s="61"/>
      <c r="AC25" s="61"/>
      <c r="AD25" s="61"/>
      <c r="AE25" s="61"/>
      <c r="AG25" s="17">
        <f t="shared" si="7"/>
        <v>4.7024549999999996</v>
      </c>
      <c r="AH25" s="18">
        <f t="shared" si="8"/>
        <v>0.19816178689913658</v>
      </c>
      <c r="AI25" s="18">
        <f t="shared" si="9"/>
        <v>6.9623719718803517E-2</v>
      </c>
      <c r="AJ25" s="18">
        <f t="shared" si="10"/>
        <v>3.7706092600909402E-2</v>
      </c>
      <c r="AK25" s="18">
        <f t="shared" si="11"/>
        <v>0.12854375608989868</v>
      </c>
      <c r="AL25" s="15">
        <f t="shared" si="12"/>
        <v>1762344</v>
      </c>
      <c r="AM25" s="18">
        <f t="shared" si="13"/>
        <v>0.21862107101029399</v>
      </c>
      <c r="AN25" s="58">
        <v>22943589</v>
      </c>
      <c r="AO25" s="58">
        <v>716987.15625</v>
      </c>
      <c r="AP25" s="58">
        <v>16957.03125</v>
      </c>
      <c r="AQ25" s="59">
        <v>5015952</v>
      </c>
      <c r="AR25" s="59">
        <v>954432</v>
      </c>
      <c r="AS25" s="59">
        <v>807912</v>
      </c>
      <c r="AT25" s="59">
        <v>3253752</v>
      </c>
      <c r="AU25" s="60">
        <v>66.188337499999903</v>
      </c>
      <c r="AV25" s="60">
        <v>68.025690624999996</v>
      </c>
      <c r="AW25" s="60">
        <v>27.492265625000002</v>
      </c>
      <c r="AX25" s="60">
        <v>33.271618750000002</v>
      </c>
      <c r="AY25" s="60">
        <v>32.724562499999998</v>
      </c>
      <c r="AZ25" s="61">
        <v>6136.34</v>
      </c>
      <c r="BA25" s="61">
        <v>1473.71</v>
      </c>
      <c r="BB25" s="61">
        <v>6.508</v>
      </c>
      <c r="BC25" s="61">
        <v>24.584</v>
      </c>
      <c r="BE25" s="23">
        <f t="shared" si="14"/>
        <v>0</v>
      </c>
      <c r="BF25" s="23">
        <f t="shared" si="15"/>
        <v>3.7746241059122276E-5</v>
      </c>
      <c r="BG25" s="23">
        <f t="array" ref="BG25">AVERAGE(AL25:AL29/AQ25:AQ29) - AVERAGE(N25:N29/S25:S29)</f>
        <v>1.6357257213078791E-5</v>
      </c>
      <c r="BI25" s="24">
        <f>IF( OR(ISBLANK(N25:N29),ISBLANK(AL25:AL29), ISBLANK(W25:W29),ISBLANK(AU25:AU29)), "·", bdRateExtend( N25:N29,W25:W29, AL25:AL29,AU25:AU29))</f>
        <v>7.5783582025534812E-5</v>
      </c>
      <c r="BJ25" s="24">
        <f>IF( OR(ISBLANK(N25:N29),ISBLANK(AL25:AL29), ISBLANK(X25:X29),ISBLANK(AV25:AV29)), "·", bdRateExtend( N25:N29,X25:X29, AL25:AL29,AV25:AV29))</f>
        <v>7.1513072314344228E-5</v>
      </c>
      <c r="BK25" s="24">
        <f>IF( OR(ISBLANK(V25:V29),ISBLANK(AT25:AT29), ISBLANK(Y25:Y29),ISBLANK(AW25:AW29)), "·", bdRateExtend( V25:V29,Y25:Y29, AT25:AT29,AW25:AW29))</f>
        <v>6.7901963176630886E-6</v>
      </c>
      <c r="BL25" s="24">
        <f>IF( OR(ISBLANK(V25:V29),ISBLANK(AT25:AT29), ISBLANK(Z25:Z29),ISBLANK(AX25:AX29)), "·", bdRateExtend( V25:V29,Z25:Z29, AT25:AT29,AX25:AX29))</f>
        <v>5.4158572579954267E-6</v>
      </c>
      <c r="BM25" s="24">
        <f>IF( OR(ISBLANK(V25:V29),ISBLANK(AT25:AT29), ISBLANK(AA25:AA29),ISBLANK(AY25:AY29)), "·", bdRateExtend( V25:V29,AA25:AA29, AT25:AT29,AY25:AY29))</f>
        <v>5.7683784151496553E-6</v>
      </c>
      <c r="BO25" s="24">
        <f>IF( OR(ISBLANK(S25:S29),ISBLANK(AQ25:AQ29), ISBLANK(W25:W29),ISBLANK(AU25:AU29)), "·", bdRateExtend( S25:S29,W25:W29, AQ25:AQ29,AU25:AU29))</f>
        <v>1.8429702208777599E-14</v>
      </c>
      <c r="BP25" s="24">
        <f>IF( OR(ISBLANK(S25:S29),ISBLANK(AQ25:AQ29), ISBLANK(X25:X29),ISBLANK(AV25:AV29)), "·", bdRateExtend( S25:S29,X25:X29, AQ25:AQ29,AV25:AV29))</f>
        <v>1.4210854715202004E-14</v>
      </c>
      <c r="BQ25" s="24">
        <f>IF( OR(ISBLANK(S25:S29),ISBLANK(AQ25:AQ29), ISBLANK(Y25:Y29),ISBLANK(AW25:AW29)), "·", bdRateExtend( S25:S29,Y25:Y29, AQ25:AQ29,AW25:AW29))</f>
        <v>1.0880185641326534E-14</v>
      </c>
      <c r="BR25" s="24">
        <f>IF( OR(ISBLANK(S25:S29),ISBLANK(AQ25:AQ29), ISBLANK(Z25:Z29),ISBLANK(AX25:AX29)), "·", bdRateExtend( S25:S29,Z25:Z29, AQ25:AQ29,AX25:AX29))</f>
        <v>3.5971225997855072E-14</v>
      </c>
      <c r="BS25" s="24">
        <f>IF( OR(ISBLANK(S25:S29),ISBLANK(AQ25:AQ29), ISBLANK(AA25:AA29),ISBLANK(AY25:AY29)), "·", bdRateExtend( S25:S29,AA25:AA29, AQ25:AQ29,AY25:AY29))</f>
        <v>1.8207657603852567E-14</v>
      </c>
      <c r="BU25" s="4">
        <f t="shared" si="16"/>
        <v>0</v>
      </c>
    </row>
    <row r="26" spans="1:73" outlineLevel="1" x14ac:dyDescent="0.25">
      <c r="A26" s="25"/>
      <c r="B26" s="25" t="s">
        <v>282</v>
      </c>
      <c r="C26" s="26" t="s">
        <v>267</v>
      </c>
      <c r="D26" s="25">
        <v>25312408</v>
      </c>
      <c r="E26" s="26">
        <v>10</v>
      </c>
      <c r="F26" s="26">
        <v>32</v>
      </c>
      <c r="G26" s="26">
        <v>30</v>
      </c>
      <c r="I26" s="27">
        <f t="shared" si="0"/>
        <v>8.1052874999999993</v>
      </c>
      <c r="J26" s="28">
        <f t="shared" si="1"/>
        <v>0.3415573895616727</v>
      </c>
      <c r="K26" s="28">
        <f t="shared" si="2"/>
        <v>8.4206396588845669E-2</v>
      </c>
      <c r="L26" s="28">
        <f t="shared" si="3"/>
        <v>5.2293826279454329E-2</v>
      </c>
      <c r="M26" s="28">
        <f t="shared" si="4"/>
        <v>0.2573467789657416</v>
      </c>
      <c r="N26" s="25">
        <f t="shared" si="5"/>
        <v>2131466.6666666698</v>
      </c>
      <c r="O26" s="28">
        <f t="shared" si="6"/>
        <v>0.34707058383267786</v>
      </c>
      <c r="P26" s="62">
        <v>24910322</v>
      </c>
      <c r="Q26" s="62">
        <v>778447.5625</v>
      </c>
      <c r="R26" s="62">
        <v>22364.375</v>
      </c>
      <c r="S26" s="63">
        <v>8645640</v>
      </c>
      <c r="T26" s="63">
        <v>1323682.66666667</v>
      </c>
      <c r="U26" s="63">
        <v>807784</v>
      </c>
      <c r="V26" s="63">
        <v>6514066.6666666698</v>
      </c>
      <c r="W26" s="64">
        <v>68.016528124999994</v>
      </c>
      <c r="X26" s="64">
        <v>69.989903124999998</v>
      </c>
      <c r="Y26" s="64">
        <v>29.910231249999999</v>
      </c>
      <c r="Z26" s="64">
        <v>34.460487499999999</v>
      </c>
      <c r="AA26" s="64">
        <v>34.047587499999999</v>
      </c>
      <c r="AB26" s="65"/>
      <c r="AC26" s="65"/>
      <c r="AD26" s="65"/>
      <c r="AE26" s="65"/>
      <c r="AG26" s="27">
        <f t="shared" si="7"/>
        <v>8.1052874999999993</v>
      </c>
      <c r="AH26" s="28">
        <f t="shared" si="8"/>
        <v>0.3415573895616727</v>
      </c>
      <c r="AI26" s="28">
        <f t="shared" si="9"/>
        <v>8.4213876451422559E-2</v>
      </c>
      <c r="AJ26" s="28">
        <f t="shared" si="10"/>
        <v>5.2296249333528444E-2</v>
      </c>
      <c r="AK26" s="28">
        <f t="shared" si="11"/>
        <v>0.25734920201981576</v>
      </c>
      <c r="AL26" s="25">
        <f t="shared" si="12"/>
        <v>2131656</v>
      </c>
      <c r="AM26" s="28">
        <f t="shared" si="13"/>
        <v>0.34707058383267786</v>
      </c>
      <c r="AN26" s="62">
        <v>24910322</v>
      </c>
      <c r="AO26" s="62">
        <v>778447.5625</v>
      </c>
      <c r="AP26" s="62">
        <v>22364.375</v>
      </c>
      <c r="AQ26" s="63">
        <v>8645640</v>
      </c>
      <c r="AR26" s="63">
        <v>1323744</v>
      </c>
      <c r="AS26" s="63">
        <v>807912</v>
      </c>
      <c r="AT26" s="63">
        <v>6514128</v>
      </c>
      <c r="AU26" s="64">
        <v>68.016528124999994</v>
      </c>
      <c r="AV26" s="64">
        <v>69.989903124999898</v>
      </c>
      <c r="AW26" s="64">
        <v>29.910231249999899</v>
      </c>
      <c r="AX26" s="64">
        <v>34.4604874999999</v>
      </c>
      <c r="AY26" s="64">
        <v>34.047587499999999</v>
      </c>
      <c r="AZ26" s="65">
        <v>5984.52</v>
      </c>
      <c r="BA26" s="65">
        <v>1563.4</v>
      </c>
      <c r="BB26" s="65">
        <v>5.98</v>
      </c>
      <c r="BC26" s="65">
        <v>22.344000000000001</v>
      </c>
      <c r="BE26" s="33">
        <f t="shared" si="14"/>
        <v>0</v>
      </c>
      <c r="BF26" s="33">
        <f t="shared" si="15"/>
        <v>2.1899284880028125E-5</v>
      </c>
      <c r="BG26" s="33"/>
      <c r="BI26" s="34"/>
      <c r="BJ26" s="34"/>
      <c r="BK26" s="34"/>
      <c r="BL26" s="34"/>
      <c r="BM26" s="34"/>
      <c r="BO26" s="34"/>
      <c r="BP26" s="34"/>
      <c r="BQ26" s="34"/>
      <c r="BR26" s="34"/>
      <c r="BS26" s="34"/>
      <c r="BU26" s="4">
        <f t="shared" si="16"/>
        <v>0</v>
      </c>
    </row>
    <row r="27" spans="1:73" outlineLevel="1" x14ac:dyDescent="0.25">
      <c r="A27" s="15"/>
      <c r="B27" s="15" t="s">
        <v>282</v>
      </c>
      <c r="C27" s="16" t="s">
        <v>268</v>
      </c>
      <c r="D27" s="15">
        <v>25312408</v>
      </c>
      <c r="E27" s="16">
        <v>10</v>
      </c>
      <c r="F27" s="16">
        <v>32</v>
      </c>
      <c r="G27" s="16">
        <v>30</v>
      </c>
      <c r="I27" s="17">
        <f t="shared" si="0"/>
        <v>14.654159999999999</v>
      </c>
      <c r="J27" s="18">
        <f t="shared" si="1"/>
        <v>0.61752734074134707</v>
      </c>
      <c r="K27" s="18">
        <f t="shared" si="2"/>
        <v>0.10547090844405912</v>
      </c>
      <c r="L27" s="18">
        <f t="shared" si="3"/>
        <v>7.3558338134667792E-2</v>
      </c>
      <c r="M27" s="18">
        <f t="shared" si="4"/>
        <v>0.51205221829020375</v>
      </c>
      <c r="N27" s="15">
        <f t="shared" si="5"/>
        <v>2669722.6666666698</v>
      </c>
      <c r="O27" s="18">
        <f t="shared" si="6"/>
        <v>0.61871718863366576</v>
      </c>
      <c r="P27" s="58">
        <v>25263730</v>
      </c>
      <c r="Q27" s="58">
        <v>789491.5625</v>
      </c>
      <c r="R27" s="58">
        <v>23753.8125</v>
      </c>
      <c r="S27" s="59">
        <v>15631104</v>
      </c>
      <c r="T27" s="59">
        <v>1861938.66666667</v>
      </c>
      <c r="U27" s="59">
        <v>807784</v>
      </c>
      <c r="V27" s="59">
        <v>12961274.6666667</v>
      </c>
      <c r="W27" s="60">
        <v>69.394446875</v>
      </c>
      <c r="X27" s="60">
        <v>71.733012500000001</v>
      </c>
      <c r="Y27" s="60">
        <v>32.411193750000002</v>
      </c>
      <c r="Z27" s="60">
        <v>35.725225000000002</v>
      </c>
      <c r="AA27" s="60">
        <v>35.386656250000001</v>
      </c>
      <c r="AB27" s="61"/>
      <c r="AC27" s="61"/>
      <c r="AD27" s="61"/>
      <c r="AE27" s="61"/>
      <c r="AG27" s="17">
        <f t="shared" si="7"/>
        <v>14.654159999999999</v>
      </c>
      <c r="AH27" s="18">
        <f t="shared" si="8"/>
        <v>0.61752734074134707</v>
      </c>
      <c r="AI27" s="18">
        <f t="shared" si="9"/>
        <v>0.10547838830663601</v>
      </c>
      <c r="AJ27" s="18">
        <f t="shared" si="10"/>
        <v>7.3560761188741899E-2</v>
      </c>
      <c r="AK27" s="18">
        <f t="shared" si="11"/>
        <v>0.5120546413442767</v>
      </c>
      <c r="AL27" s="15">
        <f t="shared" si="12"/>
        <v>2669912</v>
      </c>
      <c r="AM27" s="18">
        <f t="shared" si="13"/>
        <v>0.61871718863366576</v>
      </c>
      <c r="AN27" s="58">
        <v>25263730</v>
      </c>
      <c r="AO27" s="58">
        <v>789491.5625</v>
      </c>
      <c r="AP27" s="58">
        <v>23753.8125</v>
      </c>
      <c r="AQ27" s="59">
        <v>15631104</v>
      </c>
      <c r="AR27" s="59">
        <v>1862000</v>
      </c>
      <c r="AS27" s="59">
        <v>807912</v>
      </c>
      <c r="AT27" s="59">
        <v>12961336</v>
      </c>
      <c r="AU27" s="60">
        <v>69.394446875</v>
      </c>
      <c r="AV27" s="60">
        <v>71.733012499999901</v>
      </c>
      <c r="AW27" s="60">
        <v>32.411193749999903</v>
      </c>
      <c r="AX27" s="60">
        <v>35.725224999999902</v>
      </c>
      <c r="AY27" s="60">
        <v>35.386656250000001</v>
      </c>
      <c r="AZ27" s="61">
        <v>6031.45</v>
      </c>
      <c r="BA27" s="61">
        <v>1821.98</v>
      </c>
      <c r="BB27" s="61">
        <v>6.8440000000000003</v>
      </c>
      <c r="BC27" s="61">
        <v>26.064</v>
      </c>
      <c r="BE27" s="23">
        <f t="shared" si="14"/>
        <v>0</v>
      </c>
      <c r="BF27" s="23">
        <f t="shared" si="15"/>
        <v>1.211260147268578E-5</v>
      </c>
      <c r="BG27" s="23"/>
      <c r="BI27" s="24"/>
      <c r="BJ27" s="24"/>
      <c r="BK27" s="24"/>
      <c r="BL27" s="24"/>
      <c r="BM27" s="24"/>
      <c r="BO27" s="24"/>
      <c r="BP27" s="24"/>
      <c r="BQ27" s="24"/>
      <c r="BR27" s="24"/>
      <c r="BS27" s="24"/>
      <c r="BU27" s="4">
        <f t="shared" si="16"/>
        <v>0</v>
      </c>
    </row>
    <row r="28" spans="1:73" outlineLevel="1" x14ac:dyDescent="0.25">
      <c r="A28" s="25"/>
      <c r="B28" s="25" t="s">
        <v>282</v>
      </c>
      <c r="C28" s="26" t="s">
        <v>269</v>
      </c>
      <c r="D28" s="25">
        <v>25312408</v>
      </c>
      <c r="E28" s="26">
        <v>10</v>
      </c>
      <c r="F28" s="26">
        <v>32</v>
      </c>
      <c r="G28" s="26">
        <v>30</v>
      </c>
      <c r="I28" s="27">
        <f t="shared" si="0"/>
        <v>27.8188575</v>
      </c>
      <c r="J28" s="28">
        <f t="shared" si="1"/>
        <v>1.1722886261947105</v>
      </c>
      <c r="K28" s="28">
        <f t="shared" si="2"/>
        <v>0.14073961934663307</v>
      </c>
      <c r="L28" s="28">
        <f t="shared" si="3"/>
        <v>0.10882704903724173</v>
      </c>
      <c r="M28" s="28">
        <f t="shared" si="4"/>
        <v>1.0315447928409933</v>
      </c>
      <c r="N28" s="25">
        <f t="shared" si="5"/>
        <v>3562458.6666666698</v>
      </c>
      <c r="O28" s="28">
        <f t="shared" si="6"/>
        <v>1.1329631910310591</v>
      </c>
      <c r="P28" s="62">
        <v>26191008</v>
      </c>
      <c r="Q28" s="62">
        <v>818469</v>
      </c>
      <c r="R28" s="62">
        <v>27045</v>
      </c>
      <c r="S28" s="63">
        <v>29673448</v>
      </c>
      <c r="T28" s="63">
        <v>2754674.6666666698</v>
      </c>
      <c r="U28" s="63">
        <v>807784</v>
      </c>
      <c r="V28" s="63">
        <v>26110882.666666701</v>
      </c>
      <c r="W28" s="64">
        <v>70.457109375000002</v>
      </c>
      <c r="X28" s="64">
        <v>73.018118749999999</v>
      </c>
      <c r="Y28" s="64">
        <v>34.880259375000001</v>
      </c>
      <c r="Z28" s="64">
        <v>37.548418750000003</v>
      </c>
      <c r="AA28" s="64">
        <v>37.157228125000003</v>
      </c>
      <c r="AB28" s="65"/>
      <c r="AC28" s="65"/>
      <c r="AD28" s="65"/>
      <c r="AE28" s="65"/>
      <c r="AG28" s="27">
        <f t="shared" si="7"/>
        <v>27.8188575</v>
      </c>
      <c r="AH28" s="28">
        <f t="shared" si="8"/>
        <v>1.1722886261947105</v>
      </c>
      <c r="AI28" s="28">
        <f t="shared" si="9"/>
        <v>0.14074709920920997</v>
      </c>
      <c r="AJ28" s="28">
        <f t="shared" si="10"/>
        <v>0.10882947209131585</v>
      </c>
      <c r="AK28" s="28">
        <f t="shared" si="11"/>
        <v>1.0315472158950663</v>
      </c>
      <c r="AL28" s="25">
        <f t="shared" si="12"/>
        <v>3562648</v>
      </c>
      <c r="AM28" s="28">
        <f t="shared" si="13"/>
        <v>1.1329631910310591</v>
      </c>
      <c r="AN28" s="62">
        <v>26191008</v>
      </c>
      <c r="AO28" s="62">
        <v>818469</v>
      </c>
      <c r="AP28" s="62">
        <v>27045</v>
      </c>
      <c r="AQ28" s="63">
        <v>29673448</v>
      </c>
      <c r="AR28" s="63">
        <v>2754736</v>
      </c>
      <c r="AS28" s="63">
        <v>807912</v>
      </c>
      <c r="AT28" s="63">
        <v>26110944</v>
      </c>
      <c r="AU28" s="64">
        <v>70.457109374999902</v>
      </c>
      <c r="AV28" s="64">
        <v>73.018118749999999</v>
      </c>
      <c r="AW28" s="64">
        <v>34.880259375000001</v>
      </c>
      <c r="AX28" s="64">
        <v>37.548418749999897</v>
      </c>
      <c r="AY28" s="64">
        <v>37.157228124999897</v>
      </c>
      <c r="AZ28" s="65">
        <v>5973.82</v>
      </c>
      <c r="BA28" s="65">
        <v>2091.56</v>
      </c>
      <c r="BB28" s="65">
        <v>6.2640000000000002</v>
      </c>
      <c r="BC28" s="65">
        <v>24.803999999999998</v>
      </c>
      <c r="BE28" s="33">
        <f t="shared" si="14"/>
        <v>0</v>
      </c>
      <c r="BF28" s="33">
        <f t="shared" si="15"/>
        <v>6.380563975241782E-6</v>
      </c>
      <c r="BG28" s="33"/>
      <c r="BI28" s="34"/>
      <c r="BJ28" s="34"/>
      <c r="BK28" s="34"/>
      <c r="BL28" s="34"/>
      <c r="BM28" s="34"/>
      <c r="BO28" s="34"/>
      <c r="BP28" s="34"/>
      <c r="BQ28" s="34"/>
      <c r="BR28" s="34"/>
      <c r="BS28" s="34"/>
      <c r="BU28" s="4">
        <f t="shared" si="16"/>
        <v>0</v>
      </c>
    </row>
    <row r="29" spans="1:73" ht="15.75" outlineLevel="1" thickBot="1" x14ac:dyDescent="0.3">
      <c r="A29" s="35"/>
      <c r="B29" s="35" t="s">
        <v>282</v>
      </c>
      <c r="C29" s="36" t="s">
        <v>270</v>
      </c>
      <c r="D29" s="35">
        <v>25312408</v>
      </c>
      <c r="E29" s="36">
        <v>10</v>
      </c>
      <c r="F29" s="36">
        <v>32</v>
      </c>
      <c r="G29" s="36">
        <v>30</v>
      </c>
      <c r="I29" s="37">
        <f t="shared" si="0"/>
        <v>48.662205</v>
      </c>
      <c r="J29" s="38">
        <f t="shared" si="1"/>
        <v>2.0506287667297398</v>
      </c>
      <c r="K29" s="38">
        <f t="shared" si="2"/>
        <v>0.22523794127633648</v>
      </c>
      <c r="L29" s="38">
        <f t="shared" si="3"/>
        <v>0.16586374029158624</v>
      </c>
      <c r="M29" s="38">
        <f t="shared" si="4"/>
        <v>1.8253866114463191</v>
      </c>
      <c r="N29" s="35">
        <f t="shared" si="5"/>
        <v>5701314.6666666698</v>
      </c>
      <c r="O29" s="38">
        <f t="shared" si="6"/>
        <v>2.0708682486935279</v>
      </c>
      <c r="P29" s="66">
        <v>25065019</v>
      </c>
      <c r="Q29" s="66">
        <v>783281.84375</v>
      </c>
      <c r="R29" s="66">
        <v>12136.59375</v>
      </c>
      <c r="S29" s="67">
        <v>51906352</v>
      </c>
      <c r="T29" s="67">
        <v>4198410.6666666698</v>
      </c>
      <c r="U29" s="67">
        <v>1502904</v>
      </c>
      <c r="V29" s="67">
        <v>46204930.666666701</v>
      </c>
      <c r="W29" s="68">
        <v>71.492812499999999</v>
      </c>
      <c r="X29" s="68">
        <v>74.934843749999999</v>
      </c>
      <c r="Y29" s="68">
        <v>36.5576875</v>
      </c>
      <c r="Z29" s="68">
        <v>39.620221874999999</v>
      </c>
      <c r="AA29" s="68">
        <v>39.018403124999999</v>
      </c>
      <c r="AB29" s="69"/>
      <c r="AC29" s="69"/>
      <c r="AD29" s="69"/>
      <c r="AE29" s="69"/>
      <c r="AG29" s="37">
        <f t="shared" si="7"/>
        <v>48.662205</v>
      </c>
      <c r="AH29" s="38">
        <f t="shared" si="8"/>
        <v>2.0506287667297398</v>
      </c>
      <c r="AI29" s="38">
        <f t="shared" si="9"/>
        <v>0.22524542113891338</v>
      </c>
      <c r="AJ29" s="38">
        <f t="shared" si="10"/>
        <v>0.16586616334566034</v>
      </c>
      <c r="AK29" s="38">
        <f t="shared" si="11"/>
        <v>1.825389034500392</v>
      </c>
      <c r="AL29" s="35">
        <f t="shared" si="12"/>
        <v>5701504</v>
      </c>
      <c r="AM29" s="38">
        <f t="shared" si="13"/>
        <v>2.0708682486935279</v>
      </c>
      <c r="AN29" s="66">
        <v>25065019</v>
      </c>
      <c r="AO29" s="66">
        <v>783281.84375</v>
      </c>
      <c r="AP29" s="66">
        <v>12136.59375</v>
      </c>
      <c r="AQ29" s="67">
        <v>51906352</v>
      </c>
      <c r="AR29" s="67">
        <v>4198472</v>
      </c>
      <c r="AS29" s="67">
        <v>1503032</v>
      </c>
      <c r="AT29" s="67">
        <v>46204992</v>
      </c>
      <c r="AU29" s="68">
        <v>71.492812499999999</v>
      </c>
      <c r="AV29" s="68">
        <v>74.934843749999999</v>
      </c>
      <c r="AW29" s="68">
        <v>36.5576875</v>
      </c>
      <c r="AX29" s="68">
        <v>39.620221874999899</v>
      </c>
      <c r="AY29" s="68">
        <v>39.018403124999999</v>
      </c>
      <c r="AZ29" s="69">
        <v>6026.74</v>
      </c>
      <c r="BA29" s="69">
        <v>2469.35</v>
      </c>
      <c r="BB29" s="69">
        <v>6.1159999999999997</v>
      </c>
      <c r="BC29" s="69">
        <v>26.152000000000001</v>
      </c>
      <c r="BE29" s="43">
        <f t="shared" si="14"/>
        <v>0</v>
      </c>
      <c r="BF29" s="43">
        <f t="shared" si="15"/>
        <v>3.6475946783992574E-6</v>
      </c>
      <c r="BG29" s="43"/>
      <c r="BI29" s="44"/>
      <c r="BJ29" s="44"/>
      <c r="BK29" s="44"/>
      <c r="BL29" s="44"/>
      <c r="BM29" s="44"/>
      <c r="BO29" s="44"/>
      <c r="BP29" s="44"/>
      <c r="BQ29" s="44"/>
      <c r="BR29" s="44"/>
      <c r="BS29" s="44"/>
      <c r="BU29" s="4">
        <f t="shared" si="16"/>
        <v>0</v>
      </c>
    </row>
    <row r="30" spans="1:73" x14ac:dyDescent="0.25">
      <c r="B30" s="55" t="s">
        <v>286</v>
      </c>
      <c r="J30" s="56">
        <f>AVERAGE(J5:J24)</f>
        <v>0.45222088745697364</v>
      </c>
      <c r="K30" s="56">
        <f>AVERAGE(K5:K24)</f>
        <v>0.13151436296522162</v>
      </c>
      <c r="L30" s="56">
        <f>AVERAGE(L5:L24)</f>
        <v>9.060988883454639E-2</v>
      </c>
      <c r="M30" s="56">
        <f>AVERAGE(M5:M24)</f>
        <v>0.32070248342599705</v>
      </c>
      <c r="AH30" s="56">
        <f>AVERAGE(AH5:AH24)</f>
        <v>0.43179147954540281</v>
      </c>
      <c r="AI30" s="56">
        <f>AVERAGE(AI5:AI24)</f>
        <v>0.12487160716350516</v>
      </c>
      <c r="AJ30" s="56">
        <f>AVERAGE(AJ5:AJ24)</f>
        <v>8.5137108187666427E-2</v>
      </c>
      <c r="AK30" s="56">
        <f>AVERAGE(AK5:AK24)</f>
        <v>0.30692508163868409</v>
      </c>
      <c r="BG30" s="8" t="e">
        <f>AVERAGE(BG5:BG24)</f>
        <v>#VALUE!</v>
      </c>
      <c r="BI30" s="5">
        <f>AVERAGE(BI5:BI24)</f>
        <v>6.9755153607372236E-5</v>
      </c>
      <c r="BJ30" s="5">
        <f>AVERAGE(BJ5:BJ24)</f>
        <v>6.5972674978024656E-5</v>
      </c>
      <c r="BK30" s="5">
        <f>AVERAGE(BK5:BK24)</f>
        <v>1.5109543045325561E-5</v>
      </c>
      <c r="BL30" s="5">
        <f>AVERAGE(BL5:BL24)</f>
        <v>1.4059285291449323E-5</v>
      </c>
      <c r="BM30" s="5">
        <f>AVERAGE(BM5:BM24)</f>
        <v>1.4654355614022544E-5</v>
      </c>
      <c r="BO30" s="5">
        <f>AVERAGE(BO5:BO24)</f>
        <v>1.0732155904709847E-14</v>
      </c>
      <c r="BP30" s="5">
        <f>AVERAGE(BP5:BP24)</f>
        <v>6.9573976209843141E-15</v>
      </c>
      <c r="BQ30" s="5">
        <f>AVERAGE(BQ5:BQ24)</f>
        <v>5.5511151231257827E-15</v>
      </c>
      <c r="BR30" s="5">
        <f>AVERAGE(BR5:BR24)</f>
        <v>1.495100339828544E-14</v>
      </c>
      <c r="BS30" s="5">
        <f>AVERAGE(BS5:BS24)</f>
        <v>1.0880185641326534E-14</v>
      </c>
    </row>
    <row r="31" spans="1:73" x14ac:dyDescent="0.25">
      <c r="B31" s="55" t="s">
        <v>287</v>
      </c>
      <c r="J31" s="56">
        <f>AVERAGE(J25:J29)</f>
        <v>0.87603278202532131</v>
      </c>
      <c r="K31" s="56">
        <f>AVERAGE(K25:K29)</f>
        <v>0.12505422110242018</v>
      </c>
      <c r="L31" s="56">
        <f>AVERAGE(L25:L29)</f>
        <v>8.7649324657957051E-2</v>
      </c>
      <c r="M31" s="56">
        <f>AVERAGE(M25:M29)</f>
        <v>0.75097434691581655</v>
      </c>
      <c r="AH31" s="56">
        <f>AVERAGE(AH25:AH29)</f>
        <v>0.87603278202532131</v>
      </c>
      <c r="AI31" s="56">
        <f>AVERAGE(AI25:AI29)</f>
        <v>0.12506170096499708</v>
      </c>
      <c r="AJ31" s="56">
        <f>AVERAGE(AJ25:AJ29)</f>
        <v>8.7651747712031186E-2</v>
      </c>
      <c r="AK31" s="56">
        <f>AVERAGE(AK25:AK29)</f>
        <v>0.75097676996988993</v>
      </c>
      <c r="BG31" s="8">
        <f>AVERAGE(BG25:BG29)</f>
        <v>1.6357257213078791E-5</v>
      </c>
      <c r="BI31" s="5">
        <f>AVERAGE(BI25:BI29)</f>
        <v>7.5783582025534812E-5</v>
      </c>
      <c r="BJ31" s="5">
        <f>AVERAGE(BJ25:BJ29)</f>
        <v>7.1513072314344228E-5</v>
      </c>
      <c r="BK31" s="5">
        <f>AVERAGE(BK25:BK29)</f>
        <v>6.7901963176630886E-6</v>
      </c>
      <c r="BL31" s="5">
        <f>AVERAGE(BL25:BL29)</f>
        <v>5.4158572579954267E-6</v>
      </c>
      <c r="BM31" s="5">
        <f>AVERAGE(BM25:BM29)</f>
        <v>5.7683784151496553E-6</v>
      </c>
      <c r="BO31" s="5">
        <f>AVERAGE(BO25:BO29)</f>
        <v>1.8429702208777599E-14</v>
      </c>
      <c r="BP31" s="5">
        <f>AVERAGE(BP25:BP29)</f>
        <v>1.4210854715202004E-14</v>
      </c>
      <c r="BQ31" s="5">
        <f>AVERAGE(BQ25:BQ29)</f>
        <v>1.0880185641326534E-14</v>
      </c>
      <c r="BR31" s="5">
        <f>AVERAGE(BR25:BR29)</f>
        <v>3.5971225997855072E-14</v>
      </c>
      <c r="BS31" s="5">
        <f>AVERAGE(BS25:BS29)</f>
        <v>1.8207657603852567E-14</v>
      </c>
    </row>
    <row r="32" spans="1:73" x14ac:dyDescent="0.25">
      <c r="B32" s="55" t="s">
        <v>288</v>
      </c>
      <c r="J32" s="56">
        <f>AVERAGE(J5:J29)</f>
        <v>0.55817386109906053</v>
      </c>
      <c r="K32" s="56">
        <f>AVERAGE(K5:K29)</f>
        <v>0.12989932749952124</v>
      </c>
      <c r="L32" s="56">
        <f>AVERAGE(L5:L29)</f>
        <v>8.9869747790399065E-2</v>
      </c>
      <c r="M32" s="56">
        <f>AVERAGE(M5:M29)</f>
        <v>0.42827044929845187</v>
      </c>
      <c r="AH32" s="56">
        <f>AVERAGE(AH5:AH29)</f>
        <v>0.52063974004138658</v>
      </c>
      <c r="AI32" s="56">
        <f>AVERAGE(AI5:AI29)</f>
        <v>0.12490962592380354</v>
      </c>
      <c r="AJ32" s="56">
        <f>AVERAGE(AJ5:AJ29)</f>
        <v>8.5640036092539382E-2</v>
      </c>
      <c r="AK32" s="56">
        <f>AVERAGE(AK5:AK29)</f>
        <v>0.39573541930492523</v>
      </c>
      <c r="BG32" s="8" t="e">
        <f>AVERAGE(BG5:BG29)</f>
        <v>#VALUE!</v>
      </c>
      <c r="BI32" s="5">
        <f>AVERAGE(BI5:BI29)</f>
        <v>7.1262260711912884E-5</v>
      </c>
      <c r="BJ32" s="5">
        <f>AVERAGE(BJ5:BJ29)</f>
        <v>6.7357774312104546E-5</v>
      </c>
      <c r="BK32" s="5">
        <f>AVERAGE(BK5:BK29)</f>
        <v>1.3029706363409943E-5</v>
      </c>
      <c r="BL32" s="5">
        <f>AVERAGE(BL5:BL29)</f>
        <v>1.1898428283085849E-5</v>
      </c>
      <c r="BM32" s="5">
        <f>AVERAGE(BM5:BM29)</f>
        <v>1.2432861314304322E-5</v>
      </c>
      <c r="BO32" s="5">
        <f>AVERAGE(BO5:BO29)</f>
        <v>1.2656542480726785E-14</v>
      </c>
      <c r="BP32" s="5">
        <f>AVERAGE(BP5:BP29)</f>
        <v>8.7707618945387367E-15</v>
      </c>
      <c r="BQ32" s="5">
        <f>AVERAGE(BQ5:BQ29)</f>
        <v>6.8833827526759706E-15</v>
      </c>
      <c r="BR32" s="5">
        <f>AVERAGE(BR5:BR29)</f>
        <v>2.0206059048177849E-14</v>
      </c>
      <c r="BS32" s="5">
        <f>AVERAGE(BS5:BS29)</f>
        <v>1.2712053631958042E-14</v>
      </c>
    </row>
    <row r="33" spans="1:55" hidden="1" outlineLevel="2" x14ac:dyDescent="0.25">
      <c r="A33" s="55" t="s">
        <v>289</v>
      </c>
      <c r="B33" s="55" t="s">
        <v>290</v>
      </c>
      <c r="AB33" s="57">
        <f>SUM(AB5:AB24,AB25:AB29)</f>
        <v>0</v>
      </c>
      <c r="AC33" s="57">
        <f>SUM(AC5:AC24,AC25:AC29)</f>
        <v>0</v>
      </c>
      <c r="AD33" s="57">
        <f>SUM(AD5:AD24,AD25:AD29)</f>
        <v>0</v>
      </c>
      <c r="AE33" s="57">
        <f>SUM(AE5:AE24,AE25:AE29)</f>
        <v>0</v>
      </c>
      <c r="AZ33" s="57">
        <f>SUM(AZ5:AZ24,AZ25:AZ29)</f>
        <v>182244.19</v>
      </c>
      <c r="BA33" s="57">
        <f>SUM(BA5:BA24,BA25:BA29)</f>
        <v>40139.75</v>
      </c>
      <c r="BB33" s="57">
        <f>SUM(BB5:BB24,BB25:BB29)</f>
        <v>176.69600000000003</v>
      </c>
      <c r="BC33" s="57">
        <f>SUM(BC5:BC24,BC25:BC29)</f>
        <v>576.76799999999992</v>
      </c>
    </row>
    <row r="34" spans="1:55" hidden="1" outlineLevel="2" x14ac:dyDescent="0.25">
      <c r="B34" s="55" t="s">
        <v>291</v>
      </c>
      <c r="AZ34" s="8" t="e">
        <f>AZ33/AB33</f>
        <v>#DIV/0!</v>
      </c>
      <c r="BA34" s="8" t="e">
        <f>BA33/AC33</f>
        <v>#DIV/0!</v>
      </c>
      <c r="BB34" s="8" t="e">
        <f>BB33/AD33</f>
        <v>#DIV/0!</v>
      </c>
      <c r="BC34" s="8" t="e">
        <f>BC33/AE33</f>
        <v>#DIV/0!</v>
      </c>
    </row>
    <row r="35" spans="1:55" hidden="1" outlineLevel="2" x14ac:dyDescent="0.25">
      <c r="B35" s="55" t="s">
        <v>292</v>
      </c>
      <c r="AB35" s="57" t="e">
        <f>GEOMEAN(AB5:AB24,AB25:AB29)</f>
        <v>#NUM!</v>
      </c>
      <c r="AC35" s="57" t="e">
        <f>GEOMEAN(AC5:AC24,AC25:AC29)</f>
        <v>#NUM!</v>
      </c>
      <c r="AD35" s="57" t="e">
        <f>GEOMEAN(AD5:AD24,AD25:AD29)</f>
        <v>#NUM!</v>
      </c>
      <c r="AE35" s="57" t="e">
        <f>GEOMEAN(AE5:AE24,AE25:AE29)</f>
        <v>#NUM!</v>
      </c>
      <c r="AZ35" s="57">
        <f>GEOMEAN(AZ5:AZ24,AZ25:AZ29)</f>
        <v>6862.674842956566</v>
      </c>
      <c r="BA35" s="57">
        <f>GEOMEAN(BA5:BA24,BA25:BA29)</f>
        <v>1562.418707926118</v>
      </c>
      <c r="BB35" s="57">
        <f>GEOMEAN(BB5:BB24,BB25:BB29)</f>
        <v>6.9833148524978057</v>
      </c>
      <c r="BC35" s="57">
        <f>GEOMEAN(BC5:BC24,BC25:BC29)</f>
        <v>22.800205655793235</v>
      </c>
    </row>
    <row r="36" spans="1:55" outlineLevel="2" collapsed="1" x14ac:dyDescent="0.25">
      <c r="B36" s="55" t="s">
        <v>293</v>
      </c>
      <c r="AZ36" s="8" t="e">
        <f>AZ35/AB35</f>
        <v>#NUM!</v>
      </c>
      <c r="BA36" s="8" t="e">
        <f>BA35/AC35</f>
        <v>#NUM!</v>
      </c>
      <c r="BB36" s="8" t="e">
        <f>BB35/AD35</f>
        <v>#NUM!</v>
      </c>
      <c r="BC36" s="8" t="e">
        <f>BC35/AE35</f>
        <v>#NUM!</v>
      </c>
    </row>
  </sheetData>
  <mergeCells count="41">
    <mergeCell ref="A2:A3"/>
    <mergeCell ref="B2:B3"/>
    <mergeCell ref="C2:C3"/>
    <mergeCell ref="D2:D3"/>
    <mergeCell ref="E2:E3"/>
    <mergeCell ref="F2:F3"/>
    <mergeCell ref="G2:G3"/>
    <mergeCell ref="I2:I3"/>
    <mergeCell ref="J2:M2"/>
    <mergeCell ref="N2:N3"/>
    <mergeCell ref="O2:O3"/>
    <mergeCell ref="P2:P3"/>
    <mergeCell ref="Q2:Q3"/>
    <mergeCell ref="R2:R3"/>
    <mergeCell ref="S2:V2"/>
    <mergeCell ref="W2:X2"/>
    <mergeCell ref="Y2:AA2"/>
    <mergeCell ref="AB2:AC2"/>
    <mergeCell ref="AD2:AE2"/>
    <mergeCell ref="AG2:AG3"/>
    <mergeCell ref="AH2:AK2"/>
    <mergeCell ref="AL2:AL3"/>
    <mergeCell ref="AM2:AM3"/>
    <mergeCell ref="AN2:AN3"/>
    <mergeCell ref="AO2:AO3"/>
    <mergeCell ref="BK2:BM2"/>
    <mergeCell ref="BO2:BP2"/>
    <mergeCell ref="BQ2:BS2"/>
    <mergeCell ref="A1:G1"/>
    <mergeCell ref="I1:AE1"/>
    <mergeCell ref="AG1:BC1"/>
    <mergeCell ref="BB2:BC2"/>
    <mergeCell ref="BE2:BE3"/>
    <mergeCell ref="BF2:BF3"/>
    <mergeCell ref="BG2:BG3"/>
    <mergeCell ref="BI2:BJ2"/>
    <mergeCell ref="AP2:AP3"/>
    <mergeCell ref="AQ2:AT2"/>
    <mergeCell ref="AU2:AV2"/>
    <mergeCell ref="AW2:AY2"/>
    <mergeCell ref="AZ2:BA2"/>
  </mergeCells>
  <conditionalFormatting sqref="BI5 BI6 BI7 BI8 BI9 BI10 BI11 BI12 BI13 BI14 BI15 BI16 BI17 BI18 BI19 BI20 BI21 BI22 BI23 BI24 BI25 BI26 BI27 BI28 BI29 BI30 BI31 BI32">
    <cfRule type="cellIs" dxfId="51" priority="13" operator="greaterThanOrEqual">
      <formula>0.03</formula>
    </cfRule>
    <cfRule type="cellIs" dxfId="50" priority="14" operator="lessThanOrEqual">
      <formula>-0.03</formula>
    </cfRule>
  </conditionalFormatting>
  <conditionalFormatting sqref="BJ5 BJ6 BJ7 BJ8 BJ9 BJ10 BJ11 BJ12 BJ13 BJ14 BJ15 BJ16 BJ17 BJ18 BJ19 BJ20 BJ21 BJ22 BJ23 BJ24 BJ25 BJ26 BJ27 BJ28 BJ29 BJ30 BJ31 BJ32">
    <cfRule type="cellIs" dxfId="49" priority="11" operator="greaterThanOrEqual">
      <formula>0.03</formula>
    </cfRule>
    <cfRule type="cellIs" dxfId="48" priority="12" operator="lessThanOrEqual">
      <formula>-0.03</formula>
    </cfRule>
  </conditionalFormatting>
  <conditionalFormatting sqref="BK5 BK6 BK7 BK8 BK9 BK10 BK11 BK12 BK13 BK14 BK15 BK16 BK17 BK18 BK19 BK20 BK21 BK22 BK23 BK24 BK25 BK26 BK27 BK28 BK29 BK30 BK31 BK32">
    <cfRule type="cellIs" dxfId="47" priority="17" operator="greaterThanOrEqual">
      <formula>0.03</formula>
    </cfRule>
    <cfRule type="cellIs" dxfId="46" priority="18" operator="lessThanOrEqual">
      <formula>-0.03</formula>
    </cfRule>
  </conditionalFormatting>
  <conditionalFormatting sqref="BL5 BL6 BL7 BL8 BL9 BL10 BL11 BL12 BL13 BL14 BL15 BL16 BL17 BL18 BL19 BL20 BL21 BL22 BL23 BL24 BL25 BL26 BL27 BL28 BL29 BL30 BL31 BL32">
    <cfRule type="cellIs" dxfId="45" priority="9" operator="greaterThanOrEqual">
      <formula>0.03</formula>
    </cfRule>
    <cfRule type="cellIs" dxfId="44" priority="10" operator="lessThanOrEqual">
      <formula>-0.03</formula>
    </cfRule>
  </conditionalFormatting>
  <conditionalFormatting sqref="BM5 BM6 BM7 BM8 BM9 BM10 BM11 BM12 BM13 BM14 BM15 BM16 BM17 BM18 BM19 BM20 BM21 BM22 BM23 BM24 BM25 BM26 BM27 BM28 BM29 BM30 BM31 BM32">
    <cfRule type="cellIs" dxfId="43" priority="5" operator="greaterThanOrEqual">
      <formula>0.03</formula>
    </cfRule>
    <cfRule type="cellIs" dxfId="42" priority="6" operator="lessThanOrEqual">
      <formula>-0.03</formula>
    </cfRule>
  </conditionalFormatting>
  <conditionalFormatting sqref="BO5 BO6 BO7 BO8 BO9 BO10 BO11 BO12 BO13 BO14 BO15 BO16 BO17 BO18 BO19 BO20 BO21 BO22 BO23 BO24 BO25 BO26 BO27 BO28 BO29 BO30 BO31 BO32">
    <cfRule type="cellIs" dxfId="41" priority="3" operator="greaterThanOrEqual">
      <formula>0.03</formula>
    </cfRule>
    <cfRule type="cellIs" dxfId="40" priority="4" operator="lessThanOrEqual">
      <formula>-0.03</formula>
    </cfRule>
  </conditionalFormatting>
  <conditionalFormatting sqref="BP5 BP6 BP7 BP8 BP9 BP10 BP11 BP12 BP13 BP14 BP15 BP16 BP17 BP18 BP19 BP20 BP21 BP22 BP23 BP24 BP25 BP26 BP27 BP28 BP29 BP30 BP31 BP32">
    <cfRule type="cellIs" dxfId="39" priority="19" operator="greaterThanOrEqual">
      <formula>0.03</formula>
    </cfRule>
    <cfRule type="cellIs" dxfId="38" priority="20" operator="lessThanOrEqual">
      <formula>-0.03</formula>
    </cfRule>
  </conditionalFormatting>
  <conditionalFormatting sqref="BQ5 BQ6 BQ7 BQ8 BQ9 BQ10 BQ11 BQ12 BQ13 BQ14 BQ15 BQ16 BQ17 BQ18 BQ19 BQ20 BQ21 BQ22 BQ23 BQ24 BQ25 BQ26 BQ27 BQ28 BQ29 BQ30 BQ31 BQ32">
    <cfRule type="cellIs" dxfId="37" priority="15" operator="greaterThanOrEqual">
      <formula>0.03</formula>
    </cfRule>
    <cfRule type="cellIs" dxfId="36" priority="16" operator="lessThanOrEqual">
      <formula>-0.03</formula>
    </cfRule>
  </conditionalFormatting>
  <conditionalFormatting sqref="BR5 BR6 BR7 BR8 BR9 BR10 BR11 BR12 BR13 BR14 BR15 BR16 BR17 BR18 BR19 BR20 BR21 BR22 BR23 BR24 BR25 BR26 BR27 BR28 BR29 BR30 BR31 BR32">
    <cfRule type="cellIs" dxfId="35" priority="1" operator="greaterThanOrEqual">
      <formula>0.03</formula>
    </cfRule>
    <cfRule type="cellIs" dxfId="34" priority="2" operator="lessThanOrEqual">
      <formula>-0.03</formula>
    </cfRule>
  </conditionalFormatting>
  <conditionalFormatting sqref="BS5 BS6 BS7 BS8 BS9 BS10 BS11 BS12 BS13 BS14 BS15 BS16 BS17 BS18 BS19 BS20 BS21 BS22 BS23 BS24 BS25 BS26 BS27 BS28 BS29 BS30 BS31 BS32">
    <cfRule type="cellIs" dxfId="33" priority="7" operator="greaterThanOrEqual">
      <formula>0.03</formula>
    </cfRule>
    <cfRule type="cellIs" dxfId="32" priority="8" operator="lessThanOrEqual">
      <formula>-0.03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X274"/>
  <sheetViews>
    <sheetView workbookViewId="0"/>
  </sheetViews>
  <sheetFormatPr defaultRowHeight="15" x14ac:dyDescent="0.25"/>
  <sheetData>
    <row r="1" spans="1:2" x14ac:dyDescent="0.25">
      <c r="A1" t="s">
        <v>93</v>
      </c>
      <c r="B1">
        <v>1</v>
      </c>
    </row>
    <row r="2" spans="1:2" x14ac:dyDescent="0.25">
      <c r="A2" t="s">
        <v>96</v>
      </c>
      <c r="B2">
        <v>2</v>
      </c>
    </row>
    <row r="3" spans="1:2" x14ac:dyDescent="0.25">
      <c r="A3" t="s">
        <v>99</v>
      </c>
      <c r="B3">
        <v>3</v>
      </c>
    </row>
    <row r="4" spans="1:2" x14ac:dyDescent="0.25">
      <c r="A4" t="s">
        <v>102</v>
      </c>
      <c r="B4">
        <v>4</v>
      </c>
    </row>
    <row r="5" spans="1:2" x14ac:dyDescent="0.25">
      <c r="A5" t="s">
        <v>105</v>
      </c>
      <c r="B5">
        <v>5</v>
      </c>
    </row>
    <row r="6" spans="1:2" x14ac:dyDescent="0.25">
      <c r="A6" t="s">
        <v>108</v>
      </c>
      <c r="B6">
        <v>6</v>
      </c>
    </row>
    <row r="7" spans="1:2" x14ac:dyDescent="0.25">
      <c r="A7" t="s">
        <v>111</v>
      </c>
      <c r="B7">
        <v>7</v>
      </c>
    </row>
    <row r="8" spans="1:2" x14ac:dyDescent="0.25">
      <c r="A8" t="s">
        <v>114</v>
      </c>
      <c r="B8">
        <v>9</v>
      </c>
    </row>
    <row r="9" spans="1:2" x14ac:dyDescent="0.25">
      <c r="A9" t="s">
        <v>118</v>
      </c>
      <c r="B9">
        <v>10</v>
      </c>
    </row>
    <row r="10" spans="1:2" x14ac:dyDescent="0.25">
      <c r="A10" t="s">
        <v>121</v>
      </c>
      <c r="B10">
        <v>11</v>
      </c>
    </row>
    <row r="11" spans="1:2" x14ac:dyDescent="0.25">
      <c r="A11" t="s">
        <v>124</v>
      </c>
      <c r="B11">
        <v>12</v>
      </c>
    </row>
    <row r="12" spans="1:2" x14ac:dyDescent="0.25">
      <c r="A12" t="s">
        <v>127</v>
      </c>
      <c r="B12">
        <v>13</v>
      </c>
    </row>
    <row r="13" spans="1:2" x14ac:dyDescent="0.25">
      <c r="A13" t="s">
        <v>130</v>
      </c>
      <c r="B13">
        <v>14</v>
      </c>
    </row>
    <row r="14" spans="1:2" x14ac:dyDescent="0.25">
      <c r="A14" t="s">
        <v>133</v>
      </c>
      <c r="B14">
        <v>15</v>
      </c>
    </row>
    <row r="15" spans="1:2" x14ac:dyDescent="0.25">
      <c r="A15" t="s">
        <v>135</v>
      </c>
      <c r="B15">
        <v>16</v>
      </c>
    </row>
    <row r="16" spans="1:2" x14ac:dyDescent="0.25">
      <c r="A16" t="s">
        <v>137</v>
      </c>
      <c r="B16">
        <v>17</v>
      </c>
    </row>
    <row r="17" spans="1:2" x14ac:dyDescent="0.25">
      <c r="A17" t="s">
        <v>139</v>
      </c>
      <c r="B17">
        <v>18</v>
      </c>
    </row>
    <row r="18" spans="1:2" x14ac:dyDescent="0.25">
      <c r="A18" t="s">
        <v>142</v>
      </c>
      <c r="B18">
        <v>19</v>
      </c>
    </row>
    <row r="19" spans="1:2" x14ac:dyDescent="0.25">
      <c r="A19" t="s">
        <v>144</v>
      </c>
      <c r="B19">
        <v>20</v>
      </c>
    </row>
    <row r="20" spans="1:2" x14ac:dyDescent="0.25">
      <c r="A20" t="s">
        <v>147</v>
      </c>
      <c r="B20">
        <v>21</v>
      </c>
    </row>
    <row r="21" spans="1:2" x14ac:dyDescent="0.25">
      <c r="A21" t="s">
        <v>150</v>
      </c>
      <c r="B21">
        <v>22</v>
      </c>
    </row>
    <row r="22" spans="1:2" x14ac:dyDescent="0.25">
      <c r="A22" t="s">
        <v>154</v>
      </c>
      <c r="B22">
        <v>23</v>
      </c>
    </row>
    <row r="23" spans="1:2" x14ac:dyDescent="0.25">
      <c r="A23" t="s">
        <v>157</v>
      </c>
      <c r="B23">
        <v>24</v>
      </c>
    </row>
    <row r="24" spans="1:2" x14ac:dyDescent="0.25">
      <c r="A24" t="s">
        <v>161</v>
      </c>
      <c r="B24">
        <v>25</v>
      </c>
    </row>
    <row r="25" spans="1:2" x14ac:dyDescent="0.25">
      <c r="A25" t="s">
        <v>164</v>
      </c>
      <c r="B25">
        <v>26</v>
      </c>
    </row>
    <row r="26" spans="1:2" x14ac:dyDescent="0.25">
      <c r="A26" t="s">
        <v>167</v>
      </c>
      <c r="B26">
        <v>27</v>
      </c>
    </row>
    <row r="27" spans="1:2" x14ac:dyDescent="0.25">
      <c r="A27" t="s">
        <v>171</v>
      </c>
      <c r="B27">
        <v>28</v>
      </c>
    </row>
    <row r="28" spans="1:2" x14ac:dyDescent="0.25">
      <c r="A28" t="s">
        <v>174</v>
      </c>
      <c r="B28">
        <v>29</v>
      </c>
    </row>
    <row r="29" spans="1:2" x14ac:dyDescent="0.25">
      <c r="A29" t="s">
        <v>177</v>
      </c>
      <c r="B29">
        <v>30</v>
      </c>
    </row>
    <row r="30" spans="1:2" x14ac:dyDescent="0.25">
      <c r="A30" t="s">
        <v>179</v>
      </c>
      <c r="B30">
        <v>31</v>
      </c>
    </row>
    <row r="31" spans="1:2" x14ac:dyDescent="0.25">
      <c r="A31" t="s">
        <v>181</v>
      </c>
      <c r="B31">
        <v>33</v>
      </c>
    </row>
    <row r="32" spans="1:2" x14ac:dyDescent="0.25">
      <c r="A32" t="s">
        <v>183</v>
      </c>
      <c r="B32">
        <v>34</v>
      </c>
    </row>
    <row r="33" spans="1:2" x14ac:dyDescent="0.25">
      <c r="A33" t="s">
        <v>185</v>
      </c>
      <c r="B33">
        <v>35</v>
      </c>
    </row>
    <row r="34" spans="1:2" x14ac:dyDescent="0.25">
      <c r="A34" t="s">
        <v>187</v>
      </c>
      <c r="B34">
        <v>36</v>
      </c>
    </row>
    <row r="35" spans="1:2" x14ac:dyDescent="0.25">
      <c r="A35" t="s">
        <v>189</v>
      </c>
      <c r="B35">
        <v>37</v>
      </c>
    </row>
    <row r="36" spans="1:2" x14ac:dyDescent="0.25">
      <c r="A36" t="s">
        <v>192</v>
      </c>
      <c r="B36">
        <v>38</v>
      </c>
    </row>
    <row r="37" spans="1:2" x14ac:dyDescent="0.25">
      <c r="A37" t="s">
        <v>194</v>
      </c>
      <c r="B37">
        <v>39</v>
      </c>
    </row>
    <row r="38" spans="1:2" x14ac:dyDescent="0.25">
      <c r="A38" t="s">
        <v>196</v>
      </c>
      <c r="B38">
        <v>40</v>
      </c>
    </row>
    <row r="39" spans="1:2" x14ac:dyDescent="0.25">
      <c r="A39" t="s">
        <v>198</v>
      </c>
      <c r="B39">
        <v>41</v>
      </c>
    </row>
    <row r="40" spans="1:2" x14ac:dyDescent="0.25">
      <c r="A40" t="s">
        <v>200</v>
      </c>
      <c r="B40">
        <v>42</v>
      </c>
    </row>
    <row r="41" spans="1:2" x14ac:dyDescent="0.25">
      <c r="A41" t="s">
        <v>202</v>
      </c>
      <c r="B41">
        <v>43</v>
      </c>
    </row>
    <row r="42" spans="1:2" x14ac:dyDescent="0.25">
      <c r="A42" t="s">
        <v>204</v>
      </c>
      <c r="B42">
        <v>44</v>
      </c>
    </row>
    <row r="43" spans="1:2" x14ac:dyDescent="0.25">
      <c r="A43" t="s">
        <v>206</v>
      </c>
      <c r="B43">
        <v>45</v>
      </c>
    </row>
    <row r="44" spans="1:2" x14ac:dyDescent="0.25">
      <c r="A44" t="s">
        <v>208</v>
      </c>
      <c r="B44">
        <v>46</v>
      </c>
    </row>
    <row r="45" spans="1:2" x14ac:dyDescent="0.25">
      <c r="A45" t="s">
        <v>210</v>
      </c>
      <c r="B45">
        <v>47</v>
      </c>
    </row>
    <row r="46" spans="1:2" x14ac:dyDescent="0.25">
      <c r="A46" t="s">
        <v>212</v>
      </c>
      <c r="B46">
        <v>48</v>
      </c>
    </row>
    <row r="47" spans="1:2" x14ac:dyDescent="0.25">
      <c r="A47" t="s">
        <v>214</v>
      </c>
      <c r="B47">
        <v>49</v>
      </c>
    </row>
    <row r="48" spans="1:2" x14ac:dyDescent="0.25">
      <c r="A48" t="s">
        <v>216</v>
      </c>
      <c r="B48">
        <v>50</v>
      </c>
    </row>
    <row r="49" spans="1:2" x14ac:dyDescent="0.25">
      <c r="A49" t="s">
        <v>218</v>
      </c>
      <c r="B49">
        <v>51</v>
      </c>
    </row>
    <row r="50" spans="1:2" x14ac:dyDescent="0.25">
      <c r="A50" t="s">
        <v>220</v>
      </c>
      <c r="B50">
        <v>52</v>
      </c>
    </row>
    <row r="51" spans="1:2" x14ac:dyDescent="0.25">
      <c r="A51" t="s">
        <v>222</v>
      </c>
      <c r="B51">
        <v>53</v>
      </c>
    </row>
    <row r="52" spans="1:2" x14ac:dyDescent="0.25">
      <c r="A52" t="s">
        <v>224</v>
      </c>
      <c r="B52">
        <v>54</v>
      </c>
    </row>
    <row r="53" spans="1:2" x14ac:dyDescent="0.25">
      <c r="A53" t="s">
        <v>226</v>
      </c>
      <c r="B53">
        <v>55</v>
      </c>
    </row>
    <row r="54" spans="1:2" x14ac:dyDescent="0.25">
      <c r="A54" t="s">
        <v>229</v>
      </c>
      <c r="B54">
        <v>57</v>
      </c>
    </row>
    <row r="55" spans="1:2" x14ac:dyDescent="0.25">
      <c r="A55" t="s">
        <v>232</v>
      </c>
      <c r="B55">
        <v>58</v>
      </c>
    </row>
    <row r="56" spans="1:2" x14ac:dyDescent="0.25">
      <c r="A56" t="s">
        <v>234</v>
      </c>
      <c r="B56">
        <v>59</v>
      </c>
    </row>
    <row r="57" spans="1:2" x14ac:dyDescent="0.25">
      <c r="A57" t="s">
        <v>237</v>
      </c>
      <c r="B57">
        <v>61</v>
      </c>
    </row>
    <row r="58" spans="1:2" x14ac:dyDescent="0.25">
      <c r="A58" t="s">
        <v>239</v>
      </c>
      <c r="B58">
        <v>62</v>
      </c>
    </row>
    <row r="59" spans="1:2" x14ac:dyDescent="0.25">
      <c r="A59" t="s">
        <v>242</v>
      </c>
      <c r="B59">
        <v>63</v>
      </c>
    </row>
    <row r="60" spans="1:2" x14ac:dyDescent="0.25">
      <c r="A60" t="s">
        <v>244</v>
      </c>
      <c r="B60">
        <v>64</v>
      </c>
    </row>
    <row r="61" spans="1:2" x14ac:dyDescent="0.25">
      <c r="A61" t="s">
        <v>246</v>
      </c>
      <c r="B61">
        <v>65</v>
      </c>
    </row>
    <row r="62" spans="1:2" x14ac:dyDescent="0.25">
      <c r="A62" t="s">
        <v>249</v>
      </c>
      <c r="B62">
        <v>67</v>
      </c>
    </row>
    <row r="63" spans="1:2" x14ac:dyDescent="0.25">
      <c r="A63" t="s">
        <v>251</v>
      </c>
      <c r="B63">
        <v>68</v>
      </c>
    </row>
    <row r="64" spans="1:2" x14ac:dyDescent="0.25">
      <c r="A64" t="s">
        <v>254</v>
      </c>
      <c r="B64">
        <v>69</v>
      </c>
    </row>
    <row r="65" spans="1:24" x14ac:dyDescent="0.25">
      <c r="A65" t="s">
        <v>256</v>
      </c>
      <c r="B65">
        <v>70</v>
      </c>
    </row>
    <row r="66" spans="1:24" x14ac:dyDescent="0.25">
      <c r="A66" t="s">
        <v>258</v>
      </c>
      <c r="B66">
        <v>71</v>
      </c>
    </row>
    <row r="67" spans="1:24" x14ac:dyDescent="0.25">
      <c r="A67" t="s">
        <v>260</v>
      </c>
      <c r="B67" t="s">
        <v>261</v>
      </c>
    </row>
    <row r="68" spans="1:24" x14ac:dyDescent="0.25">
      <c r="A68" t="s">
        <v>262</v>
      </c>
      <c r="B68" t="s">
        <v>263</v>
      </c>
    </row>
    <row r="69" spans="1:24" x14ac:dyDescent="0.25">
      <c r="A69" t="s">
        <v>271</v>
      </c>
      <c r="B69" t="s">
        <v>272</v>
      </c>
    </row>
    <row r="70" spans="1:24" x14ac:dyDescent="0.25">
      <c r="A70" t="s">
        <v>274</v>
      </c>
      <c r="B70" t="s">
        <v>275</v>
      </c>
    </row>
    <row r="71" spans="1:24" x14ac:dyDescent="0.25">
      <c r="A71" t="s">
        <v>277</v>
      </c>
      <c r="B71" t="s">
        <v>278</v>
      </c>
    </row>
    <row r="72" spans="1:24" x14ac:dyDescent="0.25">
      <c r="A72" t="s">
        <v>280</v>
      </c>
      <c r="B72" t="s">
        <v>281</v>
      </c>
    </row>
    <row r="73" spans="1:24" x14ac:dyDescent="0.25">
      <c r="A73" t="s">
        <v>284</v>
      </c>
      <c r="B73" t="s">
        <v>285</v>
      </c>
    </row>
    <row r="74" spans="1:24" x14ac:dyDescent="0.25">
      <c r="A74" t="s">
        <v>300</v>
      </c>
      <c r="B74" t="s">
        <v>59</v>
      </c>
      <c r="C74" t="s">
        <v>43</v>
      </c>
      <c r="D74" t="s">
        <v>63</v>
      </c>
      <c r="E74" t="s">
        <v>45</v>
      </c>
      <c r="F74" t="s">
        <v>65</v>
      </c>
      <c r="G74" t="s">
        <v>69</v>
      </c>
      <c r="H74" t="s">
        <v>19</v>
      </c>
      <c r="I74" t="s">
        <v>37</v>
      </c>
      <c r="J74" t="s">
        <v>49</v>
      </c>
      <c r="K74" t="s">
        <v>47</v>
      </c>
      <c r="L74" t="s">
        <v>23</v>
      </c>
      <c r="M74" t="s">
        <v>39</v>
      </c>
      <c r="N74" t="s">
        <v>67</v>
      </c>
      <c r="O74" t="s">
        <v>61</v>
      </c>
      <c r="P74" t="s">
        <v>5</v>
      </c>
      <c r="Q74" t="s">
        <v>17</v>
      </c>
      <c r="R74" t="s">
        <v>9</v>
      </c>
      <c r="S74" t="s">
        <v>71</v>
      </c>
      <c r="T74" t="s">
        <v>57</v>
      </c>
      <c r="U74" t="s">
        <v>73</v>
      </c>
      <c r="V74" t="s">
        <v>21</v>
      </c>
      <c r="W74" t="s">
        <v>13</v>
      </c>
      <c r="X74" t="s">
        <v>53</v>
      </c>
    </row>
    <row r="75" spans="1:24" x14ac:dyDescent="0.25">
      <c r="A75" t="s">
        <v>302</v>
      </c>
      <c r="B75">
        <v>1</v>
      </c>
    </row>
    <row r="76" spans="1:24" x14ac:dyDescent="0.25">
      <c r="A76" t="s">
        <v>303</v>
      </c>
      <c r="B76">
        <v>2</v>
      </c>
    </row>
    <row r="77" spans="1:24" x14ac:dyDescent="0.25">
      <c r="A77" t="s">
        <v>304</v>
      </c>
      <c r="B77">
        <v>3</v>
      </c>
    </row>
    <row r="78" spans="1:24" x14ac:dyDescent="0.25">
      <c r="A78" t="s">
        <v>305</v>
      </c>
      <c r="B78">
        <v>4</v>
      </c>
    </row>
    <row r="79" spans="1:24" x14ac:dyDescent="0.25">
      <c r="A79" t="s">
        <v>306</v>
      </c>
      <c r="B79">
        <v>5</v>
      </c>
    </row>
    <row r="80" spans="1:24" x14ac:dyDescent="0.25">
      <c r="A80" t="s">
        <v>307</v>
      </c>
      <c r="B80">
        <v>6</v>
      </c>
    </row>
    <row r="81" spans="1:2" x14ac:dyDescent="0.25">
      <c r="A81" t="s">
        <v>310</v>
      </c>
      <c r="B81">
        <v>8</v>
      </c>
    </row>
    <row r="82" spans="1:2" x14ac:dyDescent="0.25">
      <c r="A82" t="s">
        <v>311</v>
      </c>
      <c r="B82">
        <v>9</v>
      </c>
    </row>
    <row r="83" spans="1:2" x14ac:dyDescent="0.25">
      <c r="A83" t="s">
        <v>312</v>
      </c>
      <c r="B83">
        <v>10</v>
      </c>
    </row>
    <row r="84" spans="1:2" x14ac:dyDescent="0.25">
      <c r="A84" t="s">
        <v>313</v>
      </c>
      <c r="B84">
        <v>11</v>
      </c>
    </row>
    <row r="85" spans="1:2" x14ac:dyDescent="0.25">
      <c r="A85" t="s">
        <v>314</v>
      </c>
      <c r="B85">
        <v>12</v>
      </c>
    </row>
    <row r="86" spans="1:2" x14ac:dyDescent="0.25">
      <c r="A86" t="s">
        <v>315</v>
      </c>
      <c r="B86">
        <v>13</v>
      </c>
    </row>
    <row r="87" spans="1:2" x14ac:dyDescent="0.25">
      <c r="A87" t="s">
        <v>316</v>
      </c>
      <c r="B87">
        <v>14</v>
      </c>
    </row>
    <row r="88" spans="1:2" x14ac:dyDescent="0.25">
      <c r="A88" t="s">
        <v>317</v>
      </c>
      <c r="B88">
        <v>15</v>
      </c>
    </row>
    <row r="89" spans="1:2" x14ac:dyDescent="0.25">
      <c r="A89" t="s">
        <v>318</v>
      </c>
      <c r="B89">
        <v>16</v>
      </c>
    </row>
    <row r="90" spans="1:2" x14ac:dyDescent="0.25">
      <c r="A90" t="s">
        <v>319</v>
      </c>
      <c r="B90">
        <v>17</v>
      </c>
    </row>
    <row r="91" spans="1:2" x14ac:dyDescent="0.25">
      <c r="A91" t="s">
        <v>320</v>
      </c>
      <c r="B91">
        <v>18</v>
      </c>
    </row>
    <row r="92" spans="1:2" x14ac:dyDescent="0.25">
      <c r="A92" t="s">
        <v>321</v>
      </c>
      <c r="B92">
        <v>19</v>
      </c>
    </row>
    <row r="93" spans="1:2" x14ac:dyDescent="0.25">
      <c r="A93" t="s">
        <v>322</v>
      </c>
      <c r="B93">
        <v>20</v>
      </c>
    </row>
    <row r="94" spans="1:2" x14ac:dyDescent="0.25">
      <c r="A94" t="s">
        <v>323</v>
      </c>
      <c r="B94">
        <v>21</v>
      </c>
    </row>
    <row r="95" spans="1:2" x14ac:dyDescent="0.25">
      <c r="A95" t="s">
        <v>324</v>
      </c>
      <c r="B95">
        <v>22</v>
      </c>
    </row>
    <row r="96" spans="1:2" x14ac:dyDescent="0.25">
      <c r="A96" t="s">
        <v>325</v>
      </c>
      <c r="B96">
        <v>23</v>
      </c>
    </row>
    <row r="97" spans="1:2" x14ac:dyDescent="0.25">
      <c r="A97" t="s">
        <v>326</v>
      </c>
      <c r="B97">
        <v>24</v>
      </c>
    </row>
    <row r="98" spans="1:2" x14ac:dyDescent="0.25">
      <c r="A98" t="s">
        <v>327</v>
      </c>
      <c r="B98">
        <v>25</v>
      </c>
    </row>
    <row r="99" spans="1:2" x14ac:dyDescent="0.25">
      <c r="A99" t="s">
        <v>328</v>
      </c>
      <c r="B99">
        <v>26</v>
      </c>
    </row>
    <row r="100" spans="1:2" x14ac:dyDescent="0.25">
      <c r="A100" t="s">
        <v>329</v>
      </c>
      <c r="B100">
        <v>27</v>
      </c>
    </row>
    <row r="101" spans="1:2" x14ac:dyDescent="0.25">
      <c r="A101" t="s">
        <v>330</v>
      </c>
      <c r="B101">
        <v>28</v>
      </c>
    </row>
    <row r="102" spans="1:2" x14ac:dyDescent="0.25">
      <c r="A102" t="s">
        <v>331</v>
      </c>
      <c r="B102">
        <v>29</v>
      </c>
    </row>
    <row r="103" spans="1:2" x14ac:dyDescent="0.25">
      <c r="A103" t="s">
        <v>333</v>
      </c>
      <c r="B103">
        <v>31</v>
      </c>
    </row>
    <row r="104" spans="1:2" x14ac:dyDescent="0.25">
      <c r="A104" t="s">
        <v>334</v>
      </c>
      <c r="B104">
        <v>32</v>
      </c>
    </row>
    <row r="105" spans="1:2" x14ac:dyDescent="0.25">
      <c r="A105" t="s">
        <v>335</v>
      </c>
      <c r="B105">
        <v>33</v>
      </c>
    </row>
    <row r="106" spans="1:2" x14ac:dyDescent="0.25">
      <c r="A106" t="s">
        <v>336</v>
      </c>
      <c r="B106">
        <v>34</v>
      </c>
    </row>
    <row r="107" spans="1:2" x14ac:dyDescent="0.25">
      <c r="A107" t="s">
        <v>337</v>
      </c>
      <c r="B107">
        <v>35</v>
      </c>
    </row>
    <row r="108" spans="1:2" x14ac:dyDescent="0.25">
      <c r="A108" t="s">
        <v>338</v>
      </c>
      <c r="B108">
        <v>36</v>
      </c>
    </row>
    <row r="109" spans="1:2" x14ac:dyDescent="0.25">
      <c r="A109" t="s">
        <v>339</v>
      </c>
      <c r="B109">
        <v>37</v>
      </c>
    </row>
    <row r="110" spans="1:2" x14ac:dyDescent="0.25">
      <c r="A110" t="s">
        <v>340</v>
      </c>
      <c r="B110">
        <v>38</v>
      </c>
    </row>
    <row r="111" spans="1:2" x14ac:dyDescent="0.25">
      <c r="A111" t="s">
        <v>341</v>
      </c>
      <c r="B111">
        <v>39</v>
      </c>
    </row>
    <row r="112" spans="1:2" x14ac:dyDescent="0.25">
      <c r="A112" t="s">
        <v>342</v>
      </c>
      <c r="B112">
        <v>40</v>
      </c>
    </row>
    <row r="113" spans="1:2" x14ac:dyDescent="0.25">
      <c r="A113" t="s">
        <v>343</v>
      </c>
      <c r="B113">
        <v>41</v>
      </c>
    </row>
    <row r="114" spans="1:2" x14ac:dyDescent="0.25">
      <c r="A114" t="s">
        <v>344</v>
      </c>
      <c r="B114">
        <v>42</v>
      </c>
    </row>
    <row r="115" spans="1:2" x14ac:dyDescent="0.25">
      <c r="A115" t="s">
        <v>345</v>
      </c>
      <c r="B115">
        <v>43</v>
      </c>
    </row>
    <row r="116" spans="1:2" x14ac:dyDescent="0.25">
      <c r="A116" t="s">
        <v>346</v>
      </c>
      <c r="B116">
        <v>44</v>
      </c>
    </row>
    <row r="117" spans="1:2" x14ac:dyDescent="0.25">
      <c r="A117" t="s">
        <v>347</v>
      </c>
      <c r="B117">
        <v>45</v>
      </c>
    </row>
    <row r="118" spans="1:2" x14ac:dyDescent="0.25">
      <c r="A118" t="s">
        <v>348</v>
      </c>
      <c r="B118">
        <v>46</v>
      </c>
    </row>
    <row r="119" spans="1:2" x14ac:dyDescent="0.25">
      <c r="A119" t="s">
        <v>349</v>
      </c>
      <c r="B119">
        <v>47</v>
      </c>
    </row>
    <row r="120" spans="1:2" x14ac:dyDescent="0.25">
      <c r="A120" t="s">
        <v>350</v>
      </c>
      <c r="B120">
        <v>48</v>
      </c>
    </row>
    <row r="121" spans="1:2" x14ac:dyDescent="0.25">
      <c r="A121" t="s">
        <v>351</v>
      </c>
      <c r="B121">
        <v>49</v>
      </c>
    </row>
    <row r="122" spans="1:2" x14ac:dyDescent="0.25">
      <c r="A122" t="s">
        <v>352</v>
      </c>
      <c r="B122">
        <v>50</v>
      </c>
    </row>
    <row r="123" spans="1:2" x14ac:dyDescent="0.25">
      <c r="A123" t="s">
        <v>353</v>
      </c>
      <c r="B123">
        <v>51</v>
      </c>
    </row>
    <row r="124" spans="1:2" x14ac:dyDescent="0.25">
      <c r="A124" t="s">
        <v>354</v>
      </c>
      <c r="B124">
        <v>52</v>
      </c>
    </row>
    <row r="125" spans="1:2" x14ac:dyDescent="0.25">
      <c r="A125" t="s">
        <v>357</v>
      </c>
      <c r="B125">
        <v>54</v>
      </c>
    </row>
    <row r="126" spans="1:2" x14ac:dyDescent="0.25">
      <c r="A126" t="s">
        <v>359</v>
      </c>
      <c r="B126">
        <v>55</v>
      </c>
    </row>
    <row r="127" spans="1:2" x14ac:dyDescent="0.25">
      <c r="A127" t="s">
        <v>361</v>
      </c>
      <c r="B127">
        <v>56</v>
      </c>
    </row>
    <row r="128" spans="1:2" x14ac:dyDescent="0.25">
      <c r="A128" t="s">
        <v>362</v>
      </c>
      <c r="B128">
        <v>57</v>
      </c>
    </row>
    <row r="129" spans="1:23" x14ac:dyDescent="0.25">
      <c r="A129" t="s">
        <v>363</v>
      </c>
      <c r="B129">
        <v>58</v>
      </c>
    </row>
    <row r="130" spans="1:23" x14ac:dyDescent="0.25">
      <c r="A130" t="s">
        <v>365</v>
      </c>
      <c r="B130" t="s">
        <v>366</v>
      </c>
    </row>
    <row r="131" spans="1:23" x14ac:dyDescent="0.25">
      <c r="A131" t="s">
        <v>367</v>
      </c>
      <c r="B131" t="s">
        <v>368</v>
      </c>
    </row>
    <row r="132" spans="1:23" x14ac:dyDescent="0.25">
      <c r="A132" t="s">
        <v>369</v>
      </c>
      <c r="B132" t="s">
        <v>370</v>
      </c>
    </row>
    <row r="133" spans="1:23" x14ac:dyDescent="0.25">
      <c r="A133" t="s">
        <v>371</v>
      </c>
      <c r="B133" t="s">
        <v>372</v>
      </c>
    </row>
    <row r="134" spans="1:23" x14ac:dyDescent="0.25">
      <c r="A134" t="s">
        <v>373</v>
      </c>
      <c r="B134" t="s">
        <v>374</v>
      </c>
    </row>
    <row r="135" spans="1:23" x14ac:dyDescent="0.25">
      <c r="A135" t="s">
        <v>375</v>
      </c>
      <c r="B135" t="s">
        <v>376</v>
      </c>
    </row>
    <row r="136" spans="1:23" x14ac:dyDescent="0.25">
      <c r="A136" t="s">
        <v>377</v>
      </c>
      <c r="B136" t="s">
        <v>378</v>
      </c>
    </row>
    <row r="137" spans="1:23" x14ac:dyDescent="0.25">
      <c r="A137" t="s">
        <v>382</v>
      </c>
      <c r="B137" t="s">
        <v>71</v>
      </c>
      <c r="C137" t="s">
        <v>9</v>
      </c>
      <c r="D137" t="s">
        <v>43</v>
      </c>
      <c r="E137" t="s">
        <v>59</v>
      </c>
      <c r="F137" t="s">
        <v>67</v>
      </c>
      <c r="G137" t="s">
        <v>69</v>
      </c>
      <c r="H137" t="s">
        <v>47</v>
      </c>
      <c r="I137" t="s">
        <v>65</v>
      </c>
      <c r="J137" t="s">
        <v>45</v>
      </c>
      <c r="K137" t="s">
        <v>57</v>
      </c>
      <c r="L137" t="s">
        <v>63</v>
      </c>
      <c r="M137" t="s">
        <v>17</v>
      </c>
      <c r="N137" t="s">
        <v>77</v>
      </c>
      <c r="O137" t="s">
        <v>39</v>
      </c>
      <c r="P137" t="s">
        <v>49</v>
      </c>
      <c r="Q137" t="s">
        <v>73</v>
      </c>
      <c r="R137" t="s">
        <v>37</v>
      </c>
      <c r="S137" t="s">
        <v>13</v>
      </c>
      <c r="T137" t="s">
        <v>21</v>
      </c>
      <c r="U137" t="s">
        <v>61</v>
      </c>
      <c r="V137" t="s">
        <v>5</v>
      </c>
      <c r="W137" t="s">
        <v>53</v>
      </c>
    </row>
    <row r="138" spans="1:23" x14ac:dyDescent="0.25">
      <c r="A138" t="s">
        <v>384</v>
      </c>
      <c r="B138">
        <v>1</v>
      </c>
    </row>
    <row r="139" spans="1:23" x14ac:dyDescent="0.25">
      <c r="A139" t="s">
        <v>385</v>
      </c>
      <c r="B139">
        <v>2</v>
      </c>
    </row>
    <row r="140" spans="1:23" x14ac:dyDescent="0.25">
      <c r="A140" t="s">
        <v>386</v>
      </c>
      <c r="B140">
        <v>3</v>
      </c>
    </row>
    <row r="141" spans="1:23" x14ac:dyDescent="0.25">
      <c r="A141" t="s">
        <v>387</v>
      </c>
      <c r="B141">
        <v>4</v>
      </c>
    </row>
    <row r="142" spans="1:23" x14ac:dyDescent="0.25">
      <c r="A142" t="s">
        <v>388</v>
      </c>
      <c r="B142">
        <v>5</v>
      </c>
    </row>
    <row r="143" spans="1:23" x14ac:dyDescent="0.25">
      <c r="A143" t="s">
        <v>389</v>
      </c>
      <c r="B143">
        <v>6</v>
      </c>
    </row>
    <row r="144" spans="1:23" x14ac:dyDescent="0.25">
      <c r="A144" t="s">
        <v>390</v>
      </c>
      <c r="B144">
        <v>8</v>
      </c>
    </row>
    <row r="145" spans="1:2" x14ac:dyDescent="0.25">
      <c r="A145" t="s">
        <v>391</v>
      </c>
      <c r="B145">
        <v>9</v>
      </c>
    </row>
    <row r="146" spans="1:2" x14ac:dyDescent="0.25">
      <c r="A146" t="s">
        <v>392</v>
      </c>
      <c r="B146">
        <v>10</v>
      </c>
    </row>
    <row r="147" spans="1:2" x14ac:dyDescent="0.25">
      <c r="A147" t="s">
        <v>393</v>
      </c>
      <c r="B147">
        <v>11</v>
      </c>
    </row>
    <row r="148" spans="1:2" x14ac:dyDescent="0.25">
      <c r="A148" t="s">
        <v>394</v>
      </c>
      <c r="B148">
        <v>12</v>
      </c>
    </row>
    <row r="149" spans="1:2" x14ac:dyDescent="0.25">
      <c r="A149" t="s">
        <v>395</v>
      </c>
      <c r="B149">
        <v>13</v>
      </c>
    </row>
    <row r="150" spans="1:2" x14ac:dyDescent="0.25">
      <c r="A150" t="s">
        <v>396</v>
      </c>
      <c r="B150">
        <v>14</v>
      </c>
    </row>
    <row r="151" spans="1:2" x14ac:dyDescent="0.25">
      <c r="A151" t="s">
        <v>397</v>
      </c>
      <c r="B151">
        <v>15</v>
      </c>
    </row>
    <row r="152" spans="1:2" x14ac:dyDescent="0.25">
      <c r="A152" t="s">
        <v>398</v>
      </c>
      <c r="B152">
        <v>16</v>
      </c>
    </row>
    <row r="153" spans="1:2" x14ac:dyDescent="0.25">
      <c r="A153" t="s">
        <v>399</v>
      </c>
      <c r="B153">
        <v>17</v>
      </c>
    </row>
    <row r="154" spans="1:2" x14ac:dyDescent="0.25">
      <c r="A154" t="s">
        <v>400</v>
      </c>
      <c r="B154">
        <v>18</v>
      </c>
    </row>
    <row r="155" spans="1:2" x14ac:dyDescent="0.25">
      <c r="A155" t="s">
        <v>401</v>
      </c>
      <c r="B155">
        <v>19</v>
      </c>
    </row>
    <row r="156" spans="1:2" x14ac:dyDescent="0.25">
      <c r="A156" t="s">
        <v>402</v>
      </c>
      <c r="B156">
        <v>20</v>
      </c>
    </row>
    <row r="157" spans="1:2" x14ac:dyDescent="0.25">
      <c r="A157" t="s">
        <v>403</v>
      </c>
      <c r="B157">
        <v>21</v>
      </c>
    </row>
    <row r="158" spans="1:2" x14ac:dyDescent="0.25">
      <c r="A158" t="s">
        <v>404</v>
      </c>
      <c r="B158">
        <v>22</v>
      </c>
    </row>
    <row r="159" spans="1:2" x14ac:dyDescent="0.25">
      <c r="A159" t="s">
        <v>405</v>
      </c>
      <c r="B159">
        <v>23</v>
      </c>
    </row>
    <row r="160" spans="1:2" x14ac:dyDescent="0.25">
      <c r="A160" t="s">
        <v>406</v>
      </c>
      <c r="B160">
        <v>24</v>
      </c>
    </row>
    <row r="161" spans="1:2" x14ac:dyDescent="0.25">
      <c r="A161" t="s">
        <v>407</v>
      </c>
      <c r="B161">
        <v>25</v>
      </c>
    </row>
    <row r="162" spans="1:2" x14ac:dyDescent="0.25">
      <c r="A162" t="s">
        <v>408</v>
      </c>
      <c r="B162">
        <v>26</v>
      </c>
    </row>
    <row r="163" spans="1:2" x14ac:dyDescent="0.25">
      <c r="A163" t="s">
        <v>409</v>
      </c>
      <c r="B163">
        <v>27</v>
      </c>
    </row>
    <row r="164" spans="1:2" x14ac:dyDescent="0.25">
      <c r="A164" t="s">
        <v>410</v>
      </c>
      <c r="B164">
        <v>28</v>
      </c>
    </row>
    <row r="165" spans="1:2" x14ac:dyDescent="0.25">
      <c r="A165" t="s">
        <v>411</v>
      </c>
      <c r="B165">
        <v>29</v>
      </c>
    </row>
    <row r="166" spans="1:2" x14ac:dyDescent="0.25">
      <c r="A166" t="s">
        <v>412</v>
      </c>
      <c r="B166">
        <v>31</v>
      </c>
    </row>
    <row r="167" spans="1:2" x14ac:dyDescent="0.25">
      <c r="A167" t="s">
        <v>413</v>
      </c>
      <c r="B167">
        <v>32</v>
      </c>
    </row>
    <row r="168" spans="1:2" x14ac:dyDescent="0.25">
      <c r="A168" t="s">
        <v>414</v>
      </c>
      <c r="B168">
        <v>33</v>
      </c>
    </row>
    <row r="169" spans="1:2" x14ac:dyDescent="0.25">
      <c r="A169" t="s">
        <v>415</v>
      </c>
      <c r="B169">
        <v>34</v>
      </c>
    </row>
    <row r="170" spans="1:2" x14ac:dyDescent="0.25">
      <c r="A170" t="s">
        <v>416</v>
      </c>
      <c r="B170">
        <v>35</v>
      </c>
    </row>
    <row r="171" spans="1:2" x14ac:dyDescent="0.25">
      <c r="A171" t="s">
        <v>417</v>
      </c>
      <c r="B171">
        <v>36</v>
      </c>
    </row>
    <row r="172" spans="1:2" x14ac:dyDescent="0.25">
      <c r="A172" t="s">
        <v>418</v>
      </c>
      <c r="B172">
        <v>37</v>
      </c>
    </row>
    <row r="173" spans="1:2" x14ac:dyDescent="0.25">
      <c r="A173" t="s">
        <v>419</v>
      </c>
      <c r="B173">
        <v>38</v>
      </c>
    </row>
    <row r="174" spans="1:2" x14ac:dyDescent="0.25">
      <c r="A174" t="s">
        <v>420</v>
      </c>
      <c r="B174">
        <v>39</v>
      </c>
    </row>
    <row r="175" spans="1:2" x14ac:dyDescent="0.25">
      <c r="A175" t="s">
        <v>421</v>
      </c>
      <c r="B175">
        <v>40</v>
      </c>
    </row>
    <row r="176" spans="1:2" x14ac:dyDescent="0.25">
      <c r="A176" t="s">
        <v>422</v>
      </c>
      <c r="B176">
        <v>41</v>
      </c>
    </row>
    <row r="177" spans="1:2" x14ac:dyDescent="0.25">
      <c r="A177" t="s">
        <v>423</v>
      </c>
      <c r="B177">
        <v>42</v>
      </c>
    </row>
    <row r="178" spans="1:2" x14ac:dyDescent="0.25">
      <c r="A178" t="s">
        <v>424</v>
      </c>
      <c r="B178">
        <v>43</v>
      </c>
    </row>
    <row r="179" spans="1:2" x14ac:dyDescent="0.25">
      <c r="A179" t="s">
        <v>425</v>
      </c>
      <c r="B179">
        <v>44</v>
      </c>
    </row>
    <row r="180" spans="1:2" x14ac:dyDescent="0.25">
      <c r="A180" t="s">
        <v>426</v>
      </c>
      <c r="B180">
        <v>45</v>
      </c>
    </row>
    <row r="181" spans="1:2" x14ac:dyDescent="0.25">
      <c r="A181" t="s">
        <v>427</v>
      </c>
      <c r="B181">
        <v>46</v>
      </c>
    </row>
    <row r="182" spans="1:2" x14ac:dyDescent="0.25">
      <c r="A182" t="s">
        <v>428</v>
      </c>
      <c r="B182">
        <v>47</v>
      </c>
    </row>
    <row r="183" spans="1:2" x14ac:dyDescent="0.25">
      <c r="A183" t="s">
        <v>429</v>
      </c>
      <c r="B183">
        <v>48</v>
      </c>
    </row>
    <row r="184" spans="1:2" x14ac:dyDescent="0.25">
      <c r="A184" t="s">
        <v>430</v>
      </c>
      <c r="B184">
        <v>49</v>
      </c>
    </row>
    <row r="185" spans="1:2" x14ac:dyDescent="0.25">
      <c r="A185" t="s">
        <v>431</v>
      </c>
      <c r="B185">
        <v>50</v>
      </c>
    </row>
    <row r="186" spans="1:2" x14ac:dyDescent="0.25">
      <c r="A186" t="s">
        <v>432</v>
      </c>
      <c r="B186">
        <v>51</v>
      </c>
    </row>
    <row r="187" spans="1:2" x14ac:dyDescent="0.25">
      <c r="A187" t="s">
        <v>433</v>
      </c>
      <c r="B187">
        <v>52</v>
      </c>
    </row>
    <row r="188" spans="1:2" x14ac:dyDescent="0.25">
      <c r="A188" t="s">
        <v>434</v>
      </c>
      <c r="B188">
        <v>54</v>
      </c>
    </row>
    <row r="189" spans="1:2" x14ac:dyDescent="0.25">
      <c r="A189" t="s">
        <v>435</v>
      </c>
      <c r="B189">
        <v>55</v>
      </c>
    </row>
    <row r="190" spans="1:2" x14ac:dyDescent="0.25">
      <c r="A190" t="s">
        <v>436</v>
      </c>
      <c r="B190">
        <v>56</v>
      </c>
    </row>
    <row r="191" spans="1:2" x14ac:dyDescent="0.25">
      <c r="A191" t="s">
        <v>437</v>
      </c>
      <c r="B191">
        <v>57</v>
      </c>
    </row>
    <row r="192" spans="1:2" x14ac:dyDescent="0.25">
      <c r="A192" t="s">
        <v>438</v>
      </c>
      <c r="B192">
        <v>58</v>
      </c>
    </row>
    <row r="193" spans="1:23" x14ac:dyDescent="0.25">
      <c r="A193" t="s">
        <v>440</v>
      </c>
      <c r="B193" t="s">
        <v>441</v>
      </c>
    </row>
    <row r="194" spans="1:23" x14ac:dyDescent="0.25">
      <c r="A194" t="s">
        <v>442</v>
      </c>
      <c r="B194" t="s">
        <v>443</v>
      </c>
    </row>
    <row r="195" spans="1:23" x14ac:dyDescent="0.25">
      <c r="A195" t="s">
        <v>444</v>
      </c>
      <c r="B195" t="s">
        <v>445</v>
      </c>
    </row>
    <row r="196" spans="1:23" x14ac:dyDescent="0.25">
      <c r="A196" t="s">
        <v>446</v>
      </c>
      <c r="B196" t="s">
        <v>447</v>
      </c>
    </row>
    <row r="197" spans="1:23" x14ac:dyDescent="0.25">
      <c r="A197" t="s">
        <v>448</v>
      </c>
      <c r="B197" t="s">
        <v>449</v>
      </c>
    </row>
    <row r="198" spans="1:23" x14ac:dyDescent="0.25">
      <c r="A198" t="s">
        <v>450</v>
      </c>
      <c r="B198" t="s">
        <v>451</v>
      </c>
    </row>
    <row r="199" spans="1:23" x14ac:dyDescent="0.25">
      <c r="A199" t="s">
        <v>452</v>
      </c>
      <c r="B199" t="s">
        <v>453</v>
      </c>
    </row>
    <row r="200" spans="1:23" x14ac:dyDescent="0.25">
      <c r="A200" t="s">
        <v>458</v>
      </c>
      <c r="B200" t="s">
        <v>17</v>
      </c>
      <c r="C200" t="s">
        <v>43</v>
      </c>
      <c r="D200" t="s">
        <v>59</v>
      </c>
      <c r="E200" t="s">
        <v>65</v>
      </c>
      <c r="F200" t="s">
        <v>77</v>
      </c>
      <c r="G200" t="s">
        <v>39</v>
      </c>
      <c r="H200" t="s">
        <v>63</v>
      </c>
      <c r="I200" t="s">
        <v>9</v>
      </c>
      <c r="J200" t="s">
        <v>71</v>
      </c>
      <c r="K200" t="s">
        <v>67</v>
      </c>
      <c r="L200" t="s">
        <v>47</v>
      </c>
      <c r="M200" t="s">
        <v>69</v>
      </c>
      <c r="N200" t="s">
        <v>57</v>
      </c>
      <c r="O200" t="s">
        <v>45</v>
      </c>
      <c r="P200" t="s">
        <v>21</v>
      </c>
      <c r="Q200" t="s">
        <v>37</v>
      </c>
      <c r="R200" t="s">
        <v>53</v>
      </c>
      <c r="S200" t="s">
        <v>73</v>
      </c>
      <c r="T200" t="s">
        <v>61</v>
      </c>
      <c r="U200" t="s">
        <v>5</v>
      </c>
      <c r="V200" t="s">
        <v>13</v>
      </c>
      <c r="W200" t="s">
        <v>49</v>
      </c>
    </row>
    <row r="201" spans="1:23" x14ac:dyDescent="0.25">
      <c r="A201" t="s">
        <v>460</v>
      </c>
      <c r="B201">
        <v>1</v>
      </c>
    </row>
    <row r="202" spans="1:23" x14ac:dyDescent="0.25">
      <c r="A202" t="s">
        <v>461</v>
      </c>
      <c r="B202">
        <v>2</v>
      </c>
    </row>
    <row r="203" spans="1:23" x14ac:dyDescent="0.25">
      <c r="A203" t="s">
        <v>462</v>
      </c>
      <c r="B203">
        <v>3</v>
      </c>
    </row>
    <row r="204" spans="1:23" x14ac:dyDescent="0.25">
      <c r="A204" t="s">
        <v>463</v>
      </c>
      <c r="B204">
        <v>4</v>
      </c>
    </row>
    <row r="205" spans="1:23" x14ac:dyDescent="0.25">
      <c r="A205" t="s">
        <v>464</v>
      </c>
      <c r="B205">
        <v>5</v>
      </c>
    </row>
    <row r="206" spans="1:23" x14ac:dyDescent="0.25">
      <c r="A206" t="s">
        <v>465</v>
      </c>
      <c r="B206">
        <v>6</v>
      </c>
    </row>
    <row r="207" spans="1:23" x14ac:dyDescent="0.25">
      <c r="A207" t="s">
        <v>466</v>
      </c>
      <c r="B207">
        <v>7</v>
      </c>
    </row>
    <row r="208" spans="1:23" x14ac:dyDescent="0.25">
      <c r="A208" t="s">
        <v>467</v>
      </c>
      <c r="B208">
        <v>9</v>
      </c>
    </row>
    <row r="209" spans="1:2" x14ac:dyDescent="0.25">
      <c r="A209" t="s">
        <v>468</v>
      </c>
      <c r="B209">
        <v>10</v>
      </c>
    </row>
    <row r="210" spans="1:2" x14ac:dyDescent="0.25">
      <c r="A210" t="s">
        <v>469</v>
      </c>
      <c r="B210">
        <v>11</v>
      </c>
    </row>
    <row r="211" spans="1:2" x14ac:dyDescent="0.25">
      <c r="A211" t="s">
        <v>470</v>
      </c>
      <c r="B211">
        <v>12</v>
      </c>
    </row>
    <row r="212" spans="1:2" x14ac:dyDescent="0.25">
      <c r="A212" t="s">
        <v>471</v>
      </c>
      <c r="B212">
        <v>13</v>
      </c>
    </row>
    <row r="213" spans="1:2" x14ac:dyDescent="0.25">
      <c r="A213" t="s">
        <v>472</v>
      </c>
      <c r="B213">
        <v>14</v>
      </c>
    </row>
    <row r="214" spans="1:2" x14ac:dyDescent="0.25">
      <c r="A214" t="s">
        <v>473</v>
      </c>
      <c r="B214">
        <v>15</v>
      </c>
    </row>
    <row r="215" spans="1:2" x14ac:dyDescent="0.25">
      <c r="A215" t="s">
        <v>474</v>
      </c>
      <c r="B215">
        <v>16</v>
      </c>
    </row>
    <row r="216" spans="1:2" x14ac:dyDescent="0.25">
      <c r="A216" t="s">
        <v>475</v>
      </c>
      <c r="B216">
        <v>17</v>
      </c>
    </row>
    <row r="217" spans="1:2" x14ac:dyDescent="0.25">
      <c r="A217" t="s">
        <v>476</v>
      </c>
      <c r="B217">
        <v>18</v>
      </c>
    </row>
    <row r="218" spans="1:2" x14ac:dyDescent="0.25">
      <c r="A218" t="s">
        <v>477</v>
      </c>
      <c r="B218">
        <v>19</v>
      </c>
    </row>
    <row r="219" spans="1:2" x14ac:dyDescent="0.25">
      <c r="A219" t="s">
        <v>478</v>
      </c>
      <c r="B219">
        <v>20</v>
      </c>
    </row>
    <row r="220" spans="1:2" x14ac:dyDescent="0.25">
      <c r="A220" t="s">
        <v>479</v>
      </c>
      <c r="B220">
        <v>21</v>
      </c>
    </row>
    <row r="221" spans="1:2" x14ac:dyDescent="0.25">
      <c r="A221" t="s">
        <v>480</v>
      </c>
      <c r="B221">
        <v>22</v>
      </c>
    </row>
    <row r="222" spans="1:2" x14ac:dyDescent="0.25">
      <c r="A222" t="s">
        <v>481</v>
      </c>
      <c r="B222">
        <v>23</v>
      </c>
    </row>
    <row r="223" spans="1:2" x14ac:dyDescent="0.25">
      <c r="A223" t="s">
        <v>482</v>
      </c>
      <c r="B223">
        <v>24</v>
      </c>
    </row>
    <row r="224" spans="1:2" x14ac:dyDescent="0.25">
      <c r="A224" t="s">
        <v>483</v>
      </c>
      <c r="B224">
        <v>25</v>
      </c>
    </row>
    <row r="225" spans="1:2" x14ac:dyDescent="0.25">
      <c r="A225" t="s">
        <v>484</v>
      </c>
      <c r="B225">
        <v>26</v>
      </c>
    </row>
    <row r="226" spans="1:2" x14ac:dyDescent="0.25">
      <c r="A226" t="s">
        <v>485</v>
      </c>
      <c r="B226">
        <v>27</v>
      </c>
    </row>
    <row r="227" spans="1:2" x14ac:dyDescent="0.25">
      <c r="A227" t="s">
        <v>486</v>
      </c>
      <c r="B227">
        <v>28</v>
      </c>
    </row>
    <row r="228" spans="1:2" x14ac:dyDescent="0.25">
      <c r="A228" t="s">
        <v>487</v>
      </c>
      <c r="B228">
        <v>29</v>
      </c>
    </row>
    <row r="229" spans="1:2" x14ac:dyDescent="0.25">
      <c r="A229" t="s">
        <v>488</v>
      </c>
      <c r="B229">
        <v>30</v>
      </c>
    </row>
    <row r="230" spans="1:2" x14ac:dyDescent="0.25">
      <c r="A230" t="s">
        <v>489</v>
      </c>
      <c r="B230">
        <v>31</v>
      </c>
    </row>
    <row r="231" spans="1:2" x14ac:dyDescent="0.25">
      <c r="A231" t="s">
        <v>490</v>
      </c>
      <c r="B231">
        <v>33</v>
      </c>
    </row>
    <row r="232" spans="1:2" x14ac:dyDescent="0.25">
      <c r="A232" t="s">
        <v>491</v>
      </c>
      <c r="B232">
        <v>34</v>
      </c>
    </row>
    <row r="233" spans="1:2" x14ac:dyDescent="0.25">
      <c r="A233" t="s">
        <v>492</v>
      </c>
      <c r="B233">
        <v>35</v>
      </c>
    </row>
    <row r="234" spans="1:2" x14ac:dyDescent="0.25">
      <c r="A234" t="s">
        <v>493</v>
      </c>
      <c r="B234">
        <v>36</v>
      </c>
    </row>
    <row r="235" spans="1:2" x14ac:dyDescent="0.25">
      <c r="A235" t="s">
        <v>494</v>
      </c>
      <c r="B235">
        <v>37</v>
      </c>
    </row>
    <row r="236" spans="1:2" x14ac:dyDescent="0.25">
      <c r="A236" t="s">
        <v>495</v>
      </c>
      <c r="B236">
        <v>38</v>
      </c>
    </row>
    <row r="237" spans="1:2" x14ac:dyDescent="0.25">
      <c r="A237" t="s">
        <v>496</v>
      </c>
      <c r="B237">
        <v>39</v>
      </c>
    </row>
    <row r="238" spans="1:2" x14ac:dyDescent="0.25">
      <c r="A238" t="s">
        <v>497</v>
      </c>
      <c r="B238">
        <v>40</v>
      </c>
    </row>
    <row r="239" spans="1:2" x14ac:dyDescent="0.25">
      <c r="A239" t="s">
        <v>498</v>
      </c>
      <c r="B239">
        <v>41</v>
      </c>
    </row>
    <row r="240" spans="1:2" x14ac:dyDescent="0.25">
      <c r="A240" t="s">
        <v>499</v>
      </c>
      <c r="B240">
        <v>42</v>
      </c>
    </row>
    <row r="241" spans="1:2" x14ac:dyDescent="0.25">
      <c r="A241" t="s">
        <v>500</v>
      </c>
      <c r="B241">
        <v>43</v>
      </c>
    </row>
    <row r="242" spans="1:2" x14ac:dyDescent="0.25">
      <c r="A242" t="s">
        <v>501</v>
      </c>
      <c r="B242">
        <v>44</v>
      </c>
    </row>
    <row r="243" spans="1:2" x14ac:dyDescent="0.25">
      <c r="A243" t="s">
        <v>502</v>
      </c>
      <c r="B243">
        <v>45</v>
      </c>
    </row>
    <row r="244" spans="1:2" x14ac:dyDescent="0.25">
      <c r="A244" t="s">
        <v>503</v>
      </c>
      <c r="B244">
        <v>46</v>
      </c>
    </row>
    <row r="245" spans="1:2" x14ac:dyDescent="0.25">
      <c r="A245" t="s">
        <v>504</v>
      </c>
      <c r="B245">
        <v>47</v>
      </c>
    </row>
    <row r="246" spans="1:2" x14ac:dyDescent="0.25">
      <c r="A246" t="s">
        <v>505</v>
      </c>
      <c r="B246">
        <v>48</v>
      </c>
    </row>
    <row r="247" spans="1:2" x14ac:dyDescent="0.25">
      <c r="A247" t="s">
        <v>506</v>
      </c>
      <c r="B247">
        <v>49</v>
      </c>
    </row>
    <row r="248" spans="1:2" x14ac:dyDescent="0.25">
      <c r="A248" t="s">
        <v>507</v>
      </c>
      <c r="B248">
        <v>50</v>
      </c>
    </row>
    <row r="249" spans="1:2" x14ac:dyDescent="0.25">
      <c r="A249" t="s">
        <v>508</v>
      </c>
      <c r="B249">
        <v>51</v>
      </c>
    </row>
    <row r="250" spans="1:2" x14ac:dyDescent="0.25">
      <c r="A250" t="s">
        <v>509</v>
      </c>
      <c r="B250">
        <v>52</v>
      </c>
    </row>
    <row r="251" spans="1:2" x14ac:dyDescent="0.25">
      <c r="A251" t="s">
        <v>510</v>
      </c>
      <c r="B251">
        <v>53</v>
      </c>
    </row>
    <row r="252" spans="1:2" x14ac:dyDescent="0.25">
      <c r="A252" t="s">
        <v>511</v>
      </c>
      <c r="B252">
        <v>54</v>
      </c>
    </row>
    <row r="253" spans="1:2" x14ac:dyDescent="0.25">
      <c r="A253" t="s">
        <v>512</v>
      </c>
      <c r="B253">
        <v>55</v>
      </c>
    </row>
    <row r="254" spans="1:2" x14ac:dyDescent="0.25">
      <c r="A254" t="s">
        <v>513</v>
      </c>
      <c r="B254">
        <v>57</v>
      </c>
    </row>
    <row r="255" spans="1:2" x14ac:dyDescent="0.25">
      <c r="A255" t="s">
        <v>514</v>
      </c>
      <c r="B255">
        <v>58</v>
      </c>
    </row>
    <row r="256" spans="1:2" x14ac:dyDescent="0.25">
      <c r="A256" t="s">
        <v>515</v>
      </c>
      <c r="B256">
        <v>59</v>
      </c>
    </row>
    <row r="257" spans="1:2" x14ac:dyDescent="0.25">
      <c r="A257" t="s">
        <v>516</v>
      </c>
      <c r="B257">
        <v>61</v>
      </c>
    </row>
    <row r="258" spans="1:2" x14ac:dyDescent="0.25">
      <c r="A258" t="s">
        <v>517</v>
      </c>
      <c r="B258">
        <v>62</v>
      </c>
    </row>
    <row r="259" spans="1:2" x14ac:dyDescent="0.25">
      <c r="A259" t="s">
        <v>518</v>
      </c>
      <c r="B259">
        <v>63</v>
      </c>
    </row>
    <row r="260" spans="1:2" x14ac:dyDescent="0.25">
      <c r="A260" t="s">
        <v>519</v>
      </c>
      <c r="B260">
        <v>64</v>
      </c>
    </row>
    <row r="261" spans="1:2" x14ac:dyDescent="0.25">
      <c r="A261" t="s">
        <v>520</v>
      </c>
      <c r="B261">
        <v>65</v>
      </c>
    </row>
    <row r="262" spans="1:2" x14ac:dyDescent="0.25">
      <c r="A262" t="s">
        <v>521</v>
      </c>
      <c r="B262">
        <v>67</v>
      </c>
    </row>
    <row r="263" spans="1:2" x14ac:dyDescent="0.25">
      <c r="A263" t="s">
        <v>522</v>
      </c>
      <c r="B263">
        <v>68</v>
      </c>
    </row>
    <row r="264" spans="1:2" x14ac:dyDescent="0.25">
      <c r="A264" t="s">
        <v>523</v>
      </c>
      <c r="B264">
        <v>69</v>
      </c>
    </row>
    <row r="265" spans="1:2" x14ac:dyDescent="0.25">
      <c r="A265" t="s">
        <v>524</v>
      </c>
      <c r="B265">
        <v>70</v>
      </c>
    </row>
    <row r="266" spans="1:2" x14ac:dyDescent="0.25">
      <c r="A266" t="s">
        <v>525</v>
      </c>
      <c r="B266">
        <v>71</v>
      </c>
    </row>
    <row r="267" spans="1:2" x14ac:dyDescent="0.25">
      <c r="A267" t="s">
        <v>527</v>
      </c>
      <c r="B267" t="s">
        <v>528</v>
      </c>
    </row>
    <row r="268" spans="1:2" x14ac:dyDescent="0.25">
      <c r="A268" t="s">
        <v>529</v>
      </c>
      <c r="B268" t="s">
        <v>530</v>
      </c>
    </row>
    <row r="269" spans="1:2" x14ac:dyDescent="0.25">
      <c r="A269" t="s">
        <v>531</v>
      </c>
      <c r="B269" t="s">
        <v>532</v>
      </c>
    </row>
    <row r="270" spans="1:2" x14ac:dyDescent="0.25">
      <c r="A270" t="s">
        <v>533</v>
      </c>
      <c r="B270" t="s">
        <v>534</v>
      </c>
    </row>
    <row r="271" spans="1:2" x14ac:dyDescent="0.25">
      <c r="A271" t="s">
        <v>535</v>
      </c>
      <c r="B271" t="s">
        <v>536</v>
      </c>
    </row>
    <row r="272" spans="1:2" x14ac:dyDescent="0.25">
      <c r="A272" t="s">
        <v>537</v>
      </c>
      <c r="B272" t="s">
        <v>538</v>
      </c>
    </row>
    <row r="273" spans="1:24" x14ac:dyDescent="0.25">
      <c r="A273" t="s">
        <v>539</v>
      </c>
      <c r="B273" t="s">
        <v>540</v>
      </c>
    </row>
    <row r="274" spans="1:24" x14ac:dyDescent="0.25">
      <c r="A274" t="s">
        <v>545</v>
      </c>
      <c r="B274" t="s">
        <v>63</v>
      </c>
      <c r="C274" t="s">
        <v>43</v>
      </c>
      <c r="D274" t="s">
        <v>19</v>
      </c>
      <c r="E274" t="s">
        <v>65</v>
      </c>
      <c r="F274" t="s">
        <v>69</v>
      </c>
      <c r="G274" t="s">
        <v>45</v>
      </c>
      <c r="H274" t="s">
        <v>59</v>
      </c>
      <c r="I274" t="s">
        <v>17</v>
      </c>
      <c r="J274" t="s">
        <v>37</v>
      </c>
      <c r="K274" t="s">
        <v>61</v>
      </c>
      <c r="L274" t="s">
        <v>5</v>
      </c>
      <c r="M274" t="s">
        <v>23</v>
      </c>
      <c r="N274" t="s">
        <v>39</v>
      </c>
      <c r="O274" t="s">
        <v>67</v>
      </c>
      <c r="P274" t="s">
        <v>49</v>
      </c>
      <c r="Q274" t="s">
        <v>47</v>
      </c>
      <c r="R274" t="s">
        <v>57</v>
      </c>
      <c r="S274" t="s">
        <v>9</v>
      </c>
      <c r="T274" t="s">
        <v>71</v>
      </c>
      <c r="U274" t="s">
        <v>13</v>
      </c>
      <c r="V274" t="s">
        <v>21</v>
      </c>
      <c r="W274" t="s">
        <v>53</v>
      </c>
      <c r="X274" t="s">
        <v>73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outlinePr summaryBelow="0"/>
  </sheetPr>
  <dimension ref="A1:BH38"/>
  <sheetViews>
    <sheetView zoomScale="85" zoomScaleNormal="85" workbookViewId="0">
      <pane xSplit="2" topLeftCell="W1" activePane="topRight" state="frozen"/>
      <selection pane="topRight" activeCell="P5" sqref="P5:Y9"/>
    </sheetView>
  </sheetViews>
  <sheetFormatPr defaultRowHeight="15" outlineLevelRow="2" x14ac:dyDescent="0.25"/>
  <cols>
    <col min="2" max="2" width="24.7109375" customWidth="1"/>
    <col min="3" max="4" width="10.7109375" customWidth="1"/>
    <col min="7" max="7" width="1.7109375" customWidth="1"/>
    <col min="10" max="13" width="10.7109375" customWidth="1"/>
    <col min="14" max="14" width="24.7109375" hidden="1" customWidth="1"/>
    <col min="15" max="15" width="12.7109375" customWidth="1"/>
    <col min="16" max="16" width="10.7109375" customWidth="1"/>
    <col min="17" max="20" width="12.7109375" customWidth="1"/>
    <col min="21" max="25" width="11.7109375" customWidth="1"/>
    <col min="30" max="30" width="1.7109375" customWidth="1"/>
    <col min="33" max="36" width="10.7109375" customWidth="1"/>
    <col min="37" max="37" width="24.7109375" hidden="1" customWidth="1"/>
    <col min="38" max="38" width="12.7109375" customWidth="1"/>
    <col min="39" max="39" width="10.7109375" customWidth="1"/>
    <col min="40" max="43" width="12.7109375" customWidth="1"/>
    <col min="44" max="48" width="11.7109375" customWidth="1"/>
    <col min="53" max="53" width="1.7109375" customWidth="1"/>
    <col min="59" max="59" width="1.7109375" customWidth="1"/>
  </cols>
  <sheetData>
    <row r="1" spans="1:60" x14ac:dyDescent="0.25">
      <c r="A1" s="84" t="s">
        <v>364</v>
      </c>
      <c r="B1" s="84"/>
      <c r="C1" s="84"/>
      <c r="D1" s="84"/>
      <c r="E1" s="84"/>
      <c r="F1" s="84"/>
      <c r="H1" s="80" t="str">
        <f>Summary!C1</f>
        <v>tested: rc0.6 (lossy occupancy map, CTC)</v>
      </c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  <c r="AE1" s="81" t="str">
        <f>Summary!C2</f>
        <v>tested-rc0.7 (texture padding - spp, CTC)</v>
      </c>
      <c r="AF1" s="81"/>
      <c r="AG1" s="81"/>
      <c r="AH1" s="81"/>
      <c r="AI1" s="81"/>
      <c r="AJ1" s="81"/>
      <c r="AK1" s="81"/>
      <c r="AL1" s="81"/>
      <c r="AM1" s="81"/>
      <c r="AN1" s="81"/>
      <c r="AO1" s="81"/>
      <c r="AP1" s="81"/>
      <c r="AQ1" s="81"/>
      <c r="AR1" s="81"/>
      <c r="AS1" s="81"/>
      <c r="AT1" s="81"/>
      <c r="AU1" s="81"/>
      <c r="AV1" s="81"/>
      <c r="AW1" s="81"/>
      <c r="AX1" s="81"/>
      <c r="AY1" s="81"/>
      <c r="AZ1" s="81"/>
    </row>
    <row r="2" spans="1:60" ht="30" customHeight="1" x14ac:dyDescent="0.25">
      <c r="A2" s="86" t="s">
        <v>91</v>
      </c>
      <c r="B2" s="85" t="s">
        <v>94</v>
      </c>
      <c r="C2" s="86" t="s">
        <v>100</v>
      </c>
      <c r="D2" s="85" t="s">
        <v>103</v>
      </c>
      <c r="E2" s="86" t="s">
        <v>106</v>
      </c>
      <c r="F2" s="85" t="s">
        <v>109</v>
      </c>
      <c r="H2" s="86" t="s">
        <v>308</v>
      </c>
      <c r="I2" s="85" t="s">
        <v>112</v>
      </c>
      <c r="J2" s="83" t="s">
        <v>115</v>
      </c>
      <c r="K2" s="83"/>
      <c r="L2" s="83"/>
      <c r="M2" s="83"/>
      <c r="N2" s="86" t="s">
        <v>128</v>
      </c>
      <c r="O2" s="85" t="s">
        <v>131</v>
      </c>
      <c r="P2" s="86" t="s">
        <v>22</v>
      </c>
      <c r="Q2" s="82" t="s">
        <v>140</v>
      </c>
      <c r="R2" s="82"/>
      <c r="S2" s="82"/>
      <c r="T2" s="82"/>
      <c r="U2" s="83" t="s">
        <v>151</v>
      </c>
      <c r="V2" s="83"/>
      <c r="W2" s="82" t="s">
        <v>158</v>
      </c>
      <c r="X2" s="82"/>
      <c r="Y2" s="82"/>
      <c r="Z2" s="83" t="s">
        <v>168</v>
      </c>
      <c r="AA2" s="83"/>
      <c r="AB2" s="82" t="s">
        <v>175</v>
      </c>
      <c r="AC2" s="82"/>
      <c r="AE2" s="86" t="s">
        <v>308</v>
      </c>
      <c r="AF2" s="85" t="s">
        <v>112</v>
      </c>
      <c r="AG2" s="83" t="s">
        <v>115</v>
      </c>
      <c r="AH2" s="83"/>
      <c r="AI2" s="83"/>
      <c r="AJ2" s="83"/>
      <c r="AK2" s="86" t="s">
        <v>190</v>
      </c>
      <c r="AL2" s="85" t="s">
        <v>131</v>
      </c>
      <c r="AM2" s="86" t="s">
        <v>22</v>
      </c>
      <c r="AN2" s="82" t="s">
        <v>140</v>
      </c>
      <c r="AO2" s="82"/>
      <c r="AP2" s="82"/>
      <c r="AQ2" s="82"/>
      <c r="AR2" s="83" t="s">
        <v>151</v>
      </c>
      <c r="AS2" s="83"/>
      <c r="AT2" s="82" t="s">
        <v>158</v>
      </c>
      <c r="AU2" s="82"/>
      <c r="AV2" s="82"/>
      <c r="AW2" s="83" t="s">
        <v>168</v>
      </c>
      <c r="AX2" s="83"/>
      <c r="AY2" s="82" t="s">
        <v>175</v>
      </c>
      <c r="AZ2" s="82"/>
      <c r="BB2" s="83" t="s">
        <v>355</v>
      </c>
      <c r="BC2" s="83"/>
      <c r="BD2" s="83"/>
      <c r="BE2" s="85" t="s">
        <v>230</v>
      </c>
      <c r="BF2" s="86" t="s">
        <v>230</v>
      </c>
      <c r="BH2" t="s">
        <v>547</v>
      </c>
    </row>
    <row r="3" spans="1:60" ht="30.75" thickBot="1" x14ac:dyDescent="0.3">
      <c r="A3" s="86"/>
      <c r="B3" s="85"/>
      <c r="C3" s="86"/>
      <c r="D3" s="85"/>
      <c r="E3" s="86"/>
      <c r="F3" s="85"/>
      <c r="H3" s="86"/>
      <c r="I3" s="85"/>
      <c r="J3" s="11" t="s">
        <v>116</v>
      </c>
      <c r="K3" s="11" t="s">
        <v>119</v>
      </c>
      <c r="L3" s="11" t="s">
        <v>122</v>
      </c>
      <c r="M3" s="11" t="s">
        <v>125</v>
      </c>
      <c r="N3" s="86"/>
      <c r="O3" s="85"/>
      <c r="P3" s="86"/>
      <c r="Q3" s="12" t="s">
        <v>116</v>
      </c>
      <c r="R3" s="12" t="s">
        <v>122</v>
      </c>
      <c r="S3" s="12" t="s">
        <v>145</v>
      </c>
      <c r="T3" s="12" t="s">
        <v>148</v>
      </c>
      <c r="U3" s="11" t="s">
        <v>152</v>
      </c>
      <c r="V3" s="11" t="s">
        <v>155</v>
      </c>
      <c r="W3" s="12" t="s">
        <v>159</v>
      </c>
      <c r="X3" s="12" t="s">
        <v>162</v>
      </c>
      <c r="Y3" s="12" t="s">
        <v>165</v>
      </c>
      <c r="Z3" s="11" t="s">
        <v>169</v>
      </c>
      <c r="AA3" s="11" t="s">
        <v>172</v>
      </c>
      <c r="AB3" s="12" t="s">
        <v>169</v>
      </c>
      <c r="AC3" s="12" t="s">
        <v>172</v>
      </c>
      <c r="AE3" s="86"/>
      <c r="AF3" s="85"/>
      <c r="AG3" s="11" t="s">
        <v>116</v>
      </c>
      <c r="AH3" s="11" t="s">
        <v>119</v>
      </c>
      <c r="AI3" s="11" t="s">
        <v>122</v>
      </c>
      <c r="AJ3" s="11" t="s">
        <v>125</v>
      </c>
      <c r="AK3" s="86"/>
      <c r="AL3" s="85"/>
      <c r="AM3" s="86"/>
      <c r="AN3" s="12" t="s">
        <v>116</v>
      </c>
      <c r="AO3" s="12" t="s">
        <v>122</v>
      </c>
      <c r="AP3" s="12" t="s">
        <v>145</v>
      </c>
      <c r="AQ3" s="12" t="s">
        <v>148</v>
      </c>
      <c r="AR3" s="11" t="s">
        <v>152</v>
      </c>
      <c r="AS3" s="11" t="s">
        <v>155</v>
      </c>
      <c r="AT3" s="12" t="s">
        <v>159</v>
      </c>
      <c r="AU3" s="12" t="s">
        <v>162</v>
      </c>
      <c r="AV3" s="12" t="s">
        <v>165</v>
      </c>
      <c r="AW3" s="11" t="s">
        <v>169</v>
      </c>
      <c r="AX3" s="11" t="s">
        <v>172</v>
      </c>
      <c r="AY3" s="12" t="s">
        <v>169</v>
      </c>
      <c r="AZ3" s="12" t="s">
        <v>172</v>
      </c>
      <c r="BB3" s="11" t="s">
        <v>116</v>
      </c>
      <c r="BC3" s="11" t="s">
        <v>122</v>
      </c>
      <c r="BD3" s="11" t="s">
        <v>148</v>
      </c>
      <c r="BE3" s="85"/>
      <c r="BF3" s="86"/>
    </row>
    <row r="4" spans="1:60" ht="121.5" hidden="1" x14ac:dyDescent="0.25">
      <c r="A4" s="13" t="s">
        <v>92</v>
      </c>
      <c r="B4" s="14" t="s">
        <v>95</v>
      </c>
      <c r="C4" s="13" t="s">
        <v>101</v>
      </c>
      <c r="D4" s="14" t="s">
        <v>104</v>
      </c>
      <c r="E4" s="13" t="s">
        <v>107</v>
      </c>
      <c r="F4" s="14" t="s">
        <v>110</v>
      </c>
      <c r="H4" s="13" t="s">
        <v>309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3" t="s">
        <v>129</v>
      </c>
      <c r="O4" s="14" t="s">
        <v>132</v>
      </c>
      <c r="P4" s="13" t="s">
        <v>134</v>
      </c>
      <c r="Q4" s="14" t="s">
        <v>141</v>
      </c>
      <c r="R4" s="14" t="s">
        <v>143</v>
      </c>
      <c r="S4" s="14" t="s">
        <v>146</v>
      </c>
      <c r="T4" s="14" t="s">
        <v>149</v>
      </c>
      <c r="U4" s="13" t="s">
        <v>153</v>
      </c>
      <c r="V4" s="13" t="s">
        <v>156</v>
      </c>
      <c r="W4" s="14" t="s">
        <v>160</v>
      </c>
      <c r="X4" s="14" t="s">
        <v>163</v>
      </c>
      <c r="Y4" s="14" t="s">
        <v>166</v>
      </c>
      <c r="Z4" s="13" t="s">
        <v>170</v>
      </c>
      <c r="AA4" s="13" t="s">
        <v>173</v>
      </c>
      <c r="AB4" s="14" t="s">
        <v>176</v>
      </c>
      <c r="AC4" s="14" t="s">
        <v>178</v>
      </c>
      <c r="AE4" s="13" t="s">
        <v>332</v>
      </c>
      <c r="AF4" s="14" t="s">
        <v>180</v>
      </c>
      <c r="AG4" s="13" t="s">
        <v>182</v>
      </c>
      <c r="AH4" s="13" t="s">
        <v>184</v>
      </c>
      <c r="AI4" s="13" t="s">
        <v>186</v>
      </c>
      <c r="AJ4" s="13" t="s">
        <v>188</v>
      </c>
      <c r="AK4" s="13" t="s">
        <v>191</v>
      </c>
      <c r="AL4" s="14" t="s">
        <v>193</v>
      </c>
      <c r="AM4" s="13" t="s">
        <v>195</v>
      </c>
      <c r="AN4" s="14" t="s">
        <v>201</v>
      </c>
      <c r="AO4" s="14" t="s">
        <v>203</v>
      </c>
      <c r="AP4" s="14" t="s">
        <v>205</v>
      </c>
      <c r="AQ4" s="14" t="s">
        <v>207</v>
      </c>
      <c r="AR4" s="13" t="s">
        <v>209</v>
      </c>
      <c r="AS4" s="13" t="s">
        <v>211</v>
      </c>
      <c r="AT4" s="14" t="s">
        <v>213</v>
      </c>
      <c r="AU4" s="14" t="s">
        <v>215</v>
      </c>
      <c r="AV4" s="14" t="s">
        <v>217</v>
      </c>
      <c r="AW4" s="13" t="s">
        <v>219</v>
      </c>
      <c r="AX4" s="13" t="s">
        <v>221</v>
      </c>
      <c r="AY4" s="14" t="s">
        <v>223</v>
      </c>
      <c r="AZ4" s="14" t="s">
        <v>225</v>
      </c>
      <c r="BB4" s="13" t="s">
        <v>356</v>
      </c>
      <c r="BC4" s="13" t="s">
        <v>358</v>
      </c>
      <c r="BD4" s="13" t="s">
        <v>360</v>
      </c>
      <c r="BE4" s="14" t="s">
        <v>231</v>
      </c>
      <c r="BF4" s="13" t="s">
        <v>233</v>
      </c>
    </row>
    <row r="5" spans="1:60" collapsed="1" x14ac:dyDescent="0.25">
      <c r="A5" s="15" t="s">
        <v>265</v>
      </c>
      <c r="B5" s="15" t="s">
        <v>264</v>
      </c>
      <c r="C5" s="15">
        <v>24964341</v>
      </c>
      <c r="D5" s="16">
        <v>10</v>
      </c>
      <c r="E5" s="16">
        <v>32</v>
      </c>
      <c r="F5" s="16">
        <v>30</v>
      </c>
      <c r="H5" s="23" t="str">
        <f>IF(ISBLANK(Q5),"·",Q5/(C5*D5*3))</f>
        <v>·</v>
      </c>
      <c r="I5" s="17" t="str">
        <f>IF(OR(ISBLANK(Q5),ISBLANK(F5)),"·",Q5*F5/E5/1000000)</f>
        <v>·</v>
      </c>
      <c r="J5" s="18" t="str">
        <f>IF(ISBLANK(Q5),"·",Q5/C5)</f>
        <v>·</v>
      </c>
      <c r="K5" s="18" t="str">
        <f>IF(N5="","·",N5/C5)</f>
        <v>·</v>
      </c>
      <c r="L5" s="18" t="str">
        <f>IF(R5="","·",R5/C5)</f>
        <v>·</v>
      </c>
      <c r="M5" s="18" t="str">
        <f>IF(ISBLANK(T5),"·",T5/C5)</f>
        <v>·</v>
      </c>
      <c r="N5" s="15" t="str">
        <f>IF(OR(ISBLANK(R5),ISBLANK(S5)),"",R5+S5)</f>
        <v/>
      </c>
      <c r="O5" s="18" t="str">
        <f>IF(ISBLANK(Q5),"·",Q5/P5)</f>
        <v>·</v>
      </c>
      <c r="P5" s="19"/>
      <c r="Q5" s="20"/>
      <c r="R5" s="20"/>
      <c r="S5" s="20"/>
      <c r="T5" s="20"/>
      <c r="U5" s="21"/>
      <c r="V5" s="21"/>
      <c r="W5" s="21"/>
      <c r="X5" s="21"/>
      <c r="Y5" s="21"/>
      <c r="Z5" s="22"/>
      <c r="AA5" s="22"/>
      <c r="AB5" s="22"/>
      <c r="AC5" s="22"/>
      <c r="AE5" s="23" t="str">
        <f>IF(ISBLANK(AN5),"·",AN5/(C5*D5*3))</f>
        <v>·</v>
      </c>
      <c r="AF5" s="17" t="str">
        <f>IF(OR(ISBLANK(AN5),ISBLANK(F5)),"·",AN5*F5/E5/1000000)</f>
        <v>·</v>
      </c>
      <c r="AG5" s="18" t="str">
        <f>IF(ISBLANK(AN5),"·",AN5/C5)</f>
        <v>·</v>
      </c>
      <c r="AH5" s="18" t="str">
        <f>IF(AK5="","·",AK5/C5)</f>
        <v>·</v>
      </c>
      <c r="AI5" s="18" t="str">
        <f>IF(AO5="","·",AO5/C5)</f>
        <v>·</v>
      </c>
      <c r="AJ5" s="18" t="str">
        <f>IF(ISBLANK(AQ5),"·",AQ5/C5)</f>
        <v>·</v>
      </c>
      <c r="AK5" s="15" t="str">
        <f>IF(OR(ISBLANK(AO5),ISBLANK(AP5)),"",AO5+AP5)</f>
        <v/>
      </c>
      <c r="AL5" s="18" t="str">
        <f>IF(ISBLANK(AN5),"·",AN5/AM5)</f>
        <v>·</v>
      </c>
      <c r="AM5" s="58"/>
      <c r="AN5" s="59"/>
      <c r="AO5" s="59"/>
      <c r="AP5" s="59"/>
      <c r="AQ5" s="59"/>
      <c r="AR5" s="60"/>
      <c r="AS5" s="60"/>
      <c r="AT5" s="60"/>
      <c r="AU5" s="60"/>
      <c r="AV5" s="60"/>
      <c r="AW5" s="61"/>
      <c r="AX5" s="61"/>
      <c r="AY5" s="61"/>
      <c r="AZ5" s="61"/>
      <c r="BB5" s="24" t="e">
        <f t="shared" ref="BB5:BB12" si="0">AG5/J5</f>
        <v>#VALUE!</v>
      </c>
      <c r="BC5" s="24" t="e">
        <f t="shared" ref="BC5:BD12" si="1">AI5/L5</f>
        <v>#VALUE!</v>
      </c>
      <c r="BD5" s="24" t="e">
        <f t="shared" si="1"/>
        <v>#VALUE!</v>
      </c>
      <c r="BE5" s="23" t="e">
        <f>(AK5/AN5) - (N5/Q5)</f>
        <v>#VALUE!</v>
      </c>
      <c r="BF5" s="23" t="e">
        <f t="array" ref="BF5">AVERAGE(AK5:AK5/AN5:AN5) - AVERAGE(N5:N5/Q5:Q5)</f>
        <v>#VALUE!</v>
      </c>
      <c r="BH5">
        <f>AN5-Q5</f>
        <v>0</v>
      </c>
    </row>
    <row r="6" spans="1:60" collapsed="1" x14ac:dyDescent="0.25">
      <c r="A6" s="25"/>
      <c r="B6" s="25" t="s">
        <v>273</v>
      </c>
      <c r="C6" s="25">
        <v>22654789</v>
      </c>
      <c r="D6" s="26">
        <v>10</v>
      </c>
      <c r="E6" s="26">
        <v>32</v>
      </c>
      <c r="F6" s="26">
        <v>30</v>
      </c>
      <c r="H6" s="33" t="str">
        <f>IF(ISBLANK(Q6),"·",Q6/(C6*D6*3))</f>
        <v>·</v>
      </c>
      <c r="I6" s="27" t="str">
        <f>IF(OR(ISBLANK(Q6),ISBLANK(F6)),"·",Q6*F6/E6/1000000)</f>
        <v>·</v>
      </c>
      <c r="J6" s="28" t="str">
        <f>IF(ISBLANK(Q6),"·",Q6/C6)</f>
        <v>·</v>
      </c>
      <c r="K6" s="28" t="str">
        <f>IF(N6="","·",N6/C6)</f>
        <v>·</v>
      </c>
      <c r="L6" s="28" t="str">
        <f>IF(R6="","·",R6/C6)</f>
        <v>·</v>
      </c>
      <c r="M6" s="28" t="str">
        <f>IF(ISBLANK(T6),"·",T6/C6)</f>
        <v>·</v>
      </c>
      <c r="N6" s="25" t="str">
        <f>IF(OR(ISBLANK(R6),ISBLANK(S6)),"",R6+S6)</f>
        <v/>
      </c>
      <c r="O6" s="28" t="str">
        <f>IF(ISBLANK(Q6),"·",Q6/P6)</f>
        <v>·</v>
      </c>
      <c r="P6" s="29"/>
      <c r="Q6" s="30"/>
      <c r="R6" s="30"/>
      <c r="S6" s="30"/>
      <c r="T6" s="30"/>
      <c r="U6" s="31"/>
      <c r="V6" s="31"/>
      <c r="W6" s="31"/>
      <c r="X6" s="31"/>
      <c r="Y6" s="31"/>
      <c r="Z6" s="32"/>
      <c r="AA6" s="32"/>
      <c r="AB6" s="32"/>
      <c r="AC6" s="32"/>
      <c r="AE6" s="33" t="str">
        <f>IF(ISBLANK(AN6),"·",AN6/(C6*D6*3))</f>
        <v>·</v>
      </c>
      <c r="AF6" s="27" t="str">
        <f>IF(OR(ISBLANK(AN6),ISBLANK(F6)),"·",AN6*F6/E6/1000000)</f>
        <v>·</v>
      </c>
      <c r="AG6" s="28" t="str">
        <f>IF(ISBLANK(AN6),"·",AN6/C6)</f>
        <v>·</v>
      </c>
      <c r="AH6" s="28" t="str">
        <f>IF(AK6="","·",AK6/C6)</f>
        <v>·</v>
      </c>
      <c r="AI6" s="28" t="str">
        <f>IF(AO6="","·",AO6/C6)</f>
        <v>·</v>
      </c>
      <c r="AJ6" s="28" t="str">
        <f>IF(ISBLANK(AQ6),"·",AQ6/C6)</f>
        <v>·</v>
      </c>
      <c r="AK6" s="25" t="str">
        <f>IF(OR(ISBLANK(AO6),ISBLANK(AP6)),"",AO6+AP6)</f>
        <v/>
      </c>
      <c r="AL6" s="28" t="str">
        <f>IF(ISBLANK(AN6),"·",AN6/AM6)</f>
        <v>·</v>
      </c>
      <c r="AM6" s="62"/>
      <c r="AN6" s="63"/>
      <c r="AO6" s="63"/>
      <c r="AP6" s="63"/>
      <c r="AQ6" s="63"/>
      <c r="AR6" s="64"/>
      <c r="AS6" s="64"/>
      <c r="AT6" s="64"/>
      <c r="AU6" s="64"/>
      <c r="AV6" s="64"/>
      <c r="AW6" s="65"/>
      <c r="AX6" s="65"/>
      <c r="AY6" s="65"/>
      <c r="AZ6" s="65"/>
      <c r="BB6" s="34" t="e">
        <f t="shared" si="0"/>
        <v>#VALUE!</v>
      </c>
      <c r="BC6" s="34" t="e">
        <f t="shared" si="1"/>
        <v>#VALUE!</v>
      </c>
      <c r="BD6" s="34" t="e">
        <f t="shared" si="1"/>
        <v>#VALUE!</v>
      </c>
      <c r="BE6" s="33" t="e">
        <f>(AK6/AN6) - (N6/Q6)</f>
        <v>#VALUE!</v>
      </c>
      <c r="BF6" s="33" t="e">
        <f t="array" ref="BF6">AVERAGE(AK6:AK6/AN6:AN6) - AVERAGE(N6:N6/Q6:Q6)</f>
        <v>#VALUE!</v>
      </c>
      <c r="BH6" s="4">
        <f t="shared" ref="BH6:BH9" si="2">AN6-Q6</f>
        <v>0</v>
      </c>
    </row>
    <row r="7" spans="1:60" collapsed="1" x14ac:dyDescent="0.25">
      <c r="A7" s="15"/>
      <c r="B7" s="15" t="s">
        <v>276</v>
      </c>
      <c r="C7" s="15">
        <v>33947718</v>
      </c>
      <c r="D7" s="16">
        <v>10</v>
      </c>
      <c r="E7" s="16">
        <v>32</v>
      </c>
      <c r="F7" s="16">
        <v>30</v>
      </c>
      <c r="H7" s="23" t="str">
        <f>IF(ISBLANK(Q7),"·",Q7/(C7*D7*3))</f>
        <v>·</v>
      </c>
      <c r="I7" s="17" t="str">
        <f>IF(OR(ISBLANK(Q7),ISBLANK(F7)),"·",Q7*F7/E7/1000000)</f>
        <v>·</v>
      </c>
      <c r="J7" s="18" t="str">
        <f>IF(ISBLANK(Q7),"·",Q7/C7)</f>
        <v>·</v>
      </c>
      <c r="K7" s="18" t="str">
        <f>IF(N7="","·",N7/C7)</f>
        <v>·</v>
      </c>
      <c r="L7" s="18" t="str">
        <f>IF(R7="","·",R7/C7)</f>
        <v>·</v>
      </c>
      <c r="M7" s="18" t="str">
        <f>IF(ISBLANK(T7),"·",T7/C7)</f>
        <v>·</v>
      </c>
      <c r="N7" s="15" t="str">
        <f>IF(OR(ISBLANK(R7),ISBLANK(S7)),"",R7+S7)</f>
        <v/>
      </c>
      <c r="O7" s="18" t="str">
        <f>IF(ISBLANK(Q7),"·",Q7/P7)</f>
        <v>·</v>
      </c>
      <c r="P7" s="19"/>
      <c r="Q7" s="20"/>
      <c r="R7" s="20"/>
      <c r="S7" s="20"/>
      <c r="T7" s="20"/>
      <c r="U7" s="21"/>
      <c r="V7" s="21"/>
      <c r="W7" s="21"/>
      <c r="X7" s="21"/>
      <c r="Y7" s="21"/>
      <c r="Z7" s="22"/>
      <c r="AA7" s="22"/>
      <c r="AB7" s="22"/>
      <c r="AC7" s="22"/>
      <c r="AE7" s="23" t="str">
        <f>IF(ISBLANK(AN7),"·",AN7/(C7*D7*3))</f>
        <v>·</v>
      </c>
      <c r="AF7" s="17" t="str">
        <f>IF(OR(ISBLANK(AN7),ISBLANK(F7)),"·",AN7*F7/E7/1000000)</f>
        <v>·</v>
      </c>
      <c r="AG7" s="18" t="str">
        <f>IF(ISBLANK(AN7),"·",AN7/C7)</f>
        <v>·</v>
      </c>
      <c r="AH7" s="18" t="str">
        <f>IF(AK7="","·",AK7/C7)</f>
        <v>·</v>
      </c>
      <c r="AI7" s="18" t="str">
        <f>IF(AO7="","·",AO7/C7)</f>
        <v>·</v>
      </c>
      <c r="AJ7" s="18" t="str">
        <f>IF(ISBLANK(AQ7),"·",AQ7/C7)</f>
        <v>·</v>
      </c>
      <c r="AK7" s="15" t="str">
        <f>IF(OR(ISBLANK(AO7),ISBLANK(AP7)),"",AO7+AP7)</f>
        <v/>
      </c>
      <c r="AL7" s="18" t="str">
        <f>IF(ISBLANK(AN7),"·",AN7/AM7)</f>
        <v>·</v>
      </c>
      <c r="AM7" s="58"/>
      <c r="AN7" s="59"/>
      <c r="AO7" s="59"/>
      <c r="AP7" s="59"/>
      <c r="AQ7" s="59"/>
      <c r="AR7" s="60"/>
      <c r="AS7" s="60"/>
      <c r="AT7" s="60"/>
      <c r="AU7" s="60"/>
      <c r="AV7" s="60"/>
      <c r="AW7" s="61"/>
      <c r="AX7" s="61"/>
      <c r="AY7" s="61"/>
      <c r="AZ7" s="61"/>
      <c r="BB7" s="24" t="e">
        <f t="shared" si="0"/>
        <v>#VALUE!</v>
      </c>
      <c r="BC7" s="24" t="e">
        <f t="shared" si="1"/>
        <v>#VALUE!</v>
      </c>
      <c r="BD7" s="24" t="e">
        <f t="shared" si="1"/>
        <v>#VALUE!</v>
      </c>
      <c r="BE7" s="23" t="e">
        <f>(AK7/AN7) - (N7/Q7)</f>
        <v>#VALUE!</v>
      </c>
      <c r="BF7" s="23" t="e">
        <f t="array" ref="BF7">AVERAGE(AK7:AK7/AN7:AN7) - AVERAGE(N7:N7/Q7:Q7)</f>
        <v>#VALUE!</v>
      </c>
      <c r="BH7" s="4">
        <f t="shared" si="2"/>
        <v>0</v>
      </c>
    </row>
    <row r="8" spans="1:60" ht="15.75" collapsed="1" thickBot="1" x14ac:dyDescent="0.3">
      <c r="A8" s="45"/>
      <c r="B8" s="45" t="s">
        <v>279</v>
      </c>
      <c r="C8" s="45">
        <v>32209643</v>
      </c>
      <c r="D8" s="46">
        <v>10</v>
      </c>
      <c r="E8" s="46">
        <v>32</v>
      </c>
      <c r="F8" s="46">
        <v>50</v>
      </c>
      <c r="H8" s="53" t="str">
        <f>IF(ISBLANK(Q8),"·",Q8/(C8*D8*3))</f>
        <v>·</v>
      </c>
      <c r="I8" s="47" t="str">
        <f>IF(OR(ISBLANK(Q8),ISBLANK(F8)),"·",Q8*F8/E8/1000000)</f>
        <v>·</v>
      </c>
      <c r="J8" s="48" t="str">
        <f>IF(ISBLANK(Q8),"·",Q8/C8)</f>
        <v>·</v>
      </c>
      <c r="K8" s="48" t="str">
        <f>IF(N8="","·",N8/C8)</f>
        <v>·</v>
      </c>
      <c r="L8" s="48" t="str">
        <f>IF(R8="","·",R8/C8)</f>
        <v>·</v>
      </c>
      <c r="M8" s="48" t="str">
        <f>IF(ISBLANK(T8),"·",T8/C8)</f>
        <v>·</v>
      </c>
      <c r="N8" s="45" t="str">
        <f>IF(OR(ISBLANK(R8),ISBLANK(S8)),"",R8+S8)</f>
        <v/>
      </c>
      <c r="O8" s="48" t="str">
        <f>IF(ISBLANK(Q8),"·",Q8/P8)</f>
        <v>·</v>
      </c>
      <c r="P8" s="49"/>
      <c r="Q8" s="50"/>
      <c r="R8" s="50"/>
      <c r="S8" s="50"/>
      <c r="T8" s="50"/>
      <c r="U8" s="51"/>
      <c r="V8" s="51"/>
      <c r="W8" s="51"/>
      <c r="X8" s="51"/>
      <c r="Y8" s="51"/>
      <c r="Z8" s="52"/>
      <c r="AA8" s="52"/>
      <c r="AB8" s="52"/>
      <c r="AC8" s="52"/>
      <c r="AE8" s="53" t="str">
        <f>IF(ISBLANK(AN8),"·",AN8/(C8*D8*3))</f>
        <v>·</v>
      </c>
      <c r="AF8" s="47" t="str">
        <f>IF(OR(ISBLANK(AN8),ISBLANK(F8)),"·",AN8*F8/E8/1000000)</f>
        <v>·</v>
      </c>
      <c r="AG8" s="48" t="str">
        <f>IF(ISBLANK(AN8),"·",AN8/C8)</f>
        <v>·</v>
      </c>
      <c r="AH8" s="48" t="str">
        <f>IF(AK8="","·",AK8/C8)</f>
        <v>·</v>
      </c>
      <c r="AI8" s="48" t="str">
        <f>IF(AO8="","·",AO8/C8)</f>
        <v>·</v>
      </c>
      <c r="AJ8" s="48" t="str">
        <f>IF(ISBLANK(AQ8),"·",AQ8/C8)</f>
        <v>·</v>
      </c>
      <c r="AK8" s="45" t="str">
        <f>IF(OR(ISBLANK(AO8),ISBLANK(AP8)),"",AO8+AP8)</f>
        <v/>
      </c>
      <c r="AL8" s="48" t="str">
        <f>IF(ISBLANK(AN8),"·",AN8/AM8)</f>
        <v>·</v>
      </c>
      <c r="AM8" s="70"/>
      <c r="AN8" s="71"/>
      <c r="AO8" s="71"/>
      <c r="AP8" s="71"/>
      <c r="AQ8" s="71"/>
      <c r="AR8" s="72"/>
      <c r="AS8" s="72"/>
      <c r="AT8" s="72"/>
      <c r="AU8" s="72"/>
      <c r="AV8" s="72"/>
      <c r="AW8" s="73"/>
      <c r="AX8" s="73"/>
      <c r="AY8" s="73"/>
      <c r="AZ8" s="73"/>
      <c r="BB8" s="54" t="e">
        <f t="shared" si="0"/>
        <v>#VALUE!</v>
      </c>
      <c r="BC8" s="54" t="e">
        <f t="shared" si="1"/>
        <v>#VALUE!</v>
      </c>
      <c r="BD8" s="54" t="e">
        <f t="shared" si="1"/>
        <v>#VALUE!</v>
      </c>
      <c r="BE8" s="53" t="e">
        <f>(AK8/AN8) - (N8/Q8)</f>
        <v>#VALUE!</v>
      </c>
      <c r="BF8" s="53" t="e">
        <f t="array" ref="BF8">AVERAGE(AK8:AK8/AN8:AN8) - AVERAGE(N8:N8/Q8:Q8)</f>
        <v>#VALUE!</v>
      </c>
      <c r="BH8" s="4">
        <f t="shared" si="2"/>
        <v>0</v>
      </c>
    </row>
    <row r="9" spans="1:60" ht="15.75" collapsed="1" thickBot="1" x14ac:dyDescent="0.3">
      <c r="A9" s="35" t="s">
        <v>283</v>
      </c>
      <c r="B9" s="35" t="s">
        <v>282</v>
      </c>
      <c r="C9" s="35">
        <v>25312408</v>
      </c>
      <c r="D9" s="36">
        <v>10</v>
      </c>
      <c r="E9" s="36">
        <v>32</v>
      </c>
      <c r="F9" s="36">
        <v>30</v>
      </c>
      <c r="H9" s="43" t="str">
        <f>IF(ISBLANK(Q9),"·",Q9/(C9*D9*3))</f>
        <v>·</v>
      </c>
      <c r="I9" s="37" t="str">
        <f>IF(OR(ISBLANK(Q9),ISBLANK(F9)),"·",Q9*F9/E9/1000000)</f>
        <v>·</v>
      </c>
      <c r="J9" s="38" t="str">
        <f>IF(ISBLANK(Q9),"·",Q9/C9)</f>
        <v>·</v>
      </c>
      <c r="K9" s="38" t="str">
        <f>IF(N9="","·",N9/C9)</f>
        <v>·</v>
      </c>
      <c r="L9" s="38" t="str">
        <f>IF(R9="","·",R9/C9)</f>
        <v>·</v>
      </c>
      <c r="M9" s="38" t="str">
        <f>IF(ISBLANK(T9),"·",T9/C9)</f>
        <v>·</v>
      </c>
      <c r="N9" s="35" t="str">
        <f>IF(OR(ISBLANK(R9),ISBLANK(S9)),"",R9+S9)</f>
        <v/>
      </c>
      <c r="O9" s="38" t="str">
        <f>IF(ISBLANK(Q9),"·",Q9/P9)</f>
        <v>·</v>
      </c>
      <c r="P9" s="39"/>
      <c r="Q9" s="40"/>
      <c r="R9" s="40"/>
      <c r="S9" s="40"/>
      <c r="T9" s="40"/>
      <c r="U9" s="41"/>
      <c r="V9" s="41"/>
      <c r="W9" s="41"/>
      <c r="X9" s="41"/>
      <c r="Y9" s="41"/>
      <c r="Z9" s="42"/>
      <c r="AA9" s="42"/>
      <c r="AB9" s="42"/>
      <c r="AC9" s="42"/>
      <c r="AE9" s="43" t="str">
        <f>IF(ISBLANK(AN9),"·",AN9/(C9*D9*3))</f>
        <v>·</v>
      </c>
      <c r="AF9" s="37" t="str">
        <f>IF(OR(ISBLANK(AN9),ISBLANK(F9)),"·",AN9*F9/E9/1000000)</f>
        <v>·</v>
      </c>
      <c r="AG9" s="38" t="str">
        <f>IF(ISBLANK(AN9),"·",AN9/C9)</f>
        <v>·</v>
      </c>
      <c r="AH9" s="38" t="str">
        <f>IF(AK9="","·",AK9/C9)</f>
        <v>·</v>
      </c>
      <c r="AI9" s="38" t="str">
        <f>IF(AO9="","·",AO9/C9)</f>
        <v>·</v>
      </c>
      <c r="AJ9" s="38" t="str">
        <f>IF(ISBLANK(AQ9),"·",AQ9/C9)</f>
        <v>·</v>
      </c>
      <c r="AK9" s="35" t="str">
        <f>IF(OR(ISBLANK(AO9),ISBLANK(AP9)),"",AO9+AP9)</f>
        <v/>
      </c>
      <c r="AL9" s="38" t="str">
        <f>IF(ISBLANK(AN9),"·",AN9/AM9)</f>
        <v>·</v>
      </c>
      <c r="AM9" s="66"/>
      <c r="AN9" s="67"/>
      <c r="AO9" s="67"/>
      <c r="AP9" s="67"/>
      <c r="AQ9" s="67"/>
      <c r="AR9" s="68"/>
      <c r="AS9" s="68"/>
      <c r="AT9" s="68"/>
      <c r="AU9" s="68"/>
      <c r="AV9" s="68"/>
      <c r="AW9" s="69"/>
      <c r="AX9" s="69"/>
      <c r="AY9" s="69"/>
      <c r="AZ9" s="69"/>
      <c r="BB9" s="44" t="e">
        <f t="shared" si="0"/>
        <v>#VALUE!</v>
      </c>
      <c r="BC9" s="44" t="e">
        <f t="shared" si="1"/>
        <v>#VALUE!</v>
      </c>
      <c r="BD9" s="44" t="e">
        <f t="shared" si="1"/>
        <v>#VALUE!</v>
      </c>
      <c r="BE9" s="43" t="e">
        <f>(AK9/AN9) - (N9/Q9)</f>
        <v>#VALUE!</v>
      </c>
      <c r="BF9" s="43" t="e">
        <f t="array" ref="BF9">AVERAGE(AK9:AK9/AN9:AN9) - AVERAGE(N9:N9/Q9:Q9)</f>
        <v>#VALUE!</v>
      </c>
      <c r="BH9" s="4">
        <f t="shared" si="2"/>
        <v>0</v>
      </c>
    </row>
    <row r="10" spans="1:60" x14ac:dyDescent="0.25">
      <c r="B10" s="55" t="s">
        <v>286</v>
      </c>
      <c r="J10" s="56" t="e">
        <f>AVERAGE(J5:J8)</f>
        <v>#DIV/0!</v>
      </c>
      <c r="K10" s="56" t="e">
        <f>AVERAGE(K5:K8)</f>
        <v>#DIV/0!</v>
      </c>
      <c r="L10" s="56" t="e">
        <f>AVERAGE(L5:L8)</f>
        <v>#DIV/0!</v>
      </c>
      <c r="M10" s="56" t="e">
        <f>AVERAGE(M5:M8)</f>
        <v>#DIV/0!</v>
      </c>
      <c r="AG10" s="56" t="e">
        <f>AVERAGE(AG5:AG8)</f>
        <v>#DIV/0!</v>
      </c>
      <c r="AH10" s="56" t="e">
        <f>AVERAGE(AH5:AH8)</f>
        <v>#DIV/0!</v>
      </c>
      <c r="AI10" s="56" t="e">
        <f>AVERAGE(AI5:AI8)</f>
        <v>#DIV/0!</v>
      </c>
      <c r="AJ10" s="56" t="e">
        <f>AVERAGE(AJ5:AJ8)</f>
        <v>#DIV/0!</v>
      </c>
      <c r="BB10" s="5" t="e">
        <f t="shared" si="0"/>
        <v>#DIV/0!</v>
      </c>
      <c r="BC10" s="5" t="e">
        <f t="shared" si="1"/>
        <v>#DIV/0!</v>
      </c>
      <c r="BD10" s="5" t="e">
        <f t="shared" si="1"/>
        <v>#DIV/0!</v>
      </c>
      <c r="BF10" s="8" t="e">
        <f>AVERAGE(BF5:BF8)</f>
        <v>#VALUE!</v>
      </c>
    </row>
    <row r="11" spans="1:60" x14ac:dyDescent="0.25">
      <c r="B11" s="55" t="s">
        <v>287</v>
      </c>
      <c r="J11" s="56" t="e">
        <f>AVERAGE(J9:J9)</f>
        <v>#DIV/0!</v>
      </c>
      <c r="K11" s="56" t="e">
        <f>AVERAGE(K9:K9)</f>
        <v>#DIV/0!</v>
      </c>
      <c r="L11" s="56" t="e">
        <f>AVERAGE(L9:L9)</f>
        <v>#DIV/0!</v>
      </c>
      <c r="M11" s="56" t="e">
        <f>AVERAGE(M9:M9)</f>
        <v>#DIV/0!</v>
      </c>
      <c r="AG11" s="56" t="e">
        <f>AVERAGE(AG9:AG9)</f>
        <v>#DIV/0!</v>
      </c>
      <c r="AH11" s="56" t="e">
        <f>AVERAGE(AH9:AH9)</f>
        <v>#DIV/0!</v>
      </c>
      <c r="AI11" s="56" t="e">
        <f>AVERAGE(AI9:AI9)</f>
        <v>#DIV/0!</v>
      </c>
      <c r="AJ11" s="56" t="e">
        <f>AVERAGE(AJ9:AJ9)</f>
        <v>#DIV/0!</v>
      </c>
      <c r="BB11" s="5" t="e">
        <f t="shared" si="0"/>
        <v>#DIV/0!</v>
      </c>
      <c r="BC11" s="5" t="e">
        <f t="shared" si="1"/>
        <v>#DIV/0!</v>
      </c>
      <c r="BD11" s="5" t="e">
        <f t="shared" si="1"/>
        <v>#DIV/0!</v>
      </c>
      <c r="BF11" s="8" t="e">
        <f>AVERAGE(BF9:BF9)</f>
        <v>#VALUE!</v>
      </c>
    </row>
    <row r="12" spans="1:60" x14ac:dyDescent="0.25">
      <c r="B12" s="55" t="s">
        <v>288</v>
      </c>
      <c r="J12" s="56" t="e">
        <f>AVERAGE(J5:J9)</f>
        <v>#DIV/0!</v>
      </c>
      <c r="K12" s="56" t="e">
        <f>AVERAGE(K5:K9)</f>
        <v>#DIV/0!</v>
      </c>
      <c r="L12" s="56" t="e">
        <f>AVERAGE(L5:L9)</f>
        <v>#DIV/0!</v>
      </c>
      <c r="M12" s="56" t="e">
        <f>AVERAGE(M5:M9)</f>
        <v>#DIV/0!</v>
      </c>
      <c r="AG12" s="56" t="e">
        <f>AVERAGE(AG5:AG9)</f>
        <v>#DIV/0!</v>
      </c>
      <c r="AH12" s="56" t="e">
        <f>AVERAGE(AH5:AH9)</f>
        <v>#DIV/0!</v>
      </c>
      <c r="AI12" s="56" t="e">
        <f>AVERAGE(AI5:AI9)</f>
        <v>#DIV/0!</v>
      </c>
      <c r="AJ12" s="56" t="e">
        <f>AVERAGE(AJ5:AJ9)</f>
        <v>#DIV/0!</v>
      </c>
      <c r="BB12" s="5" t="e">
        <f t="shared" si="0"/>
        <v>#DIV/0!</v>
      </c>
      <c r="BC12" s="5" t="e">
        <f t="shared" si="1"/>
        <v>#DIV/0!</v>
      </c>
      <c r="BD12" s="5" t="e">
        <f t="shared" si="1"/>
        <v>#DIV/0!</v>
      </c>
      <c r="BF12" s="8" t="e">
        <f>AVERAGE(BF5:BF9)</f>
        <v>#VALUE!</v>
      </c>
    </row>
    <row r="13" spans="1:60" hidden="1" outlineLevel="2" x14ac:dyDescent="0.25">
      <c r="A13" s="55" t="s">
        <v>289</v>
      </c>
      <c r="B13" s="55" t="s">
        <v>290</v>
      </c>
      <c r="Z13" s="57">
        <f>SUM(Z5:Z8,Z9:Z9)</f>
        <v>0</v>
      </c>
      <c r="AA13" s="57">
        <f>SUM(AA5:AA8,AA9:AA9)</f>
        <v>0</v>
      </c>
      <c r="AB13" s="57">
        <f>SUM(AB5:AB8,AB9:AB9)</f>
        <v>0</v>
      </c>
      <c r="AC13" s="57">
        <f>SUM(AC5:AC8,AC9:AC9)</f>
        <v>0</v>
      </c>
      <c r="AW13" s="57">
        <f>SUM(AW5:AW8,AW9:AW9)</f>
        <v>0</v>
      </c>
      <c r="AX13" s="57">
        <f>SUM(AX5:AX8,AX9:AX9)</f>
        <v>0</v>
      </c>
      <c r="AY13" s="57">
        <f>SUM(AY5:AY8,AY9:AY9)</f>
        <v>0</v>
      </c>
      <c r="AZ13" s="57">
        <f>SUM(AZ5:AZ8,AZ9:AZ9)</f>
        <v>0</v>
      </c>
    </row>
    <row r="14" spans="1:60" hidden="1" outlineLevel="2" x14ac:dyDescent="0.25">
      <c r="B14" s="55" t="s">
        <v>291</v>
      </c>
      <c r="AW14" s="8" t="e">
        <f>AW13/Z13</f>
        <v>#DIV/0!</v>
      </c>
      <c r="AX14" s="8" t="e">
        <f>AX13/AA13</f>
        <v>#DIV/0!</v>
      </c>
      <c r="AY14" s="8" t="e">
        <f>AY13/AB13</f>
        <v>#DIV/0!</v>
      </c>
      <c r="AZ14" s="8" t="e">
        <f>AZ13/AC13</f>
        <v>#DIV/0!</v>
      </c>
    </row>
    <row r="15" spans="1:60" hidden="1" outlineLevel="2" x14ac:dyDescent="0.25">
      <c r="B15" s="55" t="s">
        <v>292</v>
      </c>
      <c r="Z15" s="57" t="e">
        <f>GEOMEAN(Z5:Z8,Z9:Z9)</f>
        <v>#NUM!</v>
      </c>
      <c r="AA15" s="57" t="e">
        <f>GEOMEAN(AA5:AA8,AA9:AA9)</f>
        <v>#NUM!</v>
      </c>
      <c r="AB15" s="57" t="e">
        <f>GEOMEAN(AB5:AB8,AB9:AB9)</f>
        <v>#NUM!</v>
      </c>
      <c r="AC15" s="57" t="e">
        <f>GEOMEAN(AC5:AC8,AC9:AC9)</f>
        <v>#NUM!</v>
      </c>
      <c r="AW15" s="57" t="e">
        <f>GEOMEAN(AW5:AW8,AW9:AW9)</f>
        <v>#NUM!</v>
      </c>
      <c r="AX15" s="57" t="e">
        <f>GEOMEAN(AX5:AX8,AX9:AX9)</f>
        <v>#NUM!</v>
      </c>
      <c r="AY15" s="57" t="e">
        <f>GEOMEAN(AY5:AY8,AY9:AY9)</f>
        <v>#NUM!</v>
      </c>
      <c r="AZ15" s="57" t="e">
        <f>GEOMEAN(AZ5:AZ8,AZ9:AZ9)</f>
        <v>#NUM!</v>
      </c>
    </row>
    <row r="16" spans="1:60" outlineLevel="2" collapsed="1" x14ac:dyDescent="0.25">
      <c r="B16" s="55" t="s">
        <v>293</v>
      </c>
      <c r="AW16" s="8" t="e">
        <f>AW15/Z15</f>
        <v>#NUM!</v>
      </c>
      <c r="AX16" s="8" t="e">
        <f>AX15/AA15</f>
        <v>#NUM!</v>
      </c>
      <c r="AY16" s="8" t="e">
        <f>AY15/AB15</f>
        <v>#NUM!</v>
      </c>
      <c r="AZ16" s="8" t="e">
        <f>AZ15/AC15</f>
        <v>#NUM!</v>
      </c>
    </row>
    <row r="34" spans="3:3" x14ac:dyDescent="0.25">
      <c r="C34" s="4"/>
    </row>
    <row r="35" spans="3:3" x14ac:dyDescent="0.25">
      <c r="C35" s="4"/>
    </row>
    <row r="36" spans="3:3" x14ac:dyDescent="0.25">
      <c r="C36" s="4"/>
    </row>
    <row r="37" spans="3:3" x14ac:dyDescent="0.25">
      <c r="C37" s="4"/>
    </row>
    <row r="38" spans="3:3" x14ac:dyDescent="0.25">
      <c r="C38" s="4"/>
    </row>
  </sheetData>
  <mergeCells count="34">
    <mergeCell ref="A2:A3"/>
    <mergeCell ref="B2:B3"/>
    <mergeCell ref="C2:C3"/>
    <mergeCell ref="D2:D3"/>
    <mergeCell ref="E2:E3"/>
    <mergeCell ref="F2:F3"/>
    <mergeCell ref="H2:H3"/>
    <mergeCell ref="I2:I3"/>
    <mergeCell ref="J2:M2"/>
    <mergeCell ref="N2:N3"/>
    <mergeCell ref="AE2:AE3"/>
    <mergeCell ref="AF2:AF3"/>
    <mergeCell ref="AG2:AJ2"/>
    <mergeCell ref="O2:O3"/>
    <mergeCell ref="P2:P3"/>
    <mergeCell ref="Q2:T2"/>
    <mergeCell ref="U2:V2"/>
    <mergeCell ref="W2:Y2"/>
    <mergeCell ref="BF2:BF3"/>
    <mergeCell ref="A1:F1"/>
    <mergeCell ref="H1:AC1"/>
    <mergeCell ref="AE1:AZ1"/>
    <mergeCell ref="AT2:AV2"/>
    <mergeCell ref="AW2:AX2"/>
    <mergeCell ref="AY2:AZ2"/>
    <mergeCell ref="BB2:BD2"/>
    <mergeCell ref="BE2:BE3"/>
    <mergeCell ref="AK2:AK3"/>
    <mergeCell ref="AL2:AL3"/>
    <mergeCell ref="AM2:AM3"/>
    <mergeCell ref="AN2:AQ2"/>
    <mergeCell ref="AR2:AS2"/>
    <mergeCell ref="Z2:AA2"/>
    <mergeCell ref="AB2:AC2"/>
  </mergeCells>
  <conditionalFormatting sqref="BB10 BB11 BB12">
    <cfRule type="cellIs" dxfId="31" priority="3" operator="greaterThanOrEqual">
      <formula>1.03</formula>
    </cfRule>
    <cfRule type="cellIs" dxfId="30" priority="4" operator="lessThanOrEqual">
      <formula>0.97</formula>
    </cfRule>
  </conditionalFormatting>
  <conditionalFormatting sqref="BC10 BC11 BC12">
    <cfRule type="cellIs" dxfId="29" priority="5" operator="greaterThanOrEqual">
      <formula>1.03</formula>
    </cfRule>
    <cfRule type="cellIs" dxfId="28" priority="6" operator="lessThanOrEqual">
      <formula>0.97</formula>
    </cfRule>
  </conditionalFormatting>
  <conditionalFormatting sqref="BD10 BD11 BD12">
    <cfRule type="cellIs" dxfId="27" priority="1" operator="greaterThanOrEqual">
      <formula>1.03</formula>
    </cfRule>
    <cfRule type="cellIs" dxfId="26" priority="2" operator="lessThanOrEqual">
      <formula>0.97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outlinePr summaryBelow="0"/>
  </sheetPr>
  <dimension ref="A1:BH16"/>
  <sheetViews>
    <sheetView zoomScale="85" zoomScaleNormal="85" workbookViewId="0">
      <pane xSplit="2" topLeftCell="AB1" activePane="topRight" state="frozen"/>
      <selection pane="topRight" activeCell="T32" sqref="T32"/>
    </sheetView>
  </sheetViews>
  <sheetFormatPr defaultRowHeight="15" outlineLevelRow="2" x14ac:dyDescent="0.25"/>
  <cols>
    <col min="2" max="2" width="24.7109375" customWidth="1"/>
    <col min="3" max="4" width="10.7109375" customWidth="1"/>
    <col min="7" max="7" width="1.7109375" customWidth="1"/>
    <col min="10" max="13" width="10.7109375" customWidth="1"/>
    <col min="14" max="14" width="24.7109375" hidden="1" customWidth="1"/>
    <col min="15" max="15" width="12.7109375" customWidth="1"/>
    <col min="16" max="16" width="10.7109375" customWidth="1"/>
    <col min="17" max="20" width="12.7109375" customWidth="1"/>
    <col min="21" max="25" width="11.7109375" customWidth="1"/>
    <col min="30" max="30" width="1.7109375" customWidth="1"/>
    <col min="33" max="36" width="10.7109375" customWidth="1"/>
    <col min="37" max="37" width="24.7109375" hidden="1" customWidth="1"/>
    <col min="38" max="38" width="12.7109375" customWidth="1"/>
    <col min="39" max="39" width="10.7109375" customWidth="1"/>
    <col min="40" max="43" width="12.7109375" customWidth="1"/>
    <col min="44" max="48" width="11.7109375" customWidth="1"/>
    <col min="53" max="53" width="1.7109375" customWidth="1"/>
    <col min="59" max="59" width="1.7109375" customWidth="1"/>
  </cols>
  <sheetData>
    <row r="1" spans="1:60" x14ac:dyDescent="0.25">
      <c r="A1" s="84" t="s">
        <v>439</v>
      </c>
      <c r="B1" s="84"/>
      <c r="C1" s="84"/>
      <c r="D1" s="84"/>
      <c r="E1" s="84"/>
      <c r="F1" s="84"/>
      <c r="H1" s="80" t="str">
        <f>Summary!C1</f>
        <v>tested: rc0.6 (lossy occupancy map, CTC)</v>
      </c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  <c r="AE1" s="81" t="str">
        <f>Summary!C2</f>
        <v>tested-rc0.7 (texture padding - spp, CTC)</v>
      </c>
      <c r="AF1" s="81"/>
      <c r="AG1" s="81"/>
      <c r="AH1" s="81"/>
      <c r="AI1" s="81"/>
      <c r="AJ1" s="81"/>
      <c r="AK1" s="81"/>
      <c r="AL1" s="81"/>
      <c r="AM1" s="81"/>
      <c r="AN1" s="81"/>
      <c r="AO1" s="81"/>
      <c r="AP1" s="81"/>
      <c r="AQ1" s="81"/>
      <c r="AR1" s="81"/>
      <c r="AS1" s="81"/>
      <c r="AT1" s="81"/>
      <c r="AU1" s="81"/>
      <c r="AV1" s="81"/>
      <c r="AW1" s="81"/>
      <c r="AX1" s="81"/>
      <c r="AY1" s="81"/>
      <c r="AZ1" s="81"/>
    </row>
    <row r="2" spans="1:60" ht="30" customHeight="1" x14ac:dyDescent="0.25">
      <c r="A2" s="86" t="s">
        <v>91</v>
      </c>
      <c r="B2" s="85" t="s">
        <v>94</v>
      </c>
      <c r="C2" s="86" t="s">
        <v>100</v>
      </c>
      <c r="D2" s="85" t="s">
        <v>103</v>
      </c>
      <c r="E2" s="86" t="s">
        <v>106</v>
      </c>
      <c r="F2" s="85" t="s">
        <v>109</v>
      </c>
      <c r="H2" s="86" t="s">
        <v>308</v>
      </c>
      <c r="I2" s="85" t="s">
        <v>112</v>
      </c>
      <c r="J2" s="83" t="s">
        <v>115</v>
      </c>
      <c r="K2" s="83"/>
      <c r="L2" s="83"/>
      <c r="M2" s="83"/>
      <c r="N2" s="86" t="s">
        <v>128</v>
      </c>
      <c r="O2" s="85" t="s">
        <v>131</v>
      </c>
      <c r="P2" s="86" t="s">
        <v>22</v>
      </c>
      <c r="Q2" s="82" t="s">
        <v>140</v>
      </c>
      <c r="R2" s="82"/>
      <c r="S2" s="82"/>
      <c r="T2" s="82"/>
      <c r="U2" s="83" t="s">
        <v>151</v>
      </c>
      <c r="V2" s="83"/>
      <c r="W2" s="82" t="s">
        <v>158</v>
      </c>
      <c r="X2" s="82"/>
      <c r="Y2" s="82"/>
      <c r="Z2" s="83" t="s">
        <v>168</v>
      </c>
      <c r="AA2" s="83"/>
      <c r="AB2" s="82" t="s">
        <v>175</v>
      </c>
      <c r="AC2" s="82"/>
      <c r="AE2" s="86" t="s">
        <v>308</v>
      </c>
      <c r="AF2" s="85" t="s">
        <v>112</v>
      </c>
      <c r="AG2" s="83" t="s">
        <v>115</v>
      </c>
      <c r="AH2" s="83"/>
      <c r="AI2" s="83"/>
      <c r="AJ2" s="83"/>
      <c r="AK2" s="86" t="s">
        <v>190</v>
      </c>
      <c r="AL2" s="85" t="s">
        <v>131</v>
      </c>
      <c r="AM2" s="86" t="s">
        <v>22</v>
      </c>
      <c r="AN2" s="82" t="s">
        <v>140</v>
      </c>
      <c r="AO2" s="82"/>
      <c r="AP2" s="82"/>
      <c r="AQ2" s="82"/>
      <c r="AR2" s="83" t="s">
        <v>151</v>
      </c>
      <c r="AS2" s="83"/>
      <c r="AT2" s="82" t="s">
        <v>158</v>
      </c>
      <c r="AU2" s="82"/>
      <c r="AV2" s="82"/>
      <c r="AW2" s="83" t="s">
        <v>168</v>
      </c>
      <c r="AX2" s="83"/>
      <c r="AY2" s="82" t="s">
        <v>175</v>
      </c>
      <c r="AZ2" s="82"/>
      <c r="BB2" s="83" t="s">
        <v>355</v>
      </c>
      <c r="BC2" s="83"/>
      <c r="BD2" s="83"/>
      <c r="BE2" s="85" t="s">
        <v>230</v>
      </c>
      <c r="BF2" s="86" t="s">
        <v>230</v>
      </c>
      <c r="BH2" t="s">
        <v>547</v>
      </c>
    </row>
    <row r="3" spans="1:60" ht="30.75" thickBot="1" x14ac:dyDescent="0.3">
      <c r="A3" s="86"/>
      <c r="B3" s="85"/>
      <c r="C3" s="86"/>
      <c r="D3" s="85"/>
      <c r="E3" s="86"/>
      <c r="F3" s="85"/>
      <c r="H3" s="86"/>
      <c r="I3" s="85"/>
      <c r="J3" s="11" t="s">
        <v>116</v>
      </c>
      <c r="K3" s="11" t="s">
        <v>119</v>
      </c>
      <c r="L3" s="11" t="s">
        <v>122</v>
      </c>
      <c r="M3" s="11" t="s">
        <v>125</v>
      </c>
      <c r="N3" s="86"/>
      <c r="O3" s="85"/>
      <c r="P3" s="86"/>
      <c r="Q3" s="12" t="s">
        <v>116</v>
      </c>
      <c r="R3" s="12" t="s">
        <v>122</v>
      </c>
      <c r="S3" s="12" t="s">
        <v>145</v>
      </c>
      <c r="T3" s="12" t="s">
        <v>148</v>
      </c>
      <c r="U3" s="11" t="s">
        <v>152</v>
      </c>
      <c r="V3" s="11" t="s">
        <v>155</v>
      </c>
      <c r="W3" s="12" t="s">
        <v>159</v>
      </c>
      <c r="X3" s="12" t="s">
        <v>162</v>
      </c>
      <c r="Y3" s="12" t="s">
        <v>165</v>
      </c>
      <c r="Z3" s="11" t="s">
        <v>169</v>
      </c>
      <c r="AA3" s="11" t="s">
        <v>172</v>
      </c>
      <c r="AB3" s="12" t="s">
        <v>169</v>
      </c>
      <c r="AC3" s="12" t="s">
        <v>172</v>
      </c>
      <c r="AE3" s="86"/>
      <c r="AF3" s="85"/>
      <c r="AG3" s="11" t="s">
        <v>116</v>
      </c>
      <c r="AH3" s="11" t="s">
        <v>119</v>
      </c>
      <c r="AI3" s="11" t="s">
        <v>122</v>
      </c>
      <c r="AJ3" s="11" t="s">
        <v>125</v>
      </c>
      <c r="AK3" s="86"/>
      <c r="AL3" s="85"/>
      <c r="AM3" s="86"/>
      <c r="AN3" s="12" t="s">
        <v>116</v>
      </c>
      <c r="AO3" s="12" t="s">
        <v>122</v>
      </c>
      <c r="AP3" s="12" t="s">
        <v>145</v>
      </c>
      <c r="AQ3" s="12" t="s">
        <v>148</v>
      </c>
      <c r="AR3" s="11" t="s">
        <v>152</v>
      </c>
      <c r="AS3" s="11" t="s">
        <v>155</v>
      </c>
      <c r="AT3" s="12" t="s">
        <v>159</v>
      </c>
      <c r="AU3" s="12" t="s">
        <v>162</v>
      </c>
      <c r="AV3" s="12" t="s">
        <v>165</v>
      </c>
      <c r="AW3" s="11" t="s">
        <v>169</v>
      </c>
      <c r="AX3" s="11" t="s">
        <v>172</v>
      </c>
      <c r="AY3" s="12" t="s">
        <v>169</v>
      </c>
      <c r="AZ3" s="12" t="s">
        <v>172</v>
      </c>
      <c r="BB3" s="11" t="s">
        <v>116</v>
      </c>
      <c r="BC3" s="11" t="s">
        <v>122</v>
      </c>
      <c r="BD3" s="11" t="s">
        <v>148</v>
      </c>
      <c r="BE3" s="85"/>
      <c r="BF3" s="86"/>
    </row>
    <row r="4" spans="1:60" ht="121.5" hidden="1" x14ac:dyDescent="0.25">
      <c r="A4" s="13" t="s">
        <v>92</v>
      </c>
      <c r="B4" s="14" t="s">
        <v>95</v>
      </c>
      <c r="C4" s="13" t="s">
        <v>101</v>
      </c>
      <c r="D4" s="14" t="s">
        <v>104</v>
      </c>
      <c r="E4" s="13" t="s">
        <v>107</v>
      </c>
      <c r="F4" s="14" t="s">
        <v>110</v>
      </c>
      <c r="H4" s="13" t="s">
        <v>309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3" t="s">
        <v>129</v>
      </c>
      <c r="O4" s="14" t="s">
        <v>132</v>
      </c>
      <c r="P4" s="13" t="s">
        <v>134</v>
      </c>
      <c r="Q4" s="14" t="s">
        <v>141</v>
      </c>
      <c r="R4" s="14" t="s">
        <v>143</v>
      </c>
      <c r="S4" s="14" t="s">
        <v>146</v>
      </c>
      <c r="T4" s="14" t="s">
        <v>149</v>
      </c>
      <c r="U4" s="13" t="s">
        <v>153</v>
      </c>
      <c r="V4" s="13" t="s">
        <v>156</v>
      </c>
      <c r="W4" s="14" t="s">
        <v>160</v>
      </c>
      <c r="X4" s="14" t="s">
        <v>163</v>
      </c>
      <c r="Y4" s="14" t="s">
        <v>166</v>
      </c>
      <c r="Z4" s="13" t="s">
        <v>170</v>
      </c>
      <c r="AA4" s="13" t="s">
        <v>173</v>
      </c>
      <c r="AB4" s="14" t="s">
        <v>176</v>
      </c>
      <c r="AC4" s="14" t="s">
        <v>178</v>
      </c>
      <c r="AE4" s="13" t="s">
        <v>332</v>
      </c>
      <c r="AF4" s="14" t="s">
        <v>180</v>
      </c>
      <c r="AG4" s="13" t="s">
        <v>182</v>
      </c>
      <c r="AH4" s="13" t="s">
        <v>184</v>
      </c>
      <c r="AI4" s="13" t="s">
        <v>186</v>
      </c>
      <c r="AJ4" s="13" t="s">
        <v>188</v>
      </c>
      <c r="AK4" s="13" t="s">
        <v>191</v>
      </c>
      <c r="AL4" s="14" t="s">
        <v>193</v>
      </c>
      <c r="AM4" s="13" t="s">
        <v>195</v>
      </c>
      <c r="AN4" s="14" t="s">
        <v>201</v>
      </c>
      <c r="AO4" s="14" t="s">
        <v>203</v>
      </c>
      <c r="AP4" s="14" t="s">
        <v>205</v>
      </c>
      <c r="AQ4" s="14" t="s">
        <v>207</v>
      </c>
      <c r="AR4" s="13" t="s">
        <v>209</v>
      </c>
      <c r="AS4" s="13" t="s">
        <v>211</v>
      </c>
      <c r="AT4" s="14" t="s">
        <v>213</v>
      </c>
      <c r="AU4" s="14" t="s">
        <v>215</v>
      </c>
      <c r="AV4" s="14" t="s">
        <v>217</v>
      </c>
      <c r="AW4" s="13" t="s">
        <v>219</v>
      </c>
      <c r="AX4" s="13" t="s">
        <v>221</v>
      </c>
      <c r="AY4" s="14" t="s">
        <v>223</v>
      </c>
      <c r="AZ4" s="14" t="s">
        <v>225</v>
      </c>
      <c r="BB4" s="13" t="s">
        <v>356</v>
      </c>
      <c r="BC4" s="13" t="s">
        <v>358</v>
      </c>
      <c r="BD4" s="13" t="s">
        <v>360</v>
      </c>
      <c r="BE4" s="14" t="s">
        <v>231</v>
      </c>
      <c r="BF4" s="13" t="s">
        <v>233</v>
      </c>
    </row>
    <row r="5" spans="1:60" collapsed="1" x14ac:dyDescent="0.25">
      <c r="A5" s="15" t="s">
        <v>265</v>
      </c>
      <c r="B5" s="15" t="s">
        <v>264</v>
      </c>
      <c r="C5" s="15">
        <v>24964341</v>
      </c>
      <c r="D5" s="16">
        <v>10</v>
      </c>
      <c r="E5" s="16">
        <v>32</v>
      </c>
      <c r="F5" s="16">
        <v>30</v>
      </c>
      <c r="H5" s="23" t="str">
        <f>IF(ISBLANK(Q5),"·",Q5/(C5*D5*3))</f>
        <v>·</v>
      </c>
      <c r="I5" s="17" t="str">
        <f>IF(OR(ISBLANK(Q5),ISBLANK(F5)),"·",Q5*F5/E5/1000000)</f>
        <v>·</v>
      </c>
      <c r="J5" s="18" t="str">
        <f>IF(ISBLANK(Q5),"·",Q5/C5)</f>
        <v>·</v>
      </c>
      <c r="K5" s="18" t="str">
        <f>IF(N5="","·",N5/C5)</f>
        <v>·</v>
      </c>
      <c r="L5" s="18" t="str">
        <f>IF(R5="","·",R5/C5)</f>
        <v>·</v>
      </c>
      <c r="M5" s="18" t="str">
        <f>IF(ISBLANK(T5),"·",T5/C5)</f>
        <v>·</v>
      </c>
      <c r="N5" s="15" t="str">
        <f>IF(OR(ISBLANK(R5),ISBLANK(S5)),"",R5+S5)</f>
        <v/>
      </c>
      <c r="O5" s="18" t="str">
        <f>IF(ISBLANK(Q5),"·",Q5/P5)</f>
        <v>·</v>
      </c>
      <c r="P5" s="19"/>
      <c r="Q5" s="20"/>
      <c r="R5" s="20"/>
      <c r="S5" s="20"/>
      <c r="T5" s="20"/>
      <c r="U5" s="21"/>
      <c r="V5" s="21"/>
      <c r="W5" s="21"/>
      <c r="X5" s="21"/>
      <c r="Y5" s="21"/>
      <c r="Z5" s="22"/>
      <c r="AA5" s="22"/>
      <c r="AB5" s="22"/>
      <c r="AC5" s="22"/>
      <c r="AE5" s="23" t="str">
        <f>IF(ISBLANK(AN5),"·",AN5/(C5*D5*3))</f>
        <v>·</v>
      </c>
      <c r="AF5" s="17" t="str">
        <f>IF(OR(ISBLANK(AN5),ISBLANK(F5)),"·",AN5*F5/E5/1000000)</f>
        <v>·</v>
      </c>
      <c r="AG5" s="18" t="str">
        <f>IF(ISBLANK(AN5),"·",AN5/C5)</f>
        <v>·</v>
      </c>
      <c r="AH5" s="18" t="str">
        <f>IF(AK5="","·",AK5/C5)</f>
        <v>·</v>
      </c>
      <c r="AI5" s="18" t="str">
        <f>IF(AO5="","·",AO5/C5)</f>
        <v>·</v>
      </c>
      <c r="AJ5" s="18" t="str">
        <f>IF(ISBLANK(AQ5),"·",AQ5/C5)</f>
        <v>·</v>
      </c>
      <c r="AK5" s="15" t="str">
        <f>IF(OR(ISBLANK(AO5),ISBLANK(AP5)),"",AO5+AP5)</f>
        <v/>
      </c>
      <c r="AL5" s="18" t="str">
        <f>IF(ISBLANK(AN5),"·",AN5/AM5)</f>
        <v>·</v>
      </c>
      <c r="AM5" s="58"/>
      <c r="AN5" s="59"/>
      <c r="AO5" s="59"/>
      <c r="AP5" s="59"/>
      <c r="AQ5" s="59"/>
      <c r="AR5" s="60"/>
      <c r="AS5" s="60"/>
      <c r="AT5" s="60"/>
      <c r="AU5" s="60"/>
      <c r="AV5" s="60"/>
      <c r="AW5" s="61"/>
      <c r="AX5" s="61"/>
      <c r="AY5" s="61"/>
      <c r="AZ5" s="61"/>
      <c r="BB5" s="24" t="e">
        <f t="shared" ref="BB5:BB12" si="0">AG5/J5</f>
        <v>#VALUE!</v>
      </c>
      <c r="BC5" s="24" t="e">
        <f t="shared" ref="BC5:BD12" si="1">AI5/L5</f>
        <v>#VALUE!</v>
      </c>
      <c r="BD5" s="24" t="e">
        <f t="shared" si="1"/>
        <v>#VALUE!</v>
      </c>
      <c r="BE5" s="23" t="e">
        <f>(AK5/AN5) - (N5/Q5)</f>
        <v>#VALUE!</v>
      </c>
      <c r="BF5" s="23" t="e">
        <f t="array" ref="BF5">AVERAGE(AK5:AK5/AN5:AN5) - AVERAGE(N5:N5/Q5:Q5)</f>
        <v>#VALUE!</v>
      </c>
      <c r="BH5">
        <f>AN5-Q5</f>
        <v>0</v>
      </c>
    </row>
    <row r="6" spans="1:60" collapsed="1" x14ac:dyDescent="0.25">
      <c r="A6" s="25"/>
      <c r="B6" s="25" t="s">
        <v>273</v>
      </c>
      <c r="C6" s="25">
        <v>22654789</v>
      </c>
      <c r="D6" s="26">
        <v>10</v>
      </c>
      <c r="E6" s="26">
        <v>32</v>
      </c>
      <c r="F6" s="26">
        <v>30</v>
      </c>
      <c r="H6" s="33" t="str">
        <f>IF(ISBLANK(Q6),"·",Q6/(C6*D6*3))</f>
        <v>·</v>
      </c>
      <c r="I6" s="27" t="str">
        <f>IF(OR(ISBLANK(Q6),ISBLANK(F6)),"·",Q6*F6/E6/1000000)</f>
        <v>·</v>
      </c>
      <c r="J6" s="28" t="str">
        <f>IF(ISBLANK(Q6),"·",Q6/C6)</f>
        <v>·</v>
      </c>
      <c r="K6" s="28" t="str">
        <f>IF(N6="","·",N6/C6)</f>
        <v>·</v>
      </c>
      <c r="L6" s="28" t="str">
        <f>IF(R6="","·",R6/C6)</f>
        <v>·</v>
      </c>
      <c r="M6" s="28" t="str">
        <f>IF(ISBLANK(T6),"·",T6/C6)</f>
        <v>·</v>
      </c>
      <c r="N6" s="25" t="str">
        <f>IF(OR(ISBLANK(R6),ISBLANK(S6)),"",R6+S6)</f>
        <v/>
      </c>
      <c r="O6" s="28" t="str">
        <f>IF(ISBLANK(Q6),"·",Q6/P6)</f>
        <v>·</v>
      </c>
      <c r="P6" s="29"/>
      <c r="Q6" s="30"/>
      <c r="R6" s="30"/>
      <c r="S6" s="30"/>
      <c r="T6" s="30"/>
      <c r="U6" s="31"/>
      <c r="V6" s="31"/>
      <c r="W6" s="31"/>
      <c r="X6" s="31"/>
      <c r="Y6" s="31"/>
      <c r="Z6" s="32"/>
      <c r="AA6" s="32"/>
      <c r="AB6" s="32"/>
      <c r="AC6" s="32"/>
      <c r="AE6" s="33" t="str">
        <f>IF(ISBLANK(AN6),"·",AN6/(C6*D6*3))</f>
        <v>·</v>
      </c>
      <c r="AF6" s="27" t="str">
        <f>IF(OR(ISBLANK(AN6),ISBLANK(F6)),"·",AN6*F6/E6/1000000)</f>
        <v>·</v>
      </c>
      <c r="AG6" s="28" t="str">
        <f>IF(ISBLANK(AN6),"·",AN6/C6)</f>
        <v>·</v>
      </c>
      <c r="AH6" s="28" t="str">
        <f>IF(AK6="","·",AK6/C6)</f>
        <v>·</v>
      </c>
      <c r="AI6" s="28" t="str">
        <f>IF(AO6="","·",AO6/C6)</f>
        <v>·</v>
      </c>
      <c r="AJ6" s="28" t="str">
        <f>IF(ISBLANK(AQ6),"·",AQ6/C6)</f>
        <v>·</v>
      </c>
      <c r="AK6" s="25" t="str">
        <f>IF(OR(ISBLANK(AO6),ISBLANK(AP6)),"",AO6+AP6)</f>
        <v/>
      </c>
      <c r="AL6" s="28" t="str">
        <f>IF(ISBLANK(AN6),"·",AN6/AM6)</f>
        <v>·</v>
      </c>
      <c r="AM6" s="62"/>
      <c r="AN6" s="63"/>
      <c r="AO6" s="63"/>
      <c r="AP6" s="63"/>
      <c r="AQ6" s="63"/>
      <c r="AR6" s="64"/>
      <c r="AS6" s="64"/>
      <c r="AT6" s="64"/>
      <c r="AU6" s="64"/>
      <c r="AV6" s="64"/>
      <c r="AW6" s="65"/>
      <c r="AX6" s="65"/>
      <c r="AY6" s="65"/>
      <c r="AZ6" s="65"/>
      <c r="BB6" s="34" t="e">
        <f t="shared" si="0"/>
        <v>#VALUE!</v>
      </c>
      <c r="BC6" s="34" t="e">
        <f t="shared" si="1"/>
        <v>#VALUE!</v>
      </c>
      <c r="BD6" s="34" t="e">
        <f t="shared" si="1"/>
        <v>#VALUE!</v>
      </c>
      <c r="BE6" s="33" t="e">
        <f>(AK6/AN6) - (N6/Q6)</f>
        <v>#VALUE!</v>
      </c>
      <c r="BF6" s="33" t="e">
        <f t="array" ref="BF6">AVERAGE(AK6:AK6/AN6:AN6) - AVERAGE(N6:N6/Q6:Q6)</f>
        <v>#VALUE!</v>
      </c>
      <c r="BH6" s="4">
        <f t="shared" ref="BH6:BH9" si="2">AN6-Q6</f>
        <v>0</v>
      </c>
    </row>
    <row r="7" spans="1:60" collapsed="1" x14ac:dyDescent="0.25">
      <c r="A7" s="15"/>
      <c r="B7" s="15" t="s">
        <v>276</v>
      </c>
      <c r="C7" s="15">
        <v>33947718</v>
      </c>
      <c r="D7" s="16">
        <v>10</v>
      </c>
      <c r="E7" s="16">
        <v>32</v>
      </c>
      <c r="F7" s="16">
        <v>30</v>
      </c>
      <c r="H7" s="23" t="str">
        <f>IF(ISBLANK(Q7),"·",Q7/(C7*D7*3))</f>
        <v>·</v>
      </c>
      <c r="I7" s="17" t="str">
        <f>IF(OR(ISBLANK(Q7),ISBLANK(F7)),"·",Q7*F7/E7/1000000)</f>
        <v>·</v>
      </c>
      <c r="J7" s="18" t="str">
        <f>IF(ISBLANK(Q7),"·",Q7/C7)</f>
        <v>·</v>
      </c>
      <c r="K7" s="18" t="str">
        <f>IF(N7="","·",N7/C7)</f>
        <v>·</v>
      </c>
      <c r="L7" s="18" t="str">
        <f>IF(R7="","·",R7/C7)</f>
        <v>·</v>
      </c>
      <c r="M7" s="18" t="str">
        <f>IF(ISBLANK(T7),"·",T7/C7)</f>
        <v>·</v>
      </c>
      <c r="N7" s="15" t="str">
        <f>IF(OR(ISBLANK(R7),ISBLANK(S7)),"",R7+S7)</f>
        <v/>
      </c>
      <c r="O7" s="18" t="str">
        <f>IF(ISBLANK(Q7),"·",Q7/P7)</f>
        <v>·</v>
      </c>
      <c r="P7" s="19"/>
      <c r="Q7" s="20"/>
      <c r="R7" s="20"/>
      <c r="S7" s="20"/>
      <c r="T7" s="20"/>
      <c r="U7" s="21"/>
      <c r="V7" s="21"/>
      <c r="W7" s="21"/>
      <c r="X7" s="21"/>
      <c r="Y7" s="21"/>
      <c r="Z7" s="22"/>
      <c r="AA7" s="22"/>
      <c r="AB7" s="22"/>
      <c r="AC7" s="22"/>
      <c r="AE7" s="23" t="str">
        <f>IF(ISBLANK(AN7),"·",AN7/(C7*D7*3))</f>
        <v>·</v>
      </c>
      <c r="AF7" s="17" t="str">
        <f>IF(OR(ISBLANK(AN7),ISBLANK(F7)),"·",AN7*F7/E7/1000000)</f>
        <v>·</v>
      </c>
      <c r="AG7" s="18" t="str">
        <f>IF(ISBLANK(AN7),"·",AN7/C7)</f>
        <v>·</v>
      </c>
      <c r="AH7" s="18" t="str">
        <f>IF(AK7="","·",AK7/C7)</f>
        <v>·</v>
      </c>
      <c r="AI7" s="18" t="str">
        <f>IF(AO7="","·",AO7/C7)</f>
        <v>·</v>
      </c>
      <c r="AJ7" s="18" t="str">
        <f>IF(ISBLANK(AQ7),"·",AQ7/C7)</f>
        <v>·</v>
      </c>
      <c r="AK7" s="15" t="str">
        <f>IF(OR(ISBLANK(AO7),ISBLANK(AP7)),"",AO7+AP7)</f>
        <v/>
      </c>
      <c r="AL7" s="18" t="str">
        <f>IF(ISBLANK(AN7),"·",AN7/AM7)</f>
        <v>·</v>
      </c>
      <c r="AM7" s="58"/>
      <c r="AN7" s="59"/>
      <c r="AO7" s="59"/>
      <c r="AP7" s="59"/>
      <c r="AQ7" s="59"/>
      <c r="AR7" s="60"/>
      <c r="AS7" s="60"/>
      <c r="AT7" s="60"/>
      <c r="AU7" s="60"/>
      <c r="AV7" s="60"/>
      <c r="AW7" s="61"/>
      <c r="AX7" s="61"/>
      <c r="AY7" s="61"/>
      <c r="AZ7" s="61"/>
      <c r="BB7" s="24" t="e">
        <f t="shared" si="0"/>
        <v>#VALUE!</v>
      </c>
      <c r="BC7" s="24" t="e">
        <f t="shared" si="1"/>
        <v>#VALUE!</v>
      </c>
      <c r="BD7" s="24" t="e">
        <f t="shared" si="1"/>
        <v>#VALUE!</v>
      </c>
      <c r="BE7" s="23" t="e">
        <f>(AK7/AN7) - (N7/Q7)</f>
        <v>#VALUE!</v>
      </c>
      <c r="BF7" s="23" t="e">
        <f t="array" ref="BF7">AVERAGE(AK7:AK7/AN7:AN7) - AVERAGE(N7:N7/Q7:Q7)</f>
        <v>#VALUE!</v>
      </c>
      <c r="BH7" s="4">
        <f t="shared" si="2"/>
        <v>0</v>
      </c>
    </row>
    <row r="8" spans="1:60" ht="15.75" collapsed="1" thickBot="1" x14ac:dyDescent="0.3">
      <c r="A8" s="45"/>
      <c r="B8" s="45" t="s">
        <v>279</v>
      </c>
      <c r="C8" s="45">
        <v>32209643</v>
      </c>
      <c r="D8" s="46">
        <v>10</v>
      </c>
      <c r="E8" s="46">
        <v>32</v>
      </c>
      <c r="F8" s="46">
        <v>50</v>
      </c>
      <c r="H8" s="53" t="str">
        <f>IF(ISBLANK(Q8),"·",Q8/(C8*D8*3))</f>
        <v>·</v>
      </c>
      <c r="I8" s="47" t="str">
        <f>IF(OR(ISBLANK(Q8),ISBLANK(F8)),"·",Q8*F8/E8/1000000)</f>
        <v>·</v>
      </c>
      <c r="J8" s="48" t="str">
        <f>IF(ISBLANK(Q8),"·",Q8/C8)</f>
        <v>·</v>
      </c>
      <c r="K8" s="48" t="str">
        <f>IF(N8="","·",N8/C8)</f>
        <v>·</v>
      </c>
      <c r="L8" s="48" t="str">
        <f>IF(R8="","·",R8/C8)</f>
        <v>·</v>
      </c>
      <c r="M8" s="48" t="str">
        <f>IF(ISBLANK(T8),"·",T8/C8)</f>
        <v>·</v>
      </c>
      <c r="N8" s="45" t="str">
        <f>IF(OR(ISBLANK(R8),ISBLANK(S8)),"",R8+S8)</f>
        <v/>
      </c>
      <c r="O8" s="48" t="str">
        <f>IF(ISBLANK(Q8),"·",Q8/P8)</f>
        <v>·</v>
      </c>
      <c r="P8" s="49"/>
      <c r="Q8" s="50"/>
      <c r="R8" s="50"/>
      <c r="S8" s="50"/>
      <c r="T8" s="50"/>
      <c r="U8" s="51"/>
      <c r="V8" s="51"/>
      <c r="W8" s="51"/>
      <c r="X8" s="51"/>
      <c r="Y8" s="51"/>
      <c r="Z8" s="52"/>
      <c r="AA8" s="52"/>
      <c r="AB8" s="52"/>
      <c r="AC8" s="52"/>
      <c r="AE8" s="53" t="str">
        <f>IF(ISBLANK(AN8),"·",AN8/(C8*D8*3))</f>
        <v>·</v>
      </c>
      <c r="AF8" s="47" t="str">
        <f>IF(OR(ISBLANK(AN8),ISBLANK(F8)),"·",AN8*F8/E8/1000000)</f>
        <v>·</v>
      </c>
      <c r="AG8" s="48" t="str">
        <f>IF(ISBLANK(AN8),"·",AN8/C8)</f>
        <v>·</v>
      </c>
      <c r="AH8" s="48" t="str">
        <f>IF(AK8="","·",AK8/C8)</f>
        <v>·</v>
      </c>
      <c r="AI8" s="48" t="str">
        <f>IF(AO8="","·",AO8/C8)</f>
        <v>·</v>
      </c>
      <c r="AJ8" s="48" t="str">
        <f>IF(ISBLANK(AQ8),"·",AQ8/C8)</f>
        <v>·</v>
      </c>
      <c r="AK8" s="45" t="str">
        <f>IF(OR(ISBLANK(AO8),ISBLANK(AP8)),"",AO8+AP8)</f>
        <v/>
      </c>
      <c r="AL8" s="48" t="str">
        <f>IF(ISBLANK(AN8),"·",AN8/AM8)</f>
        <v>·</v>
      </c>
      <c r="AM8" s="70"/>
      <c r="AN8" s="71"/>
      <c r="AO8" s="71"/>
      <c r="AP8" s="71"/>
      <c r="AQ8" s="71"/>
      <c r="AR8" s="72"/>
      <c r="AS8" s="72"/>
      <c r="AT8" s="72"/>
      <c r="AU8" s="72"/>
      <c r="AV8" s="72"/>
      <c r="AW8" s="73"/>
      <c r="AX8" s="73"/>
      <c r="AY8" s="73"/>
      <c r="AZ8" s="73"/>
      <c r="BB8" s="54" t="e">
        <f t="shared" si="0"/>
        <v>#VALUE!</v>
      </c>
      <c r="BC8" s="54" t="e">
        <f t="shared" si="1"/>
        <v>#VALUE!</v>
      </c>
      <c r="BD8" s="54" t="e">
        <f t="shared" si="1"/>
        <v>#VALUE!</v>
      </c>
      <c r="BE8" s="53" t="e">
        <f>(AK8/AN8) - (N8/Q8)</f>
        <v>#VALUE!</v>
      </c>
      <c r="BF8" s="53" t="e">
        <f t="array" ref="BF8">AVERAGE(AK8:AK8/AN8:AN8) - AVERAGE(N8:N8/Q8:Q8)</f>
        <v>#VALUE!</v>
      </c>
      <c r="BH8" s="4">
        <f t="shared" si="2"/>
        <v>0</v>
      </c>
    </row>
    <row r="9" spans="1:60" ht="15.75" collapsed="1" thickBot="1" x14ac:dyDescent="0.3">
      <c r="A9" s="35" t="s">
        <v>283</v>
      </c>
      <c r="B9" s="35" t="s">
        <v>282</v>
      </c>
      <c r="C9" s="35">
        <v>25312408</v>
      </c>
      <c r="D9" s="36">
        <v>10</v>
      </c>
      <c r="E9" s="36">
        <v>32</v>
      </c>
      <c r="F9" s="36">
        <v>30</v>
      </c>
      <c r="H9" s="43" t="str">
        <f>IF(ISBLANK(Q9),"·",Q9/(C9*D9*3))</f>
        <v>·</v>
      </c>
      <c r="I9" s="37" t="str">
        <f>IF(OR(ISBLANK(Q9),ISBLANK(F9)),"·",Q9*F9/E9/1000000)</f>
        <v>·</v>
      </c>
      <c r="J9" s="38" t="str">
        <f>IF(ISBLANK(Q9),"·",Q9/C9)</f>
        <v>·</v>
      </c>
      <c r="K9" s="38" t="str">
        <f>IF(N9="","·",N9/C9)</f>
        <v>·</v>
      </c>
      <c r="L9" s="38" t="str">
        <f>IF(R9="","·",R9/C9)</f>
        <v>·</v>
      </c>
      <c r="M9" s="38" t="str">
        <f>IF(ISBLANK(T9),"·",T9/C9)</f>
        <v>·</v>
      </c>
      <c r="N9" s="35" t="str">
        <f>IF(OR(ISBLANK(R9),ISBLANK(S9)),"",R9+S9)</f>
        <v/>
      </c>
      <c r="O9" s="38" t="str">
        <f>IF(ISBLANK(Q9),"·",Q9/P9)</f>
        <v>·</v>
      </c>
      <c r="P9" s="39"/>
      <c r="Q9" s="40"/>
      <c r="R9" s="40"/>
      <c r="S9" s="40"/>
      <c r="T9" s="40"/>
      <c r="U9" s="41"/>
      <c r="V9" s="41"/>
      <c r="W9" s="41"/>
      <c r="X9" s="41"/>
      <c r="Y9" s="41"/>
      <c r="Z9" s="42"/>
      <c r="AA9" s="42"/>
      <c r="AB9" s="42"/>
      <c r="AC9" s="42"/>
      <c r="AE9" s="43" t="str">
        <f>IF(ISBLANK(AN9),"·",AN9/(C9*D9*3))</f>
        <v>·</v>
      </c>
      <c r="AF9" s="37" t="str">
        <f>IF(OR(ISBLANK(AN9),ISBLANK(F9)),"·",AN9*F9/E9/1000000)</f>
        <v>·</v>
      </c>
      <c r="AG9" s="38" t="str">
        <f>IF(ISBLANK(AN9),"·",AN9/C9)</f>
        <v>·</v>
      </c>
      <c r="AH9" s="38" t="str">
        <f>IF(AK9="","·",AK9/C9)</f>
        <v>·</v>
      </c>
      <c r="AI9" s="38" t="str">
        <f>IF(AO9="","·",AO9/C9)</f>
        <v>·</v>
      </c>
      <c r="AJ9" s="38" t="str">
        <f>IF(ISBLANK(AQ9),"·",AQ9/C9)</f>
        <v>·</v>
      </c>
      <c r="AK9" s="35" t="str">
        <f>IF(OR(ISBLANK(AO9),ISBLANK(AP9)),"",AO9+AP9)</f>
        <v/>
      </c>
      <c r="AL9" s="38" t="str">
        <f>IF(ISBLANK(AN9),"·",AN9/AM9)</f>
        <v>·</v>
      </c>
      <c r="AM9" s="66"/>
      <c r="AN9" s="67"/>
      <c r="AO9" s="67"/>
      <c r="AP9" s="67"/>
      <c r="AQ9" s="67"/>
      <c r="AR9" s="68"/>
      <c r="AS9" s="68"/>
      <c r="AT9" s="68"/>
      <c r="AU9" s="68"/>
      <c r="AV9" s="68"/>
      <c r="AW9" s="69"/>
      <c r="AX9" s="69"/>
      <c r="AY9" s="69"/>
      <c r="AZ9" s="69"/>
      <c r="BB9" s="44" t="e">
        <f t="shared" si="0"/>
        <v>#VALUE!</v>
      </c>
      <c r="BC9" s="44" t="e">
        <f t="shared" si="1"/>
        <v>#VALUE!</v>
      </c>
      <c r="BD9" s="44" t="e">
        <f t="shared" si="1"/>
        <v>#VALUE!</v>
      </c>
      <c r="BE9" s="43" t="e">
        <f>(AK9/AN9) - (N9/Q9)</f>
        <v>#VALUE!</v>
      </c>
      <c r="BF9" s="43" t="e">
        <f t="array" ref="BF9">AVERAGE(AK9:AK9/AN9:AN9) - AVERAGE(N9:N9/Q9:Q9)</f>
        <v>#VALUE!</v>
      </c>
      <c r="BH9" s="4">
        <f t="shared" si="2"/>
        <v>0</v>
      </c>
    </row>
    <row r="10" spans="1:60" x14ac:dyDescent="0.25">
      <c r="B10" s="55" t="s">
        <v>286</v>
      </c>
      <c r="J10" s="56" t="e">
        <f>AVERAGE(J5:J8)</f>
        <v>#DIV/0!</v>
      </c>
      <c r="K10" s="56" t="e">
        <f>AVERAGE(K5:K8)</f>
        <v>#DIV/0!</v>
      </c>
      <c r="L10" s="56" t="e">
        <f>AVERAGE(L5:L8)</f>
        <v>#DIV/0!</v>
      </c>
      <c r="M10" s="56" t="e">
        <f>AVERAGE(M5:M8)</f>
        <v>#DIV/0!</v>
      </c>
      <c r="AG10" s="56" t="e">
        <f>AVERAGE(AG5:AG8)</f>
        <v>#DIV/0!</v>
      </c>
      <c r="AH10" s="56" t="e">
        <f>AVERAGE(AH5:AH8)</f>
        <v>#DIV/0!</v>
      </c>
      <c r="AI10" s="56" t="e">
        <f>AVERAGE(AI5:AI8)</f>
        <v>#DIV/0!</v>
      </c>
      <c r="AJ10" s="56" t="e">
        <f>AVERAGE(AJ5:AJ8)</f>
        <v>#DIV/0!</v>
      </c>
      <c r="BB10" s="5" t="e">
        <f t="shared" si="0"/>
        <v>#DIV/0!</v>
      </c>
      <c r="BC10" s="5" t="e">
        <f t="shared" si="1"/>
        <v>#DIV/0!</v>
      </c>
      <c r="BD10" s="5" t="e">
        <f t="shared" si="1"/>
        <v>#DIV/0!</v>
      </c>
      <c r="BF10" s="8" t="e">
        <f>AVERAGE(BF5:BF8)</f>
        <v>#VALUE!</v>
      </c>
    </row>
    <row r="11" spans="1:60" x14ac:dyDescent="0.25">
      <c r="B11" s="55" t="s">
        <v>287</v>
      </c>
      <c r="J11" s="56" t="e">
        <f>AVERAGE(J9:J9)</f>
        <v>#DIV/0!</v>
      </c>
      <c r="K11" s="56" t="e">
        <f>AVERAGE(K9:K9)</f>
        <v>#DIV/0!</v>
      </c>
      <c r="L11" s="56" t="e">
        <f>AVERAGE(L9:L9)</f>
        <v>#DIV/0!</v>
      </c>
      <c r="M11" s="56" t="e">
        <f>AVERAGE(M9:M9)</f>
        <v>#DIV/0!</v>
      </c>
      <c r="AG11" s="56" t="e">
        <f>AVERAGE(AG9:AG9)</f>
        <v>#DIV/0!</v>
      </c>
      <c r="AH11" s="56" t="e">
        <f>AVERAGE(AH9:AH9)</f>
        <v>#DIV/0!</v>
      </c>
      <c r="AI11" s="56" t="e">
        <f>AVERAGE(AI9:AI9)</f>
        <v>#DIV/0!</v>
      </c>
      <c r="AJ11" s="56" t="e">
        <f>AVERAGE(AJ9:AJ9)</f>
        <v>#DIV/0!</v>
      </c>
      <c r="BB11" s="5" t="e">
        <f t="shared" si="0"/>
        <v>#DIV/0!</v>
      </c>
      <c r="BC11" s="5" t="e">
        <f t="shared" si="1"/>
        <v>#DIV/0!</v>
      </c>
      <c r="BD11" s="5" t="e">
        <f t="shared" si="1"/>
        <v>#DIV/0!</v>
      </c>
      <c r="BF11" s="8" t="e">
        <f>AVERAGE(BF9:BF9)</f>
        <v>#VALUE!</v>
      </c>
    </row>
    <row r="12" spans="1:60" x14ac:dyDescent="0.25">
      <c r="B12" s="55" t="s">
        <v>288</v>
      </c>
      <c r="J12" s="56" t="e">
        <f>AVERAGE(J5:J9)</f>
        <v>#DIV/0!</v>
      </c>
      <c r="K12" s="56" t="e">
        <f>AVERAGE(K5:K9)</f>
        <v>#DIV/0!</v>
      </c>
      <c r="L12" s="56" t="e">
        <f>AVERAGE(L5:L9)</f>
        <v>#DIV/0!</v>
      </c>
      <c r="M12" s="56" t="e">
        <f>AVERAGE(M5:M9)</f>
        <v>#DIV/0!</v>
      </c>
      <c r="AG12" s="56" t="e">
        <f>AVERAGE(AG5:AG9)</f>
        <v>#DIV/0!</v>
      </c>
      <c r="AH12" s="56" t="e">
        <f>AVERAGE(AH5:AH9)</f>
        <v>#DIV/0!</v>
      </c>
      <c r="AI12" s="56" t="e">
        <f>AVERAGE(AI5:AI9)</f>
        <v>#DIV/0!</v>
      </c>
      <c r="AJ12" s="56" t="e">
        <f>AVERAGE(AJ5:AJ9)</f>
        <v>#DIV/0!</v>
      </c>
      <c r="BB12" s="5" t="e">
        <f t="shared" si="0"/>
        <v>#DIV/0!</v>
      </c>
      <c r="BC12" s="5" t="e">
        <f t="shared" si="1"/>
        <v>#DIV/0!</v>
      </c>
      <c r="BD12" s="5" t="e">
        <f t="shared" si="1"/>
        <v>#DIV/0!</v>
      </c>
      <c r="BF12" s="8" t="e">
        <f>AVERAGE(BF5:BF9)</f>
        <v>#VALUE!</v>
      </c>
    </row>
    <row r="13" spans="1:60" hidden="1" outlineLevel="2" x14ac:dyDescent="0.25">
      <c r="A13" s="55" t="s">
        <v>289</v>
      </c>
      <c r="B13" s="55" t="s">
        <v>290</v>
      </c>
      <c r="Z13" s="57">
        <f>SUM(Z5:Z8,Z9:Z9)</f>
        <v>0</v>
      </c>
      <c r="AA13" s="57">
        <f>SUM(AA5:AA8,AA9:AA9)</f>
        <v>0</v>
      </c>
      <c r="AB13" s="57">
        <f>SUM(AB5:AB8,AB9:AB9)</f>
        <v>0</v>
      </c>
      <c r="AC13" s="57">
        <f>SUM(AC5:AC8,AC9:AC9)</f>
        <v>0</v>
      </c>
      <c r="AW13" s="57">
        <f>SUM(AW5:AW8,AW9:AW9)</f>
        <v>0</v>
      </c>
      <c r="AX13" s="57">
        <f>SUM(AX5:AX8,AX9:AX9)</f>
        <v>0</v>
      </c>
      <c r="AY13" s="57">
        <f>SUM(AY5:AY8,AY9:AY9)</f>
        <v>0</v>
      </c>
      <c r="AZ13" s="57">
        <f>SUM(AZ5:AZ8,AZ9:AZ9)</f>
        <v>0</v>
      </c>
    </row>
    <row r="14" spans="1:60" hidden="1" outlineLevel="2" x14ac:dyDescent="0.25">
      <c r="B14" s="55" t="s">
        <v>291</v>
      </c>
      <c r="AW14" s="8" t="e">
        <f>AW13/Z13</f>
        <v>#DIV/0!</v>
      </c>
      <c r="AX14" s="8" t="e">
        <f>AX13/AA13</f>
        <v>#DIV/0!</v>
      </c>
      <c r="AY14" s="8" t="e">
        <f>AY13/AB13</f>
        <v>#DIV/0!</v>
      </c>
      <c r="AZ14" s="8" t="e">
        <f>AZ13/AC13</f>
        <v>#DIV/0!</v>
      </c>
    </row>
    <row r="15" spans="1:60" hidden="1" outlineLevel="2" x14ac:dyDescent="0.25">
      <c r="B15" s="55" t="s">
        <v>292</v>
      </c>
      <c r="Z15" s="57" t="e">
        <f>GEOMEAN(Z5:Z8,Z9:Z9)</f>
        <v>#NUM!</v>
      </c>
      <c r="AA15" s="57" t="e">
        <f>GEOMEAN(AA5:AA8,AA9:AA9)</f>
        <v>#NUM!</v>
      </c>
      <c r="AB15" s="57" t="e">
        <f>GEOMEAN(AB5:AB8,AB9:AB9)</f>
        <v>#NUM!</v>
      </c>
      <c r="AC15" s="57" t="e">
        <f>GEOMEAN(AC5:AC8,AC9:AC9)</f>
        <v>#NUM!</v>
      </c>
      <c r="AW15" s="57" t="e">
        <f>GEOMEAN(AW5:AW8,AW9:AW9)</f>
        <v>#NUM!</v>
      </c>
      <c r="AX15" s="57" t="e">
        <f>GEOMEAN(AX5:AX8,AX9:AX9)</f>
        <v>#NUM!</v>
      </c>
      <c r="AY15" s="57" t="e">
        <f>GEOMEAN(AY5:AY8,AY9:AY9)</f>
        <v>#NUM!</v>
      </c>
      <c r="AZ15" s="57" t="e">
        <f>GEOMEAN(AZ5:AZ8,AZ9:AZ9)</f>
        <v>#NUM!</v>
      </c>
    </row>
    <row r="16" spans="1:60" outlineLevel="2" collapsed="1" x14ac:dyDescent="0.25">
      <c r="B16" s="55" t="s">
        <v>293</v>
      </c>
      <c r="AW16" s="8" t="e">
        <f>AW15/Z15</f>
        <v>#NUM!</v>
      </c>
      <c r="AX16" s="8" t="e">
        <f>AX15/AA15</f>
        <v>#NUM!</v>
      </c>
      <c r="AY16" s="8" t="e">
        <f>AY15/AB15</f>
        <v>#NUM!</v>
      </c>
      <c r="AZ16" s="8" t="e">
        <f>AZ15/AC15</f>
        <v>#NUM!</v>
      </c>
    </row>
  </sheetData>
  <mergeCells count="34">
    <mergeCell ref="A2:A3"/>
    <mergeCell ref="B2:B3"/>
    <mergeCell ref="C2:C3"/>
    <mergeCell ref="D2:D3"/>
    <mergeCell ref="E2:E3"/>
    <mergeCell ref="F2:F3"/>
    <mergeCell ref="H2:H3"/>
    <mergeCell ref="I2:I3"/>
    <mergeCell ref="J2:M2"/>
    <mergeCell ref="N2:N3"/>
    <mergeCell ref="AE2:AE3"/>
    <mergeCell ref="AF2:AF3"/>
    <mergeCell ref="AG2:AJ2"/>
    <mergeCell ref="O2:O3"/>
    <mergeCell ref="P2:P3"/>
    <mergeCell ref="Q2:T2"/>
    <mergeCell ref="U2:V2"/>
    <mergeCell ref="W2:Y2"/>
    <mergeCell ref="BF2:BF3"/>
    <mergeCell ref="A1:F1"/>
    <mergeCell ref="H1:AC1"/>
    <mergeCell ref="AE1:AZ1"/>
    <mergeCell ref="AT2:AV2"/>
    <mergeCell ref="AW2:AX2"/>
    <mergeCell ref="AY2:AZ2"/>
    <mergeCell ref="BB2:BD2"/>
    <mergeCell ref="BE2:BE3"/>
    <mergeCell ref="AK2:AK3"/>
    <mergeCell ref="AL2:AL3"/>
    <mergeCell ref="AM2:AM3"/>
    <mergeCell ref="AN2:AQ2"/>
    <mergeCell ref="AR2:AS2"/>
    <mergeCell ref="Z2:AA2"/>
    <mergeCell ref="AB2:AC2"/>
  </mergeCells>
  <conditionalFormatting sqref="BB10 BB11 BB12">
    <cfRule type="cellIs" dxfId="25" priority="3" operator="greaterThanOrEqual">
      <formula>1.03</formula>
    </cfRule>
    <cfRule type="cellIs" dxfId="24" priority="4" operator="lessThanOrEqual">
      <formula>0.97</formula>
    </cfRule>
  </conditionalFormatting>
  <conditionalFormatting sqref="BC10 BC11 BC12">
    <cfRule type="cellIs" dxfId="23" priority="5" operator="greaterThanOrEqual">
      <formula>1.03</formula>
    </cfRule>
    <cfRule type="cellIs" dxfId="22" priority="6" operator="lessThanOrEqual">
      <formula>0.97</formula>
    </cfRule>
  </conditionalFormatting>
  <conditionalFormatting sqref="BD10 BD11 BD12">
    <cfRule type="cellIs" dxfId="21" priority="1" operator="greaterThanOrEqual">
      <formula>1.03</formula>
    </cfRule>
    <cfRule type="cellIs" dxfId="20" priority="2" operator="lessThanOrEqual">
      <formula>0.97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outlinePr summaryBelow="0"/>
  </sheetPr>
  <dimension ref="A1:BU36"/>
  <sheetViews>
    <sheetView tabSelected="1" zoomScale="85" zoomScaleNormal="85" workbookViewId="0">
      <pane xSplit="2" topLeftCell="G1" activePane="topRight" state="frozen"/>
      <selection pane="topRight" activeCell="AN5" sqref="AN5:BC29"/>
    </sheetView>
  </sheetViews>
  <sheetFormatPr defaultRowHeight="15" outlineLevelRow="2" x14ac:dyDescent="0.25"/>
  <cols>
    <col min="2" max="2" width="24.7109375" customWidth="1"/>
    <col min="4" max="5" width="10.7109375" customWidth="1"/>
    <col min="8" max="8" width="1.7109375" customWidth="1"/>
    <col min="10" max="13" width="10.7109375" customWidth="1"/>
    <col min="14" max="14" width="24.7109375" hidden="1" customWidth="1"/>
    <col min="15" max="15" width="12.7109375" customWidth="1"/>
    <col min="16" max="16" width="10.7109375" customWidth="1"/>
    <col min="19" max="22" width="12.7109375" customWidth="1"/>
    <col min="23" max="27" width="11.7109375" customWidth="1"/>
    <col min="32" max="32" width="1.7109375" customWidth="1"/>
    <col min="34" max="37" width="10.7109375" customWidth="1"/>
    <col min="38" max="38" width="24.7109375" hidden="1" customWidth="1"/>
    <col min="39" max="39" width="12.7109375" customWidth="1"/>
    <col min="40" max="40" width="10.7109375" customWidth="1"/>
    <col min="43" max="46" width="12.7109375" customWidth="1"/>
    <col min="47" max="51" width="11.7109375" customWidth="1"/>
    <col min="56" max="56" width="1.7109375" customWidth="1"/>
    <col min="60" max="60" width="1.7109375" customWidth="1"/>
    <col min="63" max="65" width="11.7109375" customWidth="1"/>
    <col min="66" max="66" width="1.7109375" customWidth="1"/>
    <col min="69" max="71" width="11.7109375" customWidth="1"/>
    <col min="72" max="72" width="1.7109375" customWidth="1"/>
  </cols>
  <sheetData>
    <row r="1" spans="1:73" x14ac:dyDescent="0.25">
      <c r="A1" s="84" t="s">
        <v>526</v>
      </c>
      <c r="B1" s="84"/>
      <c r="C1" s="84"/>
      <c r="D1" s="84"/>
      <c r="E1" s="84"/>
      <c r="F1" s="84"/>
      <c r="G1" s="84"/>
      <c r="I1" s="80" t="str">
        <f>Summary!C1</f>
        <v>tested: rc0.6 (lossy occupancy map, CTC)</v>
      </c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  <c r="AD1" s="80"/>
      <c r="AE1" s="80"/>
      <c r="AG1" s="81" t="str">
        <f>Summary!C2</f>
        <v>tested-rc0.7 (texture padding - spp, CTC)</v>
      </c>
      <c r="AH1" s="81"/>
      <c r="AI1" s="81"/>
      <c r="AJ1" s="81"/>
      <c r="AK1" s="81"/>
      <c r="AL1" s="81"/>
      <c r="AM1" s="81"/>
      <c r="AN1" s="81"/>
      <c r="AO1" s="81"/>
      <c r="AP1" s="81"/>
      <c r="AQ1" s="81"/>
      <c r="AR1" s="81"/>
      <c r="AS1" s="81"/>
      <c r="AT1" s="81"/>
      <c r="AU1" s="81"/>
      <c r="AV1" s="81"/>
      <c r="AW1" s="81"/>
      <c r="AX1" s="81"/>
      <c r="AY1" s="81"/>
      <c r="AZ1" s="81"/>
      <c r="BA1" s="81"/>
      <c r="BB1" s="81"/>
      <c r="BC1" s="81"/>
    </row>
    <row r="2" spans="1:73" ht="30" customHeight="1" x14ac:dyDescent="0.25">
      <c r="A2" s="86" t="s">
        <v>91</v>
      </c>
      <c r="B2" s="85" t="s">
        <v>94</v>
      </c>
      <c r="C2" s="86" t="s">
        <v>97</v>
      </c>
      <c r="D2" s="85" t="s">
        <v>100</v>
      </c>
      <c r="E2" s="86" t="s">
        <v>103</v>
      </c>
      <c r="F2" s="85" t="s">
        <v>106</v>
      </c>
      <c r="G2" s="86" t="s">
        <v>109</v>
      </c>
      <c r="I2" s="85" t="s">
        <v>112</v>
      </c>
      <c r="J2" s="83" t="s">
        <v>115</v>
      </c>
      <c r="K2" s="83"/>
      <c r="L2" s="83"/>
      <c r="M2" s="83"/>
      <c r="N2" s="86" t="s">
        <v>128</v>
      </c>
      <c r="O2" s="85" t="s">
        <v>131</v>
      </c>
      <c r="P2" s="86" t="s">
        <v>22</v>
      </c>
      <c r="Q2" s="85" t="s">
        <v>24</v>
      </c>
      <c r="R2" s="86" t="s">
        <v>20</v>
      </c>
      <c r="S2" s="82" t="s">
        <v>140</v>
      </c>
      <c r="T2" s="82"/>
      <c r="U2" s="82"/>
      <c r="V2" s="82"/>
      <c r="W2" s="83" t="s">
        <v>151</v>
      </c>
      <c r="X2" s="83"/>
      <c r="Y2" s="82" t="s">
        <v>158</v>
      </c>
      <c r="Z2" s="82"/>
      <c r="AA2" s="82"/>
      <c r="AB2" s="83" t="s">
        <v>168</v>
      </c>
      <c r="AC2" s="83"/>
      <c r="AD2" s="82" t="s">
        <v>175</v>
      </c>
      <c r="AE2" s="82"/>
      <c r="AG2" s="86" t="s">
        <v>112</v>
      </c>
      <c r="AH2" s="82" t="s">
        <v>115</v>
      </c>
      <c r="AI2" s="82"/>
      <c r="AJ2" s="82"/>
      <c r="AK2" s="82"/>
      <c r="AL2" s="85" t="s">
        <v>190</v>
      </c>
      <c r="AM2" s="86" t="s">
        <v>131</v>
      </c>
      <c r="AN2" s="85" t="s">
        <v>22</v>
      </c>
      <c r="AO2" s="86" t="s">
        <v>24</v>
      </c>
      <c r="AP2" s="85" t="s">
        <v>20</v>
      </c>
      <c r="AQ2" s="83" t="s">
        <v>140</v>
      </c>
      <c r="AR2" s="83"/>
      <c r="AS2" s="83"/>
      <c r="AT2" s="83"/>
      <c r="AU2" s="82" t="s">
        <v>151</v>
      </c>
      <c r="AV2" s="82"/>
      <c r="AW2" s="83" t="s">
        <v>158</v>
      </c>
      <c r="AX2" s="83"/>
      <c r="AY2" s="83"/>
      <c r="AZ2" s="82" t="s">
        <v>168</v>
      </c>
      <c r="BA2" s="82"/>
      <c r="BB2" s="83" t="s">
        <v>175</v>
      </c>
      <c r="BC2" s="83"/>
      <c r="BE2" s="85" t="s">
        <v>227</v>
      </c>
      <c r="BF2" s="86" t="s">
        <v>230</v>
      </c>
      <c r="BG2" s="85" t="s">
        <v>230</v>
      </c>
      <c r="BI2" s="83" t="s">
        <v>235</v>
      </c>
      <c r="BJ2" s="83"/>
      <c r="BK2" s="82" t="s">
        <v>240</v>
      </c>
      <c r="BL2" s="82"/>
      <c r="BM2" s="82"/>
      <c r="BO2" s="83" t="s">
        <v>247</v>
      </c>
      <c r="BP2" s="83"/>
      <c r="BQ2" s="82" t="s">
        <v>252</v>
      </c>
      <c r="BR2" s="82"/>
      <c r="BS2" s="82"/>
      <c r="BU2" t="s">
        <v>547</v>
      </c>
    </row>
    <row r="3" spans="1:73" ht="15.75" thickBot="1" x14ac:dyDescent="0.3">
      <c r="A3" s="86"/>
      <c r="B3" s="85"/>
      <c r="C3" s="86"/>
      <c r="D3" s="85"/>
      <c r="E3" s="86"/>
      <c r="F3" s="85"/>
      <c r="G3" s="86"/>
      <c r="I3" s="85"/>
      <c r="J3" s="11" t="s">
        <v>116</v>
      </c>
      <c r="K3" s="11" t="s">
        <v>119</v>
      </c>
      <c r="L3" s="11" t="s">
        <v>122</v>
      </c>
      <c r="M3" s="11" t="s">
        <v>125</v>
      </c>
      <c r="N3" s="86"/>
      <c r="O3" s="85"/>
      <c r="P3" s="86"/>
      <c r="Q3" s="85"/>
      <c r="R3" s="86"/>
      <c r="S3" s="12" t="s">
        <v>116</v>
      </c>
      <c r="T3" s="12" t="s">
        <v>122</v>
      </c>
      <c r="U3" s="12" t="s">
        <v>145</v>
      </c>
      <c r="V3" s="12" t="s">
        <v>148</v>
      </c>
      <c r="W3" s="11" t="s">
        <v>152</v>
      </c>
      <c r="X3" s="11" t="s">
        <v>155</v>
      </c>
      <c r="Y3" s="12" t="s">
        <v>159</v>
      </c>
      <c r="Z3" s="12" t="s">
        <v>162</v>
      </c>
      <c r="AA3" s="12" t="s">
        <v>165</v>
      </c>
      <c r="AB3" s="11" t="s">
        <v>169</v>
      </c>
      <c r="AC3" s="11" t="s">
        <v>172</v>
      </c>
      <c r="AD3" s="12" t="s">
        <v>169</v>
      </c>
      <c r="AE3" s="12" t="s">
        <v>172</v>
      </c>
      <c r="AG3" s="86"/>
      <c r="AH3" s="12" t="s">
        <v>116</v>
      </c>
      <c r="AI3" s="12" t="s">
        <v>119</v>
      </c>
      <c r="AJ3" s="12" t="s">
        <v>122</v>
      </c>
      <c r="AK3" s="12" t="s">
        <v>125</v>
      </c>
      <c r="AL3" s="85"/>
      <c r="AM3" s="86"/>
      <c r="AN3" s="85"/>
      <c r="AO3" s="86"/>
      <c r="AP3" s="85"/>
      <c r="AQ3" s="11" t="s">
        <v>116</v>
      </c>
      <c r="AR3" s="11" t="s">
        <v>122</v>
      </c>
      <c r="AS3" s="11" t="s">
        <v>145</v>
      </c>
      <c r="AT3" s="11" t="s">
        <v>148</v>
      </c>
      <c r="AU3" s="12" t="s">
        <v>152</v>
      </c>
      <c r="AV3" s="12" t="s">
        <v>155</v>
      </c>
      <c r="AW3" s="11" t="s">
        <v>159</v>
      </c>
      <c r="AX3" s="11" t="s">
        <v>162</v>
      </c>
      <c r="AY3" s="11" t="s">
        <v>165</v>
      </c>
      <c r="AZ3" s="12" t="s">
        <v>169</v>
      </c>
      <c r="BA3" s="12" t="s">
        <v>172</v>
      </c>
      <c r="BB3" s="11" t="s">
        <v>169</v>
      </c>
      <c r="BC3" s="11" t="s">
        <v>172</v>
      </c>
      <c r="BE3" s="85"/>
      <c r="BF3" s="86"/>
      <c r="BG3" s="85"/>
      <c r="BI3" s="11" t="s">
        <v>152</v>
      </c>
      <c r="BJ3" s="11" t="s">
        <v>155</v>
      </c>
      <c r="BK3" s="12" t="s">
        <v>159</v>
      </c>
      <c r="BL3" s="12" t="s">
        <v>162</v>
      </c>
      <c r="BM3" s="12" t="s">
        <v>165</v>
      </c>
      <c r="BO3" s="11" t="s">
        <v>152</v>
      </c>
      <c r="BP3" s="11" t="s">
        <v>155</v>
      </c>
      <c r="BQ3" s="12" t="s">
        <v>159</v>
      </c>
      <c r="BR3" s="12" t="s">
        <v>162</v>
      </c>
      <c r="BS3" s="12" t="s">
        <v>165</v>
      </c>
    </row>
    <row r="4" spans="1:73" ht="121.5" hidden="1" x14ac:dyDescent="0.25">
      <c r="A4" s="13" t="s">
        <v>92</v>
      </c>
      <c r="B4" s="14" t="s">
        <v>95</v>
      </c>
      <c r="C4" s="13" t="s">
        <v>98</v>
      </c>
      <c r="D4" s="14" t="s">
        <v>101</v>
      </c>
      <c r="E4" s="13" t="s">
        <v>104</v>
      </c>
      <c r="F4" s="14" t="s">
        <v>107</v>
      </c>
      <c r="G4" s="13" t="s">
        <v>110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3" t="s">
        <v>129</v>
      </c>
      <c r="O4" s="14" t="s">
        <v>132</v>
      </c>
      <c r="P4" s="13" t="s">
        <v>134</v>
      </c>
      <c r="Q4" s="14" t="s">
        <v>136</v>
      </c>
      <c r="R4" s="13" t="s">
        <v>138</v>
      </c>
      <c r="S4" s="14" t="s">
        <v>141</v>
      </c>
      <c r="T4" s="14" t="s">
        <v>143</v>
      </c>
      <c r="U4" s="14" t="s">
        <v>146</v>
      </c>
      <c r="V4" s="14" t="s">
        <v>149</v>
      </c>
      <c r="W4" s="13" t="s">
        <v>153</v>
      </c>
      <c r="X4" s="13" t="s">
        <v>156</v>
      </c>
      <c r="Y4" s="14" t="s">
        <v>160</v>
      </c>
      <c r="Z4" s="14" t="s">
        <v>163</v>
      </c>
      <c r="AA4" s="14" t="s">
        <v>166</v>
      </c>
      <c r="AB4" s="13" t="s">
        <v>170</v>
      </c>
      <c r="AC4" s="13" t="s">
        <v>173</v>
      </c>
      <c r="AD4" s="14" t="s">
        <v>176</v>
      </c>
      <c r="AE4" s="14" t="s">
        <v>178</v>
      </c>
      <c r="AG4" s="13" t="s">
        <v>180</v>
      </c>
      <c r="AH4" s="14" t="s">
        <v>182</v>
      </c>
      <c r="AI4" s="14" t="s">
        <v>184</v>
      </c>
      <c r="AJ4" s="14" t="s">
        <v>186</v>
      </c>
      <c r="AK4" s="14" t="s">
        <v>188</v>
      </c>
      <c r="AL4" s="14" t="s">
        <v>191</v>
      </c>
      <c r="AM4" s="13" t="s">
        <v>193</v>
      </c>
      <c r="AN4" s="14" t="s">
        <v>195</v>
      </c>
      <c r="AO4" s="13" t="s">
        <v>197</v>
      </c>
      <c r="AP4" s="14" t="s">
        <v>199</v>
      </c>
      <c r="AQ4" s="13" t="s">
        <v>201</v>
      </c>
      <c r="AR4" s="13" t="s">
        <v>203</v>
      </c>
      <c r="AS4" s="13" t="s">
        <v>205</v>
      </c>
      <c r="AT4" s="13" t="s">
        <v>207</v>
      </c>
      <c r="AU4" s="14" t="s">
        <v>209</v>
      </c>
      <c r="AV4" s="14" t="s">
        <v>211</v>
      </c>
      <c r="AW4" s="13" t="s">
        <v>213</v>
      </c>
      <c r="AX4" s="13" t="s">
        <v>215</v>
      </c>
      <c r="AY4" s="13" t="s">
        <v>217</v>
      </c>
      <c r="AZ4" s="14" t="s">
        <v>219</v>
      </c>
      <c r="BA4" s="14" t="s">
        <v>221</v>
      </c>
      <c r="BB4" s="13" t="s">
        <v>223</v>
      </c>
      <c r="BC4" s="13" t="s">
        <v>225</v>
      </c>
      <c r="BE4" s="14" t="s">
        <v>228</v>
      </c>
      <c r="BF4" s="13" t="s">
        <v>231</v>
      </c>
      <c r="BG4" s="14" t="s">
        <v>233</v>
      </c>
      <c r="BI4" s="13" t="s">
        <v>236</v>
      </c>
      <c r="BJ4" s="13" t="s">
        <v>238</v>
      </c>
      <c r="BK4" s="14" t="s">
        <v>241</v>
      </c>
      <c r="BL4" s="14" t="s">
        <v>243</v>
      </c>
      <c r="BM4" s="14" t="s">
        <v>245</v>
      </c>
      <c r="BO4" s="13" t="s">
        <v>248</v>
      </c>
      <c r="BP4" s="13" t="s">
        <v>250</v>
      </c>
      <c r="BQ4" s="14" t="s">
        <v>253</v>
      </c>
      <c r="BR4" s="14" t="s">
        <v>255</v>
      </c>
      <c r="BS4" s="14" t="s">
        <v>257</v>
      </c>
    </row>
    <row r="5" spans="1:73" x14ac:dyDescent="0.25">
      <c r="A5" s="15" t="s">
        <v>265</v>
      </c>
      <c r="B5" s="15" t="s">
        <v>264</v>
      </c>
      <c r="C5" s="16" t="s">
        <v>266</v>
      </c>
      <c r="D5" s="15">
        <v>24964341</v>
      </c>
      <c r="E5" s="16">
        <v>10</v>
      </c>
      <c r="F5" s="16">
        <v>32</v>
      </c>
      <c r="G5" s="16">
        <v>30</v>
      </c>
      <c r="I5" s="17">
        <f t="shared" ref="I5:I29" si="0">IF(OR(ISBLANK(S5),ISBLANK(G5)),"·",S5*G5/F5/1000000)</f>
        <v>1.2086699999999999</v>
      </c>
      <c r="J5" s="18">
        <f t="shared" ref="J5:J29" si="1">IF(ISBLANK(S5),"·",S5/D5)</f>
        <v>5.1643582340106638E-2</v>
      </c>
      <c r="K5" s="18">
        <f t="shared" ref="K5:K29" si="2">IF(N5="","·",N5/D5)</f>
        <v>4.3433258128731174E-2</v>
      </c>
      <c r="L5" s="18">
        <f t="shared" ref="L5:L29" si="3">IF(T5="","·",T5/D5)</f>
        <v>2.6001033500810896E-2</v>
      </c>
      <c r="M5" s="18">
        <f t="shared" ref="M5:M29" si="4">IF(ISBLANK(V5),"·",V5/D5)</f>
        <v>8.2060514502132059E-3</v>
      </c>
      <c r="N5" s="15">
        <f t="shared" ref="N5:N29" si="5">IF(OR(ISBLANK(T5),ISBLANK(U5)),"",T5+U5)</f>
        <v>1084282.666666667</v>
      </c>
      <c r="O5" s="18">
        <f t="shared" ref="O5:O29" si="6">IF(ISBLANK(S5),"·",S5/P5)</f>
        <v>5.5326823790369441E-2</v>
      </c>
      <c r="P5" s="58">
        <v>23302404</v>
      </c>
      <c r="Q5" s="58">
        <v>728200.125</v>
      </c>
      <c r="R5" s="58">
        <v>16212.03125</v>
      </c>
      <c r="S5" s="59">
        <v>1289248</v>
      </c>
      <c r="T5" s="59">
        <v>649098.66666666698</v>
      </c>
      <c r="U5" s="59">
        <v>435184</v>
      </c>
      <c r="V5" s="59">
        <v>204858.66666666701</v>
      </c>
      <c r="W5" s="60">
        <v>66.750615624999995</v>
      </c>
      <c r="X5" s="60">
        <v>68.466490625000006</v>
      </c>
      <c r="Y5" s="60">
        <v>31.668503125000001</v>
      </c>
      <c r="Z5" s="60">
        <v>44.340690625000001</v>
      </c>
      <c r="AA5" s="60">
        <v>43.451671875000002</v>
      </c>
      <c r="AB5" s="22"/>
      <c r="AC5" s="22"/>
      <c r="AD5" s="22"/>
      <c r="AE5" s="22"/>
      <c r="AG5" s="17">
        <f t="shared" ref="AG5:AG29" si="7">IF(OR(ISBLANK(AQ5),ISBLANK(G5)),"·",AQ5*G5/F5/1000000)</f>
        <v>1.2086699999999999</v>
      </c>
      <c r="AH5" s="18">
        <f t="shared" ref="AH5:AH29" si="8">IF(ISBLANK(AQ5),"·",AQ5/D5)</f>
        <v>5.1643582340106638E-2</v>
      </c>
      <c r="AI5" s="18">
        <f t="shared" ref="AI5:AI29" si="9">IF(AL5="","·",AL5/D5)</f>
        <v>4.3440842279794209E-2</v>
      </c>
      <c r="AJ5" s="18">
        <f t="shared" ref="AJ5:AJ29" si="10">IF(AR5="","·",AR5/D5)</f>
        <v>2.6003490338479193E-2</v>
      </c>
      <c r="AK5" s="18">
        <f t="shared" ref="AK5:AK29" si="11">IF(ISBLANK(AT5),"·",AT5/D5)</f>
        <v>8.2085082878815031E-3</v>
      </c>
      <c r="AL5" s="15">
        <f t="shared" ref="AL5:AL29" si="12">IF(OR(ISBLANK(AR5),ISBLANK(AS5)),"",AR5+AS5)</f>
        <v>1084472</v>
      </c>
      <c r="AM5" s="18">
        <f t="shared" ref="AM5:AM29" si="13">IF(ISBLANK(AQ5),"·",AQ5/AN5)</f>
        <v>5.5326823790369441E-2</v>
      </c>
      <c r="AN5" s="58">
        <v>23302404</v>
      </c>
      <c r="AO5" s="58">
        <v>728200.125</v>
      </c>
      <c r="AP5" s="58">
        <v>16212.03125</v>
      </c>
      <c r="AQ5" s="59">
        <v>1289248</v>
      </c>
      <c r="AR5" s="59">
        <v>649160</v>
      </c>
      <c r="AS5" s="59">
        <v>435312</v>
      </c>
      <c r="AT5" s="59">
        <v>204920</v>
      </c>
      <c r="AU5" s="60">
        <v>66.750615624999995</v>
      </c>
      <c r="AV5" s="60">
        <v>68.466490625000006</v>
      </c>
      <c r="AW5" s="60">
        <v>31.668503124999901</v>
      </c>
      <c r="AX5" s="60">
        <v>44.340690625000001</v>
      </c>
      <c r="AY5" s="60">
        <v>43.451671874999903</v>
      </c>
      <c r="AZ5" s="61">
        <v>5770.83</v>
      </c>
      <c r="BA5" s="61">
        <v>3899.42</v>
      </c>
      <c r="BB5" s="61">
        <v>6.6920000000000002</v>
      </c>
      <c r="BC5" s="61">
        <v>19.872</v>
      </c>
      <c r="BE5" s="23">
        <f t="shared" ref="BE5:BE29" si="14">(AP5/AO5) - (R5/Q5)</f>
        <v>0</v>
      </c>
      <c r="BF5" s="23">
        <f t="shared" ref="BF5:BF29" si="15">(AL5/AQ5) - (N5/S5)</f>
        <v>1.4685563470562268E-4</v>
      </c>
      <c r="BG5" s="23">
        <f t="array" ref="BG5">AVERAGE(AL5:AL9/AQ5:AQ9) - AVERAGE(N5:N9/S5:S9)</f>
        <v>8.3727840289204991E-5</v>
      </c>
      <c r="BI5" s="24">
        <f>IF( OR(ISBLANK(N5:N9),ISBLANK(AL5:AL9), ISBLANK(W5:W9),ISBLANK(AU5:AU9)), "·", bdRateExtend( N5:N9,W5:W9, AL5:AL9,AU5:AU9))</f>
        <v>1.2107319289911267E-4</v>
      </c>
      <c r="BJ5" s="24">
        <f>IF( OR(ISBLANK(N5:N9),ISBLANK(AL5:AL9), ISBLANK(X5:X9),ISBLANK(AV5:AV9)), "·", bdRateExtend( N5:N9,X5:X9, AL5:AL9,AV5:AV9))</f>
        <v>1.1731677957649289E-4</v>
      </c>
      <c r="BK5" s="24">
        <f>IF( OR(ISBLANK(V5:V9),ISBLANK(AT5:AT9), ISBLANK(Y5:Y9),ISBLANK(AW5:AW9)), "·", bdRateExtend( V5:V9,Y5:Y9, AT5:AT9,AW5:AW9))</f>
        <v>1.0721561920745692E-4</v>
      </c>
      <c r="BL5" s="24">
        <f>IF( OR(ISBLANK(V5:V9),ISBLANK(AT5:AT9), ISBLANK(Z5:Z9),ISBLANK(AX5:AX9)), "·", bdRateExtend( V5:V9,Z5:Z9, AT5:AT9,AX5:AX9))</f>
        <v>1.0220011010031449E-4</v>
      </c>
      <c r="BM5" s="24">
        <f>IF( OR(ISBLANK(V5:V9),ISBLANK(AT5:AT9), ISBLANK(AA5:AA9),ISBLANK(AY5:AY9)), "·", bdRateExtend( V5:V9,AA5:AA9, AT5:AT9,AY5:AY9))</f>
        <v>1.0865818491034851E-4</v>
      </c>
      <c r="BO5" s="24">
        <f>IF( OR(ISBLANK(S5:S9),ISBLANK(AQ5:AQ9), ISBLANK(W5:W9),ISBLANK(AU5:AU9)), "·", bdRateExtend( S5:S9,W5:W9, AQ5:AQ9,AU5:AU9))</f>
        <v>1.5543122344752192E-14</v>
      </c>
      <c r="BP5" s="24">
        <f>IF( OR(ISBLANK(S5:S9),ISBLANK(AQ5:AQ9), ISBLANK(X5:X9),ISBLANK(AV5:AV9)), "·", bdRateExtend( S5:S9,X5:X9, AQ5:AQ9,AV5:AV9))</f>
        <v>1.9317880628477724E-14</v>
      </c>
      <c r="BQ5" s="24">
        <f>IF( OR(ISBLANK(S5:S9),ISBLANK(AQ5:AQ9), ISBLANK(Y5:Y9),ISBLANK(AW5:AW9)), "·", bdRateExtend( S5:S9,Y5:Y9, AQ5:AQ9,AW5:AW9))</f>
        <v>5.1070259132757201E-15</v>
      </c>
      <c r="BR5" s="24">
        <f>IF( OR(ISBLANK(S5:S9),ISBLANK(AQ5:AQ9), ISBLANK(Z5:Z9),ISBLANK(AX5:AX9)), "·", bdRateExtend( S5:S9,Z5:Z9, AQ5:AQ9,AX5:AX9))</f>
        <v>6.2172489379008766E-15</v>
      </c>
      <c r="BS5" s="24">
        <f>IF( OR(ISBLANK(S5:S9),ISBLANK(AQ5:AQ9), ISBLANK(AA5:AA9),ISBLANK(AY5:AY9)), "·", bdRateExtend( S5:S9,AA5:AA9, AQ5:AQ9,AY5:AY9))</f>
        <v>0</v>
      </c>
      <c r="BU5">
        <f>AQ5-S5</f>
        <v>0</v>
      </c>
    </row>
    <row r="6" spans="1:73" outlineLevel="1" x14ac:dyDescent="0.25">
      <c r="A6" s="25"/>
      <c r="B6" s="25" t="s">
        <v>264</v>
      </c>
      <c r="C6" s="26" t="s">
        <v>267</v>
      </c>
      <c r="D6" s="25">
        <v>24964341</v>
      </c>
      <c r="E6" s="26">
        <v>10</v>
      </c>
      <c r="F6" s="26">
        <v>32</v>
      </c>
      <c r="G6" s="26">
        <v>30</v>
      </c>
      <c r="I6" s="27">
        <f t="shared" si="0"/>
        <v>1.552155</v>
      </c>
      <c r="J6" s="28">
        <f t="shared" si="1"/>
        <v>6.6319876018357538E-2</v>
      </c>
      <c r="K6" s="28">
        <f t="shared" si="2"/>
        <v>5.1896850258000678E-2</v>
      </c>
      <c r="L6" s="28">
        <f t="shared" si="3"/>
        <v>3.4464625630080403E-2</v>
      </c>
      <c r="M6" s="28">
        <f t="shared" si="4"/>
        <v>1.4418752999194611E-2</v>
      </c>
      <c r="N6" s="25">
        <f t="shared" si="5"/>
        <v>1295570.666666667</v>
      </c>
      <c r="O6" s="28">
        <f t="shared" si="6"/>
        <v>6.7219941541380793E-2</v>
      </c>
      <c r="P6" s="62">
        <v>24630072</v>
      </c>
      <c r="Q6" s="62">
        <v>769689.75</v>
      </c>
      <c r="R6" s="62">
        <v>19807.3125</v>
      </c>
      <c r="S6" s="63">
        <v>1655632</v>
      </c>
      <c r="T6" s="63">
        <v>860386.66666666698</v>
      </c>
      <c r="U6" s="63">
        <v>435184</v>
      </c>
      <c r="V6" s="63">
        <v>359954.66666666698</v>
      </c>
      <c r="W6" s="64">
        <v>68.474656249999995</v>
      </c>
      <c r="X6" s="64">
        <v>70.500003125000006</v>
      </c>
      <c r="Y6" s="64">
        <v>33.831906250000003</v>
      </c>
      <c r="Z6" s="64">
        <v>45.376818749999998</v>
      </c>
      <c r="AA6" s="64">
        <v>44.926993750000001</v>
      </c>
      <c r="AB6" s="32"/>
      <c r="AC6" s="32"/>
      <c r="AD6" s="32"/>
      <c r="AE6" s="32"/>
      <c r="AG6" s="27">
        <f t="shared" si="7"/>
        <v>1.552155</v>
      </c>
      <c r="AH6" s="28">
        <f t="shared" si="8"/>
        <v>6.6319876018357538E-2</v>
      </c>
      <c r="AI6" s="28">
        <f t="shared" si="9"/>
        <v>5.1904434409063713E-2</v>
      </c>
      <c r="AJ6" s="28">
        <f t="shared" si="10"/>
        <v>3.4467082467748697E-2</v>
      </c>
      <c r="AK6" s="28">
        <f t="shared" si="11"/>
        <v>1.4421209836862908E-2</v>
      </c>
      <c r="AL6" s="25">
        <f t="shared" si="12"/>
        <v>1295760</v>
      </c>
      <c r="AM6" s="28">
        <f t="shared" si="13"/>
        <v>6.7219941541380793E-2</v>
      </c>
      <c r="AN6" s="62">
        <v>24630072</v>
      </c>
      <c r="AO6" s="62">
        <v>769689.75</v>
      </c>
      <c r="AP6" s="62">
        <v>19807.3125</v>
      </c>
      <c r="AQ6" s="63">
        <v>1655632</v>
      </c>
      <c r="AR6" s="63">
        <v>860448</v>
      </c>
      <c r="AS6" s="63">
        <v>435312</v>
      </c>
      <c r="AT6" s="63">
        <v>360016</v>
      </c>
      <c r="AU6" s="64">
        <v>68.474656249999995</v>
      </c>
      <c r="AV6" s="64">
        <v>70.500003125000006</v>
      </c>
      <c r="AW6" s="64">
        <v>33.831906250000003</v>
      </c>
      <c r="AX6" s="64">
        <v>45.376818749999899</v>
      </c>
      <c r="AY6" s="64">
        <v>44.926993750000001</v>
      </c>
      <c r="AZ6" s="65">
        <v>5573.6</v>
      </c>
      <c r="BA6" s="65">
        <v>4053.97</v>
      </c>
      <c r="BB6" s="65">
        <v>6.9119999999999999</v>
      </c>
      <c r="BC6" s="65">
        <v>19.923999999999999</v>
      </c>
      <c r="BE6" s="33">
        <f t="shared" si="14"/>
        <v>0</v>
      </c>
      <c r="BF6" s="33">
        <f t="shared" si="15"/>
        <v>1.1435713572405248E-4</v>
      </c>
      <c r="BG6" s="33"/>
      <c r="BI6" s="34"/>
      <c r="BJ6" s="34"/>
      <c r="BK6" s="34"/>
      <c r="BL6" s="34"/>
      <c r="BM6" s="34"/>
      <c r="BO6" s="34"/>
      <c r="BP6" s="34"/>
      <c r="BQ6" s="34"/>
      <c r="BR6" s="34"/>
      <c r="BS6" s="34"/>
      <c r="BU6" s="4">
        <f t="shared" ref="BU6:BU29" si="16">AQ6-S6</f>
        <v>0</v>
      </c>
    </row>
    <row r="7" spans="1:73" outlineLevel="1" x14ac:dyDescent="0.25">
      <c r="A7" s="15"/>
      <c r="B7" s="15" t="s">
        <v>264</v>
      </c>
      <c r="C7" s="16" t="s">
        <v>268</v>
      </c>
      <c r="D7" s="15">
        <v>24964341</v>
      </c>
      <c r="E7" s="16">
        <v>10</v>
      </c>
      <c r="F7" s="16">
        <v>32</v>
      </c>
      <c r="G7" s="16">
        <v>30</v>
      </c>
      <c r="I7" s="17">
        <f t="shared" si="0"/>
        <v>2.1322800000000002</v>
      </c>
      <c r="J7" s="18">
        <f t="shared" si="1"/>
        <v>9.1107231711023334E-2</v>
      </c>
      <c r="K7" s="18">
        <f t="shared" si="2"/>
        <v>6.3400939230347397E-2</v>
      </c>
      <c r="L7" s="18">
        <f t="shared" si="3"/>
        <v>4.5968714602427116E-2</v>
      </c>
      <c r="M7" s="18">
        <f t="shared" si="4"/>
        <v>2.7702019719513804E-2</v>
      </c>
      <c r="N7" s="15">
        <f t="shared" si="5"/>
        <v>1582762.66666667</v>
      </c>
      <c r="O7" s="18">
        <f t="shared" si="6"/>
        <v>9.1272740814746234E-2</v>
      </c>
      <c r="P7" s="58">
        <v>24919072</v>
      </c>
      <c r="Q7" s="58">
        <v>778721</v>
      </c>
      <c r="R7" s="58">
        <v>21072.28125</v>
      </c>
      <c r="S7" s="59">
        <v>2274432</v>
      </c>
      <c r="T7" s="59">
        <v>1147578.66666667</v>
      </c>
      <c r="U7" s="59">
        <v>435184</v>
      </c>
      <c r="V7" s="59">
        <v>691562.66666666698</v>
      </c>
      <c r="W7" s="60">
        <v>69.796599999999998</v>
      </c>
      <c r="X7" s="60">
        <v>72.151678125000004</v>
      </c>
      <c r="Y7" s="60">
        <v>36.257321875000002</v>
      </c>
      <c r="Z7" s="60">
        <v>46.796909374999998</v>
      </c>
      <c r="AA7" s="60">
        <v>46.487650000000002</v>
      </c>
      <c r="AB7" s="22"/>
      <c r="AC7" s="22"/>
      <c r="AD7" s="22"/>
      <c r="AE7" s="22"/>
      <c r="AG7" s="17">
        <f t="shared" si="7"/>
        <v>2.1322800000000002</v>
      </c>
      <c r="AH7" s="18">
        <f t="shared" si="8"/>
        <v>9.1107231711023334E-2</v>
      </c>
      <c r="AI7" s="18">
        <f t="shared" si="9"/>
        <v>6.3408523381410314E-2</v>
      </c>
      <c r="AJ7" s="18">
        <f t="shared" si="10"/>
        <v>4.5971171440095292E-2</v>
      </c>
      <c r="AK7" s="18">
        <f t="shared" si="11"/>
        <v>2.7704476557182101E-2</v>
      </c>
      <c r="AL7" s="15">
        <f t="shared" si="12"/>
        <v>1582952</v>
      </c>
      <c r="AM7" s="18">
        <f t="shared" si="13"/>
        <v>9.1272740814746234E-2</v>
      </c>
      <c r="AN7" s="58">
        <v>24919072</v>
      </c>
      <c r="AO7" s="58">
        <v>778721</v>
      </c>
      <c r="AP7" s="58">
        <v>21072.28125</v>
      </c>
      <c r="AQ7" s="59">
        <v>2274432</v>
      </c>
      <c r="AR7" s="59">
        <v>1147640</v>
      </c>
      <c r="AS7" s="59">
        <v>435312</v>
      </c>
      <c r="AT7" s="59">
        <v>691624</v>
      </c>
      <c r="AU7" s="60">
        <v>69.796599999999998</v>
      </c>
      <c r="AV7" s="60">
        <v>72.151678125000004</v>
      </c>
      <c r="AW7" s="60">
        <v>36.257321875000002</v>
      </c>
      <c r="AX7" s="60">
        <v>46.796909374999998</v>
      </c>
      <c r="AY7" s="60">
        <v>46.487650000000002</v>
      </c>
      <c r="AZ7" s="61">
        <v>6003.79</v>
      </c>
      <c r="BA7" s="61">
        <v>4343.91</v>
      </c>
      <c r="BB7" s="61">
        <v>6.7320000000000002</v>
      </c>
      <c r="BC7" s="61">
        <v>20.143999999999998</v>
      </c>
      <c r="BE7" s="23">
        <f t="shared" si="14"/>
        <v>0</v>
      </c>
      <c r="BF7" s="23">
        <f t="shared" si="15"/>
        <v>8.3244226835477164E-5</v>
      </c>
      <c r="BG7" s="23"/>
      <c r="BI7" s="24"/>
      <c r="BJ7" s="24"/>
      <c r="BK7" s="24"/>
      <c r="BL7" s="24"/>
      <c r="BM7" s="24"/>
      <c r="BO7" s="24"/>
      <c r="BP7" s="24"/>
      <c r="BQ7" s="24"/>
      <c r="BR7" s="24"/>
      <c r="BS7" s="24"/>
      <c r="BU7" s="4">
        <f t="shared" si="16"/>
        <v>0</v>
      </c>
    </row>
    <row r="8" spans="1:73" outlineLevel="1" x14ac:dyDescent="0.25">
      <c r="A8" s="25"/>
      <c r="B8" s="25" t="s">
        <v>264</v>
      </c>
      <c r="C8" s="26" t="s">
        <v>269</v>
      </c>
      <c r="D8" s="25">
        <v>24964341</v>
      </c>
      <c r="E8" s="26">
        <v>10</v>
      </c>
      <c r="F8" s="26">
        <v>32</v>
      </c>
      <c r="G8" s="26">
        <v>30</v>
      </c>
      <c r="I8" s="27">
        <f t="shared" si="0"/>
        <v>3.5141475</v>
      </c>
      <c r="J8" s="28">
        <f t="shared" si="1"/>
        <v>0.15015112956516657</v>
      </c>
      <c r="K8" s="28">
        <f t="shared" si="2"/>
        <v>8.852541577871692E-2</v>
      </c>
      <c r="L8" s="28">
        <f t="shared" si="3"/>
        <v>7.1093191150796653E-2</v>
      </c>
      <c r="M8" s="28">
        <f t="shared" si="4"/>
        <v>6.1621441025287632E-2</v>
      </c>
      <c r="N8" s="25">
        <f t="shared" si="5"/>
        <v>2209978.6666666698</v>
      </c>
      <c r="O8" s="28">
        <f t="shared" si="6"/>
        <v>0.14414740073336116</v>
      </c>
      <c r="P8" s="62">
        <v>26004104</v>
      </c>
      <c r="Q8" s="62">
        <v>812628.25</v>
      </c>
      <c r="R8" s="62">
        <v>24474.75</v>
      </c>
      <c r="S8" s="63">
        <v>3748424</v>
      </c>
      <c r="T8" s="63">
        <v>1774794.66666667</v>
      </c>
      <c r="U8" s="63">
        <v>435184</v>
      </c>
      <c r="V8" s="63">
        <v>1538338.66666667</v>
      </c>
      <c r="W8" s="64">
        <v>70.793118750000005</v>
      </c>
      <c r="X8" s="64">
        <v>73.333334375000007</v>
      </c>
      <c r="Y8" s="64">
        <v>38.702150000000003</v>
      </c>
      <c r="Z8" s="64">
        <v>48.108049999999999</v>
      </c>
      <c r="AA8" s="64">
        <v>47.962968750000002</v>
      </c>
      <c r="AB8" s="32"/>
      <c r="AC8" s="32"/>
      <c r="AD8" s="32"/>
      <c r="AE8" s="32"/>
      <c r="AG8" s="27">
        <f t="shared" si="7"/>
        <v>3.5141475</v>
      </c>
      <c r="AH8" s="28">
        <f t="shared" si="8"/>
        <v>0.15015112956516657</v>
      </c>
      <c r="AI8" s="28">
        <f t="shared" si="9"/>
        <v>8.8532999929779838E-2</v>
      </c>
      <c r="AJ8" s="28">
        <f t="shared" si="10"/>
        <v>7.1095647988464822E-2</v>
      </c>
      <c r="AK8" s="28">
        <f t="shared" si="11"/>
        <v>6.1623897862955808E-2</v>
      </c>
      <c r="AL8" s="25">
        <f t="shared" si="12"/>
        <v>2210168</v>
      </c>
      <c r="AM8" s="28">
        <f t="shared" si="13"/>
        <v>0.14414740073336116</v>
      </c>
      <c r="AN8" s="62">
        <v>26004104</v>
      </c>
      <c r="AO8" s="62">
        <v>812628.25</v>
      </c>
      <c r="AP8" s="62">
        <v>24474.75</v>
      </c>
      <c r="AQ8" s="63">
        <v>3748424</v>
      </c>
      <c r="AR8" s="63">
        <v>1774856</v>
      </c>
      <c r="AS8" s="63">
        <v>435312</v>
      </c>
      <c r="AT8" s="63">
        <v>1538400</v>
      </c>
      <c r="AU8" s="64">
        <v>70.793118749999906</v>
      </c>
      <c r="AV8" s="64">
        <v>73.333334374999893</v>
      </c>
      <c r="AW8" s="64">
        <v>38.702150000000003</v>
      </c>
      <c r="AX8" s="64">
        <v>48.108049999999999</v>
      </c>
      <c r="AY8" s="64">
        <v>47.962968750000002</v>
      </c>
      <c r="AZ8" s="65">
        <v>6001.65</v>
      </c>
      <c r="BA8" s="65">
        <v>4778.6899999999996</v>
      </c>
      <c r="BB8" s="65">
        <v>6.7880000000000003</v>
      </c>
      <c r="BC8" s="65">
        <v>20.707999999999998</v>
      </c>
      <c r="BE8" s="33">
        <f t="shared" si="14"/>
        <v>0</v>
      </c>
      <c r="BF8" s="33">
        <f t="shared" si="15"/>
        <v>5.0510116606505839E-5</v>
      </c>
      <c r="BG8" s="33"/>
      <c r="BI8" s="34"/>
      <c r="BJ8" s="34"/>
      <c r="BK8" s="34"/>
      <c r="BL8" s="34"/>
      <c r="BM8" s="34"/>
      <c r="BO8" s="34"/>
      <c r="BP8" s="34"/>
      <c r="BQ8" s="34"/>
      <c r="BR8" s="34"/>
      <c r="BS8" s="34"/>
      <c r="BU8" s="4">
        <f t="shared" si="16"/>
        <v>0</v>
      </c>
    </row>
    <row r="9" spans="1:73" ht="15.75" outlineLevel="1" thickBot="1" x14ac:dyDescent="0.3">
      <c r="A9" s="15"/>
      <c r="B9" s="35" t="s">
        <v>264</v>
      </c>
      <c r="C9" s="36" t="s">
        <v>270</v>
      </c>
      <c r="D9" s="35">
        <v>24964341</v>
      </c>
      <c r="E9" s="36">
        <v>10</v>
      </c>
      <c r="F9" s="36">
        <v>32</v>
      </c>
      <c r="G9" s="36">
        <v>30</v>
      </c>
      <c r="I9" s="37">
        <f t="shared" si="0"/>
        <v>7.4982825000000002</v>
      </c>
      <c r="J9" s="38">
        <f t="shared" si="1"/>
        <v>0.32038370249789488</v>
      </c>
      <c r="K9" s="38">
        <f t="shared" si="2"/>
        <v>0.1507325455403237</v>
      </c>
      <c r="L9" s="38">
        <f t="shared" si="3"/>
        <v>0.11441418247998895</v>
      </c>
      <c r="M9" s="38">
        <f t="shared" si="4"/>
        <v>0.16964688419640919</v>
      </c>
      <c r="N9" s="35">
        <f t="shared" si="5"/>
        <v>3762938.6666666698</v>
      </c>
      <c r="O9" s="38">
        <f t="shared" si="6"/>
        <v>0.3195975983931747</v>
      </c>
      <c r="P9" s="66">
        <v>25025745</v>
      </c>
      <c r="Q9" s="66">
        <v>782054.53125</v>
      </c>
      <c r="R9" s="66">
        <v>10275.84375</v>
      </c>
      <c r="S9" s="67">
        <v>7998168</v>
      </c>
      <c r="T9" s="67">
        <v>2856274.6666666698</v>
      </c>
      <c r="U9" s="67">
        <v>906664</v>
      </c>
      <c r="V9" s="67">
        <v>4235122.6666666698</v>
      </c>
      <c r="W9" s="68">
        <v>72.048096874999999</v>
      </c>
      <c r="X9" s="68">
        <v>75.254450000000006</v>
      </c>
      <c r="Y9" s="68">
        <v>41.140931250000001</v>
      </c>
      <c r="Z9" s="68">
        <v>49.543940624999998</v>
      </c>
      <c r="AA9" s="68">
        <v>49.608296875000001</v>
      </c>
      <c r="AB9" s="42"/>
      <c r="AC9" s="42"/>
      <c r="AD9" s="42"/>
      <c r="AE9" s="42"/>
      <c r="AG9" s="37">
        <f t="shared" si="7"/>
        <v>7.4982825000000002</v>
      </c>
      <c r="AH9" s="38">
        <f t="shared" si="8"/>
        <v>0.32038370249789488</v>
      </c>
      <c r="AI9" s="38">
        <f t="shared" si="9"/>
        <v>0.15074012969138662</v>
      </c>
      <c r="AJ9" s="38">
        <f t="shared" si="10"/>
        <v>0.11441663931765714</v>
      </c>
      <c r="AK9" s="38">
        <f t="shared" si="11"/>
        <v>0.16964934103407736</v>
      </c>
      <c r="AL9" s="35">
        <f t="shared" si="12"/>
        <v>3763128</v>
      </c>
      <c r="AM9" s="38">
        <f t="shared" si="13"/>
        <v>0.3195975983931747</v>
      </c>
      <c r="AN9" s="66">
        <v>25025745</v>
      </c>
      <c r="AO9" s="66">
        <v>782054.53125</v>
      </c>
      <c r="AP9" s="66">
        <v>10275.84375</v>
      </c>
      <c r="AQ9" s="67">
        <v>7998168</v>
      </c>
      <c r="AR9" s="67">
        <v>2856336</v>
      </c>
      <c r="AS9" s="67">
        <v>906792</v>
      </c>
      <c r="AT9" s="67">
        <v>4235184</v>
      </c>
      <c r="AU9" s="68">
        <v>72.048096874999999</v>
      </c>
      <c r="AV9" s="68">
        <v>75.254449999999906</v>
      </c>
      <c r="AW9" s="68">
        <v>41.140931249999902</v>
      </c>
      <c r="AX9" s="68">
        <v>49.543940624999998</v>
      </c>
      <c r="AY9" s="68">
        <v>49.608296875000001</v>
      </c>
      <c r="AZ9" s="69">
        <v>5982.3</v>
      </c>
      <c r="BA9" s="69">
        <v>5435.65</v>
      </c>
      <c r="BB9" s="69">
        <v>7.2759999999999998</v>
      </c>
      <c r="BC9" s="69">
        <v>23.896000000000001</v>
      </c>
      <c r="BE9" s="43">
        <f t="shared" si="14"/>
        <v>0</v>
      </c>
      <c r="BF9" s="43">
        <f t="shared" si="15"/>
        <v>2.3672087574366785E-5</v>
      </c>
      <c r="BG9" s="43"/>
      <c r="BI9" s="44"/>
      <c r="BJ9" s="44"/>
      <c r="BK9" s="44"/>
      <c r="BL9" s="44"/>
      <c r="BM9" s="44"/>
      <c r="BO9" s="44"/>
      <c r="BP9" s="44"/>
      <c r="BQ9" s="44"/>
      <c r="BR9" s="44"/>
      <c r="BS9" s="44"/>
      <c r="BU9" s="4">
        <f t="shared" si="16"/>
        <v>0</v>
      </c>
    </row>
    <row r="10" spans="1:73" x14ac:dyDescent="0.25">
      <c r="A10" s="25"/>
      <c r="B10" s="25" t="s">
        <v>273</v>
      </c>
      <c r="C10" s="26" t="s">
        <v>266</v>
      </c>
      <c r="D10" s="25">
        <v>22654789</v>
      </c>
      <c r="E10" s="26">
        <v>10</v>
      </c>
      <c r="F10" s="26">
        <v>32</v>
      </c>
      <c r="G10" s="26">
        <v>30</v>
      </c>
      <c r="I10" s="27">
        <f t="shared" si="0"/>
        <v>2.0552174999999999</v>
      </c>
      <c r="J10" s="28">
        <f t="shared" si="1"/>
        <v>9.6766824886340808E-2</v>
      </c>
      <c r="K10" s="28">
        <f t="shared" si="2"/>
        <v>7.122708874784342E-2</v>
      </c>
      <c r="L10" s="28">
        <f t="shared" si="3"/>
        <v>3.9123677853131492E-2</v>
      </c>
      <c r="M10" s="28">
        <f t="shared" si="4"/>
        <v>2.5535027788900041E-2</v>
      </c>
      <c r="N10" s="25">
        <f t="shared" si="5"/>
        <v>1613634.666666667</v>
      </c>
      <c r="O10" s="28">
        <f t="shared" si="6"/>
        <v>0.10503687137090377</v>
      </c>
      <c r="P10" s="62">
        <v>20871071</v>
      </c>
      <c r="Q10" s="62">
        <v>652220.96875</v>
      </c>
      <c r="R10" s="62">
        <v>18933.5625</v>
      </c>
      <c r="S10" s="63">
        <v>2192232</v>
      </c>
      <c r="T10" s="63">
        <v>886338.66666666698</v>
      </c>
      <c r="U10" s="63">
        <v>727296</v>
      </c>
      <c r="V10" s="63">
        <v>578490.66666666698</v>
      </c>
      <c r="W10" s="64">
        <v>65.969918750000005</v>
      </c>
      <c r="X10" s="64">
        <v>67.878562500000001</v>
      </c>
      <c r="Y10" s="64">
        <v>31.036003125000001</v>
      </c>
      <c r="Z10" s="64">
        <v>38.622875000000001</v>
      </c>
      <c r="AA10" s="64">
        <v>30.111215625</v>
      </c>
      <c r="AB10" s="32"/>
      <c r="AC10" s="32"/>
      <c r="AD10" s="32"/>
      <c r="AE10" s="32"/>
      <c r="AG10" s="27">
        <f t="shared" si="7"/>
        <v>2.0552174999999999</v>
      </c>
      <c r="AH10" s="28">
        <f t="shared" si="8"/>
        <v>9.6766824886340808E-2</v>
      </c>
      <c r="AI10" s="28">
        <f t="shared" si="9"/>
        <v>7.1235446068378741E-2</v>
      </c>
      <c r="AJ10" s="28">
        <f t="shared" si="10"/>
        <v>3.912638515414997E-2</v>
      </c>
      <c r="AK10" s="28">
        <f t="shared" si="11"/>
        <v>2.5537735089918516E-2</v>
      </c>
      <c r="AL10" s="25">
        <f t="shared" si="12"/>
        <v>1613824</v>
      </c>
      <c r="AM10" s="28">
        <f t="shared" si="13"/>
        <v>0.10503687137090377</v>
      </c>
      <c r="AN10" s="62">
        <v>20871071</v>
      </c>
      <c r="AO10" s="62">
        <v>652220.96875</v>
      </c>
      <c r="AP10" s="62">
        <v>18933.5625</v>
      </c>
      <c r="AQ10" s="63">
        <v>2192232</v>
      </c>
      <c r="AR10" s="63">
        <v>886400</v>
      </c>
      <c r="AS10" s="63">
        <v>727424</v>
      </c>
      <c r="AT10" s="63">
        <v>578552</v>
      </c>
      <c r="AU10" s="64">
        <v>65.969918750000005</v>
      </c>
      <c r="AV10" s="64">
        <v>67.878562500000001</v>
      </c>
      <c r="AW10" s="64">
        <v>31.036003124999901</v>
      </c>
      <c r="AX10" s="64">
        <v>38.622875000000001</v>
      </c>
      <c r="AY10" s="64">
        <v>30.1112156249999</v>
      </c>
      <c r="AZ10" s="65">
        <v>6981.19</v>
      </c>
      <c r="BA10" s="65">
        <v>4816.8999999999996</v>
      </c>
      <c r="BB10" s="65">
        <v>6.1959999999999997</v>
      </c>
      <c r="BC10" s="65">
        <v>23.484000000000002</v>
      </c>
      <c r="BE10" s="33">
        <f t="shared" si="14"/>
        <v>0</v>
      </c>
      <c r="BF10" s="33">
        <f t="shared" si="15"/>
        <v>8.6365554983758308E-5</v>
      </c>
      <c r="BG10" s="33">
        <f t="array" ref="BG10">AVERAGE(AL10:AL14/AQ10:AQ14) - AVERAGE(N10:N14/S10:S14)</f>
        <v>4.7174070786804023E-5</v>
      </c>
      <c r="BI10" s="34">
        <f>IF( OR(ISBLANK(N10:N14),ISBLANK(AL10:AL14), ISBLANK(W10:W14),ISBLANK(AU10:AU14)), "·", bdRateExtend( N10:N14,W10:W14, AL10:AL14,AU10:AU14))</f>
        <v>8.117965824450124E-5</v>
      </c>
      <c r="BJ10" s="34">
        <f>IF( OR(ISBLANK(N10:N14),ISBLANK(AL10:AL14), ISBLANK(X10:X14),ISBLANK(AV10:AV14)), "·", bdRateExtend( N10:N14,X10:X14, AL10:AL14,AV10:AV14))</f>
        <v>7.5659129053828877E-5</v>
      </c>
      <c r="BK10" s="34">
        <f>IF( OR(ISBLANK(V10:V14),ISBLANK(AT10:AT14), ISBLANK(Y10:Y14),ISBLANK(AW10:AW14)), "·", bdRateExtend( V10:V14,Y10:Y14, AT10:AT14,AW10:AW14))</f>
        <v>3.8425487819848669E-5</v>
      </c>
      <c r="BL10" s="34">
        <f>IF( OR(ISBLANK(V10:V14),ISBLANK(AT10:AT14), ISBLANK(Z10:Z14),ISBLANK(AX10:AX14)), "·", bdRateExtend( V10:V14,Z10:Z14, AT10:AT14,AX10:AX14))</f>
        <v>3.8990408938399668E-5</v>
      </c>
      <c r="BM10" s="34">
        <f>IF( OR(ISBLANK(V10:V14),ISBLANK(AT10:AT14), ISBLANK(AA10:AA14),ISBLANK(AY10:AY14)), "·", bdRateExtend( V10:V14,AA10:AA14, AT10:AT14,AY10:AY14))</f>
        <v>4.1145620611748868E-5</v>
      </c>
      <c r="BO10" s="34">
        <f>IF( OR(ISBLANK(S10:S14),ISBLANK(AQ10:AQ14), ISBLANK(W10:W14),ISBLANK(AU10:AU14)), "·", bdRateExtend( S10:S14,W10:W14, AQ10:AQ14,AU10:AU14))</f>
        <v>0</v>
      </c>
      <c r="BP10" s="34">
        <f>IF( OR(ISBLANK(S10:S14),ISBLANK(AQ10:AQ14), ISBLANK(X10:X14),ISBLANK(AV10:AV14)), "·", bdRateExtend( S10:S14,X10:X14, AQ10:AQ14,AV10:AV14))</f>
        <v>2.4424906541753444E-15</v>
      </c>
      <c r="BQ10" s="34">
        <f>IF( OR(ISBLANK(S10:S14),ISBLANK(AQ10:AQ14), ISBLANK(Y10:Y14),ISBLANK(AW10:AW14)), "·", bdRateExtend( S10:S14,Y10:Y14, AQ10:AQ14,AW10:AW14))</f>
        <v>9.5479180117763462E-15</v>
      </c>
      <c r="BR10" s="34">
        <f>IF( OR(ISBLANK(S10:S14),ISBLANK(AQ10:AQ14), ISBLANK(Z10:Z14),ISBLANK(AX10:AX14)), "·", bdRateExtend( S10:S14,Z10:Z14, AQ10:AQ14,AX10:AX14))</f>
        <v>1.1102230246251565E-14</v>
      </c>
      <c r="BS10" s="34">
        <f>IF( OR(ISBLANK(S10:S14),ISBLANK(AQ10:AQ14), ISBLANK(AA10:AA14),ISBLANK(AY10:AY14)), "·", bdRateExtend( S10:S14,AA10:AA14, AQ10:AQ14,AY10:AY14))</f>
        <v>1.1768364061026659E-14</v>
      </c>
      <c r="BU10" s="4">
        <f t="shared" si="16"/>
        <v>0</v>
      </c>
    </row>
    <row r="11" spans="1:73" outlineLevel="1" x14ac:dyDescent="0.25">
      <c r="A11" s="15"/>
      <c r="B11" s="15" t="s">
        <v>273</v>
      </c>
      <c r="C11" s="16" t="s">
        <v>267</v>
      </c>
      <c r="D11" s="15">
        <v>22654789</v>
      </c>
      <c r="E11" s="16">
        <v>10</v>
      </c>
      <c r="F11" s="16">
        <v>32</v>
      </c>
      <c r="G11" s="16">
        <v>30</v>
      </c>
      <c r="I11" s="17">
        <f t="shared" si="0"/>
        <v>2.7926850000000001</v>
      </c>
      <c r="J11" s="18">
        <f t="shared" si="1"/>
        <v>0.13148937295333007</v>
      </c>
      <c r="K11" s="18">
        <f t="shared" si="2"/>
        <v>8.6264615691925894E-2</v>
      </c>
      <c r="L11" s="18">
        <f t="shared" si="3"/>
        <v>5.4161204797213959E-2</v>
      </c>
      <c r="M11" s="18">
        <f t="shared" si="4"/>
        <v>4.5220048911807122E-2</v>
      </c>
      <c r="N11" s="15">
        <f t="shared" si="5"/>
        <v>1954306.66666667</v>
      </c>
      <c r="O11" s="18">
        <f t="shared" si="6"/>
        <v>0.13310842240774146</v>
      </c>
      <c r="P11" s="58">
        <v>22379230</v>
      </c>
      <c r="Q11" s="58">
        <v>699350.9375</v>
      </c>
      <c r="R11" s="58">
        <v>24081.75</v>
      </c>
      <c r="S11" s="59">
        <v>2978864</v>
      </c>
      <c r="T11" s="59">
        <v>1227010.66666667</v>
      </c>
      <c r="U11" s="59">
        <v>727296</v>
      </c>
      <c r="V11" s="59">
        <v>1024450.66666667</v>
      </c>
      <c r="W11" s="60">
        <v>67.698618749999994</v>
      </c>
      <c r="X11" s="60">
        <v>69.777518749999999</v>
      </c>
      <c r="Y11" s="60">
        <v>32.909609375000002</v>
      </c>
      <c r="Z11" s="60">
        <v>39.656315624999998</v>
      </c>
      <c r="AA11" s="60">
        <v>32.299137500000001</v>
      </c>
      <c r="AB11" s="22"/>
      <c r="AC11" s="22"/>
      <c r="AD11" s="22"/>
      <c r="AE11" s="22"/>
      <c r="AG11" s="17">
        <f t="shared" si="7"/>
        <v>2.7926850000000001</v>
      </c>
      <c r="AH11" s="18">
        <f t="shared" si="8"/>
        <v>0.13148937295333007</v>
      </c>
      <c r="AI11" s="18">
        <f t="shared" si="9"/>
        <v>8.6272973012461077E-2</v>
      </c>
      <c r="AJ11" s="18">
        <f t="shared" si="10"/>
        <v>5.4163912098232299E-2</v>
      </c>
      <c r="AK11" s="18">
        <f t="shared" si="11"/>
        <v>4.5222756212825461E-2</v>
      </c>
      <c r="AL11" s="15">
        <f t="shared" si="12"/>
        <v>1954496</v>
      </c>
      <c r="AM11" s="18">
        <f t="shared" si="13"/>
        <v>0.13310842240774146</v>
      </c>
      <c r="AN11" s="58">
        <v>22379230</v>
      </c>
      <c r="AO11" s="58">
        <v>699350.9375</v>
      </c>
      <c r="AP11" s="58">
        <v>24081.75</v>
      </c>
      <c r="AQ11" s="59">
        <v>2978864</v>
      </c>
      <c r="AR11" s="59">
        <v>1227072</v>
      </c>
      <c r="AS11" s="59">
        <v>727424</v>
      </c>
      <c r="AT11" s="59">
        <v>1024512</v>
      </c>
      <c r="AU11" s="60">
        <v>67.698618749999994</v>
      </c>
      <c r="AV11" s="60">
        <v>69.777518749999999</v>
      </c>
      <c r="AW11" s="60">
        <v>32.909609375000002</v>
      </c>
      <c r="AX11" s="60">
        <v>39.656315624999998</v>
      </c>
      <c r="AY11" s="60">
        <v>32.299137499999901</v>
      </c>
      <c r="AZ11" s="61">
        <v>7295.13</v>
      </c>
      <c r="BA11" s="61">
        <v>5167.92</v>
      </c>
      <c r="BB11" s="61">
        <v>5.6120000000000001</v>
      </c>
      <c r="BC11" s="61">
        <v>21.236000000000001</v>
      </c>
      <c r="BE11" s="23">
        <f t="shared" si="14"/>
        <v>0</v>
      </c>
      <c r="BF11" s="23">
        <f t="shared" si="15"/>
        <v>6.3558904780491865E-5</v>
      </c>
      <c r="BG11" s="23"/>
      <c r="BI11" s="24"/>
      <c r="BJ11" s="24"/>
      <c r="BK11" s="24"/>
      <c r="BL11" s="24"/>
      <c r="BM11" s="24"/>
      <c r="BO11" s="24"/>
      <c r="BP11" s="24"/>
      <c r="BQ11" s="24"/>
      <c r="BR11" s="24"/>
      <c r="BS11" s="24"/>
      <c r="BU11" s="4">
        <f t="shared" si="16"/>
        <v>0</v>
      </c>
    </row>
    <row r="12" spans="1:73" outlineLevel="1" x14ac:dyDescent="0.25">
      <c r="A12" s="25"/>
      <c r="B12" s="25" t="s">
        <v>273</v>
      </c>
      <c r="C12" s="26" t="s">
        <v>268</v>
      </c>
      <c r="D12" s="25">
        <v>22654789</v>
      </c>
      <c r="E12" s="26">
        <v>10</v>
      </c>
      <c r="F12" s="26">
        <v>32</v>
      </c>
      <c r="G12" s="26">
        <v>30</v>
      </c>
      <c r="I12" s="27">
        <f t="shared" si="0"/>
        <v>3.9566625000000002</v>
      </c>
      <c r="J12" s="28">
        <f t="shared" si="1"/>
        <v>0.18629350288806487</v>
      </c>
      <c r="K12" s="28">
        <f t="shared" si="2"/>
        <v>0.10819799145631724</v>
      </c>
      <c r="L12" s="28">
        <f t="shared" si="3"/>
        <v>7.6094580561605313E-2</v>
      </c>
      <c r="M12" s="28">
        <f t="shared" si="4"/>
        <v>7.8090803082150537E-2</v>
      </c>
      <c r="N12" s="25">
        <f t="shared" si="5"/>
        <v>2451202.6666666698</v>
      </c>
      <c r="O12" s="28">
        <f t="shared" si="6"/>
        <v>0.18578405374815027</v>
      </c>
      <c r="P12" s="62">
        <v>22716912</v>
      </c>
      <c r="Q12" s="62">
        <v>709903.5</v>
      </c>
      <c r="R12" s="62">
        <v>25579.28125</v>
      </c>
      <c r="S12" s="63">
        <v>4220440</v>
      </c>
      <c r="T12" s="63">
        <v>1723906.66666667</v>
      </c>
      <c r="U12" s="63">
        <v>727296</v>
      </c>
      <c r="V12" s="63">
        <v>1769130.66666667</v>
      </c>
      <c r="W12" s="64">
        <v>69.047799999999995</v>
      </c>
      <c r="X12" s="64">
        <v>71.398093750000001</v>
      </c>
      <c r="Y12" s="64">
        <v>34.942528125000003</v>
      </c>
      <c r="Z12" s="64">
        <v>40.653209375000003</v>
      </c>
      <c r="AA12" s="64">
        <v>34.211896875000001</v>
      </c>
      <c r="AB12" s="32"/>
      <c r="AC12" s="32"/>
      <c r="AD12" s="32"/>
      <c r="AE12" s="32"/>
      <c r="AG12" s="27">
        <f t="shared" si="7"/>
        <v>3.9566625000000002</v>
      </c>
      <c r="AH12" s="28">
        <f t="shared" si="8"/>
        <v>0.18629350288806487</v>
      </c>
      <c r="AI12" s="28">
        <f t="shared" si="9"/>
        <v>0.10820634877685244</v>
      </c>
      <c r="AJ12" s="28">
        <f t="shared" si="10"/>
        <v>7.6097287862623667E-2</v>
      </c>
      <c r="AK12" s="28">
        <f t="shared" si="11"/>
        <v>7.8093510383168876E-2</v>
      </c>
      <c r="AL12" s="25">
        <f t="shared" si="12"/>
        <v>2451392</v>
      </c>
      <c r="AM12" s="28">
        <f t="shared" si="13"/>
        <v>0.18578405374815027</v>
      </c>
      <c r="AN12" s="62">
        <v>22716912</v>
      </c>
      <c r="AO12" s="62">
        <v>709903.5</v>
      </c>
      <c r="AP12" s="62">
        <v>25579.28125</v>
      </c>
      <c r="AQ12" s="63">
        <v>4220440</v>
      </c>
      <c r="AR12" s="63">
        <v>1723968</v>
      </c>
      <c r="AS12" s="63">
        <v>727424</v>
      </c>
      <c r="AT12" s="63">
        <v>1769192</v>
      </c>
      <c r="AU12" s="64">
        <v>69.047799999999995</v>
      </c>
      <c r="AV12" s="64">
        <v>71.398093750000001</v>
      </c>
      <c r="AW12" s="64">
        <v>34.942528125000003</v>
      </c>
      <c r="AX12" s="64">
        <v>40.653209374999904</v>
      </c>
      <c r="AY12" s="64">
        <v>34.211896875000001</v>
      </c>
      <c r="AZ12" s="65">
        <v>7333.16</v>
      </c>
      <c r="BA12" s="65">
        <v>5553.38</v>
      </c>
      <c r="BB12" s="65">
        <v>6.952</v>
      </c>
      <c r="BC12" s="65">
        <v>25.975999999999999</v>
      </c>
      <c r="BE12" s="33">
        <f t="shared" si="14"/>
        <v>0</v>
      </c>
      <c r="BF12" s="33">
        <f t="shared" si="15"/>
        <v>4.4861041344046448E-5</v>
      </c>
      <c r="BG12" s="33"/>
      <c r="BI12" s="34"/>
      <c r="BJ12" s="34"/>
      <c r="BK12" s="34"/>
      <c r="BL12" s="34"/>
      <c r="BM12" s="34"/>
      <c r="BO12" s="34"/>
      <c r="BP12" s="34"/>
      <c r="BQ12" s="34"/>
      <c r="BR12" s="34"/>
      <c r="BS12" s="34"/>
      <c r="BU12" s="4">
        <f t="shared" si="16"/>
        <v>0</v>
      </c>
    </row>
    <row r="13" spans="1:73" outlineLevel="1" x14ac:dyDescent="0.25">
      <c r="A13" s="15"/>
      <c r="B13" s="15" t="s">
        <v>273</v>
      </c>
      <c r="C13" s="16" t="s">
        <v>269</v>
      </c>
      <c r="D13" s="15">
        <v>22654789</v>
      </c>
      <c r="E13" s="16">
        <v>10</v>
      </c>
      <c r="F13" s="16">
        <v>32</v>
      </c>
      <c r="G13" s="16">
        <v>30</v>
      </c>
      <c r="I13" s="17">
        <f t="shared" si="0"/>
        <v>6.4486800000000004</v>
      </c>
      <c r="J13" s="18">
        <f t="shared" si="1"/>
        <v>0.30362639881572062</v>
      </c>
      <c r="K13" s="18">
        <f t="shared" si="2"/>
        <v>0.14838446152231521</v>
      </c>
      <c r="L13" s="18">
        <f t="shared" si="3"/>
        <v>0.11628105062760327</v>
      </c>
      <c r="M13" s="18">
        <f t="shared" si="4"/>
        <v>0.15523722894380829</v>
      </c>
      <c r="N13" s="15">
        <f t="shared" si="5"/>
        <v>3361618.6666666698</v>
      </c>
      <c r="O13" s="18">
        <f t="shared" si="6"/>
        <v>0.29104874905083028</v>
      </c>
      <c r="P13" s="58">
        <v>23633814</v>
      </c>
      <c r="Q13" s="58">
        <v>738556.6875</v>
      </c>
      <c r="R13" s="58">
        <v>29497.75</v>
      </c>
      <c r="S13" s="59">
        <v>6878592</v>
      </c>
      <c r="T13" s="59">
        <v>2634322.6666666698</v>
      </c>
      <c r="U13" s="59">
        <v>727296</v>
      </c>
      <c r="V13" s="59">
        <v>3516866.6666666698</v>
      </c>
      <c r="W13" s="60">
        <v>70.054337500000003</v>
      </c>
      <c r="X13" s="60">
        <v>72.592015625000002</v>
      </c>
      <c r="Y13" s="60">
        <v>37.139621875000003</v>
      </c>
      <c r="Z13" s="60">
        <v>41.702190625</v>
      </c>
      <c r="AA13" s="60">
        <v>36.228109375000003</v>
      </c>
      <c r="AB13" s="22"/>
      <c r="AC13" s="22"/>
      <c r="AD13" s="22"/>
      <c r="AE13" s="22"/>
      <c r="AG13" s="17">
        <f t="shared" si="7"/>
        <v>6.4486800000000004</v>
      </c>
      <c r="AH13" s="18">
        <f t="shared" si="8"/>
        <v>0.30362639881572062</v>
      </c>
      <c r="AI13" s="18">
        <f t="shared" si="9"/>
        <v>0.14839281884285041</v>
      </c>
      <c r="AJ13" s="18">
        <f t="shared" si="10"/>
        <v>0.11628375792862163</v>
      </c>
      <c r="AK13" s="18">
        <f t="shared" si="11"/>
        <v>0.15523993624482665</v>
      </c>
      <c r="AL13" s="15">
        <f t="shared" si="12"/>
        <v>3361808</v>
      </c>
      <c r="AM13" s="18">
        <f t="shared" si="13"/>
        <v>0.29104874905083028</v>
      </c>
      <c r="AN13" s="58">
        <v>23633814</v>
      </c>
      <c r="AO13" s="58">
        <v>738556.6875</v>
      </c>
      <c r="AP13" s="58">
        <v>29497.75</v>
      </c>
      <c r="AQ13" s="59">
        <v>6878592</v>
      </c>
      <c r="AR13" s="59">
        <v>2634384</v>
      </c>
      <c r="AS13" s="59">
        <v>727424</v>
      </c>
      <c r="AT13" s="59">
        <v>3516928</v>
      </c>
      <c r="AU13" s="60">
        <v>70.054337500000003</v>
      </c>
      <c r="AV13" s="60">
        <v>72.592015625000002</v>
      </c>
      <c r="AW13" s="60">
        <v>37.139621874999897</v>
      </c>
      <c r="AX13" s="60">
        <v>41.702190625</v>
      </c>
      <c r="AY13" s="60">
        <v>36.228109375000003</v>
      </c>
      <c r="AZ13" s="61">
        <v>7323.21</v>
      </c>
      <c r="BA13" s="61">
        <v>6004.95</v>
      </c>
      <c r="BB13" s="61">
        <v>6.34</v>
      </c>
      <c r="BC13" s="61">
        <v>24.068000000000001</v>
      </c>
      <c r="BE13" s="23">
        <f t="shared" si="14"/>
        <v>0</v>
      </c>
      <c r="BF13" s="23">
        <f t="shared" si="15"/>
        <v>2.7525012870399657E-5</v>
      </c>
      <c r="BG13" s="23"/>
      <c r="BI13" s="24"/>
      <c r="BJ13" s="24"/>
      <c r="BK13" s="24"/>
      <c r="BL13" s="24"/>
      <c r="BM13" s="24"/>
      <c r="BO13" s="24"/>
      <c r="BP13" s="24"/>
      <c r="BQ13" s="24"/>
      <c r="BR13" s="24"/>
      <c r="BS13" s="24"/>
      <c r="BU13" s="4">
        <f t="shared" si="16"/>
        <v>0</v>
      </c>
    </row>
    <row r="14" spans="1:73" ht="15.75" outlineLevel="1" thickBot="1" x14ac:dyDescent="0.3">
      <c r="A14" s="25"/>
      <c r="B14" s="45" t="s">
        <v>273</v>
      </c>
      <c r="C14" s="46" t="s">
        <v>270</v>
      </c>
      <c r="D14" s="45">
        <v>22654789</v>
      </c>
      <c r="E14" s="46">
        <v>10</v>
      </c>
      <c r="F14" s="46">
        <v>32</v>
      </c>
      <c r="G14" s="46">
        <v>30</v>
      </c>
      <c r="I14" s="47">
        <f t="shared" si="0"/>
        <v>13.090125</v>
      </c>
      <c r="J14" s="48">
        <f t="shared" si="1"/>
        <v>0.61632884773281271</v>
      </c>
      <c r="K14" s="48">
        <f t="shared" si="2"/>
        <v>0.24839686949486353</v>
      </c>
      <c r="L14" s="48">
        <f t="shared" si="3"/>
        <v>0.1863416457626981</v>
      </c>
      <c r="M14" s="48">
        <f t="shared" si="4"/>
        <v>0.36792726988835206</v>
      </c>
      <c r="N14" s="45">
        <f t="shared" si="5"/>
        <v>5627378.6666666698</v>
      </c>
      <c r="O14" s="48">
        <f t="shared" si="6"/>
        <v>0.62316068341127229</v>
      </c>
      <c r="P14" s="70">
        <v>22406420</v>
      </c>
      <c r="Q14" s="70">
        <v>700200.625</v>
      </c>
      <c r="R14" s="70">
        <v>13452.625</v>
      </c>
      <c r="S14" s="71">
        <v>13962800</v>
      </c>
      <c r="T14" s="71">
        <v>4221530.6666666698</v>
      </c>
      <c r="U14" s="71">
        <v>1405848</v>
      </c>
      <c r="V14" s="71">
        <v>8335314.6666666698</v>
      </c>
      <c r="W14" s="72">
        <v>71.156053125</v>
      </c>
      <c r="X14" s="72">
        <v>74.73165625</v>
      </c>
      <c r="Y14" s="72">
        <v>39.604943749999997</v>
      </c>
      <c r="Z14" s="72">
        <v>43.019550000000002</v>
      </c>
      <c r="AA14" s="72">
        <v>38.466506250000002</v>
      </c>
      <c r="AB14" s="52"/>
      <c r="AC14" s="52"/>
      <c r="AD14" s="52"/>
      <c r="AE14" s="52"/>
      <c r="AG14" s="47">
        <f t="shared" si="7"/>
        <v>13.090125</v>
      </c>
      <c r="AH14" s="48">
        <f t="shared" si="8"/>
        <v>0.61632884773281271</v>
      </c>
      <c r="AI14" s="48">
        <f t="shared" si="9"/>
        <v>0.24840522681539873</v>
      </c>
      <c r="AJ14" s="48">
        <f t="shared" si="10"/>
        <v>0.18634435306371647</v>
      </c>
      <c r="AK14" s="48">
        <f t="shared" si="11"/>
        <v>0.36792997718937043</v>
      </c>
      <c r="AL14" s="45">
        <f t="shared" si="12"/>
        <v>5627568</v>
      </c>
      <c r="AM14" s="48">
        <f t="shared" si="13"/>
        <v>0.62316068341127229</v>
      </c>
      <c r="AN14" s="70">
        <v>22406420</v>
      </c>
      <c r="AO14" s="70">
        <v>700200.625</v>
      </c>
      <c r="AP14" s="70">
        <v>13452.625</v>
      </c>
      <c r="AQ14" s="71">
        <v>13962800</v>
      </c>
      <c r="AR14" s="71">
        <v>4221592</v>
      </c>
      <c r="AS14" s="71">
        <v>1405976</v>
      </c>
      <c r="AT14" s="71">
        <v>8335376</v>
      </c>
      <c r="AU14" s="72">
        <v>71.156053125</v>
      </c>
      <c r="AV14" s="72">
        <v>74.731656249999901</v>
      </c>
      <c r="AW14" s="72">
        <v>39.604943749999997</v>
      </c>
      <c r="AX14" s="72">
        <v>43.019550000000002</v>
      </c>
      <c r="AY14" s="72">
        <v>38.466506249999902</v>
      </c>
      <c r="AZ14" s="73">
        <v>5417.72</v>
      </c>
      <c r="BA14" s="73">
        <v>6895.64</v>
      </c>
      <c r="BB14" s="73">
        <v>6.5279999999999996</v>
      </c>
      <c r="BC14" s="73">
        <v>27.391999999999999</v>
      </c>
      <c r="BE14" s="53">
        <f t="shared" si="14"/>
        <v>0</v>
      </c>
      <c r="BF14" s="53">
        <f t="shared" si="15"/>
        <v>1.3559839955490371E-5</v>
      </c>
      <c r="BG14" s="53"/>
      <c r="BI14" s="54"/>
      <c r="BJ14" s="54"/>
      <c r="BK14" s="54"/>
      <c r="BL14" s="54"/>
      <c r="BM14" s="54"/>
      <c r="BO14" s="54"/>
      <c r="BP14" s="54"/>
      <c r="BQ14" s="54"/>
      <c r="BR14" s="54"/>
      <c r="BS14" s="54"/>
      <c r="BU14" s="4">
        <f t="shared" si="16"/>
        <v>0</v>
      </c>
    </row>
    <row r="15" spans="1:73" x14ac:dyDescent="0.25">
      <c r="A15" s="15"/>
      <c r="B15" s="15" t="s">
        <v>276</v>
      </c>
      <c r="C15" s="16" t="s">
        <v>266</v>
      </c>
      <c r="D15" s="15">
        <v>33947718</v>
      </c>
      <c r="E15" s="16">
        <v>10</v>
      </c>
      <c r="F15" s="16">
        <v>32</v>
      </c>
      <c r="G15" s="16">
        <v>30</v>
      </c>
      <c r="I15" s="17">
        <f t="shared" si="0"/>
        <v>1.902555</v>
      </c>
      <c r="J15" s="18">
        <f t="shared" si="1"/>
        <v>5.9779923940690212E-2</v>
      </c>
      <c r="K15" s="18">
        <f t="shared" si="2"/>
        <v>4.9229425867938076E-2</v>
      </c>
      <c r="L15" s="18">
        <f t="shared" si="3"/>
        <v>2.5807527524137765E-2</v>
      </c>
      <c r="M15" s="18">
        <f t="shared" si="4"/>
        <v>1.054735598624529E-2</v>
      </c>
      <c r="N15" s="15">
        <f t="shared" si="5"/>
        <v>1671226.666666667</v>
      </c>
      <c r="O15" s="18">
        <f t="shared" si="6"/>
        <v>6.2234765586007761E-2</v>
      </c>
      <c r="P15" s="58">
        <v>32608655</v>
      </c>
      <c r="Q15" s="58">
        <v>1019020.46875</v>
      </c>
      <c r="R15" s="58">
        <v>33932.375</v>
      </c>
      <c r="S15" s="59">
        <v>2029392</v>
      </c>
      <c r="T15" s="59">
        <v>876106.66666666698</v>
      </c>
      <c r="U15" s="59">
        <v>795120</v>
      </c>
      <c r="V15" s="59">
        <v>358058.66666666698</v>
      </c>
      <c r="W15" s="60">
        <v>66.342974999999996</v>
      </c>
      <c r="X15" s="60">
        <v>67.898153124999993</v>
      </c>
      <c r="Y15" s="60">
        <v>29.318606249999998</v>
      </c>
      <c r="Z15" s="60">
        <v>43.358424999999997</v>
      </c>
      <c r="AA15" s="60">
        <v>43.505356249999998</v>
      </c>
      <c r="AB15" s="22"/>
      <c r="AC15" s="22"/>
      <c r="AD15" s="22"/>
      <c r="AE15" s="22"/>
      <c r="AG15" s="17">
        <f t="shared" si="7"/>
        <v>1.902555</v>
      </c>
      <c r="AH15" s="18">
        <f t="shared" si="8"/>
        <v>5.9779923940690212E-2</v>
      </c>
      <c r="AI15" s="18">
        <f t="shared" si="9"/>
        <v>4.9235003071487753E-2</v>
      </c>
      <c r="AJ15" s="18">
        <f t="shared" si="10"/>
        <v>2.5809334223879203E-2</v>
      </c>
      <c r="AK15" s="18">
        <f t="shared" si="11"/>
        <v>1.0549162685986728E-2</v>
      </c>
      <c r="AL15" s="15">
        <f t="shared" si="12"/>
        <v>1671416</v>
      </c>
      <c r="AM15" s="18">
        <f t="shared" si="13"/>
        <v>6.2234765586007761E-2</v>
      </c>
      <c r="AN15" s="58">
        <v>32608655</v>
      </c>
      <c r="AO15" s="58">
        <v>1019020.46875</v>
      </c>
      <c r="AP15" s="58">
        <v>33932.375</v>
      </c>
      <c r="AQ15" s="59">
        <v>2029392</v>
      </c>
      <c r="AR15" s="59">
        <v>876168</v>
      </c>
      <c r="AS15" s="59">
        <v>795248</v>
      </c>
      <c r="AT15" s="59">
        <v>358120</v>
      </c>
      <c r="AU15" s="60">
        <v>66.342974999999996</v>
      </c>
      <c r="AV15" s="60">
        <v>67.898153124999993</v>
      </c>
      <c r="AW15" s="60">
        <v>29.318606249999998</v>
      </c>
      <c r="AX15" s="60">
        <v>43.358424999999997</v>
      </c>
      <c r="AY15" s="60">
        <v>43.505356249999998</v>
      </c>
      <c r="AZ15" s="61">
        <v>8985.8799999999992</v>
      </c>
      <c r="BA15" s="61">
        <v>4615.47</v>
      </c>
      <c r="BB15" s="61">
        <v>8.7720000000000002</v>
      </c>
      <c r="BC15" s="61">
        <v>25.771999999999998</v>
      </c>
      <c r="BE15" s="23">
        <f t="shared" si="14"/>
        <v>0</v>
      </c>
      <c r="BF15" s="23">
        <f t="shared" si="15"/>
        <v>9.3295594608133747E-5</v>
      </c>
      <c r="BG15" s="23">
        <f t="array" ref="BG15">AVERAGE(AL15:AL19/AQ15:AQ19) - AVERAGE(N15:N19/S15:S19)</f>
        <v>5.1803969308927833E-5</v>
      </c>
      <c r="BI15" s="24">
        <f>IF( OR(ISBLANK(N15:N19),ISBLANK(AL15:AL19), ISBLANK(W15:W19),ISBLANK(AU15:AU19)), "·", bdRateExtend( N15:N19,W15:W19, AL15:AL19,AU15:AU19))</f>
        <v>8.2956772476050489E-5</v>
      </c>
      <c r="BJ15" s="24">
        <f>IF( OR(ISBLANK(N15:N19),ISBLANK(AL15:AL19), ISBLANK(X15:X19),ISBLANK(AV15:AV19)), "·", bdRateExtend( N15:N19,X15:X19, AL15:AL19,AV15:AV19))</f>
        <v>7.8920489086531376E-5</v>
      </c>
      <c r="BK15" s="24">
        <f>IF( OR(ISBLANK(V15:V19),ISBLANK(AT15:AT19), ISBLANK(Y15:Y19),ISBLANK(AW15:AW19)), "·", bdRateExtend( V15:V19,Y15:Y19, AT15:AT19,AW15:AW19))</f>
        <v>6.0582347614301923E-5</v>
      </c>
      <c r="BL15" s="24">
        <f>IF( OR(ISBLANK(V15:V19),ISBLANK(AT15:AT19), ISBLANK(Z15:Z19),ISBLANK(AX15:AX19)), "·", bdRateExtend( V15:V19,Z15:Z19, AT15:AT19,AX15:AX19))</f>
        <v>4.3449288610775127E-5</v>
      </c>
      <c r="BM15" s="24">
        <f>IF( OR(ISBLANK(V15:V19),ISBLANK(AT15:AT19), ISBLANK(AA15:AA19),ISBLANK(AY15:AY19)), "·", bdRateExtend( V15:V19,AA15:AA19, AT15:AT19,AY15:AY19))</f>
        <v>4.8657641255278605E-5</v>
      </c>
      <c r="BO15" s="24">
        <f>IF( OR(ISBLANK(S15:S19),ISBLANK(AQ15:AQ19), ISBLANK(W15:W19),ISBLANK(AU15:AU19)), "·", bdRateExtend( S15:S19,W15:W19, AQ15:AQ19,AU15:AU19))</f>
        <v>1.2656542480726785E-14</v>
      </c>
      <c r="BP15" s="24">
        <f>IF( OR(ISBLANK(S15:S19),ISBLANK(AQ15:AQ19), ISBLANK(X15:X19),ISBLANK(AV15:AV19)), "·", bdRateExtend( S15:S19,X15:X19, AQ15:AQ19,AV15:AV19))</f>
        <v>9.1038288019262836E-15</v>
      </c>
      <c r="BQ15" s="24">
        <f>IF( OR(ISBLANK(S15:S19),ISBLANK(AQ15:AQ19), ISBLANK(Y15:Y19),ISBLANK(AW15:AW19)), "·", bdRateExtend( S15:S19,Y15:Y19, AQ15:AQ19,AW15:AW19))</f>
        <v>0</v>
      </c>
      <c r="BR15" s="24">
        <f>IF( OR(ISBLANK(S15:S19),ISBLANK(AQ15:AQ19), ISBLANK(Z15:Z19),ISBLANK(AX15:AX19)), "·", bdRateExtend( S15:S19,Z15:Z19, AQ15:AQ19,AX15:AX19))</f>
        <v>6.6613381477509392E-15</v>
      </c>
      <c r="BS15" s="24">
        <f>IF( OR(ISBLANK(S15:S19),ISBLANK(AQ15:AQ19), ISBLANK(AA15:AA19),ISBLANK(AY15:AY19)), "·", bdRateExtend( S15:S19,AA15:AA19, AQ15:AQ19,AY15:AY19))</f>
        <v>6.2172489379008766E-15</v>
      </c>
      <c r="BU15" s="4">
        <f t="shared" si="16"/>
        <v>0</v>
      </c>
    </row>
    <row r="16" spans="1:73" outlineLevel="1" x14ac:dyDescent="0.25">
      <c r="A16" s="25"/>
      <c r="B16" s="25" t="s">
        <v>276</v>
      </c>
      <c r="C16" s="26" t="s">
        <v>267</v>
      </c>
      <c r="D16" s="25">
        <v>33947718</v>
      </c>
      <c r="E16" s="26">
        <v>10</v>
      </c>
      <c r="F16" s="26">
        <v>32</v>
      </c>
      <c r="G16" s="26">
        <v>30</v>
      </c>
      <c r="I16" s="27">
        <f t="shared" si="0"/>
        <v>2.4427349999999999</v>
      </c>
      <c r="J16" s="28">
        <f t="shared" si="1"/>
        <v>7.6752846833474928E-2</v>
      </c>
      <c r="K16" s="28">
        <f t="shared" si="2"/>
        <v>5.7445589322577442E-2</v>
      </c>
      <c r="L16" s="28">
        <f t="shared" si="3"/>
        <v>3.4023690978777131E-2</v>
      </c>
      <c r="M16" s="28">
        <f t="shared" si="4"/>
        <v>1.9304115424390735E-2</v>
      </c>
      <c r="N16" s="25">
        <f t="shared" si="5"/>
        <v>1950146.66666667</v>
      </c>
      <c r="O16" s="28">
        <f t="shared" si="6"/>
        <v>7.6399884895137465E-2</v>
      </c>
      <c r="P16" s="62">
        <v>34104554</v>
      </c>
      <c r="Q16" s="62">
        <v>1065767.3125</v>
      </c>
      <c r="R16" s="62">
        <v>39391.28125</v>
      </c>
      <c r="S16" s="63">
        <v>2605584</v>
      </c>
      <c r="T16" s="63">
        <v>1155026.66666667</v>
      </c>
      <c r="U16" s="63">
        <v>795120</v>
      </c>
      <c r="V16" s="63">
        <v>655330.66666666698</v>
      </c>
      <c r="W16" s="64">
        <v>68.094181250000005</v>
      </c>
      <c r="X16" s="64">
        <v>70.090278124999998</v>
      </c>
      <c r="Y16" s="64">
        <v>31.73281875</v>
      </c>
      <c r="Z16" s="64">
        <v>43.915612500000002</v>
      </c>
      <c r="AA16" s="64">
        <v>44.425890625000001</v>
      </c>
      <c r="AB16" s="32"/>
      <c r="AC16" s="32"/>
      <c r="AD16" s="32"/>
      <c r="AE16" s="32"/>
      <c r="AG16" s="27">
        <f t="shared" si="7"/>
        <v>2.4427349999999999</v>
      </c>
      <c r="AH16" s="28">
        <f t="shared" si="8"/>
        <v>7.6752846833474928E-2</v>
      </c>
      <c r="AI16" s="28">
        <f t="shared" si="9"/>
        <v>5.7451166526127029E-2</v>
      </c>
      <c r="AJ16" s="28">
        <f t="shared" si="10"/>
        <v>3.4025497678518479E-2</v>
      </c>
      <c r="AK16" s="28">
        <f t="shared" si="11"/>
        <v>1.9305922124132173E-2</v>
      </c>
      <c r="AL16" s="25">
        <f t="shared" si="12"/>
        <v>1950336</v>
      </c>
      <c r="AM16" s="28">
        <f t="shared" si="13"/>
        <v>7.6399884895137465E-2</v>
      </c>
      <c r="AN16" s="62">
        <v>34104554</v>
      </c>
      <c r="AO16" s="62">
        <v>1065767.3125</v>
      </c>
      <c r="AP16" s="62">
        <v>39391.28125</v>
      </c>
      <c r="AQ16" s="63">
        <v>2605584</v>
      </c>
      <c r="AR16" s="63">
        <v>1155088</v>
      </c>
      <c r="AS16" s="63">
        <v>795248</v>
      </c>
      <c r="AT16" s="63">
        <v>655392</v>
      </c>
      <c r="AU16" s="64">
        <v>68.094181249999906</v>
      </c>
      <c r="AV16" s="64">
        <v>70.090278124999898</v>
      </c>
      <c r="AW16" s="64">
        <v>31.73281875</v>
      </c>
      <c r="AX16" s="64">
        <v>43.915612500000002</v>
      </c>
      <c r="AY16" s="64">
        <v>44.425890625000001</v>
      </c>
      <c r="AZ16" s="65">
        <v>8552.98</v>
      </c>
      <c r="BA16" s="65">
        <v>4934.08</v>
      </c>
      <c r="BB16" s="65">
        <v>9.3879999999999999</v>
      </c>
      <c r="BC16" s="65">
        <v>27.756</v>
      </c>
      <c r="BE16" s="33">
        <f t="shared" si="14"/>
        <v>0</v>
      </c>
      <c r="BF16" s="33">
        <f t="shared" si="15"/>
        <v>7.2664451934767449E-5</v>
      </c>
      <c r="BG16" s="33"/>
      <c r="BI16" s="34"/>
      <c r="BJ16" s="34"/>
      <c r="BK16" s="34"/>
      <c r="BL16" s="34"/>
      <c r="BM16" s="34"/>
      <c r="BO16" s="34"/>
      <c r="BP16" s="34"/>
      <c r="BQ16" s="34"/>
      <c r="BR16" s="34"/>
      <c r="BS16" s="34"/>
      <c r="BU16" s="4">
        <f t="shared" si="16"/>
        <v>0</v>
      </c>
    </row>
    <row r="17" spans="1:73" outlineLevel="1" x14ac:dyDescent="0.25">
      <c r="A17" s="15"/>
      <c r="B17" s="15" t="s">
        <v>276</v>
      </c>
      <c r="C17" s="16" t="s">
        <v>268</v>
      </c>
      <c r="D17" s="15">
        <v>33947718</v>
      </c>
      <c r="E17" s="16">
        <v>10</v>
      </c>
      <c r="F17" s="16">
        <v>32</v>
      </c>
      <c r="G17" s="16">
        <v>30</v>
      </c>
      <c r="I17" s="17">
        <f t="shared" si="0"/>
        <v>3.4026299999999998</v>
      </c>
      <c r="J17" s="18">
        <f t="shared" si="1"/>
        <v>0.10691357810854915</v>
      </c>
      <c r="K17" s="18">
        <f t="shared" si="2"/>
        <v>6.7353530704675632E-2</v>
      </c>
      <c r="L17" s="18">
        <f t="shared" si="3"/>
        <v>4.3931632360875335E-2</v>
      </c>
      <c r="M17" s="18">
        <f t="shared" si="4"/>
        <v>3.9556905317366838E-2</v>
      </c>
      <c r="N17" s="15">
        <f t="shared" si="5"/>
        <v>2286498.6666666698</v>
      </c>
      <c r="O17" s="18">
        <f t="shared" si="6"/>
        <v>0.10600142372152302</v>
      </c>
      <c r="P17" s="58">
        <v>34239842</v>
      </c>
      <c r="Q17" s="58">
        <v>1069995.0625</v>
      </c>
      <c r="R17" s="58">
        <v>40498.25</v>
      </c>
      <c r="S17" s="59">
        <v>3629472</v>
      </c>
      <c r="T17" s="59">
        <v>1491378.66666667</v>
      </c>
      <c r="U17" s="59">
        <v>795120</v>
      </c>
      <c r="V17" s="59">
        <v>1342866.66666667</v>
      </c>
      <c r="W17" s="60">
        <v>69.468378125000001</v>
      </c>
      <c r="X17" s="60">
        <v>71.867181250000002</v>
      </c>
      <c r="Y17" s="60">
        <v>34.163890625000001</v>
      </c>
      <c r="Z17" s="60">
        <v>45.253209374999997</v>
      </c>
      <c r="AA17" s="60">
        <v>45.705962499999998</v>
      </c>
      <c r="AB17" s="22"/>
      <c r="AC17" s="22"/>
      <c r="AD17" s="22"/>
      <c r="AE17" s="22"/>
      <c r="AG17" s="17">
        <f t="shared" si="7"/>
        <v>3.4026299999999998</v>
      </c>
      <c r="AH17" s="18">
        <f t="shared" si="8"/>
        <v>0.10691357810854915</v>
      </c>
      <c r="AI17" s="18">
        <f t="shared" si="9"/>
        <v>6.7359107908225233E-2</v>
      </c>
      <c r="AJ17" s="18">
        <f t="shared" si="10"/>
        <v>4.3933439060616683E-2</v>
      </c>
      <c r="AK17" s="18">
        <f t="shared" si="11"/>
        <v>3.9558712017108193E-2</v>
      </c>
      <c r="AL17" s="15">
        <f t="shared" si="12"/>
        <v>2286688</v>
      </c>
      <c r="AM17" s="18">
        <f t="shared" si="13"/>
        <v>0.10600142372152302</v>
      </c>
      <c r="AN17" s="58">
        <v>34239842</v>
      </c>
      <c r="AO17" s="58">
        <v>1069995.0625</v>
      </c>
      <c r="AP17" s="58">
        <v>40498.25</v>
      </c>
      <c r="AQ17" s="59">
        <v>3629472</v>
      </c>
      <c r="AR17" s="59">
        <v>1491440</v>
      </c>
      <c r="AS17" s="59">
        <v>795248</v>
      </c>
      <c r="AT17" s="59">
        <v>1342928</v>
      </c>
      <c r="AU17" s="60">
        <v>69.468378125000001</v>
      </c>
      <c r="AV17" s="60">
        <v>71.867181250000002</v>
      </c>
      <c r="AW17" s="60">
        <v>34.163890625000001</v>
      </c>
      <c r="AX17" s="60">
        <v>45.253209374999997</v>
      </c>
      <c r="AY17" s="60">
        <v>45.705962499999998</v>
      </c>
      <c r="AZ17" s="61">
        <v>8920.56</v>
      </c>
      <c r="BA17" s="61">
        <v>5271.1</v>
      </c>
      <c r="BB17" s="61">
        <v>9.0359999999999996</v>
      </c>
      <c r="BC17" s="61">
        <v>26.507999999999999</v>
      </c>
      <c r="BE17" s="23">
        <f t="shared" si="14"/>
        <v>0</v>
      </c>
      <c r="BF17" s="23">
        <f t="shared" si="15"/>
        <v>5.2165530779690883E-5</v>
      </c>
      <c r="BG17" s="23"/>
      <c r="BI17" s="24"/>
      <c r="BJ17" s="24"/>
      <c r="BK17" s="24"/>
      <c r="BL17" s="24"/>
      <c r="BM17" s="24"/>
      <c r="BO17" s="24"/>
      <c r="BP17" s="24"/>
      <c r="BQ17" s="24"/>
      <c r="BR17" s="24"/>
      <c r="BS17" s="24"/>
      <c r="BU17" s="4">
        <f t="shared" si="16"/>
        <v>0</v>
      </c>
    </row>
    <row r="18" spans="1:73" outlineLevel="1" x14ac:dyDescent="0.25">
      <c r="A18" s="25"/>
      <c r="B18" s="25" t="s">
        <v>276</v>
      </c>
      <c r="C18" s="26" t="s">
        <v>269</v>
      </c>
      <c r="D18" s="25">
        <v>33947718</v>
      </c>
      <c r="E18" s="26">
        <v>10</v>
      </c>
      <c r="F18" s="26">
        <v>32</v>
      </c>
      <c r="G18" s="26">
        <v>30</v>
      </c>
      <c r="I18" s="27">
        <f t="shared" si="0"/>
        <v>6.1873950000000004</v>
      </c>
      <c r="J18" s="28">
        <f t="shared" si="1"/>
        <v>0.1944133034214553</v>
      </c>
      <c r="K18" s="28">
        <f t="shared" si="2"/>
        <v>9.5223445259757067E-2</v>
      </c>
      <c r="L18" s="28">
        <f t="shared" si="3"/>
        <v>7.1801546915956763E-2</v>
      </c>
      <c r="M18" s="28">
        <f t="shared" si="4"/>
        <v>9.9186716075191556E-2</v>
      </c>
      <c r="N18" s="25">
        <f t="shared" si="5"/>
        <v>3232618.6666666698</v>
      </c>
      <c r="O18" s="28">
        <f t="shared" si="6"/>
        <v>0.18559803429223717</v>
      </c>
      <c r="P18" s="62">
        <v>35560118</v>
      </c>
      <c r="Q18" s="62">
        <v>1111253.6875</v>
      </c>
      <c r="R18" s="62">
        <v>45639.40625</v>
      </c>
      <c r="S18" s="63">
        <v>6599888</v>
      </c>
      <c r="T18" s="63">
        <v>2437498.6666666698</v>
      </c>
      <c r="U18" s="63">
        <v>795120</v>
      </c>
      <c r="V18" s="63">
        <v>3367162.6666666698</v>
      </c>
      <c r="W18" s="64">
        <v>70.4932625</v>
      </c>
      <c r="X18" s="64">
        <v>73.121421874999996</v>
      </c>
      <c r="Y18" s="64">
        <v>36.5251375</v>
      </c>
      <c r="Z18" s="64">
        <v>46.468596875000003</v>
      </c>
      <c r="AA18" s="64">
        <v>46.962015624999999</v>
      </c>
      <c r="AB18" s="32"/>
      <c r="AC18" s="32"/>
      <c r="AD18" s="32"/>
      <c r="AE18" s="32"/>
      <c r="AG18" s="27">
        <f t="shared" si="7"/>
        <v>6.1873950000000004</v>
      </c>
      <c r="AH18" s="28">
        <f t="shared" si="8"/>
        <v>0.1944133034214553</v>
      </c>
      <c r="AI18" s="28">
        <f t="shared" si="9"/>
        <v>9.5229022463306667E-2</v>
      </c>
      <c r="AJ18" s="28">
        <f t="shared" si="10"/>
        <v>7.1803353615698118E-2</v>
      </c>
      <c r="AK18" s="28">
        <f t="shared" si="11"/>
        <v>9.9188522774932911E-2</v>
      </c>
      <c r="AL18" s="25">
        <f t="shared" si="12"/>
        <v>3232808</v>
      </c>
      <c r="AM18" s="28">
        <f t="shared" si="13"/>
        <v>0.18559803429223717</v>
      </c>
      <c r="AN18" s="62">
        <v>35560118</v>
      </c>
      <c r="AO18" s="62">
        <v>1111253.6875</v>
      </c>
      <c r="AP18" s="62">
        <v>45639.40625</v>
      </c>
      <c r="AQ18" s="63">
        <v>6599888</v>
      </c>
      <c r="AR18" s="63">
        <v>2437560</v>
      </c>
      <c r="AS18" s="63">
        <v>795248</v>
      </c>
      <c r="AT18" s="63">
        <v>3367224</v>
      </c>
      <c r="AU18" s="64">
        <v>70.4932625</v>
      </c>
      <c r="AV18" s="64">
        <v>73.121421874999996</v>
      </c>
      <c r="AW18" s="64">
        <v>36.5251375</v>
      </c>
      <c r="AX18" s="64">
        <v>46.468596875000003</v>
      </c>
      <c r="AY18" s="64">
        <v>46.962015624999999</v>
      </c>
      <c r="AZ18" s="65">
        <v>10340.299999999999</v>
      </c>
      <c r="BA18" s="65">
        <v>6007.31</v>
      </c>
      <c r="BB18" s="65">
        <v>10.055999999999999</v>
      </c>
      <c r="BC18" s="65">
        <v>28.564</v>
      </c>
      <c r="BE18" s="33">
        <f t="shared" si="14"/>
        <v>0</v>
      </c>
      <c r="BF18" s="33">
        <f t="shared" si="15"/>
        <v>2.8687355502099443E-5</v>
      </c>
      <c r="BG18" s="33"/>
      <c r="BI18" s="34"/>
      <c r="BJ18" s="34"/>
      <c r="BK18" s="34"/>
      <c r="BL18" s="34"/>
      <c r="BM18" s="34"/>
      <c r="BO18" s="34"/>
      <c r="BP18" s="34"/>
      <c r="BQ18" s="34"/>
      <c r="BR18" s="34"/>
      <c r="BS18" s="34"/>
      <c r="BU18" s="4">
        <f t="shared" si="16"/>
        <v>0</v>
      </c>
    </row>
    <row r="19" spans="1:73" ht="15.75" outlineLevel="1" thickBot="1" x14ac:dyDescent="0.3">
      <c r="A19" s="15"/>
      <c r="B19" s="35" t="s">
        <v>276</v>
      </c>
      <c r="C19" s="36" t="s">
        <v>270</v>
      </c>
      <c r="D19" s="35">
        <v>33947718</v>
      </c>
      <c r="E19" s="36">
        <v>10</v>
      </c>
      <c r="F19" s="36">
        <v>32</v>
      </c>
      <c r="G19" s="36">
        <v>30</v>
      </c>
      <c r="I19" s="37">
        <f t="shared" si="0"/>
        <v>14.540940000000001</v>
      </c>
      <c r="J19" s="38">
        <f t="shared" si="1"/>
        <v>0.4568889137113723</v>
      </c>
      <c r="K19" s="38">
        <f t="shared" si="2"/>
        <v>0.16535410912352547</v>
      </c>
      <c r="L19" s="38">
        <f t="shared" si="3"/>
        <v>0.11670188454689855</v>
      </c>
      <c r="M19" s="38">
        <f t="shared" si="4"/>
        <v>0.29153166250134016</v>
      </c>
      <c r="N19" s="35">
        <f t="shared" si="5"/>
        <v>5613394.6666666698</v>
      </c>
      <c r="O19" s="38">
        <f t="shared" si="6"/>
        <v>0.46137573075231081</v>
      </c>
      <c r="P19" s="66">
        <v>33617581</v>
      </c>
      <c r="Q19" s="66">
        <v>1050549.40625</v>
      </c>
      <c r="R19" s="66">
        <v>19923.5625</v>
      </c>
      <c r="S19" s="67">
        <v>15510336</v>
      </c>
      <c r="T19" s="67">
        <v>3961762.6666666698</v>
      </c>
      <c r="U19" s="67">
        <v>1651632</v>
      </c>
      <c r="V19" s="67">
        <v>9896834.6666666698</v>
      </c>
      <c r="W19" s="68">
        <v>71.522968750000004</v>
      </c>
      <c r="X19" s="68">
        <v>75.136296874999999</v>
      </c>
      <c r="Y19" s="68">
        <v>38.812965624999997</v>
      </c>
      <c r="Z19" s="68">
        <v>48.258625000000002</v>
      </c>
      <c r="AA19" s="68">
        <v>48.851871875000001</v>
      </c>
      <c r="AB19" s="42"/>
      <c r="AC19" s="42"/>
      <c r="AD19" s="42"/>
      <c r="AE19" s="42"/>
      <c r="AG19" s="37">
        <f t="shared" si="7"/>
        <v>14.540940000000001</v>
      </c>
      <c r="AH19" s="38">
        <f t="shared" si="8"/>
        <v>0.4568889137113723</v>
      </c>
      <c r="AI19" s="38">
        <f t="shared" si="9"/>
        <v>0.16535968632707507</v>
      </c>
      <c r="AJ19" s="38">
        <f t="shared" si="10"/>
        <v>0.1167036912466399</v>
      </c>
      <c r="AK19" s="38">
        <f t="shared" si="11"/>
        <v>0.29153346920108147</v>
      </c>
      <c r="AL19" s="35">
        <f t="shared" si="12"/>
        <v>5613584</v>
      </c>
      <c r="AM19" s="38">
        <f t="shared" si="13"/>
        <v>0.46137573075231081</v>
      </c>
      <c r="AN19" s="66">
        <v>33617581</v>
      </c>
      <c r="AO19" s="66">
        <v>1050549.40625</v>
      </c>
      <c r="AP19" s="66">
        <v>19923.5625</v>
      </c>
      <c r="AQ19" s="67">
        <v>15510336</v>
      </c>
      <c r="AR19" s="67">
        <v>3961824</v>
      </c>
      <c r="AS19" s="67">
        <v>1651760</v>
      </c>
      <c r="AT19" s="67">
        <v>9896896</v>
      </c>
      <c r="AU19" s="68">
        <v>71.522968749999905</v>
      </c>
      <c r="AV19" s="68">
        <v>75.1362968749999</v>
      </c>
      <c r="AW19" s="68">
        <v>38.812965624999997</v>
      </c>
      <c r="AX19" s="68">
        <v>48.258624999999903</v>
      </c>
      <c r="AY19" s="68">
        <v>48.851871874999901</v>
      </c>
      <c r="AZ19" s="69">
        <v>10370.4</v>
      </c>
      <c r="BA19" s="69">
        <v>6932.22</v>
      </c>
      <c r="BB19" s="69">
        <v>7.2320000000000002</v>
      </c>
      <c r="BC19" s="69">
        <v>23.108000000000001</v>
      </c>
      <c r="BE19" s="43">
        <f t="shared" si="14"/>
        <v>0</v>
      </c>
      <c r="BF19" s="43">
        <f t="shared" si="15"/>
        <v>1.2206913720669288E-5</v>
      </c>
      <c r="BG19" s="43"/>
      <c r="BI19" s="44"/>
      <c r="BJ19" s="44"/>
      <c r="BK19" s="44"/>
      <c r="BL19" s="44"/>
      <c r="BM19" s="44"/>
      <c r="BO19" s="44"/>
      <c r="BP19" s="44"/>
      <c r="BQ19" s="44"/>
      <c r="BR19" s="44"/>
      <c r="BS19" s="44"/>
      <c r="BU19" s="4">
        <f t="shared" si="16"/>
        <v>0</v>
      </c>
    </row>
    <row r="20" spans="1:73" x14ac:dyDescent="0.25">
      <c r="A20" s="25"/>
      <c r="B20" s="25" t="s">
        <v>279</v>
      </c>
      <c r="C20" s="26" t="s">
        <v>266</v>
      </c>
      <c r="D20" s="25">
        <v>32209643</v>
      </c>
      <c r="E20" s="26">
        <v>10</v>
      </c>
      <c r="F20" s="26">
        <v>32</v>
      </c>
      <c r="G20" s="26">
        <v>50</v>
      </c>
      <c r="I20" s="27" t="str">
        <f t="shared" si="0"/>
        <v>·</v>
      </c>
      <c r="J20" s="28" t="str">
        <f t="shared" si="1"/>
        <v>·</v>
      </c>
      <c r="K20" s="28" t="str">
        <f t="shared" si="2"/>
        <v>·</v>
      </c>
      <c r="L20" s="28" t="str">
        <f t="shared" si="3"/>
        <v>·</v>
      </c>
      <c r="M20" s="28" t="str">
        <f t="shared" si="4"/>
        <v>·</v>
      </c>
      <c r="N20" s="25" t="str">
        <f t="shared" si="5"/>
        <v/>
      </c>
      <c r="O20" s="28" t="str">
        <f t="shared" si="6"/>
        <v>·</v>
      </c>
      <c r="P20" s="62"/>
      <c r="Q20" s="62"/>
      <c r="R20" s="62"/>
      <c r="S20" s="63"/>
      <c r="T20" s="63"/>
      <c r="U20" s="63"/>
      <c r="V20" s="63"/>
      <c r="W20" s="64"/>
      <c r="X20" s="64"/>
      <c r="Y20" s="64"/>
      <c r="Z20" s="64"/>
      <c r="AA20" s="64"/>
      <c r="AB20" s="32"/>
      <c r="AC20" s="32"/>
      <c r="AD20" s="32"/>
      <c r="AE20" s="32"/>
      <c r="AG20" s="27">
        <f t="shared" si="7"/>
        <v>2.2821625000000001</v>
      </c>
      <c r="AH20" s="28">
        <f t="shared" si="8"/>
        <v>4.5346171641827887E-2</v>
      </c>
      <c r="AI20" s="28">
        <f t="shared" si="9"/>
        <v>3.3996278692067464E-2</v>
      </c>
      <c r="AJ20" s="28">
        <f t="shared" si="10"/>
        <v>1.8871367186528581E-2</v>
      </c>
      <c r="AK20" s="28">
        <f t="shared" si="11"/>
        <v>1.1354363660596922E-2</v>
      </c>
      <c r="AL20" s="25">
        <f t="shared" si="12"/>
        <v>1095008</v>
      </c>
      <c r="AM20" s="28">
        <f t="shared" si="13"/>
        <v>4.7418777976849798E-2</v>
      </c>
      <c r="AN20" s="62">
        <v>30801806</v>
      </c>
      <c r="AO20" s="62">
        <v>962556.4375</v>
      </c>
      <c r="AP20" s="62">
        <v>28246.0625</v>
      </c>
      <c r="AQ20" s="63">
        <v>1460584</v>
      </c>
      <c r="AR20" s="63">
        <v>607840</v>
      </c>
      <c r="AS20" s="63">
        <v>487168</v>
      </c>
      <c r="AT20" s="63">
        <v>365720</v>
      </c>
      <c r="AU20" s="64">
        <v>67.130621874999903</v>
      </c>
      <c r="AV20" s="64">
        <v>68.790568749999906</v>
      </c>
      <c r="AW20" s="64">
        <v>30.041068749999901</v>
      </c>
      <c r="AX20" s="64">
        <v>39.297615624999999</v>
      </c>
      <c r="AY20" s="64">
        <v>37.967503125</v>
      </c>
      <c r="AZ20" s="65">
        <v>9185.1200000000008</v>
      </c>
      <c r="BA20" s="65">
        <v>3660.46</v>
      </c>
      <c r="BB20" s="65">
        <v>7.28</v>
      </c>
      <c r="BC20" s="65">
        <v>21.172000000000001</v>
      </c>
      <c r="BE20" s="33" t="e">
        <f t="shared" si="14"/>
        <v>#DIV/0!</v>
      </c>
      <c r="BF20" s="33" t="e">
        <f t="shared" si="15"/>
        <v>#VALUE!</v>
      </c>
      <c r="BG20" s="33" t="e">
        <f t="array" ref="BG20">AVERAGE(AL20:AL24/AQ20:AQ24) - AVERAGE(N20:N24/S20:S24)</f>
        <v>#VALUE!</v>
      </c>
      <c r="BI20" s="34" t="str">
        <f>IF( OR(ISBLANK(N20:N24),ISBLANK(AL20:AL24), ISBLANK(W20:W24),ISBLANK(AU20:AU24)), "·", bdRateExtend( N20:N24,W20:W24, AL20:AL24,AU20:AU24))</f>
        <v>·</v>
      </c>
      <c r="BJ20" s="34" t="str">
        <f>IF( OR(ISBLANK(N20:N24),ISBLANK(AL20:AL24), ISBLANK(X20:X24),ISBLANK(AV20:AV24)), "·", bdRateExtend( N20:N24,X20:X24, AL20:AL24,AV20:AV24))</f>
        <v>·</v>
      </c>
      <c r="BK20" s="34" t="str">
        <f>IF( OR(ISBLANK(V20:V24),ISBLANK(AT20:AT24), ISBLANK(Y20:Y24),ISBLANK(AW20:AW24)), "·", bdRateExtend( V20:V24,Y20:Y24, AT20:AT24,AW20:AW24))</f>
        <v>·</v>
      </c>
      <c r="BL20" s="34" t="str">
        <f>IF( OR(ISBLANK(V20:V24),ISBLANK(AT20:AT24), ISBLANK(Z20:Z24),ISBLANK(AX20:AX24)), "·", bdRateExtend( V20:V24,Z20:Z24, AT20:AT24,AX20:AX24))</f>
        <v>·</v>
      </c>
      <c r="BM20" s="34" t="str">
        <f>IF( OR(ISBLANK(V20:V24),ISBLANK(AT20:AT24), ISBLANK(AA20:AA24),ISBLANK(AY20:AY24)), "·", bdRateExtend( V20:V24,AA20:AA24, AT20:AT24,AY20:AY24))</f>
        <v>·</v>
      </c>
      <c r="BO20" s="34" t="str">
        <f>IF( OR(ISBLANK(S20:S24),ISBLANK(AQ20:AQ24), ISBLANK(W20:W24),ISBLANK(AU20:AU24)), "·", bdRateExtend( S20:S24,W20:W24, AQ20:AQ24,AU20:AU24))</f>
        <v>·</v>
      </c>
      <c r="BP20" s="34" t="str">
        <f>IF( OR(ISBLANK(S20:S24),ISBLANK(AQ20:AQ24), ISBLANK(X20:X24),ISBLANK(AV20:AV24)), "·", bdRateExtend( S20:S24,X20:X24, AQ20:AQ24,AV20:AV24))</f>
        <v>·</v>
      </c>
      <c r="BQ20" s="34" t="str">
        <f>IF( OR(ISBLANK(S20:S24),ISBLANK(AQ20:AQ24), ISBLANK(Y20:Y24),ISBLANK(AW20:AW24)), "·", bdRateExtend( S20:S24,Y20:Y24, AQ20:AQ24,AW20:AW24))</f>
        <v>·</v>
      </c>
      <c r="BR20" s="34" t="str">
        <f>IF( OR(ISBLANK(S20:S24),ISBLANK(AQ20:AQ24), ISBLANK(Z20:Z24),ISBLANK(AX20:AX24)), "·", bdRateExtend( S20:S24,Z20:Z24, AQ20:AQ24,AX20:AX24))</f>
        <v>·</v>
      </c>
      <c r="BS20" s="34" t="str">
        <f>IF( OR(ISBLANK(S20:S24),ISBLANK(AQ20:AQ24), ISBLANK(AA20:AA24),ISBLANK(AY20:AY24)), "·", bdRateExtend( S20:S24,AA20:AA24, AQ20:AQ24,AY20:AY24))</f>
        <v>·</v>
      </c>
      <c r="BU20" s="4">
        <f t="shared" si="16"/>
        <v>1460584</v>
      </c>
    </row>
    <row r="21" spans="1:73" outlineLevel="1" x14ac:dyDescent="0.25">
      <c r="A21" s="15"/>
      <c r="B21" s="15" t="s">
        <v>279</v>
      </c>
      <c r="C21" s="16" t="s">
        <v>267</v>
      </c>
      <c r="D21" s="15">
        <v>32209643</v>
      </c>
      <c r="E21" s="16">
        <v>10</v>
      </c>
      <c r="F21" s="16">
        <v>32</v>
      </c>
      <c r="G21" s="16">
        <v>50</v>
      </c>
      <c r="I21" s="17" t="str">
        <f t="shared" si="0"/>
        <v>·</v>
      </c>
      <c r="J21" s="18" t="str">
        <f t="shared" si="1"/>
        <v>·</v>
      </c>
      <c r="K21" s="18" t="str">
        <f t="shared" si="2"/>
        <v>·</v>
      </c>
      <c r="L21" s="18" t="str">
        <f t="shared" si="3"/>
        <v>·</v>
      </c>
      <c r="M21" s="18" t="str">
        <f t="shared" si="4"/>
        <v>·</v>
      </c>
      <c r="N21" s="15" t="str">
        <f t="shared" si="5"/>
        <v/>
      </c>
      <c r="O21" s="18" t="str">
        <f t="shared" si="6"/>
        <v>·</v>
      </c>
      <c r="P21" s="58"/>
      <c r="Q21" s="58"/>
      <c r="R21" s="58"/>
      <c r="S21" s="59"/>
      <c r="T21" s="59"/>
      <c r="U21" s="59"/>
      <c r="V21" s="59"/>
      <c r="W21" s="60"/>
      <c r="X21" s="60"/>
      <c r="Y21" s="60"/>
      <c r="Z21" s="60"/>
      <c r="AA21" s="60"/>
      <c r="AB21" s="22"/>
      <c r="AC21" s="22"/>
      <c r="AD21" s="22"/>
      <c r="AE21" s="22"/>
      <c r="AG21" s="17">
        <f t="shared" si="7"/>
        <v>3.1210874999999998</v>
      </c>
      <c r="AH21" s="18">
        <f t="shared" si="8"/>
        <v>6.201546536855438E-2</v>
      </c>
      <c r="AI21" s="18">
        <f t="shared" si="9"/>
        <v>3.9562313683513969E-2</v>
      </c>
      <c r="AJ21" s="18">
        <f t="shared" si="10"/>
        <v>2.4437402177975086E-2</v>
      </c>
      <c r="AK21" s="18">
        <f t="shared" si="11"/>
        <v>2.2457622395876911E-2</v>
      </c>
      <c r="AL21" s="15">
        <f t="shared" si="12"/>
        <v>1274288</v>
      </c>
      <c r="AM21" s="18">
        <f t="shared" si="13"/>
        <v>6.3156690592903547E-2</v>
      </c>
      <c r="AN21" s="58">
        <v>31627623</v>
      </c>
      <c r="AO21" s="58">
        <v>988363.21875</v>
      </c>
      <c r="AP21" s="58">
        <v>32272.96875</v>
      </c>
      <c r="AQ21" s="59">
        <v>1997496</v>
      </c>
      <c r="AR21" s="59">
        <v>787120</v>
      </c>
      <c r="AS21" s="59">
        <v>487168</v>
      </c>
      <c r="AT21" s="59">
        <v>723352</v>
      </c>
      <c r="AU21" s="60">
        <v>68.791021874999998</v>
      </c>
      <c r="AV21" s="60">
        <v>70.898106249999998</v>
      </c>
      <c r="AW21" s="60">
        <v>31.547462499999899</v>
      </c>
      <c r="AX21" s="60">
        <v>40.477543749999903</v>
      </c>
      <c r="AY21" s="60">
        <v>39.232834375000003</v>
      </c>
      <c r="AZ21" s="61">
        <v>10353.5</v>
      </c>
      <c r="BA21" s="61">
        <v>3848.29</v>
      </c>
      <c r="BB21" s="61">
        <v>7.548</v>
      </c>
      <c r="BC21" s="61">
        <v>20.507999999999999</v>
      </c>
      <c r="BE21" s="23" t="e">
        <f t="shared" si="14"/>
        <v>#DIV/0!</v>
      </c>
      <c r="BF21" s="23" t="e">
        <f t="shared" si="15"/>
        <v>#VALUE!</v>
      </c>
      <c r="BG21" s="23"/>
      <c r="BI21" s="24"/>
      <c r="BJ21" s="24"/>
      <c r="BK21" s="24"/>
      <c r="BL21" s="24"/>
      <c r="BM21" s="24"/>
      <c r="BO21" s="24"/>
      <c r="BP21" s="24"/>
      <c r="BQ21" s="24"/>
      <c r="BR21" s="24"/>
      <c r="BS21" s="24"/>
      <c r="BU21" s="4">
        <f t="shared" si="16"/>
        <v>1997496</v>
      </c>
    </row>
    <row r="22" spans="1:73" outlineLevel="1" x14ac:dyDescent="0.25">
      <c r="A22" s="25"/>
      <c r="B22" s="25" t="s">
        <v>279</v>
      </c>
      <c r="C22" s="26" t="s">
        <v>268</v>
      </c>
      <c r="D22" s="25">
        <v>32209643</v>
      </c>
      <c r="E22" s="26">
        <v>10</v>
      </c>
      <c r="F22" s="26">
        <v>32</v>
      </c>
      <c r="G22" s="26">
        <v>50</v>
      </c>
      <c r="I22" s="27" t="str">
        <f t="shared" si="0"/>
        <v>·</v>
      </c>
      <c r="J22" s="28" t="str">
        <f t="shared" si="1"/>
        <v>·</v>
      </c>
      <c r="K22" s="28" t="str">
        <f t="shared" si="2"/>
        <v>·</v>
      </c>
      <c r="L22" s="28" t="str">
        <f t="shared" si="3"/>
        <v>·</v>
      </c>
      <c r="M22" s="28" t="str">
        <f t="shared" si="4"/>
        <v>·</v>
      </c>
      <c r="N22" s="25" t="str">
        <f t="shared" si="5"/>
        <v/>
      </c>
      <c r="O22" s="28" t="str">
        <f t="shared" si="6"/>
        <v>·</v>
      </c>
      <c r="P22" s="62"/>
      <c r="Q22" s="62"/>
      <c r="R22" s="62"/>
      <c r="S22" s="63"/>
      <c r="T22" s="63"/>
      <c r="U22" s="63"/>
      <c r="V22" s="63"/>
      <c r="W22" s="64"/>
      <c r="X22" s="64"/>
      <c r="Y22" s="64"/>
      <c r="Z22" s="64"/>
      <c r="AA22" s="64"/>
      <c r="AB22" s="32"/>
      <c r="AC22" s="32"/>
      <c r="AD22" s="32"/>
      <c r="AE22" s="32"/>
      <c r="AG22" s="27">
        <f t="shared" si="7"/>
        <v>5.10365</v>
      </c>
      <c r="AH22" s="28">
        <f t="shared" si="8"/>
        <v>0.10140863715875398</v>
      </c>
      <c r="AI22" s="28">
        <f t="shared" si="9"/>
        <v>4.6561956616532507E-2</v>
      </c>
      <c r="AJ22" s="28">
        <f t="shared" si="10"/>
        <v>3.1437045110993621E-2</v>
      </c>
      <c r="AK22" s="28">
        <f t="shared" si="11"/>
        <v>5.4851151253057971E-2</v>
      </c>
      <c r="AL22" s="25">
        <f t="shared" si="12"/>
        <v>1499744</v>
      </c>
      <c r="AM22" s="28">
        <f t="shared" si="13"/>
        <v>9.9745744751672083E-2</v>
      </c>
      <c r="AN22" s="62">
        <v>32746620</v>
      </c>
      <c r="AO22" s="62">
        <v>1023331.875</v>
      </c>
      <c r="AP22" s="62">
        <v>34640.1875</v>
      </c>
      <c r="AQ22" s="63">
        <v>3266336</v>
      </c>
      <c r="AR22" s="63">
        <v>1012576</v>
      </c>
      <c r="AS22" s="63">
        <v>487168</v>
      </c>
      <c r="AT22" s="63">
        <v>1766736</v>
      </c>
      <c r="AU22" s="64">
        <v>70.003465624999905</v>
      </c>
      <c r="AV22" s="64">
        <v>72.449924999999993</v>
      </c>
      <c r="AW22" s="64">
        <v>33.569618749999997</v>
      </c>
      <c r="AX22" s="64">
        <v>41.681912499999903</v>
      </c>
      <c r="AY22" s="64">
        <v>40.571950000000001</v>
      </c>
      <c r="AZ22" s="65">
        <v>9120.98</v>
      </c>
      <c r="BA22" s="65">
        <v>4041.84</v>
      </c>
      <c r="BB22" s="65">
        <v>6.9119999999999999</v>
      </c>
      <c r="BC22" s="65">
        <v>19.02</v>
      </c>
      <c r="BE22" s="33" t="e">
        <f t="shared" si="14"/>
        <v>#DIV/0!</v>
      </c>
      <c r="BF22" s="33" t="e">
        <f t="shared" si="15"/>
        <v>#VALUE!</v>
      </c>
      <c r="BG22" s="33"/>
      <c r="BI22" s="34"/>
      <c r="BJ22" s="34"/>
      <c r="BK22" s="34"/>
      <c r="BL22" s="34"/>
      <c r="BM22" s="34"/>
      <c r="BO22" s="34"/>
      <c r="BP22" s="34"/>
      <c r="BQ22" s="34"/>
      <c r="BR22" s="34"/>
      <c r="BS22" s="34"/>
      <c r="BU22" s="4">
        <f t="shared" si="16"/>
        <v>3266336</v>
      </c>
    </row>
    <row r="23" spans="1:73" outlineLevel="1" x14ac:dyDescent="0.25">
      <c r="A23" s="15"/>
      <c r="B23" s="15" t="s">
        <v>279</v>
      </c>
      <c r="C23" s="16" t="s">
        <v>269</v>
      </c>
      <c r="D23" s="15">
        <v>32209643</v>
      </c>
      <c r="E23" s="16">
        <v>10</v>
      </c>
      <c r="F23" s="16">
        <v>32</v>
      </c>
      <c r="G23" s="16">
        <v>50</v>
      </c>
      <c r="I23" s="17" t="str">
        <f t="shared" si="0"/>
        <v>·</v>
      </c>
      <c r="J23" s="18" t="str">
        <f t="shared" si="1"/>
        <v>·</v>
      </c>
      <c r="K23" s="18" t="str">
        <f t="shared" si="2"/>
        <v>·</v>
      </c>
      <c r="L23" s="18" t="str">
        <f t="shared" si="3"/>
        <v>·</v>
      </c>
      <c r="M23" s="18" t="str">
        <f t="shared" si="4"/>
        <v>·</v>
      </c>
      <c r="N23" s="15" t="str">
        <f t="shared" si="5"/>
        <v/>
      </c>
      <c r="O23" s="18" t="str">
        <f t="shared" si="6"/>
        <v>·</v>
      </c>
      <c r="P23" s="58"/>
      <c r="Q23" s="58"/>
      <c r="R23" s="58"/>
      <c r="S23" s="59"/>
      <c r="T23" s="59"/>
      <c r="U23" s="59"/>
      <c r="V23" s="59"/>
      <c r="W23" s="60"/>
      <c r="X23" s="60"/>
      <c r="Y23" s="60"/>
      <c r="Z23" s="60"/>
      <c r="AA23" s="60"/>
      <c r="AB23" s="22"/>
      <c r="AC23" s="22"/>
      <c r="AD23" s="22"/>
      <c r="AE23" s="22"/>
      <c r="AG23" s="17">
        <f t="shared" si="7"/>
        <v>9.4714875000000003</v>
      </c>
      <c r="AH23" s="18">
        <f t="shared" si="8"/>
        <v>0.18819680801802119</v>
      </c>
      <c r="AI23" s="18">
        <f t="shared" si="9"/>
        <v>6.6090518296027065E-2</v>
      </c>
      <c r="AJ23" s="18">
        <f t="shared" si="10"/>
        <v>5.0965606790488178E-2</v>
      </c>
      <c r="AK23" s="18">
        <f t="shared" si="11"/>
        <v>0.12211076043283063</v>
      </c>
      <c r="AL23" s="15">
        <f t="shared" si="12"/>
        <v>2128752</v>
      </c>
      <c r="AM23" s="18">
        <f t="shared" si="13"/>
        <v>0.18341035955710547</v>
      </c>
      <c r="AN23" s="58">
        <v>33050216</v>
      </c>
      <c r="AO23" s="58">
        <v>1032819.25</v>
      </c>
      <c r="AP23" s="58">
        <v>36820.71875</v>
      </c>
      <c r="AQ23" s="59">
        <v>6061752</v>
      </c>
      <c r="AR23" s="59">
        <v>1641584</v>
      </c>
      <c r="AS23" s="59">
        <v>487168</v>
      </c>
      <c r="AT23" s="59">
        <v>3933144</v>
      </c>
      <c r="AU23" s="60">
        <v>70.935637499999999</v>
      </c>
      <c r="AV23" s="60">
        <v>73.669268750000001</v>
      </c>
      <c r="AW23" s="60">
        <v>35.486553125</v>
      </c>
      <c r="AX23" s="60">
        <v>42.753943749999998</v>
      </c>
      <c r="AY23" s="60">
        <v>41.608881250000003</v>
      </c>
      <c r="AZ23" s="61">
        <v>9144.9</v>
      </c>
      <c r="BA23" s="61">
        <v>4355.53</v>
      </c>
      <c r="BB23" s="61">
        <v>8.0440000000000005</v>
      </c>
      <c r="BC23" s="61">
        <v>22.908000000000001</v>
      </c>
      <c r="BE23" s="23" t="e">
        <f t="shared" si="14"/>
        <v>#DIV/0!</v>
      </c>
      <c r="BF23" s="23" t="e">
        <f t="shared" si="15"/>
        <v>#VALUE!</v>
      </c>
      <c r="BG23" s="23"/>
      <c r="BI23" s="24"/>
      <c r="BJ23" s="24"/>
      <c r="BK23" s="24"/>
      <c r="BL23" s="24"/>
      <c r="BM23" s="24"/>
      <c r="BO23" s="24"/>
      <c r="BP23" s="24"/>
      <c r="BQ23" s="24"/>
      <c r="BR23" s="24"/>
      <c r="BS23" s="24"/>
      <c r="BU23" s="4">
        <f t="shared" si="16"/>
        <v>6061752</v>
      </c>
    </row>
    <row r="24" spans="1:73" ht="15.75" outlineLevel="1" thickBot="1" x14ac:dyDescent="0.3">
      <c r="A24" s="45"/>
      <c r="B24" s="45" t="s">
        <v>279</v>
      </c>
      <c r="C24" s="46" t="s">
        <v>270</v>
      </c>
      <c r="D24" s="45">
        <v>32209643</v>
      </c>
      <c r="E24" s="46">
        <v>10</v>
      </c>
      <c r="F24" s="46">
        <v>32</v>
      </c>
      <c r="G24" s="46">
        <v>50</v>
      </c>
      <c r="I24" s="47" t="str">
        <f t="shared" si="0"/>
        <v>·</v>
      </c>
      <c r="J24" s="48" t="str">
        <f t="shared" si="1"/>
        <v>·</v>
      </c>
      <c r="K24" s="48" t="str">
        <f t="shared" si="2"/>
        <v>·</v>
      </c>
      <c r="L24" s="48" t="str">
        <f t="shared" si="3"/>
        <v>·</v>
      </c>
      <c r="M24" s="48" t="str">
        <f t="shared" si="4"/>
        <v>·</v>
      </c>
      <c r="N24" s="45" t="str">
        <f t="shared" si="5"/>
        <v/>
      </c>
      <c r="O24" s="48" t="str">
        <f t="shared" si="6"/>
        <v>·</v>
      </c>
      <c r="P24" s="70"/>
      <c r="Q24" s="70"/>
      <c r="R24" s="70"/>
      <c r="S24" s="71"/>
      <c r="T24" s="71"/>
      <c r="U24" s="71"/>
      <c r="V24" s="71"/>
      <c r="W24" s="72"/>
      <c r="X24" s="72"/>
      <c r="Y24" s="72"/>
      <c r="Z24" s="72"/>
      <c r="AA24" s="72"/>
      <c r="AB24" s="52"/>
      <c r="AC24" s="52"/>
      <c r="AD24" s="52"/>
      <c r="AE24" s="52"/>
      <c r="AG24" s="47">
        <f t="shared" si="7"/>
        <v>18.404050000000002</v>
      </c>
      <c r="AH24" s="48">
        <f t="shared" si="8"/>
        <v>0.36568527009132018</v>
      </c>
      <c r="AI24" s="48">
        <f t="shared" si="9"/>
        <v>0.11236361731795662</v>
      </c>
      <c r="AJ24" s="48">
        <f t="shared" si="10"/>
        <v>8.0886087436610216E-2</v>
      </c>
      <c r="AK24" s="48">
        <f t="shared" si="11"/>
        <v>0.25332612348420008</v>
      </c>
      <c r="AL24" s="45">
        <f t="shared" si="12"/>
        <v>3619192</v>
      </c>
      <c r="AM24" s="48">
        <f t="shared" si="13"/>
        <v>0.37401188172660838</v>
      </c>
      <c r="AN24" s="70">
        <v>31492561</v>
      </c>
      <c r="AO24" s="70">
        <v>984142.53125</v>
      </c>
      <c r="AP24" s="70">
        <v>17732.5</v>
      </c>
      <c r="AQ24" s="71">
        <v>11778592</v>
      </c>
      <c r="AR24" s="71">
        <v>2605312</v>
      </c>
      <c r="AS24" s="71">
        <v>1013880</v>
      </c>
      <c r="AT24" s="71">
        <v>8159544</v>
      </c>
      <c r="AU24" s="72">
        <v>71.941287500000001</v>
      </c>
      <c r="AV24" s="72">
        <v>75.855562500000005</v>
      </c>
      <c r="AW24" s="72">
        <v>36.955393749999899</v>
      </c>
      <c r="AX24" s="72">
        <v>43.6213499999999</v>
      </c>
      <c r="AY24" s="72">
        <v>42.239159375</v>
      </c>
      <c r="AZ24" s="73">
        <v>9119.64</v>
      </c>
      <c r="BA24" s="73">
        <v>4928.38</v>
      </c>
      <c r="BB24" s="73">
        <v>6.68</v>
      </c>
      <c r="BC24" s="73">
        <v>20.716000000000001</v>
      </c>
      <c r="BE24" s="53" t="e">
        <f t="shared" si="14"/>
        <v>#DIV/0!</v>
      </c>
      <c r="BF24" s="53" t="e">
        <f t="shared" si="15"/>
        <v>#VALUE!</v>
      </c>
      <c r="BG24" s="53"/>
      <c r="BI24" s="54"/>
      <c r="BJ24" s="54"/>
      <c r="BK24" s="54"/>
      <c r="BL24" s="54"/>
      <c r="BM24" s="54"/>
      <c r="BO24" s="54"/>
      <c r="BP24" s="54"/>
      <c r="BQ24" s="54"/>
      <c r="BR24" s="54"/>
      <c r="BS24" s="54"/>
      <c r="BU24" s="4">
        <f t="shared" si="16"/>
        <v>11778592</v>
      </c>
    </row>
    <row r="25" spans="1:73" x14ac:dyDescent="0.25">
      <c r="A25" s="15" t="s">
        <v>283</v>
      </c>
      <c r="B25" s="15" t="s">
        <v>282</v>
      </c>
      <c r="C25" s="16" t="s">
        <v>266</v>
      </c>
      <c r="D25" s="15">
        <v>25312408</v>
      </c>
      <c r="E25" s="16">
        <v>10</v>
      </c>
      <c r="F25" s="16">
        <v>32</v>
      </c>
      <c r="G25" s="16">
        <v>30</v>
      </c>
      <c r="I25" s="17">
        <f t="shared" si="0"/>
        <v>2.2620149999999999</v>
      </c>
      <c r="J25" s="18">
        <f t="shared" si="1"/>
        <v>9.5321472378289737E-2</v>
      </c>
      <c r="K25" s="18">
        <f t="shared" si="2"/>
        <v>6.1183063526262176E-2</v>
      </c>
      <c r="L25" s="18">
        <f t="shared" si="3"/>
        <v>3.5995732475024383E-2</v>
      </c>
      <c r="M25" s="18">
        <f t="shared" si="4"/>
        <v>3.4134194844941936E-2</v>
      </c>
      <c r="N25" s="15">
        <f t="shared" si="5"/>
        <v>1548690.666666667</v>
      </c>
      <c r="O25" s="18">
        <f t="shared" si="6"/>
        <v>0.10358448985384887</v>
      </c>
      <c r="P25" s="58">
        <v>23293217</v>
      </c>
      <c r="Q25" s="58">
        <v>727913.03125</v>
      </c>
      <c r="R25" s="58">
        <v>18037.96875</v>
      </c>
      <c r="S25" s="59">
        <v>2412816</v>
      </c>
      <c r="T25" s="59">
        <v>911138.66666666698</v>
      </c>
      <c r="U25" s="59">
        <v>637552</v>
      </c>
      <c r="V25" s="59">
        <v>864018.66666666698</v>
      </c>
      <c r="W25" s="60">
        <v>66.258609375000006</v>
      </c>
      <c r="X25" s="60">
        <v>68.024615624999996</v>
      </c>
      <c r="Y25" s="60">
        <v>26.0055625</v>
      </c>
      <c r="Z25" s="60">
        <v>32.538881250000003</v>
      </c>
      <c r="AA25" s="60">
        <v>31.726471875000001</v>
      </c>
      <c r="AB25" s="22"/>
      <c r="AC25" s="22"/>
      <c r="AD25" s="22"/>
      <c r="AE25" s="22"/>
      <c r="AG25" s="17">
        <f t="shared" si="7"/>
        <v>2.2620149999999999</v>
      </c>
      <c r="AH25" s="18">
        <f t="shared" si="8"/>
        <v>9.5321472378289737E-2</v>
      </c>
      <c r="AI25" s="18">
        <f t="shared" si="9"/>
        <v>6.1190543388839183E-2</v>
      </c>
      <c r="AJ25" s="18">
        <f t="shared" si="10"/>
        <v>3.5998155529098616E-2</v>
      </c>
      <c r="AK25" s="18">
        <f t="shared" si="11"/>
        <v>3.4136617899016168E-2</v>
      </c>
      <c r="AL25" s="15">
        <f t="shared" si="12"/>
        <v>1548880</v>
      </c>
      <c r="AM25" s="18">
        <f t="shared" si="13"/>
        <v>0.10358448985384887</v>
      </c>
      <c r="AN25" s="58">
        <v>23293217</v>
      </c>
      <c r="AO25" s="58">
        <v>727913.03125</v>
      </c>
      <c r="AP25" s="58">
        <v>18037.96875</v>
      </c>
      <c r="AQ25" s="59">
        <v>2412816</v>
      </c>
      <c r="AR25" s="59">
        <v>911200</v>
      </c>
      <c r="AS25" s="59">
        <v>637680</v>
      </c>
      <c r="AT25" s="59">
        <v>864080</v>
      </c>
      <c r="AU25" s="60">
        <v>66.258609374999907</v>
      </c>
      <c r="AV25" s="60">
        <v>68.024615624999996</v>
      </c>
      <c r="AW25" s="60">
        <v>26.0055624999999</v>
      </c>
      <c r="AX25" s="60">
        <v>32.538881249999903</v>
      </c>
      <c r="AY25" s="60">
        <v>31.726471875000001</v>
      </c>
      <c r="AZ25" s="61">
        <v>6095.81</v>
      </c>
      <c r="BA25" s="61">
        <v>6282.74</v>
      </c>
      <c r="BB25" s="61">
        <v>6.24</v>
      </c>
      <c r="BC25" s="61">
        <v>26.86</v>
      </c>
      <c r="BE25" s="23">
        <f t="shared" si="14"/>
        <v>0</v>
      </c>
      <c r="BF25" s="23">
        <f t="shared" si="15"/>
        <v>7.8469859837171363E-5</v>
      </c>
      <c r="BG25" s="23">
        <f t="array" ref="BG25">AVERAGE(AL25:AL29/AQ25:AQ29) - AVERAGE(N25:N29/S25:S29)</f>
        <v>3.6249645884334214E-5</v>
      </c>
      <c r="BI25" s="24">
        <f>IF( OR(ISBLANK(N25:N29),ISBLANK(AL25:AL29), ISBLANK(W25:W29),ISBLANK(AU25:AU29)), "·", bdRateExtend( N25:N29,W25:W29, AL25:AL29,AU25:AU29))</f>
        <v>8.4623386176874149E-5</v>
      </c>
      <c r="BJ25" s="24">
        <f>IF( OR(ISBLANK(N25:N29),ISBLANK(AL25:AL29), ISBLANK(X25:X29),ISBLANK(AV25:AV29)), "·", bdRateExtend( N25:N29,X25:X29, AL25:AL29,AV25:AV29))</f>
        <v>8.0051981318218779E-5</v>
      </c>
      <c r="BK25" s="24">
        <f>IF( OR(ISBLANK(V25:V29),ISBLANK(AT25:AT29), ISBLANK(Y25:Y29),ISBLANK(AW25:AW29)), "·", bdRateExtend( V25:V29,Y25:Y29, AT25:AT29,AW25:AW29))</f>
        <v>2.0550688687448471E-5</v>
      </c>
      <c r="BL25" s="24">
        <f>IF( OR(ISBLANK(V25:V29),ISBLANK(AT25:AT29), ISBLANK(Z25:Z29),ISBLANK(AX25:AX29)), "·", bdRateExtend( V25:V29,Z25:Z29, AT25:AT29,AX25:AX29))</f>
        <v>1.9276611437524238E-5</v>
      </c>
      <c r="BM25" s="24">
        <f>IF( OR(ISBLANK(V25:V29),ISBLANK(AT25:AT29), ISBLANK(AA25:AA29),ISBLANK(AY25:AY29)), "·", bdRateExtend( V25:V29,AA25:AA29, AT25:AT29,AY25:AY29))</f>
        <v>2.055641290055199E-5</v>
      </c>
      <c r="BO25" s="24">
        <f>IF( OR(ISBLANK(S25:S29),ISBLANK(AQ25:AQ29), ISBLANK(W25:W29),ISBLANK(AU25:AU29)), "·", bdRateExtend( S25:S29,W25:W29, AQ25:AQ29,AU25:AU29))</f>
        <v>3.1086244689504383E-15</v>
      </c>
      <c r="BP25" s="24">
        <f>IF( OR(ISBLANK(S25:S29),ISBLANK(AQ25:AQ29), ISBLANK(X25:X29),ISBLANK(AV25:AV29)), "·", bdRateExtend( S25:S29,X25:X29, AQ25:AQ29,AV25:AV29))</f>
        <v>9.5479180117763462E-15</v>
      </c>
      <c r="BQ25" s="24">
        <f>IF( OR(ISBLANK(S25:S29),ISBLANK(AQ25:AQ29), ISBLANK(Y25:Y29),ISBLANK(AW25:AW29)), "·", bdRateExtend( S25:S29,Y25:Y29, AQ25:AQ29,AW25:AW29))</f>
        <v>6.8833827526759706E-15</v>
      </c>
      <c r="BR25" s="24">
        <f>IF( OR(ISBLANK(S25:S29),ISBLANK(AQ25:AQ29), ISBLANK(Z25:Z29),ISBLANK(AX25:AX29)), "·", bdRateExtend( S25:S29,Z25:Z29, AQ25:AQ29,AX25:AX29))</f>
        <v>2.6645352591003757E-15</v>
      </c>
      <c r="BS25" s="24">
        <f>IF( OR(ISBLANK(S25:S29),ISBLANK(AQ25:AQ29), ISBLANK(AA25:AA29),ISBLANK(AY25:AY29)), "·", bdRateExtend( S25:S29,AA25:AA29, AQ25:AQ29,AY25:AY29))</f>
        <v>3.1308289294429414E-14</v>
      </c>
      <c r="BU25" s="4">
        <f t="shared" si="16"/>
        <v>0</v>
      </c>
    </row>
    <row r="26" spans="1:73" outlineLevel="1" x14ac:dyDescent="0.25">
      <c r="A26" s="25"/>
      <c r="B26" s="25" t="s">
        <v>282</v>
      </c>
      <c r="C26" s="26" t="s">
        <v>267</v>
      </c>
      <c r="D26" s="25">
        <v>25312408</v>
      </c>
      <c r="E26" s="26">
        <v>10</v>
      </c>
      <c r="F26" s="26">
        <v>32</v>
      </c>
      <c r="G26" s="26">
        <v>30</v>
      </c>
      <c r="I26" s="27">
        <f t="shared" si="0"/>
        <v>3.463425</v>
      </c>
      <c r="J26" s="28">
        <f t="shared" si="1"/>
        <v>0.14594897490590386</v>
      </c>
      <c r="K26" s="28">
        <f t="shared" si="2"/>
        <v>7.4952437028775368E-2</v>
      </c>
      <c r="L26" s="28">
        <f t="shared" si="3"/>
        <v>4.9765105977537576E-2</v>
      </c>
      <c r="M26" s="28">
        <f t="shared" si="4"/>
        <v>7.0992323870043103E-2</v>
      </c>
      <c r="N26" s="25">
        <f t="shared" si="5"/>
        <v>1897226.66666667</v>
      </c>
      <c r="O26" s="28">
        <f t="shared" si="6"/>
        <v>0.14802505245238515</v>
      </c>
      <c r="P26" s="62">
        <v>24957397</v>
      </c>
      <c r="Q26" s="62">
        <v>779918.65625</v>
      </c>
      <c r="R26" s="62">
        <v>22437.59375</v>
      </c>
      <c r="S26" s="63">
        <v>3694320</v>
      </c>
      <c r="T26" s="63">
        <v>1259674.66666667</v>
      </c>
      <c r="U26" s="63">
        <v>637552</v>
      </c>
      <c r="V26" s="63">
        <v>1796986.66666667</v>
      </c>
      <c r="W26" s="64">
        <v>68.062037500000002</v>
      </c>
      <c r="X26" s="64">
        <v>70.048765625000001</v>
      </c>
      <c r="Y26" s="64">
        <v>28.064584374999999</v>
      </c>
      <c r="Z26" s="64">
        <v>33.763143749999998</v>
      </c>
      <c r="AA26" s="64">
        <v>33.161640624999997</v>
      </c>
      <c r="AB26" s="32"/>
      <c r="AC26" s="32"/>
      <c r="AD26" s="32"/>
      <c r="AE26" s="32"/>
      <c r="AG26" s="27">
        <f t="shared" si="7"/>
        <v>3.463425</v>
      </c>
      <c r="AH26" s="28">
        <f t="shared" si="8"/>
        <v>0.14594897490590386</v>
      </c>
      <c r="AI26" s="28">
        <f t="shared" si="9"/>
        <v>7.4959916891352257E-2</v>
      </c>
      <c r="AJ26" s="28">
        <f t="shared" si="10"/>
        <v>4.976752903161169E-2</v>
      </c>
      <c r="AK26" s="28">
        <f t="shared" si="11"/>
        <v>7.0994746924117211E-2</v>
      </c>
      <c r="AL26" s="25">
        <f t="shared" si="12"/>
        <v>1897416</v>
      </c>
      <c r="AM26" s="28">
        <f t="shared" si="13"/>
        <v>0.14802505245238515</v>
      </c>
      <c r="AN26" s="62">
        <v>24957397</v>
      </c>
      <c r="AO26" s="62">
        <v>779918.65625</v>
      </c>
      <c r="AP26" s="62">
        <v>22437.59375</v>
      </c>
      <c r="AQ26" s="63">
        <v>3694320</v>
      </c>
      <c r="AR26" s="63">
        <v>1259736</v>
      </c>
      <c r="AS26" s="63">
        <v>637680</v>
      </c>
      <c r="AT26" s="63">
        <v>1797048</v>
      </c>
      <c r="AU26" s="64">
        <v>68.062037500000002</v>
      </c>
      <c r="AV26" s="64">
        <v>70.048765625000001</v>
      </c>
      <c r="AW26" s="64">
        <v>28.064584374999999</v>
      </c>
      <c r="AX26" s="64">
        <v>33.763143749999998</v>
      </c>
      <c r="AY26" s="64">
        <v>33.161640624999997</v>
      </c>
      <c r="AZ26" s="65">
        <v>8012.63</v>
      </c>
      <c r="BA26" s="65">
        <v>6502.22</v>
      </c>
      <c r="BB26" s="65">
        <v>6.5439999999999996</v>
      </c>
      <c r="BC26" s="65">
        <v>28.655999999999999</v>
      </c>
      <c r="BE26" s="33">
        <f t="shared" si="14"/>
        <v>0</v>
      </c>
      <c r="BF26" s="33">
        <f t="shared" si="15"/>
        <v>5.1249846610534888E-5</v>
      </c>
      <c r="BG26" s="33"/>
      <c r="BI26" s="34"/>
      <c r="BJ26" s="34"/>
      <c r="BK26" s="34"/>
      <c r="BL26" s="34"/>
      <c r="BM26" s="34"/>
      <c r="BO26" s="34"/>
      <c r="BP26" s="34"/>
      <c r="BQ26" s="34"/>
      <c r="BR26" s="34"/>
      <c r="BS26" s="34"/>
      <c r="BU26" s="4">
        <f t="shared" si="16"/>
        <v>0</v>
      </c>
    </row>
    <row r="27" spans="1:73" outlineLevel="1" x14ac:dyDescent="0.25">
      <c r="A27" s="15"/>
      <c r="B27" s="15" t="s">
        <v>282</v>
      </c>
      <c r="C27" s="16" t="s">
        <v>268</v>
      </c>
      <c r="D27" s="15">
        <v>25312408</v>
      </c>
      <c r="E27" s="16">
        <v>10</v>
      </c>
      <c r="F27" s="16">
        <v>32</v>
      </c>
      <c r="G27" s="16">
        <v>30</v>
      </c>
      <c r="I27" s="17">
        <f t="shared" si="0"/>
        <v>5.8895625000000003</v>
      </c>
      <c r="J27" s="18">
        <f t="shared" si="1"/>
        <v>0.24818658106332672</v>
      </c>
      <c r="K27" s="18">
        <f t="shared" si="2"/>
        <v>9.472961508311141E-2</v>
      </c>
      <c r="L27" s="18">
        <f t="shared" si="3"/>
        <v>6.9542284031873611E-2</v>
      </c>
      <c r="M27" s="18">
        <f t="shared" si="4"/>
        <v>0.15345275197312994</v>
      </c>
      <c r="N27" s="15">
        <f t="shared" si="5"/>
        <v>2397834.6666666698</v>
      </c>
      <c r="O27" s="18">
        <f t="shared" si="6"/>
        <v>0.24866201966109025</v>
      </c>
      <c r="P27" s="58">
        <v>25264011</v>
      </c>
      <c r="Q27" s="58">
        <v>789500.34375</v>
      </c>
      <c r="R27" s="58">
        <v>23649.9375</v>
      </c>
      <c r="S27" s="59">
        <v>6282200</v>
      </c>
      <c r="T27" s="59">
        <v>1760282.66666667</v>
      </c>
      <c r="U27" s="59">
        <v>637552</v>
      </c>
      <c r="V27" s="59">
        <v>3884258.6666666698</v>
      </c>
      <c r="W27" s="60">
        <v>69.418368749999999</v>
      </c>
      <c r="X27" s="60">
        <v>71.767525000000006</v>
      </c>
      <c r="Y27" s="60">
        <v>30.349296875</v>
      </c>
      <c r="Z27" s="60">
        <v>35.025328125000001</v>
      </c>
      <c r="AA27" s="60">
        <v>34.500487499999998</v>
      </c>
      <c r="AB27" s="22"/>
      <c r="AC27" s="22"/>
      <c r="AD27" s="22"/>
      <c r="AE27" s="22"/>
      <c r="AG27" s="17">
        <f t="shared" si="7"/>
        <v>5.8895625000000003</v>
      </c>
      <c r="AH27" s="18">
        <f t="shared" si="8"/>
        <v>0.24818658106332672</v>
      </c>
      <c r="AI27" s="18">
        <f t="shared" si="9"/>
        <v>9.4737094945688299E-2</v>
      </c>
      <c r="AJ27" s="18">
        <f t="shared" si="10"/>
        <v>6.9544707085947732E-2</v>
      </c>
      <c r="AK27" s="18">
        <f t="shared" si="11"/>
        <v>0.15345517502720404</v>
      </c>
      <c r="AL27" s="15">
        <f t="shared" si="12"/>
        <v>2398024</v>
      </c>
      <c r="AM27" s="18">
        <f t="shared" si="13"/>
        <v>0.24866201966109025</v>
      </c>
      <c r="AN27" s="58">
        <v>25264011</v>
      </c>
      <c r="AO27" s="58">
        <v>789500.34375</v>
      </c>
      <c r="AP27" s="58">
        <v>23649.9375</v>
      </c>
      <c r="AQ27" s="59">
        <v>6282200</v>
      </c>
      <c r="AR27" s="59">
        <v>1760344</v>
      </c>
      <c r="AS27" s="59">
        <v>637680</v>
      </c>
      <c r="AT27" s="59">
        <v>3884320</v>
      </c>
      <c r="AU27" s="60">
        <v>69.418368749999999</v>
      </c>
      <c r="AV27" s="60">
        <v>71.767524999999907</v>
      </c>
      <c r="AW27" s="60">
        <v>30.349296874999901</v>
      </c>
      <c r="AX27" s="60">
        <v>35.025328125000001</v>
      </c>
      <c r="AY27" s="60">
        <v>34.500487499999899</v>
      </c>
      <c r="AZ27" s="61">
        <v>8065.73</v>
      </c>
      <c r="BA27" s="61">
        <v>6943.81</v>
      </c>
      <c r="BB27" s="61">
        <v>5.58</v>
      </c>
      <c r="BC27" s="61">
        <v>23.8</v>
      </c>
      <c r="BE27" s="23">
        <f t="shared" si="14"/>
        <v>0</v>
      </c>
      <c r="BF27" s="23">
        <f t="shared" si="15"/>
        <v>3.013806203722158E-5</v>
      </c>
      <c r="BG27" s="23"/>
      <c r="BI27" s="24"/>
      <c r="BJ27" s="24"/>
      <c r="BK27" s="24"/>
      <c r="BL27" s="24"/>
      <c r="BM27" s="24"/>
      <c r="BO27" s="24"/>
      <c r="BP27" s="24"/>
      <c r="BQ27" s="24"/>
      <c r="BR27" s="24"/>
      <c r="BS27" s="24"/>
      <c r="BU27" s="4">
        <f t="shared" si="16"/>
        <v>0</v>
      </c>
    </row>
    <row r="28" spans="1:73" outlineLevel="1" x14ac:dyDescent="0.25">
      <c r="A28" s="25"/>
      <c r="B28" s="25" t="s">
        <v>282</v>
      </c>
      <c r="C28" s="26" t="s">
        <v>269</v>
      </c>
      <c r="D28" s="25">
        <v>25312408</v>
      </c>
      <c r="E28" s="26">
        <v>10</v>
      </c>
      <c r="F28" s="26">
        <v>32</v>
      </c>
      <c r="G28" s="26">
        <v>30</v>
      </c>
      <c r="I28" s="27">
        <f t="shared" si="0"/>
        <v>11.87412</v>
      </c>
      <c r="J28" s="28">
        <f t="shared" si="1"/>
        <v>0.50037625815765929</v>
      </c>
      <c r="K28" s="28">
        <f t="shared" si="2"/>
        <v>0.12905238674513581</v>
      </c>
      <c r="L28" s="28">
        <f t="shared" si="3"/>
        <v>0.10386505569389802</v>
      </c>
      <c r="M28" s="28">
        <f t="shared" si="4"/>
        <v>0.37131965740543804</v>
      </c>
      <c r="N28" s="25">
        <f t="shared" si="5"/>
        <v>3266626.6666666698</v>
      </c>
      <c r="O28" s="28">
        <f t="shared" si="6"/>
        <v>0.48285008593398826</v>
      </c>
      <c r="P28" s="62">
        <v>26231181</v>
      </c>
      <c r="Q28" s="62">
        <v>819724.40625</v>
      </c>
      <c r="R28" s="62">
        <v>27138.5625</v>
      </c>
      <c r="S28" s="63">
        <v>12665728</v>
      </c>
      <c r="T28" s="63">
        <v>2629074.6666666698</v>
      </c>
      <c r="U28" s="63">
        <v>637552</v>
      </c>
      <c r="V28" s="63">
        <v>9398994.6666666698</v>
      </c>
      <c r="W28" s="64">
        <v>70.446950000000001</v>
      </c>
      <c r="X28" s="64">
        <v>72.997609374999996</v>
      </c>
      <c r="Y28" s="64">
        <v>32.832218750000003</v>
      </c>
      <c r="Z28" s="64">
        <v>36.566724999999998</v>
      </c>
      <c r="AA28" s="64">
        <v>36.046300000000002</v>
      </c>
      <c r="AB28" s="32"/>
      <c r="AC28" s="32"/>
      <c r="AD28" s="32"/>
      <c r="AE28" s="32"/>
      <c r="AG28" s="27">
        <f t="shared" si="7"/>
        <v>11.87412</v>
      </c>
      <c r="AH28" s="28">
        <f t="shared" si="8"/>
        <v>0.50037625815765929</v>
      </c>
      <c r="AI28" s="28">
        <f t="shared" si="9"/>
        <v>0.12905986660771271</v>
      </c>
      <c r="AJ28" s="28">
        <f t="shared" si="10"/>
        <v>0.10386747874797214</v>
      </c>
      <c r="AK28" s="28">
        <f t="shared" si="11"/>
        <v>0.3713220804595122</v>
      </c>
      <c r="AL28" s="25">
        <f t="shared" si="12"/>
        <v>3266816</v>
      </c>
      <c r="AM28" s="28">
        <f t="shared" si="13"/>
        <v>0.48285008593398826</v>
      </c>
      <c r="AN28" s="62">
        <v>26231181</v>
      </c>
      <c r="AO28" s="62">
        <v>819724.40625</v>
      </c>
      <c r="AP28" s="62">
        <v>27138.5625</v>
      </c>
      <c r="AQ28" s="63">
        <v>12665728</v>
      </c>
      <c r="AR28" s="63">
        <v>2629136</v>
      </c>
      <c r="AS28" s="63">
        <v>637680</v>
      </c>
      <c r="AT28" s="63">
        <v>9399056</v>
      </c>
      <c r="AU28" s="64">
        <v>70.446950000000001</v>
      </c>
      <c r="AV28" s="64">
        <v>72.997609374999996</v>
      </c>
      <c r="AW28" s="64">
        <v>32.832218750000003</v>
      </c>
      <c r="AX28" s="64">
        <v>36.566724999999998</v>
      </c>
      <c r="AY28" s="64">
        <v>36.046299999999903</v>
      </c>
      <c r="AZ28" s="65">
        <v>8064.71</v>
      </c>
      <c r="BA28" s="65">
        <v>7535.56</v>
      </c>
      <c r="BB28" s="65">
        <v>5.5759999999999996</v>
      </c>
      <c r="BC28" s="65">
        <v>24.684000000000001</v>
      </c>
      <c r="BE28" s="33">
        <f t="shared" si="14"/>
        <v>0</v>
      </c>
      <c r="BF28" s="33">
        <f t="shared" si="15"/>
        <v>1.4948476181553261E-5</v>
      </c>
      <c r="BG28" s="33"/>
      <c r="BI28" s="34"/>
      <c r="BJ28" s="34"/>
      <c r="BK28" s="34"/>
      <c r="BL28" s="34"/>
      <c r="BM28" s="34"/>
      <c r="BO28" s="34"/>
      <c r="BP28" s="34"/>
      <c r="BQ28" s="34"/>
      <c r="BR28" s="34"/>
      <c r="BS28" s="34"/>
      <c r="BU28" s="4">
        <f t="shared" si="16"/>
        <v>0</v>
      </c>
    </row>
    <row r="29" spans="1:73" ht="15.75" outlineLevel="1" thickBot="1" x14ac:dyDescent="0.3">
      <c r="A29" s="35"/>
      <c r="B29" s="35" t="s">
        <v>282</v>
      </c>
      <c r="C29" s="36" t="s">
        <v>270</v>
      </c>
      <c r="D29" s="35">
        <v>25312408</v>
      </c>
      <c r="E29" s="36">
        <v>10</v>
      </c>
      <c r="F29" s="36">
        <v>32</v>
      </c>
      <c r="G29" s="36">
        <v>30</v>
      </c>
      <c r="I29" s="37">
        <f t="shared" si="0"/>
        <v>27.553619999999999</v>
      </c>
      <c r="J29" s="38">
        <f t="shared" si="1"/>
        <v>1.1611114991509301</v>
      </c>
      <c r="K29" s="38">
        <f t="shared" si="2"/>
        <v>0.2113209721756488</v>
      </c>
      <c r="L29" s="38">
        <f t="shared" si="3"/>
        <v>0.16190394318338538</v>
      </c>
      <c r="M29" s="38">
        <f t="shared" si="4"/>
        <v>0.94978631296819727</v>
      </c>
      <c r="N29" s="35">
        <f t="shared" si="5"/>
        <v>5349042.6666666698</v>
      </c>
      <c r="O29" s="38">
        <f t="shared" si="6"/>
        <v>1.1722854988415961</v>
      </c>
      <c r="P29" s="66">
        <v>25071135</v>
      </c>
      <c r="Q29" s="66">
        <v>783472.96875</v>
      </c>
      <c r="R29" s="66">
        <v>12108.53125</v>
      </c>
      <c r="S29" s="67">
        <v>29390528</v>
      </c>
      <c r="T29" s="67">
        <v>4098178.6666666698</v>
      </c>
      <c r="U29" s="67">
        <v>1250864</v>
      </c>
      <c r="V29" s="67">
        <v>24041378.666666701</v>
      </c>
      <c r="W29" s="68">
        <v>71.482781250000002</v>
      </c>
      <c r="X29" s="68">
        <v>74.907206250000002</v>
      </c>
      <c r="Y29" s="68">
        <v>35.524450000000002</v>
      </c>
      <c r="Z29" s="68">
        <v>38.553015625</v>
      </c>
      <c r="AA29" s="68">
        <v>37.999200000000002</v>
      </c>
      <c r="AB29" s="42"/>
      <c r="AC29" s="42"/>
      <c r="AD29" s="42"/>
      <c r="AE29" s="42"/>
      <c r="AG29" s="37">
        <f t="shared" si="7"/>
        <v>27.553619999999999</v>
      </c>
      <c r="AH29" s="38">
        <f t="shared" si="8"/>
        <v>1.1611114991509301</v>
      </c>
      <c r="AI29" s="38">
        <f t="shared" si="9"/>
        <v>0.21132845203822567</v>
      </c>
      <c r="AJ29" s="38">
        <f t="shared" si="10"/>
        <v>0.16190636623745952</v>
      </c>
      <c r="AK29" s="38">
        <f t="shared" si="11"/>
        <v>0.94978873602227021</v>
      </c>
      <c r="AL29" s="35">
        <f t="shared" si="12"/>
        <v>5349232</v>
      </c>
      <c r="AM29" s="38">
        <f t="shared" si="13"/>
        <v>1.1722854988415961</v>
      </c>
      <c r="AN29" s="66">
        <v>25071135</v>
      </c>
      <c r="AO29" s="66">
        <v>783472.96875</v>
      </c>
      <c r="AP29" s="66">
        <v>12108.53125</v>
      </c>
      <c r="AQ29" s="67">
        <v>29390528</v>
      </c>
      <c r="AR29" s="67">
        <v>4098240</v>
      </c>
      <c r="AS29" s="67">
        <v>1250992</v>
      </c>
      <c r="AT29" s="67">
        <v>24041440</v>
      </c>
      <c r="AU29" s="68">
        <v>71.482781250000002</v>
      </c>
      <c r="AV29" s="68">
        <v>74.907206250000002</v>
      </c>
      <c r="AW29" s="68">
        <v>35.524450000000002</v>
      </c>
      <c r="AX29" s="68">
        <v>38.553015625</v>
      </c>
      <c r="AY29" s="68">
        <v>37.999199999999902</v>
      </c>
      <c r="AZ29" s="69">
        <v>7756.12</v>
      </c>
      <c r="BA29" s="69">
        <v>8447.6299999999992</v>
      </c>
      <c r="BB29" s="69">
        <v>6.7039999999999997</v>
      </c>
      <c r="BC29" s="69">
        <v>33.628</v>
      </c>
      <c r="BE29" s="43">
        <f t="shared" si="14"/>
        <v>0</v>
      </c>
      <c r="BF29" s="43">
        <f t="shared" si="15"/>
        <v>6.441984755439778E-6</v>
      </c>
      <c r="BG29" s="43"/>
      <c r="BI29" s="44"/>
      <c r="BJ29" s="44"/>
      <c r="BK29" s="44"/>
      <c r="BL29" s="44"/>
      <c r="BM29" s="44"/>
      <c r="BO29" s="44"/>
      <c r="BP29" s="44"/>
      <c r="BQ29" s="44"/>
      <c r="BR29" s="44"/>
      <c r="BS29" s="44"/>
      <c r="BU29" s="4">
        <f t="shared" si="16"/>
        <v>0</v>
      </c>
    </row>
    <row r="30" spans="1:73" x14ac:dyDescent="0.25">
      <c r="B30" s="55" t="s">
        <v>286</v>
      </c>
      <c r="J30" s="56">
        <f>AVERAGE(J5:J24)</f>
        <v>0.19392393569495733</v>
      </c>
      <c r="K30" s="56">
        <f>AVERAGE(K5:K24)</f>
        <v>9.9671075741857254E-2</v>
      </c>
      <c r="L30" s="56">
        <f>AVERAGE(L5:L24)</f>
        <v>7.0414012619533436E-2</v>
      </c>
      <c r="M30" s="56">
        <f>AVERAGE(M5:M24)</f>
        <v>9.4248818887344751E-2</v>
      </c>
      <c r="AH30" s="56">
        <f>AVERAGE(AH5:AH24)</f>
        <v>0.18357556938514188</v>
      </c>
      <c r="AI30" s="56">
        <f>AVERAGE(AI5:AI24)</f>
        <v>8.9687420705484758E-2</v>
      </c>
      <c r="AJ30" s="56">
        <f>AVERAGE(AJ5:AJ24)</f>
        <v>6.3142127609386853E-2</v>
      </c>
      <c r="AK30" s="56">
        <f>AVERAGE(AK5:AK24)</f>
        <v>9.3893357936443683E-2</v>
      </c>
      <c r="BG30" s="8" t="e">
        <f>AVERAGE(BG5:BG24)</f>
        <v>#VALUE!</v>
      </c>
      <c r="BI30" s="5">
        <f>AVERAGE(BI5:BI24)</f>
        <v>9.5069874539888133E-5</v>
      </c>
      <c r="BJ30" s="5">
        <f>AVERAGE(BJ5:BJ24)</f>
        <v>9.0632132572284377E-5</v>
      </c>
      <c r="BK30" s="5">
        <f>AVERAGE(BK5:BK24)</f>
        <v>6.8741151547202506E-5</v>
      </c>
      <c r="BL30" s="5">
        <f>AVERAGE(BL5:BL24)</f>
        <v>6.1546602549829757E-5</v>
      </c>
      <c r="BM30" s="5">
        <f>AVERAGE(BM5:BM24)</f>
        <v>6.6153815592458656E-5</v>
      </c>
      <c r="BO30" s="5">
        <f>AVERAGE(BO5:BO24)</f>
        <v>9.3998882751596592E-15</v>
      </c>
      <c r="BP30" s="5">
        <f>AVERAGE(BP5:BP24)</f>
        <v>1.0288066694859784E-14</v>
      </c>
      <c r="BQ30" s="5">
        <f>AVERAGE(BQ5:BQ24)</f>
        <v>4.8849813083506888E-15</v>
      </c>
      <c r="BR30" s="5">
        <f>AVERAGE(BR5:BR24)</f>
        <v>7.9936057773011271E-15</v>
      </c>
      <c r="BS30" s="5">
        <f>AVERAGE(BS5:BS24)</f>
        <v>5.9952043329758453E-15</v>
      </c>
    </row>
    <row r="31" spans="1:73" x14ac:dyDescent="0.25">
      <c r="B31" s="55" t="s">
        <v>287</v>
      </c>
      <c r="J31" s="56">
        <f>AVERAGE(J25:J29)</f>
        <v>0.43018895713122196</v>
      </c>
      <c r="K31" s="56">
        <f>AVERAGE(K25:K29)</f>
        <v>0.1142476949117867</v>
      </c>
      <c r="L31" s="56">
        <f>AVERAGE(L25:L29)</f>
        <v>8.4214424272343796E-2</v>
      </c>
      <c r="M31" s="56">
        <f>AVERAGE(M25:M29)</f>
        <v>0.31593704821235002</v>
      </c>
      <c r="AH31" s="56">
        <f>AVERAGE(AH25:AH29)</f>
        <v>0.43018895713122196</v>
      </c>
      <c r="AI31" s="56">
        <f>AVERAGE(AI25:AI29)</f>
        <v>0.11425517477436362</v>
      </c>
      <c r="AJ31" s="56">
        <f>AVERAGE(AJ25:AJ29)</f>
        <v>8.4216847326417946E-2</v>
      </c>
      <c r="AK31" s="56">
        <f>AVERAGE(AK25:AK29)</f>
        <v>0.31593947126642397</v>
      </c>
      <c r="BG31" s="8">
        <f>AVERAGE(BG25:BG29)</f>
        <v>3.6249645884334214E-5</v>
      </c>
      <c r="BI31" s="5">
        <f>AVERAGE(BI25:BI29)</f>
        <v>8.4623386176874149E-5</v>
      </c>
      <c r="BJ31" s="5">
        <f>AVERAGE(BJ25:BJ29)</f>
        <v>8.0051981318218779E-5</v>
      </c>
      <c r="BK31" s="5">
        <f>AVERAGE(BK25:BK29)</f>
        <v>2.0550688687448471E-5</v>
      </c>
      <c r="BL31" s="5">
        <f>AVERAGE(BL25:BL29)</f>
        <v>1.9276611437524238E-5</v>
      </c>
      <c r="BM31" s="5">
        <f>AVERAGE(BM25:BM29)</f>
        <v>2.055641290055199E-5</v>
      </c>
      <c r="BO31" s="5">
        <f>AVERAGE(BO25:BO29)</f>
        <v>3.1086244689504383E-15</v>
      </c>
      <c r="BP31" s="5">
        <f>AVERAGE(BP25:BP29)</f>
        <v>9.5479180117763462E-15</v>
      </c>
      <c r="BQ31" s="5">
        <f>AVERAGE(BQ25:BQ29)</f>
        <v>6.8833827526759706E-15</v>
      </c>
      <c r="BR31" s="5">
        <f>AVERAGE(BR25:BR29)</f>
        <v>2.6645352591003757E-15</v>
      </c>
      <c r="BS31" s="5">
        <f>AVERAGE(BS25:BS29)</f>
        <v>3.1308289294429414E-14</v>
      </c>
    </row>
    <row r="32" spans="1:73" x14ac:dyDescent="0.25">
      <c r="B32" s="55" t="s">
        <v>288</v>
      </c>
      <c r="J32" s="56">
        <f>AVERAGE(J5:J29)</f>
        <v>0.25299019105402348</v>
      </c>
      <c r="K32" s="56">
        <f>AVERAGE(K5:K29)</f>
        <v>0.10331523053433962</v>
      </c>
      <c r="L32" s="56">
        <f>AVERAGE(L5:L29)</f>
        <v>7.3864115532736016E-2</v>
      </c>
      <c r="M32" s="56">
        <f>AVERAGE(M5:M29)</f>
        <v>0.14967087621859607</v>
      </c>
      <c r="AH32" s="56">
        <f>AVERAGE(AH5:AH29)</f>
        <v>0.23289824693435787</v>
      </c>
      <c r="AI32" s="56">
        <f>AVERAGE(AI5:AI29)</f>
        <v>9.4600971519260516E-2</v>
      </c>
      <c r="AJ32" s="56">
        <f>AVERAGE(AJ5:AJ29)</f>
        <v>6.735707155279308E-2</v>
      </c>
      <c r="AK32" s="56">
        <f>AVERAGE(AK5:AK29)</f>
        <v>0.13830258060243972</v>
      </c>
      <c r="BG32" s="8" t="e">
        <f>AVERAGE(BG5:BG29)</f>
        <v>#VALUE!</v>
      </c>
      <c r="BI32" s="5">
        <f>AVERAGE(BI5:BI29)</f>
        <v>9.2458252449134637E-5</v>
      </c>
      <c r="BJ32" s="5">
        <f>AVERAGE(BJ5:BJ29)</f>
        <v>8.7987094758767981E-5</v>
      </c>
      <c r="BK32" s="5">
        <f>AVERAGE(BK5:BK29)</f>
        <v>5.6693535832263997E-5</v>
      </c>
      <c r="BL32" s="5">
        <f>AVERAGE(BL5:BL29)</f>
        <v>5.0979104771753381E-5</v>
      </c>
      <c r="BM32" s="5">
        <f>AVERAGE(BM5:BM29)</f>
        <v>5.4754464919481993E-5</v>
      </c>
      <c r="BO32" s="5">
        <f>AVERAGE(BO5:BO29)</f>
        <v>7.8270723236073536E-15</v>
      </c>
      <c r="BP32" s="5">
        <f>AVERAGE(BP5:BP29)</f>
        <v>1.0103029524088925E-14</v>
      </c>
      <c r="BQ32" s="5">
        <f>AVERAGE(BQ5:BQ29)</f>
        <v>5.3845816694320092E-15</v>
      </c>
      <c r="BR32" s="5">
        <f>AVERAGE(BR5:BR29)</f>
        <v>6.6613381477509392E-15</v>
      </c>
      <c r="BS32" s="5">
        <f>AVERAGE(BS5:BS29)</f>
        <v>1.2323475573339238E-14</v>
      </c>
    </row>
    <row r="33" spans="1:55" hidden="1" outlineLevel="2" x14ac:dyDescent="0.25">
      <c r="A33" s="55" t="s">
        <v>289</v>
      </c>
      <c r="B33" s="55" t="s">
        <v>290</v>
      </c>
      <c r="AB33" s="57">
        <f>SUM(AB5:AB24,AB25:AB29)</f>
        <v>0</v>
      </c>
      <c r="AC33" s="57">
        <f>SUM(AC5:AC24,AC25:AC29)</f>
        <v>0</v>
      </c>
      <c r="AD33" s="57">
        <f>SUM(AD5:AD24,AD25:AD29)</f>
        <v>0</v>
      </c>
      <c r="AE33" s="57">
        <f>SUM(AE5:AE24,AE25:AE29)</f>
        <v>0</v>
      </c>
      <c r="AZ33" s="57">
        <f>SUM(AZ5:AZ24,AZ25:AZ29)</f>
        <v>195771.83999999997</v>
      </c>
      <c r="BA33" s="57">
        <f>SUM(BA5:BA24,BA25:BA29)</f>
        <v>135257.07</v>
      </c>
      <c r="BB33" s="57">
        <f>SUM(BB5:BB24,BB25:BB29)</f>
        <v>177.62000000000006</v>
      </c>
      <c r="BC33" s="57">
        <f>SUM(BC5:BC24,BC25:BC29)</f>
        <v>600.3599999999999</v>
      </c>
    </row>
    <row r="34" spans="1:55" hidden="1" outlineLevel="2" x14ac:dyDescent="0.25">
      <c r="B34" s="55" t="s">
        <v>291</v>
      </c>
      <c r="AZ34" s="8" t="e">
        <f>AZ33/AB33</f>
        <v>#DIV/0!</v>
      </c>
      <c r="BA34" s="8" t="e">
        <f>BA33/AC33</f>
        <v>#DIV/0!</v>
      </c>
      <c r="BB34" s="8" t="e">
        <f>BB33/AD33</f>
        <v>#DIV/0!</v>
      </c>
      <c r="BC34" s="8" t="e">
        <f>BC33/AE33</f>
        <v>#DIV/0!</v>
      </c>
    </row>
    <row r="35" spans="1:55" hidden="1" outlineLevel="2" x14ac:dyDescent="0.25">
      <c r="B35" s="55" t="s">
        <v>292</v>
      </c>
      <c r="AB35" s="57" t="e">
        <f>GEOMEAN(AB5:AB24,AB25:AB29)</f>
        <v>#NUM!</v>
      </c>
      <c r="AC35" s="57" t="e">
        <f>GEOMEAN(AC5:AC24,AC25:AC29)</f>
        <v>#NUM!</v>
      </c>
      <c r="AD35" s="57" t="e">
        <f>GEOMEAN(AD5:AD24,AD25:AD29)</f>
        <v>#NUM!</v>
      </c>
      <c r="AE35" s="57" t="e">
        <f>GEOMEAN(AE5:AE24,AE25:AE29)</f>
        <v>#NUM!</v>
      </c>
      <c r="AZ35" s="57">
        <f>GEOMEAN(AZ5:AZ24,AZ25:AZ29)</f>
        <v>7676.5574467598517</v>
      </c>
      <c r="BA35" s="57">
        <f>GEOMEAN(BA5:BA24,BA25:BA29)</f>
        <v>5273.1285670675361</v>
      </c>
      <c r="BB35" s="57">
        <f>GEOMEAN(BB5:BB24,BB25:BB29)</f>
        <v>7.0214127019848496</v>
      </c>
      <c r="BC35" s="57">
        <f>GEOMEAN(BC5:BC24,BC25:BC29)</f>
        <v>23.769224338656116</v>
      </c>
    </row>
    <row r="36" spans="1:55" outlineLevel="2" collapsed="1" x14ac:dyDescent="0.25">
      <c r="B36" s="55" t="s">
        <v>293</v>
      </c>
      <c r="AZ36" s="8" t="e">
        <f>AZ35/AB35</f>
        <v>#NUM!</v>
      </c>
      <c r="BA36" s="8" t="e">
        <f>BA35/AC35</f>
        <v>#NUM!</v>
      </c>
      <c r="BB36" s="8" t="e">
        <f>BB35/AD35</f>
        <v>#NUM!</v>
      </c>
      <c r="BC36" s="8" t="e">
        <f>BC35/AE35</f>
        <v>#NUM!</v>
      </c>
    </row>
  </sheetData>
  <mergeCells count="41">
    <mergeCell ref="A2:A3"/>
    <mergeCell ref="B2:B3"/>
    <mergeCell ref="C2:C3"/>
    <mergeCell ref="D2:D3"/>
    <mergeCell ref="E2:E3"/>
    <mergeCell ref="F2:F3"/>
    <mergeCell ref="G2:G3"/>
    <mergeCell ref="I2:I3"/>
    <mergeCell ref="J2:M2"/>
    <mergeCell ref="N2:N3"/>
    <mergeCell ref="O2:O3"/>
    <mergeCell ref="P2:P3"/>
    <mergeCell ref="Q2:Q3"/>
    <mergeCell ref="R2:R3"/>
    <mergeCell ref="S2:V2"/>
    <mergeCell ref="W2:X2"/>
    <mergeCell ref="Y2:AA2"/>
    <mergeCell ref="AB2:AC2"/>
    <mergeCell ref="AD2:AE2"/>
    <mergeCell ref="AG2:AG3"/>
    <mergeCell ref="AH2:AK2"/>
    <mergeCell ref="AL2:AL3"/>
    <mergeCell ref="AM2:AM3"/>
    <mergeCell ref="AN2:AN3"/>
    <mergeCell ref="AO2:AO3"/>
    <mergeCell ref="BK2:BM2"/>
    <mergeCell ref="BO2:BP2"/>
    <mergeCell ref="BQ2:BS2"/>
    <mergeCell ref="A1:G1"/>
    <mergeCell ref="I1:AE1"/>
    <mergeCell ref="AG1:BC1"/>
    <mergeCell ref="BB2:BC2"/>
    <mergeCell ref="BE2:BE3"/>
    <mergeCell ref="BF2:BF3"/>
    <mergeCell ref="BG2:BG3"/>
    <mergeCell ref="BI2:BJ2"/>
    <mergeCell ref="AP2:AP3"/>
    <mergeCell ref="AQ2:AT2"/>
    <mergeCell ref="AU2:AV2"/>
    <mergeCell ref="AW2:AY2"/>
    <mergeCell ref="AZ2:BA2"/>
  </mergeCells>
  <conditionalFormatting sqref="BI5 BI6 BI7 BI8 BI9 BI10 BI11 BI12 BI13 BI14 BI15 BI16 BI17 BI18 BI19 BI20 BI21 BI22 BI23 BI24 BI25 BI26 BI27 BI28 BI29 BI30 BI31 BI32">
    <cfRule type="cellIs" dxfId="19" priority="17" operator="greaterThanOrEqual">
      <formula>0.03</formula>
    </cfRule>
    <cfRule type="cellIs" dxfId="18" priority="18" operator="lessThanOrEqual">
      <formula>-0.03</formula>
    </cfRule>
  </conditionalFormatting>
  <conditionalFormatting sqref="BJ5 BJ6 BJ7 BJ8 BJ9 BJ10 BJ11 BJ12 BJ13 BJ14 BJ15 BJ16 BJ17 BJ18 BJ19 BJ20 BJ21 BJ22 BJ23 BJ24 BJ25 BJ26 BJ27 BJ28 BJ29 BJ30 BJ31 BJ32">
    <cfRule type="cellIs" dxfId="17" priority="15" operator="greaterThanOrEqual">
      <formula>0.03</formula>
    </cfRule>
    <cfRule type="cellIs" dxfId="16" priority="16" operator="lessThanOrEqual">
      <formula>-0.03</formula>
    </cfRule>
  </conditionalFormatting>
  <conditionalFormatting sqref="BK5 BK6 BK7 BK8 BK9 BK10 BK11 BK12 BK13 BK14 BK15 BK16 BK17 BK18 BK19 BK20 BK21 BK22 BK23 BK24 BK25 BK26 BK27 BK28 BK29 BK30 BK31 BK32">
    <cfRule type="cellIs" dxfId="15" priority="11" operator="greaterThanOrEqual">
      <formula>0.03</formula>
    </cfRule>
    <cfRule type="cellIs" dxfId="14" priority="12" operator="lessThanOrEqual">
      <formula>-0.03</formula>
    </cfRule>
  </conditionalFormatting>
  <conditionalFormatting sqref="BL5 BL6 BL7 BL8 BL9 BL10 BL11 BL12 BL13 BL14 BL15 BL16 BL17 BL18 BL19 BL20 BL21 BL22 BL23 BL24 BL25 BL26 BL27 BL28 BL29 BL30 BL31 BL32">
    <cfRule type="cellIs" dxfId="13" priority="5" operator="greaterThanOrEqual">
      <formula>0.03</formula>
    </cfRule>
    <cfRule type="cellIs" dxfId="12" priority="6" operator="lessThanOrEqual">
      <formula>-0.03</formula>
    </cfRule>
  </conditionalFormatting>
  <conditionalFormatting sqref="BM5 BM6 BM7 BM8 BM9 BM10 BM11 BM12 BM13 BM14 BM15 BM16 BM17 BM18 BM19 BM20 BM21 BM22 BM23 BM24 BM25 BM26 BM27 BM28 BM29 BM30 BM31 BM32">
    <cfRule type="cellIs" dxfId="11" priority="7" operator="greaterThanOrEqual">
      <formula>0.03</formula>
    </cfRule>
    <cfRule type="cellIs" dxfId="10" priority="8" operator="lessThanOrEqual">
      <formula>-0.03</formula>
    </cfRule>
  </conditionalFormatting>
  <conditionalFormatting sqref="BO5 BO6 BO7 BO8 BO9 BO10 BO11 BO12 BO13 BO14 BO15 BO16 BO17 BO18 BO19 BO20 BO21 BO22 BO23 BO24 BO25 BO26 BO27 BO28 BO29 BO30 BO31 BO32">
    <cfRule type="cellIs" dxfId="9" priority="1" operator="greaterThanOrEqual">
      <formula>0.03</formula>
    </cfRule>
    <cfRule type="cellIs" dxfId="8" priority="2" operator="lessThanOrEqual">
      <formula>-0.03</formula>
    </cfRule>
  </conditionalFormatting>
  <conditionalFormatting sqref="BP5 BP6 BP7 BP8 BP9 BP10 BP11 BP12 BP13 BP14 BP15 BP16 BP17 BP18 BP19 BP20 BP21 BP22 BP23 BP24 BP25 BP26 BP27 BP28 BP29 BP30 BP31 BP32">
    <cfRule type="cellIs" dxfId="7" priority="13" operator="greaterThanOrEqual">
      <formula>0.03</formula>
    </cfRule>
    <cfRule type="cellIs" dxfId="6" priority="14" operator="lessThanOrEqual">
      <formula>-0.03</formula>
    </cfRule>
  </conditionalFormatting>
  <conditionalFormatting sqref="BQ5 BQ6 BQ7 BQ8 BQ9 BQ10 BQ11 BQ12 BQ13 BQ14 BQ15 BQ16 BQ17 BQ18 BQ19 BQ20 BQ21 BQ22 BQ23 BQ24 BQ25 BQ26 BQ27 BQ28 BQ29 BQ30 BQ31 BQ32">
    <cfRule type="cellIs" dxfId="5" priority="19" operator="greaterThanOrEqual">
      <formula>0.03</formula>
    </cfRule>
    <cfRule type="cellIs" dxfId="4" priority="20" operator="lessThanOrEqual">
      <formula>-0.03</formula>
    </cfRule>
  </conditionalFormatting>
  <conditionalFormatting sqref="BR5 BR6 BR7 BR8 BR9 BR10 BR11 BR12 BR13 BR14 BR15 BR16 BR17 BR18 BR19 BR20 BR21 BR22 BR23 BR24 BR25 BR26 BR27 BR28 BR29 BR30 BR31 BR32">
    <cfRule type="cellIs" dxfId="3" priority="9" operator="greaterThanOrEqual">
      <formula>0.03</formula>
    </cfRule>
    <cfRule type="cellIs" dxfId="2" priority="10" operator="lessThanOrEqual">
      <formula>-0.03</formula>
    </cfRule>
  </conditionalFormatting>
  <conditionalFormatting sqref="BS5 BS6 BS7 BS8 BS9 BS10 BS11 BS12 BS13 BS14 BS15 BS16 BS17 BS18 BS19 BS20 BS21 BS22 BS23 BS24 BS25 BS26 BS27 BS28 BS29 BS30 BS31 BS32">
    <cfRule type="cellIs" dxfId="1" priority="3" operator="greaterThanOrEqual">
      <formula>0.03</formula>
    </cfRule>
    <cfRule type="cellIs" dxfId="0" priority="4" operator="lessThanOrEqual">
      <formula>-0.03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Summary</vt:lpstr>
      <vt:lpstr>Graphs</vt:lpstr>
      <vt:lpstr>C2 lossyG,lossyA,intra</vt:lpstr>
      <vt:lpstr>names</vt:lpstr>
      <vt:lpstr>CW losslG,losslA,intra</vt:lpstr>
      <vt:lpstr>CW losslG,losslA,interLD</vt:lpstr>
      <vt:lpstr>C2 lossyG,lossyA,interRA</vt:lpstr>
      <vt:lpstr>Graphs!all_cols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point cloud compression common test condition reporting template N17523</dc:title>
  <dc:creator>Esmaeil Faramarzi</dc:creator>
  <cp:lastModifiedBy>Graziosi, Danillo</cp:lastModifiedBy>
  <dcterms:created xsi:type="dcterms:W3CDTF">2018-08-31T19:13:00Z</dcterms:created>
  <dcterms:modified xsi:type="dcterms:W3CDTF">2019-04-25T23:50:38Z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ed by">
    <vt:lpwstr>David Flynn &lt;dflynn@blackberry.com&gt;</vt:lpwstr>
  </property>
  <property fmtid="{D5CDD505-2E9C-101B-9397-08002B2CF9AE}" pid="3" name="Generated on">
    <vt:filetime>2018-08-31T19:13:00Z</vt:filetime>
  </property>
</Properties>
</file>