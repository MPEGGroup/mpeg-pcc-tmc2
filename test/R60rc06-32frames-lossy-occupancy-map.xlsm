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code\pcc\mpeg126_samsung_integration_source\"/>
    </mc:Choice>
  </mc:AlternateContent>
  <bookViews>
    <workbookView xWindow="240" yWindow="12" windowWidth="16092" windowHeight="9660" firstSheet="1" activeTab="2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20" i="3" l="1"/>
  <c r="BU21" i="3"/>
  <c r="BU22" i="3"/>
  <c r="BU23" i="3"/>
  <c r="BU24" i="3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BB8" i="6" s="1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R20" i="7"/>
  <c r="BQ20" i="7"/>
  <c r="BK20" i="7"/>
  <c r="BS20" i="7"/>
  <c r="BP20" i="7"/>
  <c r="BO20" i="7"/>
  <c r="BL20" i="7"/>
  <c r="BM20" i="7"/>
  <c r="BP20" i="3"/>
  <c r="BK20" i="3"/>
  <c r="BL20" i="3"/>
  <c r="BR20" i="3"/>
  <c r="BS20" i="3"/>
  <c r="BM20" i="3"/>
  <c r="BO20" i="3"/>
  <c r="BQ20" i="3"/>
  <c r="BL10" i="3"/>
  <c r="BK25" i="3"/>
  <c r="BQ10" i="3"/>
  <c r="BM10" i="3"/>
  <c r="BP25" i="3"/>
  <c r="BQ5" i="3"/>
  <c r="BP5" i="3"/>
  <c r="BS25" i="3"/>
  <c r="BP15" i="3"/>
  <c r="BL10" i="7"/>
  <c r="BO10" i="7"/>
  <c r="BK25" i="7"/>
  <c r="BS10" i="7"/>
  <c r="BL5" i="7"/>
  <c r="BJ25" i="7"/>
  <c r="BM5" i="7"/>
  <c r="BP5" i="7"/>
  <c r="BR10" i="7"/>
  <c r="BR5" i="3"/>
  <c r="BQ15" i="3"/>
  <c r="BS5" i="3"/>
  <c r="BJ15" i="3"/>
  <c r="BO10" i="3"/>
  <c r="BS15" i="3"/>
  <c r="BO5" i="3"/>
  <c r="BL25" i="3"/>
  <c r="BP10" i="7"/>
  <c r="BQ15" i="7"/>
  <c r="BS5" i="7"/>
  <c r="BR5" i="7"/>
  <c r="BM25" i="7"/>
  <c r="BK15" i="7"/>
  <c r="BK10" i="7"/>
  <c r="BO25" i="7"/>
  <c r="BM15" i="3"/>
  <c r="BO25" i="3"/>
  <c r="BP10" i="3"/>
  <c r="BM5" i="3"/>
  <c r="BJ10" i="3"/>
  <c r="BR10" i="3"/>
  <c r="BS10" i="3"/>
  <c r="BO15" i="7"/>
  <c r="BM10" i="7"/>
  <c r="BP25" i="7"/>
  <c r="BO5" i="7"/>
  <c r="BK5" i="7"/>
  <c r="BS25" i="7"/>
  <c r="BQ10" i="7"/>
  <c r="BM15" i="7"/>
  <c r="BL15" i="3"/>
  <c r="BO15" i="3"/>
  <c r="BK15" i="3"/>
  <c r="BR25" i="3"/>
  <c r="BQ25" i="3"/>
  <c r="BK5" i="3"/>
  <c r="BK10" i="3"/>
  <c r="BL5" i="3"/>
  <c r="BM25" i="3"/>
  <c r="BR15" i="3"/>
  <c r="BR25" i="7"/>
  <c r="BS15" i="7"/>
  <c r="BR15" i="7"/>
  <c r="BL25" i="7"/>
  <c r="BQ5" i="7"/>
  <c r="BP15" i="7"/>
  <c r="BQ25" i="7"/>
  <c r="BL15" i="7"/>
  <c r="K8" i="6" l="1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AH12" i="6" s="1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0" i="7"/>
  <c r="BJ20" i="7"/>
  <c r="BI20" i="3"/>
  <c r="BJ20" i="3"/>
  <c r="BI25" i="3"/>
  <c r="BJ5" i="3"/>
  <c r="BI5" i="7"/>
  <c r="BJ15" i="7"/>
  <c r="BJ10" i="7"/>
  <c r="BI5" i="3"/>
  <c r="BI10" i="3"/>
  <c r="BI15" i="7"/>
  <c r="BJ5" i="7"/>
  <c r="BI15" i="3"/>
  <c r="BI10" i="7"/>
  <c r="BJ25" i="3"/>
  <c r="BI25" i="7"/>
  <c r="BF12" i="5" l="1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<sst xmlns="http://schemas.openxmlformats.org/spreadsheetml/2006/main" count="1311" uniqueCount="553">
  <si>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</si>
  <si>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</si>
  <si>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</si>
  <si>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</si>
  <si>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</si>
  <si>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</si>
  <si>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</si>
  <si>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</si>
  <si>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</si>
  <si>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</si>
  <si>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</si>
  <si>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</si>
  <si>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</si>
  <si>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</si>
  <si>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</si>
  <si>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</si>
  <si>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</si>
  <si>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</si>
  <si>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</si>
  <si>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</si>
  <si>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</si>
  <si>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</si>
  <si>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</si>
  <si>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</si>
  <si>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</si>
  <si>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</si>
  <si>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</si>
  <si>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</si>
  <si>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</si>
  <si>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</si>
  <si>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</si>
  <si>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</si>
  <si>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</si>
  <si>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</si>
  <si>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</si>
  <si>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</si>
  <si>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</si>
  <si>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</si>
  <si>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</si>
  <si>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</si>
  <si>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</si>
  <si>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</si>
  <si>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</si>
  <si>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</si>
  <si>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</si>
  <si>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</si>
  <si>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</si>
  <si>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</si>
  <si>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</si>
  <si>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</si>
  <si>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</si>
  <si>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</si>
  <si>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</si>
  <si>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</si>
  <si>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</si>
  <si>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</si>
  <si>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</si>
  <si>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</si>
  <si>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</si>
  <si>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</si>
  <si>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</si>
  <si>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</si>
  <si>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</si>
  <si>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</si>
  <si>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</si>
  <si>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</si>
  <si>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</si>
  <si>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</si>
  <si>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</si>
  <si>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</si>
  <si>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</si>
  <si>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</si>
  <si>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</si>
  <si>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</si>
  <si>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</si>
  <si>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</si>
  <si>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</si>
  <si>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</si>
  <si>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</si>
  <si>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</si>
  <si>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</si>
  <si>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</si>
  <si>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</si>
  <si>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</si>
  <si>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</si>
  <si>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</si>
  <si>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</si>
  <si>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</si>
  <si>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</si>
  <si>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</si>
  <si>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</si>
  <si>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</si>
  <si>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</si>
  <si>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</si>
  <si>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</si>
  <si>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</si>
  <si>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</si>
  <si>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</si>
  <si>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</si>
  <si>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</si>
  <si>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</si>
  <si>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</si>
  <si>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</si>
  <si>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</si>
  <si>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</si>
  <si>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</si>
  <si>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</si>
  <si>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</si>
  <si>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</si>
  <si>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</si>
  <si>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</si>
  <si>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</si>
  <si>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</si>
  <si>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</si>
  <si>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</si>
  <si>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</si>
  <si>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</si>
  <si>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</si>
  <si>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</si>
  <si>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</si>
  <si>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</si>
  <si>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</si>
  <si>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</si>
  <si>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</si>
  <si>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</si>
  <si>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</si>
  <si>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</si>
  <si>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</si>
  <si>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</si>
  <si>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</si>
  <si>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</si>
  <si>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</si>
  <si>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</si>
  <si>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</si>
  <si>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</si>
  <si>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</si>
  <si>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</si>
  <si>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</si>
  <si>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</si>
  <si>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</si>
  <si>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</si>
  <si>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</si>
  <si>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</si>
  <si>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</si>
  <si>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</si>
  <si>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</si>
  <si>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</si>
  <si>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</si>
  <si>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</si>
  <si>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</si>
  <si>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</si>
  <si>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</si>
  <si>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</si>
  <si>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</si>
  <si>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</si>
  <si>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</si>
  <si>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</si>
  <si>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</si>
  <si>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</si>
  <si>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</si>
  <si>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</si>
  <si>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</si>
  <si>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</si>
  <si>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</si>
  <si>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</si>
  <si>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</si>
  <si>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</si>
  <si>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</si>
  <si>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</si>
  <si>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</si>
  <si>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</si>
  <si>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</si>
  <si>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</si>
  <si>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</si>
  <si>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</si>
  <si>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</si>
  <si>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</si>
  <si>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</si>
  <si>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</si>
  <si>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</si>
  <si>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</si>
  <si>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</si>
  <si>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</si>
  <si>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</si>
  <si>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</si>
  <si>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</si>
  <si>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</si>
  <si>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</si>
  <si>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</si>
  <si>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</si>
  <si>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</si>
  <si>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</si>
  <si>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</si>
  <si>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</si>
  <si>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</si>
  <si>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</si>
  <si>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</si>
  <si>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</si>
  <si>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</si>
  <si>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</si>
  <si>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</si>
  <si>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</si>
  <si>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</si>
  <si>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</si>
  <si>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</si>
  <si>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</si>
  <si>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</si>
  <si>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</si>
  <si>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</si>
  <si>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</si>
  <si>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</si>
  <si>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</si>
  <si>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</si>
  <si>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</si>
  <si>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</si>
  <si>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</si>
  <si>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</si>
  <si>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</si>
  <si>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</si>
  <si>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</si>
  <si>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</si>
  <si>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</si>
  <si>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</si>
  <si>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</si>
  <si>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</si>
  <si>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</si>
  <si>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</si>
  <si>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</si>
  <si>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</si>
  <si>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</si>
  <si>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</si>
  <si>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</si>
  <si>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</si>
  <si>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</si>
  <si>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</si>
  <si>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</si>
  <si>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</si>
  <si>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</si>
  <si>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</si>
  <si>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</si>
  <si>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</si>
  <si>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</si>
  <si>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</si>
  <si>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</si>
  <si>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</si>
  <si>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</si>
  <si>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</si>
  <si>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</si>
  <si>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</si>
  <si>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</si>
  <si>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</si>
  <si>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</si>
  <si>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</si>
  <si>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</si>
  <si>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</si>
  <si>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</si>
  <si>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</si>
  <si>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</si>
  <si>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</si>
  <si>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</si>
  <si>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</si>
  <si>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</si>
  <si>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</si>
  <si>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</si>
  <si>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</si>
  <si>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</si>
  <si>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</si>
  <si>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</si>
  <si>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</si>
  <si>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</si>
  <si>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</si>
  <si>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</si>
  <si>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</si>
  <si>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</si>
  <si>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</si>
  <si>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</si>
  <si>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</si>
  <si>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</si>
  <si>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</si>
  <si>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</si>
  <si>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</si>
  <si>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</si>
  <si>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</si>
  <si>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</si>
  <si>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</si>
  <si>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</si>
  <si>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</si>
  <si>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</si>
  <si>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</si>
  <si>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</si>
  <si>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</si>
  <si>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</si>
  <si>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</si>
  <si>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</si>
  <si>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</si>
  <si>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</si>
  <si>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</si>
  <si>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</si>
  <si>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</si>
  <si>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</si>
  <si>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</si>
  <si>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</si>
  <si>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</si>
  <si>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</si>
  <si>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</si>
  <si>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</si>
  <si>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</si>
  <si>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</si>
  <si>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</si>
  <si>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</si>
  <si>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</si>
  <si>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</si>
  <si>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</si>
  <si>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</si>
  <si>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</si>
  <si>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</si>
  <si>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</si>
  <si>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</si>
  <si>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</si>
  <si>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</si>
  <si>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</si>
  <si>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</si>
  <si>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</si>
  <si>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</si>
  <si>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</si>
  <si>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</si>
  <si>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</si>
  <si>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</si>
  <si>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</si>
  <si>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</si>
  <si>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</si>
  <si>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</si>
  <si>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</si>
  <si>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</si>
  <si>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</si>
  <si>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</si>
  <si>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</si>
  <si>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</si>
  <si>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</si>
  <si>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</si>
  <si>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</si>
  <si>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</si>
  <si>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</si>
  <si>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</si>
  <si>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</si>
  <si>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</si>
  <si>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</si>
  <si>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</si>
  <si>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</si>
  <si>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</si>
  <si>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</si>
  <si>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</si>
  <si>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</si>
  <si>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</si>
  <si>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</si>
  <si>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</si>
  <si>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</si>
  <si>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</si>
  <si>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</si>
  <si>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</si>
  <si>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</si>
  <si>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</si>
  <si>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</si>
  <si>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</si>
  <si>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</si>
  <si>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</si>
  <si>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</si>
  <si>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</si>
  <si>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</si>
  <si>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</si>
  <si>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</si>
  <si>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</si>
  <si>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</si>
  <si>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</si>
  <si>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</si>
  <si>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</si>
  <si>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</si>
  <si>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</si>
  <si>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</si>
  <si>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</si>
  <si>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</si>
  <si>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</si>
  <si>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</si>
  <si>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</si>
  <si>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</si>
  <si>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</si>
  <si>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</si>
  <si>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</si>
  <si>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</si>
  <si>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</si>
  <si>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</si>
  <si>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</si>
  <si>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</si>
  <si>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</si>
  <si>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</si>
  <si>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</si>
  <si>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</si>
  <si>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</si>
  <si>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</si>
  <si>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</si>
  <si>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</si>
  <si>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</si>
  <si>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</si>
  <si>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</si>
  <si>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</si>
  <si>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</si>
  <si>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</si>
  <si>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</si>
  <si>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</si>
  <si>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</si>
  <si>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</si>
  <si>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</si>
  <si>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</si>
  <si>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</si>
  <si>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</si>
  <si>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</si>
  <si>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</si>
  <si>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</si>
  <si>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</si>
  <si>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</si>
  <si>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</si>
  <si>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</si>
  <si>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</si>
  <si>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</si>
  <si>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</si>
  <si>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</si>
  <si>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</si>
  <si>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</si>
  <si>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</si>
  <si>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</si>
  <si>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</si>
  <si>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</si>
  <si>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</si>
  <si>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</si>
  <si>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</si>
  <si>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</si>
  <si>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</si>
  <si>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</si>
  <si>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</si>
  <si>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</si>
  <si>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</si>
  <si>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</si>
  <si>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</si>
  <si>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</si>
  <si>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</si>
  <si>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</si>
  <si>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</si>
  <si>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</si>
  <si>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</si>
  <si>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</si>
  <si>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</si>
  <si>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</si>
  <si>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</si>
  <si>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</si>
  <si>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</si>
  <si>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</si>
  <si>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</si>
  <si>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</si>
  <si>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</si>
  <si>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</si>
  <si>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</si>
  <si>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</si>
  <si>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</si>
  <si>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</si>
  <si>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</si>
  <si>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</si>
  <si>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</si>
  <si>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</si>
  <si>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</si>
  <si>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</si>
  <si>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</si>
  <si>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</si>
  <si>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</si>
  <si>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</si>
  <si>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</si>
  <si>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</si>
  <si>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</si>
  <si>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</si>
  <si>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</si>
  <si>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</si>
  <si>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</si>
  <si>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</si>
  <si>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</si>
  <si>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</si>
  <si>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</si>
  <si>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</si>
  <si>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</si>
  <si>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</si>
  <si>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</si>
  <si>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</si>
  <si>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</si>
  <si>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</si>
  <si>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</si>
  <si>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</si>
  <si>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</si>
  <si>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</si>
  <si>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</si>
  <si>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</si>
  <si>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</si>
  <si>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</si>
  <si>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</si>
  <si>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</si>
  <si>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</si>
  <si>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</si>
  <si>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</si>
  <si>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</si>
  <si>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</si>
  <si>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</si>
  <si>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</si>
  <si>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</si>
  <si>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</si>
  <si>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</si>
  <si>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</si>
  <si>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</si>
  <si>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</si>
  <si>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</si>
  <si>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</si>
  <si>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</si>
  <si>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</si>
  <si>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</si>
  <si>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</si>
  <si>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</si>
  <si>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</si>
  <si>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</si>
  <si>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</si>
  <si>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</si>
  <si>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</si>
  <si>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</si>
  <si>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</si>
  <si>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</si>
  <si>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</si>
  <si>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</si>
  <si>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</si>
  <si>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</si>
  <si>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</si>
  <si>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</si>
  <si>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</si>
  <si>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</si>
  <si>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</si>
  <si>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</si>
  <si>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</si>
  <si>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</si>
  <si>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</si>
  <si>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</si>
  <si>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</si>
  <si>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</si>
  <si>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</si>
  <si>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</si>
  <si>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</si>
  <si>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</si>
  <si>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"--occupancyPrecision=1 --occupancyMapQP=42 --offsetLossyOM=65 --thresholdLossyOM=25 --prefilterLossyOM=1"
        lossy occupancy map config file: cfg/hm/ctc-hm-occupancy-map-(ai/ld)-main10-lossy.cfg</t>
  </si>
  <si>
    <t>reference: rc0.5</t>
  </si>
  <si>
    <t>tested: rc0.6 (lossy occupancy map)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</si>
</sst>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66.202756249999993</c:v>
                </c:pt>
                <c:pt idx="1">
                  <c:v>68.080428124999997</c:v>
                </c:pt>
                <c:pt idx="2">
                  <c:v>69.471881249999996</c:v>
                </c:pt>
                <c:pt idx="3">
                  <c:v>70.814015624999996</c:v>
                </c:pt>
                <c:pt idx="4">
                  <c:v>71.784334375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68.686790625</c:v>
                </c:pt>
                <c:pt idx="1">
                  <c:v>70.619968749999998</c:v>
                </c:pt>
                <c:pt idx="2">
                  <c:v>72.254053124999999</c:v>
                </c:pt>
                <c:pt idx="3">
                  <c:v>73.478634374999999</c:v>
                </c:pt>
                <c:pt idx="4">
                  <c:v>74.563974999999999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32.084146875000002</c:v>
                </c:pt>
                <c:pt idx="1">
                  <c:v>34.331778125</c:v>
                </c:pt>
                <c:pt idx="2">
                  <c:v>36.84358125</c:v>
                </c:pt>
                <c:pt idx="3">
                  <c:v>39.452468750000001</c:v>
                </c:pt>
                <c:pt idx="4">
                  <c:v>42.016884374999997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44.115609374999998</c:v>
                </c:pt>
                <c:pt idx="1">
                  <c:v>45.434553125000001</c:v>
                </c:pt>
                <c:pt idx="2">
                  <c:v>46.4757125</c:v>
                </c:pt>
                <c:pt idx="3">
                  <c:v>47.828118750000002</c:v>
                </c:pt>
                <c:pt idx="4">
                  <c:v>49.411831249999999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43.660056249999997</c:v>
                </c:pt>
                <c:pt idx="1">
                  <c:v>45.079971874999998</c:v>
                </c:pt>
                <c:pt idx="2">
                  <c:v>46.325796875000002</c:v>
                </c:pt>
                <c:pt idx="3">
                  <c:v>47.816749999999999</c:v>
                </c:pt>
                <c:pt idx="4">
                  <c:v>49.539165625000003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0.1003530595900769</c:v>
                </c:pt>
                <c:pt idx="1">
                  <c:v>0.15190883668829872</c:v>
                </c:pt>
                <c:pt idx="2">
                  <c:v>0.24385855008149424</c:v>
                </c:pt>
                <c:pt idx="3">
                  <c:v>0.41770491758624834</c:v>
                </c:pt>
                <c:pt idx="4">
                  <c:v>0.74949849467286156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zoomScale="85" zoomScaleNormal="85" workbookViewId="0">
      <selection activeCell="G18" sqref="G18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104" t="s">
        <v>551</v>
      </c>
      <c r="D1" s="104"/>
      <c r="E1" s="104"/>
    </row>
    <row r="2" spans="2:12" ht="29.25" customHeight="1" x14ac:dyDescent="0.3">
      <c r="B2" t="s">
        <v>1</v>
      </c>
      <c r="C2" s="105" t="s">
        <v>552</v>
      </c>
      <c r="D2" s="105"/>
      <c r="E2" s="105"/>
      <c r="F2" s="106" t="s">
        <v>550</v>
      </c>
      <c r="G2" s="107"/>
      <c r="H2" s="107"/>
      <c r="I2" s="107"/>
      <c r="J2" s="107"/>
      <c r="K2" s="107"/>
      <c r="L2" s="107"/>
    </row>
    <row r="4" spans="2:12" s="1" customFormat="1" x14ac:dyDescent="0.3">
      <c r="B4" s="1" t="s">
        <v>296</v>
      </c>
    </row>
    <row r="6" spans="2:12" x14ac:dyDescent="0.3">
      <c r="B6" s="100" t="s">
        <v>297</v>
      </c>
      <c r="C6" s="101" t="s">
        <v>298</v>
      </c>
      <c r="D6" s="101"/>
      <c r="E6" s="101"/>
      <c r="F6" s="101"/>
      <c r="G6" s="101"/>
      <c r="H6" s="101"/>
      <c r="I6" s="101"/>
      <c r="J6" s="101"/>
      <c r="K6" s="101"/>
      <c r="L6" s="101"/>
    </row>
    <row r="7" spans="2:12" x14ac:dyDescent="0.3">
      <c r="B7" s="100"/>
      <c r="C7" s="102" t="s">
        <v>237</v>
      </c>
      <c r="D7" s="102"/>
      <c r="E7" s="103" t="s">
        <v>242</v>
      </c>
      <c r="F7" s="103"/>
      <c r="G7" s="103"/>
      <c r="H7" s="102" t="s">
        <v>249</v>
      </c>
      <c r="I7" s="102"/>
      <c r="J7" s="103" t="s">
        <v>254</v>
      </c>
      <c r="K7" s="103"/>
      <c r="L7" s="103"/>
    </row>
    <row r="8" spans="2:12" x14ac:dyDescent="0.3">
      <c r="B8" s="10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0.11876089311868121</v>
      </c>
      <c r="D9" s="5">
        <f>'C2 lossyG,lossyA,intra'!$BJ$30:$BJ$30</f>
        <v>3.5348708782255267E-2</v>
      </c>
      <c r="E9" s="5">
        <f>'C2 lossyG,lossyA,intra'!$BK$30:$BK$30</f>
        <v>-2.7898212345721651E-3</v>
      </c>
      <c r="F9" s="5">
        <f>'C2 lossyG,lossyA,intra'!$BL$30:$BL$30</f>
        <v>-1.7492748790048473E-2</v>
      </c>
      <c r="G9" s="5">
        <f>'C2 lossyG,lossyA,intra'!$BM$30:$BM$30</f>
        <v>-5.0397537468994669E-3</v>
      </c>
      <c r="H9" s="5">
        <f>'C2 lossyG,lossyA,intra'!$BO$30:$BO$30</f>
        <v>8.3590376981848902E-2</v>
      </c>
      <c r="I9" s="5">
        <f>'C2 lossyG,lossyA,intra'!$BP$30:$BP$30</f>
        <v>-7.5933221645720805E-2</v>
      </c>
      <c r="J9" s="5">
        <f>'C2 lossyG,lossyA,intra'!$BQ$30:$BQ$30</f>
        <v>3.2116301669859869E-2</v>
      </c>
      <c r="K9" s="5">
        <f>'C2 lossyG,lossyA,intra'!$BR$30:$BR$30</f>
        <v>1.5393558209213435E-2</v>
      </c>
      <c r="L9" s="5">
        <f>'C2 lossyG,lossyA,intra'!$BS$30:$BS$30</f>
        <v>2.6617339831808435E-2</v>
      </c>
    </row>
    <row r="10" spans="2:12" x14ac:dyDescent="0.3">
      <c r="B10" s="4" t="s">
        <v>289</v>
      </c>
      <c r="C10" s="5">
        <f>'C2 lossyG,lossyA,intra'!$BI$31:$BI$31</f>
        <v>0.12974478661765687</v>
      </c>
      <c r="D10" s="5">
        <f>'C2 lossyG,lossyA,intra'!$BJ$31:$BJ$31</f>
        <v>7.1048389466455752E-2</v>
      </c>
      <c r="E10" s="5">
        <f>'C2 lossyG,lossyA,intra'!$BK$31:$BK$31</f>
        <v>-1.3669295377295332E-2</v>
      </c>
      <c r="F10" s="5">
        <f>'C2 lossyG,lossyA,intra'!$BL$31:$BL$31</f>
        <v>-1.1605876850817043E-2</v>
      </c>
      <c r="G10" s="5">
        <f>'C2 lossyG,lossyA,intra'!$BM$31:$BM$31</f>
        <v>-2.8094290899600693E-3</v>
      </c>
      <c r="H10" s="5">
        <f>'C2 lossyG,lossyA,intra'!$BO$31:$BO$31</f>
        <v>0.11351102245635958</v>
      </c>
      <c r="I10" s="5">
        <f>'C2 lossyG,lossyA,intra'!$BP$31:$BP$31</f>
        <v>-3.0595385240007489E-2</v>
      </c>
      <c r="J10" s="5">
        <f>'C2 lossyG,lossyA,intra'!$BQ$31:$BQ$31</f>
        <v>5.7642578443484194E-3</v>
      </c>
      <c r="K10" s="5">
        <f>'C2 lossyG,lossyA,intra'!$BR$31:$BR$31</f>
        <v>3.4929828353982284E-3</v>
      </c>
      <c r="L10" s="5">
        <f>'C2 lossyG,lossyA,intra'!$BS$31:$BS$31</f>
        <v>1.2289765847601775E-2</v>
      </c>
    </row>
    <row r="11" spans="2:12" x14ac:dyDescent="0.3">
      <c r="B11" s="6" t="s">
        <v>290</v>
      </c>
      <c r="C11" s="7">
        <f>'C2 lossyG,lossyA,intra'!$BI$32:$BI$32</f>
        <v>0.12150686649342513</v>
      </c>
      <c r="D11" s="7">
        <f>'C2 lossyG,lossyA,intra'!$BJ$32:$BJ$32</f>
        <v>4.4273628953305388E-2</v>
      </c>
      <c r="E11" s="7">
        <f>'C2 lossyG,lossyA,intra'!$BK$32:$BK$32</f>
        <v>-5.5096897702529568E-3</v>
      </c>
      <c r="F11" s="7">
        <f>'C2 lossyG,lossyA,intra'!$BL$32:$BL$32</f>
        <v>-1.6021030805240616E-2</v>
      </c>
      <c r="G11" s="7">
        <f>'C2 lossyG,lossyA,intra'!$BM$32:$BM$32</f>
        <v>-4.4821725826646175E-3</v>
      </c>
      <c r="H11" s="7">
        <f>'C2 lossyG,lossyA,intra'!$BO$32:$BO$32</f>
        <v>9.1070538350476571E-2</v>
      </c>
      <c r="I11" s="7">
        <f>'C2 lossyG,lossyA,intra'!$BP$32:$BP$32</f>
        <v>-6.4598762544292476E-2</v>
      </c>
      <c r="J11" s="7">
        <f>'C2 lossyG,lossyA,intra'!$BQ$32:$BQ$32</f>
        <v>2.5528290713482005E-2</v>
      </c>
      <c r="K11" s="7">
        <f>'C2 lossyG,lossyA,intra'!$BR$32:$BR$32</f>
        <v>1.2418414365759634E-2</v>
      </c>
      <c r="L11" s="7">
        <f>'C2 lossyG,lossyA,intra'!$BS$32:$BS$32</f>
        <v>2.3035446335756771E-2</v>
      </c>
    </row>
    <row r="12" spans="2:12" x14ac:dyDescent="0.3">
      <c r="B12" t="s">
        <v>299</v>
      </c>
      <c r="C12" s="98" t="e">
        <f>'C2 lossyG,lossyA,intra'!AZ36</f>
        <v>#NUM!</v>
      </c>
      <c r="D12" s="98"/>
      <c r="E12" s="98"/>
      <c r="F12" s="98"/>
      <c r="G12" s="98"/>
      <c r="H12" s="98"/>
      <c r="I12" s="98"/>
      <c r="J12" s="98"/>
      <c r="K12" s="98"/>
      <c r="L12" s="98"/>
    </row>
    <row r="13" spans="2:12" x14ac:dyDescent="0.3">
      <c r="B13" s="9" t="s">
        <v>300</v>
      </c>
      <c r="C13" s="99" t="e">
        <f>'C2 lossyG,lossyA,intra'!BB36</f>
        <v>#NUM!</v>
      </c>
      <c r="D13" s="99"/>
      <c r="E13" s="99"/>
      <c r="F13" s="99"/>
      <c r="G13" s="99"/>
      <c r="H13" s="99"/>
      <c r="I13" s="99"/>
      <c r="J13" s="99"/>
      <c r="K13" s="99"/>
      <c r="L13" s="99"/>
    </row>
    <row r="15" spans="2:12" x14ac:dyDescent="0.3">
      <c r="B15" s="100" t="s">
        <v>381</v>
      </c>
      <c r="C15" s="101" t="s">
        <v>382</v>
      </c>
      <c r="D15" s="101"/>
      <c r="E15" s="101"/>
    </row>
    <row r="16" spans="2:12" x14ac:dyDescent="0.3">
      <c r="B16" s="100"/>
      <c r="C16" s="102" t="s">
        <v>357</v>
      </c>
      <c r="D16" s="102"/>
      <c r="E16" s="102"/>
    </row>
    <row r="17" spans="2:5" x14ac:dyDescent="0.3">
      <c r="B17" s="10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289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290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299</v>
      </c>
      <c r="C21" s="98" t="e">
        <f>'CW losslG,losslA,intra'!AW16</f>
        <v>#NUM!</v>
      </c>
      <c r="D21" s="98"/>
      <c r="E21" s="98"/>
    </row>
    <row r="22" spans="2:5" x14ac:dyDescent="0.3">
      <c r="B22" s="9" t="s">
        <v>300</v>
      </c>
      <c r="C22" s="99" t="e">
        <f>'CW losslG,losslA,intra'!AY16</f>
        <v>#NUM!</v>
      </c>
      <c r="D22" s="99"/>
      <c r="E22" s="99"/>
    </row>
    <row r="24" spans="2:5" s="1" customFormat="1" x14ac:dyDescent="0.3">
      <c r="B24" s="1" t="s">
        <v>456</v>
      </c>
    </row>
    <row r="26" spans="2:5" x14ac:dyDescent="0.3">
      <c r="B26" s="100" t="s">
        <v>457</v>
      </c>
      <c r="C26" s="101" t="s">
        <v>458</v>
      </c>
      <c r="D26" s="101"/>
      <c r="E26" s="101"/>
    </row>
    <row r="27" spans="2:5" x14ac:dyDescent="0.3">
      <c r="B27" s="100"/>
      <c r="C27" s="102" t="s">
        <v>357</v>
      </c>
      <c r="D27" s="102"/>
      <c r="E27" s="102"/>
    </row>
    <row r="28" spans="2:5" x14ac:dyDescent="0.3">
      <c r="B28" s="10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289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290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299</v>
      </c>
      <c r="C32" s="98" t="e">
        <f>'CW losslG,losslA,interLD'!AW16</f>
        <v>#NUM!</v>
      </c>
      <c r="D32" s="98"/>
      <c r="E32" s="98"/>
    </row>
    <row r="33" spans="2:12" x14ac:dyDescent="0.3">
      <c r="B33" s="9" t="s">
        <v>300</v>
      </c>
      <c r="C33" s="99" t="e">
        <f>'CW losslG,losslA,interLD'!AY16</f>
        <v>#NUM!</v>
      </c>
      <c r="D33" s="99"/>
      <c r="E33" s="99"/>
    </row>
    <row r="35" spans="2:12" s="1" customFormat="1" x14ac:dyDescent="0.3">
      <c r="B35" s="1" t="s">
        <v>543</v>
      </c>
    </row>
    <row r="37" spans="2:12" x14ac:dyDescent="0.3">
      <c r="B37" s="100" t="s">
        <v>544</v>
      </c>
      <c r="C37" s="101" t="s">
        <v>545</v>
      </c>
      <c r="D37" s="101"/>
      <c r="E37" s="101"/>
      <c r="F37" s="101"/>
      <c r="G37" s="101"/>
      <c r="H37" s="101"/>
      <c r="I37" s="101"/>
      <c r="J37" s="101"/>
      <c r="K37" s="101"/>
      <c r="L37" s="101"/>
    </row>
    <row r="38" spans="2:12" x14ac:dyDescent="0.3">
      <c r="B38" s="100"/>
      <c r="C38" s="102" t="s">
        <v>237</v>
      </c>
      <c r="D38" s="102"/>
      <c r="E38" s="103" t="s">
        <v>242</v>
      </c>
      <c r="F38" s="103"/>
      <c r="G38" s="103"/>
      <c r="H38" s="102" t="s">
        <v>249</v>
      </c>
      <c r="I38" s="102"/>
      <c r="J38" s="103" t="s">
        <v>254</v>
      </c>
      <c r="K38" s="103"/>
      <c r="L38" s="103"/>
    </row>
    <row r="39" spans="2:12" x14ac:dyDescent="0.3">
      <c r="B39" s="10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0.14730944311704453</v>
      </c>
      <c r="D40" s="5">
        <f>'C2 lossyG,lossyA,interRA'!$BJ$30:$BJ$30</f>
        <v>0.16329067436285313</v>
      </c>
      <c r="E40" s="5">
        <f>'C2 lossyG,lossyA,interRA'!$BK$30:$BK$30</f>
        <v>1.2551669415612847E-3</v>
      </c>
      <c r="F40" s="5">
        <f>'C2 lossyG,lossyA,interRA'!$BL$30:$BL$30</f>
        <v>-1.8783096145441824E-2</v>
      </c>
      <c r="G40" s="5">
        <f>'C2 lossyG,lossyA,interRA'!$BM$30:$BM$30</f>
        <v>-2.0918859171828823E-2</v>
      </c>
      <c r="H40" s="5">
        <f>'C2 lossyG,lossyA,interRA'!$BO$30:$BO$30</f>
        <v>0.22149634975593399</v>
      </c>
      <c r="I40" s="5">
        <f>'C2 lossyG,lossyA,interRA'!$BP$30:$BP$30</f>
        <v>0.25211678811480454</v>
      </c>
      <c r="J40" s="5">
        <f>'C2 lossyG,lossyA,interRA'!$BQ$30:$BQ$30</f>
        <v>9.0523770737305585E-3</v>
      </c>
      <c r="K40" s="5">
        <f>'C2 lossyG,lossyA,interRA'!$BR$30:$BR$30</f>
        <v>-6.8646049483241933E-3</v>
      </c>
      <c r="L40" s="5">
        <f>'C2 lossyG,lossyA,interRA'!$BS$30:$BS$30</f>
        <v>-4.7227873600338794E-3</v>
      </c>
    </row>
    <row r="41" spans="2:12" x14ac:dyDescent="0.3">
      <c r="B41" s="4" t="s">
        <v>289</v>
      </c>
      <c r="C41" s="5">
        <f>'C2 lossyG,lossyA,interRA'!$BI$31:$BI$31</f>
        <v>0.24811734161854671</v>
      </c>
      <c r="D41" s="5">
        <f>'C2 lossyG,lossyA,interRA'!$BJ$31:$BJ$31</f>
        <v>0.2562742291702782</v>
      </c>
      <c r="E41" s="5">
        <f>'C2 lossyG,lossyA,interRA'!$BK$31:$BK$31</f>
        <v>-4.8020396522613362E-3</v>
      </c>
      <c r="F41" s="5">
        <f>'C2 lossyG,lossyA,interRA'!$BL$31:$BL$31</f>
        <v>-4.3458643362894733E-3</v>
      </c>
      <c r="G41" s="5">
        <f>'C2 lossyG,lossyA,interRA'!$BM$31:$BM$31</f>
        <v>3.2989263266935964E-3</v>
      </c>
      <c r="H41" s="5">
        <f>'C2 lossyG,lossyA,interRA'!$BO$31:$BO$31</f>
        <v>0.43461081544853664</v>
      </c>
      <c r="I41" s="5">
        <f>'C2 lossyG,lossyA,interRA'!$BP$31:$BP$31</f>
        <v>0.45677416592025355</v>
      </c>
      <c r="J41" s="5">
        <f>'C2 lossyG,lossyA,interRA'!$BQ$31:$BQ$31</f>
        <v>2.4102246158901552E-2</v>
      </c>
      <c r="K41" s="5">
        <f>'C2 lossyG,lossyA,interRA'!$BR$31:$BR$31</f>
        <v>2.243853139322427E-2</v>
      </c>
      <c r="L41" s="5">
        <f>'C2 lossyG,lossyA,interRA'!$BS$31:$BS$31</f>
        <v>2.9694018980099601E-2</v>
      </c>
    </row>
    <row r="42" spans="2:12" x14ac:dyDescent="0.3">
      <c r="B42" s="6" t="s">
        <v>290</v>
      </c>
      <c r="C42" s="7">
        <f>'C2 lossyG,lossyA,interRA'!$BI$32:$BI$32</f>
        <v>0.17251141774242007</v>
      </c>
      <c r="D42" s="7">
        <f>'C2 lossyG,lossyA,interRA'!$BJ$32:$BJ$32</f>
        <v>0.18653656306470939</v>
      </c>
      <c r="E42" s="7">
        <f>'C2 lossyG,lossyA,interRA'!$BK$32:$BK$32</f>
        <v>-2.5913470689437057E-4</v>
      </c>
      <c r="F42" s="7">
        <f>'C2 lossyG,lossyA,interRA'!$BL$32:$BL$32</f>
        <v>-1.5173788193153737E-2</v>
      </c>
      <c r="G42" s="7">
        <f>'C2 lossyG,lossyA,interRA'!$BM$32:$BM$32</f>
        <v>-1.4864412797198218E-2</v>
      </c>
      <c r="H42" s="7">
        <f>'C2 lossyG,lossyA,interRA'!$BO$32:$BO$32</f>
        <v>0.27477496617908465</v>
      </c>
      <c r="I42" s="7">
        <f>'C2 lossyG,lossyA,interRA'!$BP$32:$BP$32</f>
        <v>0.30328113256616679</v>
      </c>
      <c r="J42" s="7">
        <f>'C2 lossyG,lossyA,interRA'!$BQ$32:$BQ$32</f>
        <v>1.2814844345023307E-2</v>
      </c>
      <c r="K42" s="7">
        <f>'C2 lossyG,lossyA,interRA'!$BR$32:$BR$32</f>
        <v>4.6117913706292257E-4</v>
      </c>
      <c r="L42" s="7">
        <f>'C2 lossyG,lossyA,interRA'!$BS$32:$BS$32</f>
        <v>3.881414224999491E-3</v>
      </c>
    </row>
    <row r="43" spans="2:12" x14ac:dyDescent="0.3">
      <c r="B43" t="s">
        <v>299</v>
      </c>
      <c r="C43" s="98" t="e">
        <f>'C2 lossyG,lossyA,interRA'!AZ36</f>
        <v>#NUM!</v>
      </c>
      <c r="D43" s="98"/>
      <c r="E43" s="98"/>
      <c r="F43" s="98"/>
      <c r="G43" s="98"/>
      <c r="H43" s="98"/>
      <c r="I43" s="98"/>
      <c r="J43" s="98"/>
      <c r="K43" s="98"/>
      <c r="L43" s="98"/>
    </row>
    <row r="44" spans="2:12" x14ac:dyDescent="0.3">
      <c r="B44" s="9" t="s">
        <v>300</v>
      </c>
      <c r="C44" s="99" t="e">
        <f>'C2 lossyG,lossyA,interRA'!BB36</f>
        <v>#NUM!</v>
      </c>
      <c r="D44" s="99"/>
      <c r="E44" s="99"/>
      <c r="F44" s="99"/>
      <c r="G44" s="99"/>
      <c r="H44" s="99"/>
      <c r="I44" s="99"/>
      <c r="J44" s="99"/>
      <c r="K44" s="99"/>
      <c r="L44" s="99"/>
    </row>
  </sheetData>
  <mergeCells count="29">
    <mergeCell ref="C1:E1"/>
    <mergeCell ref="C2:E2"/>
    <mergeCell ref="B6:B8"/>
    <mergeCell ref="C6:L6"/>
    <mergeCell ref="C7:D7"/>
    <mergeCell ref="E7:G7"/>
    <mergeCell ref="H7:I7"/>
    <mergeCell ref="J7:L7"/>
    <mergeCell ref="F2:L2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tabSelected="1" zoomScale="85" zoomScaleNormal="85" workbookViewId="0">
      <pane xSplit="2" topLeftCell="AF1" activePane="topRight" state="frozen"/>
      <selection pane="topRight" activeCell="BT41" sqref="BT41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3" x14ac:dyDescent="0.3">
      <c r="A1" s="110" t="s">
        <v>261</v>
      </c>
      <c r="B1" s="110"/>
      <c r="C1" s="110"/>
      <c r="D1" s="110"/>
      <c r="E1" s="110"/>
      <c r="F1" s="110"/>
      <c r="G1" s="110"/>
      <c r="I1" s="104" t="s">
        <v>2</v>
      </c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G1" s="105" t="s">
        <v>3</v>
      </c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</row>
    <row r="2" spans="1:73" ht="30" customHeight="1" x14ac:dyDescent="0.3">
      <c r="A2" s="112" t="s">
        <v>93</v>
      </c>
      <c r="B2" s="111" t="s">
        <v>96</v>
      </c>
      <c r="C2" s="112" t="s">
        <v>99</v>
      </c>
      <c r="D2" s="111" t="s">
        <v>102</v>
      </c>
      <c r="E2" s="112" t="s">
        <v>105</v>
      </c>
      <c r="F2" s="111" t="s">
        <v>108</v>
      </c>
      <c r="G2" s="112" t="s">
        <v>111</v>
      </c>
      <c r="I2" s="111" t="s">
        <v>114</v>
      </c>
      <c r="J2" s="109" t="s">
        <v>117</v>
      </c>
      <c r="K2" s="109"/>
      <c r="L2" s="109"/>
      <c r="M2" s="109"/>
      <c r="N2" s="112" t="s">
        <v>130</v>
      </c>
      <c r="O2" s="111" t="s">
        <v>133</v>
      </c>
      <c r="P2" s="112" t="s">
        <v>24</v>
      </c>
      <c r="Q2" s="111" t="s">
        <v>26</v>
      </c>
      <c r="R2" s="112" t="s">
        <v>22</v>
      </c>
      <c r="S2" s="108" t="s">
        <v>142</v>
      </c>
      <c r="T2" s="108"/>
      <c r="U2" s="108"/>
      <c r="V2" s="108"/>
      <c r="W2" s="109" t="s">
        <v>153</v>
      </c>
      <c r="X2" s="109"/>
      <c r="Y2" s="108" t="s">
        <v>160</v>
      </c>
      <c r="Z2" s="108"/>
      <c r="AA2" s="108"/>
      <c r="AB2" s="109" t="s">
        <v>170</v>
      </c>
      <c r="AC2" s="109"/>
      <c r="AD2" s="108" t="s">
        <v>177</v>
      </c>
      <c r="AE2" s="108"/>
      <c r="AG2" s="112" t="s">
        <v>114</v>
      </c>
      <c r="AH2" s="108" t="s">
        <v>117</v>
      </c>
      <c r="AI2" s="108"/>
      <c r="AJ2" s="108"/>
      <c r="AK2" s="108"/>
      <c r="AL2" s="111" t="s">
        <v>192</v>
      </c>
      <c r="AM2" s="112" t="s">
        <v>133</v>
      </c>
      <c r="AN2" s="111" t="s">
        <v>24</v>
      </c>
      <c r="AO2" s="112" t="s">
        <v>26</v>
      </c>
      <c r="AP2" s="111" t="s">
        <v>22</v>
      </c>
      <c r="AQ2" s="109" t="s">
        <v>142</v>
      </c>
      <c r="AR2" s="109"/>
      <c r="AS2" s="109"/>
      <c r="AT2" s="109"/>
      <c r="AU2" s="108" t="s">
        <v>153</v>
      </c>
      <c r="AV2" s="108"/>
      <c r="AW2" s="109" t="s">
        <v>160</v>
      </c>
      <c r="AX2" s="109"/>
      <c r="AY2" s="109"/>
      <c r="AZ2" s="108" t="s">
        <v>170</v>
      </c>
      <c r="BA2" s="108"/>
      <c r="BB2" s="109" t="s">
        <v>177</v>
      </c>
      <c r="BC2" s="109"/>
      <c r="BE2" s="111" t="s">
        <v>229</v>
      </c>
      <c r="BF2" s="112" t="s">
        <v>232</v>
      </c>
      <c r="BG2" s="111" t="s">
        <v>232</v>
      </c>
      <c r="BI2" s="109" t="s">
        <v>237</v>
      </c>
      <c r="BJ2" s="109"/>
      <c r="BK2" s="108" t="s">
        <v>242</v>
      </c>
      <c r="BL2" s="108"/>
      <c r="BM2" s="108"/>
      <c r="BO2" s="109" t="s">
        <v>249</v>
      </c>
      <c r="BP2" s="109"/>
      <c r="BQ2" s="108" t="s">
        <v>254</v>
      </c>
      <c r="BR2" s="108"/>
      <c r="BS2" s="108"/>
      <c r="BU2" t="s">
        <v>549</v>
      </c>
    </row>
    <row r="3" spans="1:73" ht="15" thickBot="1" x14ac:dyDescent="0.35">
      <c r="A3" s="112"/>
      <c r="B3" s="111"/>
      <c r="C3" s="112"/>
      <c r="D3" s="111"/>
      <c r="E3" s="112"/>
      <c r="F3" s="111"/>
      <c r="G3" s="112"/>
      <c r="I3" s="111"/>
      <c r="J3" s="11" t="s">
        <v>118</v>
      </c>
      <c r="K3" s="11" t="s">
        <v>121</v>
      </c>
      <c r="L3" s="11" t="s">
        <v>124</v>
      </c>
      <c r="M3" s="11" t="s">
        <v>127</v>
      </c>
      <c r="N3" s="112"/>
      <c r="O3" s="111"/>
      <c r="P3" s="112"/>
      <c r="Q3" s="111"/>
      <c r="R3" s="112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12"/>
      <c r="AH3" s="12" t="s">
        <v>118</v>
      </c>
      <c r="AI3" s="12" t="s">
        <v>121</v>
      </c>
      <c r="AJ3" s="12" t="s">
        <v>124</v>
      </c>
      <c r="AK3" s="12" t="s">
        <v>127</v>
      </c>
      <c r="AL3" s="111"/>
      <c r="AM3" s="112"/>
      <c r="AN3" s="111"/>
      <c r="AO3" s="112"/>
      <c r="AP3" s="111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11"/>
      <c r="BF3" s="112"/>
      <c r="BG3" s="111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2.248815</v>
      </c>
      <c r="J5" s="18">
        <f t="shared" ref="J5:J29" si="1">IF(ISBLANK(S5),"·",S5/D5)</f>
        <v>9.6086493931484107E-2</v>
      </c>
      <c r="K5" s="18">
        <f t="shared" ref="K5:K29" si="2">IF(N5="","·",N5/D5)</f>
        <v>6.1031159070718786E-2</v>
      </c>
      <c r="L5" s="18">
        <f t="shared" ref="L5:L29" si="3">IF(T5="","·",T5/D5)</f>
        <v>3.392882138033073E-2</v>
      </c>
      <c r="M5" s="18">
        <f t="shared" ref="M5:M29" si="4">IF(ISBLANK(V5),"·",V5/D5)</f>
        <v>3.505106209960307E-2</v>
      </c>
      <c r="N5" s="15">
        <f t="shared" ref="N5:N29" si="5">IF(OR(ISBLANK(T5),ISBLANK(U5)),"",T5+U5)</f>
        <v>1523602.666666667</v>
      </c>
      <c r="O5" s="18">
        <f t="shared" ref="O5:O29" si="6">IF(ISBLANK(S5),"·",S5/P5)</f>
        <v>0.11071654225801031</v>
      </c>
      <c r="P5" s="58">
        <v>21665561</v>
      </c>
      <c r="Q5" s="58">
        <v>677048.78125</v>
      </c>
      <c r="R5" s="58">
        <v>13554.6875</v>
      </c>
      <c r="S5" s="59">
        <v>2398736</v>
      </c>
      <c r="T5" s="59">
        <v>847010.66666666698</v>
      </c>
      <c r="U5" s="59">
        <v>676592</v>
      </c>
      <c r="V5" s="59">
        <v>875026.66666666698</v>
      </c>
      <c r="W5" s="60">
        <v>66.333168749999999</v>
      </c>
      <c r="X5" s="60">
        <v>68.402850000000001</v>
      </c>
      <c r="Y5" s="60">
        <v>32.165624999999999</v>
      </c>
      <c r="Z5" s="60">
        <v>44.153831250000003</v>
      </c>
      <c r="AA5" s="60">
        <v>43.731209374999999</v>
      </c>
      <c r="AB5" s="22"/>
      <c r="AC5" s="22"/>
      <c r="AD5" s="22"/>
      <c r="AE5" s="22"/>
      <c r="AG5" s="17">
        <f t="shared" ref="AG5:AG29" si="7">IF(OR(ISBLANK(AQ5),ISBLANK(G5)),"·",AQ5*G5/F5/1000000)</f>
        <v>2.3486699999999998</v>
      </c>
      <c r="AH5" s="18">
        <f t="shared" ref="AH5:AH29" si="8">IF(ISBLANK(AQ5),"·",AQ5/D5)</f>
        <v>0.1003530595900769</v>
      </c>
      <c r="AI5" s="18">
        <f t="shared" ref="AI5:AI29" si="9">IF(AL5="","·",AL5/D5)</f>
        <v>6.6575387135861794E-2</v>
      </c>
      <c r="AJ5" s="18">
        <f t="shared" ref="AJ5:AJ29" si="10">IF(AR5="","·",AR5/D5)</f>
        <v>3.3807368144292971E-2</v>
      </c>
      <c r="AK5" s="18">
        <f t="shared" ref="AK5:AK29" si="11">IF(ISBLANK(AT5),"·",AT5/D5)</f>
        <v>3.3773399693052861E-2</v>
      </c>
      <c r="AL5" s="15">
        <f t="shared" ref="AL5:AL29" si="12">IF(OR(ISBLANK(AR5),ISBLANK(AS5)),"",AR5+AS5)</f>
        <v>1662010.666666667</v>
      </c>
      <c r="AM5" s="18">
        <f t="shared" ref="AM5:AM29" si="13">IF(ISBLANK(AQ5),"·",AQ5/AN5)</f>
        <v>0.12300278351556647</v>
      </c>
      <c r="AN5" s="70">
        <v>20367409</v>
      </c>
      <c r="AO5" s="70">
        <v>636481.53125</v>
      </c>
      <c r="AP5" s="70">
        <v>2395</v>
      </c>
      <c r="AQ5" s="71">
        <v>2505248</v>
      </c>
      <c r="AR5" s="71">
        <v>843978.66666666698</v>
      </c>
      <c r="AS5" s="71">
        <v>818032</v>
      </c>
      <c r="AT5" s="71">
        <v>843130.66666666698</v>
      </c>
      <c r="AU5" s="72">
        <v>66.202756249999993</v>
      </c>
      <c r="AV5" s="72">
        <v>68.686790625</v>
      </c>
      <c r="AW5" s="72">
        <v>32.084146875000002</v>
      </c>
      <c r="AX5" s="72">
        <v>44.115609374999998</v>
      </c>
      <c r="AY5" s="72">
        <v>43.660056249999997</v>
      </c>
      <c r="AZ5" s="22"/>
      <c r="BA5" s="22"/>
      <c r="BB5" s="22"/>
      <c r="BC5" s="22"/>
      <c r="BE5" s="23">
        <f t="shared" ref="BE5:BE29" si="14">(AP5/AO5) - (R5/Q5)</f>
        <v>-1.6257378112401202E-2</v>
      </c>
      <c r="BF5" s="23">
        <f t="shared" ref="BF5:BF29" si="15">(AL5/AQ5) - (N5/S5)</f>
        <v>2.8242666199801203E-2</v>
      </c>
      <c r="BG5" s="23">
        <f t="array" ref="BG5">AVERAGE(AL5:AL9/AQ5:AQ9) - AVERAGE(N5:N9/S5:S9)</f>
        <v>1.5946748106059339E-2</v>
      </c>
      <c r="BI5" s="24">
        <f>IF( OR(ISBLANK(N5:N9),ISBLANK(AL5:AL9), ISBLANK(W5:W9),ISBLANK(AU5:AU9)), "·", bdRateExtend( N5:N9,W5:W9, AL5:AL9,AU5:AU9))</f>
        <v>7.6034611011069675E-2</v>
      </c>
      <c r="BJ5" s="24">
        <f>IF( OR(ISBLANK(N5:N9),ISBLANK(AL5:AL9), ISBLANK(X5:X9),ISBLANK(AV5:AV9)), "·", bdRateExtend( N5:N9,X5:X9, AL5:AL9,AV5:AV9))</f>
        <v>3.4460440832922989E-2</v>
      </c>
      <c r="BK5" s="24">
        <f>IF( OR(ISBLANK(V5:V9),ISBLANK(AT5:AT9), ISBLANK(Y5:Y9),ISBLANK(AW5:AW9)), "·", bdRateExtend( V5:V9,Y5:Y9, AT5:AT9,AW5:AW9))</f>
        <v>-2.0489323849632868E-3</v>
      </c>
      <c r="BL5" s="24">
        <f>IF( OR(ISBLANK(V5:V9),ISBLANK(AT5:AT9), ISBLANK(Z5:Z9),ISBLANK(AX5:AX9)), "·", bdRateExtend( V5:V9,Z5:Z9, AT5:AT9,AX5:AX9))</f>
        <v>-7.712334228163531E-3</v>
      </c>
      <c r="BM5" s="24">
        <f>IF( OR(ISBLANK(V5:V9),ISBLANK(AT5:AT9), ISBLANK(AA5:AA9),ISBLANK(AY5:AY9)), "·", bdRateExtend( V5:V9,AA5:AA9, AT5:AT9,AY5:AY9))</f>
        <v>1.1697418553148875E-2</v>
      </c>
      <c r="BO5" s="24">
        <f>IF( OR(ISBLANK(S5:S9),ISBLANK(AQ5:AQ9), ISBLANK(W5:W9),ISBLANK(AU5:AU9)), "·", bdRateExtend( S5:S9,W5:W9, AQ5:AQ9,AU5:AU9))</f>
        <v>4.4682321061388031E-2</v>
      </c>
      <c r="BP5" s="24">
        <f>IF( OR(ISBLANK(S5:S9),ISBLANK(AQ5:AQ9), ISBLANK(X5:X9),ISBLANK(AV5:AV9)), "·", bdRateExtend( S5:S9,X5:X9, AQ5:AQ9,AV5:AV9))</f>
        <v>-4.6271374078880156E-2</v>
      </c>
      <c r="BQ5" s="24">
        <f>IF( OR(ISBLANK(S5:S9),ISBLANK(AQ5:AQ9), ISBLANK(Y5:Y9),ISBLANK(AW5:AW9)), "·", bdRateExtend( S5:S9,Y5:Y9, AQ5:AQ9,AW5:AW9))</f>
        <v>2.6117193487446011E-2</v>
      </c>
      <c r="BR5" s="24">
        <f>IF( OR(ISBLANK(S5:S9),ISBLANK(AQ5:AQ9), ISBLANK(Z5:Z9),ISBLANK(AX5:AX9)), "·", bdRateExtend( S5:S9,Z5:Z9, AQ5:AQ9,AX5:AX9))</f>
        <v>2.0910371205981937E-2</v>
      </c>
      <c r="BS5" s="24">
        <f>IF( OR(ISBLANK(S5:S9),ISBLANK(AQ5:AQ9), ISBLANK(AA5:AA9),ISBLANK(AY5:AY9)), "·", bdRateExtend( S5:S9,AA5:AA9, AQ5:AQ9,AY5:AY9))</f>
        <v>3.4911757581677305E-2</v>
      </c>
      <c r="BU5">
        <f>AQ5-S5</f>
        <v>106512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</v>
      </c>
      <c r="J6" s="28">
        <f t="shared" si="1"/>
        <v>0.14909201889206689</v>
      </c>
      <c r="K6" s="28">
        <f t="shared" si="2"/>
        <v>7.3698507269495714E-2</v>
      </c>
      <c r="L6" s="28">
        <f t="shared" si="3"/>
        <v>4.6596169579107657E-2</v>
      </c>
      <c r="M6" s="28">
        <f t="shared" si="4"/>
        <v>7.5389238861409164E-2</v>
      </c>
      <c r="N6" s="25">
        <f t="shared" si="5"/>
        <v>1839834.66666667</v>
      </c>
      <c r="O6" s="28">
        <f t="shared" si="6"/>
        <v>0.15404818177664259</v>
      </c>
      <c r="P6" s="61">
        <v>24161168</v>
      </c>
      <c r="Q6" s="61">
        <v>755036.5</v>
      </c>
      <c r="R6" s="61">
        <v>19192.28125</v>
      </c>
      <c r="S6" s="62">
        <v>3721984</v>
      </c>
      <c r="T6" s="62">
        <v>1163242.66666667</v>
      </c>
      <c r="U6" s="62">
        <v>676592</v>
      </c>
      <c r="V6" s="62">
        <v>1882042.66666667</v>
      </c>
      <c r="W6" s="63">
        <v>68.2381125</v>
      </c>
      <c r="X6" s="63">
        <v>70.356650000000002</v>
      </c>
      <c r="Y6" s="63">
        <v>34.445496875000003</v>
      </c>
      <c r="Z6" s="63">
        <v>45.472078125000003</v>
      </c>
      <c r="AA6" s="63">
        <v>45.189937499999999</v>
      </c>
      <c r="AB6" s="32"/>
      <c r="AC6" s="32"/>
      <c r="AD6" s="32"/>
      <c r="AE6" s="32"/>
      <c r="AG6" s="27">
        <f t="shared" si="7"/>
        <v>3.555285</v>
      </c>
      <c r="AH6" s="28">
        <f t="shared" si="8"/>
        <v>0.15190883668829872</v>
      </c>
      <c r="AI6" s="28">
        <f t="shared" si="9"/>
        <v>7.9377327311250481E-2</v>
      </c>
      <c r="AJ6" s="28">
        <f t="shared" si="10"/>
        <v>4.6609308319681658E-2</v>
      </c>
      <c r="AK6" s="28">
        <f t="shared" si="11"/>
        <v>7.252723661588624E-2</v>
      </c>
      <c r="AL6" s="25">
        <f t="shared" si="12"/>
        <v>1981602.66666667</v>
      </c>
      <c r="AM6" s="28">
        <f t="shared" si="13"/>
        <v>0.16748973854262394</v>
      </c>
      <c r="AN6" s="73">
        <v>22642008</v>
      </c>
      <c r="AO6" s="73">
        <v>707562.75</v>
      </c>
      <c r="AP6" s="73">
        <v>3395.6875</v>
      </c>
      <c r="AQ6" s="74">
        <v>3792304</v>
      </c>
      <c r="AR6" s="74">
        <v>1163570.66666667</v>
      </c>
      <c r="AS6" s="74">
        <v>818032</v>
      </c>
      <c r="AT6" s="74">
        <v>1810594.66666667</v>
      </c>
      <c r="AU6" s="75">
        <v>68.080428124999997</v>
      </c>
      <c r="AV6" s="75">
        <v>70.619968749999998</v>
      </c>
      <c r="AW6" s="75">
        <v>34.331778125</v>
      </c>
      <c r="AX6" s="75">
        <v>45.434553125000001</v>
      </c>
      <c r="AY6" s="75">
        <v>45.079971874999998</v>
      </c>
      <c r="AZ6" s="32"/>
      <c r="BA6" s="32"/>
      <c r="BB6" s="32"/>
      <c r="BC6" s="32"/>
      <c r="BE6" s="33">
        <f t="shared" si="14"/>
        <v>-2.061987854368855E-2</v>
      </c>
      <c r="BF6" s="33">
        <f t="shared" si="15"/>
        <v>2.8217075598592045E-2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70320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5.7166424999999998</v>
      </c>
      <c r="J7" s="18">
        <f t="shared" si="1"/>
        <v>0.24425848052628346</v>
      </c>
      <c r="K7" s="18">
        <f t="shared" si="2"/>
        <v>9.1613981184869644E-2</v>
      </c>
      <c r="L7" s="18">
        <f t="shared" si="3"/>
        <v>6.4511643494481588E-2</v>
      </c>
      <c r="M7" s="18">
        <f t="shared" si="4"/>
        <v>0.15264022658025181</v>
      </c>
      <c r="N7" s="15">
        <f t="shared" si="5"/>
        <v>2287082.6666666698</v>
      </c>
      <c r="O7" s="18">
        <f t="shared" si="6"/>
        <v>0.24536686232029356</v>
      </c>
      <c r="P7" s="58">
        <v>24851571</v>
      </c>
      <c r="Q7" s="58">
        <v>776611.59375</v>
      </c>
      <c r="R7" s="58">
        <v>21049.5</v>
      </c>
      <c r="S7" s="59">
        <v>6097752</v>
      </c>
      <c r="T7" s="59">
        <v>1610490.66666667</v>
      </c>
      <c r="U7" s="59">
        <v>676592</v>
      </c>
      <c r="V7" s="59">
        <v>3810562.6666666698</v>
      </c>
      <c r="W7" s="60">
        <v>69.677409374999996</v>
      </c>
      <c r="X7" s="60">
        <v>72.041343749999996</v>
      </c>
      <c r="Y7" s="60">
        <v>36.986228124999997</v>
      </c>
      <c r="Z7" s="60">
        <v>46.565628125000003</v>
      </c>
      <c r="AA7" s="60">
        <v>46.444781249999998</v>
      </c>
      <c r="AB7" s="22"/>
      <c r="AC7" s="22"/>
      <c r="AD7" s="22"/>
      <c r="AE7" s="22"/>
      <c r="AG7" s="17">
        <f t="shared" si="7"/>
        <v>5.7072824999999998</v>
      </c>
      <c r="AH7" s="18">
        <f t="shared" si="8"/>
        <v>0.24385855008149424</v>
      </c>
      <c r="AI7" s="18">
        <f t="shared" si="9"/>
        <v>9.7125202170034036E-2</v>
      </c>
      <c r="AJ7" s="18">
        <f t="shared" si="10"/>
        <v>6.4357183178465241E-2</v>
      </c>
      <c r="AK7" s="18">
        <f t="shared" si="11"/>
        <v>0.14672907515029818</v>
      </c>
      <c r="AL7" s="15">
        <f t="shared" si="12"/>
        <v>2424666.6666666698</v>
      </c>
      <c r="AM7" s="18">
        <f t="shared" si="13"/>
        <v>0.26144916556830639</v>
      </c>
      <c r="AN7" s="70">
        <v>23284710</v>
      </c>
      <c r="AO7" s="70">
        <v>727647.1875</v>
      </c>
      <c r="AP7" s="70">
        <v>3693.5625</v>
      </c>
      <c r="AQ7" s="71">
        <v>6087768</v>
      </c>
      <c r="AR7" s="71">
        <v>1606634.66666667</v>
      </c>
      <c r="AS7" s="71">
        <v>818032</v>
      </c>
      <c r="AT7" s="71">
        <v>3662994.6666666698</v>
      </c>
      <c r="AU7" s="72">
        <v>69.471881249999996</v>
      </c>
      <c r="AV7" s="72">
        <v>72.254053124999999</v>
      </c>
      <c r="AW7" s="72">
        <v>36.84358125</v>
      </c>
      <c r="AX7" s="72">
        <v>46.4757125</v>
      </c>
      <c r="AY7" s="72">
        <v>46.325796875000002</v>
      </c>
      <c r="AZ7" s="22"/>
      <c r="BA7" s="22"/>
      <c r="BB7" s="22"/>
      <c r="BC7" s="22"/>
      <c r="BE7" s="23">
        <f t="shared" si="14"/>
        <v>-2.202824758727254E-2</v>
      </c>
      <c r="BF7" s="23">
        <f t="shared" si="15"/>
        <v>2.3215191011639991E-2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-9984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9.9381225000000004</v>
      </c>
      <c r="J8" s="28">
        <f t="shared" si="1"/>
        <v>0.42463223843962072</v>
      </c>
      <c r="K8" s="28">
        <f t="shared" si="2"/>
        <v>0.1210630261246099</v>
      </c>
      <c r="L8" s="28">
        <f t="shared" si="3"/>
        <v>9.3960688434221826E-2</v>
      </c>
      <c r="M8" s="28">
        <f t="shared" si="4"/>
        <v>0.30356493955384883</v>
      </c>
      <c r="N8" s="25">
        <f t="shared" si="5"/>
        <v>3022258.6666666698</v>
      </c>
      <c r="O8" s="28">
        <f t="shared" si="6"/>
        <v>0.40887672861095381</v>
      </c>
      <c r="P8" s="61">
        <v>25926308</v>
      </c>
      <c r="Q8" s="61">
        <v>810197.125</v>
      </c>
      <c r="R8" s="61">
        <v>24362.6875</v>
      </c>
      <c r="S8" s="62">
        <v>10600664</v>
      </c>
      <c r="T8" s="62">
        <v>2345666.6666666698</v>
      </c>
      <c r="U8" s="62">
        <v>676592</v>
      </c>
      <c r="V8" s="62">
        <v>7578298.6666666698</v>
      </c>
      <c r="W8" s="63">
        <v>70.749765624999995</v>
      </c>
      <c r="X8" s="63">
        <v>73.293743750000004</v>
      </c>
      <c r="Y8" s="63">
        <v>39.614121875000002</v>
      </c>
      <c r="Z8" s="63">
        <v>47.886353124999999</v>
      </c>
      <c r="AA8" s="63">
        <v>47.917003125000001</v>
      </c>
      <c r="AB8" s="32"/>
      <c r="AC8" s="32"/>
      <c r="AD8" s="32"/>
      <c r="AE8" s="32"/>
      <c r="AG8" s="27">
        <f t="shared" si="7"/>
        <v>9.775995</v>
      </c>
      <c r="AH8" s="28">
        <f t="shared" si="8"/>
        <v>0.41770491758624834</v>
      </c>
      <c r="AI8" s="28">
        <f t="shared" si="9"/>
        <v>0.12637235914485664</v>
      </c>
      <c r="AJ8" s="28">
        <f t="shared" si="10"/>
        <v>9.3604340153287835E-2</v>
      </c>
      <c r="AK8" s="28">
        <f t="shared" si="11"/>
        <v>0.29132828568022967</v>
      </c>
      <c r="AL8" s="25">
        <f t="shared" si="12"/>
        <v>3154802.6666666698</v>
      </c>
      <c r="AM8" s="28">
        <f t="shared" si="13"/>
        <v>0.42736348458357082</v>
      </c>
      <c r="AN8" s="73">
        <v>24400138</v>
      </c>
      <c r="AO8" s="73">
        <v>762504.3125</v>
      </c>
      <c r="AP8" s="73">
        <v>4842.1875</v>
      </c>
      <c r="AQ8" s="74">
        <v>10427728</v>
      </c>
      <c r="AR8" s="74">
        <v>2336770.6666666698</v>
      </c>
      <c r="AS8" s="74">
        <v>818032</v>
      </c>
      <c r="AT8" s="74">
        <v>7272818.6666666698</v>
      </c>
      <c r="AU8" s="75">
        <v>70.814015624999996</v>
      </c>
      <c r="AV8" s="75">
        <v>73.478634374999999</v>
      </c>
      <c r="AW8" s="75">
        <v>39.452468750000001</v>
      </c>
      <c r="AX8" s="75">
        <v>47.828118750000002</v>
      </c>
      <c r="AY8" s="75">
        <v>47.816749999999999</v>
      </c>
      <c r="AZ8" s="32"/>
      <c r="BA8" s="32"/>
      <c r="BB8" s="32"/>
      <c r="BC8" s="32"/>
      <c r="BE8" s="33">
        <f t="shared" si="14"/>
        <v>-2.3719700075864585E-2</v>
      </c>
      <c r="BF8" s="33">
        <f t="shared" si="15"/>
        <v>1.7438909635975941E-2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-172936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18.132825</v>
      </c>
      <c r="J9" s="38">
        <f t="shared" si="1"/>
        <v>0.77477230422385268</v>
      </c>
      <c r="K9" s="38">
        <f t="shared" si="2"/>
        <v>0.19590033106288166</v>
      </c>
      <c r="L9" s="38">
        <f t="shared" si="3"/>
        <v>0.14376292435144472</v>
      </c>
      <c r="M9" s="38">
        <f t="shared" si="4"/>
        <v>0.57886770039981028</v>
      </c>
      <c r="N9" s="35">
        <f t="shared" si="5"/>
        <v>4890522.6666666698</v>
      </c>
      <c r="O9" s="38">
        <f t="shared" si="6"/>
        <v>0.77391435728914382</v>
      </c>
      <c r="P9" s="64">
        <v>24992016</v>
      </c>
      <c r="Q9" s="64">
        <v>781000.5</v>
      </c>
      <c r="R9" s="64">
        <v>10306.34375</v>
      </c>
      <c r="S9" s="65">
        <v>19341680</v>
      </c>
      <c r="T9" s="65">
        <v>3588946.6666666698</v>
      </c>
      <c r="U9" s="65">
        <v>1301576</v>
      </c>
      <c r="V9" s="65">
        <v>14451050.6666667</v>
      </c>
      <c r="W9" s="66">
        <v>72.062162499999999</v>
      </c>
      <c r="X9" s="66">
        <v>75.321165625000006</v>
      </c>
      <c r="Y9" s="66">
        <v>42.039612499999997</v>
      </c>
      <c r="Z9" s="66">
        <v>49.434653124999997</v>
      </c>
      <c r="AA9" s="66">
        <v>49.581253125000003</v>
      </c>
      <c r="AB9" s="42"/>
      <c r="AC9" s="42"/>
      <c r="AD9" s="42"/>
      <c r="AE9" s="42"/>
      <c r="AG9" s="37">
        <f t="shared" si="7"/>
        <v>17.541315000000001</v>
      </c>
      <c r="AH9" s="38">
        <f t="shared" si="8"/>
        <v>0.74949849467286156</v>
      </c>
      <c r="AI9" s="38">
        <f t="shared" si="9"/>
        <v>0.17648351569411225</v>
      </c>
      <c r="AJ9" s="38">
        <f t="shared" si="10"/>
        <v>0.14371549670254344</v>
      </c>
      <c r="AK9" s="38">
        <f t="shared" si="11"/>
        <v>0.57301070621758854</v>
      </c>
      <c r="AL9" s="35">
        <f t="shared" si="12"/>
        <v>4405794.6666666698</v>
      </c>
      <c r="AM9" s="38">
        <f t="shared" si="13"/>
        <v>0.75888653214745649</v>
      </c>
      <c r="AN9" s="76">
        <v>24655512</v>
      </c>
      <c r="AO9" s="76">
        <v>770484.75</v>
      </c>
      <c r="AP9" s="76">
        <v>5683.6875</v>
      </c>
      <c r="AQ9" s="77">
        <v>18710736</v>
      </c>
      <c r="AR9" s="77">
        <v>3587762.6666666698</v>
      </c>
      <c r="AS9" s="77">
        <v>818032</v>
      </c>
      <c r="AT9" s="77">
        <v>14304834.6666667</v>
      </c>
      <c r="AU9" s="78">
        <v>71.784334375</v>
      </c>
      <c r="AV9" s="78">
        <v>74.563974999999999</v>
      </c>
      <c r="AW9" s="78">
        <v>42.016884374999997</v>
      </c>
      <c r="AX9" s="78">
        <v>49.411831249999999</v>
      </c>
      <c r="AY9" s="78">
        <v>49.539165625000003</v>
      </c>
      <c r="AZ9" s="42"/>
      <c r="BA9" s="42"/>
      <c r="BB9" s="42"/>
      <c r="BC9" s="42"/>
      <c r="BE9" s="43">
        <f t="shared" si="14"/>
        <v>-5.8195660546549932E-3</v>
      </c>
      <c r="BF9" s="43">
        <f t="shared" si="15"/>
        <v>-1.7380101915712182E-2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-630944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3.2629575000000002</v>
      </c>
      <c r="J10" s="28">
        <f t="shared" si="1"/>
        <v>0.15363144631362491</v>
      </c>
      <c r="K10" s="28">
        <f t="shared" si="2"/>
        <v>7.9618073982797494E-2</v>
      </c>
      <c r="L10" s="28">
        <f t="shared" si="3"/>
        <v>4.0423182342005787E-2</v>
      </c>
      <c r="M10" s="28">
        <f t="shared" si="4"/>
        <v>7.4008663981230197E-2</v>
      </c>
      <c r="N10" s="25">
        <f t="shared" si="5"/>
        <v>1803730.666666667</v>
      </c>
      <c r="O10" s="28">
        <f t="shared" si="6"/>
        <v>0.16845753543815711</v>
      </c>
      <c r="P10" s="61">
        <v>20660922</v>
      </c>
      <c r="Q10" s="61">
        <v>645653.8125</v>
      </c>
      <c r="R10" s="61">
        <v>18447.71875</v>
      </c>
      <c r="S10" s="62">
        <v>3480488</v>
      </c>
      <c r="T10" s="62">
        <v>915778.66666666698</v>
      </c>
      <c r="U10" s="62">
        <v>887952</v>
      </c>
      <c r="V10" s="62">
        <v>1676650.66666667</v>
      </c>
      <c r="W10" s="63">
        <v>65.910393749999997</v>
      </c>
      <c r="X10" s="63">
        <v>67.841156249999997</v>
      </c>
      <c r="Y10" s="63">
        <v>32.503643750000002</v>
      </c>
      <c r="Z10" s="63">
        <v>39.236006250000003</v>
      </c>
      <c r="AA10" s="63">
        <v>32.222728125000003</v>
      </c>
      <c r="AB10" s="32"/>
      <c r="AC10" s="32"/>
      <c r="AD10" s="32"/>
      <c r="AE10" s="32"/>
      <c r="AG10" s="27">
        <f t="shared" si="7"/>
        <v>3.4002224999999999</v>
      </c>
      <c r="AH10" s="28">
        <f t="shared" si="8"/>
        <v>0.1600943623884557</v>
      </c>
      <c r="AI10" s="28">
        <f t="shared" si="9"/>
        <v>8.9439573534172714E-2</v>
      </c>
      <c r="AJ10" s="28">
        <f t="shared" si="10"/>
        <v>4.0310888204108497E-2</v>
      </c>
      <c r="AK10" s="28">
        <f t="shared" si="11"/>
        <v>7.0650080504685783E-2</v>
      </c>
      <c r="AL10" s="25">
        <f t="shared" si="12"/>
        <v>2026234.666666667</v>
      </c>
      <c r="AM10" s="28">
        <f t="shared" si="13"/>
        <v>0.19329867402233691</v>
      </c>
      <c r="AN10" s="73">
        <v>18763212</v>
      </c>
      <c r="AO10" s="73">
        <v>586350.375</v>
      </c>
      <c r="AP10" s="73">
        <v>4795.65625</v>
      </c>
      <c r="AQ10" s="74">
        <v>3626904</v>
      </c>
      <c r="AR10" s="74">
        <v>913234.66666666698</v>
      </c>
      <c r="AS10" s="74">
        <v>1113000</v>
      </c>
      <c r="AT10" s="74">
        <v>1600562.66666667</v>
      </c>
      <c r="AU10" s="75">
        <v>65.606796875000001</v>
      </c>
      <c r="AV10" s="75">
        <v>68.403828125000004</v>
      </c>
      <c r="AW10" s="75">
        <v>32.392503124999998</v>
      </c>
      <c r="AX10" s="75">
        <v>39.191899999999997</v>
      </c>
      <c r="AY10" s="75">
        <v>32.118596875000001</v>
      </c>
      <c r="AZ10" s="32"/>
      <c r="BA10" s="32"/>
      <c r="BB10" s="32"/>
      <c r="BC10" s="32"/>
      <c r="BE10" s="33">
        <f t="shared" si="14"/>
        <v>-2.0393328273494188E-2</v>
      </c>
      <c r="BF10" s="33">
        <f t="shared" si="15"/>
        <v>4.0427114760535288E-2</v>
      </c>
      <c r="BG10" s="33">
        <f t="array" ref="BG10">AVERAGE(AL10:AL14/AQ10:AQ14) - AVERAGE(N10:N14/S10:S14)</f>
        <v>2.3494557726512155E-2</v>
      </c>
      <c r="BI10" s="34">
        <f>IF( OR(ISBLANK(N10:N14),ISBLANK(AL10:AL14), ISBLANK(W10:W14),ISBLANK(AU10:AU14)), "·", bdRateExtend( N10:N14,W10:W14, AL10:AL14,AU10:AU14))</f>
        <v>0.13897282951382994</v>
      </c>
      <c r="BJ10" s="34">
        <f>IF( OR(ISBLANK(N10:N14),ISBLANK(AL10:AL14), ISBLANK(X10:X14),ISBLANK(AV10:AV14)), "·", bdRateExtend( N10:N14,X10:X14, AL10:AL14,AV10:AV14))</f>
        <v>1.1464974602301004E-2</v>
      </c>
      <c r="BK10" s="34">
        <f>IF( OR(ISBLANK(V10:V14),ISBLANK(AT10:AT14), ISBLANK(Y10:Y14),ISBLANK(AW10:AW14)), "·", bdRateExtend( V10:V14,Y10:Y14, AT10:AT14,AW10:AW14))</f>
        <v>-3.318608457286043E-3</v>
      </c>
      <c r="BL10" s="34">
        <f>IF( OR(ISBLANK(V10:V14),ISBLANK(AT10:AT14), ISBLANK(Z10:Z14),ISBLANK(AX10:AX14)), "·", bdRateExtend( V10:V14,Z10:Z14, AT10:AT14,AX10:AX14))</f>
        <v>-1.7038175773709141E-2</v>
      </c>
      <c r="BM10" s="34">
        <f>IF( OR(ISBLANK(V10:V14),ISBLANK(AT10:AT14), ISBLANK(AA10:AA14),ISBLANK(AY10:AY14)), "·", bdRateExtend( V10:V14,AA10:AA14, AT10:AT14,AY10:AY14))</f>
        <v>-7.287392216673072E-3</v>
      </c>
      <c r="BO10" s="34">
        <f>IF( OR(ISBLANK(S10:S14),ISBLANK(AQ10:AQ14), ISBLANK(W10:W14),ISBLANK(AU10:AU14)), "·", bdRateExtend( S10:S14,W10:W14, AQ10:AQ14,AU10:AU14))</f>
        <v>0.10584517786931702</v>
      </c>
      <c r="BP10" s="34">
        <f>IF( OR(ISBLANK(S10:S14),ISBLANK(AQ10:AQ14), ISBLANK(X10:X14),ISBLANK(AV10:AV14)), "·", bdRateExtend( S10:S14,X10:X14, AQ10:AQ14,AV10:AV14))</f>
        <v>-0.11245243279324046</v>
      </c>
      <c r="BQ10" s="34">
        <f>IF( OR(ISBLANK(S10:S14),ISBLANK(AQ10:AQ14), ISBLANK(Y10:Y14),ISBLANK(AW10:AW14)), "·", bdRateExtend( S10:S14,Y10:Y14, AQ10:AQ14,AW10:AW14))</f>
        <v>3.2634169029868598E-2</v>
      </c>
      <c r="BR10" s="34">
        <f>IF( OR(ISBLANK(S10:S14),ISBLANK(AQ10:AQ14), ISBLANK(Z10:Z14),ISBLANK(AX10:AX14)), "·", bdRateExtend( S10:S14,Z10:Z14, AQ10:AQ14,AX10:AX14))</f>
        <v>1.8056351030313778E-2</v>
      </c>
      <c r="BS10" s="34">
        <f>IF( OR(ISBLANK(S10:S14),ISBLANK(AQ10:AQ14), ISBLANK(AA10:AA14),ISBLANK(AY10:AY14)), "·", bdRateExtend( S10:S14,AA10:AA14, AQ10:AQ14,AY10:AY14))</f>
        <v>3.0553882708511226E-2</v>
      </c>
      <c r="BU10" s="4">
        <f t="shared" si="16"/>
        <v>146416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4.7057925000000003</v>
      </c>
      <c r="J11" s="18">
        <f t="shared" si="1"/>
        <v>0.2215651622268475</v>
      </c>
      <c r="K11" s="18">
        <f t="shared" si="2"/>
        <v>9.5640469953909957E-2</v>
      </c>
      <c r="L11" s="18">
        <f t="shared" si="3"/>
        <v>5.6445578313118257E-2</v>
      </c>
      <c r="M11" s="18">
        <f t="shared" si="4"/>
        <v>0.12591998392334044</v>
      </c>
      <c r="N11" s="15">
        <f t="shared" si="5"/>
        <v>2166714.6666666698</v>
      </c>
      <c r="O11" s="18">
        <f t="shared" si="6"/>
        <v>0.22600629970511416</v>
      </c>
      <c r="P11" s="58">
        <v>22209611</v>
      </c>
      <c r="Q11" s="58">
        <v>694050.34375</v>
      </c>
      <c r="R11" s="58">
        <v>23853.375</v>
      </c>
      <c r="S11" s="59">
        <v>5019512</v>
      </c>
      <c r="T11" s="59">
        <v>1278762.66666667</v>
      </c>
      <c r="U11" s="59">
        <v>887952</v>
      </c>
      <c r="V11" s="59">
        <v>2852690.6666666698</v>
      </c>
      <c r="W11" s="60">
        <v>67.633171875000002</v>
      </c>
      <c r="X11" s="60">
        <v>69.747609374999996</v>
      </c>
      <c r="Y11" s="60">
        <v>34.396753124999996</v>
      </c>
      <c r="Z11" s="60">
        <v>40.0805875</v>
      </c>
      <c r="AA11" s="60">
        <v>33.994296875000003</v>
      </c>
      <c r="AB11" s="22"/>
      <c r="AC11" s="22"/>
      <c r="AD11" s="22"/>
      <c r="AE11" s="22"/>
      <c r="AG11" s="17">
        <f t="shared" si="7"/>
        <v>4.7847074999999997</v>
      </c>
      <c r="AH11" s="18">
        <f t="shared" si="8"/>
        <v>0.22528075631161251</v>
      </c>
      <c r="AI11" s="18">
        <f t="shared" si="9"/>
        <v>0.10557320426452305</v>
      </c>
      <c r="AJ11" s="18">
        <f t="shared" si="10"/>
        <v>5.644451893445885E-2</v>
      </c>
      <c r="AK11" s="18">
        <f t="shared" si="11"/>
        <v>0.11970284369749239</v>
      </c>
      <c r="AL11" s="15">
        <f t="shared" si="12"/>
        <v>2391738.6666666698</v>
      </c>
      <c r="AM11" s="18">
        <f t="shared" si="13"/>
        <v>0.2509618291947916</v>
      </c>
      <c r="AN11" s="70">
        <v>20336511</v>
      </c>
      <c r="AO11" s="70">
        <v>635515.96875</v>
      </c>
      <c r="AP11" s="70">
        <v>6122.15625</v>
      </c>
      <c r="AQ11" s="71">
        <v>5103688</v>
      </c>
      <c r="AR11" s="71">
        <v>1278738.66666667</v>
      </c>
      <c r="AS11" s="71">
        <v>1113000</v>
      </c>
      <c r="AT11" s="71">
        <v>2711842.6666666698</v>
      </c>
      <c r="AU11" s="72">
        <v>67.294775000000001</v>
      </c>
      <c r="AV11" s="72">
        <v>70.196518749999996</v>
      </c>
      <c r="AW11" s="72">
        <v>34.260440625000001</v>
      </c>
      <c r="AX11" s="72">
        <v>40.031975000000003</v>
      </c>
      <c r="AY11" s="72">
        <v>33.882521875000002</v>
      </c>
      <c r="AZ11" s="22"/>
      <c r="BA11" s="22"/>
      <c r="BB11" s="22"/>
      <c r="BC11" s="22"/>
      <c r="BE11" s="23">
        <f t="shared" si="14"/>
        <v>-2.4735000855469286E-2</v>
      </c>
      <c r="BF11" s="23">
        <f t="shared" si="15"/>
        <v>3.697105309733828E-2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84176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7.3000575000000003</v>
      </c>
      <c r="J12" s="28">
        <f t="shared" si="1"/>
        <v>0.34371222790907474</v>
      </c>
      <c r="K12" s="28">
        <f t="shared" si="2"/>
        <v>0.11955594319005441</v>
      </c>
      <c r="L12" s="28">
        <f t="shared" si="3"/>
        <v>8.0361051549262721E-2</v>
      </c>
      <c r="M12" s="28">
        <f t="shared" si="4"/>
        <v>0.22415157636942326</v>
      </c>
      <c r="N12" s="25">
        <f t="shared" si="5"/>
        <v>2708514.6666666698</v>
      </c>
      <c r="O12" s="28">
        <f t="shared" si="6"/>
        <v>0.34275196880183467</v>
      </c>
      <c r="P12" s="61">
        <v>22718259</v>
      </c>
      <c r="Q12" s="61">
        <v>709945.59375</v>
      </c>
      <c r="R12" s="61">
        <v>25700.59375</v>
      </c>
      <c r="S12" s="62">
        <v>7786728</v>
      </c>
      <c r="T12" s="62">
        <v>1820562.66666667</v>
      </c>
      <c r="U12" s="62">
        <v>887952</v>
      </c>
      <c r="V12" s="62">
        <v>5078106.6666666698</v>
      </c>
      <c r="W12" s="63">
        <v>69.019671875</v>
      </c>
      <c r="X12" s="63">
        <v>71.363140625</v>
      </c>
      <c r="Y12" s="63">
        <v>36.512412500000003</v>
      </c>
      <c r="Z12" s="63">
        <v>41.018809374999996</v>
      </c>
      <c r="AA12" s="63">
        <v>35.786293749999999</v>
      </c>
      <c r="AB12" s="32"/>
      <c r="AC12" s="32"/>
      <c r="AD12" s="32"/>
      <c r="AE12" s="32"/>
      <c r="AG12" s="27">
        <f t="shared" si="7"/>
        <v>7.2505875</v>
      </c>
      <c r="AH12" s="28">
        <f t="shared" si="8"/>
        <v>0.3413830073632555</v>
      </c>
      <c r="AI12" s="28">
        <f t="shared" si="9"/>
        <v>0.12907163543508041</v>
      </c>
      <c r="AJ12" s="28">
        <f t="shared" si="10"/>
        <v>7.9942950105016203E-2</v>
      </c>
      <c r="AK12" s="28">
        <f t="shared" si="11"/>
        <v>0.21230666357857803</v>
      </c>
      <c r="AL12" s="25">
        <f t="shared" si="12"/>
        <v>2924090.6666666698</v>
      </c>
      <c r="AM12" s="28">
        <f t="shared" si="13"/>
        <v>0.37094998605213164</v>
      </c>
      <c r="AN12" s="73">
        <v>20849064</v>
      </c>
      <c r="AO12" s="73">
        <v>651533.25</v>
      </c>
      <c r="AP12" s="73">
        <v>6164.59375</v>
      </c>
      <c r="AQ12" s="74">
        <v>7733960</v>
      </c>
      <c r="AR12" s="74">
        <v>1811090.66666667</v>
      </c>
      <c r="AS12" s="74">
        <v>1113000</v>
      </c>
      <c r="AT12" s="74">
        <v>4809762.6666666698</v>
      </c>
      <c r="AU12" s="75">
        <v>68.633487500000001</v>
      </c>
      <c r="AV12" s="75">
        <v>71.809878124999997</v>
      </c>
      <c r="AW12" s="75">
        <v>36.336987499999999</v>
      </c>
      <c r="AX12" s="75">
        <v>40.947821875000002</v>
      </c>
      <c r="AY12" s="75">
        <v>35.646584375000003</v>
      </c>
      <c r="AZ12" s="32"/>
      <c r="BA12" s="32"/>
      <c r="BB12" s="32"/>
      <c r="BC12" s="32"/>
      <c r="BE12" s="33">
        <f t="shared" si="14"/>
        <v>-2.6739121622874056E-2</v>
      </c>
      <c r="BF12" s="33">
        <f t="shared" si="15"/>
        <v>3.024720585052304E-2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-52768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12.649844999999999</v>
      </c>
      <c r="J13" s="18">
        <f t="shared" si="1"/>
        <v>0.59559892612550924</v>
      </c>
      <c r="K13" s="18">
        <f t="shared" si="2"/>
        <v>0.16115068062062593</v>
      </c>
      <c r="L13" s="18">
        <f t="shared" si="3"/>
        <v>0.12195578897983424</v>
      </c>
      <c r="M13" s="18">
        <f t="shared" si="4"/>
        <v>0.43444353715528622</v>
      </c>
      <c r="N13" s="15">
        <f t="shared" si="5"/>
        <v>3650834.6666666698</v>
      </c>
      <c r="O13" s="18">
        <f t="shared" si="6"/>
        <v>0.57202375312520204</v>
      </c>
      <c r="P13" s="58">
        <v>23588475</v>
      </c>
      <c r="Q13" s="58">
        <v>737139.84375</v>
      </c>
      <c r="R13" s="58">
        <v>29305.53125</v>
      </c>
      <c r="S13" s="59">
        <v>13493168</v>
      </c>
      <c r="T13" s="59">
        <v>2762882.6666666698</v>
      </c>
      <c r="U13" s="59">
        <v>887952</v>
      </c>
      <c r="V13" s="59">
        <v>9842226.6666666698</v>
      </c>
      <c r="W13" s="60">
        <v>70.058049999999994</v>
      </c>
      <c r="X13" s="60">
        <v>72.60575</v>
      </c>
      <c r="Y13" s="60">
        <v>38.843421874999997</v>
      </c>
      <c r="Z13" s="60">
        <v>42.199859375000003</v>
      </c>
      <c r="AA13" s="60">
        <v>37.872881249999999</v>
      </c>
      <c r="AB13" s="22"/>
      <c r="AC13" s="22"/>
      <c r="AD13" s="22"/>
      <c r="AE13" s="22"/>
      <c r="AG13" s="17">
        <f t="shared" si="7"/>
        <v>12.2827725</v>
      </c>
      <c r="AH13" s="18">
        <f t="shared" si="8"/>
        <v>0.57831586954970093</v>
      </c>
      <c r="AI13" s="18">
        <f t="shared" si="9"/>
        <v>0.17042165639532858</v>
      </c>
      <c r="AJ13" s="18">
        <f t="shared" si="10"/>
        <v>0.12129297106526438</v>
      </c>
      <c r="AK13" s="18">
        <f t="shared" si="11"/>
        <v>0.40788950480477526</v>
      </c>
      <c r="AL13" s="15">
        <f t="shared" si="12"/>
        <v>3860866.6666666698</v>
      </c>
      <c r="AM13" s="18">
        <f t="shared" si="13"/>
        <v>0.60401708243631391</v>
      </c>
      <c r="AN13" s="70">
        <v>21690817</v>
      </c>
      <c r="AO13" s="70">
        <v>677838.03125</v>
      </c>
      <c r="AP13" s="70">
        <v>7363.0625</v>
      </c>
      <c r="AQ13" s="71">
        <v>13101624</v>
      </c>
      <c r="AR13" s="71">
        <v>2747866.6666666698</v>
      </c>
      <c r="AS13" s="71">
        <v>1113000</v>
      </c>
      <c r="AT13" s="71">
        <v>9240650.6666666698</v>
      </c>
      <c r="AU13" s="72">
        <v>69.909556249999994</v>
      </c>
      <c r="AV13" s="72">
        <v>73.064568750000007</v>
      </c>
      <c r="AW13" s="72">
        <v>38.609034375</v>
      </c>
      <c r="AX13" s="72">
        <v>42.121015624999998</v>
      </c>
      <c r="AY13" s="72">
        <v>37.692596875</v>
      </c>
      <c r="AZ13" s="22"/>
      <c r="BA13" s="22"/>
      <c r="BB13" s="22"/>
      <c r="BC13" s="22"/>
      <c r="BE13" s="23">
        <f t="shared" si="14"/>
        <v>-2.889315899885106E-2</v>
      </c>
      <c r="BF13" s="23">
        <f t="shared" si="15"/>
        <v>2.4116988679767082E-2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-391544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22.875869999999999</v>
      </c>
      <c r="J14" s="48">
        <f t="shared" si="1"/>
        <v>1.0770759330400297</v>
      </c>
      <c r="K14" s="48">
        <f t="shared" si="2"/>
        <v>0.26420562410299514</v>
      </c>
      <c r="L14" s="48">
        <f t="shared" si="3"/>
        <v>0.19156473567980128</v>
      </c>
      <c r="M14" s="48">
        <f t="shared" si="4"/>
        <v>0.81286560058743873</v>
      </c>
      <c r="N14" s="45">
        <f t="shared" si="5"/>
        <v>5985522.6666666698</v>
      </c>
      <c r="O14" s="48">
        <f t="shared" si="6"/>
        <v>1.0898601525880178</v>
      </c>
      <c r="P14" s="67">
        <v>22389045</v>
      </c>
      <c r="Q14" s="67">
        <v>699657.65625</v>
      </c>
      <c r="R14" s="67">
        <v>13460.21875</v>
      </c>
      <c r="S14" s="68">
        <v>24400928</v>
      </c>
      <c r="T14" s="68">
        <v>4339858.6666666698</v>
      </c>
      <c r="U14" s="68">
        <v>1645664</v>
      </c>
      <c r="V14" s="68">
        <v>18415298.666666701</v>
      </c>
      <c r="W14" s="69">
        <v>71.168831249999997</v>
      </c>
      <c r="X14" s="69">
        <v>74.761062499999994</v>
      </c>
      <c r="Y14" s="69">
        <v>41.099753124999999</v>
      </c>
      <c r="Z14" s="69">
        <v>43.515153124999998</v>
      </c>
      <c r="AA14" s="69">
        <v>39.69825625</v>
      </c>
      <c r="AB14" s="52"/>
      <c r="AC14" s="52"/>
      <c r="AD14" s="52"/>
      <c r="AE14" s="52"/>
      <c r="AG14" s="47">
        <f t="shared" si="7"/>
        <v>22.06671</v>
      </c>
      <c r="AH14" s="48">
        <f t="shared" si="8"/>
        <v>1.0389778514379455</v>
      </c>
      <c r="AI14" s="48">
        <f t="shared" si="9"/>
        <v>0.2400136530367451</v>
      </c>
      <c r="AJ14" s="48">
        <f t="shared" si="10"/>
        <v>0.1908849677066809</v>
      </c>
      <c r="AK14" s="48">
        <f t="shared" si="11"/>
        <v>0.7989594900516046</v>
      </c>
      <c r="AL14" s="45">
        <f t="shared" si="12"/>
        <v>5437458.6666666698</v>
      </c>
      <c r="AM14" s="48">
        <f t="shared" si="13"/>
        <v>1.0711994333131498</v>
      </c>
      <c r="AN14" s="79">
        <v>21973335</v>
      </c>
      <c r="AO14" s="79">
        <v>686666.71875</v>
      </c>
      <c r="AP14" s="79">
        <v>8163.25</v>
      </c>
      <c r="AQ14" s="80">
        <v>23537824</v>
      </c>
      <c r="AR14" s="80">
        <v>4324458.6666666698</v>
      </c>
      <c r="AS14" s="80">
        <v>1113000</v>
      </c>
      <c r="AT14" s="80">
        <v>18100258.666666701</v>
      </c>
      <c r="AU14" s="81">
        <v>70.867643749999999</v>
      </c>
      <c r="AV14" s="81">
        <v>74.117268749999994</v>
      </c>
      <c r="AW14" s="81">
        <v>40.986081249999998</v>
      </c>
      <c r="AX14" s="81">
        <v>43.490534375000003</v>
      </c>
      <c r="AY14" s="81">
        <v>39.593603125000001</v>
      </c>
      <c r="AZ14" s="52"/>
      <c r="BA14" s="52"/>
      <c r="BB14" s="52"/>
      <c r="BC14" s="52"/>
      <c r="BE14" s="53">
        <f t="shared" si="14"/>
        <v>-7.3500654024499998E-3</v>
      </c>
      <c r="BF14" s="53">
        <f t="shared" si="15"/>
        <v>-1.4289573755602691E-2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-863104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4.5382575000000003</v>
      </c>
      <c r="J15" s="18">
        <f t="shared" si="1"/>
        <v>0.14259597655430034</v>
      </c>
      <c r="K15" s="18">
        <f t="shared" si="2"/>
        <v>7.9609553333354247E-2</v>
      </c>
      <c r="L15" s="18">
        <f t="shared" si="3"/>
        <v>4.1411757534532072E-2</v>
      </c>
      <c r="M15" s="18">
        <f t="shared" si="4"/>
        <v>6.2983281134439434E-2</v>
      </c>
      <c r="N15" s="15">
        <f t="shared" si="5"/>
        <v>2702562.6666666698</v>
      </c>
      <c r="O15" s="18">
        <f t="shared" si="6"/>
        <v>0.15668379845333588</v>
      </c>
      <c r="P15" s="58">
        <v>30895396</v>
      </c>
      <c r="Q15" s="58">
        <v>965481.125</v>
      </c>
      <c r="R15" s="58">
        <v>29621.5625</v>
      </c>
      <c r="S15" s="59">
        <v>4840808</v>
      </c>
      <c r="T15" s="59">
        <v>1405834.66666667</v>
      </c>
      <c r="U15" s="59">
        <v>1296728</v>
      </c>
      <c r="V15" s="59">
        <v>2138138.6666666698</v>
      </c>
      <c r="W15" s="60">
        <v>65.996243750000005</v>
      </c>
      <c r="X15" s="60">
        <v>67.799565625</v>
      </c>
      <c r="Y15" s="60">
        <v>29.58718125</v>
      </c>
      <c r="Z15" s="60">
        <v>43.17996875</v>
      </c>
      <c r="AA15" s="60">
        <v>43.414346875</v>
      </c>
      <c r="AB15" s="22"/>
      <c r="AC15" s="22"/>
      <c r="AD15" s="22"/>
      <c r="AE15" s="22"/>
      <c r="AG15" s="17">
        <f t="shared" si="7"/>
        <v>4.7875575000000001</v>
      </c>
      <c r="AH15" s="18">
        <f t="shared" si="8"/>
        <v>0.15042919821591544</v>
      </c>
      <c r="AI15" s="18">
        <f t="shared" si="9"/>
        <v>9.0928605765685622E-2</v>
      </c>
      <c r="AJ15" s="18">
        <f t="shared" si="10"/>
        <v>4.1292986664572567E-2</v>
      </c>
      <c r="AK15" s="18">
        <f t="shared" si="11"/>
        <v>5.9497450363723121E-2</v>
      </c>
      <c r="AL15" s="15">
        <f t="shared" si="12"/>
        <v>3086818.6666666698</v>
      </c>
      <c r="AM15" s="18">
        <f t="shared" si="13"/>
        <v>0.18056805982209262</v>
      </c>
      <c r="AN15" s="70">
        <v>28281458</v>
      </c>
      <c r="AO15" s="70">
        <v>883795.5625</v>
      </c>
      <c r="AP15" s="70">
        <v>7602.46875</v>
      </c>
      <c r="AQ15" s="71">
        <v>5106728</v>
      </c>
      <c r="AR15" s="71">
        <v>1401802.66666667</v>
      </c>
      <c r="AS15" s="71">
        <v>1685016</v>
      </c>
      <c r="AT15" s="71">
        <v>2019802.66666667</v>
      </c>
      <c r="AU15" s="72">
        <v>65.759209374999998</v>
      </c>
      <c r="AV15" s="72">
        <v>68.212768749999995</v>
      </c>
      <c r="AW15" s="72">
        <v>29.467278125</v>
      </c>
      <c r="AX15" s="72">
        <v>43.128837500000003</v>
      </c>
      <c r="AY15" s="72">
        <v>43.404512500000003</v>
      </c>
      <c r="AZ15" s="22"/>
      <c r="BA15" s="22"/>
      <c r="BB15" s="22"/>
      <c r="BC15" s="22"/>
      <c r="BE15" s="23">
        <f t="shared" si="14"/>
        <v>-2.2078555972335621E-2</v>
      </c>
      <c r="BF15" s="23">
        <f t="shared" si="15"/>
        <v>4.6173632927884345E-2</v>
      </c>
      <c r="BG15" s="23">
        <f t="array" ref="BG15">AVERAGE(AL15:AL19/AQ15:AQ19) - AVERAGE(N15:N19/S15:S19)</f>
        <v>2.6636979466859445E-2</v>
      </c>
      <c r="BI15" s="24">
        <f>IF( OR(ISBLANK(N15:N19),ISBLANK(AL15:AL19), ISBLANK(W15:W19),ISBLANK(AU15:AU19)), "·", bdRateExtend( N15:N19,W15:W19, AL15:AL19,AU15:AU19))</f>
        <v>0.14127523883114401</v>
      </c>
      <c r="BJ15" s="24">
        <f>IF( OR(ISBLANK(N15:N19),ISBLANK(AL15:AL19), ISBLANK(X15:X19),ISBLANK(AV15:AV19)), "·", bdRateExtend( N15:N19,X15:X19, AL15:AL19,AV15:AV19))</f>
        <v>6.0120710911541808E-2</v>
      </c>
      <c r="BK15" s="24">
        <f>IF( OR(ISBLANK(V15:V19),ISBLANK(AT15:AT19), ISBLANK(Y15:Y19),ISBLANK(AW15:AW19)), "·", bdRateExtend( V15:V19,Y15:Y19, AT15:AT19,AW15:AW19))</f>
        <v>-3.0019228614671656E-3</v>
      </c>
      <c r="BL15" s="24">
        <f>IF( OR(ISBLANK(V15:V19),ISBLANK(AT15:AT19), ISBLANK(Z15:Z19),ISBLANK(AX15:AX19)), "·", bdRateExtend( V15:V19,Z15:Z19, AT15:AT19,AX15:AX19))</f>
        <v>-2.7727736368272748E-2</v>
      </c>
      <c r="BM15" s="24">
        <f>IF( OR(ISBLANK(V15:V19),ISBLANK(AT15:AT19), ISBLANK(AA15:AA19),ISBLANK(AY15:AY19)), "·", bdRateExtend( V15:V19,AA15:AA19, AT15:AT19,AY15:AY19))</f>
        <v>-1.9529287577174204E-2</v>
      </c>
      <c r="BO15" s="24">
        <f>IF( OR(ISBLANK(S15:S19),ISBLANK(AQ15:AQ19), ISBLANK(W15:W19),ISBLANK(AU15:AU19)), "·", bdRateExtend( S15:S19,W15:W19, AQ15:AQ19,AU15:AU19))</f>
        <v>0.10024363201484165</v>
      </c>
      <c r="BP15" s="24">
        <f>IF( OR(ISBLANK(S15:S19),ISBLANK(AQ15:AQ19), ISBLANK(X15:X19),ISBLANK(AV15:AV19)), "·", bdRateExtend( S15:S19,X15:X19, AQ15:AQ19,AV15:AV19))</f>
        <v>-6.9075858065041795E-2</v>
      </c>
      <c r="BQ15" s="24">
        <f>IF( OR(ISBLANK(S15:S19),ISBLANK(AQ15:AQ19), ISBLANK(Y15:Y19),ISBLANK(AW15:AW19)), "·", bdRateExtend( S15:S19,Y15:Y19, AQ15:AQ19,AW15:AW19))</f>
        <v>3.759754249226499E-2</v>
      </c>
      <c r="BR15" s="24">
        <f>IF( OR(ISBLANK(S15:S19),ISBLANK(AQ15:AQ19), ISBLANK(Z15:Z19),ISBLANK(AX15:AX19)), "·", bdRateExtend( S15:S19,Z15:Z19, AQ15:AQ19,AX15:AX19))</f>
        <v>7.2139523913445913E-3</v>
      </c>
      <c r="BS15" s="24">
        <f>IF( OR(ISBLANK(S15:S19),ISBLANK(AQ15:AQ19), ISBLANK(AA15:AA19),ISBLANK(AY15:AY19)), "·", bdRateExtend( S15:S19,AA15:AA19, AQ15:AQ19,AY15:AY19))</f>
        <v>1.4386379205236777E-2</v>
      </c>
      <c r="BU15" s="4">
        <f t="shared" si="16"/>
        <v>265920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7.2577199999999999</v>
      </c>
      <c r="J16" s="28">
        <f t="shared" si="1"/>
        <v>0.22804384082606083</v>
      </c>
      <c r="K16" s="28">
        <f t="shared" si="2"/>
        <v>9.5813057792770329E-2</v>
      </c>
      <c r="L16" s="28">
        <f t="shared" si="3"/>
        <v>5.7615261993948168E-2</v>
      </c>
      <c r="M16" s="28">
        <f t="shared" si="4"/>
        <v>0.1322276409467838</v>
      </c>
      <c r="N16" s="25">
        <f t="shared" si="5"/>
        <v>3252634.6666666698</v>
      </c>
      <c r="O16" s="28">
        <f t="shared" si="6"/>
        <v>0.23094375051385019</v>
      </c>
      <c r="P16" s="61">
        <v>33521444</v>
      </c>
      <c r="Q16" s="61">
        <v>1047545.125</v>
      </c>
      <c r="R16" s="61">
        <v>37744.8125</v>
      </c>
      <c r="S16" s="62">
        <v>7741568</v>
      </c>
      <c r="T16" s="62">
        <v>1955906.66666667</v>
      </c>
      <c r="U16" s="62">
        <v>1296728</v>
      </c>
      <c r="V16" s="62">
        <v>4488826.6666666698</v>
      </c>
      <c r="W16" s="63">
        <v>67.830737499999998</v>
      </c>
      <c r="X16" s="63">
        <v>69.850415624999997</v>
      </c>
      <c r="Y16" s="63">
        <v>32.045284375000001</v>
      </c>
      <c r="Z16" s="63">
        <v>43.979681249999999</v>
      </c>
      <c r="AA16" s="63">
        <v>44.391762499999999</v>
      </c>
      <c r="AB16" s="32"/>
      <c r="AC16" s="32"/>
      <c r="AD16" s="32"/>
      <c r="AE16" s="32"/>
      <c r="AG16" s="27">
        <f t="shared" si="7"/>
        <v>7.3846125000000002</v>
      </c>
      <c r="AH16" s="28">
        <f t="shared" si="8"/>
        <v>0.23203091294678482</v>
      </c>
      <c r="AI16" s="28">
        <f t="shared" si="9"/>
        <v>0.10710500972898</v>
      </c>
      <c r="AJ16" s="28">
        <f t="shared" si="10"/>
        <v>5.7469390627866948E-2</v>
      </c>
      <c r="AK16" s="28">
        <f t="shared" si="11"/>
        <v>0.12492276113129813</v>
      </c>
      <c r="AL16" s="25">
        <f t="shared" si="12"/>
        <v>3635970.6666666698</v>
      </c>
      <c r="AM16" s="28">
        <f t="shared" si="13"/>
        <v>0.2564700076004065</v>
      </c>
      <c r="AN16" s="73">
        <v>30712831</v>
      </c>
      <c r="AO16" s="73">
        <v>959775.96875</v>
      </c>
      <c r="AP16" s="73">
        <v>9070.4375</v>
      </c>
      <c r="AQ16" s="74">
        <v>7876920</v>
      </c>
      <c r="AR16" s="74">
        <v>1950954.66666667</v>
      </c>
      <c r="AS16" s="74">
        <v>1685016</v>
      </c>
      <c r="AT16" s="74">
        <v>4240842.6666666698</v>
      </c>
      <c r="AU16" s="75">
        <v>67.545649999999995</v>
      </c>
      <c r="AV16" s="75">
        <v>70.165653125000006</v>
      </c>
      <c r="AW16" s="75">
        <v>31.885993750000001</v>
      </c>
      <c r="AX16" s="75">
        <v>43.959659375000001</v>
      </c>
      <c r="AY16" s="75">
        <v>44.305881249999999</v>
      </c>
      <c r="AZ16" s="32"/>
      <c r="BA16" s="32"/>
      <c r="BB16" s="32"/>
      <c r="BC16" s="32"/>
      <c r="BE16" s="33">
        <f t="shared" si="14"/>
        <v>-2.6581103851786449E-2</v>
      </c>
      <c r="BF16" s="33">
        <f t="shared" si="15"/>
        <v>4.1446097864432041E-2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135352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12.218715</v>
      </c>
      <c r="J17" s="18">
        <f t="shared" si="1"/>
        <v>0.38392259532732065</v>
      </c>
      <c r="K17" s="18">
        <f t="shared" si="2"/>
        <v>0.11976989636436446</v>
      </c>
      <c r="L17" s="18">
        <f t="shared" si="3"/>
        <v>8.1572100565542274E-2</v>
      </c>
      <c r="M17" s="18">
        <f t="shared" si="4"/>
        <v>0.26414955687644953</v>
      </c>
      <c r="N17" s="15">
        <f t="shared" si="5"/>
        <v>4065914.6666666698</v>
      </c>
      <c r="O17" s="18">
        <f t="shared" si="6"/>
        <v>0.38390290696532159</v>
      </c>
      <c r="P17" s="58">
        <v>33949459</v>
      </c>
      <c r="Q17" s="58">
        <v>1060920.59375</v>
      </c>
      <c r="R17" s="58">
        <v>39535.09375</v>
      </c>
      <c r="S17" s="59">
        <v>13033296</v>
      </c>
      <c r="T17" s="59">
        <v>2769186.6666666698</v>
      </c>
      <c r="U17" s="59">
        <v>1296728</v>
      </c>
      <c r="V17" s="59">
        <v>8967274.6666666698</v>
      </c>
      <c r="W17" s="60">
        <v>69.250596874999999</v>
      </c>
      <c r="X17" s="60">
        <v>71.669684375000003</v>
      </c>
      <c r="Y17" s="60">
        <v>34.602318750000002</v>
      </c>
      <c r="Z17" s="60">
        <v>44.831874999999997</v>
      </c>
      <c r="AA17" s="60">
        <v>45.299362500000001</v>
      </c>
      <c r="AB17" s="22"/>
      <c r="AC17" s="22"/>
      <c r="AD17" s="22"/>
      <c r="AE17" s="22"/>
      <c r="AG17" s="17">
        <f t="shared" si="7"/>
        <v>12.093517500000001</v>
      </c>
      <c r="AH17" s="18">
        <f t="shared" si="8"/>
        <v>0.37998878157288807</v>
      </c>
      <c r="AI17" s="18">
        <f t="shared" si="9"/>
        <v>0.13093365117109404</v>
      </c>
      <c r="AJ17" s="18">
        <f t="shared" si="10"/>
        <v>8.1298032069980958E-2</v>
      </c>
      <c r="AK17" s="18">
        <f t="shared" si="11"/>
        <v>0.24905198831528735</v>
      </c>
      <c r="AL17" s="15">
        <f t="shared" si="12"/>
        <v>4444898.6666666698</v>
      </c>
      <c r="AM17" s="18">
        <f t="shared" si="13"/>
        <v>0.41311217636322034</v>
      </c>
      <c r="AN17" s="70">
        <v>31225785</v>
      </c>
      <c r="AO17" s="70">
        <v>975805.78125</v>
      </c>
      <c r="AP17" s="70">
        <v>8620.59375</v>
      </c>
      <c r="AQ17" s="71">
        <v>12899752</v>
      </c>
      <c r="AR17" s="71">
        <v>2759882.6666666698</v>
      </c>
      <c r="AS17" s="71">
        <v>1685016</v>
      </c>
      <c r="AT17" s="71">
        <v>8454746.6666666698</v>
      </c>
      <c r="AU17" s="72">
        <v>68.912915624999997</v>
      </c>
      <c r="AV17" s="72">
        <v>71.926287500000001</v>
      </c>
      <c r="AW17" s="72">
        <v>34.387303125000003</v>
      </c>
      <c r="AX17" s="72">
        <v>44.771000000000001</v>
      </c>
      <c r="AY17" s="72">
        <v>45.207940624999999</v>
      </c>
      <c r="AZ17" s="22"/>
      <c r="BA17" s="22"/>
      <c r="BB17" s="22"/>
      <c r="BC17" s="22"/>
      <c r="BE17" s="23">
        <f t="shared" si="14"/>
        <v>-2.8430560716945441E-2</v>
      </c>
      <c r="BF17" s="23">
        <f t="shared" si="15"/>
        <v>3.2608756698875696E-2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-133544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22.058264999999999</v>
      </c>
      <c r="J18" s="28">
        <f t="shared" si="1"/>
        <v>0.6930897682135807</v>
      </c>
      <c r="K18" s="28">
        <f t="shared" si="2"/>
        <v>0.15907692725227274</v>
      </c>
      <c r="L18" s="28">
        <f t="shared" si="3"/>
        <v>0.12087913145345056</v>
      </c>
      <c r="M18" s="28">
        <f t="shared" si="4"/>
        <v>0.53400969887480221</v>
      </c>
      <c r="N18" s="25">
        <f t="shared" si="5"/>
        <v>5400298.6666666698</v>
      </c>
      <c r="O18" s="28">
        <f t="shared" si="6"/>
        <v>0.66452723131258495</v>
      </c>
      <c r="P18" s="61">
        <v>35406850</v>
      </c>
      <c r="Q18" s="61">
        <v>1106464.0625</v>
      </c>
      <c r="R18" s="61">
        <v>45080.28125</v>
      </c>
      <c r="S18" s="62">
        <v>23528816</v>
      </c>
      <c r="T18" s="62">
        <v>4103570.6666666698</v>
      </c>
      <c r="U18" s="62">
        <v>1296728</v>
      </c>
      <c r="V18" s="62">
        <v>18128410.666666701</v>
      </c>
      <c r="W18" s="63">
        <v>70.379759375000006</v>
      </c>
      <c r="X18" s="63">
        <v>72.996671875000004</v>
      </c>
      <c r="Y18" s="63">
        <v>37.257087499999997</v>
      </c>
      <c r="Z18" s="63">
        <v>46.193543750000003</v>
      </c>
      <c r="AA18" s="63">
        <v>46.690234375000003</v>
      </c>
      <c r="AB18" s="32"/>
      <c r="AC18" s="32"/>
      <c r="AD18" s="32"/>
      <c r="AE18" s="32"/>
      <c r="AG18" s="27">
        <f t="shared" si="7"/>
        <v>21.3060525</v>
      </c>
      <c r="AH18" s="28">
        <f t="shared" si="8"/>
        <v>0.6694546007481269</v>
      </c>
      <c r="AI18" s="28">
        <f t="shared" si="9"/>
        <v>0.16986575258657061</v>
      </c>
      <c r="AJ18" s="28">
        <f t="shared" si="10"/>
        <v>0.12023013348545754</v>
      </c>
      <c r="AK18" s="28">
        <f t="shared" si="11"/>
        <v>0.49958570607505048</v>
      </c>
      <c r="AL18" s="25">
        <f t="shared" si="12"/>
        <v>5766554.6666666698</v>
      </c>
      <c r="AM18" s="28">
        <f t="shared" si="13"/>
        <v>0.69739318699867436</v>
      </c>
      <c r="AN18" s="73">
        <v>32587723</v>
      </c>
      <c r="AO18" s="73">
        <v>1018366.34375</v>
      </c>
      <c r="AP18" s="73">
        <v>10261.59375</v>
      </c>
      <c r="AQ18" s="74">
        <v>22726456</v>
      </c>
      <c r="AR18" s="74">
        <v>4081538.6666666698</v>
      </c>
      <c r="AS18" s="74">
        <v>1685016</v>
      </c>
      <c r="AT18" s="74">
        <v>16959794.666666701</v>
      </c>
      <c r="AU18" s="75">
        <v>70.241421875</v>
      </c>
      <c r="AV18" s="75">
        <v>73.238174999999998</v>
      </c>
      <c r="AW18" s="75">
        <v>36.983628125000003</v>
      </c>
      <c r="AX18" s="75">
        <v>46.123093750000002</v>
      </c>
      <c r="AY18" s="75">
        <v>46.634959375000001</v>
      </c>
      <c r="AZ18" s="32"/>
      <c r="BA18" s="32"/>
      <c r="BB18" s="32"/>
      <c r="BC18" s="32"/>
      <c r="BE18" s="33">
        <f t="shared" si="14"/>
        <v>-3.0666128073588768E-2</v>
      </c>
      <c r="BF18" s="33">
        <f t="shared" si="15"/>
        <v>2.4219018903109679E-2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-802360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39.948974999999997</v>
      </c>
      <c r="J19" s="38">
        <f t="shared" si="1"/>
        <v>1.2552313531059731</v>
      </c>
      <c r="K19" s="38">
        <f t="shared" si="2"/>
        <v>0.25496366697362899</v>
      </c>
      <c r="L19" s="38">
        <f t="shared" si="3"/>
        <v>0.184159496867114</v>
      </c>
      <c r="M19" s="38">
        <f t="shared" si="4"/>
        <v>1.0002645440458384</v>
      </c>
      <c r="N19" s="35">
        <f t="shared" si="5"/>
        <v>8655434.6666666698</v>
      </c>
      <c r="O19" s="38">
        <f t="shared" si="6"/>
        <v>1.2653018575086077</v>
      </c>
      <c r="P19" s="64">
        <v>33677529</v>
      </c>
      <c r="Q19" s="64">
        <v>1052422.78125</v>
      </c>
      <c r="R19" s="64">
        <v>20027.96875</v>
      </c>
      <c r="S19" s="65">
        <v>42612240</v>
      </c>
      <c r="T19" s="65">
        <v>6251794.6666666698</v>
      </c>
      <c r="U19" s="65">
        <v>2403640</v>
      </c>
      <c r="V19" s="65">
        <v>33956698.666666701</v>
      </c>
      <c r="W19" s="66">
        <v>71.497065625000005</v>
      </c>
      <c r="X19" s="66">
        <v>75.069756249999998</v>
      </c>
      <c r="Y19" s="66">
        <v>39.335715624999999</v>
      </c>
      <c r="Z19" s="66">
        <v>47.947415624999998</v>
      </c>
      <c r="AA19" s="66">
        <v>48.551328124999998</v>
      </c>
      <c r="AB19" s="42"/>
      <c r="AC19" s="42"/>
      <c r="AD19" s="42"/>
      <c r="AE19" s="42"/>
      <c r="AG19" s="37">
        <f t="shared" si="7"/>
        <v>38.759527499999997</v>
      </c>
      <c r="AH19" s="38">
        <f t="shared" si="8"/>
        <v>1.2178578837022271</v>
      </c>
      <c r="AI19" s="38">
        <f t="shared" si="9"/>
        <v>0.23365607864029828</v>
      </c>
      <c r="AJ19" s="38">
        <f t="shared" si="10"/>
        <v>0.18402045953918522</v>
      </c>
      <c r="AK19" s="38">
        <f t="shared" si="11"/>
        <v>0.98419866297542302</v>
      </c>
      <c r="AL19" s="35">
        <f t="shared" si="12"/>
        <v>7932090.6666666698</v>
      </c>
      <c r="AM19" s="38">
        <f t="shared" si="13"/>
        <v>1.2510636773271842</v>
      </c>
      <c r="AN19" s="76">
        <v>33046676</v>
      </c>
      <c r="AO19" s="76">
        <v>1032708.625</v>
      </c>
      <c r="AP19" s="76">
        <v>11418.46875</v>
      </c>
      <c r="AQ19" s="77">
        <v>41343496</v>
      </c>
      <c r="AR19" s="77">
        <v>6247074.6666666698</v>
      </c>
      <c r="AS19" s="77">
        <v>1685016</v>
      </c>
      <c r="AT19" s="77">
        <v>33411298.666666701</v>
      </c>
      <c r="AU19" s="78">
        <v>71.234481250000002</v>
      </c>
      <c r="AV19" s="78">
        <v>74.343446874999998</v>
      </c>
      <c r="AW19" s="78">
        <v>39.300128125000001</v>
      </c>
      <c r="AX19" s="78">
        <v>47.939715624999998</v>
      </c>
      <c r="AY19" s="78">
        <v>48.526190624999998</v>
      </c>
      <c r="AZ19" s="42"/>
      <c r="BA19" s="42"/>
      <c r="BB19" s="42"/>
      <c r="BC19" s="42"/>
      <c r="BE19" s="43">
        <f t="shared" si="14"/>
        <v>-7.9735296125886118E-3</v>
      </c>
      <c r="BF19" s="43">
        <f t="shared" si="15"/>
        <v>-1.1262609060004564E-2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-1268744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5.3419999999999996</v>
      </c>
      <c r="J20" s="28">
        <f t="shared" si="1"/>
        <v>0.10614461017155639</v>
      </c>
      <c r="K20" s="28">
        <f t="shared" si="2"/>
        <v>5.9846756658143242E-2</v>
      </c>
      <c r="L20" s="28">
        <f t="shared" si="3"/>
        <v>2.9249956811587978E-2</v>
      </c>
      <c r="M20" s="28">
        <f t="shared" si="4"/>
        <v>4.6294541875756587E-2</v>
      </c>
      <c r="N20" s="25">
        <f t="shared" si="5"/>
        <v>1927642.666666667</v>
      </c>
      <c r="O20" s="28">
        <f t="shared" si="6"/>
        <v>0.11309396178778489</v>
      </c>
      <c r="P20" s="61">
        <v>30230438</v>
      </c>
      <c r="Q20" s="61">
        <v>944701.1875</v>
      </c>
      <c r="R20" s="61">
        <v>27161</v>
      </c>
      <c r="S20" s="62">
        <v>3418880</v>
      </c>
      <c r="T20" s="62">
        <v>942130.66666666698</v>
      </c>
      <c r="U20" s="62">
        <v>985512</v>
      </c>
      <c r="V20" s="62">
        <v>1491130.66666667</v>
      </c>
      <c r="W20" s="63">
        <v>67.065771874999996</v>
      </c>
      <c r="X20" s="63">
        <v>68.733975000000001</v>
      </c>
      <c r="Y20" s="63">
        <v>30.882368750000001</v>
      </c>
      <c r="Z20" s="63">
        <v>39.533853125</v>
      </c>
      <c r="AA20" s="63">
        <v>38.395637499999999</v>
      </c>
      <c r="AB20" s="32"/>
      <c r="AC20" s="32"/>
      <c r="AD20" s="32"/>
      <c r="AE20" s="32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73"/>
      <c r="AO20" s="73"/>
      <c r="AP20" s="73"/>
      <c r="AQ20" s="74"/>
      <c r="AR20" s="74"/>
      <c r="AS20" s="74"/>
      <c r="AT20" s="74"/>
      <c r="AU20" s="75"/>
      <c r="AV20" s="75"/>
      <c r="AW20" s="75"/>
      <c r="AX20" s="75"/>
      <c r="AY20" s="75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  <c r="BU20" s="4">
        <f t="shared" si="16"/>
        <v>-3418880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8.4036124999999995</v>
      </c>
      <c r="J21" s="18">
        <f t="shared" si="1"/>
        <v>0.16697831764232843</v>
      </c>
      <c r="K21" s="18">
        <f t="shared" si="2"/>
        <v>7.0820861524813233E-2</v>
      </c>
      <c r="L21" s="18">
        <f t="shared" si="3"/>
        <v>4.0224061678257969E-2</v>
      </c>
      <c r="M21" s="18">
        <f t="shared" si="4"/>
        <v>9.6154144479858705E-2</v>
      </c>
      <c r="N21" s="15">
        <f t="shared" si="5"/>
        <v>2281114.6666666698</v>
      </c>
      <c r="O21" s="18">
        <f t="shared" si="6"/>
        <v>0.17029318174636451</v>
      </c>
      <c r="P21" s="58">
        <v>31582662</v>
      </c>
      <c r="Q21" s="58">
        <v>986958.1875</v>
      </c>
      <c r="R21" s="58">
        <v>32537.78125</v>
      </c>
      <c r="S21" s="59">
        <v>5378312</v>
      </c>
      <c r="T21" s="59">
        <v>1295602.66666667</v>
      </c>
      <c r="U21" s="59">
        <v>985512</v>
      </c>
      <c r="V21" s="59">
        <v>3097090.6666666698</v>
      </c>
      <c r="W21" s="60">
        <v>68.659734374999999</v>
      </c>
      <c r="X21" s="60">
        <v>70.740428124999994</v>
      </c>
      <c r="Y21" s="60">
        <v>32.778812500000001</v>
      </c>
      <c r="Z21" s="60">
        <v>40.701953125000003</v>
      </c>
      <c r="AA21" s="60">
        <v>39.685953124999997</v>
      </c>
      <c r="AB21" s="22"/>
      <c r="AC21" s="22"/>
      <c r="AD21" s="22"/>
      <c r="AE21" s="22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70"/>
      <c r="AO21" s="70"/>
      <c r="AP21" s="70"/>
      <c r="AQ21" s="71"/>
      <c r="AR21" s="71"/>
      <c r="AS21" s="71"/>
      <c r="AT21" s="71"/>
      <c r="AU21" s="72"/>
      <c r="AV21" s="72"/>
      <c r="AW21" s="72"/>
      <c r="AX21" s="72"/>
      <c r="AY21" s="72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-5378312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13.930987500000001</v>
      </c>
      <c r="J22" s="28">
        <f t="shared" si="1"/>
        <v>0.27680629679751495</v>
      </c>
      <c r="K22" s="28">
        <f t="shared" si="2"/>
        <v>8.7322503595170853E-2</v>
      </c>
      <c r="L22" s="28">
        <f t="shared" si="3"/>
        <v>5.6725703748615595E-2</v>
      </c>
      <c r="M22" s="28">
        <f t="shared" si="4"/>
        <v>0.18948048156468764</v>
      </c>
      <c r="N22" s="25">
        <f t="shared" si="5"/>
        <v>2812626.6666666698</v>
      </c>
      <c r="O22" s="28">
        <f t="shared" si="6"/>
        <v>0.27091101927633854</v>
      </c>
      <c r="P22" s="61">
        <v>32910555</v>
      </c>
      <c r="Q22" s="61">
        <v>1028454.84375</v>
      </c>
      <c r="R22" s="61">
        <v>34769.59375</v>
      </c>
      <c r="S22" s="62">
        <v>8915832</v>
      </c>
      <c r="T22" s="62">
        <v>1827114.66666667</v>
      </c>
      <c r="U22" s="62">
        <v>985512</v>
      </c>
      <c r="V22" s="62">
        <v>6103098.6666666698</v>
      </c>
      <c r="W22" s="63">
        <v>69.831643749999998</v>
      </c>
      <c r="X22" s="63">
        <v>72.240359374999997</v>
      </c>
      <c r="Y22" s="63">
        <v>34.624715625</v>
      </c>
      <c r="Z22" s="63">
        <v>41.744956250000001</v>
      </c>
      <c r="AA22" s="63">
        <v>40.748353125000001</v>
      </c>
      <c r="AB22" s="32"/>
      <c r="AC22" s="32"/>
      <c r="AD22" s="32"/>
      <c r="AE22" s="32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73"/>
      <c r="AO22" s="73"/>
      <c r="AP22" s="73"/>
      <c r="AQ22" s="74"/>
      <c r="AR22" s="74"/>
      <c r="AS22" s="74"/>
      <c r="AT22" s="74"/>
      <c r="AU22" s="75"/>
      <c r="AV22" s="75"/>
      <c r="AW22" s="75"/>
      <c r="AX22" s="75"/>
      <c r="AY22" s="75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-8915832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24.304987499999999</v>
      </c>
      <c r="J23" s="18">
        <f t="shared" si="1"/>
        <v>0.48293587109922331</v>
      </c>
      <c r="K23" s="18">
        <f t="shared" si="2"/>
        <v>0.11576193709028908</v>
      </c>
      <c r="L23" s="18">
        <f t="shared" si="3"/>
        <v>8.5165137243733799E-2</v>
      </c>
      <c r="M23" s="18">
        <f t="shared" si="4"/>
        <v>0.36717062237127868</v>
      </c>
      <c r="N23" s="15">
        <f t="shared" si="5"/>
        <v>3728650.6666666698</v>
      </c>
      <c r="O23" s="18">
        <f t="shared" si="6"/>
        <v>0.47201717654007397</v>
      </c>
      <c r="P23" s="58">
        <v>32954716</v>
      </c>
      <c r="Q23" s="58">
        <v>1029834.875</v>
      </c>
      <c r="R23" s="58">
        <v>36665.46875</v>
      </c>
      <c r="S23" s="59">
        <v>15555192</v>
      </c>
      <c r="T23" s="59">
        <v>2743138.6666666698</v>
      </c>
      <c r="U23" s="59">
        <v>985512</v>
      </c>
      <c r="V23" s="59">
        <v>11826434.6666667</v>
      </c>
      <c r="W23" s="60">
        <v>70.837203125000002</v>
      </c>
      <c r="X23" s="60">
        <v>73.567968750000006</v>
      </c>
      <c r="Y23" s="60">
        <v>36.275565624999999</v>
      </c>
      <c r="Z23" s="60">
        <v>42.939684374999999</v>
      </c>
      <c r="AA23" s="60">
        <v>41.844209374999998</v>
      </c>
      <c r="AB23" s="22"/>
      <c r="AC23" s="22"/>
      <c r="AD23" s="22"/>
      <c r="AE23" s="22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70"/>
      <c r="AO23" s="70"/>
      <c r="AP23" s="70"/>
      <c r="AQ23" s="71"/>
      <c r="AR23" s="71"/>
      <c r="AS23" s="71"/>
      <c r="AT23" s="71"/>
      <c r="AU23" s="72"/>
      <c r="AV23" s="72"/>
      <c r="AW23" s="72"/>
      <c r="AX23" s="72"/>
      <c r="AY23" s="72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-15555192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41.250987500000001</v>
      </c>
      <c r="J24" s="48">
        <f t="shared" si="1"/>
        <v>0.81964994147870562</v>
      </c>
      <c r="K24" s="48">
        <f t="shared" si="2"/>
        <v>0.19082641389929933</v>
      </c>
      <c r="L24" s="48">
        <f t="shared" si="3"/>
        <v>0.13218459660253515</v>
      </c>
      <c r="M24" s="48">
        <f t="shared" si="4"/>
        <v>0.62882021594175075</v>
      </c>
      <c r="N24" s="45">
        <f t="shared" si="5"/>
        <v>6146450.6666666698</v>
      </c>
      <c r="O24" s="48">
        <f t="shared" si="6"/>
        <v>0.83586205630124377</v>
      </c>
      <c r="P24" s="67">
        <v>31584915</v>
      </c>
      <c r="Q24" s="67">
        <v>987028.59375</v>
      </c>
      <c r="R24" s="67">
        <v>18072.71875</v>
      </c>
      <c r="S24" s="68">
        <v>26400632</v>
      </c>
      <c r="T24" s="68">
        <v>4257618.6666666698</v>
      </c>
      <c r="U24" s="68">
        <v>1888832</v>
      </c>
      <c r="V24" s="68">
        <v>20254074.666666701</v>
      </c>
      <c r="W24" s="69">
        <v>71.893762499999994</v>
      </c>
      <c r="X24" s="69">
        <v>75.707471874999996</v>
      </c>
      <c r="Y24" s="69">
        <v>37.303737499999997</v>
      </c>
      <c r="Z24" s="69">
        <v>43.797081249999998</v>
      </c>
      <c r="AA24" s="69">
        <v>42.424003124999999</v>
      </c>
      <c r="AB24" s="52"/>
      <c r="AC24" s="52"/>
      <c r="AD24" s="52"/>
      <c r="AE24" s="52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79"/>
      <c r="AO24" s="79"/>
      <c r="AP24" s="79"/>
      <c r="AQ24" s="80"/>
      <c r="AR24" s="80"/>
      <c r="AS24" s="80"/>
      <c r="AT24" s="80"/>
      <c r="AU24" s="81"/>
      <c r="AV24" s="81"/>
      <c r="AW24" s="81"/>
      <c r="AX24" s="81"/>
      <c r="AY24" s="8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-26400632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4.7024474999999999</v>
      </c>
      <c r="J25" s="18">
        <f t="shared" si="1"/>
        <v>0.19816147084860516</v>
      </c>
      <c r="K25" s="18">
        <f t="shared" si="2"/>
        <v>6.961592380569509E-2</v>
      </c>
      <c r="L25" s="18">
        <f t="shared" si="3"/>
        <v>3.770366954683517E-2</v>
      </c>
      <c r="M25" s="18">
        <f t="shared" si="4"/>
        <v>0.12854133303582455</v>
      </c>
      <c r="N25" s="15">
        <f t="shared" si="5"/>
        <v>1762146.666666667</v>
      </c>
      <c r="O25" s="18">
        <f t="shared" si="6"/>
        <v>0.21862072232901314</v>
      </c>
      <c r="P25" s="58">
        <v>22943589</v>
      </c>
      <c r="Q25" s="58">
        <v>716987.15625</v>
      </c>
      <c r="R25" s="58">
        <v>16957.03125</v>
      </c>
      <c r="S25" s="59">
        <v>5015944</v>
      </c>
      <c r="T25" s="59">
        <v>954370.66666666698</v>
      </c>
      <c r="U25" s="59">
        <v>807776</v>
      </c>
      <c r="V25" s="59">
        <v>3253690.6666666698</v>
      </c>
      <c r="W25" s="60">
        <v>66.188337500000003</v>
      </c>
      <c r="X25" s="60">
        <v>68.025690624999996</v>
      </c>
      <c r="Y25" s="60">
        <v>27.492265625000002</v>
      </c>
      <c r="Z25" s="60">
        <v>33.271618750000002</v>
      </c>
      <c r="AA25" s="60">
        <v>32.724562499999998</v>
      </c>
      <c r="AB25" s="22"/>
      <c r="AC25" s="22"/>
      <c r="AD25" s="22"/>
      <c r="AE25" s="22"/>
      <c r="AG25" s="17">
        <f t="shared" si="7"/>
        <v>4.7623424999999999</v>
      </c>
      <c r="AH25" s="18">
        <f t="shared" si="8"/>
        <v>0.20068545039255056</v>
      </c>
      <c r="AI25" s="18">
        <f t="shared" si="9"/>
        <v>7.7223576147582129E-2</v>
      </c>
      <c r="AJ25" s="18">
        <f t="shared" si="10"/>
        <v>3.7655629866058853E-2</v>
      </c>
      <c r="AK25" s="18">
        <f t="shared" si="11"/>
        <v>0.12345766023788293</v>
      </c>
      <c r="AL25" s="15">
        <f t="shared" si="12"/>
        <v>1954714.666666667</v>
      </c>
      <c r="AM25" s="18">
        <f t="shared" si="13"/>
        <v>0.23754451651966321</v>
      </c>
      <c r="AN25" s="70">
        <v>21384758</v>
      </c>
      <c r="AO25" s="70">
        <v>668273.6875</v>
      </c>
      <c r="AP25" s="70">
        <v>4790.84375</v>
      </c>
      <c r="AQ25" s="71">
        <v>5079832</v>
      </c>
      <c r="AR25" s="71">
        <v>953154.66666666698</v>
      </c>
      <c r="AS25" s="71">
        <v>1001560</v>
      </c>
      <c r="AT25" s="71">
        <v>3125010.6666666698</v>
      </c>
      <c r="AU25" s="72">
        <v>65.97339375</v>
      </c>
      <c r="AV25" s="72">
        <v>68.304084375000002</v>
      </c>
      <c r="AW25" s="72">
        <v>27.416921875</v>
      </c>
      <c r="AX25" s="72">
        <v>33.227053124999998</v>
      </c>
      <c r="AY25" s="72">
        <v>32.654412499999999</v>
      </c>
      <c r="AZ25" s="22"/>
      <c r="BA25" s="22"/>
      <c r="BB25" s="22"/>
      <c r="BC25" s="22"/>
      <c r="BE25" s="23">
        <f t="shared" si="14"/>
        <v>-1.6481412939519467E-2</v>
      </c>
      <c r="BF25" s="23">
        <f t="shared" si="15"/>
        <v>3.348999840241329E-2</v>
      </c>
      <c r="BG25" s="23">
        <f t="array" ref="BG25">AVERAGE(AL25:AL29/AQ25:AQ29) - AVERAGE(N25:N29/S25:S29)</f>
        <v>1.5524766749868718E-2</v>
      </c>
      <c r="BI25" s="24">
        <f>IF( OR(ISBLANK(N25:N29),ISBLANK(AL25:AL29), ISBLANK(W25:W29),ISBLANK(AU25:AU29)), "·", bdRateExtend( N25:N29,W25:W29, AL25:AL29,AU25:AU29))</f>
        <v>0.12974478661765687</v>
      </c>
      <c r="BJ25" s="24">
        <f>IF( OR(ISBLANK(N25:N29),ISBLANK(AL25:AL29), ISBLANK(X25:X29),ISBLANK(AV25:AV29)), "·", bdRateExtend( N25:N29,X25:X29, AL25:AL29,AV25:AV29))</f>
        <v>7.1048389466455752E-2</v>
      </c>
      <c r="BK25" s="24">
        <f>IF( OR(ISBLANK(V25:V29),ISBLANK(AT25:AT29), ISBLANK(Y25:Y29),ISBLANK(AW25:AW29)), "·", bdRateExtend( V25:V29,Y25:Y29, AT25:AT29,AW25:AW29))</f>
        <v>-1.3669295377295332E-2</v>
      </c>
      <c r="BL25" s="24">
        <f>IF( OR(ISBLANK(V25:V29),ISBLANK(AT25:AT29), ISBLANK(Z25:Z29),ISBLANK(AX25:AX29)), "·", bdRateExtend( V25:V29,Z25:Z29, AT25:AT29,AX25:AX29))</f>
        <v>-1.1605876850817043E-2</v>
      </c>
      <c r="BM25" s="24">
        <f>IF( OR(ISBLANK(V25:V29),ISBLANK(AT25:AT29), ISBLANK(AA25:AA29),ISBLANK(AY25:AY29)), "·", bdRateExtend( V25:V29,AA25:AA29, AT25:AT29,AY25:AY29))</f>
        <v>-2.8094290899600693E-3</v>
      </c>
      <c r="BO25" s="24">
        <f>IF( OR(ISBLANK(S25:S29),ISBLANK(AQ25:AQ29), ISBLANK(W25:W29),ISBLANK(AU25:AU29)), "·", bdRateExtend( S25:S29,W25:W29, AQ25:AQ29,AU25:AU29))</f>
        <v>0.11351102245635958</v>
      </c>
      <c r="BP25" s="24">
        <f>IF( OR(ISBLANK(S25:S29),ISBLANK(AQ25:AQ29), ISBLANK(X25:X29),ISBLANK(AV25:AV29)), "·", bdRateExtend( S25:S29,X25:X29, AQ25:AQ29,AV25:AV29))</f>
        <v>-3.0595385240007489E-2</v>
      </c>
      <c r="BQ25" s="24">
        <f>IF( OR(ISBLANK(S25:S29),ISBLANK(AQ25:AQ29), ISBLANK(Y25:Y29),ISBLANK(AW25:AW29)), "·", bdRateExtend( S25:S29,Y25:Y29, AQ25:AQ29,AW25:AW29))</f>
        <v>5.7642578443484194E-3</v>
      </c>
      <c r="BR25" s="24">
        <f>IF( OR(ISBLANK(S25:S29),ISBLANK(AQ25:AQ29), ISBLANK(Z25:Z29),ISBLANK(AX25:AX29)), "·", bdRateExtend( S25:S29,Z25:Z29, AQ25:AQ29,AX25:AX29))</f>
        <v>3.4929828353982284E-3</v>
      </c>
      <c r="BS25" s="24">
        <f>IF( OR(ISBLANK(S25:S29),ISBLANK(AQ25:AQ29), ISBLANK(AA25:AA29),ISBLANK(AY25:AY29)), "·", bdRateExtend( S25:S29,AA25:AA29, AQ25:AQ29,AY25:AY29))</f>
        <v>1.2289765847601775E-2</v>
      </c>
      <c r="BU25" s="4">
        <f t="shared" si="16"/>
        <v>63888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8.1052800000000005</v>
      </c>
      <c r="J26" s="28">
        <f t="shared" si="1"/>
        <v>0.34155707351114123</v>
      </c>
      <c r="K26" s="28">
        <f t="shared" si="2"/>
        <v>8.4206080538314243E-2</v>
      </c>
      <c r="L26" s="28">
        <f t="shared" si="3"/>
        <v>5.2293826279454329E-2</v>
      </c>
      <c r="M26" s="28">
        <f t="shared" si="4"/>
        <v>0.2573467789657416</v>
      </c>
      <c r="N26" s="25">
        <f t="shared" si="5"/>
        <v>2131458.6666666698</v>
      </c>
      <c r="O26" s="28">
        <f t="shared" si="6"/>
        <v>0.3470702626806671</v>
      </c>
      <c r="P26" s="61">
        <v>24910322</v>
      </c>
      <c r="Q26" s="61">
        <v>778447.5625</v>
      </c>
      <c r="R26" s="61">
        <v>22364.375</v>
      </c>
      <c r="S26" s="62">
        <v>8645632</v>
      </c>
      <c r="T26" s="62">
        <v>1323682.66666667</v>
      </c>
      <c r="U26" s="62">
        <v>807776</v>
      </c>
      <c r="V26" s="62">
        <v>6514066.6666666698</v>
      </c>
      <c r="W26" s="63">
        <v>68.016528124999994</v>
      </c>
      <c r="X26" s="63">
        <v>69.989903124999998</v>
      </c>
      <c r="Y26" s="63">
        <v>29.910231249999999</v>
      </c>
      <c r="Z26" s="63">
        <v>34.460487499999999</v>
      </c>
      <c r="AA26" s="63">
        <v>34.047587499999999</v>
      </c>
      <c r="AB26" s="32"/>
      <c r="AC26" s="32"/>
      <c r="AD26" s="32"/>
      <c r="AE26" s="32"/>
      <c r="AG26" s="27">
        <f t="shared" si="7"/>
        <v>8.0320199999999993</v>
      </c>
      <c r="AH26" s="28">
        <f t="shared" si="8"/>
        <v>0.33846989192019977</v>
      </c>
      <c r="AI26" s="28">
        <f t="shared" si="9"/>
        <v>9.1817525486578358E-2</v>
      </c>
      <c r="AJ26" s="28">
        <f t="shared" si="10"/>
        <v>5.2249579205055088E-2</v>
      </c>
      <c r="AK26" s="28">
        <f t="shared" si="11"/>
        <v>0.24664815242653601</v>
      </c>
      <c r="AL26" s="25">
        <f t="shared" si="12"/>
        <v>2324122.6666666698</v>
      </c>
      <c r="AM26" s="28">
        <f t="shared" si="13"/>
        <v>0.36953562580746396</v>
      </c>
      <c r="AN26" s="73">
        <v>23184471</v>
      </c>
      <c r="AO26" s="73">
        <v>724514.71875</v>
      </c>
      <c r="AP26" s="73">
        <v>5839.25</v>
      </c>
      <c r="AQ26" s="74">
        <v>8567488</v>
      </c>
      <c r="AR26" s="74">
        <v>1322562.66666667</v>
      </c>
      <c r="AS26" s="74">
        <v>1001560</v>
      </c>
      <c r="AT26" s="74">
        <v>6243258.6666666698</v>
      </c>
      <c r="AU26" s="75">
        <v>67.718037499999994</v>
      </c>
      <c r="AV26" s="75">
        <v>70.136593750000003</v>
      </c>
      <c r="AW26" s="75">
        <v>29.800484375</v>
      </c>
      <c r="AX26" s="75">
        <v>34.407656250000002</v>
      </c>
      <c r="AY26" s="75">
        <v>33.967493750000003</v>
      </c>
      <c r="AZ26" s="32"/>
      <c r="BA26" s="32"/>
      <c r="BB26" s="32"/>
      <c r="BC26" s="32"/>
      <c r="BE26" s="33">
        <f t="shared" si="14"/>
        <v>-2.066992339925261E-2</v>
      </c>
      <c r="BF26" s="33">
        <f t="shared" si="15"/>
        <v>2.4736457334275708E-2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-78144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14.6541525</v>
      </c>
      <c r="J27" s="18">
        <f t="shared" si="1"/>
        <v>0.61752702469081566</v>
      </c>
      <c r="K27" s="18">
        <f t="shared" si="2"/>
        <v>0.1054705923935277</v>
      </c>
      <c r="L27" s="18">
        <f t="shared" si="3"/>
        <v>7.3558338134667792E-2</v>
      </c>
      <c r="M27" s="18">
        <f t="shared" si="4"/>
        <v>0.51205221829020375</v>
      </c>
      <c r="N27" s="15">
        <f t="shared" si="5"/>
        <v>2669714.6666666698</v>
      </c>
      <c r="O27" s="18">
        <f t="shared" si="6"/>
        <v>0.61871687197417014</v>
      </c>
      <c r="P27" s="58">
        <v>25263730</v>
      </c>
      <c r="Q27" s="58">
        <v>789491.5625</v>
      </c>
      <c r="R27" s="58">
        <v>23753.8125</v>
      </c>
      <c r="S27" s="59">
        <v>15631096</v>
      </c>
      <c r="T27" s="59">
        <v>1861938.66666667</v>
      </c>
      <c r="U27" s="59">
        <v>807776</v>
      </c>
      <c r="V27" s="59">
        <v>12961274.6666667</v>
      </c>
      <c r="W27" s="60">
        <v>69.394446875</v>
      </c>
      <c r="X27" s="60">
        <v>71.733012500000001</v>
      </c>
      <c r="Y27" s="60">
        <v>32.411193750000002</v>
      </c>
      <c r="Z27" s="60">
        <v>35.725225000000002</v>
      </c>
      <c r="AA27" s="60">
        <v>35.386656250000001</v>
      </c>
      <c r="AB27" s="22"/>
      <c r="AC27" s="22"/>
      <c r="AD27" s="22"/>
      <c r="AE27" s="22"/>
      <c r="AG27" s="17">
        <f t="shared" si="7"/>
        <v>14.28051</v>
      </c>
      <c r="AH27" s="18">
        <f t="shared" si="8"/>
        <v>0.6017817032658449</v>
      </c>
      <c r="AI27" s="18">
        <f t="shared" si="9"/>
        <v>0.11278431774119119</v>
      </c>
      <c r="AJ27" s="18">
        <f t="shared" si="10"/>
        <v>7.3216371459667917E-2</v>
      </c>
      <c r="AK27" s="18">
        <f t="shared" si="11"/>
        <v>0.48899317151756955</v>
      </c>
      <c r="AL27" s="15">
        <f t="shared" si="12"/>
        <v>2854842.6666666698</v>
      </c>
      <c r="AM27" s="18">
        <f t="shared" si="13"/>
        <v>0.64642658157837463</v>
      </c>
      <c r="AN27" s="70">
        <v>23564229</v>
      </c>
      <c r="AO27" s="70">
        <v>736382.15625</v>
      </c>
      <c r="AP27" s="70">
        <v>5663.4375</v>
      </c>
      <c r="AQ27" s="71">
        <v>15232544</v>
      </c>
      <c r="AR27" s="71">
        <v>1853282.66666667</v>
      </c>
      <c r="AS27" s="71">
        <v>1001560</v>
      </c>
      <c r="AT27" s="71">
        <v>12377594.6666667</v>
      </c>
      <c r="AU27" s="72">
        <v>69.029409375</v>
      </c>
      <c r="AV27" s="72">
        <v>71.794512499999996</v>
      </c>
      <c r="AW27" s="72">
        <v>32.269424999999998</v>
      </c>
      <c r="AX27" s="72">
        <v>35.651790624999997</v>
      </c>
      <c r="AY27" s="72">
        <v>35.291306249999998</v>
      </c>
      <c r="AZ27" s="22"/>
      <c r="BA27" s="22"/>
      <c r="BB27" s="22"/>
      <c r="BC27" s="22"/>
      <c r="BE27" s="23">
        <f t="shared" si="14"/>
        <v>-2.2396586610511748E-2</v>
      </c>
      <c r="BF27" s="23">
        <f t="shared" si="15"/>
        <v>1.6622222150290994E-2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-398552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27.818850000000001</v>
      </c>
      <c r="J28" s="28">
        <f t="shared" si="1"/>
        <v>1.172288310144179</v>
      </c>
      <c r="K28" s="28">
        <f t="shared" si="2"/>
        <v>0.14073930329610165</v>
      </c>
      <c r="L28" s="28">
        <f t="shared" si="3"/>
        <v>0.10882704903724173</v>
      </c>
      <c r="M28" s="28">
        <f t="shared" si="4"/>
        <v>1.0315447928409933</v>
      </c>
      <c r="N28" s="25">
        <f t="shared" si="5"/>
        <v>3562450.6666666698</v>
      </c>
      <c r="O28" s="28">
        <f t="shared" si="6"/>
        <v>1.1329628855827161</v>
      </c>
      <c r="P28" s="61">
        <v>26191008</v>
      </c>
      <c r="Q28" s="61">
        <v>818469</v>
      </c>
      <c r="R28" s="61">
        <v>27045</v>
      </c>
      <c r="S28" s="62">
        <v>29673440</v>
      </c>
      <c r="T28" s="62">
        <v>2754674.6666666698</v>
      </c>
      <c r="U28" s="62">
        <v>807776</v>
      </c>
      <c r="V28" s="62">
        <v>26110882.666666701</v>
      </c>
      <c r="W28" s="63">
        <v>70.457109375000002</v>
      </c>
      <c r="X28" s="63">
        <v>73.018118749999999</v>
      </c>
      <c r="Y28" s="63">
        <v>34.880259375000001</v>
      </c>
      <c r="Z28" s="63">
        <v>37.548418750000003</v>
      </c>
      <c r="AA28" s="63">
        <v>37.157228125000003</v>
      </c>
      <c r="AB28" s="32"/>
      <c r="AC28" s="32"/>
      <c r="AD28" s="32"/>
      <c r="AE28" s="32"/>
      <c r="AG28" s="27">
        <f t="shared" si="7"/>
        <v>26.843505</v>
      </c>
      <c r="AH28" s="28">
        <f t="shared" si="8"/>
        <v>1.1311872027347221</v>
      </c>
      <c r="AI28" s="28">
        <f t="shared" si="9"/>
        <v>0.14770821751398247</v>
      </c>
      <c r="AJ28" s="28">
        <f t="shared" si="10"/>
        <v>0.10814027123245919</v>
      </c>
      <c r="AK28" s="28">
        <f t="shared" si="11"/>
        <v>0.98347477121365545</v>
      </c>
      <c r="AL28" s="25">
        <f t="shared" si="12"/>
        <v>3738850.6666666698</v>
      </c>
      <c r="AM28" s="28">
        <f t="shared" si="13"/>
        <v>1.1699766274945655</v>
      </c>
      <c r="AN28" s="73">
        <v>24473200</v>
      </c>
      <c r="AO28" s="73">
        <v>764787.5</v>
      </c>
      <c r="AP28" s="73">
        <v>6684.625</v>
      </c>
      <c r="AQ28" s="74">
        <v>28633072</v>
      </c>
      <c r="AR28" s="74">
        <v>2737290.6666666698</v>
      </c>
      <c r="AS28" s="74">
        <v>1001560</v>
      </c>
      <c r="AT28" s="74">
        <v>24894114.666666701</v>
      </c>
      <c r="AU28" s="75">
        <v>70.255978124999999</v>
      </c>
      <c r="AV28" s="75">
        <v>72.991225</v>
      </c>
      <c r="AW28" s="75">
        <v>34.802862500000003</v>
      </c>
      <c r="AX28" s="75">
        <v>37.450521875</v>
      </c>
      <c r="AY28" s="75">
        <v>37.044190624999999</v>
      </c>
      <c r="AZ28" s="32"/>
      <c r="BA28" s="32"/>
      <c r="BB28" s="32"/>
      <c r="BC28" s="32"/>
      <c r="BE28" s="33">
        <f t="shared" si="14"/>
        <v>-2.4302901953940848E-2</v>
      </c>
      <c r="BF28" s="33">
        <f t="shared" si="15"/>
        <v>1.0522852195334054E-2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-1040368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48.662197499999998</v>
      </c>
      <c r="J29" s="38">
        <f t="shared" si="1"/>
        <v>2.0506284506792083</v>
      </c>
      <c r="K29" s="38">
        <f t="shared" si="2"/>
        <v>0.22523762522580507</v>
      </c>
      <c r="L29" s="38">
        <f t="shared" si="3"/>
        <v>0.16586374029158624</v>
      </c>
      <c r="M29" s="38">
        <f t="shared" si="4"/>
        <v>1.8253866114463191</v>
      </c>
      <c r="N29" s="35">
        <f t="shared" si="5"/>
        <v>5701306.6666666698</v>
      </c>
      <c r="O29" s="38">
        <f t="shared" si="6"/>
        <v>2.0708679295236121</v>
      </c>
      <c r="P29" s="64">
        <v>25065019</v>
      </c>
      <c r="Q29" s="64">
        <v>783281.84375</v>
      </c>
      <c r="R29" s="64">
        <v>12136.59375</v>
      </c>
      <c r="S29" s="65">
        <v>51906344</v>
      </c>
      <c r="T29" s="65">
        <v>4198410.6666666698</v>
      </c>
      <c r="U29" s="65">
        <v>1502896</v>
      </c>
      <c r="V29" s="65">
        <v>46204930.666666701</v>
      </c>
      <c r="W29" s="66">
        <v>71.492812499999999</v>
      </c>
      <c r="X29" s="66">
        <v>74.934843749999999</v>
      </c>
      <c r="Y29" s="66">
        <v>36.5576875</v>
      </c>
      <c r="Z29" s="66">
        <v>39.620221874999999</v>
      </c>
      <c r="AA29" s="66">
        <v>39.018403124999999</v>
      </c>
      <c r="AB29" s="42"/>
      <c r="AC29" s="42"/>
      <c r="AD29" s="42"/>
      <c r="AE29" s="42"/>
      <c r="AG29" s="37">
        <f t="shared" si="7"/>
        <v>47.724892500000003</v>
      </c>
      <c r="AH29" s="38">
        <f t="shared" si="8"/>
        <v>2.0111303515651295</v>
      </c>
      <c r="AI29" s="38">
        <f t="shared" si="9"/>
        <v>0.20531759233126576</v>
      </c>
      <c r="AJ29" s="38">
        <f t="shared" si="10"/>
        <v>0.16574964604974246</v>
      </c>
      <c r="AK29" s="38">
        <f t="shared" si="11"/>
        <v>1.8058085452267798</v>
      </c>
      <c r="AL29" s="35">
        <f t="shared" si="12"/>
        <v>5197082.6666666698</v>
      </c>
      <c r="AM29" s="38">
        <f t="shared" si="13"/>
        <v>2.0614649735565092</v>
      </c>
      <c r="AN29" s="76">
        <v>24694357</v>
      </c>
      <c r="AO29" s="76">
        <v>771698.65625</v>
      </c>
      <c r="AP29" s="76">
        <v>7395.8125</v>
      </c>
      <c r="AQ29" s="77">
        <v>50906552</v>
      </c>
      <c r="AR29" s="77">
        <v>4195522.6666666698</v>
      </c>
      <c r="AS29" s="77">
        <v>1001560</v>
      </c>
      <c r="AT29" s="77">
        <v>45709362.666666701</v>
      </c>
      <c r="AU29" s="78">
        <v>71.175574999999995</v>
      </c>
      <c r="AV29" s="78">
        <v>74.075206249999994</v>
      </c>
      <c r="AW29" s="78">
        <v>36.537753125000002</v>
      </c>
      <c r="AX29" s="78">
        <v>39.572368750000003</v>
      </c>
      <c r="AY29" s="78">
        <v>38.956600000000002</v>
      </c>
      <c r="AZ29" s="42"/>
      <c r="BA29" s="42"/>
      <c r="BB29" s="42"/>
      <c r="BC29" s="42"/>
      <c r="BE29" s="43">
        <f t="shared" si="14"/>
        <v>-5.9107334489328679E-3</v>
      </c>
      <c r="BF29" s="43">
        <f t="shared" si="15"/>
        <v>-7.7476963329705106E-3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-999792</v>
      </c>
    </row>
    <row r="30" spans="1:73" x14ac:dyDescent="0.3">
      <c r="B30" s="55" t="s">
        <v>288</v>
      </c>
      <c r="J30" s="56">
        <f>AVERAGE(J5:J24)</f>
        <v>0.43179119014224793</v>
      </c>
      <c r="K30" s="56">
        <f>AVERAGE(K5:K24)</f>
        <v>0.12486446855235325</v>
      </c>
      <c r="L30" s="56">
        <f>AVERAGE(L5:L24)</f>
        <v>8.5134889430146327E-2</v>
      </c>
      <c r="M30" s="56">
        <f>AVERAGE(M5:M24)</f>
        <v>0.30692286288116438</v>
      </c>
      <c r="AH30" s="56">
        <f>AVERAGE(AH5:AH24)</f>
        <v>0.44380913885705947</v>
      </c>
      <c r="AI30" s="56">
        <f>AVERAGE(AI5:AI24)</f>
        <v>0.13419617413430623</v>
      </c>
      <c r="AJ30" s="56">
        <f>AVERAGE(AJ5:AJ24)</f>
        <v>9.0352066326724226E-2</v>
      </c>
      <c r="AK30" s="56">
        <f>AVERAGE(AK5:AK24)</f>
        <v>0.30960892365699821</v>
      </c>
      <c r="BG30" s="8" t="e">
        <f>AVERAGE(BG5:BG24)</f>
        <v>#VALUE!</v>
      </c>
      <c r="BI30" s="5">
        <f>AVERAGE(BI5:BI24)</f>
        <v>0.11876089311868121</v>
      </c>
      <c r="BJ30" s="5">
        <f>AVERAGE(BJ5:BJ24)</f>
        <v>3.5348708782255267E-2</v>
      </c>
      <c r="BK30" s="5">
        <f>AVERAGE(BK5:BK24)</f>
        <v>-2.7898212345721651E-3</v>
      </c>
      <c r="BL30" s="5">
        <f>AVERAGE(BL5:BL24)</f>
        <v>-1.7492748790048473E-2</v>
      </c>
      <c r="BM30" s="5">
        <f>AVERAGE(BM5:BM24)</f>
        <v>-5.0397537468994669E-3</v>
      </c>
      <c r="BO30" s="5">
        <f>AVERAGE(BO5:BO24)</f>
        <v>8.3590376981848902E-2</v>
      </c>
      <c r="BP30" s="5">
        <f>AVERAGE(BP5:BP24)</f>
        <v>-7.5933221645720805E-2</v>
      </c>
      <c r="BQ30" s="5">
        <f>AVERAGE(BQ5:BQ24)</f>
        <v>3.2116301669859869E-2</v>
      </c>
      <c r="BR30" s="5">
        <f>AVERAGE(BR5:BR24)</f>
        <v>1.5393558209213435E-2</v>
      </c>
      <c r="BS30" s="5">
        <f>AVERAGE(BS5:BS24)</f>
        <v>2.6617339831808435E-2</v>
      </c>
    </row>
    <row r="31" spans="1:73" x14ac:dyDescent="0.3">
      <c r="B31" s="55" t="s">
        <v>289</v>
      </c>
      <c r="J31" s="56">
        <f>AVERAGE(J25:J29)</f>
        <v>0.87603246597478979</v>
      </c>
      <c r="K31" s="56">
        <f>AVERAGE(K25:K29)</f>
        <v>0.12505390505188874</v>
      </c>
      <c r="L31" s="56">
        <f>AVERAGE(L25:L29)</f>
        <v>8.7649324657957051E-2</v>
      </c>
      <c r="M31" s="56">
        <f>AVERAGE(M25:M29)</f>
        <v>0.75097434691581655</v>
      </c>
      <c r="AH31" s="56">
        <f>AVERAGE(AH25:AH29)</f>
        <v>0.85665091997568932</v>
      </c>
      <c r="AI31" s="56">
        <f>AVERAGE(AI25:AI29)</f>
        <v>0.12697024584411998</v>
      </c>
      <c r="AJ31" s="56">
        <f>AVERAGE(AJ25:AJ29)</f>
        <v>8.7402299562596694E-2</v>
      </c>
      <c r="AK31" s="56">
        <f>AVERAGE(AK25:AK29)</f>
        <v>0.72967646012448473</v>
      </c>
      <c r="BG31" s="8">
        <f>AVERAGE(BG25:BG29)</f>
        <v>1.5524766749868718E-2</v>
      </c>
      <c r="BI31" s="5">
        <f>AVERAGE(BI25:BI29)</f>
        <v>0.12974478661765687</v>
      </c>
      <c r="BJ31" s="5">
        <f>AVERAGE(BJ25:BJ29)</f>
        <v>7.1048389466455752E-2</v>
      </c>
      <c r="BK31" s="5">
        <f>AVERAGE(BK25:BK29)</f>
        <v>-1.3669295377295332E-2</v>
      </c>
      <c r="BL31" s="5">
        <f>AVERAGE(BL25:BL29)</f>
        <v>-1.1605876850817043E-2</v>
      </c>
      <c r="BM31" s="5">
        <f>AVERAGE(BM25:BM29)</f>
        <v>-2.8094290899600693E-3</v>
      </c>
      <c r="BO31" s="5">
        <f>AVERAGE(BO25:BO29)</f>
        <v>0.11351102245635958</v>
      </c>
      <c r="BP31" s="5">
        <f>AVERAGE(BP25:BP29)</f>
        <v>-3.0595385240007489E-2</v>
      </c>
      <c r="BQ31" s="5">
        <f>AVERAGE(BQ25:BQ29)</f>
        <v>5.7642578443484194E-3</v>
      </c>
      <c r="BR31" s="5">
        <f>AVERAGE(BR25:BR29)</f>
        <v>3.4929828353982284E-3</v>
      </c>
      <c r="BS31" s="5">
        <f>AVERAGE(BS25:BS29)</f>
        <v>1.2289765847601775E-2</v>
      </c>
    </row>
    <row r="32" spans="1:73" collapsed="1" x14ac:dyDescent="0.3">
      <c r="B32" s="55" t="s">
        <v>290</v>
      </c>
      <c r="J32" s="56">
        <f>AVERAGE(J5:J29)</f>
        <v>0.52063944530875628</v>
      </c>
      <c r="K32" s="56">
        <f>AVERAGE(K5:K29)</f>
        <v>0.12490235585226035</v>
      </c>
      <c r="L32" s="56">
        <f>AVERAGE(L5:L29)</f>
        <v>8.5637776475708471E-2</v>
      </c>
      <c r="M32" s="56">
        <f>AVERAGE(M5:M29)</f>
        <v>0.3957331596880948</v>
      </c>
      <c r="AH32" s="56">
        <f>AVERAGE(AH5:AH29)</f>
        <v>0.54701958413671703</v>
      </c>
      <c r="AI32" s="56">
        <f>AVERAGE(AI5:AI29)</f>
        <v>0.13238969206175968</v>
      </c>
      <c r="AJ32" s="56">
        <f>AVERAGE(AJ5:AJ29)</f>
        <v>8.9614624635692336E-2</v>
      </c>
      <c r="AK32" s="56">
        <f>AVERAGE(AK5:AK29)</f>
        <v>0.41462580777386987</v>
      </c>
      <c r="BG32" s="8" t="e">
        <f>AVERAGE(BG5:BG29)</f>
        <v>#VALUE!</v>
      </c>
      <c r="BI32" s="5">
        <f>AVERAGE(BI5:BI29)</f>
        <v>0.12150686649342513</v>
      </c>
      <c r="BJ32" s="5">
        <f>AVERAGE(BJ5:BJ29)</f>
        <v>4.4273628953305388E-2</v>
      </c>
      <c r="BK32" s="5">
        <f>AVERAGE(BK5:BK29)</f>
        <v>-5.5096897702529568E-3</v>
      </c>
      <c r="BL32" s="5">
        <f>AVERAGE(BL5:BL29)</f>
        <v>-1.6021030805240616E-2</v>
      </c>
      <c r="BM32" s="5">
        <f>AVERAGE(BM5:BM29)</f>
        <v>-4.4821725826646175E-3</v>
      </c>
      <c r="BO32" s="5">
        <f>AVERAGE(BO5:BO29)</f>
        <v>9.1070538350476571E-2</v>
      </c>
      <c r="BP32" s="5">
        <f>AVERAGE(BP5:BP29)</f>
        <v>-6.4598762544292476E-2</v>
      </c>
      <c r="BQ32" s="5">
        <f>AVERAGE(BQ5:BQ29)</f>
        <v>2.5528290713482005E-2</v>
      </c>
      <c r="BR32" s="5">
        <f>AVERAGE(BR5:BR29)</f>
        <v>1.2418414365759634E-2</v>
      </c>
      <c r="BS32" s="5">
        <f>AVERAGE(BS5:BS29)</f>
        <v>2.3035446335756771E-2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C1" activePane="topRight" state="frozen"/>
      <selection pane="topRight" activeCell="O22" sqref="O22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60" x14ac:dyDescent="0.3">
      <c r="A1" s="110" t="s">
        <v>366</v>
      </c>
      <c r="B1" s="110"/>
      <c r="C1" s="110"/>
      <c r="D1" s="110"/>
      <c r="E1" s="110"/>
      <c r="F1" s="110"/>
      <c r="H1" s="104" t="s">
        <v>2</v>
      </c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E1" s="105" t="s">
        <v>3</v>
      </c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</row>
    <row r="2" spans="1:60" ht="30" customHeight="1" x14ac:dyDescent="0.3">
      <c r="A2" s="112" t="s">
        <v>93</v>
      </c>
      <c r="B2" s="111" t="s">
        <v>96</v>
      </c>
      <c r="C2" s="112" t="s">
        <v>102</v>
      </c>
      <c r="D2" s="111" t="s">
        <v>105</v>
      </c>
      <c r="E2" s="112" t="s">
        <v>108</v>
      </c>
      <c r="F2" s="111" t="s">
        <v>111</v>
      </c>
      <c r="H2" s="112" t="s">
        <v>310</v>
      </c>
      <c r="I2" s="111" t="s">
        <v>114</v>
      </c>
      <c r="J2" s="109" t="s">
        <v>117</v>
      </c>
      <c r="K2" s="109"/>
      <c r="L2" s="109"/>
      <c r="M2" s="109"/>
      <c r="N2" s="112" t="s">
        <v>130</v>
      </c>
      <c r="O2" s="111" t="s">
        <v>133</v>
      </c>
      <c r="P2" s="112" t="s">
        <v>24</v>
      </c>
      <c r="Q2" s="108" t="s">
        <v>142</v>
      </c>
      <c r="R2" s="108"/>
      <c r="S2" s="108"/>
      <c r="T2" s="108"/>
      <c r="U2" s="109" t="s">
        <v>153</v>
      </c>
      <c r="V2" s="109"/>
      <c r="W2" s="108" t="s">
        <v>160</v>
      </c>
      <c r="X2" s="108"/>
      <c r="Y2" s="108"/>
      <c r="Z2" s="109" t="s">
        <v>170</v>
      </c>
      <c r="AA2" s="109"/>
      <c r="AB2" s="108" t="s">
        <v>177</v>
      </c>
      <c r="AC2" s="108"/>
      <c r="AE2" s="112" t="s">
        <v>310</v>
      </c>
      <c r="AF2" s="111" t="s">
        <v>114</v>
      </c>
      <c r="AG2" s="109" t="s">
        <v>117</v>
      </c>
      <c r="AH2" s="109"/>
      <c r="AI2" s="109"/>
      <c r="AJ2" s="109"/>
      <c r="AK2" s="112" t="s">
        <v>192</v>
      </c>
      <c r="AL2" s="111" t="s">
        <v>133</v>
      </c>
      <c r="AM2" s="112" t="s">
        <v>24</v>
      </c>
      <c r="AN2" s="108" t="s">
        <v>142</v>
      </c>
      <c r="AO2" s="108"/>
      <c r="AP2" s="108"/>
      <c r="AQ2" s="108"/>
      <c r="AR2" s="109" t="s">
        <v>153</v>
      </c>
      <c r="AS2" s="109"/>
      <c r="AT2" s="108" t="s">
        <v>160</v>
      </c>
      <c r="AU2" s="108"/>
      <c r="AV2" s="108"/>
      <c r="AW2" s="109" t="s">
        <v>170</v>
      </c>
      <c r="AX2" s="109"/>
      <c r="AY2" s="108" t="s">
        <v>177</v>
      </c>
      <c r="AZ2" s="108"/>
      <c r="BB2" s="109" t="s">
        <v>357</v>
      </c>
      <c r="BC2" s="109"/>
      <c r="BD2" s="109"/>
      <c r="BE2" s="111" t="s">
        <v>232</v>
      </c>
      <c r="BF2" s="112" t="s">
        <v>232</v>
      </c>
      <c r="BH2" t="s">
        <v>549</v>
      </c>
    </row>
    <row r="3" spans="1:60" ht="29.4" thickBot="1" x14ac:dyDescent="0.35">
      <c r="A3" s="112"/>
      <c r="B3" s="111"/>
      <c r="C3" s="112"/>
      <c r="D3" s="111"/>
      <c r="E3" s="112"/>
      <c r="F3" s="111"/>
      <c r="H3" s="112"/>
      <c r="I3" s="111"/>
      <c r="J3" s="11" t="s">
        <v>118</v>
      </c>
      <c r="K3" s="11" t="s">
        <v>121</v>
      </c>
      <c r="L3" s="11" t="s">
        <v>124</v>
      </c>
      <c r="M3" s="11" t="s">
        <v>127</v>
      </c>
      <c r="N3" s="112"/>
      <c r="O3" s="111"/>
      <c r="P3" s="112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12"/>
      <c r="AF3" s="111"/>
      <c r="AG3" s="11" t="s">
        <v>118</v>
      </c>
      <c r="AH3" s="11" t="s">
        <v>121</v>
      </c>
      <c r="AI3" s="11" t="s">
        <v>124</v>
      </c>
      <c r="AJ3" s="11" t="s">
        <v>127</v>
      </c>
      <c r="AK3" s="112"/>
      <c r="AL3" s="111"/>
      <c r="AM3" s="112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11"/>
      <c r="BF3" s="112"/>
    </row>
    <row r="4" spans="1:60" ht="121.8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3">
      <c r="B10" s="55" t="s">
        <v>288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C1" activePane="topRight" state="frozen"/>
      <selection pane="topRight" activeCell="W29" sqref="W2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60" x14ac:dyDescent="0.3">
      <c r="A1" s="110" t="s">
        <v>441</v>
      </c>
      <c r="B1" s="110"/>
      <c r="C1" s="110"/>
      <c r="D1" s="110"/>
      <c r="E1" s="110"/>
      <c r="F1" s="110"/>
      <c r="H1" s="104" t="s">
        <v>2</v>
      </c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E1" s="105" t="s">
        <v>3</v>
      </c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</row>
    <row r="2" spans="1:60" ht="30" customHeight="1" x14ac:dyDescent="0.3">
      <c r="A2" s="112" t="s">
        <v>93</v>
      </c>
      <c r="B2" s="111" t="s">
        <v>96</v>
      </c>
      <c r="C2" s="112" t="s">
        <v>102</v>
      </c>
      <c r="D2" s="111" t="s">
        <v>105</v>
      </c>
      <c r="E2" s="112" t="s">
        <v>108</v>
      </c>
      <c r="F2" s="111" t="s">
        <v>111</v>
      </c>
      <c r="H2" s="112" t="s">
        <v>310</v>
      </c>
      <c r="I2" s="111" t="s">
        <v>114</v>
      </c>
      <c r="J2" s="109" t="s">
        <v>117</v>
      </c>
      <c r="K2" s="109"/>
      <c r="L2" s="109"/>
      <c r="M2" s="109"/>
      <c r="N2" s="112" t="s">
        <v>130</v>
      </c>
      <c r="O2" s="111" t="s">
        <v>133</v>
      </c>
      <c r="P2" s="112" t="s">
        <v>24</v>
      </c>
      <c r="Q2" s="108" t="s">
        <v>142</v>
      </c>
      <c r="R2" s="108"/>
      <c r="S2" s="108"/>
      <c r="T2" s="108"/>
      <c r="U2" s="109" t="s">
        <v>153</v>
      </c>
      <c r="V2" s="109"/>
      <c r="W2" s="108" t="s">
        <v>160</v>
      </c>
      <c r="X2" s="108"/>
      <c r="Y2" s="108"/>
      <c r="Z2" s="109" t="s">
        <v>170</v>
      </c>
      <c r="AA2" s="109"/>
      <c r="AB2" s="108" t="s">
        <v>177</v>
      </c>
      <c r="AC2" s="108"/>
      <c r="AE2" s="112" t="s">
        <v>310</v>
      </c>
      <c r="AF2" s="111" t="s">
        <v>114</v>
      </c>
      <c r="AG2" s="109" t="s">
        <v>117</v>
      </c>
      <c r="AH2" s="109"/>
      <c r="AI2" s="109"/>
      <c r="AJ2" s="109"/>
      <c r="AK2" s="112" t="s">
        <v>192</v>
      </c>
      <c r="AL2" s="111" t="s">
        <v>133</v>
      </c>
      <c r="AM2" s="112" t="s">
        <v>24</v>
      </c>
      <c r="AN2" s="108" t="s">
        <v>142</v>
      </c>
      <c r="AO2" s="108"/>
      <c r="AP2" s="108"/>
      <c r="AQ2" s="108"/>
      <c r="AR2" s="109" t="s">
        <v>153</v>
      </c>
      <c r="AS2" s="109"/>
      <c r="AT2" s="108" t="s">
        <v>160</v>
      </c>
      <c r="AU2" s="108"/>
      <c r="AV2" s="108"/>
      <c r="AW2" s="109" t="s">
        <v>170</v>
      </c>
      <c r="AX2" s="109"/>
      <c r="AY2" s="108" t="s">
        <v>177</v>
      </c>
      <c r="AZ2" s="108"/>
      <c r="BB2" s="109" t="s">
        <v>357</v>
      </c>
      <c r="BC2" s="109"/>
      <c r="BD2" s="109"/>
      <c r="BE2" s="111" t="s">
        <v>232</v>
      </c>
      <c r="BF2" s="112" t="s">
        <v>232</v>
      </c>
      <c r="BH2" t="s">
        <v>549</v>
      </c>
    </row>
    <row r="3" spans="1:60" ht="29.4" thickBot="1" x14ac:dyDescent="0.35">
      <c r="A3" s="112"/>
      <c r="B3" s="111"/>
      <c r="C3" s="112"/>
      <c r="D3" s="111"/>
      <c r="E3" s="112"/>
      <c r="F3" s="111"/>
      <c r="H3" s="112"/>
      <c r="I3" s="111"/>
      <c r="J3" s="11" t="s">
        <v>118</v>
      </c>
      <c r="K3" s="11" t="s">
        <v>121</v>
      </c>
      <c r="L3" s="11" t="s">
        <v>124</v>
      </c>
      <c r="M3" s="11" t="s">
        <v>127</v>
      </c>
      <c r="N3" s="112"/>
      <c r="O3" s="111"/>
      <c r="P3" s="112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12"/>
      <c r="AF3" s="111"/>
      <c r="AG3" s="11" t="s">
        <v>118</v>
      </c>
      <c r="AH3" s="11" t="s">
        <v>121</v>
      </c>
      <c r="AI3" s="11" t="s">
        <v>124</v>
      </c>
      <c r="AJ3" s="11" t="s">
        <v>127</v>
      </c>
      <c r="AK3" s="112"/>
      <c r="AL3" s="111"/>
      <c r="AM3" s="112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11"/>
      <c r="BF3" s="112"/>
    </row>
    <row r="4" spans="1:60" ht="121.8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3">
      <c r="B10" s="55" t="s">
        <v>288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I1" activePane="topRight" state="frozen"/>
      <selection pane="topRight" activeCell="AB5" sqref="AB5:AE29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3" x14ac:dyDescent="0.3">
      <c r="A1" s="110" t="s">
        <v>528</v>
      </c>
      <c r="B1" s="110"/>
      <c r="C1" s="110"/>
      <c r="D1" s="110"/>
      <c r="E1" s="110"/>
      <c r="F1" s="110"/>
      <c r="G1" s="110"/>
      <c r="I1" s="104" t="s">
        <v>2</v>
      </c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G1" s="105" t="s">
        <v>3</v>
      </c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</row>
    <row r="2" spans="1:73" ht="30" customHeight="1" x14ac:dyDescent="0.3">
      <c r="A2" s="112" t="s">
        <v>93</v>
      </c>
      <c r="B2" s="111" t="s">
        <v>96</v>
      </c>
      <c r="C2" s="112" t="s">
        <v>99</v>
      </c>
      <c r="D2" s="111" t="s">
        <v>102</v>
      </c>
      <c r="E2" s="112" t="s">
        <v>105</v>
      </c>
      <c r="F2" s="111" t="s">
        <v>108</v>
      </c>
      <c r="G2" s="112" t="s">
        <v>111</v>
      </c>
      <c r="I2" s="111" t="s">
        <v>114</v>
      </c>
      <c r="J2" s="109" t="s">
        <v>117</v>
      </c>
      <c r="K2" s="109"/>
      <c r="L2" s="109"/>
      <c r="M2" s="109"/>
      <c r="N2" s="112" t="s">
        <v>130</v>
      </c>
      <c r="O2" s="111" t="s">
        <v>133</v>
      </c>
      <c r="P2" s="112" t="s">
        <v>24</v>
      </c>
      <c r="Q2" s="111" t="s">
        <v>26</v>
      </c>
      <c r="R2" s="112" t="s">
        <v>22</v>
      </c>
      <c r="S2" s="108" t="s">
        <v>142</v>
      </c>
      <c r="T2" s="108"/>
      <c r="U2" s="108"/>
      <c r="V2" s="108"/>
      <c r="W2" s="109" t="s">
        <v>153</v>
      </c>
      <c r="X2" s="109"/>
      <c r="Y2" s="108" t="s">
        <v>160</v>
      </c>
      <c r="Z2" s="108"/>
      <c r="AA2" s="108"/>
      <c r="AB2" s="109" t="s">
        <v>170</v>
      </c>
      <c r="AC2" s="109"/>
      <c r="AD2" s="108" t="s">
        <v>177</v>
      </c>
      <c r="AE2" s="108"/>
      <c r="AG2" s="112" t="s">
        <v>114</v>
      </c>
      <c r="AH2" s="108" t="s">
        <v>117</v>
      </c>
      <c r="AI2" s="108"/>
      <c r="AJ2" s="108"/>
      <c r="AK2" s="108"/>
      <c r="AL2" s="111" t="s">
        <v>192</v>
      </c>
      <c r="AM2" s="112" t="s">
        <v>133</v>
      </c>
      <c r="AN2" s="111" t="s">
        <v>24</v>
      </c>
      <c r="AO2" s="112" t="s">
        <v>26</v>
      </c>
      <c r="AP2" s="111" t="s">
        <v>22</v>
      </c>
      <c r="AQ2" s="109" t="s">
        <v>142</v>
      </c>
      <c r="AR2" s="109"/>
      <c r="AS2" s="109"/>
      <c r="AT2" s="109"/>
      <c r="AU2" s="108" t="s">
        <v>153</v>
      </c>
      <c r="AV2" s="108"/>
      <c r="AW2" s="109" t="s">
        <v>160</v>
      </c>
      <c r="AX2" s="109"/>
      <c r="AY2" s="109"/>
      <c r="AZ2" s="108" t="s">
        <v>170</v>
      </c>
      <c r="BA2" s="108"/>
      <c r="BB2" s="109" t="s">
        <v>177</v>
      </c>
      <c r="BC2" s="109"/>
      <c r="BE2" s="111" t="s">
        <v>229</v>
      </c>
      <c r="BF2" s="112" t="s">
        <v>232</v>
      </c>
      <c r="BG2" s="111" t="s">
        <v>232</v>
      </c>
      <c r="BI2" s="109" t="s">
        <v>237</v>
      </c>
      <c r="BJ2" s="109"/>
      <c r="BK2" s="108" t="s">
        <v>242</v>
      </c>
      <c r="BL2" s="108"/>
      <c r="BM2" s="108"/>
      <c r="BO2" s="109" t="s">
        <v>249</v>
      </c>
      <c r="BP2" s="109"/>
      <c r="BQ2" s="108" t="s">
        <v>254</v>
      </c>
      <c r="BR2" s="108"/>
      <c r="BS2" s="108"/>
      <c r="BU2" t="s">
        <v>549</v>
      </c>
    </row>
    <row r="3" spans="1:73" ht="15" thickBot="1" x14ac:dyDescent="0.35">
      <c r="A3" s="112"/>
      <c r="B3" s="111"/>
      <c r="C3" s="112"/>
      <c r="D3" s="111"/>
      <c r="E3" s="112"/>
      <c r="F3" s="111"/>
      <c r="G3" s="112"/>
      <c r="I3" s="111"/>
      <c r="J3" s="11" t="s">
        <v>118</v>
      </c>
      <c r="K3" s="11" t="s">
        <v>121</v>
      </c>
      <c r="L3" s="11" t="s">
        <v>124</v>
      </c>
      <c r="M3" s="11" t="s">
        <v>127</v>
      </c>
      <c r="N3" s="112"/>
      <c r="O3" s="111"/>
      <c r="P3" s="112"/>
      <c r="Q3" s="111"/>
      <c r="R3" s="112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12"/>
      <c r="AH3" s="12" t="s">
        <v>118</v>
      </c>
      <c r="AI3" s="12" t="s">
        <v>121</v>
      </c>
      <c r="AJ3" s="12" t="s">
        <v>124</v>
      </c>
      <c r="AK3" s="12" t="s">
        <v>127</v>
      </c>
      <c r="AL3" s="111"/>
      <c r="AM3" s="112"/>
      <c r="AN3" s="111"/>
      <c r="AO3" s="112"/>
      <c r="AP3" s="111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11"/>
      <c r="BF3" s="112"/>
      <c r="BG3" s="111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1.2086625</v>
      </c>
      <c r="J5" s="18">
        <f t="shared" ref="J5:J29" si="1">IF(ISBLANK(S5),"·",S5/D5)</f>
        <v>5.1643261883019466E-2</v>
      </c>
      <c r="K5" s="18">
        <f t="shared" ref="K5:K29" si="2">IF(N5="","·",N5/D5)</f>
        <v>4.3432937671644002E-2</v>
      </c>
      <c r="L5" s="18">
        <f t="shared" ref="L5:L29" si="3">IF(T5="","·",T5/D5)</f>
        <v>2.6001033500810896E-2</v>
      </c>
      <c r="M5" s="18">
        <f t="shared" ref="M5:M29" si="4">IF(ISBLANK(V5),"·",V5/D5)</f>
        <v>8.2060514502132059E-3</v>
      </c>
      <c r="N5" s="15">
        <f t="shared" ref="N5:N29" si="5">IF(OR(ISBLANK(T5),ISBLANK(U5)),"",T5+U5)</f>
        <v>1084274.666666667</v>
      </c>
      <c r="O5" s="18">
        <f t="shared" ref="O5:O29" si="6">IF(ISBLANK(S5),"·",S5/P5)</f>
        <v>5.5326480478151523E-2</v>
      </c>
      <c r="P5" s="82">
        <v>23302404</v>
      </c>
      <c r="Q5" s="82">
        <v>728200.125</v>
      </c>
      <c r="R5" s="82">
        <v>16212.03125</v>
      </c>
      <c r="S5" s="83">
        <v>1289240</v>
      </c>
      <c r="T5" s="83">
        <v>649098.66666666698</v>
      </c>
      <c r="U5" s="83">
        <v>435176</v>
      </c>
      <c r="V5" s="83">
        <v>204858.66666666701</v>
      </c>
      <c r="W5" s="84">
        <v>66.750615624999995</v>
      </c>
      <c r="X5" s="84">
        <v>68.466490625000006</v>
      </c>
      <c r="Y5" s="84">
        <v>31.668503125000001</v>
      </c>
      <c r="Z5" s="84">
        <v>44.340690625000001</v>
      </c>
      <c r="AA5" s="84">
        <v>43.451671875000002</v>
      </c>
      <c r="AB5" s="85"/>
      <c r="AC5" s="85"/>
      <c r="AD5" s="85"/>
      <c r="AE5" s="85"/>
      <c r="AG5" s="17">
        <f t="shared" ref="AG5:AG29" si="7">IF(OR(ISBLANK(AQ5),ISBLANK(G5)),"·",AQ5*G5/F5/1000000)</f>
        <v>1.1787825000000001</v>
      </c>
      <c r="AH5" s="18">
        <f t="shared" ref="AH5:AH29" si="8">IF(ISBLANK(AQ5),"·",AQ5/D5)</f>
        <v>5.0366560847730772E-2</v>
      </c>
      <c r="AI5" s="18">
        <f t="shared" ref="AI5:AI29" si="9">IF(AL5="","·",AL5/D5)</f>
        <v>4.228249672870063E-2</v>
      </c>
      <c r="AJ5" s="18">
        <f t="shared" ref="AJ5:AJ29" si="10">IF(AR5="","·",AR5/D5)</f>
        <v>2.5990137959847087E-2</v>
      </c>
      <c r="AK5" s="18">
        <f t="shared" ref="AK5:AK29" si="11">IF(ISBLANK(AT5),"·",AT5/D5)</f>
        <v>8.0797913578678892E-3</v>
      </c>
      <c r="AL5" s="15">
        <f t="shared" ref="AL5:AL29" si="12">IF(OR(ISBLANK(AR5),ISBLANK(AS5)),"",AR5+AS5)</f>
        <v>1055554.666666667</v>
      </c>
      <c r="AM5" s="18">
        <f t="shared" ref="AM5:AM29" si="13">IF(ISBLANK(AQ5),"·",AQ5/AN5)</f>
        <v>5.7399087744868758E-2</v>
      </c>
      <c r="AN5" s="70">
        <v>21905714</v>
      </c>
      <c r="AO5" s="70">
        <v>684553.5625</v>
      </c>
      <c r="AP5" s="70">
        <v>3557.75</v>
      </c>
      <c r="AQ5" s="71">
        <v>1257368</v>
      </c>
      <c r="AR5" s="71">
        <v>648826.66666666698</v>
      </c>
      <c r="AS5" s="71">
        <v>406728</v>
      </c>
      <c r="AT5" s="71">
        <v>201706.66666666701</v>
      </c>
      <c r="AU5" s="72">
        <v>66.469581250000005</v>
      </c>
      <c r="AV5" s="72">
        <v>68.142475000000005</v>
      </c>
      <c r="AW5" s="72">
        <v>31.588965625</v>
      </c>
      <c r="AX5" s="72">
        <v>44.277387500000003</v>
      </c>
      <c r="AY5" s="72">
        <v>43.5548</v>
      </c>
      <c r="AZ5" s="22"/>
      <c r="BA5" s="22"/>
      <c r="BB5" s="22"/>
      <c r="BC5" s="22"/>
      <c r="BE5" s="23">
        <f t="shared" ref="BE5:BE29" si="14">(AP5/AO5) - (R5/Q5)</f>
        <v>-1.7065970822431189E-2</v>
      </c>
      <c r="BF5" s="23">
        <f t="shared" ref="BF5:BF29" si="15">(AL5/AQ5) - (N5/S5)</f>
        <v>-1.5230695930501525E-3</v>
      </c>
      <c r="BG5" s="23">
        <f t="array" ref="BG5">AVERAGE(AL5:AL9/AQ5:AQ9) - AVERAGE(N5:N9/S5:S9)</f>
        <v>-3.6811632231705804E-3</v>
      </c>
      <c r="BI5" s="24">
        <f>IF( OR(ISBLANK(N5:N9),ISBLANK(AL5:AL9), ISBLANK(W5:W9),ISBLANK(AU5:AU9)), "·", bdRateExtend( N5:N9,W5:W9, AL5:AL9,AU5:AU9))</f>
        <v>0.13020315120051107</v>
      </c>
      <c r="BJ5" s="24">
        <f>IF( OR(ISBLANK(N5:N9),ISBLANK(AL5:AL9), ISBLANK(X5:X9),ISBLANK(AV5:AV9)), "·", bdRateExtend( N5:N9,X5:X9, AL5:AL9,AV5:AV9))</f>
        <v>0.17044445073436876</v>
      </c>
      <c r="BK5" s="24">
        <f>IF( OR(ISBLANK(V5:V9),ISBLANK(AT5:AT9), ISBLANK(Y5:Y9),ISBLANK(AW5:AW9)), "·", bdRateExtend( V5:V9,Y5:Y9, AT5:AT9,AW5:AW9))</f>
        <v>8.9369495255156028E-3</v>
      </c>
      <c r="BL5" s="24">
        <f>IF( OR(ISBLANK(V5:V9),ISBLANK(AT5:AT9), ISBLANK(Z5:Z9),ISBLANK(AX5:AX9)), "·", bdRateExtend( V5:V9,Z5:Z9, AT5:AT9,AX5:AX9))</f>
        <v>4.0220017969397226E-2</v>
      </c>
      <c r="BM5" s="24">
        <f>IF( OR(ISBLANK(V5:V9),ISBLANK(AT5:AT9), ISBLANK(AA5:AA9),ISBLANK(AY5:AY9)), "·", bdRateExtend( V5:V9,AA5:AA9, AT5:AT9,AY5:AY9))</f>
        <v>2.5977637167382772E-2</v>
      </c>
      <c r="BO5" s="24">
        <f>IF( OR(ISBLANK(S5:S9),ISBLANK(AQ5:AQ9), ISBLANK(W5:W9),ISBLANK(AU5:AU9)), "·", bdRateExtend( S5:S9,W5:W9, AQ5:AQ9,AU5:AU9))</f>
        <v>0.21727605561662533</v>
      </c>
      <c r="BP5" s="24">
        <f>IF( OR(ISBLANK(S5:S9),ISBLANK(AQ5:AQ9), ISBLANK(X5:X9),ISBLANK(AV5:AV9)), "·", bdRateExtend( S5:S9,X5:X9, AQ5:AQ9,AV5:AV9))</f>
        <v>0.28465925923938395</v>
      </c>
      <c r="BQ5" s="24">
        <f>IF( OR(ISBLANK(S5:S9),ISBLANK(AQ5:AQ9), ISBLANK(Y5:Y9),ISBLANK(AW5:AW9)), "·", bdRateExtend( S5:S9,Y5:Y9, AQ5:AQ9,AW5:AW9))</f>
        <v>-5.127915739178146E-3</v>
      </c>
      <c r="BR5" s="24">
        <f>IF( OR(ISBLANK(S5:S9),ISBLANK(AQ5:AQ9), ISBLANK(Z5:Z9),ISBLANK(AX5:AX9)), "·", bdRateExtend( S5:S9,Z5:Z9, AQ5:AQ9,AX5:AX9))</f>
        <v>1.0622413718466284E-2</v>
      </c>
      <c r="BS5" s="24">
        <f>IF( OR(ISBLANK(S5:S9),ISBLANK(AQ5:AQ9), ISBLANK(AA5:AA9),ISBLANK(AY5:AY9)), "·", bdRateExtend( S5:S9,AA5:AA9, AQ5:AQ9,AY5:AY9))</f>
        <v>5.6968517230349125E-3</v>
      </c>
      <c r="BU5">
        <f>AQ5-S5</f>
        <v>-31872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1.5521475</v>
      </c>
      <c r="J6" s="28">
        <f t="shared" si="1"/>
        <v>6.631955556127038E-2</v>
      </c>
      <c r="K6" s="28">
        <f t="shared" si="2"/>
        <v>5.1896529800913513E-2</v>
      </c>
      <c r="L6" s="28">
        <f t="shared" si="3"/>
        <v>3.4464625630080403E-2</v>
      </c>
      <c r="M6" s="28">
        <f t="shared" si="4"/>
        <v>1.4418752999194611E-2</v>
      </c>
      <c r="N6" s="25">
        <f t="shared" si="5"/>
        <v>1295562.666666667</v>
      </c>
      <c r="O6" s="28">
        <f t="shared" si="6"/>
        <v>6.7219616735184534E-2</v>
      </c>
      <c r="P6" s="86">
        <v>24630072</v>
      </c>
      <c r="Q6" s="86">
        <v>769689.75</v>
      </c>
      <c r="R6" s="86">
        <v>19807.3125</v>
      </c>
      <c r="S6" s="87">
        <v>1655624</v>
      </c>
      <c r="T6" s="87">
        <v>860386.66666666698</v>
      </c>
      <c r="U6" s="87">
        <v>435176</v>
      </c>
      <c r="V6" s="87">
        <v>359954.66666666698</v>
      </c>
      <c r="W6" s="88">
        <v>68.474656249999995</v>
      </c>
      <c r="X6" s="88">
        <v>70.500003125000006</v>
      </c>
      <c r="Y6" s="88">
        <v>33.831906250000003</v>
      </c>
      <c r="Z6" s="88">
        <v>45.376818749999998</v>
      </c>
      <c r="AA6" s="88">
        <v>44.926993750000001</v>
      </c>
      <c r="AB6" s="89"/>
      <c r="AC6" s="89"/>
      <c r="AD6" s="89"/>
      <c r="AE6" s="89"/>
      <c r="AG6" s="27">
        <f t="shared" si="7"/>
        <v>1.513425</v>
      </c>
      <c r="AH6" s="28">
        <f t="shared" si="8"/>
        <v>6.4665035620207242E-2</v>
      </c>
      <c r="AI6" s="28">
        <f t="shared" si="9"/>
        <v>5.0578489801379772E-2</v>
      </c>
      <c r="AJ6" s="28">
        <f t="shared" si="10"/>
        <v>3.4286131032526236E-2</v>
      </c>
      <c r="AK6" s="28">
        <f t="shared" si="11"/>
        <v>1.408227305766521E-2</v>
      </c>
      <c r="AL6" s="25">
        <f t="shared" si="12"/>
        <v>1262658.666666667</v>
      </c>
      <c r="AM6" s="28">
        <f t="shared" si="13"/>
        <v>6.9921482997959375E-2</v>
      </c>
      <c r="AN6" s="73">
        <v>23087611</v>
      </c>
      <c r="AO6" s="73">
        <v>721487.84375</v>
      </c>
      <c r="AP6" s="73">
        <v>3786.09375</v>
      </c>
      <c r="AQ6" s="74">
        <v>1614320</v>
      </c>
      <c r="AR6" s="74">
        <v>855930.66666666698</v>
      </c>
      <c r="AS6" s="74">
        <v>406728</v>
      </c>
      <c r="AT6" s="74">
        <v>351554.66666666698</v>
      </c>
      <c r="AU6" s="75">
        <v>67.944915624999993</v>
      </c>
      <c r="AV6" s="75">
        <v>69.736824999999996</v>
      </c>
      <c r="AW6" s="75">
        <v>33.696125000000002</v>
      </c>
      <c r="AX6" s="75">
        <v>45.179543750000001</v>
      </c>
      <c r="AY6" s="75">
        <v>44.870087499999997</v>
      </c>
      <c r="AZ6" s="32"/>
      <c r="BA6" s="32"/>
      <c r="BB6" s="32"/>
      <c r="BC6" s="32"/>
      <c r="BE6" s="33">
        <f t="shared" si="14"/>
        <v>-2.0486531725291593E-2</v>
      </c>
      <c r="BF6" s="33">
        <f t="shared" si="15"/>
        <v>-3.6095678846082002E-4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-41304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2.1322725</v>
      </c>
      <c r="J7" s="18">
        <f t="shared" si="1"/>
        <v>9.1106911253936163E-2</v>
      </c>
      <c r="K7" s="18">
        <f t="shared" si="2"/>
        <v>6.3400618773260226E-2</v>
      </c>
      <c r="L7" s="18">
        <f t="shared" si="3"/>
        <v>4.5968714602427116E-2</v>
      </c>
      <c r="M7" s="18">
        <f t="shared" si="4"/>
        <v>2.7702019719513804E-2</v>
      </c>
      <c r="N7" s="15">
        <f t="shared" si="5"/>
        <v>1582754.66666667</v>
      </c>
      <c r="O7" s="18">
        <f t="shared" si="6"/>
        <v>9.1272419775503683E-2</v>
      </c>
      <c r="P7" s="82">
        <v>24919072</v>
      </c>
      <c r="Q7" s="82">
        <v>778721</v>
      </c>
      <c r="R7" s="82">
        <v>21072.28125</v>
      </c>
      <c r="S7" s="83">
        <v>2274424</v>
      </c>
      <c r="T7" s="83">
        <v>1147578.66666667</v>
      </c>
      <c r="U7" s="83">
        <v>435176</v>
      </c>
      <c r="V7" s="83">
        <v>691562.66666666698</v>
      </c>
      <c r="W7" s="84">
        <v>69.796599999999998</v>
      </c>
      <c r="X7" s="84">
        <v>72.151678125000004</v>
      </c>
      <c r="Y7" s="84">
        <v>36.257321875000002</v>
      </c>
      <c r="Z7" s="84">
        <v>46.796909374999998</v>
      </c>
      <c r="AA7" s="84">
        <v>46.487650000000002</v>
      </c>
      <c r="AB7" s="85"/>
      <c r="AC7" s="85"/>
      <c r="AD7" s="85"/>
      <c r="AE7" s="85"/>
      <c r="AG7" s="17">
        <f t="shared" si="7"/>
        <v>2.0700674999999999</v>
      </c>
      <c r="AH7" s="18">
        <f t="shared" si="8"/>
        <v>8.8449040172941071E-2</v>
      </c>
      <c r="AI7" s="18">
        <f t="shared" si="9"/>
        <v>6.1871718010368067E-2</v>
      </c>
      <c r="AJ7" s="18">
        <f t="shared" si="10"/>
        <v>4.5579359241514524E-2</v>
      </c>
      <c r="AK7" s="18">
        <f t="shared" si="11"/>
        <v>2.6573049401410875E-2</v>
      </c>
      <c r="AL7" s="15">
        <f t="shared" si="12"/>
        <v>1544586.66666667</v>
      </c>
      <c r="AM7" s="18">
        <f t="shared" si="13"/>
        <v>9.4472256803160501E-2</v>
      </c>
      <c r="AN7" s="70">
        <v>23372703</v>
      </c>
      <c r="AO7" s="70">
        <v>730396.96875</v>
      </c>
      <c r="AP7" s="70">
        <v>3885.71875</v>
      </c>
      <c r="AQ7" s="71">
        <v>2208072</v>
      </c>
      <c r="AR7" s="71">
        <v>1137858.66666667</v>
      </c>
      <c r="AS7" s="71">
        <v>406728</v>
      </c>
      <c r="AT7" s="71">
        <v>663378.66666666698</v>
      </c>
      <c r="AU7" s="72">
        <v>69.109899999999996</v>
      </c>
      <c r="AV7" s="72">
        <v>71.078143749999995</v>
      </c>
      <c r="AW7" s="72">
        <v>36.100906250000001</v>
      </c>
      <c r="AX7" s="72">
        <v>46.614918750000001</v>
      </c>
      <c r="AY7" s="72">
        <v>46.231324999999998</v>
      </c>
      <c r="AZ7" s="22"/>
      <c r="BA7" s="22"/>
      <c r="BB7" s="22"/>
      <c r="BC7" s="22"/>
      <c r="BE7" s="23">
        <f t="shared" si="14"/>
        <v>-2.1740107431041655E-2</v>
      </c>
      <c r="BF7" s="23">
        <f t="shared" si="15"/>
        <v>3.625724616362791E-3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-66352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3.5141399999999998</v>
      </c>
      <c r="J8" s="28">
        <f t="shared" si="1"/>
        <v>0.1501508091080794</v>
      </c>
      <c r="K8" s="28">
        <f t="shared" si="2"/>
        <v>8.8525095321629749E-2</v>
      </c>
      <c r="L8" s="28">
        <f t="shared" si="3"/>
        <v>7.1093191150796653E-2</v>
      </c>
      <c r="M8" s="28">
        <f t="shared" si="4"/>
        <v>6.1621441025287632E-2</v>
      </c>
      <c r="N8" s="25">
        <f t="shared" si="5"/>
        <v>2209970.6666666698</v>
      </c>
      <c r="O8" s="28">
        <f t="shared" si="6"/>
        <v>0.14414709308961385</v>
      </c>
      <c r="P8" s="86">
        <v>26004104</v>
      </c>
      <c r="Q8" s="86">
        <v>812628.25</v>
      </c>
      <c r="R8" s="86">
        <v>24474.75</v>
      </c>
      <c r="S8" s="87">
        <v>3748416</v>
      </c>
      <c r="T8" s="87">
        <v>1774794.66666667</v>
      </c>
      <c r="U8" s="87">
        <v>435176</v>
      </c>
      <c r="V8" s="87">
        <v>1538338.66666667</v>
      </c>
      <c r="W8" s="88">
        <v>70.793118750000005</v>
      </c>
      <c r="X8" s="88">
        <v>73.333334375000007</v>
      </c>
      <c r="Y8" s="88">
        <v>38.702150000000003</v>
      </c>
      <c r="Z8" s="88">
        <v>48.108049999999999</v>
      </c>
      <c r="AA8" s="88">
        <v>47.962968750000002</v>
      </c>
      <c r="AB8" s="89"/>
      <c r="AC8" s="89"/>
      <c r="AD8" s="89"/>
      <c r="AE8" s="89"/>
      <c r="AG8" s="27">
        <f t="shared" si="7"/>
        <v>3.3866999999999998</v>
      </c>
      <c r="AH8" s="28">
        <f t="shared" si="8"/>
        <v>0.14470560228287219</v>
      </c>
      <c r="AI8" s="28">
        <f t="shared" si="9"/>
        <v>8.7069899688786895E-2</v>
      </c>
      <c r="AJ8" s="28">
        <f t="shared" si="10"/>
        <v>7.0777540919933352E-2</v>
      </c>
      <c r="AK8" s="28">
        <f t="shared" si="11"/>
        <v>5.7631429832923291E-2</v>
      </c>
      <c r="AL8" s="25">
        <f t="shared" si="12"/>
        <v>2173642.6666666698</v>
      </c>
      <c r="AM8" s="28">
        <f t="shared" si="13"/>
        <v>0.1477825438906358</v>
      </c>
      <c r="AN8" s="73">
        <v>24444565</v>
      </c>
      <c r="AO8" s="73">
        <v>763892.65625</v>
      </c>
      <c r="AP8" s="73">
        <v>5011.625</v>
      </c>
      <c r="AQ8" s="74">
        <v>3612480</v>
      </c>
      <c r="AR8" s="74">
        <v>1766914.66666667</v>
      </c>
      <c r="AS8" s="74">
        <v>406728</v>
      </c>
      <c r="AT8" s="74">
        <v>1438730.66666667</v>
      </c>
      <c r="AU8" s="75">
        <v>69.965553125</v>
      </c>
      <c r="AV8" s="75">
        <v>71.893124999999998</v>
      </c>
      <c r="AW8" s="75">
        <v>38.507212500000001</v>
      </c>
      <c r="AX8" s="75">
        <v>47.990412499999998</v>
      </c>
      <c r="AY8" s="75">
        <v>47.790599999999998</v>
      </c>
      <c r="AZ8" s="32"/>
      <c r="BA8" s="32"/>
      <c r="BB8" s="32"/>
      <c r="BC8" s="32"/>
      <c r="BE8" s="33">
        <f t="shared" si="14"/>
        <v>-2.3557374846518347E-2</v>
      </c>
      <c r="BF8" s="33">
        <f t="shared" si="15"/>
        <v>1.2129175988616514E-2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-135936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7.4982749999999996</v>
      </c>
      <c r="J9" s="38">
        <f t="shared" si="1"/>
        <v>0.32038338204080774</v>
      </c>
      <c r="K9" s="38">
        <f t="shared" si="2"/>
        <v>0.15073222508323653</v>
      </c>
      <c r="L9" s="38">
        <f t="shared" si="3"/>
        <v>0.11441418247998895</v>
      </c>
      <c r="M9" s="38">
        <f t="shared" si="4"/>
        <v>0.16964688419640919</v>
      </c>
      <c r="N9" s="35">
        <f t="shared" si="5"/>
        <v>3762930.6666666698</v>
      </c>
      <c r="O9" s="38">
        <f t="shared" si="6"/>
        <v>0.3195972787223717</v>
      </c>
      <c r="P9" s="90">
        <v>25025745</v>
      </c>
      <c r="Q9" s="90">
        <v>782054.53125</v>
      </c>
      <c r="R9" s="90">
        <v>10275.84375</v>
      </c>
      <c r="S9" s="91">
        <v>7998160</v>
      </c>
      <c r="T9" s="91">
        <v>2856274.6666666698</v>
      </c>
      <c r="U9" s="91">
        <v>906656</v>
      </c>
      <c r="V9" s="91">
        <v>4235122.6666666698</v>
      </c>
      <c r="W9" s="92">
        <v>72.048096874999999</v>
      </c>
      <c r="X9" s="92">
        <v>75.254450000000006</v>
      </c>
      <c r="Y9" s="92">
        <v>41.140931250000001</v>
      </c>
      <c r="Z9" s="92">
        <v>49.543940624999998</v>
      </c>
      <c r="AA9" s="92">
        <v>49.608296875000001</v>
      </c>
      <c r="AB9" s="93"/>
      <c r="AC9" s="93"/>
      <c r="AD9" s="93"/>
      <c r="AE9" s="93"/>
      <c r="AG9" s="37">
        <f t="shared" si="7"/>
        <v>6.9664650000000004</v>
      </c>
      <c r="AH9" s="38">
        <f t="shared" si="8"/>
        <v>0.2976604109036966</v>
      </c>
      <c r="AI9" s="38">
        <f t="shared" si="9"/>
        <v>0.13043415272474726</v>
      </c>
      <c r="AJ9" s="38">
        <f t="shared" si="10"/>
        <v>0.11414179395589372</v>
      </c>
      <c r="AK9" s="38">
        <f t="shared" si="11"/>
        <v>0.16722198541778729</v>
      </c>
      <c r="AL9" s="35">
        <f t="shared" si="12"/>
        <v>3256202.6666666698</v>
      </c>
      <c r="AM9" s="38">
        <f t="shared" si="13"/>
        <v>0.30134523677871344</v>
      </c>
      <c r="AN9" s="76">
        <v>24659079</v>
      </c>
      <c r="AO9" s="76">
        <v>770596.21875</v>
      </c>
      <c r="AP9" s="76">
        <v>5628.0625</v>
      </c>
      <c r="AQ9" s="77">
        <v>7430896</v>
      </c>
      <c r="AR9" s="77">
        <v>2849474.6666666698</v>
      </c>
      <c r="AS9" s="77">
        <v>406728</v>
      </c>
      <c r="AT9" s="77">
        <v>4174586.6666666698</v>
      </c>
      <c r="AU9" s="78">
        <v>70.611321875000002</v>
      </c>
      <c r="AV9" s="78">
        <v>72.577865625000001</v>
      </c>
      <c r="AW9" s="78">
        <v>41.043900000000001</v>
      </c>
      <c r="AX9" s="78">
        <v>49.483112499999997</v>
      </c>
      <c r="AY9" s="78">
        <v>49.550815624999998</v>
      </c>
      <c r="AZ9" s="42"/>
      <c r="BA9" s="42"/>
      <c r="BB9" s="42"/>
      <c r="BC9" s="42"/>
      <c r="BE9" s="43">
        <f t="shared" si="14"/>
        <v>-5.8360320012667173E-3</v>
      </c>
      <c r="BF9" s="43">
        <f t="shared" si="15"/>
        <v>-3.2276690339321235E-2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-567264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2.0552100000000002</v>
      </c>
      <c r="J10" s="28">
        <f t="shared" si="1"/>
        <v>9.6766471760121001E-2</v>
      </c>
      <c r="K10" s="28">
        <f t="shared" si="2"/>
        <v>7.1226735621623627E-2</v>
      </c>
      <c r="L10" s="28">
        <f t="shared" si="3"/>
        <v>3.9123677853131492E-2</v>
      </c>
      <c r="M10" s="28">
        <f t="shared" si="4"/>
        <v>2.5535027788900041E-2</v>
      </c>
      <c r="N10" s="25">
        <f t="shared" si="5"/>
        <v>1613626.666666667</v>
      </c>
      <c r="O10" s="28">
        <f t="shared" si="6"/>
        <v>0.10503648806522674</v>
      </c>
      <c r="P10" s="86">
        <v>20871071</v>
      </c>
      <c r="Q10" s="86">
        <v>652220.96875</v>
      </c>
      <c r="R10" s="86">
        <v>18933.5625</v>
      </c>
      <c r="S10" s="87">
        <v>2192224</v>
      </c>
      <c r="T10" s="87">
        <v>886338.66666666698</v>
      </c>
      <c r="U10" s="87">
        <v>727288</v>
      </c>
      <c r="V10" s="87">
        <v>578490.66666666698</v>
      </c>
      <c r="W10" s="88">
        <v>65.969918750000005</v>
      </c>
      <c r="X10" s="88">
        <v>67.878562500000001</v>
      </c>
      <c r="Y10" s="88">
        <v>31.036003125000001</v>
      </c>
      <c r="Z10" s="88">
        <v>38.622875000000001</v>
      </c>
      <c r="AA10" s="88">
        <v>30.111215625</v>
      </c>
      <c r="AB10" s="89"/>
      <c r="AC10" s="89"/>
      <c r="AD10" s="89"/>
      <c r="AE10" s="89"/>
      <c r="AG10" s="27">
        <f t="shared" si="7"/>
        <v>2.1684600000000001</v>
      </c>
      <c r="AH10" s="28">
        <f t="shared" si="8"/>
        <v>0.10209867767914325</v>
      </c>
      <c r="AI10" s="28">
        <f t="shared" si="9"/>
        <v>7.7515207343871836E-2</v>
      </c>
      <c r="AJ10" s="28">
        <f t="shared" si="10"/>
        <v>3.8905092723073562E-2</v>
      </c>
      <c r="AK10" s="28">
        <f t="shared" si="11"/>
        <v>2.4578761985674064E-2</v>
      </c>
      <c r="AL10" s="25">
        <f t="shared" si="12"/>
        <v>1756090.666666667</v>
      </c>
      <c r="AM10" s="28">
        <f t="shared" si="13"/>
        <v>0.12030343613319122</v>
      </c>
      <c r="AN10" s="73">
        <v>19226583</v>
      </c>
      <c r="AO10" s="73">
        <v>600830.71875</v>
      </c>
      <c r="AP10" s="73">
        <v>5450.4375</v>
      </c>
      <c r="AQ10" s="74">
        <v>2313024</v>
      </c>
      <c r="AR10" s="74">
        <v>881386.66666666698</v>
      </c>
      <c r="AS10" s="74">
        <v>874704</v>
      </c>
      <c r="AT10" s="74">
        <v>556826.66666666698</v>
      </c>
      <c r="AU10" s="75">
        <v>65.623559374999999</v>
      </c>
      <c r="AV10" s="75">
        <v>67.806268750000001</v>
      </c>
      <c r="AW10" s="75">
        <v>30.945134374999999</v>
      </c>
      <c r="AX10" s="75">
        <v>38.583837500000001</v>
      </c>
      <c r="AY10" s="75">
        <v>30.033425000000001</v>
      </c>
      <c r="AZ10" s="32"/>
      <c r="BA10" s="32"/>
      <c r="BB10" s="32"/>
      <c r="BC10" s="32"/>
      <c r="BE10" s="33">
        <f t="shared" si="14"/>
        <v>-1.995786524962475E-2</v>
      </c>
      <c r="BF10" s="33">
        <f t="shared" si="15"/>
        <v>2.3150190095359124E-2</v>
      </c>
      <c r="BG10" s="33">
        <f t="array" ref="BG10">AVERAGE(AL10:AL14/AQ10:AQ14) - AVERAGE(N10:N14/S10:S14)</f>
        <v>1.7480341744913641E-2</v>
      </c>
      <c r="BI10" s="34">
        <f>IF( OR(ISBLANK(N10:N14),ISBLANK(AL10:AL14), ISBLANK(W10:W14),ISBLANK(AU10:AU14)), "·", bdRateExtend( N10:N14,W10:W14, AL10:AL14,AU10:AU14))</f>
        <v>0.22657313450477412</v>
      </c>
      <c r="BJ10" s="34">
        <f>IF( OR(ISBLANK(N10:N14),ISBLANK(AL10:AL14), ISBLANK(X10:X14),ISBLANK(AV10:AV14)), "·", bdRateExtend( N10:N14,X10:X14, AL10:AL14,AV10:AV14))</f>
        <v>0.20320753366993727</v>
      </c>
      <c r="BK10" s="34">
        <f>IF( OR(ISBLANK(V10:V14),ISBLANK(AT10:AT14), ISBLANK(Y10:Y14),ISBLANK(AW10:AW14)), "·", bdRateExtend( V10:V14,Y10:Y14, AT10:AT14,AW10:AW14))</f>
        <v>-7.7458055986640018E-3</v>
      </c>
      <c r="BL10" s="34">
        <f>IF( OR(ISBLANK(V10:V14),ISBLANK(AT10:AT14), ISBLANK(Z10:Z14),ISBLANK(AX10:AX14)), "·", bdRateExtend( V10:V14,Z10:Z14, AT10:AT14,AX10:AX14))</f>
        <v>-2.1178358937786856E-2</v>
      </c>
      <c r="BM10" s="34">
        <f>IF( OR(ISBLANK(V10:V14),ISBLANK(AT10:AT14), ISBLANK(AA10:AA14),ISBLANK(AY10:AY14)), "·", bdRateExtend( V10:V14,AA10:AA14, AT10:AT14,AY10:AY14))</f>
        <v>-1.2397241483202426E-2</v>
      </c>
      <c r="BO10" s="34">
        <f>IF( OR(ISBLANK(S10:S14),ISBLANK(AQ10:AQ14), ISBLANK(W10:W14),ISBLANK(AU10:AU14)), "·", bdRateExtend( S10:S14,W10:W14, AQ10:AQ14,AU10:AU14))</f>
        <v>0.27848639796295083</v>
      </c>
      <c r="BP10" s="34">
        <f>IF( OR(ISBLANK(S10:S14),ISBLANK(AQ10:AQ14), ISBLANK(X10:X14),ISBLANK(AV10:AV14)), "·", bdRateExtend( S10:S14,X10:X14, AQ10:AQ14,AV10:AV14))</f>
        <v>0.24068736012458869</v>
      </c>
      <c r="BQ10" s="34">
        <f>IF( OR(ISBLANK(S10:S14),ISBLANK(AQ10:AQ14), ISBLANK(Y10:Y14),ISBLANK(AW10:AW14)), "·", bdRateExtend( S10:S14,Y10:Y14, AQ10:AQ14,AW10:AW14))</f>
        <v>3.6509620615008176E-2</v>
      </c>
      <c r="BR10" s="34">
        <f>IF( OR(ISBLANK(S10:S14),ISBLANK(AQ10:AQ14), ISBLANK(Z10:Z14),ISBLANK(AX10:AX14)), "·", bdRateExtend( S10:S14,Z10:Z14, AQ10:AQ14,AX10:AX14))</f>
        <v>2.6228608210576709E-2</v>
      </c>
      <c r="BS10" s="34">
        <f>IF( OR(ISBLANK(S10:S14),ISBLANK(AQ10:AQ14), ISBLANK(AA10:AA14),ISBLANK(AY10:AY14)), "·", bdRateExtend( S10:S14,AA10:AA14, AQ10:AQ14,AY10:AY14))</f>
        <v>3.531165617353782E-2</v>
      </c>
      <c r="BU10" s="4">
        <f t="shared" si="16"/>
        <v>120800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2.7926774999999999</v>
      </c>
      <c r="J11" s="18">
        <f t="shared" si="1"/>
        <v>0.13148901982711028</v>
      </c>
      <c r="K11" s="18">
        <f t="shared" si="2"/>
        <v>8.6264262565706087E-2</v>
      </c>
      <c r="L11" s="18">
        <f t="shared" si="3"/>
        <v>5.4161204797213959E-2</v>
      </c>
      <c r="M11" s="18">
        <f t="shared" si="4"/>
        <v>4.5220048911807122E-2</v>
      </c>
      <c r="N11" s="15">
        <f t="shared" si="5"/>
        <v>1954298.66666667</v>
      </c>
      <c r="O11" s="18">
        <f t="shared" si="6"/>
        <v>0.13310806493342264</v>
      </c>
      <c r="P11" s="82">
        <v>22379230</v>
      </c>
      <c r="Q11" s="82">
        <v>699350.9375</v>
      </c>
      <c r="R11" s="82">
        <v>24081.75</v>
      </c>
      <c r="S11" s="83">
        <v>2978856</v>
      </c>
      <c r="T11" s="83">
        <v>1227010.66666667</v>
      </c>
      <c r="U11" s="83">
        <v>727288</v>
      </c>
      <c r="V11" s="83">
        <v>1024450.66666667</v>
      </c>
      <c r="W11" s="84">
        <v>67.698618749999994</v>
      </c>
      <c r="X11" s="84">
        <v>69.777518749999999</v>
      </c>
      <c r="Y11" s="84">
        <v>32.909609375000002</v>
      </c>
      <c r="Z11" s="84">
        <v>39.656315624999998</v>
      </c>
      <c r="AA11" s="84">
        <v>32.299137500000001</v>
      </c>
      <c r="AB11" s="85"/>
      <c r="AC11" s="85"/>
      <c r="AD11" s="85"/>
      <c r="AE11" s="85"/>
      <c r="AG11" s="17">
        <f t="shared" si="7"/>
        <v>2.872185</v>
      </c>
      <c r="AH11" s="18">
        <f t="shared" si="8"/>
        <v>0.13523251088323973</v>
      </c>
      <c r="AI11" s="18">
        <f t="shared" si="9"/>
        <v>9.234827420668848E-2</v>
      </c>
      <c r="AJ11" s="18">
        <f t="shared" si="10"/>
        <v>5.3738159585890205E-2</v>
      </c>
      <c r="AK11" s="18">
        <f t="shared" si="11"/>
        <v>4.2879528326954047E-2</v>
      </c>
      <c r="AL11" s="15">
        <f t="shared" si="12"/>
        <v>2092130.66666667</v>
      </c>
      <c r="AM11" s="18">
        <f t="shared" si="13"/>
        <v>0.14950897215656087</v>
      </c>
      <c r="AN11" s="70">
        <v>20491506</v>
      </c>
      <c r="AO11" s="70">
        <v>640359.5625</v>
      </c>
      <c r="AP11" s="70">
        <v>6388.6875</v>
      </c>
      <c r="AQ11" s="71">
        <v>3063664</v>
      </c>
      <c r="AR11" s="71">
        <v>1217426.66666667</v>
      </c>
      <c r="AS11" s="71">
        <v>874704</v>
      </c>
      <c r="AT11" s="71">
        <v>971426.66666666698</v>
      </c>
      <c r="AU11" s="72">
        <v>67.154240625</v>
      </c>
      <c r="AV11" s="72">
        <v>69.368056249999995</v>
      </c>
      <c r="AW11" s="72">
        <v>32.764625000000002</v>
      </c>
      <c r="AX11" s="72">
        <v>39.596512500000003</v>
      </c>
      <c r="AY11" s="72">
        <v>32.173515625</v>
      </c>
      <c r="AZ11" s="22"/>
      <c r="BA11" s="22"/>
      <c r="BB11" s="22"/>
      <c r="BC11" s="22"/>
      <c r="BE11" s="23">
        <f t="shared" si="14"/>
        <v>-2.4457709574860192E-2</v>
      </c>
      <c r="BF11" s="23">
        <f t="shared" si="15"/>
        <v>2.6828378324660118E-2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84808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3.956655</v>
      </c>
      <c r="J12" s="28">
        <f t="shared" si="1"/>
        <v>0.18629314976184505</v>
      </c>
      <c r="K12" s="28">
        <f t="shared" si="2"/>
        <v>0.10819763833009743</v>
      </c>
      <c r="L12" s="28">
        <f t="shared" si="3"/>
        <v>7.6094580561605313E-2</v>
      </c>
      <c r="M12" s="28">
        <f t="shared" si="4"/>
        <v>7.8090803082150537E-2</v>
      </c>
      <c r="N12" s="25">
        <f t="shared" si="5"/>
        <v>2451194.6666666698</v>
      </c>
      <c r="O12" s="28">
        <f t="shared" si="6"/>
        <v>0.18578370158761015</v>
      </c>
      <c r="P12" s="86">
        <v>22716912</v>
      </c>
      <c r="Q12" s="86">
        <v>709903.5</v>
      </c>
      <c r="R12" s="86">
        <v>25579.28125</v>
      </c>
      <c r="S12" s="87">
        <v>4220432</v>
      </c>
      <c r="T12" s="87">
        <v>1723906.66666667</v>
      </c>
      <c r="U12" s="87">
        <v>727288</v>
      </c>
      <c r="V12" s="87">
        <v>1769130.66666667</v>
      </c>
      <c r="W12" s="88">
        <v>69.047799999999995</v>
      </c>
      <c r="X12" s="88">
        <v>71.398093750000001</v>
      </c>
      <c r="Y12" s="88">
        <v>34.942528125000003</v>
      </c>
      <c r="Z12" s="88">
        <v>40.653209375000003</v>
      </c>
      <c r="AA12" s="88">
        <v>34.211896875000001</v>
      </c>
      <c r="AB12" s="89"/>
      <c r="AC12" s="89"/>
      <c r="AD12" s="89"/>
      <c r="AE12" s="89"/>
      <c r="AG12" s="27">
        <f t="shared" si="7"/>
        <v>3.9861974999999998</v>
      </c>
      <c r="AH12" s="28">
        <f t="shared" si="8"/>
        <v>0.18768411394164827</v>
      </c>
      <c r="AI12" s="28">
        <f t="shared" si="9"/>
        <v>0.11439359098275732</v>
      </c>
      <c r="AJ12" s="28">
        <f t="shared" si="10"/>
        <v>7.5783476361959048E-2</v>
      </c>
      <c r="AK12" s="28">
        <f t="shared" si="11"/>
        <v>7.328581460929387E-2</v>
      </c>
      <c r="AL12" s="25">
        <f t="shared" si="12"/>
        <v>2591562.6666666698</v>
      </c>
      <c r="AM12" s="28">
        <f t="shared" si="13"/>
        <v>0.20429775685123616</v>
      </c>
      <c r="AN12" s="73">
        <v>20812485</v>
      </c>
      <c r="AO12" s="73">
        <v>650390.15625</v>
      </c>
      <c r="AP12" s="73">
        <v>6392.34375</v>
      </c>
      <c r="AQ12" s="74">
        <v>4251944</v>
      </c>
      <c r="AR12" s="74">
        <v>1716858.66666667</v>
      </c>
      <c r="AS12" s="74">
        <v>874704</v>
      </c>
      <c r="AT12" s="74">
        <v>1660274.66666667</v>
      </c>
      <c r="AU12" s="75">
        <v>68.325725000000006</v>
      </c>
      <c r="AV12" s="75">
        <v>70.747349999999997</v>
      </c>
      <c r="AW12" s="75">
        <v>34.782162499999998</v>
      </c>
      <c r="AX12" s="75">
        <v>40.599134374999998</v>
      </c>
      <c r="AY12" s="75">
        <v>34.077359375</v>
      </c>
      <c r="AZ12" s="32"/>
      <c r="BA12" s="32"/>
      <c r="BB12" s="32"/>
      <c r="BC12" s="32"/>
      <c r="BE12" s="33">
        <f t="shared" si="14"/>
        <v>-2.6203578452468693E-2</v>
      </c>
      <c r="BF12" s="33">
        <f t="shared" si="15"/>
        <v>2.8708296984414461E-2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31512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6.4486724999999998</v>
      </c>
      <c r="J13" s="18">
        <f t="shared" si="1"/>
        <v>0.3036260456895008</v>
      </c>
      <c r="K13" s="18">
        <f t="shared" si="2"/>
        <v>0.14838410839609539</v>
      </c>
      <c r="L13" s="18">
        <f t="shared" si="3"/>
        <v>0.11628105062760327</v>
      </c>
      <c r="M13" s="18">
        <f t="shared" si="4"/>
        <v>0.15523722894380829</v>
      </c>
      <c r="N13" s="15">
        <f t="shared" si="5"/>
        <v>3361610.6666666698</v>
      </c>
      <c r="O13" s="18">
        <f t="shared" si="6"/>
        <v>0.2910484105527783</v>
      </c>
      <c r="P13" s="82">
        <v>23633814</v>
      </c>
      <c r="Q13" s="82">
        <v>738556.6875</v>
      </c>
      <c r="R13" s="82">
        <v>29497.75</v>
      </c>
      <c r="S13" s="83">
        <v>6878584</v>
      </c>
      <c r="T13" s="83">
        <v>2634322.6666666698</v>
      </c>
      <c r="U13" s="83">
        <v>727288</v>
      </c>
      <c r="V13" s="83">
        <v>3516866.6666666698</v>
      </c>
      <c r="W13" s="84">
        <v>70.054337500000003</v>
      </c>
      <c r="X13" s="84">
        <v>72.592015625000002</v>
      </c>
      <c r="Y13" s="84">
        <v>37.139621875000003</v>
      </c>
      <c r="Z13" s="84">
        <v>41.702190625</v>
      </c>
      <c r="AA13" s="84">
        <v>36.228109375000003</v>
      </c>
      <c r="AB13" s="85"/>
      <c r="AC13" s="85"/>
      <c r="AD13" s="85"/>
      <c r="AE13" s="85"/>
      <c r="AG13" s="17">
        <f t="shared" si="7"/>
        <v>6.3236175000000001</v>
      </c>
      <c r="AH13" s="18">
        <f t="shared" si="8"/>
        <v>0.29773801910050895</v>
      </c>
      <c r="AI13" s="18">
        <f t="shared" si="9"/>
        <v>0.15401505909707081</v>
      </c>
      <c r="AJ13" s="18">
        <f t="shared" si="10"/>
        <v>0.11540494447627253</v>
      </c>
      <c r="AK13" s="18">
        <f t="shared" si="11"/>
        <v>0.14371825165384103</v>
      </c>
      <c r="AL13" s="15">
        <f t="shared" si="12"/>
        <v>3489178.6666666698</v>
      </c>
      <c r="AM13" s="18">
        <f t="shared" si="13"/>
        <v>0.31085461432451028</v>
      </c>
      <c r="AN13" s="70">
        <v>21698864</v>
      </c>
      <c r="AO13" s="70">
        <v>678089.5</v>
      </c>
      <c r="AP13" s="70">
        <v>7605.59375</v>
      </c>
      <c r="AQ13" s="71">
        <v>6745192</v>
      </c>
      <c r="AR13" s="71">
        <v>2614474.6666666698</v>
      </c>
      <c r="AS13" s="71">
        <v>874704</v>
      </c>
      <c r="AT13" s="71">
        <v>3255906.6666666698</v>
      </c>
      <c r="AU13" s="72">
        <v>69.288996874999995</v>
      </c>
      <c r="AV13" s="72">
        <v>71.640746875000005</v>
      </c>
      <c r="AW13" s="72">
        <v>36.934268750000001</v>
      </c>
      <c r="AX13" s="72">
        <v>41.625384375000003</v>
      </c>
      <c r="AY13" s="72">
        <v>36.045625000000001</v>
      </c>
      <c r="AZ13" s="22"/>
      <c r="BA13" s="22"/>
      <c r="BB13" s="22"/>
      <c r="BC13" s="22"/>
      <c r="BE13" s="23">
        <f t="shared" si="14"/>
        <v>-2.8723514360926419E-2</v>
      </c>
      <c r="BF13" s="23">
        <f t="shared" si="15"/>
        <v>2.8577033146193698E-2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-133392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13.0901175</v>
      </c>
      <c r="J14" s="48">
        <f t="shared" si="1"/>
        <v>0.61632849460659289</v>
      </c>
      <c r="K14" s="48">
        <f t="shared" si="2"/>
        <v>0.24839651636864371</v>
      </c>
      <c r="L14" s="48">
        <f t="shared" si="3"/>
        <v>0.1863416457626981</v>
      </c>
      <c r="M14" s="48">
        <f t="shared" si="4"/>
        <v>0.36792726988835206</v>
      </c>
      <c r="N14" s="45">
        <f t="shared" si="5"/>
        <v>5627370.6666666698</v>
      </c>
      <c r="O14" s="48">
        <f t="shared" si="6"/>
        <v>0.62316032637074548</v>
      </c>
      <c r="P14" s="94">
        <v>22406420</v>
      </c>
      <c r="Q14" s="94">
        <v>700200.625</v>
      </c>
      <c r="R14" s="94">
        <v>13452.625</v>
      </c>
      <c r="S14" s="95">
        <v>13962792</v>
      </c>
      <c r="T14" s="95">
        <v>4221530.6666666698</v>
      </c>
      <c r="U14" s="95">
        <v>1405840</v>
      </c>
      <c r="V14" s="95">
        <v>8335314.6666666698</v>
      </c>
      <c r="W14" s="96">
        <v>71.156053125</v>
      </c>
      <c r="X14" s="96">
        <v>74.73165625</v>
      </c>
      <c r="Y14" s="96">
        <v>39.604943749999997</v>
      </c>
      <c r="Z14" s="96">
        <v>43.019550000000002</v>
      </c>
      <c r="AA14" s="96">
        <v>38.466506250000002</v>
      </c>
      <c r="AB14" s="97"/>
      <c r="AC14" s="97"/>
      <c r="AD14" s="97"/>
      <c r="AE14" s="97"/>
      <c r="AG14" s="47">
        <f t="shared" si="7"/>
        <v>12.411637499999999</v>
      </c>
      <c r="AH14" s="48">
        <f t="shared" si="8"/>
        <v>0.58438328425835262</v>
      </c>
      <c r="AI14" s="48">
        <f t="shared" si="9"/>
        <v>0.22391462867593556</v>
      </c>
      <c r="AJ14" s="48">
        <f t="shared" si="10"/>
        <v>0.18530451405513729</v>
      </c>
      <c r="AK14" s="48">
        <f t="shared" si="11"/>
        <v>0.36046394723281994</v>
      </c>
      <c r="AL14" s="45">
        <f t="shared" si="12"/>
        <v>5072738.6666666698</v>
      </c>
      <c r="AM14" s="48">
        <f t="shared" si="13"/>
        <v>0.60346296032005453</v>
      </c>
      <c r="AN14" s="79">
        <v>21938513</v>
      </c>
      <c r="AO14" s="79">
        <v>685578.53125</v>
      </c>
      <c r="AP14" s="79">
        <v>8207.3125</v>
      </c>
      <c r="AQ14" s="80">
        <v>13239080</v>
      </c>
      <c r="AR14" s="80">
        <v>4198034.6666666698</v>
      </c>
      <c r="AS14" s="80">
        <v>874704</v>
      </c>
      <c r="AT14" s="80">
        <v>8166234.6666666698</v>
      </c>
      <c r="AU14" s="81">
        <v>70.155515625000007</v>
      </c>
      <c r="AV14" s="81">
        <v>72.615659375000007</v>
      </c>
      <c r="AW14" s="81">
        <v>39.474400000000003</v>
      </c>
      <c r="AX14" s="81">
        <v>42.982503125000001</v>
      </c>
      <c r="AY14" s="81">
        <v>38.355553125</v>
      </c>
      <c r="AZ14" s="52"/>
      <c r="BA14" s="52"/>
      <c r="BB14" s="52"/>
      <c r="BC14" s="52"/>
      <c r="BE14" s="53">
        <f t="shared" si="14"/>
        <v>-7.2411618357477656E-3</v>
      </c>
      <c r="BF14" s="53">
        <f t="shared" si="15"/>
        <v>-1.9862189826059085E-2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-723712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1.9025475000000001</v>
      </c>
      <c r="J15" s="18">
        <f t="shared" si="1"/>
        <v>5.9779688284202194E-2</v>
      </c>
      <c r="K15" s="18">
        <f t="shared" si="2"/>
        <v>4.9229190211450058E-2</v>
      </c>
      <c r="L15" s="18">
        <f t="shared" si="3"/>
        <v>2.5807527524137765E-2</v>
      </c>
      <c r="M15" s="18">
        <f t="shared" si="4"/>
        <v>1.054735598624529E-2</v>
      </c>
      <c r="N15" s="15">
        <f t="shared" si="5"/>
        <v>1671218.666666667</v>
      </c>
      <c r="O15" s="18">
        <f t="shared" si="6"/>
        <v>6.2234520252368579E-2</v>
      </c>
      <c r="P15" s="82">
        <v>32608655</v>
      </c>
      <c r="Q15" s="82">
        <v>1019020.46875</v>
      </c>
      <c r="R15" s="82">
        <v>33932.375</v>
      </c>
      <c r="S15" s="83">
        <v>2029384</v>
      </c>
      <c r="T15" s="83">
        <v>876106.66666666698</v>
      </c>
      <c r="U15" s="83">
        <v>795112</v>
      </c>
      <c r="V15" s="83">
        <v>358058.66666666698</v>
      </c>
      <c r="W15" s="84">
        <v>66.342974999999996</v>
      </c>
      <c r="X15" s="84">
        <v>67.898153124999993</v>
      </c>
      <c r="Y15" s="84">
        <v>29.318606249999998</v>
      </c>
      <c r="Z15" s="84">
        <v>43.358424999999997</v>
      </c>
      <c r="AA15" s="84">
        <v>43.505356249999998</v>
      </c>
      <c r="AB15" s="85"/>
      <c r="AC15" s="85"/>
      <c r="AD15" s="85"/>
      <c r="AE15" s="85"/>
      <c r="AG15" s="17">
        <f t="shared" si="7"/>
        <v>1.8447</v>
      </c>
      <c r="AH15" s="18">
        <f t="shared" si="8"/>
        <v>5.7962069792143321E-2</v>
      </c>
      <c r="AI15" s="18">
        <f t="shared" si="9"/>
        <v>4.7784615939918756E-2</v>
      </c>
      <c r="AJ15" s="18">
        <f t="shared" si="10"/>
        <v>2.581271196687409E-2</v>
      </c>
      <c r="AK15" s="18">
        <f t="shared" si="11"/>
        <v>1.0174311765717713E-2</v>
      </c>
      <c r="AL15" s="15">
        <f t="shared" si="12"/>
        <v>1622178.666666667</v>
      </c>
      <c r="AM15" s="18">
        <f t="shared" si="13"/>
        <v>6.556724809859879E-2</v>
      </c>
      <c r="AN15" s="70">
        <v>30010105</v>
      </c>
      <c r="AO15" s="70">
        <v>937815.78125</v>
      </c>
      <c r="AP15" s="70">
        <v>10274.78125</v>
      </c>
      <c r="AQ15" s="71">
        <v>1967680</v>
      </c>
      <c r="AR15" s="71">
        <v>876282.66666666698</v>
      </c>
      <c r="AS15" s="71">
        <v>745896</v>
      </c>
      <c r="AT15" s="71">
        <v>345394.66666666698</v>
      </c>
      <c r="AU15" s="72">
        <v>66.071275</v>
      </c>
      <c r="AV15" s="72">
        <v>67.750825000000006</v>
      </c>
      <c r="AW15" s="72">
        <v>29.172646875000002</v>
      </c>
      <c r="AX15" s="72">
        <v>43.276249999999997</v>
      </c>
      <c r="AY15" s="72">
        <v>43.534681249999998</v>
      </c>
      <c r="AZ15" s="22"/>
      <c r="BA15" s="22"/>
      <c r="BB15" s="22"/>
      <c r="BC15" s="22"/>
      <c r="BE15" s="23">
        <f t="shared" si="14"/>
        <v>-2.2342935884467209E-2</v>
      </c>
      <c r="BF15" s="23">
        <f t="shared" si="15"/>
        <v>9.0150876553107828E-4</v>
      </c>
      <c r="BG15" s="23">
        <f t="array" ref="BG15">AVERAGE(AL15:AL19/AQ15:AQ19) - AVERAGE(N15:N19/S15:S19)</f>
        <v>1.6846097666693982E-3</v>
      </c>
      <c r="BI15" s="24">
        <f>IF( OR(ISBLANK(N15:N19),ISBLANK(AL15:AL19), ISBLANK(W15:W19),ISBLANK(AU15:AU19)), "·", bdRateExtend( N15:N19,W15:W19, AL15:AL19,AU15:AU19))</f>
        <v>8.5152043645848385E-2</v>
      </c>
      <c r="BJ15" s="24">
        <f>IF( OR(ISBLANK(N15:N19),ISBLANK(AL15:AL19), ISBLANK(X15:X19),ISBLANK(AV15:AV19)), "·", bdRateExtend( N15:N19,X15:X19, AL15:AL19,AV15:AV19))</f>
        <v>0.11622003868425335</v>
      </c>
      <c r="BK15" s="24">
        <f>IF( OR(ISBLANK(V15:V19),ISBLANK(AT15:AT19), ISBLANK(Y15:Y19),ISBLANK(AW15:AW19)), "·", bdRateExtend( V15:V19,Y15:Y19, AT15:AT19,AW15:AW19))</f>
        <v>2.5743568978322529E-3</v>
      </c>
      <c r="BL15" s="24">
        <f>IF( OR(ISBLANK(V15:V19),ISBLANK(AT15:AT19), ISBLANK(Z15:Z19),ISBLANK(AX15:AX19)), "·", bdRateExtend( V15:V19,Z15:Z19, AT15:AT19,AX15:AX19))</f>
        <v>-7.5390947467935843E-2</v>
      </c>
      <c r="BM15" s="24">
        <f>IF( OR(ISBLANK(V15:V19),ISBLANK(AT15:AT19), ISBLANK(AA15:AA19),ISBLANK(AY15:AY19)), "·", bdRateExtend( V15:V19,AA15:AA19, AT15:AT19,AY15:AY19))</f>
        <v>-7.6336973199666813E-2</v>
      </c>
      <c r="BO15" s="24">
        <f>IF( OR(ISBLANK(S15:S19),ISBLANK(AQ15:AQ19), ISBLANK(W15:W19),ISBLANK(AU15:AU19)), "·", bdRateExtend( S15:S19,W15:W19, AQ15:AQ19,AU15:AU19))</f>
        <v>0.16872659568822579</v>
      </c>
      <c r="BP15" s="24">
        <f>IF( OR(ISBLANK(S15:S19),ISBLANK(AQ15:AQ19), ISBLANK(X15:X19),ISBLANK(AV15:AV19)), "·", bdRateExtend( S15:S19,X15:X19, AQ15:AQ19,AV15:AV19))</f>
        <v>0.23100374498044096</v>
      </c>
      <c r="BQ15" s="24">
        <f>IF( OR(ISBLANK(S15:S19),ISBLANK(AQ15:AQ19), ISBLANK(Y15:Y19),ISBLANK(AW15:AW19)), "·", bdRateExtend( S15:S19,Y15:Y19, AQ15:AQ19,AW15:AW19))</f>
        <v>-4.2245736546383528E-3</v>
      </c>
      <c r="BR15" s="24">
        <f>IF( OR(ISBLANK(S15:S19),ISBLANK(AQ15:AQ19), ISBLANK(Z15:Z19),ISBLANK(AX15:AX19)), "·", bdRateExtend( S15:S19,Z15:Z19, AQ15:AQ19,AX15:AX19))</f>
        <v>-5.7444836774015573E-2</v>
      </c>
      <c r="BS15" s="24">
        <f>IF( OR(ISBLANK(S15:S19),ISBLANK(AQ15:AQ19), ISBLANK(AA15:AA19),ISBLANK(AY15:AY19)), "·", bdRateExtend( S15:S19,AA15:AA19, AQ15:AQ19,AY15:AY19))</f>
        <v>-5.517686997667437E-2</v>
      </c>
      <c r="BU15" s="4">
        <f t="shared" si="16"/>
        <v>-61704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2.4427275000000002</v>
      </c>
      <c r="J16" s="28">
        <f t="shared" si="1"/>
        <v>7.6752611176986923E-2</v>
      </c>
      <c r="K16" s="28">
        <f t="shared" si="2"/>
        <v>5.7445353666089424E-2</v>
      </c>
      <c r="L16" s="28">
        <f t="shared" si="3"/>
        <v>3.4023690978777131E-2</v>
      </c>
      <c r="M16" s="28">
        <f t="shared" si="4"/>
        <v>1.9304115424390735E-2</v>
      </c>
      <c r="N16" s="25">
        <f t="shared" si="5"/>
        <v>1950138.66666667</v>
      </c>
      <c r="O16" s="28">
        <f t="shared" si="6"/>
        <v>7.6399650322358709E-2</v>
      </c>
      <c r="P16" s="86">
        <v>34104554</v>
      </c>
      <c r="Q16" s="86">
        <v>1065767.3125</v>
      </c>
      <c r="R16" s="86">
        <v>39391.28125</v>
      </c>
      <c r="S16" s="87">
        <v>2605576</v>
      </c>
      <c r="T16" s="87">
        <v>1155026.66666667</v>
      </c>
      <c r="U16" s="87">
        <v>795112</v>
      </c>
      <c r="V16" s="87">
        <v>655330.66666666698</v>
      </c>
      <c r="W16" s="88">
        <v>68.094181250000005</v>
      </c>
      <c r="X16" s="88">
        <v>70.090278124999998</v>
      </c>
      <c r="Y16" s="88">
        <v>31.73281875</v>
      </c>
      <c r="Z16" s="88">
        <v>43.915612500000002</v>
      </c>
      <c r="AA16" s="88">
        <v>44.425890625000001</v>
      </c>
      <c r="AB16" s="89"/>
      <c r="AC16" s="89"/>
      <c r="AD16" s="89"/>
      <c r="AE16" s="89"/>
      <c r="AG16" s="27">
        <f t="shared" si="7"/>
        <v>2.3584350000000001</v>
      </c>
      <c r="AH16" s="28">
        <f t="shared" si="8"/>
        <v>7.4104067908187521E-2</v>
      </c>
      <c r="AI16" s="28">
        <f t="shared" si="9"/>
        <v>5.5809426326290032E-2</v>
      </c>
      <c r="AJ16" s="28">
        <f t="shared" si="10"/>
        <v>3.3837522353245365E-2</v>
      </c>
      <c r="AK16" s="28">
        <f t="shared" si="11"/>
        <v>1.8291499495390735E-2</v>
      </c>
      <c r="AL16" s="25">
        <f t="shared" si="12"/>
        <v>1894602.66666667</v>
      </c>
      <c r="AM16" s="28">
        <f t="shared" si="13"/>
        <v>8.0472684703400632E-2</v>
      </c>
      <c r="AN16" s="73">
        <v>31261092</v>
      </c>
      <c r="AO16" s="73">
        <v>976909.125</v>
      </c>
      <c r="AP16" s="73">
        <v>10553.1875</v>
      </c>
      <c r="AQ16" s="74">
        <v>2515664</v>
      </c>
      <c r="AR16" s="74">
        <v>1148706.66666667</v>
      </c>
      <c r="AS16" s="74">
        <v>745896</v>
      </c>
      <c r="AT16" s="74">
        <v>620954.66666666698</v>
      </c>
      <c r="AU16" s="75">
        <v>67.657890624999993</v>
      </c>
      <c r="AV16" s="75">
        <v>69.525703125000007</v>
      </c>
      <c r="AW16" s="75">
        <v>31.54515</v>
      </c>
      <c r="AX16" s="75">
        <v>43.902009374999999</v>
      </c>
      <c r="AY16" s="75">
        <v>44.428062500000003</v>
      </c>
      <c r="AZ16" s="32"/>
      <c r="BA16" s="32"/>
      <c r="BB16" s="32"/>
      <c r="BC16" s="32"/>
      <c r="BE16" s="33">
        <f t="shared" si="14"/>
        <v>-2.6157859534807641E-2</v>
      </c>
      <c r="BF16" s="33">
        <f t="shared" si="15"/>
        <v>4.6741037520375839E-3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-89912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3.4026225000000001</v>
      </c>
      <c r="J17" s="18">
        <f t="shared" si="1"/>
        <v>0.10691334245206113</v>
      </c>
      <c r="K17" s="18">
        <f t="shared" si="2"/>
        <v>6.7353295048187614E-2</v>
      </c>
      <c r="L17" s="18">
        <f t="shared" si="3"/>
        <v>4.3931632360875335E-2</v>
      </c>
      <c r="M17" s="18">
        <f t="shared" si="4"/>
        <v>3.9556905317366838E-2</v>
      </c>
      <c r="N17" s="15">
        <f t="shared" si="5"/>
        <v>2286490.6666666698</v>
      </c>
      <c r="O17" s="18">
        <f t="shared" si="6"/>
        <v>0.10600119007558505</v>
      </c>
      <c r="P17" s="82">
        <v>34239842</v>
      </c>
      <c r="Q17" s="82">
        <v>1069995.0625</v>
      </c>
      <c r="R17" s="82">
        <v>40498.25</v>
      </c>
      <c r="S17" s="83">
        <v>3629464</v>
      </c>
      <c r="T17" s="83">
        <v>1491378.66666667</v>
      </c>
      <c r="U17" s="83">
        <v>795112</v>
      </c>
      <c r="V17" s="83">
        <v>1342866.66666667</v>
      </c>
      <c r="W17" s="84">
        <v>69.468378125000001</v>
      </c>
      <c r="X17" s="84">
        <v>71.867181250000002</v>
      </c>
      <c r="Y17" s="84">
        <v>34.163890625000001</v>
      </c>
      <c r="Z17" s="84">
        <v>45.253209374999997</v>
      </c>
      <c r="AA17" s="84">
        <v>45.705962499999998</v>
      </c>
      <c r="AB17" s="85"/>
      <c r="AC17" s="85"/>
      <c r="AD17" s="85"/>
      <c r="AE17" s="85"/>
      <c r="AG17" s="17">
        <f t="shared" si="7"/>
        <v>3.2407724999999998</v>
      </c>
      <c r="AH17" s="18">
        <f t="shared" si="8"/>
        <v>0.10182787544069972</v>
      </c>
      <c r="AI17" s="18">
        <f t="shared" si="9"/>
        <v>6.5426331945689836E-2</v>
      </c>
      <c r="AJ17" s="18">
        <f t="shared" si="10"/>
        <v>4.345442797264517E-2</v>
      </c>
      <c r="AK17" s="18">
        <f t="shared" si="11"/>
        <v>3.6398401408503214E-2</v>
      </c>
      <c r="AL17" s="15">
        <f t="shared" si="12"/>
        <v>2221074.6666666698</v>
      </c>
      <c r="AM17" s="18">
        <f t="shared" si="13"/>
        <v>0.10993469031725962</v>
      </c>
      <c r="AN17" s="70">
        <v>31444342</v>
      </c>
      <c r="AO17" s="70">
        <v>982635.6875</v>
      </c>
      <c r="AP17" s="70">
        <v>9633.6875</v>
      </c>
      <c r="AQ17" s="71">
        <v>3456824</v>
      </c>
      <c r="AR17" s="71">
        <v>1475178.66666667</v>
      </c>
      <c r="AS17" s="71">
        <v>745896</v>
      </c>
      <c r="AT17" s="71">
        <v>1235642.66666667</v>
      </c>
      <c r="AU17" s="72">
        <v>68.874890625000006</v>
      </c>
      <c r="AV17" s="72">
        <v>70.959215624999999</v>
      </c>
      <c r="AW17" s="72">
        <v>33.932896874999997</v>
      </c>
      <c r="AX17" s="72">
        <v>45.186959375000001</v>
      </c>
      <c r="AY17" s="72">
        <v>45.680406249999997</v>
      </c>
      <c r="AZ17" s="22"/>
      <c r="BA17" s="22"/>
      <c r="BB17" s="22"/>
      <c r="BC17" s="22"/>
      <c r="BE17" s="23">
        <f t="shared" si="14"/>
        <v>-2.8045080495771958E-2</v>
      </c>
      <c r="BF17" s="23">
        <f t="shared" si="15"/>
        <v>1.2538616868974284E-2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-172640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6.1873874999999998</v>
      </c>
      <c r="J18" s="28">
        <f t="shared" si="1"/>
        <v>0.19441306776496731</v>
      </c>
      <c r="K18" s="28">
        <f t="shared" si="2"/>
        <v>9.5223209603269049E-2</v>
      </c>
      <c r="L18" s="28">
        <f t="shared" si="3"/>
        <v>7.1801546915956763E-2</v>
      </c>
      <c r="M18" s="28">
        <f t="shared" si="4"/>
        <v>9.9186716075191556E-2</v>
      </c>
      <c r="N18" s="25">
        <f t="shared" si="5"/>
        <v>3232610.6666666698</v>
      </c>
      <c r="O18" s="28">
        <f t="shared" si="6"/>
        <v>0.18559780932110517</v>
      </c>
      <c r="P18" s="86">
        <v>35560118</v>
      </c>
      <c r="Q18" s="86">
        <v>1111253.6875</v>
      </c>
      <c r="R18" s="86">
        <v>45639.40625</v>
      </c>
      <c r="S18" s="87">
        <v>6599880</v>
      </c>
      <c r="T18" s="87">
        <v>2437498.6666666698</v>
      </c>
      <c r="U18" s="87">
        <v>795112</v>
      </c>
      <c r="V18" s="87">
        <v>3367162.6666666698</v>
      </c>
      <c r="W18" s="88">
        <v>70.4932625</v>
      </c>
      <c r="X18" s="88">
        <v>73.121421874999996</v>
      </c>
      <c r="Y18" s="88">
        <v>36.5251375</v>
      </c>
      <c r="Z18" s="88">
        <v>46.468596875000003</v>
      </c>
      <c r="AA18" s="88">
        <v>46.962015624999999</v>
      </c>
      <c r="AB18" s="89"/>
      <c r="AC18" s="89"/>
      <c r="AD18" s="89"/>
      <c r="AE18" s="89"/>
      <c r="AG18" s="27">
        <f t="shared" si="7"/>
        <v>5.7511799999999997</v>
      </c>
      <c r="AH18" s="28">
        <f t="shared" si="8"/>
        <v>0.18070705076553303</v>
      </c>
      <c r="AI18" s="28">
        <f t="shared" si="9"/>
        <v>9.292202399780361E-2</v>
      </c>
      <c r="AJ18" s="28">
        <f t="shared" si="10"/>
        <v>7.095012002475895E-2</v>
      </c>
      <c r="AK18" s="28">
        <f t="shared" si="11"/>
        <v>8.7781884681222749E-2</v>
      </c>
      <c r="AL18" s="25">
        <f t="shared" si="12"/>
        <v>3154490.6666666698</v>
      </c>
      <c r="AM18" s="28">
        <f t="shared" si="13"/>
        <v>0.18709880877077514</v>
      </c>
      <c r="AN18" s="73">
        <v>32787980</v>
      </c>
      <c r="AO18" s="73">
        <v>1024624.375</v>
      </c>
      <c r="AP18" s="73">
        <v>11312.28125</v>
      </c>
      <c r="AQ18" s="74">
        <v>6134592</v>
      </c>
      <c r="AR18" s="74">
        <v>2408594.6666666698</v>
      </c>
      <c r="AS18" s="74">
        <v>745896</v>
      </c>
      <c r="AT18" s="74">
        <v>2979994.6666666698</v>
      </c>
      <c r="AU18" s="75">
        <v>69.914181249999999</v>
      </c>
      <c r="AV18" s="75">
        <v>71.952396875000005</v>
      </c>
      <c r="AW18" s="75">
        <v>36.222637499999998</v>
      </c>
      <c r="AX18" s="75">
        <v>46.496309375000003</v>
      </c>
      <c r="AY18" s="75">
        <v>46.973821874999999</v>
      </c>
      <c r="AZ18" s="32"/>
      <c r="BA18" s="32"/>
      <c r="BB18" s="32"/>
      <c r="BC18" s="32"/>
      <c r="BE18" s="33">
        <f t="shared" si="14"/>
        <v>-3.0029777688397277E-2</v>
      </c>
      <c r="BF18" s="33">
        <f t="shared" si="15"/>
        <v>2.4415204485263742E-2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-465288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14.5409325</v>
      </c>
      <c r="J19" s="38">
        <f t="shared" si="1"/>
        <v>0.45688867805488426</v>
      </c>
      <c r="K19" s="38">
        <f t="shared" si="2"/>
        <v>0.16535387346703745</v>
      </c>
      <c r="L19" s="38">
        <f t="shared" si="3"/>
        <v>0.11670188454689855</v>
      </c>
      <c r="M19" s="38">
        <f t="shared" si="4"/>
        <v>0.29153166250134016</v>
      </c>
      <c r="N19" s="35">
        <f t="shared" si="5"/>
        <v>5613386.6666666698</v>
      </c>
      <c r="O19" s="38">
        <f t="shared" si="6"/>
        <v>0.46137549278158951</v>
      </c>
      <c r="P19" s="90">
        <v>33617581</v>
      </c>
      <c r="Q19" s="90">
        <v>1050549.40625</v>
      </c>
      <c r="R19" s="90">
        <v>19923.5625</v>
      </c>
      <c r="S19" s="91">
        <v>15510328</v>
      </c>
      <c r="T19" s="91">
        <v>3961762.6666666698</v>
      </c>
      <c r="U19" s="91">
        <v>1651624</v>
      </c>
      <c r="V19" s="91">
        <v>9896834.6666666698</v>
      </c>
      <c r="W19" s="92">
        <v>71.522968750000004</v>
      </c>
      <c r="X19" s="92">
        <v>75.136296874999999</v>
      </c>
      <c r="Y19" s="92">
        <v>38.812965624999997</v>
      </c>
      <c r="Z19" s="92">
        <v>48.258625000000002</v>
      </c>
      <c r="AA19" s="92">
        <v>48.851871875000001</v>
      </c>
      <c r="AB19" s="93"/>
      <c r="AC19" s="93"/>
      <c r="AD19" s="93"/>
      <c r="AE19" s="93"/>
      <c r="AG19" s="37">
        <f t="shared" si="7"/>
        <v>13.41939</v>
      </c>
      <c r="AH19" s="38">
        <f t="shared" si="8"/>
        <v>0.42164884249362505</v>
      </c>
      <c r="AI19" s="38">
        <f t="shared" si="9"/>
        <v>0.13821920715456248</v>
      </c>
      <c r="AJ19" s="38">
        <f t="shared" si="10"/>
        <v>0.11624730318151782</v>
      </c>
      <c r="AK19" s="38">
        <f t="shared" si="11"/>
        <v>0.28342649325255587</v>
      </c>
      <c r="AL19" s="35">
        <f t="shared" si="12"/>
        <v>4692226.6666666698</v>
      </c>
      <c r="AM19" s="38">
        <f t="shared" si="13"/>
        <v>0.43442685416582383</v>
      </c>
      <c r="AN19" s="76">
        <v>32949197</v>
      </c>
      <c r="AO19" s="76">
        <v>1029662.40625</v>
      </c>
      <c r="AP19" s="76">
        <v>11972.1875</v>
      </c>
      <c r="AQ19" s="77">
        <v>14314016</v>
      </c>
      <c r="AR19" s="77">
        <v>3946330.6666666698</v>
      </c>
      <c r="AS19" s="77">
        <v>745896</v>
      </c>
      <c r="AT19" s="77">
        <v>9621682.6666666698</v>
      </c>
      <c r="AU19" s="78">
        <v>70.662196875000006</v>
      </c>
      <c r="AV19" s="78">
        <v>72.776390625000005</v>
      </c>
      <c r="AW19" s="78">
        <v>38.694450000000003</v>
      </c>
      <c r="AX19" s="78">
        <v>48.280209374999998</v>
      </c>
      <c r="AY19" s="78">
        <v>48.816474999999997</v>
      </c>
      <c r="AZ19" s="42"/>
      <c r="BA19" s="42"/>
      <c r="BB19" s="42"/>
      <c r="BC19" s="42"/>
      <c r="BE19" s="43">
        <f t="shared" si="14"/>
        <v>-7.3376041761877113E-3</v>
      </c>
      <c r="BF19" s="43">
        <f t="shared" si="15"/>
        <v>-3.4106385038459308E-2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-1196312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2.2821500000000001</v>
      </c>
      <c r="J20" s="28">
        <f t="shared" si="1"/>
        <v>4.5345923269003635E-2</v>
      </c>
      <c r="K20" s="28">
        <f t="shared" si="2"/>
        <v>3.3990152162402636E-2</v>
      </c>
      <c r="L20" s="28">
        <f t="shared" si="3"/>
        <v>1.8869462994876005E-2</v>
      </c>
      <c r="M20" s="28">
        <f t="shared" si="4"/>
        <v>1.1352459468944346E-2</v>
      </c>
      <c r="N20" s="25">
        <f t="shared" si="5"/>
        <v>1094810.666666667</v>
      </c>
      <c r="O20" s="28">
        <f t="shared" si="6"/>
        <v>4.7418518251819392E-2</v>
      </c>
      <c r="P20" s="86">
        <v>30801806</v>
      </c>
      <c r="Q20" s="86">
        <v>962556.4375</v>
      </c>
      <c r="R20" s="86">
        <v>28246.0625</v>
      </c>
      <c r="S20" s="87">
        <v>1460576</v>
      </c>
      <c r="T20" s="87">
        <v>607778.66666666698</v>
      </c>
      <c r="U20" s="87">
        <v>487032</v>
      </c>
      <c r="V20" s="87">
        <v>365658.66666666698</v>
      </c>
      <c r="W20" s="88">
        <v>67.130621875000003</v>
      </c>
      <c r="X20" s="88">
        <v>68.790568750000006</v>
      </c>
      <c r="Y20" s="88">
        <v>30.041068750000001</v>
      </c>
      <c r="Z20" s="88">
        <v>39.297615624999999</v>
      </c>
      <c r="AA20" s="88">
        <v>37.967503125</v>
      </c>
      <c r="AB20" s="89"/>
      <c r="AC20" s="89"/>
      <c r="AD20" s="89"/>
      <c r="AE20" s="89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73"/>
      <c r="AO20" s="73"/>
      <c r="AP20" s="73"/>
      <c r="AQ20" s="74"/>
      <c r="AR20" s="74"/>
      <c r="AS20" s="74"/>
      <c r="AT20" s="74"/>
      <c r="AU20" s="75"/>
      <c r="AV20" s="75"/>
      <c r="AW20" s="75"/>
      <c r="AX20" s="75"/>
      <c r="AY20" s="75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  <c r="BU20" s="4">
        <f t="shared" si="16"/>
        <v>-1460576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3.1210749999999998</v>
      </c>
      <c r="J21" s="18">
        <f t="shared" si="1"/>
        <v>6.2015216995730128E-2</v>
      </c>
      <c r="K21" s="18">
        <f t="shared" si="2"/>
        <v>3.9556187153849141E-2</v>
      </c>
      <c r="L21" s="18">
        <f t="shared" si="3"/>
        <v>2.443549798632251E-2</v>
      </c>
      <c r="M21" s="18">
        <f t="shared" si="4"/>
        <v>2.2455718204224338E-2</v>
      </c>
      <c r="N21" s="15">
        <f t="shared" si="5"/>
        <v>1274090.666666667</v>
      </c>
      <c r="O21" s="18">
        <f t="shared" si="6"/>
        <v>6.3156437649455985E-2</v>
      </c>
      <c r="P21" s="82">
        <v>31627623</v>
      </c>
      <c r="Q21" s="82">
        <v>988363.21875</v>
      </c>
      <c r="R21" s="82">
        <v>32272.96875</v>
      </c>
      <c r="S21" s="83">
        <v>1997488</v>
      </c>
      <c r="T21" s="83">
        <v>787058.66666666698</v>
      </c>
      <c r="U21" s="83">
        <v>487032</v>
      </c>
      <c r="V21" s="83">
        <v>723290.66666666698</v>
      </c>
      <c r="W21" s="84">
        <v>68.791021874999998</v>
      </c>
      <c r="X21" s="84">
        <v>70.898106249999998</v>
      </c>
      <c r="Y21" s="84">
        <v>31.547462500000002</v>
      </c>
      <c r="Z21" s="84">
        <v>40.477543750000002</v>
      </c>
      <c r="AA21" s="84">
        <v>39.232834375000003</v>
      </c>
      <c r="AB21" s="85"/>
      <c r="AC21" s="85"/>
      <c r="AD21" s="85"/>
      <c r="AE21" s="85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70"/>
      <c r="AO21" s="70"/>
      <c r="AP21" s="70"/>
      <c r="AQ21" s="71"/>
      <c r="AR21" s="71"/>
      <c r="AS21" s="71"/>
      <c r="AT21" s="71"/>
      <c r="AU21" s="72"/>
      <c r="AV21" s="72"/>
      <c r="AW21" s="72"/>
      <c r="AX21" s="72"/>
      <c r="AY21" s="72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-1997488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5.1036374999999996</v>
      </c>
      <c r="J22" s="28">
        <f t="shared" si="1"/>
        <v>0.10140838878592973</v>
      </c>
      <c r="K22" s="28">
        <f t="shared" si="2"/>
        <v>4.6555830086867776E-2</v>
      </c>
      <c r="L22" s="28">
        <f t="shared" si="3"/>
        <v>3.1435140919341145E-2</v>
      </c>
      <c r="M22" s="28">
        <f t="shared" si="4"/>
        <v>5.4849247061405496E-2</v>
      </c>
      <c r="N22" s="25">
        <f t="shared" si="5"/>
        <v>1499546.66666667</v>
      </c>
      <c r="O22" s="28">
        <f t="shared" si="6"/>
        <v>9.9745500451649663E-2</v>
      </c>
      <c r="P22" s="86">
        <v>32746620</v>
      </c>
      <c r="Q22" s="86">
        <v>1023331.875</v>
      </c>
      <c r="R22" s="86">
        <v>34640.1875</v>
      </c>
      <c r="S22" s="87">
        <v>3266328</v>
      </c>
      <c r="T22" s="87">
        <v>1012514.66666667</v>
      </c>
      <c r="U22" s="87">
        <v>487032</v>
      </c>
      <c r="V22" s="87">
        <v>1766674.66666667</v>
      </c>
      <c r="W22" s="88">
        <v>70.003465625000004</v>
      </c>
      <c r="X22" s="88">
        <v>72.449924999999993</v>
      </c>
      <c r="Y22" s="88">
        <v>33.569618749999997</v>
      </c>
      <c r="Z22" s="88">
        <v>41.681912500000003</v>
      </c>
      <c r="AA22" s="88">
        <v>40.571950000000001</v>
      </c>
      <c r="AB22" s="89"/>
      <c r="AC22" s="89"/>
      <c r="AD22" s="89"/>
      <c r="AE22" s="89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73"/>
      <c r="AO22" s="73"/>
      <c r="AP22" s="73"/>
      <c r="AQ22" s="74"/>
      <c r="AR22" s="74"/>
      <c r="AS22" s="74"/>
      <c r="AT22" s="74"/>
      <c r="AU22" s="75"/>
      <c r="AV22" s="75"/>
      <c r="AW22" s="75"/>
      <c r="AX22" s="75"/>
      <c r="AY22" s="75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-3266328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9.4714749999999999</v>
      </c>
      <c r="J23" s="18">
        <f t="shared" si="1"/>
        <v>0.18819655964519694</v>
      </c>
      <c r="K23" s="18">
        <f t="shared" si="2"/>
        <v>6.6084391766362327E-2</v>
      </c>
      <c r="L23" s="18">
        <f t="shared" si="3"/>
        <v>5.0963702598835696E-2</v>
      </c>
      <c r="M23" s="18">
        <f t="shared" si="4"/>
        <v>0.12210885624117813</v>
      </c>
      <c r="N23" s="15">
        <f t="shared" si="5"/>
        <v>2128554.6666666698</v>
      </c>
      <c r="O23" s="18">
        <f t="shared" si="6"/>
        <v>0.18341011750119879</v>
      </c>
      <c r="P23" s="82">
        <v>33050216</v>
      </c>
      <c r="Q23" s="82">
        <v>1032819.25</v>
      </c>
      <c r="R23" s="82">
        <v>36820.71875</v>
      </c>
      <c r="S23" s="83">
        <v>6061744</v>
      </c>
      <c r="T23" s="83">
        <v>1641522.66666667</v>
      </c>
      <c r="U23" s="83">
        <v>487032</v>
      </c>
      <c r="V23" s="83">
        <v>3933082.6666666698</v>
      </c>
      <c r="W23" s="84">
        <v>70.935637499999999</v>
      </c>
      <c r="X23" s="84">
        <v>73.669268750000001</v>
      </c>
      <c r="Y23" s="84">
        <v>35.486553125</v>
      </c>
      <c r="Z23" s="84">
        <v>42.753943749999998</v>
      </c>
      <c r="AA23" s="84">
        <v>41.608881250000003</v>
      </c>
      <c r="AB23" s="85"/>
      <c r="AC23" s="85"/>
      <c r="AD23" s="85"/>
      <c r="AE23" s="85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70"/>
      <c r="AO23" s="70"/>
      <c r="AP23" s="70"/>
      <c r="AQ23" s="71"/>
      <c r="AR23" s="71"/>
      <c r="AS23" s="71"/>
      <c r="AT23" s="71"/>
      <c r="AU23" s="72"/>
      <c r="AV23" s="72"/>
      <c r="AW23" s="72"/>
      <c r="AX23" s="72"/>
      <c r="AY23" s="72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-6061744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18.404037500000001</v>
      </c>
      <c r="J24" s="48">
        <f t="shared" si="1"/>
        <v>0.36568502171849593</v>
      </c>
      <c r="K24" s="48">
        <f t="shared" si="2"/>
        <v>0.11235749078829187</v>
      </c>
      <c r="L24" s="48">
        <f t="shared" si="3"/>
        <v>8.0884183244957719E-2</v>
      </c>
      <c r="M24" s="48">
        <f t="shared" si="4"/>
        <v>0.25332421929254756</v>
      </c>
      <c r="N24" s="45">
        <f t="shared" si="5"/>
        <v>3618994.6666666698</v>
      </c>
      <c r="O24" s="48">
        <f t="shared" si="6"/>
        <v>0.37401162769836344</v>
      </c>
      <c r="P24" s="94">
        <v>31492561</v>
      </c>
      <c r="Q24" s="94">
        <v>984142.53125</v>
      </c>
      <c r="R24" s="94">
        <v>17732.5</v>
      </c>
      <c r="S24" s="95">
        <v>11778584</v>
      </c>
      <c r="T24" s="95">
        <v>2605250.6666666698</v>
      </c>
      <c r="U24" s="95">
        <v>1013744</v>
      </c>
      <c r="V24" s="95">
        <v>8159482.6666666698</v>
      </c>
      <c r="W24" s="96">
        <v>71.941287500000001</v>
      </c>
      <c r="X24" s="96">
        <v>75.855562500000005</v>
      </c>
      <c r="Y24" s="96">
        <v>36.955393749999999</v>
      </c>
      <c r="Z24" s="96">
        <v>43.62135</v>
      </c>
      <c r="AA24" s="96">
        <v>42.239159375</v>
      </c>
      <c r="AB24" s="97"/>
      <c r="AC24" s="97"/>
      <c r="AD24" s="97"/>
      <c r="AE24" s="97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79"/>
      <c r="AO24" s="79"/>
      <c r="AP24" s="79"/>
      <c r="AQ24" s="80"/>
      <c r="AR24" s="80"/>
      <c r="AS24" s="80"/>
      <c r="AT24" s="80"/>
      <c r="AU24" s="81"/>
      <c r="AV24" s="81"/>
      <c r="AW24" s="81"/>
      <c r="AX24" s="81"/>
      <c r="AY24" s="8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-11778584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2.2620075000000002</v>
      </c>
      <c r="J25" s="18">
        <f t="shared" si="1"/>
        <v>9.5321156327758311E-2</v>
      </c>
      <c r="K25" s="18">
        <f t="shared" si="2"/>
        <v>6.1182747475730756E-2</v>
      </c>
      <c r="L25" s="18">
        <f t="shared" si="3"/>
        <v>3.5995732475024383E-2</v>
      </c>
      <c r="M25" s="18">
        <f t="shared" si="4"/>
        <v>3.4134194844941936E-2</v>
      </c>
      <c r="N25" s="15">
        <f t="shared" si="5"/>
        <v>1548682.666666667</v>
      </c>
      <c r="O25" s="18">
        <f t="shared" si="6"/>
        <v>0.10358414640622633</v>
      </c>
      <c r="P25" s="82">
        <v>23293217</v>
      </c>
      <c r="Q25" s="82">
        <v>727913.03125</v>
      </c>
      <c r="R25" s="82">
        <v>18037.96875</v>
      </c>
      <c r="S25" s="83">
        <v>2412808</v>
      </c>
      <c r="T25" s="83">
        <v>911138.66666666698</v>
      </c>
      <c r="U25" s="83">
        <v>637544</v>
      </c>
      <c r="V25" s="83">
        <v>864018.66666666698</v>
      </c>
      <c r="W25" s="84">
        <v>66.258609375000006</v>
      </c>
      <c r="X25" s="84">
        <v>68.024615624999996</v>
      </c>
      <c r="Y25" s="84">
        <v>26.0055625</v>
      </c>
      <c r="Z25" s="84">
        <v>32.538881250000003</v>
      </c>
      <c r="AA25" s="84">
        <v>31.726471875000001</v>
      </c>
      <c r="AB25" s="85"/>
      <c r="AC25" s="85"/>
      <c r="AD25" s="85"/>
      <c r="AE25" s="85"/>
      <c r="AG25" s="17">
        <f t="shared" si="7"/>
        <v>2.3644875000000001</v>
      </c>
      <c r="AH25" s="18">
        <f t="shared" si="8"/>
        <v>9.9639670789124446E-2</v>
      </c>
      <c r="AI25" s="18">
        <f t="shared" si="9"/>
        <v>6.6836259381828356E-2</v>
      </c>
      <c r="AJ25" s="18">
        <f t="shared" si="10"/>
        <v>3.5962547169224951E-2</v>
      </c>
      <c r="AK25" s="18">
        <f t="shared" si="11"/>
        <v>3.2799197400210478E-2</v>
      </c>
      <c r="AL25" s="15">
        <f t="shared" si="12"/>
        <v>1691786.666666667</v>
      </c>
      <c r="AM25" s="18">
        <f t="shared" si="13"/>
        <v>0.11652069855686141</v>
      </c>
      <c r="AN25" s="70">
        <v>21645253</v>
      </c>
      <c r="AO25" s="70">
        <v>676414.15625</v>
      </c>
      <c r="AP25" s="70">
        <v>5289.8125</v>
      </c>
      <c r="AQ25" s="71">
        <v>2522120</v>
      </c>
      <c r="AR25" s="71">
        <v>910298.66666666698</v>
      </c>
      <c r="AS25" s="71">
        <v>781488</v>
      </c>
      <c r="AT25" s="71">
        <v>830226.66666666698</v>
      </c>
      <c r="AU25" s="72">
        <v>65.840725000000006</v>
      </c>
      <c r="AV25" s="72">
        <v>67.688046874999998</v>
      </c>
      <c r="AW25" s="72">
        <v>25.935103125000001</v>
      </c>
      <c r="AX25" s="72">
        <v>32.480768750000003</v>
      </c>
      <c r="AY25" s="72">
        <v>31.654325</v>
      </c>
      <c r="AZ25" s="22"/>
      <c r="BA25" s="22"/>
      <c r="BB25" s="22"/>
      <c r="BC25" s="22"/>
      <c r="BE25" s="23">
        <f t="shared" si="14"/>
        <v>-1.6960014719544877E-2</v>
      </c>
      <c r="BF25" s="23">
        <f t="shared" si="15"/>
        <v>2.892055207666322E-2</v>
      </c>
      <c r="BG25" s="23">
        <f t="array" ref="BG25">AVERAGE(AL25:AL29/AQ25:AQ29) - AVERAGE(N25:N29/S25:S29)</f>
        <v>1.8624428753768518E-2</v>
      </c>
      <c r="BI25" s="24">
        <f>IF( OR(ISBLANK(N25:N29),ISBLANK(AL25:AL29), ISBLANK(W25:W29),ISBLANK(AU25:AU29)), "·", bdRateExtend( N25:N29,W25:W29, AL25:AL29,AU25:AU29))</f>
        <v>0.24811734161854671</v>
      </c>
      <c r="BJ25" s="24">
        <f>IF( OR(ISBLANK(N25:N29),ISBLANK(AL25:AL29), ISBLANK(X25:X29),ISBLANK(AV25:AV29)), "·", bdRateExtend( N25:N29,X25:X29, AL25:AL29,AV25:AV29))</f>
        <v>0.2562742291702782</v>
      </c>
      <c r="BK25" s="24">
        <f>IF( OR(ISBLANK(V25:V29),ISBLANK(AT25:AT29), ISBLANK(Y25:Y29),ISBLANK(AW25:AW29)), "·", bdRateExtend( V25:V29,Y25:Y29, AT25:AT29,AW25:AW29))</f>
        <v>-4.8020396522613362E-3</v>
      </c>
      <c r="BL25" s="24">
        <f>IF( OR(ISBLANK(V25:V29),ISBLANK(AT25:AT29), ISBLANK(Z25:Z29),ISBLANK(AX25:AX29)), "·", bdRateExtend( V25:V29,Z25:Z29, AT25:AT29,AX25:AX29))</f>
        <v>-4.3458643362894733E-3</v>
      </c>
      <c r="BM25" s="24">
        <f>IF( OR(ISBLANK(V25:V29),ISBLANK(AT25:AT29), ISBLANK(AA25:AA29),ISBLANK(AY25:AY29)), "·", bdRateExtend( V25:V29,AA25:AA29, AT25:AT29,AY25:AY29))</f>
        <v>3.2989263266935964E-3</v>
      </c>
      <c r="BO25" s="24">
        <f>IF( OR(ISBLANK(S25:S29),ISBLANK(AQ25:AQ29), ISBLANK(W25:W29),ISBLANK(AU25:AU29)), "·", bdRateExtend( S25:S29,W25:W29, AQ25:AQ29,AU25:AU29))</f>
        <v>0.43461081544853664</v>
      </c>
      <c r="BP25" s="24">
        <f>IF( OR(ISBLANK(S25:S29),ISBLANK(AQ25:AQ29), ISBLANK(X25:X29),ISBLANK(AV25:AV29)), "·", bdRateExtend( S25:S29,X25:X29, AQ25:AQ29,AV25:AV29))</f>
        <v>0.45677416592025355</v>
      </c>
      <c r="BQ25" s="24">
        <f>IF( OR(ISBLANK(S25:S29),ISBLANK(AQ25:AQ29), ISBLANK(Y25:Y29),ISBLANK(AW25:AW29)), "·", bdRateExtend( S25:S29,Y25:Y29, AQ25:AQ29,AW25:AW29))</f>
        <v>2.4102246158901552E-2</v>
      </c>
      <c r="BR25" s="24">
        <f>IF( OR(ISBLANK(S25:S29),ISBLANK(AQ25:AQ29), ISBLANK(Z25:Z29),ISBLANK(AX25:AX29)), "·", bdRateExtend( S25:S29,Z25:Z29, AQ25:AQ29,AX25:AX29))</f>
        <v>2.243853139322427E-2</v>
      </c>
      <c r="BS25" s="24">
        <f>IF( OR(ISBLANK(S25:S29),ISBLANK(AQ25:AQ29), ISBLANK(AA25:AA29),ISBLANK(AY25:AY29)), "·", bdRateExtend( S25:S29,AA25:AA29, AQ25:AQ29,AY25:AY29))</f>
        <v>2.9694018980099601E-2</v>
      </c>
      <c r="BU25" s="4">
        <f t="shared" si="16"/>
        <v>109312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3.4634174999999998</v>
      </c>
      <c r="J26" s="28">
        <f t="shared" si="1"/>
        <v>0.14594865885537242</v>
      </c>
      <c r="K26" s="28">
        <f t="shared" si="2"/>
        <v>7.4952120978243955E-2</v>
      </c>
      <c r="L26" s="28">
        <f t="shared" si="3"/>
        <v>4.9765105977537576E-2</v>
      </c>
      <c r="M26" s="28">
        <f t="shared" si="4"/>
        <v>7.0992323870043103E-2</v>
      </c>
      <c r="N26" s="25">
        <f t="shared" si="5"/>
        <v>1897218.66666667</v>
      </c>
      <c r="O26" s="28">
        <f t="shared" si="6"/>
        <v>0.14802473190613588</v>
      </c>
      <c r="P26" s="86">
        <v>24957397</v>
      </c>
      <c r="Q26" s="86">
        <v>779918.65625</v>
      </c>
      <c r="R26" s="86">
        <v>22437.59375</v>
      </c>
      <c r="S26" s="87">
        <v>3694312</v>
      </c>
      <c r="T26" s="87">
        <v>1259674.66666667</v>
      </c>
      <c r="U26" s="87">
        <v>637544</v>
      </c>
      <c r="V26" s="87">
        <v>1796986.66666667</v>
      </c>
      <c r="W26" s="88">
        <v>68.062037500000002</v>
      </c>
      <c r="X26" s="88">
        <v>70.048765625000001</v>
      </c>
      <c r="Y26" s="88">
        <v>28.064584374999999</v>
      </c>
      <c r="Z26" s="88">
        <v>33.763143749999998</v>
      </c>
      <c r="AA26" s="88">
        <v>33.161640624999997</v>
      </c>
      <c r="AB26" s="89"/>
      <c r="AC26" s="89"/>
      <c r="AD26" s="89"/>
      <c r="AE26" s="89"/>
      <c r="AG26" s="27">
        <f t="shared" si="7"/>
        <v>3.5250075000000001</v>
      </c>
      <c r="AH26" s="28">
        <f t="shared" si="8"/>
        <v>0.14854406581941948</v>
      </c>
      <c r="AI26" s="28">
        <f t="shared" si="9"/>
        <v>8.0725099985219498E-2</v>
      </c>
      <c r="AJ26" s="28">
        <f t="shared" si="10"/>
        <v>4.98513877726161E-2</v>
      </c>
      <c r="AK26" s="28">
        <f t="shared" si="11"/>
        <v>6.7814751827114592E-2</v>
      </c>
      <c r="AL26" s="25">
        <f t="shared" si="12"/>
        <v>2043346.66666667</v>
      </c>
      <c r="AM26" s="28">
        <f t="shared" si="13"/>
        <v>0.16182958631926578</v>
      </c>
      <c r="AN26" s="73">
        <v>23234367</v>
      </c>
      <c r="AO26" s="73">
        <v>726073.96875</v>
      </c>
      <c r="AP26" s="73">
        <v>6093.21875</v>
      </c>
      <c r="AQ26" s="74">
        <v>3760008</v>
      </c>
      <c r="AR26" s="74">
        <v>1261858.66666667</v>
      </c>
      <c r="AS26" s="74">
        <v>781488</v>
      </c>
      <c r="AT26" s="74">
        <v>1716554.66666667</v>
      </c>
      <c r="AU26" s="75">
        <v>67.459999999999994</v>
      </c>
      <c r="AV26" s="75">
        <v>69.414924999999997</v>
      </c>
      <c r="AW26" s="75">
        <v>27.956165625000001</v>
      </c>
      <c r="AX26" s="75">
        <v>33.691856250000001</v>
      </c>
      <c r="AY26" s="75">
        <v>33.072446874999997</v>
      </c>
      <c r="AZ26" s="32"/>
      <c r="BA26" s="32"/>
      <c r="BB26" s="32"/>
      <c r="BC26" s="32"/>
      <c r="BE26" s="33">
        <f t="shared" si="14"/>
        <v>-2.0377137807738831E-2</v>
      </c>
      <c r="BF26" s="33">
        <f t="shared" si="15"/>
        <v>2.9890823350672058E-2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65696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5.8895549999999997</v>
      </c>
      <c r="J27" s="18">
        <f t="shared" si="1"/>
        <v>0.24818626501279531</v>
      </c>
      <c r="K27" s="18">
        <f t="shared" si="2"/>
        <v>9.4729299032579983E-2</v>
      </c>
      <c r="L27" s="18">
        <f t="shared" si="3"/>
        <v>6.9542284031873611E-2</v>
      </c>
      <c r="M27" s="18">
        <f t="shared" si="4"/>
        <v>0.15345275197312994</v>
      </c>
      <c r="N27" s="15">
        <f t="shared" si="5"/>
        <v>2397826.6666666698</v>
      </c>
      <c r="O27" s="18">
        <f t="shared" si="6"/>
        <v>0.24866170300511664</v>
      </c>
      <c r="P27" s="82">
        <v>25264011</v>
      </c>
      <c r="Q27" s="82">
        <v>789500.34375</v>
      </c>
      <c r="R27" s="82">
        <v>23649.9375</v>
      </c>
      <c r="S27" s="83">
        <v>6282192</v>
      </c>
      <c r="T27" s="83">
        <v>1760282.66666667</v>
      </c>
      <c r="U27" s="83">
        <v>637544</v>
      </c>
      <c r="V27" s="83">
        <v>3884258.6666666698</v>
      </c>
      <c r="W27" s="84">
        <v>69.418368749999999</v>
      </c>
      <c r="X27" s="84">
        <v>71.767525000000006</v>
      </c>
      <c r="Y27" s="84">
        <v>30.349296875</v>
      </c>
      <c r="Z27" s="84">
        <v>35.025328125000001</v>
      </c>
      <c r="AA27" s="84">
        <v>34.500487499999998</v>
      </c>
      <c r="AB27" s="85"/>
      <c r="AC27" s="85"/>
      <c r="AD27" s="85"/>
      <c r="AE27" s="85"/>
      <c r="AG27" s="17">
        <f t="shared" si="7"/>
        <v>5.8160024999999997</v>
      </c>
      <c r="AH27" s="18">
        <f t="shared" si="8"/>
        <v>0.24508675745112832</v>
      </c>
      <c r="AI27" s="18">
        <f t="shared" si="9"/>
        <v>0.10019950163045215</v>
      </c>
      <c r="AJ27" s="18">
        <f t="shared" si="10"/>
        <v>6.9325789417848754E-2</v>
      </c>
      <c r="AK27" s="18">
        <f t="shared" si="11"/>
        <v>0.14488304181359077</v>
      </c>
      <c r="AL27" s="15">
        <f t="shared" si="12"/>
        <v>2536290.6666666698</v>
      </c>
      <c r="AM27" s="18">
        <f t="shared" si="13"/>
        <v>0.26398958601020334</v>
      </c>
      <c r="AN27" s="70">
        <v>23499927</v>
      </c>
      <c r="AO27" s="70">
        <v>734372.71875</v>
      </c>
      <c r="AP27" s="70">
        <v>5792.03125</v>
      </c>
      <c r="AQ27" s="71">
        <v>6203736</v>
      </c>
      <c r="AR27" s="71">
        <v>1754802.66666667</v>
      </c>
      <c r="AS27" s="71">
        <v>781488</v>
      </c>
      <c r="AT27" s="71">
        <v>3667338.6666666698</v>
      </c>
      <c r="AU27" s="72">
        <v>68.553271874999993</v>
      </c>
      <c r="AV27" s="72">
        <v>70.728387499999997</v>
      </c>
      <c r="AW27" s="72">
        <v>30.209778125</v>
      </c>
      <c r="AX27" s="72">
        <v>34.964659374999997</v>
      </c>
      <c r="AY27" s="72">
        <v>34.401209375000001</v>
      </c>
      <c r="AZ27" s="22"/>
      <c r="BA27" s="22"/>
      <c r="BB27" s="22"/>
      <c r="BC27" s="22"/>
      <c r="BE27" s="23">
        <f t="shared" si="14"/>
        <v>-2.2068530160864561E-2</v>
      </c>
      <c r="BF27" s="23">
        <f t="shared" si="15"/>
        <v>2.7146477691988691E-2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-78456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11.874112500000001</v>
      </c>
      <c r="J28" s="28">
        <f t="shared" si="1"/>
        <v>0.50037594210712788</v>
      </c>
      <c r="K28" s="28">
        <f t="shared" si="2"/>
        <v>0.12905207069460439</v>
      </c>
      <c r="L28" s="28">
        <f t="shared" si="3"/>
        <v>0.10386505569389802</v>
      </c>
      <c r="M28" s="28">
        <f t="shared" si="4"/>
        <v>0.37131965740543804</v>
      </c>
      <c r="N28" s="25">
        <f t="shared" si="5"/>
        <v>3266618.6666666698</v>
      </c>
      <c r="O28" s="28">
        <f t="shared" si="6"/>
        <v>0.48284978095343856</v>
      </c>
      <c r="P28" s="86">
        <v>26231181</v>
      </c>
      <c r="Q28" s="86">
        <v>819724.40625</v>
      </c>
      <c r="R28" s="86">
        <v>27138.5625</v>
      </c>
      <c r="S28" s="87">
        <v>12665720</v>
      </c>
      <c r="T28" s="87">
        <v>2629074.6666666698</v>
      </c>
      <c r="U28" s="87">
        <v>637544</v>
      </c>
      <c r="V28" s="87">
        <v>9398994.6666666698</v>
      </c>
      <c r="W28" s="88">
        <v>70.446950000000001</v>
      </c>
      <c r="X28" s="88">
        <v>72.997609374999996</v>
      </c>
      <c r="Y28" s="88">
        <v>32.832218750000003</v>
      </c>
      <c r="Z28" s="88">
        <v>36.566724999999998</v>
      </c>
      <c r="AA28" s="88">
        <v>36.046300000000002</v>
      </c>
      <c r="AB28" s="89"/>
      <c r="AC28" s="89"/>
      <c r="AD28" s="89"/>
      <c r="AE28" s="89"/>
      <c r="AG28" s="27">
        <f t="shared" si="7"/>
        <v>11.4707025</v>
      </c>
      <c r="AH28" s="28">
        <f t="shared" si="8"/>
        <v>0.48337621612293857</v>
      </c>
      <c r="AI28" s="28">
        <f t="shared" si="9"/>
        <v>0.13377196933087795</v>
      </c>
      <c r="AJ28" s="28">
        <f t="shared" si="10"/>
        <v>0.10289825711827455</v>
      </c>
      <c r="AK28" s="28">
        <f t="shared" si="11"/>
        <v>0.34960003278497526</v>
      </c>
      <c r="AL28" s="25">
        <f t="shared" si="12"/>
        <v>3386090.6666666698</v>
      </c>
      <c r="AM28" s="28">
        <f t="shared" si="13"/>
        <v>0.50018819273045023</v>
      </c>
      <c r="AN28" s="73">
        <v>24461625</v>
      </c>
      <c r="AO28" s="73">
        <v>764425.78125</v>
      </c>
      <c r="AP28" s="73">
        <v>6893.75</v>
      </c>
      <c r="AQ28" s="74">
        <v>12235416</v>
      </c>
      <c r="AR28" s="74">
        <v>2604602.6666666698</v>
      </c>
      <c r="AS28" s="74">
        <v>781488</v>
      </c>
      <c r="AT28" s="74">
        <v>8849218.6666666698</v>
      </c>
      <c r="AU28" s="75">
        <v>69.5848625</v>
      </c>
      <c r="AV28" s="75">
        <v>71.724587499999998</v>
      </c>
      <c r="AW28" s="75">
        <v>32.654981249999999</v>
      </c>
      <c r="AX28" s="75">
        <v>36.456134374999998</v>
      </c>
      <c r="AY28" s="75">
        <v>35.928871874999999</v>
      </c>
      <c r="AZ28" s="32"/>
      <c r="BA28" s="32"/>
      <c r="BB28" s="32"/>
      <c r="BC28" s="32"/>
      <c r="BE28" s="33">
        <f t="shared" si="14"/>
        <v>-2.4088727744862919E-2</v>
      </c>
      <c r="BF28" s="33">
        <f t="shared" si="15"/>
        <v>1.8834815301437047E-2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-430304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27.5536125</v>
      </c>
      <c r="J29" s="38">
        <f t="shared" si="1"/>
        <v>1.1611111831003988</v>
      </c>
      <c r="K29" s="38">
        <f t="shared" si="2"/>
        <v>0.21132065612511736</v>
      </c>
      <c r="L29" s="38">
        <f t="shared" si="3"/>
        <v>0.16190394318338538</v>
      </c>
      <c r="M29" s="38">
        <f t="shared" si="4"/>
        <v>0.94978631296819727</v>
      </c>
      <c r="N29" s="35">
        <f t="shared" si="5"/>
        <v>5349034.6666666698</v>
      </c>
      <c r="O29" s="38">
        <f t="shared" si="6"/>
        <v>1.1722851797495406</v>
      </c>
      <c r="P29" s="90">
        <v>25071135</v>
      </c>
      <c r="Q29" s="90">
        <v>783472.96875</v>
      </c>
      <c r="R29" s="90">
        <v>12108.53125</v>
      </c>
      <c r="S29" s="91">
        <v>29390520</v>
      </c>
      <c r="T29" s="91">
        <v>4098178.6666666698</v>
      </c>
      <c r="U29" s="91">
        <v>1250856</v>
      </c>
      <c r="V29" s="91">
        <v>24041378.666666701</v>
      </c>
      <c r="W29" s="92">
        <v>71.482781250000002</v>
      </c>
      <c r="X29" s="92">
        <v>74.907206250000002</v>
      </c>
      <c r="Y29" s="92">
        <v>35.524450000000002</v>
      </c>
      <c r="Z29" s="92">
        <v>38.553015625</v>
      </c>
      <c r="AA29" s="92">
        <v>37.999200000000002</v>
      </c>
      <c r="AB29" s="93"/>
      <c r="AC29" s="93"/>
      <c r="AD29" s="93"/>
      <c r="AE29" s="93"/>
      <c r="AG29" s="37">
        <f t="shared" si="7"/>
        <v>26.800184999999999</v>
      </c>
      <c r="AH29" s="38">
        <f t="shared" si="8"/>
        <v>1.1293616948652219</v>
      </c>
      <c r="AI29" s="38">
        <f t="shared" si="9"/>
        <v>0.19236204894716732</v>
      </c>
      <c r="AJ29" s="38">
        <f t="shared" si="10"/>
        <v>0.16148833673456392</v>
      </c>
      <c r="AK29" s="38">
        <f t="shared" si="11"/>
        <v>0.93699543191097034</v>
      </c>
      <c r="AL29" s="35">
        <f t="shared" si="12"/>
        <v>4869146.6666666698</v>
      </c>
      <c r="AM29" s="38">
        <f t="shared" si="13"/>
        <v>1.1589205605169248</v>
      </c>
      <c r="AN29" s="76">
        <v>24666802</v>
      </c>
      <c r="AO29" s="76">
        <v>770837.5625</v>
      </c>
      <c r="AP29" s="76">
        <v>7449.96875</v>
      </c>
      <c r="AQ29" s="77">
        <v>28586864</v>
      </c>
      <c r="AR29" s="77">
        <v>4087658.6666666698</v>
      </c>
      <c r="AS29" s="77">
        <v>781488</v>
      </c>
      <c r="AT29" s="77">
        <v>23717610.666666701</v>
      </c>
      <c r="AU29" s="78">
        <v>70.317337499999994</v>
      </c>
      <c r="AV29" s="78">
        <v>72.540228124999999</v>
      </c>
      <c r="AW29" s="78">
        <v>35.494921875000003</v>
      </c>
      <c r="AX29" s="78">
        <v>38.499524999999998</v>
      </c>
      <c r="AY29" s="78">
        <v>37.932765625000002</v>
      </c>
      <c r="AZ29" s="42"/>
      <c r="BA29" s="42"/>
      <c r="BB29" s="42"/>
      <c r="BC29" s="42"/>
      <c r="BE29" s="43">
        <f t="shared" si="14"/>
        <v>-5.7901732022298917E-3</v>
      </c>
      <c r="BF29" s="43">
        <f t="shared" si="15"/>
        <v>-1.1670524651918146E-2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-803656</v>
      </c>
    </row>
    <row r="30" spans="1:73" x14ac:dyDescent="0.3">
      <c r="B30" s="55" t="s">
        <v>288</v>
      </c>
      <c r="J30" s="56">
        <f>AVERAGE(J5:J24)</f>
        <v>0.18357527998198706</v>
      </c>
      <c r="K30" s="56">
        <f>AVERAGE(K5:K24)</f>
        <v>8.9680282094332889E-2</v>
      </c>
      <c r="L30" s="56">
        <f>AVERAGE(L5:L24)</f>
        <v>6.3139908851866738E-2</v>
      </c>
      <c r="M30" s="56">
        <f>AVERAGE(M5:M24)</f>
        <v>9.3891139178923555E-2</v>
      </c>
      <c r="AH30" s="56">
        <f>AVERAGE(AH5:AH24)</f>
        <v>0.18594887747270195</v>
      </c>
      <c r="AI30" s="56">
        <f>AVERAGE(AI5:AI24)</f>
        <v>9.5639008174971424E-2</v>
      </c>
      <c r="AJ30" s="56">
        <f>AVERAGE(AJ5:AJ24)</f>
        <v>7.0014215720739265E-2</v>
      </c>
      <c r="AK30" s="56">
        <f>AVERAGE(AK5:AK24)</f>
        <v>9.030582823197518E-2</v>
      </c>
      <c r="BG30" s="8" t="e">
        <f>AVERAGE(BG5:BG24)</f>
        <v>#VALUE!</v>
      </c>
      <c r="BI30" s="5">
        <f>AVERAGE(BI5:BI24)</f>
        <v>0.14730944311704453</v>
      </c>
      <c r="BJ30" s="5">
        <f>AVERAGE(BJ5:BJ24)</f>
        <v>0.16329067436285313</v>
      </c>
      <c r="BK30" s="5">
        <f>AVERAGE(BK5:BK24)</f>
        <v>1.2551669415612847E-3</v>
      </c>
      <c r="BL30" s="5">
        <f>AVERAGE(BL5:BL24)</f>
        <v>-1.8783096145441824E-2</v>
      </c>
      <c r="BM30" s="5">
        <f>AVERAGE(BM5:BM24)</f>
        <v>-2.0918859171828823E-2</v>
      </c>
      <c r="BO30" s="5">
        <f>AVERAGE(BO5:BO24)</f>
        <v>0.22149634975593399</v>
      </c>
      <c r="BP30" s="5">
        <f>AVERAGE(BP5:BP24)</f>
        <v>0.25211678811480454</v>
      </c>
      <c r="BQ30" s="5">
        <f>AVERAGE(BQ5:BQ24)</f>
        <v>9.0523770737305585E-3</v>
      </c>
      <c r="BR30" s="5">
        <f>AVERAGE(BR5:BR24)</f>
        <v>-6.8646049483241933E-3</v>
      </c>
      <c r="BS30" s="5">
        <f>AVERAGE(BS5:BS24)</f>
        <v>-4.7227873600338794E-3</v>
      </c>
    </row>
    <row r="31" spans="1:73" x14ac:dyDescent="0.3">
      <c r="B31" s="55" t="s">
        <v>289</v>
      </c>
      <c r="J31" s="56">
        <f>AVERAGE(J25:J29)</f>
        <v>0.43018864108069055</v>
      </c>
      <c r="K31" s="56">
        <f>AVERAGE(K25:K29)</f>
        <v>0.11424737886125529</v>
      </c>
      <c r="L31" s="56">
        <f>AVERAGE(L25:L29)</f>
        <v>8.4214424272343796E-2</v>
      </c>
      <c r="M31" s="56">
        <f>AVERAGE(M25:M29)</f>
        <v>0.31593704821235002</v>
      </c>
      <c r="AH31" s="56">
        <f>AVERAGE(AH25:AH29)</f>
        <v>0.42120168100956656</v>
      </c>
      <c r="AI31" s="56">
        <f>AVERAGE(AI25:AI29)</f>
        <v>0.11477897585510906</v>
      </c>
      <c r="AJ31" s="56">
        <f>AVERAGE(AJ25:AJ29)</f>
        <v>8.3905263642505654E-2</v>
      </c>
      <c r="AK31" s="56">
        <f>AVERAGE(AK25:AK29)</f>
        <v>0.3064184911473723</v>
      </c>
      <c r="BG31" s="8">
        <f>AVERAGE(BG25:BG29)</f>
        <v>1.8624428753768518E-2</v>
      </c>
      <c r="BI31" s="5">
        <f>AVERAGE(BI25:BI29)</f>
        <v>0.24811734161854671</v>
      </c>
      <c r="BJ31" s="5">
        <f>AVERAGE(BJ25:BJ29)</f>
        <v>0.2562742291702782</v>
      </c>
      <c r="BK31" s="5">
        <f>AVERAGE(BK25:BK29)</f>
        <v>-4.8020396522613362E-3</v>
      </c>
      <c r="BL31" s="5">
        <f>AVERAGE(BL25:BL29)</f>
        <v>-4.3458643362894733E-3</v>
      </c>
      <c r="BM31" s="5">
        <f>AVERAGE(BM25:BM29)</f>
        <v>3.2989263266935964E-3</v>
      </c>
      <c r="BO31" s="5">
        <f>AVERAGE(BO25:BO29)</f>
        <v>0.43461081544853664</v>
      </c>
      <c r="BP31" s="5">
        <f>AVERAGE(BP25:BP29)</f>
        <v>0.45677416592025355</v>
      </c>
      <c r="BQ31" s="5">
        <f>AVERAGE(BQ25:BQ29)</f>
        <v>2.4102246158901552E-2</v>
      </c>
      <c r="BR31" s="5">
        <f>AVERAGE(BR25:BR29)</f>
        <v>2.243853139322427E-2</v>
      </c>
      <c r="BS31" s="5">
        <f>AVERAGE(BS25:BS29)</f>
        <v>2.9694018980099601E-2</v>
      </c>
    </row>
    <row r="32" spans="1:73" collapsed="1" x14ac:dyDescent="0.3">
      <c r="B32" s="55" t="s">
        <v>290</v>
      </c>
      <c r="J32" s="56">
        <f>AVERAGE(J5:J29)</f>
        <v>0.23289795220172776</v>
      </c>
      <c r="K32" s="56">
        <f>AVERAGE(K5:K29)</f>
        <v>9.4593701447717379E-2</v>
      </c>
      <c r="L32" s="56">
        <f>AVERAGE(L5:L29)</f>
        <v>6.7354811935962142E-2</v>
      </c>
      <c r="M32" s="56">
        <f>AVERAGE(M5:M29)</f>
        <v>0.13830032098560888</v>
      </c>
      <c r="AH32" s="56">
        <f>AVERAGE(AH5:AH29)</f>
        <v>0.24476207835691807</v>
      </c>
      <c r="AI32" s="56">
        <f>AVERAGE(AI5:AI29)</f>
        <v>0.10042400009500582</v>
      </c>
      <c r="AJ32" s="56">
        <f>AVERAGE(AJ5:AJ29)</f>
        <v>7.3486977701180858E-2</v>
      </c>
      <c r="AK32" s="56">
        <f>AVERAGE(AK5:AK29)</f>
        <v>0.14433399396082444</v>
      </c>
      <c r="BG32" s="8" t="e">
        <f>AVERAGE(BG5:BG29)</f>
        <v>#VALUE!</v>
      </c>
      <c r="BI32" s="5">
        <f>AVERAGE(BI5:BI29)</f>
        <v>0.17251141774242007</v>
      </c>
      <c r="BJ32" s="5">
        <f>AVERAGE(BJ5:BJ29)</f>
        <v>0.18653656306470939</v>
      </c>
      <c r="BK32" s="5">
        <f>AVERAGE(BK5:BK29)</f>
        <v>-2.5913470689437057E-4</v>
      </c>
      <c r="BL32" s="5">
        <f>AVERAGE(BL5:BL29)</f>
        <v>-1.5173788193153737E-2</v>
      </c>
      <c r="BM32" s="5">
        <f>AVERAGE(BM5:BM29)</f>
        <v>-1.4864412797198218E-2</v>
      </c>
      <c r="BO32" s="5">
        <f>AVERAGE(BO5:BO29)</f>
        <v>0.27477496617908465</v>
      </c>
      <c r="BP32" s="5">
        <f>AVERAGE(BP5:BP29)</f>
        <v>0.30328113256616679</v>
      </c>
      <c r="BQ32" s="5">
        <f>AVERAGE(BQ5:BQ29)</f>
        <v>1.2814844345023307E-2</v>
      </c>
      <c r="BR32" s="5">
        <f>AVERAGE(BR5:BR29)</f>
        <v>4.6117913706292257E-4</v>
      </c>
      <c r="BS32" s="5">
        <f>AVERAGE(BS5:BS29)</f>
        <v>3.881414224999491E-3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Indranil Sinharoy</cp:lastModifiedBy>
  <dcterms:created xsi:type="dcterms:W3CDTF">2018-08-31T19:13:00Z</dcterms:created>
  <dcterms:modified xsi:type="dcterms:W3CDTF">2019-04-25T17:05:47Z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