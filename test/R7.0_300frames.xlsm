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E44F86BF-424B-483A-9072-F1CB14C383AA}" xr6:coauthVersionLast="47" xr6:coauthVersionMax="47" xr10:uidLastSave="{00000000-0000-0000-0000-000000000000}"/>
  <bookViews>
    <workbookView xWindow="11535" yWindow="2925" windowWidth="21600" windowHeight="14295" firstSheet="2"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BB47" i="7" s="1"/>
  <c r="AC46" i="7"/>
  <c r="AB46" i="7"/>
  <c r="BC44" i="7"/>
  <c r="BB44" i="7"/>
  <c r="BA44" i="7"/>
  <c r="AZ44" i="7"/>
  <c r="AE44" i="7"/>
  <c r="AD44" i="7"/>
  <c r="AC44" i="7"/>
  <c r="AB44" i="7"/>
  <c r="BF39" i="7"/>
  <c r="AL39" i="7"/>
  <c r="AI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M35" i="7"/>
  <c r="L35" i="7"/>
  <c r="J35" i="7"/>
  <c r="I35" i="7"/>
  <c r="BF34" i="7"/>
  <c r="AL34" i="7"/>
  <c r="AI34" i="7" s="1"/>
  <c r="AK34" i="7"/>
  <c r="AJ34" i="7"/>
  <c r="AH34" i="7"/>
  <c r="AG34" i="7"/>
  <c r="N34" i="7"/>
  <c r="K34" i="7" s="1"/>
  <c r="M34" i="7"/>
  <c r="L34" i="7"/>
  <c r="J34" i="7"/>
  <c r="I34" i="7"/>
  <c r="BF33" i="7"/>
  <c r="AL33" i="7"/>
  <c r="AI33" i="7" s="1"/>
  <c r="AK33" i="7"/>
  <c r="AJ33" i="7"/>
  <c r="AH33" i="7"/>
  <c r="AG33" i="7"/>
  <c r="N33" i="7"/>
  <c r="BG33" i="7" s="1"/>
  <c r="M33" i="7"/>
  <c r="L33" i="7"/>
  <c r="J33" i="7"/>
  <c r="I33" i="7"/>
  <c r="BF32" i="7"/>
  <c r="AL32" i="7"/>
  <c r="AK32" i="7"/>
  <c r="AJ32" i="7"/>
  <c r="AH32" i="7"/>
  <c r="AG32" i="7"/>
  <c r="N32" i="7"/>
  <c r="K32" i="7" s="1"/>
  <c r="M32" i="7"/>
  <c r="L32" i="7"/>
  <c r="J32" i="7"/>
  <c r="I32" i="7"/>
  <c r="BF31" i="7"/>
  <c r="AL31" i="7"/>
  <c r="AK31" i="7"/>
  <c r="AJ31" i="7"/>
  <c r="AI31" i="7"/>
  <c r="AH31" i="7"/>
  <c r="AG31" i="7"/>
  <c r="N31" i="7"/>
  <c r="M31" i="7"/>
  <c r="L31" i="7"/>
  <c r="J31" i="7"/>
  <c r="I31" i="7"/>
  <c r="BF30" i="7"/>
  <c r="AL30" i="7"/>
  <c r="AK30" i="7"/>
  <c r="AJ30" i="7"/>
  <c r="AI30" i="7"/>
  <c r="AH30" i="7"/>
  <c r="AG30" i="7"/>
  <c r="N30" i="7"/>
  <c r="M30" i="7"/>
  <c r="L30" i="7"/>
  <c r="J30" i="7"/>
  <c r="I30" i="7"/>
  <c r="BF29" i="7"/>
  <c r="AL29" i="7"/>
  <c r="AK29" i="7"/>
  <c r="AJ29" i="7"/>
  <c r="AH29" i="7"/>
  <c r="AG29" i="7"/>
  <c r="N29" i="7"/>
  <c r="K29" i="7" s="1"/>
  <c r="M29" i="7"/>
  <c r="L29" i="7"/>
  <c r="J29" i="7"/>
  <c r="I29" i="7"/>
  <c r="BF28" i="7"/>
  <c r="AL28" i="7"/>
  <c r="AI28" i="7" s="1"/>
  <c r="AK28" i="7"/>
  <c r="AJ28" i="7"/>
  <c r="AH28" i="7"/>
  <c r="AG28" i="7"/>
  <c r="N28" i="7"/>
  <c r="M28" i="7"/>
  <c r="L28" i="7"/>
  <c r="J28" i="7"/>
  <c r="I28" i="7"/>
  <c r="BF27" i="7"/>
  <c r="AL27" i="7"/>
  <c r="AI27" i="7" s="1"/>
  <c r="AK27" i="7"/>
  <c r="AJ27" i="7"/>
  <c r="AH27" i="7"/>
  <c r="AG27" i="7"/>
  <c r="N27" i="7"/>
  <c r="M27" i="7"/>
  <c r="L27" i="7"/>
  <c r="J27" i="7"/>
  <c r="I27" i="7"/>
  <c r="BF26" i="7"/>
  <c r="AL26" i="7"/>
  <c r="AI26" i="7" s="1"/>
  <c r="AK26" i="7"/>
  <c r="AJ26" i="7"/>
  <c r="AH26" i="7"/>
  <c r="AG26" i="7"/>
  <c r="N26" i="7"/>
  <c r="K26" i="7" s="1"/>
  <c r="M26" i="7"/>
  <c r="L26" i="7"/>
  <c r="J26" i="7"/>
  <c r="I26" i="7"/>
  <c r="BF25" i="7"/>
  <c r="AL25" i="7"/>
  <c r="AK25" i="7"/>
  <c r="AJ25" i="7"/>
  <c r="AH25" i="7"/>
  <c r="AG25" i="7"/>
  <c r="N25" i="7"/>
  <c r="K25" i="7" s="1"/>
  <c r="M25" i="7"/>
  <c r="L25" i="7"/>
  <c r="J25" i="7"/>
  <c r="I25" i="7"/>
  <c r="BF24" i="7"/>
  <c r="AL24" i="7"/>
  <c r="AI24" i="7" s="1"/>
  <c r="AK24" i="7"/>
  <c r="AJ24" i="7"/>
  <c r="AH24" i="7"/>
  <c r="AG24" i="7"/>
  <c r="N24" i="7"/>
  <c r="K24" i="7" s="1"/>
  <c r="M24" i="7"/>
  <c r="L24" i="7"/>
  <c r="J24" i="7"/>
  <c r="I24" i="7"/>
  <c r="BF23" i="7"/>
  <c r="AL23" i="7"/>
  <c r="AK23" i="7"/>
  <c r="AJ23" i="7"/>
  <c r="AI23" i="7"/>
  <c r="AH23" i="7"/>
  <c r="AG23" i="7"/>
  <c r="N23" i="7"/>
  <c r="M23" i="7"/>
  <c r="L23" i="7"/>
  <c r="J23" i="7"/>
  <c r="I23" i="7"/>
  <c r="BF22" i="7"/>
  <c r="AL22" i="7"/>
  <c r="AK22" i="7"/>
  <c r="AJ22" i="7"/>
  <c r="AI22" i="7"/>
  <c r="AH22" i="7"/>
  <c r="AG22" i="7"/>
  <c r="N22" i="7"/>
  <c r="K22" i="7" s="1"/>
  <c r="M22" i="7"/>
  <c r="L22" i="7"/>
  <c r="J22" i="7"/>
  <c r="I22" i="7"/>
  <c r="BF21" i="7"/>
  <c r="AL21" i="7"/>
  <c r="AK21" i="7"/>
  <c r="AJ21" i="7"/>
  <c r="AH21" i="7"/>
  <c r="AG21" i="7"/>
  <c r="N21" i="7"/>
  <c r="K21" i="7" s="1"/>
  <c r="M21" i="7"/>
  <c r="L21" i="7"/>
  <c r="J21" i="7"/>
  <c r="I21" i="7"/>
  <c r="BF20" i="7"/>
  <c r="AL20" i="7"/>
  <c r="BH20" i="7" s="1" a="1"/>
  <c r="AK20" i="7"/>
  <c r="AJ20" i="7"/>
  <c r="AH20" i="7"/>
  <c r="AG20" i="7"/>
  <c r="N20" i="7"/>
  <c r="BK20" i="7" s="1"/>
  <c r="M20" i="7"/>
  <c r="L20" i="7"/>
  <c r="J20" i="7"/>
  <c r="I20" i="7"/>
  <c r="BF19" i="7"/>
  <c r="AL19" i="7"/>
  <c r="AI19" i="7" s="1"/>
  <c r="AK19" i="7"/>
  <c r="AJ19" i="7"/>
  <c r="AH19" i="7"/>
  <c r="AG19" i="7"/>
  <c r="N19" i="7"/>
  <c r="M19" i="7"/>
  <c r="L19" i="7"/>
  <c r="J19" i="7"/>
  <c r="I19" i="7"/>
  <c r="BF18" i="7"/>
  <c r="AL18" i="7"/>
  <c r="AI18" i="7" s="1"/>
  <c r="AK18" i="7"/>
  <c r="AJ18" i="7"/>
  <c r="AH18" i="7"/>
  <c r="AG18" i="7"/>
  <c r="N18" i="7"/>
  <c r="K18" i="7" s="1"/>
  <c r="M18" i="7"/>
  <c r="L18" i="7"/>
  <c r="J18" i="7"/>
  <c r="I18" i="7"/>
  <c r="BF17" i="7"/>
  <c r="AL17" i="7"/>
  <c r="AK17" i="7"/>
  <c r="AJ17" i="7"/>
  <c r="AH17" i="7"/>
  <c r="AG17" i="7"/>
  <c r="N17" i="7"/>
  <c r="K17" i="7" s="1"/>
  <c r="M17" i="7"/>
  <c r="L17" i="7"/>
  <c r="J17" i="7"/>
  <c r="I17" i="7"/>
  <c r="BF16" i="7"/>
  <c r="AL16" i="7"/>
  <c r="AI16" i="7" s="1"/>
  <c r="AK16" i="7"/>
  <c r="AJ16" i="7"/>
  <c r="AH16" i="7"/>
  <c r="AG16" i="7"/>
  <c r="N16" i="7"/>
  <c r="BG16" i="7" s="1"/>
  <c r="M16" i="7"/>
  <c r="L16" i="7"/>
  <c r="J16" i="7"/>
  <c r="I16" i="7"/>
  <c r="BF15" i="7"/>
  <c r="AL15" i="7"/>
  <c r="AK15" i="7"/>
  <c r="AJ15" i="7"/>
  <c r="AI15" i="7"/>
  <c r="AH15" i="7"/>
  <c r="AG15" i="7"/>
  <c r="N15" i="7"/>
  <c r="M15" i="7"/>
  <c r="L15" i="7"/>
  <c r="J15" i="7"/>
  <c r="I15" i="7"/>
  <c r="BF14" i="7"/>
  <c r="AL14" i="7"/>
  <c r="AK14" i="7"/>
  <c r="AJ14" i="7"/>
  <c r="AI14" i="7"/>
  <c r="AH14" i="7"/>
  <c r="AG14" i="7"/>
  <c r="N14" i="7"/>
  <c r="K14" i="7" s="1"/>
  <c r="M14" i="7"/>
  <c r="L14" i="7"/>
  <c r="J14" i="7"/>
  <c r="I14" i="7"/>
  <c r="BF13" i="7"/>
  <c r="AL13" i="7"/>
  <c r="AK13" i="7"/>
  <c r="AJ13" i="7"/>
  <c r="AH13" i="7"/>
  <c r="AG13" i="7"/>
  <c r="N13" i="7"/>
  <c r="K13" i="7" s="1"/>
  <c r="M13" i="7"/>
  <c r="L13" i="7"/>
  <c r="J13" i="7"/>
  <c r="I13" i="7"/>
  <c r="BF12" i="7"/>
  <c r="AL12" i="7"/>
  <c r="AI12" i="7" s="1"/>
  <c r="AK12" i="7"/>
  <c r="AJ12" i="7"/>
  <c r="AH12" i="7"/>
  <c r="AG12" i="7"/>
  <c r="N12" i="7"/>
  <c r="BG12" i="7" s="1"/>
  <c r="M12" i="7"/>
  <c r="L12" i="7"/>
  <c r="J12" i="7"/>
  <c r="I12" i="7"/>
  <c r="BF11" i="7"/>
  <c r="AL11" i="7"/>
  <c r="AI11" i="7" s="1"/>
  <c r="AK11" i="7"/>
  <c r="AJ11" i="7"/>
  <c r="AH11" i="7"/>
  <c r="AG11" i="7"/>
  <c r="N11" i="7"/>
  <c r="M11" i="7"/>
  <c r="L11" i="7"/>
  <c r="J11" i="7"/>
  <c r="I11" i="7"/>
  <c r="BH10" i="7" a="1"/>
  <c r="BF10" i="7"/>
  <c r="AL10" i="7"/>
  <c r="AI10" i="7" s="1"/>
  <c r="AK10" i="7"/>
  <c r="AJ10" i="7"/>
  <c r="AH10" i="7"/>
  <c r="AG10" i="7"/>
  <c r="N10" i="7"/>
  <c r="M10" i="7"/>
  <c r="L10" i="7"/>
  <c r="J10" i="7"/>
  <c r="I10" i="7"/>
  <c r="BF9" i="7"/>
  <c r="AL9" i="7"/>
  <c r="AK9" i="7"/>
  <c r="AJ9" i="7"/>
  <c r="AH9" i="7"/>
  <c r="AG9" i="7"/>
  <c r="N9" i="7"/>
  <c r="K9" i="7" s="1"/>
  <c r="M9" i="7"/>
  <c r="L9" i="7"/>
  <c r="J9" i="7"/>
  <c r="I9" i="7"/>
  <c r="BF8" i="7"/>
  <c r="AL8" i="7"/>
  <c r="AI8" i="7" s="1"/>
  <c r="AK8" i="7"/>
  <c r="AJ8" i="7"/>
  <c r="AH8" i="7"/>
  <c r="AG8" i="7"/>
  <c r="N8" i="7"/>
  <c r="BG8" i="7" s="1"/>
  <c r="M8" i="7"/>
  <c r="L8" i="7"/>
  <c r="J8" i="7"/>
  <c r="I8" i="7"/>
  <c r="BF7" i="7"/>
  <c r="AL7" i="7"/>
  <c r="AK7" i="7"/>
  <c r="AJ7" i="7"/>
  <c r="AI7" i="7"/>
  <c r="AH7" i="7"/>
  <c r="AG7" i="7"/>
  <c r="N7" i="7"/>
  <c r="K7" i="7" s="1"/>
  <c r="M7" i="7"/>
  <c r="L7" i="7"/>
  <c r="J7" i="7"/>
  <c r="I7" i="7"/>
  <c r="BF6" i="7"/>
  <c r="AL6" i="7"/>
  <c r="AK6" i="7"/>
  <c r="AJ6" i="7"/>
  <c r="AI6" i="7"/>
  <c r="AH6" i="7"/>
  <c r="AG6" i="7"/>
  <c r="N6" i="7"/>
  <c r="M6" i="7"/>
  <c r="L6" i="7"/>
  <c r="K6" i="7"/>
  <c r="J6" i="7"/>
  <c r="I6" i="7"/>
  <c r="BF5" i="7"/>
  <c r="AL5" i="7"/>
  <c r="AK5" i="7"/>
  <c r="AJ5" i="7"/>
  <c r="AH5" i="7"/>
  <c r="AG5" i="7"/>
  <c r="N5" i="7"/>
  <c r="M5" i="7"/>
  <c r="L5" i="7"/>
  <c r="J5" i="7"/>
  <c r="I5" i="7"/>
  <c r="AG1" i="7"/>
  <c r="I1" i="7"/>
  <c r="AZ18" i="6"/>
  <c r="AY18" i="6"/>
  <c r="AX18" i="6"/>
  <c r="AW18" i="6"/>
  <c r="AC18" i="6"/>
  <c r="AB18" i="6"/>
  <c r="AA18" i="6"/>
  <c r="Z18" i="6"/>
  <c r="AZ16" i="6"/>
  <c r="AY16" i="6"/>
  <c r="AX16" i="6"/>
  <c r="AW16" i="6"/>
  <c r="AC16" i="6"/>
  <c r="AB16" i="6"/>
  <c r="AA16" i="6"/>
  <c r="AX17" i="6" s="1"/>
  <c r="Z16" i="6"/>
  <c r="AK11" i="6"/>
  <c r="AJ11" i="6"/>
  <c r="AI11" i="6"/>
  <c r="AH11" i="6"/>
  <c r="AG11" i="6"/>
  <c r="AF11" i="6"/>
  <c r="AE11" i="6"/>
  <c r="N11" i="6"/>
  <c r="BF11" i="6" s="1"/>
  <c r="M11" i="6"/>
  <c r="L11" i="6"/>
  <c r="J11" i="6"/>
  <c r="I11" i="6"/>
  <c r="H11" i="6"/>
  <c r="AK10" i="6"/>
  <c r="AJ10" i="6"/>
  <c r="AI10" i="6"/>
  <c r="AG10" i="6"/>
  <c r="AF10" i="6"/>
  <c r="AE10" i="6"/>
  <c r="N10" i="6"/>
  <c r="K10" i="6" s="1"/>
  <c r="M10" i="6"/>
  <c r="L10" i="6"/>
  <c r="L14" i="6" s="1"/>
  <c r="J10" i="6"/>
  <c r="J14" i="6" s="1"/>
  <c r="I10" i="6"/>
  <c r="H10" i="6"/>
  <c r="BG9" i="6" a="1"/>
  <c r="AK9" i="6"/>
  <c r="AH9" i="6" s="1"/>
  <c r="AJ9" i="6"/>
  <c r="AI9" i="6"/>
  <c r="AI13" i="6" s="1"/>
  <c r="AG9" i="6"/>
  <c r="AG13" i="6" s="1"/>
  <c r="AF9" i="6"/>
  <c r="AE9" i="6"/>
  <c r="N9" i="6"/>
  <c r="K9" i="6" s="1"/>
  <c r="K13" i="6" s="1"/>
  <c r="M9" i="6"/>
  <c r="M13" i="6" s="1"/>
  <c r="L9" i="6"/>
  <c r="L13" i="6" s="1"/>
  <c r="J9" i="6"/>
  <c r="I9" i="6"/>
  <c r="H9" i="6"/>
  <c r="AK8" i="6"/>
  <c r="AJ8" i="6"/>
  <c r="AI8" i="6"/>
  <c r="AG8" i="6"/>
  <c r="AF8" i="6"/>
  <c r="AE8" i="6"/>
  <c r="N8" i="6"/>
  <c r="K8" i="6" s="1"/>
  <c r="M8" i="6"/>
  <c r="BE8" i="6" s="1"/>
  <c r="L8" i="6"/>
  <c r="J8" i="6"/>
  <c r="I8" i="6"/>
  <c r="H8" i="6"/>
  <c r="AK7" i="6"/>
  <c r="AH7" i="6" s="1"/>
  <c r="AJ7" i="6"/>
  <c r="AI7" i="6"/>
  <c r="AG7" i="6"/>
  <c r="AF7" i="6"/>
  <c r="AE7" i="6"/>
  <c r="N7" i="6"/>
  <c r="M7" i="6"/>
  <c r="L7" i="6"/>
  <c r="J7" i="6"/>
  <c r="I7" i="6"/>
  <c r="H7" i="6"/>
  <c r="AK6" i="6"/>
  <c r="AJ6" i="6"/>
  <c r="AI6" i="6"/>
  <c r="AG6" i="6"/>
  <c r="AF6" i="6"/>
  <c r="AE6" i="6"/>
  <c r="N6" i="6"/>
  <c r="K6" i="6" s="1"/>
  <c r="M6" i="6"/>
  <c r="L6" i="6"/>
  <c r="J6" i="6"/>
  <c r="I6" i="6"/>
  <c r="H6" i="6"/>
  <c r="AK5" i="6"/>
  <c r="AJ5" i="6"/>
  <c r="AI5" i="6"/>
  <c r="AG5" i="6"/>
  <c r="AF5" i="6"/>
  <c r="AE5" i="6"/>
  <c r="N5" i="6"/>
  <c r="K5" i="6" s="1"/>
  <c r="M5" i="6"/>
  <c r="L5" i="6"/>
  <c r="J5" i="6"/>
  <c r="I5" i="6"/>
  <c r="H5" i="6"/>
  <c r="AE1" i="6"/>
  <c r="H1" i="6"/>
  <c r="AZ18" i="5"/>
  <c r="AY18" i="5"/>
  <c r="AX18" i="5"/>
  <c r="AW18" i="5"/>
  <c r="AC18" i="5"/>
  <c r="AB18" i="5"/>
  <c r="AA18" i="5"/>
  <c r="Z18" i="5"/>
  <c r="AZ16" i="5"/>
  <c r="AY16" i="5"/>
  <c r="AX16" i="5"/>
  <c r="AW16" i="5"/>
  <c r="AC16" i="5"/>
  <c r="AZ17" i="5" s="1"/>
  <c r="AB16" i="5"/>
  <c r="AA16" i="5"/>
  <c r="Z16" i="5"/>
  <c r="AK11" i="5"/>
  <c r="AJ11" i="5"/>
  <c r="AI11" i="5"/>
  <c r="AG11" i="5"/>
  <c r="AF11" i="5"/>
  <c r="AE11" i="5"/>
  <c r="N11" i="5"/>
  <c r="K11" i="5" s="1"/>
  <c r="M11" i="5"/>
  <c r="L11" i="5"/>
  <c r="J11" i="5"/>
  <c r="I11" i="5"/>
  <c r="H11" i="5"/>
  <c r="AK10" i="5"/>
  <c r="BG10" i="5" s="1" a="1"/>
  <c r="BG10" i="5" s="1"/>
  <c r="AJ10" i="5"/>
  <c r="AJ14" i="5" s="1"/>
  <c r="AI10" i="5"/>
  <c r="AG10" i="5"/>
  <c r="AG14" i="5" s="1"/>
  <c r="AF10" i="5"/>
  <c r="AE10" i="5"/>
  <c r="N10" i="5"/>
  <c r="K10" i="5" s="1"/>
  <c r="M10" i="5"/>
  <c r="L10" i="5"/>
  <c r="L14" i="5" s="1"/>
  <c r="J10" i="5"/>
  <c r="J14" i="5" s="1"/>
  <c r="I10" i="5"/>
  <c r="H10" i="5"/>
  <c r="BG9" i="5" a="1"/>
  <c r="AK9" i="5"/>
  <c r="AH9" i="5" s="1"/>
  <c r="AH13" i="5" s="1"/>
  <c r="AJ9" i="5"/>
  <c r="AI9" i="5"/>
  <c r="AG9" i="5"/>
  <c r="AG13" i="5" s="1"/>
  <c r="AF9" i="5"/>
  <c r="AE9" i="5"/>
  <c r="N9" i="5"/>
  <c r="M9" i="5"/>
  <c r="M13" i="5" s="1"/>
  <c r="L9" i="5"/>
  <c r="L13" i="5" s="1"/>
  <c r="J9" i="5"/>
  <c r="I9" i="5"/>
  <c r="H9" i="5"/>
  <c r="BG8" i="5" a="1"/>
  <c r="AK8" i="5"/>
  <c r="AJ8" i="5"/>
  <c r="AI8" i="5"/>
  <c r="AG8" i="5"/>
  <c r="BB8" i="5" s="1"/>
  <c r="AF8" i="5"/>
  <c r="AE8" i="5"/>
  <c r="N8" i="5"/>
  <c r="K8" i="5" s="1"/>
  <c r="M8" i="5"/>
  <c r="L8" i="5"/>
  <c r="J8" i="5"/>
  <c r="I8" i="5"/>
  <c r="H8" i="5"/>
  <c r="AK7" i="5"/>
  <c r="AJ7" i="5"/>
  <c r="AI7" i="5"/>
  <c r="AG7" i="5"/>
  <c r="BB7" i="5" s="1"/>
  <c r="AF7" i="5"/>
  <c r="AE7" i="5"/>
  <c r="N7" i="5"/>
  <c r="K7" i="5" s="1"/>
  <c r="M7" i="5"/>
  <c r="L7" i="5"/>
  <c r="J7" i="5"/>
  <c r="I7" i="5"/>
  <c r="H7" i="5"/>
  <c r="AK6" i="5"/>
  <c r="BG6" i="5" s="1" a="1"/>
  <c r="AJ6" i="5"/>
  <c r="AI6" i="5"/>
  <c r="BD6" i="5" s="1"/>
  <c r="AG6" i="5"/>
  <c r="AF6" i="5"/>
  <c r="AE6" i="5"/>
  <c r="N6" i="5"/>
  <c r="K6" i="5" s="1"/>
  <c r="M6" i="5"/>
  <c r="L6" i="5"/>
  <c r="J6" i="5"/>
  <c r="I6" i="5"/>
  <c r="H6" i="5"/>
  <c r="BG5" i="5" a="1"/>
  <c r="AK5" i="5"/>
  <c r="AH5" i="5" s="1"/>
  <c r="AJ5" i="5"/>
  <c r="AJ12" i="5" s="1"/>
  <c r="AI5" i="5"/>
  <c r="AG5" i="5"/>
  <c r="AF5" i="5"/>
  <c r="AE5" i="5"/>
  <c r="N5" i="5"/>
  <c r="M5" i="5"/>
  <c r="L5" i="5"/>
  <c r="J5" i="5"/>
  <c r="I5" i="5"/>
  <c r="H5" i="5"/>
  <c r="AE1" i="5"/>
  <c r="H1" i="5"/>
  <c r="BC46" i="3"/>
  <c r="BB46" i="3"/>
  <c r="BA46" i="3"/>
  <c r="AZ46" i="3"/>
  <c r="AE46" i="3"/>
  <c r="AD46" i="3"/>
  <c r="AC46" i="3"/>
  <c r="AB46" i="3"/>
  <c r="BC44" i="3"/>
  <c r="BB44" i="3"/>
  <c r="BA44" i="3"/>
  <c r="AZ44" i="3"/>
  <c r="AE44" i="3"/>
  <c r="AD44" i="3"/>
  <c r="AC44" i="3"/>
  <c r="AB44" i="3"/>
  <c r="BF39" i="3"/>
  <c r="AL39" i="3"/>
  <c r="AK39" i="3"/>
  <c r="AJ39" i="3"/>
  <c r="AI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H35" i="3" a="1"/>
  <c r="BF35" i="3"/>
  <c r="AL35" i="3"/>
  <c r="AK35" i="3"/>
  <c r="AJ35" i="3"/>
  <c r="AI35" i="3"/>
  <c r="AH35" i="3"/>
  <c r="AG35" i="3"/>
  <c r="N35" i="3"/>
  <c r="BJ35" i="3" s="1"/>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BG32" i="3" s="1"/>
  <c r="M32" i="3"/>
  <c r="L32" i="3"/>
  <c r="J32" i="3"/>
  <c r="I32" i="3"/>
  <c r="BF31" i="3"/>
  <c r="AL31" i="3"/>
  <c r="AI31" i="3" s="1"/>
  <c r="AK31" i="3"/>
  <c r="AJ31" i="3"/>
  <c r="AH31" i="3"/>
  <c r="AG31" i="3"/>
  <c r="N31" i="3"/>
  <c r="M31" i="3"/>
  <c r="L31" i="3"/>
  <c r="J31" i="3"/>
  <c r="I31" i="3"/>
  <c r="BF30" i="3"/>
  <c r="AL30" i="3"/>
  <c r="AK30" i="3"/>
  <c r="AJ30" i="3"/>
  <c r="AJ42" i="3" s="1"/>
  <c r="AH30" i="3"/>
  <c r="AG30" i="3"/>
  <c r="N30" i="3"/>
  <c r="BK30" i="3" s="1"/>
  <c r="M30" i="3"/>
  <c r="L30" i="3"/>
  <c r="J30" i="3"/>
  <c r="I30" i="3"/>
  <c r="BF29" i="3"/>
  <c r="AL29" i="3"/>
  <c r="AI29" i="3" s="1"/>
  <c r="AK29" i="3"/>
  <c r="AJ29" i="3"/>
  <c r="AH29" i="3"/>
  <c r="AG29" i="3"/>
  <c r="N29" i="3"/>
  <c r="BG29" i="3" s="1"/>
  <c r="M29" i="3"/>
  <c r="L29" i="3"/>
  <c r="J29" i="3"/>
  <c r="I29" i="3"/>
  <c r="BF28" i="3"/>
  <c r="AL28" i="3"/>
  <c r="AI28" i="3" s="1"/>
  <c r="AK28" i="3"/>
  <c r="AJ28" i="3"/>
  <c r="AH28" i="3"/>
  <c r="AG28" i="3"/>
  <c r="N28" i="3"/>
  <c r="K28" i="3" s="1"/>
  <c r="M28" i="3"/>
  <c r="L28" i="3"/>
  <c r="J28" i="3"/>
  <c r="I28" i="3"/>
  <c r="BF27" i="3"/>
  <c r="AL27" i="3"/>
  <c r="AK27" i="3"/>
  <c r="AJ27" i="3"/>
  <c r="AI27" i="3"/>
  <c r="AH27" i="3"/>
  <c r="AG27" i="3"/>
  <c r="N27" i="3"/>
  <c r="BG27" i="3" s="1"/>
  <c r="M27" i="3"/>
  <c r="L27" i="3"/>
  <c r="J27" i="3"/>
  <c r="I27" i="3"/>
  <c r="BF26" i="3"/>
  <c r="AL26" i="3"/>
  <c r="AK26" i="3"/>
  <c r="AJ26" i="3"/>
  <c r="AI26" i="3"/>
  <c r="AH26" i="3"/>
  <c r="AG26" i="3"/>
  <c r="N26" i="3"/>
  <c r="K26" i="3" s="1"/>
  <c r="M26" i="3"/>
  <c r="L26" i="3"/>
  <c r="J26" i="3"/>
  <c r="I26" i="3"/>
  <c r="BF25" i="3"/>
  <c r="AL25" i="3"/>
  <c r="AK25" i="3"/>
  <c r="AJ25" i="3"/>
  <c r="AH25" i="3"/>
  <c r="AH41" i="3" s="1"/>
  <c r="AG25" i="3"/>
  <c r="N25" i="3"/>
  <c r="K25" i="3" s="1"/>
  <c r="M25" i="3"/>
  <c r="L25" i="3"/>
  <c r="L41" i="3" s="1"/>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BG22" i="3" s="1"/>
  <c r="AK22" i="3"/>
  <c r="AJ22" i="3"/>
  <c r="AH22" i="3"/>
  <c r="AG22" i="3"/>
  <c r="N22" i="3"/>
  <c r="M22" i="3"/>
  <c r="L22" i="3"/>
  <c r="K22" i="3"/>
  <c r="J22" i="3"/>
  <c r="I22" i="3"/>
  <c r="BF21" i="3"/>
  <c r="AL21" i="3"/>
  <c r="BG21" i="3" s="1"/>
  <c r="AK21" i="3"/>
  <c r="AJ21" i="3"/>
  <c r="AH21" i="3"/>
  <c r="AG21" i="3"/>
  <c r="N21" i="3"/>
  <c r="M21" i="3"/>
  <c r="L21" i="3"/>
  <c r="K21" i="3"/>
  <c r="J21" i="3"/>
  <c r="I21" i="3"/>
  <c r="BF20" i="3"/>
  <c r="AL20" i="3"/>
  <c r="AK20" i="3"/>
  <c r="AJ20" i="3"/>
  <c r="AI20" i="3"/>
  <c r="AH20" i="3"/>
  <c r="AG20" i="3"/>
  <c r="N20" i="3"/>
  <c r="K20" i="3" s="1"/>
  <c r="M20" i="3"/>
  <c r="L20" i="3"/>
  <c r="J20" i="3"/>
  <c r="I20" i="3"/>
  <c r="BF19" i="3"/>
  <c r="AL19" i="3"/>
  <c r="AK19" i="3"/>
  <c r="AJ19" i="3"/>
  <c r="AI19" i="3"/>
  <c r="AH19" i="3"/>
  <c r="AG19" i="3"/>
  <c r="N19" i="3"/>
  <c r="K19" i="3" s="1"/>
  <c r="M19" i="3"/>
  <c r="L19" i="3"/>
  <c r="J19" i="3"/>
  <c r="I19" i="3"/>
  <c r="BF18" i="3"/>
  <c r="AL18" i="3"/>
  <c r="AK18" i="3"/>
  <c r="AJ18" i="3"/>
  <c r="AI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K16" i="3" s="1"/>
  <c r="M16" i="3"/>
  <c r="L16" i="3"/>
  <c r="J16" i="3"/>
  <c r="I16" i="3"/>
  <c r="BF15" i="3"/>
  <c r="AL15" i="3"/>
  <c r="AI15" i="3" s="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BG12" i="3" s="1"/>
  <c r="M12" i="3"/>
  <c r="L12" i="3"/>
  <c r="K12" i="3"/>
  <c r="J12" i="3"/>
  <c r="I12" i="3"/>
  <c r="BF11" i="3"/>
  <c r="AL11" i="3"/>
  <c r="BG11" i="3" s="1"/>
  <c r="AK11" i="3"/>
  <c r="AJ11" i="3"/>
  <c r="AH11" i="3"/>
  <c r="AG11" i="3"/>
  <c r="N11" i="3"/>
  <c r="K11" i="3" s="1"/>
  <c r="M11" i="3"/>
  <c r="L11" i="3"/>
  <c r="J11" i="3"/>
  <c r="I11" i="3"/>
  <c r="BH10" i="3" a="1"/>
  <c r="BF10" i="3"/>
  <c r="AL10" i="3"/>
  <c r="AK10" i="3"/>
  <c r="AJ10" i="3"/>
  <c r="AI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I7" i="3"/>
  <c r="BE7" i="3" s="1"/>
  <c r="AH7" i="3"/>
  <c r="AG7" i="3"/>
  <c r="N7" i="3"/>
  <c r="K7" i="3" s="1"/>
  <c r="M7" i="3"/>
  <c r="L7" i="3"/>
  <c r="J7" i="3"/>
  <c r="I7" i="3"/>
  <c r="BF6" i="3"/>
  <c r="AL6" i="3"/>
  <c r="AK6" i="3"/>
  <c r="AJ6" i="3"/>
  <c r="AI6" i="3"/>
  <c r="AH6" i="3"/>
  <c r="AG6" i="3"/>
  <c r="N6" i="3"/>
  <c r="K6" i="3" s="1"/>
  <c r="M6" i="3"/>
  <c r="L6" i="3"/>
  <c r="J6" i="3"/>
  <c r="I6" i="3"/>
  <c r="BF5" i="3"/>
  <c r="AL5" i="3"/>
  <c r="AK5" i="3"/>
  <c r="AJ5" i="3"/>
  <c r="AH5" i="3"/>
  <c r="AG5" i="3"/>
  <c r="N5" i="3"/>
  <c r="K5" i="3" s="1"/>
  <c r="M5" i="3"/>
  <c r="L5" i="3"/>
  <c r="J5" i="3"/>
  <c r="I5" i="3"/>
  <c r="AG1" i="3"/>
  <c r="I1" i="3"/>
  <c r="B2" i="2"/>
  <c r="B1" i="2"/>
  <c r="BQ35" i="7"/>
  <c r="BL35" i="7"/>
  <c r="BR30" i="7"/>
  <c r="BM30" i="7"/>
  <c r="BS25" i="7"/>
  <c r="BN25" i="7"/>
  <c r="BT20" i="7"/>
  <c r="BP20" i="7"/>
  <c r="BJ20" i="7"/>
  <c r="BS15" i="7"/>
  <c r="BN15" i="7"/>
  <c r="BT10" i="7"/>
  <c r="BP10" i="7"/>
  <c r="BK10" i="7"/>
  <c r="BS5" i="7"/>
  <c r="BN5" i="7"/>
  <c r="BR35" i="3"/>
  <c r="BM35" i="3"/>
  <c r="BS30" i="3"/>
  <c r="BN30" i="3"/>
  <c r="BQ25" i="3"/>
  <c r="BL25" i="3"/>
  <c r="BT20" i="3"/>
  <c r="BP20" i="3"/>
  <c r="BR15" i="3"/>
  <c r="BM15" i="3"/>
  <c r="BQ10" i="3"/>
  <c r="BL10" i="3"/>
  <c r="BR5" i="3"/>
  <c r="BM5" i="3"/>
  <c r="BJ5" i="3"/>
  <c r="BS35" i="7"/>
  <c r="BT30" i="7"/>
  <c r="BQ25" i="7"/>
  <c r="BM20" i="7"/>
  <c r="BQ15" i="7"/>
  <c r="BM10" i="7"/>
  <c r="BL5" i="7"/>
  <c r="BP35" i="3"/>
  <c r="BQ30" i="3"/>
  <c r="BS25" i="3"/>
  <c r="BR20" i="3"/>
  <c r="BT15" i="3"/>
  <c r="BS10" i="3"/>
  <c r="BP5" i="3"/>
  <c r="BR35" i="7"/>
  <c r="BS30" i="7"/>
  <c r="BT25" i="7"/>
  <c r="BL20" i="7"/>
  <c r="BT15" i="7"/>
  <c r="BL10" i="7"/>
  <c r="BP5" i="7"/>
  <c r="BS35" i="3"/>
  <c r="BT30" i="3"/>
  <c r="BR25" i="3"/>
  <c r="BQ20" i="3"/>
  <c r="BS15" i="3"/>
  <c r="BR10" i="3"/>
  <c r="BN5" i="3"/>
  <c r="BT35" i="7"/>
  <c r="BP35" i="7"/>
  <c r="BQ30" i="7"/>
  <c r="BL30" i="7"/>
  <c r="BK30" i="7"/>
  <c r="BR25" i="7"/>
  <c r="BM25" i="7"/>
  <c r="BJ25" i="7"/>
  <c r="BS20" i="7"/>
  <c r="BN20" i="7"/>
  <c r="BR15" i="7"/>
  <c r="BM15" i="7"/>
  <c r="BS10" i="7"/>
  <c r="BN10" i="7"/>
  <c r="BR5" i="7"/>
  <c r="BM5" i="7"/>
  <c r="BK5" i="7"/>
  <c r="BQ35" i="3"/>
  <c r="BL35" i="3"/>
  <c r="BR30" i="3"/>
  <c r="BM30" i="3"/>
  <c r="BT25" i="3"/>
  <c r="BP25" i="3"/>
  <c r="BS20" i="3"/>
  <c r="BN20" i="3"/>
  <c r="BQ15" i="3"/>
  <c r="BL15" i="3"/>
  <c r="BK15" i="3"/>
  <c r="BT10" i="3"/>
  <c r="BP10" i="3"/>
  <c r="BQ5" i="3"/>
  <c r="BL5" i="3"/>
  <c r="BN35" i="7"/>
  <c r="BP30" i="7"/>
  <c r="BL25" i="7"/>
  <c r="BR20" i="7"/>
  <c r="BL15" i="7"/>
  <c r="BR10" i="7"/>
  <c r="BQ5" i="7"/>
  <c r="BT35" i="3"/>
  <c r="BL30" i="3"/>
  <c r="BN25" i="3"/>
  <c r="BK25" i="3"/>
  <c r="BM20" i="3"/>
  <c r="BP15" i="3"/>
  <c r="BN10" i="3"/>
  <c r="BT5" i="3"/>
  <c r="BM35" i="7"/>
  <c r="BN30" i="7"/>
  <c r="BP25" i="7"/>
  <c r="BQ20" i="7"/>
  <c r="BP15" i="7"/>
  <c r="BQ10" i="7"/>
  <c r="BT5" i="7"/>
  <c r="BN35" i="3"/>
  <c r="BP30" i="3"/>
  <c r="BM25" i="3"/>
  <c r="BJ25" i="3"/>
  <c r="BL20" i="3"/>
  <c r="BN15" i="3"/>
  <c r="BM10" i="3"/>
  <c r="BS5" i="3"/>
  <c r="BK5" i="3"/>
  <c r="BD11" i="5" l="1"/>
  <c r="AJ43" i="7"/>
  <c r="L41" i="7"/>
  <c r="BB8" i="6"/>
  <c r="BE11" i="6"/>
  <c r="BK10" i="3"/>
  <c r="BJ20" i="3"/>
  <c r="BG6" i="3"/>
  <c r="BG7" i="3"/>
  <c r="BG26" i="3"/>
  <c r="K29" i="3"/>
  <c r="BE29" i="3" s="1"/>
  <c r="BJ10" i="3"/>
  <c r="BK20" i="3"/>
  <c r="BK40" i="3" s="1"/>
  <c r="D9" i="1" s="1"/>
  <c r="BG23" i="3"/>
  <c r="K12" i="7"/>
  <c r="BE12" i="7" s="1"/>
  <c r="BG14" i="7"/>
  <c r="K16" i="7"/>
  <c r="BF5" i="6"/>
  <c r="BE7" i="6"/>
  <c r="BF10" i="6"/>
  <c r="BF6" i="6"/>
  <c r="BB10" i="6"/>
  <c r="AH5" i="6"/>
  <c r="BB7" i="6"/>
  <c r="BD11" i="6"/>
  <c r="AJ14" i="6"/>
  <c r="BB11" i="6"/>
  <c r="AY17" i="5"/>
  <c r="M14" i="5"/>
  <c r="BE14" i="5" s="1"/>
  <c r="BB11" i="5"/>
  <c r="BG6" i="5"/>
  <c r="BF8" i="5"/>
  <c r="BE9" i="5"/>
  <c r="BD10" i="5"/>
  <c r="BE10" i="5"/>
  <c r="BD7" i="5"/>
  <c r="BD8" i="5"/>
  <c r="BB9" i="5"/>
  <c r="AI14" i="5"/>
  <c r="BD14" i="5" s="1"/>
  <c r="BE6" i="5"/>
  <c r="BE7" i="5"/>
  <c r="BG30" i="3"/>
  <c r="BA47" i="3"/>
  <c r="BE39" i="3"/>
  <c r="AH41" i="7"/>
  <c r="AK42" i="7"/>
  <c r="AJ40" i="7"/>
  <c r="BG20" i="7"/>
  <c r="BG28" i="7"/>
  <c r="BG36" i="7"/>
  <c r="BE38" i="7"/>
  <c r="BH10" i="7"/>
  <c r="L42" i="7"/>
  <c r="BG38" i="7"/>
  <c r="BG24" i="7"/>
  <c r="BE26" i="7"/>
  <c r="BE14" i="7"/>
  <c r="BG26" i="7"/>
  <c r="K28" i="7"/>
  <c r="BE28" i="7" s="1"/>
  <c r="BG30" i="7"/>
  <c r="K33" i="7"/>
  <c r="BE33" i="7" s="1"/>
  <c r="C48" i="1"/>
  <c r="BC47" i="7"/>
  <c r="BG6" i="7"/>
  <c r="BG7" i="7"/>
  <c r="K8" i="7"/>
  <c r="BE8" i="7" s="1"/>
  <c r="BG18" i="7"/>
  <c r="K20" i="7"/>
  <c r="BH20" i="7"/>
  <c r="BG34" i="7"/>
  <c r="K36" i="7"/>
  <c r="BE36" i="7" s="1"/>
  <c r="AZ45" i="7"/>
  <c r="AZ47" i="7"/>
  <c r="BC45" i="7"/>
  <c r="BE6" i="7"/>
  <c r="BG10" i="7"/>
  <c r="BE18" i="7"/>
  <c r="BG22" i="7"/>
  <c r="BE34" i="7"/>
  <c r="BA45" i="7"/>
  <c r="BA47" i="7"/>
  <c r="BE22" i="7"/>
  <c r="BB45" i="7"/>
  <c r="BE6" i="6"/>
  <c r="BB9" i="6"/>
  <c r="AG12" i="6"/>
  <c r="BF7" i="6"/>
  <c r="BE10" i="6"/>
  <c r="AI12" i="6"/>
  <c r="BD7" i="6"/>
  <c r="BG9" i="6"/>
  <c r="BG13" i="6" s="1"/>
  <c r="AY17" i="6"/>
  <c r="AX19" i="6"/>
  <c r="BB6" i="6"/>
  <c r="BD8" i="6"/>
  <c r="BD9" i="6"/>
  <c r="AZ17" i="6"/>
  <c r="AY19" i="6"/>
  <c r="AW19" i="6"/>
  <c r="L12" i="6"/>
  <c r="M14" i="6"/>
  <c r="BD5" i="6"/>
  <c r="BD6" i="6"/>
  <c r="BD13" i="6"/>
  <c r="J13" i="6"/>
  <c r="BB13" i="6" s="1"/>
  <c r="AW17" i="6"/>
  <c r="AZ19" i="6"/>
  <c r="AH6" i="5"/>
  <c r="BC6" i="5" s="1"/>
  <c r="BG8" i="5"/>
  <c r="AH10" i="5"/>
  <c r="BC10" i="5" s="1"/>
  <c r="BB6" i="5"/>
  <c r="AG15" i="5"/>
  <c r="BF5" i="5"/>
  <c r="BF9" i="5"/>
  <c r="AJ13" i="5"/>
  <c r="BE13" i="5" s="1"/>
  <c r="BG5" i="5"/>
  <c r="BG12" i="5" s="1"/>
  <c r="BG9" i="5"/>
  <c r="BG13" i="5" s="1"/>
  <c r="J13" i="5"/>
  <c r="BB13" i="5" s="1"/>
  <c r="AX19" i="5"/>
  <c r="D20" i="1"/>
  <c r="K5" i="5"/>
  <c r="BC5" i="5" s="1"/>
  <c r="K9" i="5"/>
  <c r="K13" i="5" s="1"/>
  <c r="BC13" i="5" s="1"/>
  <c r="AW17" i="5"/>
  <c r="BB14" i="5"/>
  <c r="AX17" i="5"/>
  <c r="M12" i="5"/>
  <c r="BF6" i="5"/>
  <c r="BE8" i="5"/>
  <c r="BF10" i="5"/>
  <c r="AW19" i="5"/>
  <c r="AI11" i="3"/>
  <c r="BE11" i="3" s="1"/>
  <c r="AI22" i="3"/>
  <c r="BE22" i="3" s="1"/>
  <c r="AI23" i="3"/>
  <c r="BE23" i="3" s="1"/>
  <c r="AI30" i="3"/>
  <c r="BG8" i="3"/>
  <c r="BG36" i="3"/>
  <c r="BG37" i="3"/>
  <c r="BE10" i="3"/>
  <c r="BE14" i="3"/>
  <c r="BE20" i="3"/>
  <c r="BG24" i="3"/>
  <c r="BC45" i="3"/>
  <c r="BC47" i="3"/>
  <c r="BE6" i="3"/>
  <c r="BH10" i="3"/>
  <c r="BE16" i="3"/>
  <c r="BG17" i="3"/>
  <c r="BG20" i="3"/>
  <c r="BE26" i="3"/>
  <c r="K32" i="3"/>
  <c r="BE32" i="3" s="1"/>
  <c r="BG34" i="3"/>
  <c r="AZ45" i="3"/>
  <c r="AZ47" i="3"/>
  <c r="BE8" i="3"/>
  <c r="BG9" i="3"/>
  <c r="BE12" i="3"/>
  <c r="BG13" i="3"/>
  <c r="BG16" i="3"/>
  <c r="BG18" i="3"/>
  <c r="BG19" i="3"/>
  <c r="M42" i="3"/>
  <c r="BA45" i="3"/>
  <c r="BG14" i="3"/>
  <c r="BG15" i="3"/>
  <c r="BE18" i="3"/>
  <c r="BE24" i="3"/>
  <c r="BH35" i="3"/>
  <c r="BG38" i="3"/>
  <c r="BG39" i="3"/>
  <c r="BB45" i="3"/>
  <c r="BB47" i="3"/>
  <c r="BJ41" i="3"/>
  <c r="C10" i="1" s="1"/>
  <c r="BM41" i="3"/>
  <c r="F10" i="1" s="1"/>
  <c r="BN42" i="7"/>
  <c r="G45" i="1" s="1"/>
  <c r="BK41" i="3"/>
  <c r="D10" i="1" s="1"/>
  <c r="BN41" i="3"/>
  <c r="G10" i="1" s="1"/>
  <c r="BL42" i="3"/>
  <c r="E11" i="1" s="1"/>
  <c r="BL41" i="7"/>
  <c r="E44" i="1" s="1"/>
  <c r="BM42" i="3"/>
  <c r="F11" i="1" s="1"/>
  <c r="BJ41" i="7"/>
  <c r="C44" i="1" s="1"/>
  <c r="BM41" i="7"/>
  <c r="F44" i="1" s="1"/>
  <c r="BL42" i="7"/>
  <c r="E45" i="1" s="1"/>
  <c r="BM43" i="3"/>
  <c r="F12" i="1" s="1"/>
  <c r="BL41" i="3"/>
  <c r="E10" i="1" s="1"/>
  <c r="BN42" i="3"/>
  <c r="G11" i="1" s="1"/>
  <c r="BS42" i="3"/>
  <c r="BN40" i="7"/>
  <c r="G43" i="1" s="1"/>
  <c r="BN41" i="7"/>
  <c r="G44" i="1" s="1"/>
  <c r="BS41" i="7"/>
  <c r="BM42" i="7"/>
  <c r="F45" i="1" s="1"/>
  <c r="BE19" i="3"/>
  <c r="BQ41" i="3"/>
  <c r="BE28" i="3"/>
  <c r="BE36" i="3"/>
  <c r="BR42" i="3"/>
  <c r="J12" i="5"/>
  <c r="AY19" i="5"/>
  <c r="BG15" i="7"/>
  <c r="K15" i="7"/>
  <c r="BE15" i="7" s="1"/>
  <c r="BG17" i="7"/>
  <c r="BH15" i="7" a="1"/>
  <c r="BH15" i="7" s="1"/>
  <c r="AI17" i="7"/>
  <c r="BE17" i="7" s="1"/>
  <c r="L43" i="3"/>
  <c r="L40" i="3"/>
  <c r="AH43" i="3"/>
  <c r="AH40" i="3"/>
  <c r="BL43" i="3"/>
  <c r="E12" i="1" s="1"/>
  <c r="BL40" i="3"/>
  <c r="E9" i="1" s="1"/>
  <c r="BQ43" i="3"/>
  <c r="BQ40" i="3"/>
  <c r="M43" i="3"/>
  <c r="M40" i="3"/>
  <c r="AI5" i="3"/>
  <c r="BH5" i="3" a="1"/>
  <c r="BH5" i="3" s="1"/>
  <c r="AI9" i="3"/>
  <c r="BE9" i="3" s="1"/>
  <c r="AI13" i="3"/>
  <c r="BE13" i="3" s="1"/>
  <c r="K15" i="3"/>
  <c r="BE15" i="3" s="1"/>
  <c r="AI17" i="3"/>
  <c r="BE17" i="3" s="1"/>
  <c r="AI21" i="3"/>
  <c r="BE21" i="3" s="1"/>
  <c r="M41" i="3"/>
  <c r="AI25" i="3"/>
  <c r="BH25" i="3" a="1"/>
  <c r="BH25" i="3" s="1"/>
  <c r="BH41" i="3" s="1"/>
  <c r="K27" i="3"/>
  <c r="BE27" i="3" s="1"/>
  <c r="J42" i="3"/>
  <c r="AK42" i="3"/>
  <c r="BG33" i="3"/>
  <c r="AI34" i="3"/>
  <c r="BE34" i="3" s="1"/>
  <c r="BE37" i="3"/>
  <c r="BM40" i="3"/>
  <c r="F9" i="1" s="1"/>
  <c r="J15" i="5"/>
  <c r="K14" i="5"/>
  <c r="BB10" i="5"/>
  <c r="AG12" i="5"/>
  <c r="BC9" i="6"/>
  <c r="AI14" i="6"/>
  <c r="BD14" i="6" s="1"/>
  <c r="BD10" i="6"/>
  <c r="BG29" i="7"/>
  <c r="AI29" i="7"/>
  <c r="BE29" i="7" s="1"/>
  <c r="J43" i="3"/>
  <c r="J40" i="3"/>
  <c r="AJ43" i="3"/>
  <c r="AJ40" i="3"/>
  <c r="BN43" i="3"/>
  <c r="G12" i="1" s="1"/>
  <c r="BN40" i="3"/>
  <c r="G9" i="1" s="1"/>
  <c r="BS43" i="3"/>
  <c r="BS40" i="3"/>
  <c r="BG10" i="3"/>
  <c r="BH20" i="3" a="1"/>
  <c r="BH20" i="3" s="1"/>
  <c r="J41" i="3"/>
  <c r="AJ41" i="3"/>
  <c r="BS41" i="3"/>
  <c r="BG28" i="3"/>
  <c r="L42" i="3"/>
  <c r="AH42" i="3"/>
  <c r="BH30" i="3" a="1"/>
  <c r="BH30" i="3" s="1"/>
  <c r="BH42" i="3" s="1"/>
  <c r="BR40" i="3"/>
  <c r="BR43" i="3"/>
  <c r="AI12" i="5"/>
  <c r="AI15" i="5"/>
  <c r="BD5" i="5"/>
  <c r="BG7" i="5" a="1"/>
  <c r="BG7" i="5" s="1"/>
  <c r="BF7" i="5"/>
  <c r="AH7" i="5"/>
  <c r="BC7" i="5" s="1"/>
  <c r="AI13" i="5"/>
  <c r="BD13" i="5" s="1"/>
  <c r="BD9" i="5"/>
  <c r="BG11" i="5" a="1"/>
  <c r="BG11" i="5" s="1"/>
  <c r="BG14" i="5" s="1"/>
  <c r="BF11" i="5"/>
  <c r="AH11" i="5"/>
  <c r="BC11" i="5" s="1"/>
  <c r="J12" i="6"/>
  <c r="BB12" i="6" s="1"/>
  <c r="J15" i="6"/>
  <c r="BB5" i="6"/>
  <c r="BQ41" i="7"/>
  <c r="AK43" i="3"/>
  <c r="AK40" i="3"/>
  <c r="BG5" i="3"/>
  <c r="BP43" i="3"/>
  <c r="BP40" i="3"/>
  <c r="BT43" i="3"/>
  <c r="BT40" i="3"/>
  <c r="BH15" i="3" a="1"/>
  <c r="BH15" i="3" s="1"/>
  <c r="AK41" i="3"/>
  <c r="BG25" i="3"/>
  <c r="BP41" i="3"/>
  <c r="BT41" i="3"/>
  <c r="BQ42" i="3"/>
  <c r="BG31" i="3"/>
  <c r="K31" i="3"/>
  <c r="BE31" i="3" s="1"/>
  <c r="BE33" i="3"/>
  <c r="BG35" i="3"/>
  <c r="K35" i="3"/>
  <c r="BE35" i="3" s="1"/>
  <c r="AI38" i="3"/>
  <c r="BE38" i="3" s="1"/>
  <c r="BR41" i="3"/>
  <c r="L12" i="5"/>
  <c r="BE12" i="5"/>
  <c r="BE11" i="5"/>
  <c r="BE24" i="7"/>
  <c r="BG31" i="7"/>
  <c r="K31" i="7"/>
  <c r="BE31" i="7" s="1"/>
  <c r="L15" i="5"/>
  <c r="AZ19" i="5"/>
  <c r="AJ12" i="6"/>
  <c r="AJ15" i="6"/>
  <c r="BE5" i="6"/>
  <c r="BG8" i="6" a="1"/>
  <c r="BG8" i="6" s="1"/>
  <c r="BF8" i="6"/>
  <c r="AH8" i="6"/>
  <c r="BC8" i="6" s="1"/>
  <c r="BL43" i="7"/>
  <c r="E46" i="1" s="1"/>
  <c r="BL40" i="7"/>
  <c r="E43" i="1" s="1"/>
  <c r="BQ43" i="7"/>
  <c r="BQ40" i="7"/>
  <c r="BG13" i="7"/>
  <c r="AI13" i="7"/>
  <c r="BE13" i="7" s="1"/>
  <c r="BG25" i="7"/>
  <c r="BH25" i="7" a="1"/>
  <c r="BH25" i="7" s="1"/>
  <c r="BH41" i="7" s="1"/>
  <c r="AI25" i="7"/>
  <c r="BG27" i="7"/>
  <c r="K27" i="7"/>
  <c r="BE27" i="7" s="1"/>
  <c r="M42" i="7"/>
  <c r="BR42" i="7"/>
  <c r="BP42" i="3"/>
  <c r="BT42" i="3"/>
  <c r="BE5" i="5"/>
  <c r="AH8" i="5"/>
  <c r="BC8" i="5" s="1"/>
  <c r="M15" i="5"/>
  <c r="AJ15" i="5"/>
  <c r="M12" i="6"/>
  <c r="BG5" i="6" a="1"/>
  <c r="BG5" i="6" s="1"/>
  <c r="AJ13" i="6"/>
  <c r="BE13" i="6" s="1"/>
  <c r="BE9" i="6"/>
  <c r="BG11" i="6" a="1"/>
  <c r="BG11" i="6" s="1"/>
  <c r="K11" i="6"/>
  <c r="K14" i="6" s="1"/>
  <c r="L15" i="6"/>
  <c r="BG5" i="7"/>
  <c r="BH5" i="7" a="1"/>
  <c r="BH5" i="7" s="1"/>
  <c r="AI5" i="7"/>
  <c r="BE7" i="7"/>
  <c r="BG9" i="7"/>
  <c r="AI9" i="7"/>
  <c r="BE9" i="7" s="1"/>
  <c r="BG11" i="7"/>
  <c r="K11" i="7"/>
  <c r="BE11" i="7" s="1"/>
  <c r="BG23" i="7"/>
  <c r="K23" i="7"/>
  <c r="BE23" i="7" s="1"/>
  <c r="AJ42" i="7"/>
  <c r="AI32" i="7"/>
  <c r="BE32" i="7" s="1"/>
  <c r="BG32" i="7"/>
  <c r="K30" i="3"/>
  <c r="BB5" i="5"/>
  <c r="BC5" i="6"/>
  <c r="BG7" i="6" a="1"/>
  <c r="BG7" i="6" s="1"/>
  <c r="K7" i="6"/>
  <c r="K12" i="6" s="1"/>
  <c r="AI15" i="6"/>
  <c r="L40" i="7"/>
  <c r="L43" i="7"/>
  <c r="AH43" i="7"/>
  <c r="AH40" i="7"/>
  <c r="BE16" i="7"/>
  <c r="BG19" i="7"/>
  <c r="K19" i="7"/>
  <c r="BE19" i="7" s="1"/>
  <c r="BG21" i="7"/>
  <c r="AI21" i="7"/>
  <c r="BE21" i="7" s="1"/>
  <c r="AJ41" i="7"/>
  <c r="BH30" i="7" a="1"/>
  <c r="BH30" i="7" s="1"/>
  <c r="BG6" i="6" a="1"/>
  <c r="BG6" i="6" s="1"/>
  <c r="BG10" i="6" a="1"/>
  <c r="BG10" i="6" s="1"/>
  <c r="BG14" i="6" s="1"/>
  <c r="AH13" i="6"/>
  <c r="BC13" i="6" s="1"/>
  <c r="AG14" i="6"/>
  <c r="BB14" i="6" s="1"/>
  <c r="M15" i="6"/>
  <c r="M43" i="7"/>
  <c r="M40" i="7"/>
  <c r="BM43" i="7"/>
  <c r="F46" i="1" s="1"/>
  <c r="BM40" i="7"/>
  <c r="F43" i="1" s="1"/>
  <c r="BR43" i="7"/>
  <c r="BR40" i="7"/>
  <c r="M41" i="7"/>
  <c r="BR41" i="7"/>
  <c r="J42" i="7"/>
  <c r="BE39" i="7"/>
  <c r="BS42" i="7"/>
  <c r="BN43" i="7"/>
  <c r="G46" i="1" s="1"/>
  <c r="BF9" i="6"/>
  <c r="AG15" i="6"/>
  <c r="J43" i="7"/>
  <c r="J40" i="7"/>
  <c r="K10" i="7"/>
  <c r="BE10" i="7" s="1"/>
  <c r="AI20" i="7"/>
  <c r="J41" i="7"/>
  <c r="K30" i="7"/>
  <c r="BP42" i="7"/>
  <c r="BG35" i="7"/>
  <c r="K35" i="7"/>
  <c r="BE35" i="7" s="1"/>
  <c r="BS43" i="7"/>
  <c r="AH6" i="6"/>
  <c r="AH10" i="6"/>
  <c r="K5" i="7"/>
  <c r="AK43" i="7"/>
  <c r="AK40" i="7"/>
  <c r="BP43" i="7"/>
  <c r="BP40" i="7"/>
  <c r="BT43" i="7"/>
  <c r="BT40" i="7"/>
  <c r="AK41" i="7"/>
  <c r="BP41" i="7"/>
  <c r="BT41" i="7"/>
  <c r="AH42" i="7"/>
  <c r="BQ42" i="7"/>
  <c r="BG37" i="7"/>
  <c r="BH35" i="7" a="1"/>
  <c r="BH35" i="7" s="1"/>
  <c r="AI37" i="7"/>
  <c r="BE37" i="7" s="1"/>
  <c r="BS40" i="7"/>
  <c r="BG39" i="7"/>
  <c r="BT42" i="7"/>
  <c r="BJ15" i="7"/>
  <c r="BK25" i="7"/>
  <c r="BJ10" i="7"/>
  <c r="BK35" i="7"/>
  <c r="BJ35" i="7"/>
  <c r="BJ15" i="3"/>
  <c r="BK15" i="7"/>
  <c r="BJ5" i="7"/>
  <c r="BK35" i="3"/>
  <c r="BJ30" i="3"/>
  <c r="BJ30" i="7"/>
  <c r="BD15" i="6" l="1"/>
  <c r="BC11" i="6"/>
  <c r="K12" i="5"/>
  <c r="BE14" i="6"/>
  <c r="BB15" i="6"/>
  <c r="K41" i="7"/>
  <c r="BB12" i="5"/>
  <c r="BB15" i="5"/>
  <c r="E22" i="1" s="1"/>
  <c r="K42" i="7"/>
  <c r="BE20" i="7"/>
  <c r="C47" i="1"/>
  <c r="BD12" i="6"/>
  <c r="E32" i="1"/>
  <c r="C35" i="1"/>
  <c r="C36" i="1"/>
  <c r="D33" i="1"/>
  <c r="E20" i="1"/>
  <c r="K15" i="5"/>
  <c r="BC9" i="5"/>
  <c r="BE15" i="5"/>
  <c r="D22" i="1" s="1"/>
  <c r="C23" i="1"/>
  <c r="E21" i="1"/>
  <c r="C13" i="1"/>
  <c r="K42" i="3"/>
  <c r="C14" i="1"/>
  <c r="K40" i="3"/>
  <c r="BJ42" i="7"/>
  <c r="C45" i="1" s="1"/>
  <c r="BJ42" i="3"/>
  <c r="C11" i="1" s="1"/>
  <c r="BK43" i="3"/>
  <c r="D12" i="1" s="1"/>
  <c r="BK42" i="3"/>
  <c r="D11" i="1" s="1"/>
  <c r="BK40" i="7"/>
  <c r="D43" i="1" s="1"/>
  <c r="BK43" i="7"/>
  <c r="D46" i="1" s="1"/>
  <c r="BJ40" i="3"/>
  <c r="C9" i="1" s="1"/>
  <c r="BJ43" i="3"/>
  <c r="C12" i="1" s="1"/>
  <c r="BK42" i="7"/>
  <c r="D45" i="1" s="1"/>
  <c r="BK41" i="7"/>
  <c r="D44" i="1" s="1"/>
  <c r="K11" i="1"/>
  <c r="K44" i="1"/>
  <c r="L45" i="1"/>
  <c r="L46" i="1"/>
  <c r="AH14" i="6"/>
  <c r="BC14" i="6" s="1"/>
  <c r="BC10" i="6"/>
  <c r="K43" i="1"/>
  <c r="L44" i="1"/>
  <c r="AH12" i="6"/>
  <c r="BC12" i="6" s="1"/>
  <c r="BC6" i="6"/>
  <c r="BC7" i="6"/>
  <c r="AH15" i="6"/>
  <c r="AI42" i="7"/>
  <c r="AI41" i="7"/>
  <c r="BE25" i="7"/>
  <c r="BE15" i="6"/>
  <c r="J10" i="1"/>
  <c r="I11" i="1"/>
  <c r="H10" i="1"/>
  <c r="H9" i="1"/>
  <c r="AH15" i="5"/>
  <c r="BC15" i="5" s="1"/>
  <c r="BD12" i="5"/>
  <c r="K9" i="1"/>
  <c r="AH14" i="5"/>
  <c r="BC14" i="5" s="1"/>
  <c r="AI42" i="3"/>
  <c r="I10" i="1"/>
  <c r="I45" i="1"/>
  <c r="H43" i="1"/>
  <c r="K46" i="1"/>
  <c r="H45" i="1"/>
  <c r="K45" i="1"/>
  <c r="E33" i="1"/>
  <c r="K15" i="6"/>
  <c r="AI43" i="7"/>
  <c r="AI40" i="7"/>
  <c r="BE5" i="7"/>
  <c r="D32" i="1"/>
  <c r="L11" i="1"/>
  <c r="J45" i="1"/>
  <c r="I43" i="1"/>
  <c r="BE12" i="6"/>
  <c r="L9" i="1"/>
  <c r="H12" i="1"/>
  <c r="BG15" i="5"/>
  <c r="K12" i="1"/>
  <c r="E19" i="1"/>
  <c r="AH12" i="5"/>
  <c r="BC12" i="5" s="1"/>
  <c r="BH43" i="3"/>
  <c r="BH40" i="3"/>
  <c r="I9" i="1"/>
  <c r="C24" i="1"/>
  <c r="J11" i="1"/>
  <c r="BE30" i="3"/>
  <c r="H44" i="1"/>
  <c r="L43" i="1"/>
  <c r="H46" i="1"/>
  <c r="K43" i="7"/>
  <c r="K40" i="7"/>
  <c r="E34" i="1"/>
  <c r="J44" i="1"/>
  <c r="J43" i="1"/>
  <c r="C32" i="1"/>
  <c r="BH42" i="7"/>
  <c r="BH43" i="7"/>
  <c r="BH40" i="7"/>
  <c r="BG12" i="6"/>
  <c r="BG15" i="6"/>
  <c r="H11" i="1"/>
  <c r="I46" i="1"/>
  <c r="D19" i="1"/>
  <c r="L10" i="1"/>
  <c r="L12" i="1"/>
  <c r="J12" i="1"/>
  <c r="K10" i="1"/>
  <c r="BE25" i="3"/>
  <c r="AI41" i="3"/>
  <c r="AI43" i="3"/>
  <c r="AI40" i="3"/>
  <c r="BE5" i="3"/>
  <c r="I12" i="1"/>
  <c r="K43" i="3"/>
  <c r="K41" i="3"/>
  <c r="BJ40" i="7"/>
  <c r="C43" i="1" s="1"/>
  <c r="BJ43" i="7"/>
  <c r="C46" i="1" s="1"/>
  <c r="J46" i="1"/>
  <c r="E31" i="1"/>
  <c r="BE30" i="7"/>
  <c r="D21" i="1"/>
  <c r="I44" i="1"/>
  <c r="BD15" i="5"/>
  <c r="J9" i="1"/>
  <c r="C20" i="1"/>
  <c r="BE41" i="7" l="1"/>
  <c r="BE42" i="7"/>
  <c r="BE43" i="3"/>
  <c r="BE42" i="3"/>
  <c r="BE40" i="3"/>
  <c r="D34" i="1"/>
  <c r="BC15" i="6"/>
  <c r="BE41" i="3"/>
  <c r="D31" i="1"/>
  <c r="BE40" i="7"/>
  <c r="C33" i="1"/>
  <c r="BE43" i="7"/>
  <c r="C19" i="1"/>
  <c r="C21" i="1"/>
  <c r="C22" i="1"/>
  <c r="C31" i="1"/>
  <c r="C34" i="1" l="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<sst xmlns="http://schemas.openxmlformats.org/spreadsheetml/2006/main" count="1459" uniqueCount="575">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</sst>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12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5" borderId="0" xfId="0" applyFont="1" applyFill="1" applyBorder="1" applyAlignment="1">
      <alignment horizontal="center" wrapText="1"/>
    </xf>
    <xf numFmtId="0" fontId="1" fillId="4" borderId="0"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Graphs!graph_a_y_range_A</c:f>
              <c:numCache>
                <c:formatCode>0.00</c:formatCode>
                <c:ptCount val="5"/>
                <c:pt idx="0">
                  <c:v>66.306621000000007</c:v>
                </c:pt>
                <c:pt idx="1">
                  <c:v>68.157705000000007</c:v>
                </c:pt>
                <c:pt idx="2">
                  <c:v>69.5551173333332</c:v>
                </c:pt>
                <c:pt idx="3">
                  <c:v>70.687753333333404</c:v>
                </c:pt>
                <c:pt idx="4">
                  <c:v>71.789984666666697</c:v>
                </c:pt>
              </c:numCache>
            </c:numRef>
          </c:yVal>
          <c:smooth val="1"/>
          <c:extLst>
            <c:ext xmlns:c16="http://schemas.microsoft.com/office/drawing/2014/chart" uri="{C3380CC4-5D6E-409C-BE32-E72D297353CC}">
              <c16:uniqueId val="{00000000-F318-4A75-A8D4-1B7C8D43599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F318-4A75-A8D4-1B7C8D43599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3.4664359032843796E-2</c:v>
                </c:pt>
                <c:pt idx="1">
                  <c:v>4.8075471359966988E-2</c:v>
                </c:pt>
                <c:pt idx="2">
                  <c:v>6.7416952793544538E-2</c:v>
                </c:pt>
                <c:pt idx="3">
                  <c:v>0.10028332530976714</c:v>
                </c:pt>
                <c:pt idx="4">
                  <c:v>0.15538711229094376</c:v>
                </c:pt>
              </c:numCache>
            </c:numRef>
          </c:xVal>
          <c:yVal>
            <c:numRef>
              <c:f>Graphs!graph_b_y_range_A</c:f>
              <c:numCache>
                <c:formatCode>0.00</c:formatCode>
                <c:ptCount val="5"/>
                <c:pt idx="0">
                  <c:v>68.366856666666706</c:v>
                </c:pt>
                <c:pt idx="1">
                  <c:v>70.306218666666695</c:v>
                </c:pt>
                <c:pt idx="2">
                  <c:v>71.985771333333304</c:v>
                </c:pt>
                <c:pt idx="3">
                  <c:v>73.255345666666599</c:v>
                </c:pt>
                <c:pt idx="4">
                  <c:v>75.226265666666706</c:v>
                </c:pt>
              </c:numCache>
            </c:numRef>
          </c:yVal>
          <c:smooth val="1"/>
          <c:extLst>
            <c:ext xmlns:c16="http://schemas.microsoft.com/office/drawing/2014/chart" uri="{C3380CC4-5D6E-409C-BE32-E72D297353CC}">
              <c16:uniqueId val="{00000000-F9A0-46E4-B491-E4D58A86D28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9A0-46E4-B491-E4D58A86D28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Graphs!graph_c_y_range_A</c:f>
              <c:numCache>
                <c:formatCode>0.00</c:formatCode>
                <c:ptCount val="5"/>
                <c:pt idx="0">
                  <c:v>32.3283293333334</c:v>
                </c:pt>
                <c:pt idx="1">
                  <c:v>34.6094856666667</c:v>
                </c:pt>
                <c:pt idx="2">
                  <c:v>37.152868666666699</c:v>
                </c:pt>
                <c:pt idx="3">
                  <c:v>39.7669863333333</c:v>
                </c:pt>
                <c:pt idx="4">
                  <c:v>42.307991999999999</c:v>
                </c:pt>
              </c:numCache>
            </c:numRef>
          </c:yVal>
          <c:smooth val="1"/>
          <c:extLst>
            <c:ext xmlns:c16="http://schemas.microsoft.com/office/drawing/2014/chart" uri="{C3380CC4-5D6E-409C-BE32-E72D297353CC}">
              <c16:uniqueId val="{00000000-4189-4DF4-AAB2-AF0F60A6DDE3}"/>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4189-4DF4-AAB2-AF0F60A6DDE3}"/>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Graphs!graph_d_y_range_A</c:f>
              <c:numCache>
                <c:formatCode>0.00</c:formatCode>
                <c:ptCount val="5"/>
                <c:pt idx="0">
                  <c:v>44.148968666666697</c:v>
                </c:pt>
                <c:pt idx="1">
                  <c:v>45.440466666666602</c:v>
                </c:pt>
                <c:pt idx="2">
                  <c:v>46.555207666666703</c:v>
                </c:pt>
                <c:pt idx="3">
                  <c:v>47.905351000000003</c:v>
                </c:pt>
                <c:pt idx="4">
                  <c:v>49.425619333333302</c:v>
                </c:pt>
              </c:numCache>
            </c:numRef>
          </c:yVal>
          <c:smooth val="1"/>
          <c:extLst>
            <c:ext xmlns:c16="http://schemas.microsoft.com/office/drawing/2014/chart" uri="{C3380CC4-5D6E-409C-BE32-E72D297353CC}">
              <c16:uniqueId val="{00000000-BFDC-46FC-B230-C311553305BB}"/>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FDC-46FC-B230-C311553305B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3.4507749479184842E-2</c:v>
                </c:pt>
                <c:pt idx="1">
                  <c:v>7.1977643364748697E-2</c:v>
                </c:pt>
                <c:pt idx="2">
                  <c:v>0.14271410058865852</c:v>
                </c:pt>
                <c:pt idx="3">
                  <c:v>0.26977997747612309</c:v>
                </c:pt>
                <c:pt idx="4">
                  <c:v>0.49688448984305622</c:v>
                </c:pt>
              </c:numCache>
            </c:numRef>
          </c:xVal>
          <c:yVal>
            <c:numRef>
              <c:f>Graphs!graph_e_y_range_A</c:f>
              <c:numCache>
                <c:formatCode>0.00</c:formatCode>
                <c:ptCount val="5"/>
                <c:pt idx="0">
                  <c:v>43.7879723333334</c:v>
                </c:pt>
                <c:pt idx="1">
                  <c:v>45.216034333333297</c:v>
                </c:pt>
                <c:pt idx="2">
                  <c:v>46.460288333333303</c:v>
                </c:pt>
                <c:pt idx="3">
                  <c:v>47.986803000000002</c:v>
                </c:pt>
                <c:pt idx="4">
                  <c:v>49.570092000000002</c:v>
                </c:pt>
              </c:numCache>
            </c:numRef>
          </c:yVal>
          <c:smooth val="1"/>
          <c:extLst>
            <c:ext xmlns:c16="http://schemas.microsoft.com/office/drawing/2014/chart" uri="{C3380CC4-5D6E-409C-BE32-E72D297353CC}">
              <c16:uniqueId val="{00000000-2289-447F-ADDC-0D0A7C5A501B}"/>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2289-447F-ADDC-0D0A7C5A501B}"/>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3A5-4DD0-A910-8B1CA0851896}"/>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3A5-4DD0-A910-8B1CA085189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E22" sqref="E22"/>
    </sheetView>
  </sheetViews>
  <sheetFormatPr defaultRowHeight="15" x14ac:dyDescent="0.25"/>
  <cols>
    <col min="2" max="2" width="16.7109375" style="53" customWidth="1"/>
    <col min="3" max="12" width="24.7109375" style="53" customWidth="1"/>
  </cols>
  <sheetData>
    <row r="1" spans="2:12" x14ac:dyDescent="0.25">
      <c r="B1" t="s">
        <v>0</v>
      </c>
      <c r="C1" s="106" t="s">
        <v>574</v>
      </c>
      <c r="D1" s="107"/>
      <c r="E1" s="107"/>
    </row>
    <row r="2" spans="2:12" ht="14.45" customHeight="1" x14ac:dyDescent="0.25">
      <c r="B2" t="s">
        <v>1</v>
      </c>
      <c r="C2" s="108"/>
      <c r="D2" s="107"/>
      <c r="E2" s="107"/>
    </row>
    <row r="4" spans="2:12" s="1" customFormat="1" x14ac:dyDescent="0.25">
      <c r="B4" s="1" t="s">
        <v>2</v>
      </c>
    </row>
    <row r="6" spans="2:12" x14ac:dyDescent="0.25">
      <c r="B6" s="109" t="s">
        <v>3</v>
      </c>
      <c r="C6" s="111" t="s">
        <v>4</v>
      </c>
      <c r="D6" s="112"/>
      <c r="E6" s="112"/>
      <c r="F6" s="112"/>
      <c r="G6" s="112"/>
      <c r="H6" s="112"/>
      <c r="I6" s="112"/>
      <c r="J6" s="112"/>
      <c r="K6" s="112"/>
      <c r="L6" s="112"/>
    </row>
    <row r="7" spans="2:12" x14ac:dyDescent="0.25">
      <c r="B7" s="107"/>
      <c r="C7" s="113" t="s">
        <v>5</v>
      </c>
      <c r="D7" s="107"/>
      <c r="E7" s="114" t="s">
        <v>6</v>
      </c>
      <c r="F7" s="107"/>
      <c r="G7" s="107"/>
      <c r="H7" s="113" t="s">
        <v>7</v>
      </c>
      <c r="I7" s="107"/>
      <c r="J7" s="114" t="s">
        <v>8</v>
      </c>
      <c r="K7" s="107"/>
      <c r="L7" s="107"/>
    </row>
    <row r="8" spans="2:12" x14ac:dyDescent="0.25">
      <c r="B8" s="110"/>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115" t="e">
        <f>'C2 lossyG,lossyA,intra'!AZ47</f>
        <v>#NUM!</v>
      </c>
      <c r="D13" s="107"/>
      <c r="E13" s="107"/>
      <c r="F13" s="107"/>
      <c r="G13" s="107"/>
      <c r="H13" s="107"/>
      <c r="I13" s="107"/>
      <c r="J13" s="107"/>
      <c r="K13" s="107"/>
      <c r="L13" s="107"/>
    </row>
    <row r="14" spans="2:12" x14ac:dyDescent="0.25">
      <c r="B14" s="6" t="s">
        <v>19</v>
      </c>
      <c r="C14" s="116" t="e">
        <f>'C2 lossyG,lossyA,intra'!BB47</f>
        <v>#NUM!</v>
      </c>
      <c r="D14" s="110"/>
      <c r="E14" s="110"/>
      <c r="F14" s="110"/>
      <c r="G14" s="110"/>
      <c r="H14" s="110"/>
      <c r="I14" s="110"/>
      <c r="J14" s="110"/>
      <c r="K14" s="110"/>
      <c r="L14" s="110"/>
    </row>
    <row r="16" spans="2:12" x14ac:dyDescent="0.25">
      <c r="B16" s="109" t="s">
        <v>20</v>
      </c>
      <c r="C16" s="111" t="s">
        <v>21</v>
      </c>
      <c r="D16" s="112"/>
      <c r="E16" s="112"/>
    </row>
    <row r="17" spans="2:5" x14ac:dyDescent="0.25">
      <c r="B17" s="107"/>
      <c r="C17" s="113" t="s">
        <v>22</v>
      </c>
      <c r="D17" s="107"/>
      <c r="E17" s="107"/>
    </row>
    <row r="18" spans="2:5" x14ac:dyDescent="0.25">
      <c r="B18" s="110"/>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115" t="e">
        <f>'CW losslG,losslA,intra'!AW19</f>
        <v>#NUM!</v>
      </c>
      <c r="D23" s="107"/>
      <c r="E23" s="107"/>
    </row>
    <row r="24" spans="2:5" x14ac:dyDescent="0.25">
      <c r="B24" s="6" t="s">
        <v>19</v>
      </c>
      <c r="C24" s="116" t="e">
        <f>'CW losslG,losslA,intra'!AY19</f>
        <v>#NUM!</v>
      </c>
      <c r="D24" s="110"/>
      <c r="E24" s="110"/>
    </row>
    <row r="26" spans="2:5" s="1" customFormat="1" x14ac:dyDescent="0.25">
      <c r="B26" s="1" t="s">
        <v>26</v>
      </c>
    </row>
    <row r="28" spans="2:5" x14ac:dyDescent="0.25">
      <c r="B28" s="109" t="s">
        <v>27</v>
      </c>
      <c r="C28" s="111" t="s">
        <v>28</v>
      </c>
      <c r="D28" s="112"/>
      <c r="E28" s="112"/>
    </row>
    <row r="29" spans="2:5" x14ac:dyDescent="0.25">
      <c r="B29" s="107"/>
      <c r="C29" s="113" t="s">
        <v>22</v>
      </c>
      <c r="D29" s="107"/>
      <c r="E29" s="107"/>
    </row>
    <row r="30" spans="2:5" x14ac:dyDescent="0.25">
      <c r="B30" s="110"/>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115" t="e">
        <f>'CW losslG,losslA,interLD'!AW19</f>
        <v>#NUM!</v>
      </c>
      <c r="D35" s="107"/>
      <c r="E35" s="107"/>
    </row>
    <row r="36" spans="2:12" x14ac:dyDescent="0.25">
      <c r="B36" s="6" t="s">
        <v>19</v>
      </c>
      <c r="C36" s="116" t="e">
        <f>'CW losslG,losslA,interLD'!AY19</f>
        <v>#NUM!</v>
      </c>
      <c r="D36" s="110"/>
      <c r="E36" s="110"/>
    </row>
    <row r="38" spans="2:12" s="1" customFormat="1" x14ac:dyDescent="0.25">
      <c r="B38" s="1" t="s">
        <v>29</v>
      </c>
    </row>
    <row r="40" spans="2:12" x14ac:dyDescent="0.25">
      <c r="B40" s="109" t="s">
        <v>30</v>
      </c>
      <c r="C40" s="111" t="s">
        <v>31</v>
      </c>
      <c r="D40" s="112"/>
      <c r="E40" s="112"/>
      <c r="F40" s="112"/>
      <c r="G40" s="112"/>
      <c r="H40" s="112"/>
      <c r="I40" s="112"/>
      <c r="J40" s="112"/>
      <c r="K40" s="112"/>
      <c r="L40" s="112"/>
    </row>
    <row r="41" spans="2:12" x14ac:dyDescent="0.25">
      <c r="B41" s="107"/>
      <c r="C41" s="113" t="s">
        <v>5</v>
      </c>
      <c r="D41" s="107"/>
      <c r="E41" s="114" t="s">
        <v>6</v>
      </c>
      <c r="F41" s="107"/>
      <c r="G41" s="107"/>
      <c r="H41" s="113" t="s">
        <v>7</v>
      </c>
      <c r="I41" s="107"/>
      <c r="J41" s="114" t="s">
        <v>8</v>
      </c>
      <c r="K41" s="107"/>
      <c r="L41" s="107"/>
    </row>
    <row r="42" spans="2:12" x14ac:dyDescent="0.25">
      <c r="B42" s="110"/>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115" t="e">
        <f>'C2 lossyG,lossyA,interRA'!AZ47</f>
        <v>#NUM!</v>
      </c>
      <c r="D47" s="107"/>
      <c r="E47" s="107"/>
      <c r="F47" s="107"/>
      <c r="G47" s="107"/>
      <c r="H47" s="107"/>
      <c r="I47" s="107"/>
      <c r="J47" s="107"/>
      <c r="K47" s="107"/>
      <c r="L47" s="107"/>
    </row>
    <row r="48" spans="2:12" x14ac:dyDescent="0.25">
      <c r="B48" s="6" t="s">
        <v>19</v>
      </c>
      <c r="C48" s="116" t="e">
        <f>'C2 lossyG,lossyA,interRA'!BB47</f>
        <v>#NUM!</v>
      </c>
      <c r="D48" s="110"/>
      <c r="E48" s="110"/>
      <c r="F48" s="110"/>
      <c r="G48" s="110"/>
      <c r="H48" s="110"/>
      <c r="I48" s="110"/>
      <c r="J48" s="110"/>
      <c r="K48" s="110"/>
      <c r="L48" s="110"/>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E51" sqref="E5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121" t="s">
        <v>136</v>
      </c>
      <c r="B1" s="107"/>
      <c r="C1" s="107"/>
      <c r="D1" s="107"/>
      <c r="E1" s="107"/>
      <c r="F1" s="107"/>
      <c r="G1" s="107"/>
      <c r="I1" s="106" t="str">
        <f>Summary!$C$1</f>
        <v>Master+r7.0</v>
      </c>
      <c r="J1" s="107"/>
      <c r="K1" s="107"/>
      <c r="L1" s="107"/>
      <c r="M1" s="107"/>
      <c r="N1" s="107"/>
      <c r="O1" s="107"/>
      <c r="P1" s="107"/>
      <c r="Q1" s="107"/>
      <c r="R1" s="107"/>
      <c r="S1" s="107"/>
      <c r="T1" s="107"/>
      <c r="U1" s="107"/>
      <c r="V1" s="107"/>
      <c r="W1" s="107"/>
      <c r="X1" s="107"/>
      <c r="Y1" s="107"/>
      <c r="Z1" s="107"/>
      <c r="AA1" s="107"/>
      <c r="AB1" s="107"/>
      <c r="AC1" s="107"/>
      <c r="AD1" s="107"/>
      <c r="AE1" s="107"/>
      <c r="AG1" s="108">
        <f>Summary!$C$2</f>
        <v>0</v>
      </c>
      <c r="AH1" s="107"/>
      <c r="AI1" s="107"/>
      <c r="AJ1" s="107"/>
      <c r="AK1" s="107"/>
      <c r="AL1" s="107"/>
      <c r="AM1" s="107"/>
      <c r="AN1" s="107"/>
      <c r="AO1" s="107"/>
      <c r="AP1" s="107"/>
      <c r="AQ1" s="107"/>
      <c r="AR1" s="107"/>
      <c r="AS1" s="107"/>
      <c r="AT1" s="107"/>
      <c r="AU1" s="107"/>
      <c r="AV1" s="107"/>
      <c r="AW1" s="107"/>
      <c r="AX1" s="107"/>
      <c r="AY1" s="107"/>
      <c r="AZ1" s="107"/>
      <c r="BA1" s="107"/>
      <c r="BB1" s="107"/>
      <c r="BC1" s="107"/>
    </row>
    <row r="2" spans="1:72" ht="30" customHeight="1" x14ac:dyDescent="0.25">
      <c r="A2" s="117" t="s">
        <v>137</v>
      </c>
      <c r="B2" s="118" t="s">
        <v>138</v>
      </c>
      <c r="C2" s="117" t="s">
        <v>139</v>
      </c>
      <c r="D2" s="118" t="s">
        <v>140</v>
      </c>
      <c r="E2" s="117" t="s">
        <v>141</v>
      </c>
      <c r="F2" s="118" t="s">
        <v>142</v>
      </c>
      <c r="G2" s="117" t="s">
        <v>143</v>
      </c>
      <c r="I2" s="118" t="s">
        <v>144</v>
      </c>
      <c r="J2" s="119" t="s">
        <v>145</v>
      </c>
      <c r="K2" s="107"/>
      <c r="L2" s="107"/>
      <c r="M2" s="107"/>
      <c r="N2" s="117" t="s">
        <v>146</v>
      </c>
      <c r="O2" s="118" t="s">
        <v>147</v>
      </c>
      <c r="P2" s="117" t="s">
        <v>84</v>
      </c>
      <c r="Q2" s="118" t="s">
        <v>86</v>
      </c>
      <c r="R2" s="117" t="s">
        <v>82</v>
      </c>
      <c r="S2" s="120" t="s">
        <v>148</v>
      </c>
      <c r="T2" s="107"/>
      <c r="U2" s="107"/>
      <c r="V2" s="107"/>
      <c r="W2" s="119" t="s">
        <v>149</v>
      </c>
      <c r="X2" s="107"/>
      <c r="Y2" s="120" t="s">
        <v>150</v>
      </c>
      <c r="Z2" s="107"/>
      <c r="AA2" s="107"/>
      <c r="AB2" s="119" t="s">
        <v>151</v>
      </c>
      <c r="AC2" s="107"/>
      <c r="AD2" s="120" t="s">
        <v>152</v>
      </c>
      <c r="AE2" s="107"/>
      <c r="AG2" s="117" t="s">
        <v>144</v>
      </c>
      <c r="AH2" s="120" t="s">
        <v>145</v>
      </c>
      <c r="AI2" s="107"/>
      <c r="AJ2" s="107"/>
      <c r="AK2" s="107"/>
      <c r="AL2" s="118" t="s">
        <v>153</v>
      </c>
      <c r="AM2" s="117" t="s">
        <v>147</v>
      </c>
      <c r="AN2" s="118" t="s">
        <v>84</v>
      </c>
      <c r="AO2" s="117" t="s">
        <v>86</v>
      </c>
      <c r="AP2" s="118" t="s">
        <v>82</v>
      </c>
      <c r="AQ2" s="119" t="s">
        <v>148</v>
      </c>
      <c r="AR2" s="107"/>
      <c r="AS2" s="107"/>
      <c r="AT2" s="107"/>
      <c r="AU2" s="120" t="s">
        <v>149</v>
      </c>
      <c r="AV2" s="107"/>
      <c r="AW2" s="119" t="s">
        <v>150</v>
      </c>
      <c r="AX2" s="107"/>
      <c r="AY2" s="107"/>
      <c r="AZ2" s="120" t="s">
        <v>151</v>
      </c>
      <c r="BA2" s="107"/>
      <c r="BB2" s="119" t="s">
        <v>152</v>
      </c>
      <c r="BC2" s="107"/>
      <c r="BE2" s="118" t="s">
        <v>154</v>
      </c>
      <c r="BF2" s="117" t="s">
        <v>155</v>
      </c>
      <c r="BG2" s="118" t="s">
        <v>156</v>
      </c>
      <c r="BH2" s="117" t="s">
        <v>156</v>
      </c>
      <c r="BJ2" s="120" t="s">
        <v>5</v>
      </c>
      <c r="BK2" s="107"/>
      <c r="BL2" s="119" t="s">
        <v>6</v>
      </c>
      <c r="BM2" s="107"/>
      <c r="BN2" s="107"/>
      <c r="BP2" s="120" t="s">
        <v>7</v>
      </c>
      <c r="BQ2" s="107"/>
      <c r="BR2" s="119" t="s">
        <v>8</v>
      </c>
      <c r="BS2" s="107"/>
      <c r="BT2" s="107"/>
    </row>
    <row r="3" spans="1:72" ht="15.75" thickBot="1" x14ac:dyDescent="0.3">
      <c r="A3" s="110"/>
      <c r="B3" s="110"/>
      <c r="C3" s="110"/>
      <c r="D3" s="110"/>
      <c r="E3" s="110"/>
      <c r="F3" s="110"/>
      <c r="G3" s="110"/>
      <c r="I3" s="110"/>
      <c r="J3" s="57" t="s">
        <v>25</v>
      </c>
      <c r="K3" s="57" t="s">
        <v>23</v>
      </c>
      <c r="L3" s="57" t="s">
        <v>157</v>
      </c>
      <c r="M3" s="57" t="s">
        <v>158</v>
      </c>
      <c r="N3" s="110"/>
      <c r="O3" s="110"/>
      <c r="P3" s="110"/>
      <c r="Q3" s="110"/>
      <c r="R3" s="110"/>
      <c r="S3" s="56" t="s">
        <v>25</v>
      </c>
      <c r="T3" s="56" t="s">
        <v>157</v>
      </c>
      <c r="U3" s="56" t="s">
        <v>159</v>
      </c>
      <c r="V3" s="56" t="s">
        <v>24</v>
      </c>
      <c r="W3" s="57" t="s">
        <v>9</v>
      </c>
      <c r="X3" s="57" t="s">
        <v>10</v>
      </c>
      <c r="Y3" s="56" t="s">
        <v>11</v>
      </c>
      <c r="Z3" s="56" t="s">
        <v>12</v>
      </c>
      <c r="AA3" s="56" t="s">
        <v>13</v>
      </c>
      <c r="AB3" s="57" t="s">
        <v>160</v>
      </c>
      <c r="AC3" s="57" t="s">
        <v>161</v>
      </c>
      <c r="AD3" s="56" t="s">
        <v>160</v>
      </c>
      <c r="AE3" s="56" t="s">
        <v>161</v>
      </c>
      <c r="AG3" s="110"/>
      <c r="AH3" s="56" t="s">
        <v>25</v>
      </c>
      <c r="AI3" s="56" t="s">
        <v>23</v>
      </c>
      <c r="AJ3" s="56" t="s">
        <v>157</v>
      </c>
      <c r="AK3" s="56" t="s">
        <v>158</v>
      </c>
      <c r="AL3" s="110"/>
      <c r="AM3" s="110"/>
      <c r="AN3" s="110"/>
      <c r="AO3" s="110"/>
      <c r="AP3" s="110"/>
      <c r="AQ3" s="57" t="s">
        <v>25</v>
      </c>
      <c r="AR3" s="57" t="s">
        <v>157</v>
      </c>
      <c r="AS3" s="57" t="s">
        <v>159</v>
      </c>
      <c r="AT3" s="57" t="s">
        <v>24</v>
      </c>
      <c r="AU3" s="56" t="s">
        <v>9</v>
      </c>
      <c r="AV3" s="56" t="s">
        <v>10</v>
      </c>
      <c r="AW3" s="57" t="s">
        <v>11</v>
      </c>
      <c r="AX3" s="57" t="s">
        <v>12</v>
      </c>
      <c r="AY3" s="57" t="s">
        <v>13</v>
      </c>
      <c r="AZ3" s="56" t="s">
        <v>160</v>
      </c>
      <c r="BA3" s="56" t="s">
        <v>161</v>
      </c>
      <c r="BB3" s="57" t="s">
        <v>160</v>
      </c>
      <c r="BC3" s="57" t="s">
        <v>161</v>
      </c>
      <c r="BE3" s="110"/>
      <c r="BF3" s="110"/>
      <c r="BG3" s="110"/>
      <c r="BH3" s="110"/>
      <c r="BJ3" s="56" t="s">
        <v>9</v>
      </c>
      <c r="BK3" s="56" t="s">
        <v>10</v>
      </c>
      <c r="BL3" s="57" t="s">
        <v>11</v>
      </c>
      <c r="BM3" s="57" t="s">
        <v>12</v>
      </c>
      <c r="BN3" s="57" t="s">
        <v>13</v>
      </c>
      <c r="BP3" s="56" t="s">
        <v>9</v>
      </c>
      <c r="BQ3" s="56" t="s">
        <v>10</v>
      </c>
      <c r="BR3" s="57" t="s">
        <v>11</v>
      </c>
      <c r="BS3" s="57" t="s">
        <v>12</v>
      </c>
      <c r="BT3" s="57"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2.2900407999999999</v>
      </c>
      <c r="J5" s="12">
        <f t="shared" ref="J5:J39" si="1">IF(ISBLANK(S5),"·",S5/D5)</f>
        <v>9.6161054147572617E-2</v>
      </c>
      <c r="K5" s="12">
        <f t="shared" ref="K5:K39" si="2">IF(N5="","·",N5/D5)</f>
        <v>6.1653304668387775E-2</v>
      </c>
      <c r="L5" s="12">
        <f t="shared" ref="L5:L39" si="3">IF(T5="","·",T5/D5)</f>
        <v>3.4664359032843796E-2</v>
      </c>
      <c r="M5" s="12">
        <f t="shared" ref="M5:M39" si="4">IF(ISBLANK(V5),"·",V5/D5)</f>
        <v>3.4507749479184842E-2</v>
      </c>
      <c r="N5" s="54">
        <f t="shared" ref="N5:N39" si="5">IF(OR(ISBLANK(T5),ISBLANK(U5)),"",T5+U5)</f>
        <v>14682512</v>
      </c>
      <c r="O5" s="12">
        <v>16</v>
      </c>
      <c r="P5" s="90">
        <v>210114715</v>
      </c>
      <c r="Q5" s="90">
        <v>700382.38333333295</v>
      </c>
      <c r="R5" s="90">
        <v>14452.67</v>
      </c>
      <c r="S5" s="91">
        <v>22900408</v>
      </c>
      <c r="T5" s="91">
        <v>8255192</v>
      </c>
      <c r="U5" s="91">
        <v>6427320</v>
      </c>
      <c r="V5" s="91">
        <v>8217896</v>
      </c>
      <c r="W5" s="92">
        <v>66.306621000000007</v>
      </c>
      <c r="X5" s="92">
        <v>68.366856666666706</v>
      </c>
      <c r="Y5" s="92">
        <v>32.3283293333334</v>
      </c>
      <c r="Z5" s="92">
        <v>44.148968666666697</v>
      </c>
      <c r="AA5" s="92">
        <v>43.7879723333334</v>
      </c>
      <c r="AB5" s="93">
        <v>33094.400000000001</v>
      </c>
      <c r="AC5" s="93">
        <v>16072.9</v>
      </c>
      <c r="AD5" s="93">
        <v>76.426000000000002</v>
      </c>
      <c r="AE5" s="93">
        <v>261.13099999999997</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3.5017536000000002</v>
      </c>
      <c r="J6" s="21">
        <f t="shared" si="1"/>
        <v>0.14704206036025966</v>
      </c>
      <c r="K6" s="21">
        <f t="shared" si="2"/>
        <v>7.506441699551096E-2</v>
      </c>
      <c r="L6" s="21">
        <f t="shared" si="3"/>
        <v>4.8075471359966988E-2</v>
      </c>
      <c r="M6" s="21">
        <f t="shared" si="4"/>
        <v>7.1977643364748697E-2</v>
      </c>
      <c r="N6" s="18">
        <f t="shared" si="5"/>
        <v>17876320</v>
      </c>
      <c r="O6" s="21">
        <v>16</v>
      </c>
      <c r="P6" s="94">
        <v>230812362</v>
      </c>
      <c r="Q6" s="94">
        <v>769374.54</v>
      </c>
      <c r="R6" s="94">
        <v>19712.863333333298</v>
      </c>
      <c r="S6" s="95">
        <v>35017536</v>
      </c>
      <c r="T6" s="95">
        <v>11449000</v>
      </c>
      <c r="U6" s="95">
        <v>6427320</v>
      </c>
      <c r="V6" s="95">
        <v>17141216</v>
      </c>
      <c r="W6" s="96">
        <v>68.157705000000007</v>
      </c>
      <c r="X6" s="96">
        <v>70.306218666666695</v>
      </c>
      <c r="Y6" s="96">
        <v>34.6094856666667</v>
      </c>
      <c r="Z6" s="96">
        <v>45.440466666666602</v>
      </c>
      <c r="AA6" s="96">
        <v>45.216034333333297</v>
      </c>
      <c r="AB6" s="97">
        <v>32841.5</v>
      </c>
      <c r="AC6" s="97">
        <v>16874.3</v>
      </c>
      <c r="AD6" s="97">
        <v>79.600999999999999</v>
      </c>
      <c r="AE6" s="97">
        <v>272.36099999999999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5.6469272000000004</v>
      </c>
      <c r="J7" s="12">
        <f t="shared" si="1"/>
        <v>0.23711999901774702</v>
      </c>
      <c r="K7" s="12">
        <f t="shared" si="2"/>
        <v>9.4405898429088517E-2</v>
      </c>
      <c r="L7" s="12">
        <f t="shared" si="3"/>
        <v>6.7416952793544538E-2</v>
      </c>
      <c r="M7" s="12">
        <f t="shared" si="4"/>
        <v>0.14271410058865852</v>
      </c>
      <c r="N7" s="54">
        <f t="shared" si="5"/>
        <v>22482424</v>
      </c>
      <c r="O7" s="12">
        <v>16</v>
      </c>
      <c r="P7" s="90">
        <v>236176991</v>
      </c>
      <c r="Q7" s="90">
        <v>787256.63666666695</v>
      </c>
      <c r="R7" s="90">
        <v>21575.106666666699</v>
      </c>
      <c r="S7" s="91">
        <v>56469272</v>
      </c>
      <c r="T7" s="91">
        <v>16055104</v>
      </c>
      <c r="U7" s="91">
        <v>6427320</v>
      </c>
      <c r="V7" s="91">
        <v>33986848</v>
      </c>
      <c r="W7" s="92">
        <v>69.5551173333332</v>
      </c>
      <c r="X7" s="92">
        <v>71.985771333333304</v>
      </c>
      <c r="Y7" s="92">
        <v>37.152868666666699</v>
      </c>
      <c r="Z7" s="92">
        <v>46.555207666666703</v>
      </c>
      <c r="AA7" s="92">
        <v>46.460288333333303</v>
      </c>
      <c r="AB7" s="93">
        <v>32918.199999999997</v>
      </c>
      <c r="AC7" s="93">
        <v>17692.900000000001</v>
      </c>
      <c r="AD7" s="93">
        <v>80.028999999999996</v>
      </c>
      <c r="AE7" s="93">
        <v>272.73500000000001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9.4556559999999994</v>
      </c>
      <c r="J8" s="21">
        <f t="shared" si="1"/>
        <v>0.39705224842143422</v>
      </c>
      <c r="K8" s="21">
        <f t="shared" si="2"/>
        <v>0.1272722709453111</v>
      </c>
      <c r="L8" s="21">
        <f t="shared" si="3"/>
        <v>0.10028332530976714</v>
      </c>
      <c r="M8" s="21">
        <f t="shared" si="4"/>
        <v>0.26977997747612309</v>
      </c>
      <c r="N8" s="18">
        <f t="shared" si="5"/>
        <v>30309432</v>
      </c>
      <c r="O8" s="21">
        <v>16</v>
      </c>
      <c r="P8" s="94">
        <v>245523356</v>
      </c>
      <c r="Q8" s="94">
        <v>818411.186666667</v>
      </c>
      <c r="R8" s="94">
        <v>24831.63</v>
      </c>
      <c r="S8" s="95">
        <v>94556560</v>
      </c>
      <c r="T8" s="95">
        <v>23882112</v>
      </c>
      <c r="U8" s="95">
        <v>6427320</v>
      </c>
      <c r="V8" s="95">
        <v>64247128</v>
      </c>
      <c r="W8" s="96">
        <v>70.687753333333404</v>
      </c>
      <c r="X8" s="96">
        <v>73.255345666666599</v>
      </c>
      <c r="Y8" s="96">
        <v>39.7669863333333</v>
      </c>
      <c r="Z8" s="96">
        <v>47.905351000000003</v>
      </c>
      <c r="AA8" s="96">
        <v>47.986803000000002</v>
      </c>
      <c r="AB8" s="97">
        <v>33044.400000000001</v>
      </c>
      <c r="AC8" s="97">
        <v>18913.5</v>
      </c>
      <c r="AD8" s="97">
        <v>82.266999999999996</v>
      </c>
      <c r="AE8" s="97">
        <v>287.42399999999998</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16.762344800000001</v>
      </c>
      <c r="J9" s="30">
        <f t="shared" si="1"/>
        <v>0.70386726120909382</v>
      </c>
      <c r="K9" s="30">
        <f t="shared" si="2"/>
        <v>0.20698277136603763</v>
      </c>
      <c r="L9" s="30">
        <f t="shared" si="3"/>
        <v>0.15538711229094376</v>
      </c>
      <c r="M9" s="30">
        <f t="shared" si="4"/>
        <v>0.49688448984305622</v>
      </c>
      <c r="N9" s="27">
        <f t="shared" si="5"/>
        <v>49292200</v>
      </c>
      <c r="O9" s="30">
        <v>16</v>
      </c>
      <c r="P9" s="98">
        <v>236237089</v>
      </c>
      <c r="Q9" s="98">
        <v>787456.96333333303</v>
      </c>
      <c r="R9" s="98">
        <v>10954.163333333299</v>
      </c>
      <c r="S9" s="99">
        <v>167623448</v>
      </c>
      <c r="T9" s="99">
        <v>37004880</v>
      </c>
      <c r="U9" s="99">
        <v>12287320</v>
      </c>
      <c r="V9" s="99">
        <v>118331248</v>
      </c>
      <c r="W9" s="100">
        <v>71.789984666666697</v>
      </c>
      <c r="X9" s="100">
        <v>75.226265666666706</v>
      </c>
      <c r="Y9" s="100">
        <v>42.307991999999999</v>
      </c>
      <c r="Z9" s="100">
        <v>49.425619333333302</v>
      </c>
      <c r="AA9" s="100">
        <v>49.570092000000002</v>
      </c>
      <c r="AB9" s="101">
        <v>32993.199999999997</v>
      </c>
      <c r="AC9" s="101">
        <v>20991.1</v>
      </c>
      <c r="AD9" s="101">
        <v>79.397999999999996</v>
      </c>
      <c r="AE9" s="101">
        <v>291.68200000000002</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3.4153104000000001</v>
      </c>
      <c r="J10" s="21">
        <f t="shared" si="1"/>
        <v>0.1565785325942716</v>
      </c>
      <c r="K10" s="21">
        <f t="shared" si="2"/>
        <v>8.2980272045214187E-2</v>
      </c>
      <c r="L10" s="21">
        <f t="shared" si="3"/>
        <v>4.3115727353138768E-2</v>
      </c>
      <c r="M10" s="21">
        <f t="shared" si="4"/>
        <v>7.3598260549057395E-2</v>
      </c>
      <c r="N10" s="18">
        <f t="shared" si="5"/>
        <v>18099760</v>
      </c>
      <c r="O10" s="21">
        <v>16</v>
      </c>
      <c r="P10" s="94">
        <v>199595828</v>
      </c>
      <c r="Q10" s="94">
        <v>665319.42666666699</v>
      </c>
      <c r="R10" s="94">
        <v>19570.46</v>
      </c>
      <c r="S10" s="95">
        <v>34153104</v>
      </c>
      <c r="T10" s="95">
        <v>9404456</v>
      </c>
      <c r="U10" s="95">
        <v>8695304</v>
      </c>
      <c r="V10" s="95">
        <v>16053344</v>
      </c>
      <c r="W10" s="96">
        <v>65.811761000000004</v>
      </c>
      <c r="X10" s="96">
        <v>67.675730000000001</v>
      </c>
      <c r="Y10" s="96">
        <v>32.273243666666701</v>
      </c>
      <c r="Z10" s="96">
        <v>39.159148000000002</v>
      </c>
      <c r="AA10" s="96">
        <v>31.9833796666667</v>
      </c>
      <c r="AB10" s="97">
        <v>24014</v>
      </c>
      <c r="AC10" s="97">
        <v>11264.1</v>
      </c>
      <c r="AD10" s="97">
        <v>53.890999999999998</v>
      </c>
      <c r="AE10" s="97">
        <v>200.34800000000001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4.9173967999999997</v>
      </c>
      <c r="J11" s="12">
        <f t="shared" si="1"/>
        <v>0.22544327892649721</v>
      </c>
      <c r="K11" s="12">
        <f t="shared" si="2"/>
        <v>0.10087699757367052</v>
      </c>
      <c r="L11" s="12">
        <f t="shared" si="3"/>
        <v>6.101245288159509E-2</v>
      </c>
      <c r="M11" s="12">
        <f t="shared" si="4"/>
        <v>0.1245662813528267</v>
      </c>
      <c r="N11" s="54">
        <f t="shared" si="5"/>
        <v>22003416</v>
      </c>
      <c r="O11" s="12">
        <v>16</v>
      </c>
      <c r="P11" s="90">
        <v>213479129</v>
      </c>
      <c r="Q11" s="90">
        <v>711597.09666666703</v>
      </c>
      <c r="R11" s="90">
        <v>24836.7133333333</v>
      </c>
      <c r="S11" s="91">
        <v>49173968</v>
      </c>
      <c r="T11" s="91">
        <v>13308112</v>
      </c>
      <c r="U11" s="91">
        <v>8695304</v>
      </c>
      <c r="V11" s="91">
        <v>27170552</v>
      </c>
      <c r="W11" s="92">
        <v>67.515264000000002</v>
      </c>
      <c r="X11" s="92">
        <v>69.557891999999995</v>
      </c>
      <c r="Y11" s="92">
        <v>34.111839666666597</v>
      </c>
      <c r="Z11" s="92">
        <v>40.016579333333297</v>
      </c>
      <c r="AA11" s="92">
        <v>33.746840333333303</v>
      </c>
      <c r="AB11" s="93">
        <v>23993.3</v>
      </c>
      <c r="AC11" s="93">
        <v>11720.4</v>
      </c>
      <c r="AD11" s="93">
        <v>54.384</v>
      </c>
      <c r="AE11" s="93">
        <v>200.24600000000001</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7.5933479999999998</v>
      </c>
      <c r="J12" s="21">
        <f t="shared" si="1"/>
        <v>0.3481251037439077</v>
      </c>
      <c r="K12" s="21">
        <f t="shared" si="2"/>
        <v>0.12835672373440823</v>
      </c>
      <c r="L12" s="21">
        <f t="shared" si="3"/>
        <v>8.8492179042332794E-2</v>
      </c>
      <c r="M12" s="21">
        <f t="shared" si="4"/>
        <v>0.2197683800094995</v>
      </c>
      <c r="N12" s="18">
        <f t="shared" si="5"/>
        <v>27997328</v>
      </c>
      <c r="O12" s="21">
        <v>16</v>
      </c>
      <c r="P12" s="94">
        <v>217337189</v>
      </c>
      <c r="Q12" s="94">
        <v>724457.29666666698</v>
      </c>
      <c r="R12" s="94">
        <v>26579.32</v>
      </c>
      <c r="S12" s="95">
        <v>75933480</v>
      </c>
      <c r="T12" s="95">
        <v>19302024</v>
      </c>
      <c r="U12" s="95">
        <v>8695304</v>
      </c>
      <c r="V12" s="95">
        <v>47936152</v>
      </c>
      <c r="W12" s="96">
        <v>68.866620999999995</v>
      </c>
      <c r="X12" s="96">
        <v>71.213702999999995</v>
      </c>
      <c r="Y12" s="96">
        <v>36.2135866666667</v>
      </c>
      <c r="Z12" s="96">
        <v>40.9009833333334</v>
      </c>
      <c r="AA12" s="96">
        <v>35.496738000000001</v>
      </c>
      <c r="AB12" s="97">
        <v>23945.8</v>
      </c>
      <c r="AC12" s="97">
        <v>12224.9</v>
      </c>
      <c r="AD12" s="97">
        <v>55.853999999999999</v>
      </c>
      <c r="AE12" s="97">
        <v>209.37799999999999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12.836843999999999</v>
      </c>
      <c r="J13" s="12">
        <f t="shared" si="1"/>
        <v>0.5885187468353037</v>
      </c>
      <c r="K13" s="12">
        <f t="shared" si="2"/>
        <v>0.1761312178847762</v>
      </c>
      <c r="L13" s="12">
        <f t="shared" si="3"/>
        <v>0.13626667319270078</v>
      </c>
      <c r="M13" s="12">
        <f t="shared" si="4"/>
        <v>0.41238752895052744</v>
      </c>
      <c r="N13" s="54">
        <f t="shared" si="5"/>
        <v>38417960</v>
      </c>
      <c r="O13" s="12">
        <v>16</v>
      </c>
      <c r="P13" s="90">
        <v>224970663</v>
      </c>
      <c r="Q13" s="90">
        <v>749902.21</v>
      </c>
      <c r="R13" s="90">
        <v>30093.82</v>
      </c>
      <c r="S13" s="91">
        <v>128368440</v>
      </c>
      <c r="T13" s="91">
        <v>29722656</v>
      </c>
      <c r="U13" s="91">
        <v>8695304</v>
      </c>
      <c r="V13" s="91">
        <v>89950480</v>
      </c>
      <c r="W13" s="92">
        <v>69.944933000000006</v>
      </c>
      <c r="X13" s="92">
        <v>72.473840999999993</v>
      </c>
      <c r="Y13" s="92">
        <v>38.548840333333303</v>
      </c>
      <c r="Z13" s="92">
        <v>42.076446666666698</v>
      </c>
      <c r="AA13" s="92">
        <v>37.5143116666667</v>
      </c>
      <c r="AB13" s="93">
        <v>24121.200000000001</v>
      </c>
      <c r="AC13" s="93">
        <v>13206.5</v>
      </c>
      <c r="AD13" s="93">
        <v>56.131</v>
      </c>
      <c r="AE13" s="93">
        <v>215.78399999999999</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22.980359199999999</v>
      </c>
      <c r="J14" s="40">
        <f t="shared" si="1"/>
        <v>1.0535589743249307</v>
      </c>
      <c r="K14" s="40">
        <f t="shared" si="2"/>
        <v>0.28971329624099612</v>
      </c>
      <c r="L14" s="40">
        <f t="shared" si="3"/>
        <v>0.21558223109696029</v>
      </c>
      <c r="M14" s="40">
        <f t="shared" si="4"/>
        <v>0.76384567808393466</v>
      </c>
      <c r="N14" s="37">
        <f t="shared" si="5"/>
        <v>63192624</v>
      </c>
      <c r="O14" s="40">
        <v>16</v>
      </c>
      <c r="P14" s="102">
        <v>212784934</v>
      </c>
      <c r="Q14" s="102">
        <v>709283.11333333305</v>
      </c>
      <c r="R14" s="102">
        <v>14214.696666666699</v>
      </c>
      <c r="S14" s="103">
        <v>229803592</v>
      </c>
      <c r="T14" s="103">
        <v>47023064</v>
      </c>
      <c r="U14" s="103">
        <v>16169560</v>
      </c>
      <c r="V14" s="103">
        <v>166610968</v>
      </c>
      <c r="W14" s="104">
        <v>70.819807333333301</v>
      </c>
      <c r="X14" s="104">
        <v>74.589538000000005</v>
      </c>
      <c r="Y14" s="104">
        <v>40.788118333333301</v>
      </c>
      <c r="Z14" s="104">
        <v>43.380349333333299</v>
      </c>
      <c r="AA14" s="104">
        <v>39.221720666666599</v>
      </c>
      <c r="AB14" s="105">
        <v>23843.9</v>
      </c>
      <c r="AC14" s="105">
        <v>14772</v>
      </c>
      <c r="AD14" s="105">
        <v>54.35</v>
      </c>
      <c r="AE14" s="105">
        <v>221.50700000000001</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4.4088704000000005</v>
      </c>
      <c r="J15" s="12">
        <f t="shared" si="1"/>
        <v>0.13667114434625602</v>
      </c>
      <c r="K15" s="12">
        <f t="shared" si="2"/>
        <v>7.7953238085986767E-2</v>
      </c>
      <c r="L15" s="12">
        <f t="shared" si="3"/>
        <v>4.180334286180442E-2</v>
      </c>
      <c r="M15" s="12">
        <f t="shared" si="4"/>
        <v>5.8717906260269237E-2</v>
      </c>
      <c r="N15" s="54">
        <f t="shared" si="5"/>
        <v>25146912</v>
      </c>
      <c r="O15" s="12">
        <v>16</v>
      </c>
      <c r="P15" s="90">
        <v>295692711</v>
      </c>
      <c r="Q15" s="90">
        <v>985642.37</v>
      </c>
      <c r="R15" s="90">
        <v>28254.27</v>
      </c>
      <c r="S15" s="91">
        <v>44088704</v>
      </c>
      <c r="T15" s="91">
        <v>13485328</v>
      </c>
      <c r="U15" s="91">
        <v>11661584</v>
      </c>
      <c r="V15" s="91">
        <v>18941792</v>
      </c>
      <c r="W15" s="92">
        <v>65.952931333333296</v>
      </c>
      <c r="X15" s="92">
        <v>67.740381333333403</v>
      </c>
      <c r="Y15" s="92">
        <v>29.509761666666702</v>
      </c>
      <c r="Z15" s="92">
        <v>43.2017046666667</v>
      </c>
      <c r="AA15" s="92">
        <v>43.416326666666698</v>
      </c>
      <c r="AB15" s="93">
        <v>33059.4</v>
      </c>
      <c r="AC15" s="93">
        <v>11081.8</v>
      </c>
      <c r="AD15" s="93">
        <v>67.998000000000005</v>
      </c>
      <c r="AE15" s="93">
        <v>190.93299999999999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7.0072488000000002</v>
      </c>
      <c r="J16" s="21">
        <f t="shared" si="1"/>
        <v>0.21721861278002846</v>
      </c>
      <c r="K16" s="21">
        <f t="shared" si="2"/>
        <v>9.5251099520522825E-2</v>
      </c>
      <c r="L16" s="21">
        <f t="shared" si="3"/>
        <v>5.910120429634047E-2</v>
      </c>
      <c r="M16" s="21">
        <f t="shared" si="4"/>
        <v>0.12196751325950564</v>
      </c>
      <c r="N16" s="18">
        <f t="shared" si="5"/>
        <v>30727024</v>
      </c>
      <c r="O16" s="21">
        <v>16</v>
      </c>
      <c r="P16" s="94">
        <v>315645479</v>
      </c>
      <c r="Q16" s="94">
        <v>1052151.5966666699</v>
      </c>
      <c r="R16" s="94">
        <v>35009.363333333298</v>
      </c>
      <c r="S16" s="95">
        <v>70072488</v>
      </c>
      <c r="T16" s="95">
        <v>19065440</v>
      </c>
      <c r="U16" s="95">
        <v>11661584</v>
      </c>
      <c r="V16" s="95">
        <v>39345464</v>
      </c>
      <c r="W16" s="96">
        <v>67.752667000000002</v>
      </c>
      <c r="X16" s="96">
        <v>69.809411333333301</v>
      </c>
      <c r="Y16" s="96">
        <v>31.926724333333301</v>
      </c>
      <c r="Z16" s="96">
        <v>44.065351333333297</v>
      </c>
      <c r="AA16" s="96">
        <v>44.376904000000003</v>
      </c>
      <c r="AB16" s="97">
        <v>32983.699999999997</v>
      </c>
      <c r="AC16" s="97">
        <v>11836.1</v>
      </c>
      <c r="AD16" s="97">
        <v>71.491</v>
      </c>
      <c r="AE16" s="97">
        <v>188.108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11.641604800000001</v>
      </c>
      <c r="J17" s="12">
        <f t="shared" si="1"/>
        <v>0.3608796144343156</v>
      </c>
      <c r="K17" s="12">
        <f t="shared" si="2"/>
        <v>0.12120714181256076</v>
      </c>
      <c r="L17" s="12">
        <f t="shared" si="3"/>
        <v>8.5057246588378405E-2</v>
      </c>
      <c r="M17" s="12">
        <f t="shared" si="4"/>
        <v>0.23967247262175484</v>
      </c>
      <c r="N17" s="54">
        <f t="shared" si="5"/>
        <v>39100176</v>
      </c>
      <c r="O17" s="12">
        <v>16</v>
      </c>
      <c r="P17" s="90">
        <v>319981779</v>
      </c>
      <c r="Q17" s="90">
        <v>1066605.93</v>
      </c>
      <c r="R17" s="90">
        <v>36803.99</v>
      </c>
      <c r="S17" s="91">
        <v>116416048</v>
      </c>
      <c r="T17" s="91">
        <v>27438592</v>
      </c>
      <c r="U17" s="91">
        <v>11661584</v>
      </c>
      <c r="V17" s="91">
        <v>77315872</v>
      </c>
      <c r="W17" s="92">
        <v>69.144569999999902</v>
      </c>
      <c r="X17" s="92">
        <v>71.605159666666594</v>
      </c>
      <c r="Y17" s="92">
        <v>34.487856000000001</v>
      </c>
      <c r="Z17" s="92">
        <v>44.9311303333333</v>
      </c>
      <c r="AA17" s="92">
        <v>45.3356693333333</v>
      </c>
      <c r="AB17" s="93">
        <v>33059.599999999999</v>
      </c>
      <c r="AC17" s="93">
        <v>12607.1</v>
      </c>
      <c r="AD17" s="93">
        <v>72.771000000000001</v>
      </c>
      <c r="AE17" s="93">
        <v>193.81800000000001</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20.102016800000001</v>
      </c>
      <c r="J18" s="21">
        <f t="shared" si="1"/>
        <v>0.62314502139225125</v>
      </c>
      <c r="K18" s="21">
        <f t="shared" si="2"/>
        <v>0.16442168904435958</v>
      </c>
      <c r="L18" s="21">
        <f t="shared" si="3"/>
        <v>0.12827179382017723</v>
      </c>
      <c r="M18" s="21">
        <f t="shared" si="4"/>
        <v>0.4587233323478917</v>
      </c>
      <c r="N18" s="18">
        <f t="shared" si="5"/>
        <v>53040744</v>
      </c>
      <c r="O18" s="21">
        <v>16</v>
      </c>
      <c r="P18" s="94">
        <v>330485852</v>
      </c>
      <c r="Q18" s="94">
        <v>1101619.5066666701</v>
      </c>
      <c r="R18" s="94">
        <v>41193.003333333298</v>
      </c>
      <c r="S18" s="95">
        <v>201020168</v>
      </c>
      <c r="T18" s="95">
        <v>41379160</v>
      </c>
      <c r="U18" s="95">
        <v>11661584</v>
      </c>
      <c r="V18" s="95">
        <v>147979424</v>
      </c>
      <c r="W18" s="96">
        <v>70.367146666666699</v>
      </c>
      <c r="X18" s="96">
        <v>72.960699000000005</v>
      </c>
      <c r="Y18" s="96">
        <v>37.189156333333301</v>
      </c>
      <c r="Z18" s="96">
        <v>46.288521000000003</v>
      </c>
      <c r="AA18" s="96">
        <v>46.795698333333299</v>
      </c>
      <c r="AB18" s="97">
        <v>33026.800000000003</v>
      </c>
      <c r="AC18" s="97">
        <v>14202.7</v>
      </c>
      <c r="AD18" s="97">
        <v>71.432000000000002</v>
      </c>
      <c r="AE18" s="97">
        <v>194.26900000000001</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35.542555200000002</v>
      </c>
      <c r="J19" s="30">
        <f t="shared" si="1"/>
        <v>1.1017882703410771</v>
      </c>
      <c r="K19" s="30">
        <f t="shared" si="2"/>
        <v>0.26405313915412504</v>
      </c>
      <c r="L19" s="30">
        <f t="shared" si="3"/>
        <v>0.19726162122024823</v>
      </c>
      <c r="M19" s="30">
        <f t="shared" si="4"/>
        <v>0.83773513118695198</v>
      </c>
      <c r="N19" s="27">
        <f t="shared" si="5"/>
        <v>85180824</v>
      </c>
      <c r="O19" s="30">
        <v>16</v>
      </c>
      <c r="P19" s="98">
        <v>314292335</v>
      </c>
      <c r="Q19" s="98">
        <v>1047641.11666667</v>
      </c>
      <c r="R19" s="98">
        <v>18188.7366666667</v>
      </c>
      <c r="S19" s="99">
        <v>355425552</v>
      </c>
      <c r="T19" s="99">
        <v>63634568</v>
      </c>
      <c r="U19" s="99">
        <v>21546256</v>
      </c>
      <c r="V19" s="99">
        <v>270244728</v>
      </c>
      <c r="W19" s="100">
        <v>71.149593666666703</v>
      </c>
      <c r="X19" s="100">
        <v>75.005414999999999</v>
      </c>
      <c r="Y19" s="100">
        <v>39.700364</v>
      </c>
      <c r="Z19" s="100">
        <v>48.061613333333298</v>
      </c>
      <c r="AA19" s="100">
        <v>48.639729666666597</v>
      </c>
      <c r="AB19" s="101">
        <v>32777.599999999999</v>
      </c>
      <c r="AC19" s="101">
        <v>16377.4</v>
      </c>
      <c r="AD19" s="101">
        <v>68.141999999999996</v>
      </c>
      <c r="AE19" s="101">
        <v>207.584</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4.9183664</v>
      </c>
      <c r="J20" s="21">
        <f t="shared" si="1"/>
        <v>9.8130679585815311E-2</v>
      </c>
      <c r="K20" s="21">
        <f t="shared" si="2"/>
        <v>5.9044809662630746E-2</v>
      </c>
      <c r="L20" s="21">
        <f t="shared" si="3"/>
        <v>2.9198226607848671E-2</v>
      </c>
      <c r="M20" s="21">
        <f t="shared" si="4"/>
        <v>3.9085869923184566E-2</v>
      </c>
      <c r="N20" s="18">
        <f t="shared" si="5"/>
        <v>14796800</v>
      </c>
      <c r="O20" s="21">
        <v>16</v>
      </c>
      <c r="P20" s="94">
        <v>233912910</v>
      </c>
      <c r="Q20" s="94">
        <v>935651.64</v>
      </c>
      <c r="R20" s="94">
        <v>27733.488000000001</v>
      </c>
      <c r="S20" s="95">
        <v>24591832</v>
      </c>
      <c r="T20" s="95">
        <v>7317160</v>
      </c>
      <c r="U20" s="95">
        <v>7479640</v>
      </c>
      <c r="V20" s="95">
        <v>9795032</v>
      </c>
      <c r="W20" s="96">
        <v>67.265048399999998</v>
      </c>
      <c r="X20" s="96">
        <v>69.083568400000004</v>
      </c>
      <c r="Y20" s="96">
        <v>31.089112799999999</v>
      </c>
      <c r="Z20" s="96">
        <v>40.281544799999999</v>
      </c>
      <c r="AA20" s="96">
        <v>39.065310400000001</v>
      </c>
      <c r="AB20" s="97">
        <v>25811</v>
      </c>
      <c r="AC20" s="97">
        <v>10169.5</v>
      </c>
      <c r="AD20" s="97">
        <v>55.268000000000001</v>
      </c>
      <c r="AE20" s="97">
        <v>176.49</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7.2844384</v>
      </c>
      <c r="J21" s="12">
        <f t="shared" si="1"/>
        <v>0.14533827544710967</v>
      </c>
      <c r="K21" s="12">
        <f t="shared" si="2"/>
        <v>7.005687735661438E-2</v>
      </c>
      <c r="L21" s="12">
        <f t="shared" si="3"/>
        <v>4.0210294301832296E-2</v>
      </c>
      <c r="M21" s="12">
        <f t="shared" si="4"/>
        <v>7.5281398090495291E-2</v>
      </c>
      <c r="N21" s="54">
        <f t="shared" si="5"/>
        <v>17556456</v>
      </c>
      <c r="O21" s="12">
        <v>16</v>
      </c>
      <c r="P21" s="90">
        <v>243598892</v>
      </c>
      <c r="Q21" s="90">
        <v>974395.56799999997</v>
      </c>
      <c r="R21" s="90">
        <v>33172.135999999999</v>
      </c>
      <c r="S21" s="91">
        <v>36422192</v>
      </c>
      <c r="T21" s="91">
        <v>10076816</v>
      </c>
      <c r="U21" s="91">
        <v>7479640</v>
      </c>
      <c r="V21" s="91">
        <v>18865736</v>
      </c>
      <c r="W21" s="92">
        <v>68.859277599999999</v>
      </c>
      <c r="X21" s="92">
        <v>71.013437600000003</v>
      </c>
      <c r="Y21" s="92">
        <v>32.8951232</v>
      </c>
      <c r="Z21" s="92">
        <v>41.455698400000003</v>
      </c>
      <c r="AA21" s="92">
        <v>40.4010964</v>
      </c>
      <c r="AB21" s="93">
        <v>25501</v>
      </c>
      <c r="AC21" s="93">
        <v>10754.7</v>
      </c>
      <c r="AD21" s="93">
        <v>55.896999999999998</v>
      </c>
      <c r="AE21" s="93">
        <v>180.41900000000001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11.813779199999999</v>
      </c>
      <c r="J22" s="21">
        <f t="shared" si="1"/>
        <v>0.23570716109575926</v>
      </c>
      <c r="K22" s="21">
        <f t="shared" si="2"/>
        <v>8.6903642304748993E-2</v>
      </c>
      <c r="L22" s="21">
        <f t="shared" si="3"/>
        <v>5.7057059249966915E-2</v>
      </c>
      <c r="M22" s="21">
        <f t="shared" si="4"/>
        <v>0.14880351879101028</v>
      </c>
      <c r="N22" s="18">
        <f t="shared" si="5"/>
        <v>21778304</v>
      </c>
      <c r="O22" s="21">
        <v>16</v>
      </c>
      <c r="P22" s="94">
        <v>254522160</v>
      </c>
      <c r="Q22" s="94">
        <v>1018088.64</v>
      </c>
      <c r="R22" s="94">
        <v>35582.472000000002</v>
      </c>
      <c r="S22" s="95">
        <v>59068896</v>
      </c>
      <c r="T22" s="95">
        <v>14298664</v>
      </c>
      <c r="U22" s="95">
        <v>7479640</v>
      </c>
      <c r="V22" s="95">
        <v>37290592</v>
      </c>
      <c r="W22" s="96">
        <v>70.041861600000004</v>
      </c>
      <c r="X22" s="96">
        <v>72.450412799999995</v>
      </c>
      <c r="Y22" s="96">
        <v>34.857053999999998</v>
      </c>
      <c r="Z22" s="96">
        <v>42.523152799999998</v>
      </c>
      <c r="AA22" s="96">
        <v>41.523831999999999</v>
      </c>
      <c r="AB22" s="97">
        <v>25647.599999999999</v>
      </c>
      <c r="AC22" s="97">
        <v>11340.3</v>
      </c>
      <c r="AD22" s="97">
        <v>56.219000000000001</v>
      </c>
      <c r="AE22" s="97">
        <v>179.64400000000001</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20.714559999999999</v>
      </c>
      <c r="J23" s="12">
        <f t="shared" si="1"/>
        <v>0.41329451382905236</v>
      </c>
      <c r="K23" s="12">
        <f t="shared" si="2"/>
        <v>0.11643517711852734</v>
      </c>
      <c r="L23" s="12">
        <f t="shared" si="3"/>
        <v>8.6588594063745264E-2</v>
      </c>
      <c r="M23" s="12">
        <f t="shared" si="4"/>
        <v>0.296859336710525</v>
      </c>
      <c r="N23" s="54">
        <f t="shared" si="5"/>
        <v>29178992</v>
      </c>
      <c r="O23" s="12">
        <v>16</v>
      </c>
      <c r="P23" s="90">
        <v>254709425</v>
      </c>
      <c r="Q23" s="90">
        <v>1018837.7</v>
      </c>
      <c r="R23" s="90">
        <v>37597.303999999996</v>
      </c>
      <c r="S23" s="91">
        <v>103572800</v>
      </c>
      <c r="T23" s="91">
        <v>21699352</v>
      </c>
      <c r="U23" s="91">
        <v>7479640</v>
      </c>
      <c r="V23" s="91">
        <v>74393808</v>
      </c>
      <c r="W23" s="92">
        <v>71.086374399999997</v>
      </c>
      <c r="X23" s="92">
        <v>73.828453199999998</v>
      </c>
      <c r="Y23" s="92">
        <v>36.4327884</v>
      </c>
      <c r="Z23" s="92">
        <v>43.832136400000003</v>
      </c>
      <c r="AA23" s="92">
        <v>42.745331200000003</v>
      </c>
      <c r="AB23" s="93">
        <v>25851.9</v>
      </c>
      <c r="AC23" s="93">
        <v>12265.8</v>
      </c>
      <c r="AD23" s="93">
        <v>55.058999999999997</v>
      </c>
      <c r="AE23" s="93">
        <v>179.97900000000001</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36.358060799999997</v>
      </c>
      <c r="J24" s="40">
        <f t="shared" si="1"/>
        <v>0.7254118389240769</v>
      </c>
      <c r="K24" s="40">
        <f t="shared" si="2"/>
        <v>0.19238462815658419</v>
      </c>
      <c r="L24" s="40">
        <f t="shared" si="3"/>
        <v>0.13619389570410023</v>
      </c>
      <c r="M24" s="40">
        <f t="shared" si="4"/>
        <v>0.53302721076749271</v>
      </c>
      <c r="N24" s="37">
        <f t="shared" si="5"/>
        <v>48212144</v>
      </c>
      <c r="O24" s="40">
        <v>16</v>
      </c>
      <c r="P24" s="102">
        <v>244491264</v>
      </c>
      <c r="Q24" s="102">
        <v>977965.05599999998</v>
      </c>
      <c r="R24" s="102">
        <v>18776.612000000001</v>
      </c>
      <c r="S24" s="103">
        <v>181790304</v>
      </c>
      <c r="T24" s="103">
        <v>34130584</v>
      </c>
      <c r="U24" s="103">
        <v>14081560</v>
      </c>
      <c r="V24" s="103">
        <v>133578160</v>
      </c>
      <c r="W24" s="104">
        <v>71.859961200000001</v>
      </c>
      <c r="X24" s="104">
        <v>75.795926399999999</v>
      </c>
      <c r="Y24" s="104">
        <v>37.611800000000002</v>
      </c>
      <c r="Z24" s="104">
        <v>44.779111200000003</v>
      </c>
      <c r="AA24" s="104">
        <v>43.446710799999998</v>
      </c>
      <c r="AB24" s="105">
        <v>25554.799999999999</v>
      </c>
      <c r="AC24" s="105">
        <v>13513.5</v>
      </c>
      <c r="AD24" s="105">
        <v>53.408999999999999</v>
      </c>
      <c r="AE24" s="105">
        <v>187.96700000000001</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4.6658792</v>
      </c>
      <c r="J25" s="12">
        <f t="shared" si="1"/>
        <v>0.18641550938565662</v>
      </c>
      <c r="K25" s="12">
        <f t="shared" si="2"/>
        <v>6.4877473056927773E-2</v>
      </c>
      <c r="L25" s="12">
        <f t="shared" si="3"/>
        <v>3.6544586490489833E-2</v>
      </c>
      <c r="M25" s="12">
        <f t="shared" si="4"/>
        <v>0.12153803632872884</v>
      </c>
      <c r="N25" s="54">
        <f t="shared" si="5"/>
        <v>16238480</v>
      </c>
      <c r="O25" s="12">
        <v>16</v>
      </c>
      <c r="P25" s="90">
        <v>229868535</v>
      </c>
      <c r="Q25" s="90">
        <v>766228.45</v>
      </c>
      <c r="R25" s="90">
        <v>15692.583333333299</v>
      </c>
      <c r="S25" s="91">
        <v>46658792</v>
      </c>
      <c r="T25" s="91">
        <v>9146912</v>
      </c>
      <c r="U25" s="91">
        <v>7091568</v>
      </c>
      <c r="V25" s="91">
        <v>30420312</v>
      </c>
      <c r="W25" s="92">
        <v>66.290462666666699</v>
      </c>
      <c r="X25" s="92">
        <v>68.083682666666704</v>
      </c>
      <c r="Y25" s="92">
        <v>27.2859366666667</v>
      </c>
      <c r="Z25" s="92">
        <v>33.097762000000003</v>
      </c>
      <c r="AA25" s="92">
        <v>32.5287826666667</v>
      </c>
      <c r="AB25" s="93">
        <v>11509.5</v>
      </c>
      <c r="AC25" s="93">
        <v>10979.5</v>
      </c>
      <c r="AD25" s="93">
        <v>56.709000000000003</v>
      </c>
      <c r="AE25" s="93">
        <v>190.49799999999999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8.0070896000000005</v>
      </c>
      <c r="J26" s="21">
        <f t="shared" si="1"/>
        <v>0.31990662906159112</v>
      </c>
      <c r="K26" s="21">
        <f t="shared" si="2"/>
        <v>7.9907027312321133E-2</v>
      </c>
      <c r="L26" s="21">
        <f t="shared" si="3"/>
        <v>5.1574140745883186E-2</v>
      </c>
      <c r="M26" s="21">
        <f t="shared" si="4"/>
        <v>0.23999960174926999</v>
      </c>
      <c r="N26" s="18">
        <f t="shared" si="5"/>
        <v>20000296</v>
      </c>
      <c r="O26" s="21">
        <v>16</v>
      </c>
      <c r="P26" s="94">
        <v>243598891</v>
      </c>
      <c r="Q26" s="94">
        <v>811996.30333333299</v>
      </c>
      <c r="R26" s="94">
        <v>19489.3</v>
      </c>
      <c r="S26" s="95">
        <v>80070896</v>
      </c>
      <c r="T26" s="95">
        <v>12908728</v>
      </c>
      <c r="U26" s="95">
        <v>7091568</v>
      </c>
      <c r="V26" s="95">
        <v>60070600</v>
      </c>
      <c r="W26" s="96">
        <v>68.005527000000001</v>
      </c>
      <c r="X26" s="96">
        <v>70.039568000000003</v>
      </c>
      <c r="Y26" s="96">
        <v>29.682770999999999</v>
      </c>
      <c r="Z26" s="96">
        <v>34.267501000000003</v>
      </c>
      <c r="AA26" s="96">
        <v>33.848175666666698</v>
      </c>
      <c r="AB26" s="97">
        <v>11558.7</v>
      </c>
      <c r="AC26" s="97">
        <v>11624</v>
      </c>
      <c r="AD26" s="97">
        <v>59.058999999999997</v>
      </c>
      <c r="AE26" s="97">
        <v>197.386</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14.112280800000001</v>
      </c>
      <c r="J27" s="12">
        <f t="shared" si="1"/>
        <v>0.56382685902485896</v>
      </c>
      <c r="K27" s="12">
        <f t="shared" si="2"/>
        <v>0.10260795816986562</v>
      </c>
      <c r="L27" s="12">
        <f t="shared" si="3"/>
        <v>7.4275071603427681E-2</v>
      </c>
      <c r="M27" s="12">
        <f t="shared" si="4"/>
        <v>0.46121890085499334</v>
      </c>
      <c r="N27" s="54">
        <f t="shared" si="5"/>
        <v>25682216</v>
      </c>
      <c r="O27" s="12">
        <v>16</v>
      </c>
      <c r="P27" s="90">
        <v>246298785</v>
      </c>
      <c r="Q27" s="90">
        <v>820995.95</v>
      </c>
      <c r="R27" s="90">
        <v>20455.656666666699</v>
      </c>
      <c r="S27" s="91">
        <v>141122808</v>
      </c>
      <c r="T27" s="91">
        <v>18590648</v>
      </c>
      <c r="U27" s="91">
        <v>7091568</v>
      </c>
      <c r="V27" s="91">
        <v>115440592</v>
      </c>
      <c r="W27" s="92">
        <v>69.314347333333302</v>
      </c>
      <c r="X27" s="92">
        <v>71.731666666666598</v>
      </c>
      <c r="Y27" s="92">
        <v>32.204014999999998</v>
      </c>
      <c r="Z27" s="92">
        <v>35.540293333333302</v>
      </c>
      <c r="AA27" s="92">
        <v>35.188237666666701</v>
      </c>
      <c r="AB27" s="93">
        <v>11520.3</v>
      </c>
      <c r="AC27" s="93">
        <v>12417</v>
      </c>
      <c r="AD27" s="93">
        <v>58.691000000000003</v>
      </c>
      <c r="AE27" s="93">
        <v>202.98699999999999</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26.131964800000002</v>
      </c>
      <c r="J28" s="21">
        <f t="shared" si="1"/>
        <v>1.0440483605833706</v>
      </c>
      <c r="K28" s="21">
        <f t="shared" si="2"/>
        <v>0.14037302653239214</v>
      </c>
      <c r="L28" s="21">
        <f t="shared" si="3"/>
        <v>0.1120401399659542</v>
      </c>
      <c r="M28" s="21">
        <f t="shared" si="4"/>
        <v>0.90367533405097833</v>
      </c>
      <c r="N28" s="18">
        <f t="shared" si="5"/>
        <v>35134608</v>
      </c>
      <c r="O28" s="21">
        <v>16</v>
      </c>
      <c r="P28" s="94">
        <v>253016684</v>
      </c>
      <c r="Q28" s="94">
        <v>843388.94666666701</v>
      </c>
      <c r="R28" s="94">
        <v>22933.3</v>
      </c>
      <c r="S28" s="95">
        <v>261319648</v>
      </c>
      <c r="T28" s="95">
        <v>28043040</v>
      </c>
      <c r="U28" s="95">
        <v>7091568</v>
      </c>
      <c r="V28" s="95">
        <v>226185040</v>
      </c>
      <c r="W28" s="96">
        <v>70.456214000000102</v>
      </c>
      <c r="X28" s="96">
        <v>73.021119666666706</v>
      </c>
      <c r="Y28" s="96">
        <v>34.898159999999997</v>
      </c>
      <c r="Z28" s="96">
        <v>37.363379333333299</v>
      </c>
      <c r="AA28" s="96">
        <v>36.935742333333401</v>
      </c>
      <c r="AB28" s="97">
        <v>11462.5</v>
      </c>
      <c r="AC28" s="97">
        <v>14072.8</v>
      </c>
      <c r="AD28" s="97">
        <v>61.161000000000001</v>
      </c>
      <c r="AE28" s="97">
        <v>218.315</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300</v>
      </c>
      <c r="G29" s="28">
        <v>30</v>
      </c>
      <c r="I29" s="29">
        <f t="shared" si="0"/>
        <v>46.908114399999995</v>
      </c>
      <c r="J29" s="30">
        <f t="shared" si="1"/>
        <v>1.8741162523446073</v>
      </c>
      <c r="K29" s="30">
        <f t="shared" si="2"/>
        <v>0.22663557295858686</v>
      </c>
      <c r="L29" s="30">
        <f t="shared" si="3"/>
        <v>0.17322864783385522</v>
      </c>
      <c r="M29" s="30">
        <f t="shared" si="4"/>
        <v>1.6474806793860204</v>
      </c>
      <c r="N29" s="27">
        <f t="shared" si="5"/>
        <v>56725656</v>
      </c>
      <c r="O29" s="30">
        <v>16</v>
      </c>
      <c r="P29" s="98">
        <v>243471533</v>
      </c>
      <c r="Q29" s="98">
        <v>811571.77666666696</v>
      </c>
      <c r="R29" s="98">
        <v>10616.586666666701</v>
      </c>
      <c r="S29" s="99">
        <v>469081144</v>
      </c>
      <c r="T29" s="99">
        <v>43358192</v>
      </c>
      <c r="U29" s="99">
        <v>13367464</v>
      </c>
      <c r="V29" s="99">
        <v>412355488</v>
      </c>
      <c r="W29" s="100">
        <v>71.196085666666704</v>
      </c>
      <c r="X29" s="100">
        <v>74.950534666666599</v>
      </c>
      <c r="Y29" s="100">
        <v>37.311348666666703</v>
      </c>
      <c r="Z29" s="100">
        <v>39.399046333333303</v>
      </c>
      <c r="AA29" s="100">
        <v>38.751006333333301</v>
      </c>
      <c r="AB29" s="101">
        <v>11529.9</v>
      </c>
      <c r="AC29" s="101">
        <v>16462.400000000001</v>
      </c>
      <c r="AD29" s="101">
        <v>58.557000000000002</v>
      </c>
      <c r="AE29" s="101">
        <v>224.96799999999999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5.8772324999999999</v>
      </c>
      <c r="J30" s="21">
        <f t="shared" si="1"/>
        <v>6.7081647675513237E-2</v>
      </c>
      <c r="K30" s="21">
        <f t="shared" si="2"/>
        <v>4.1093630929883572E-2</v>
      </c>
      <c r="L30" s="21">
        <f t="shared" si="3"/>
        <v>2.5444990203762879E-2</v>
      </c>
      <c r="M30" s="21">
        <f t="shared" si="4"/>
        <v>2.5988016745629672E-2</v>
      </c>
      <c r="N30" s="18">
        <f t="shared" si="5"/>
        <v>7680728</v>
      </c>
      <c r="O30" s="21">
        <v>16</v>
      </c>
      <c r="P30" s="94">
        <v>169180132</v>
      </c>
      <c r="Q30" s="94">
        <v>2643439.5625</v>
      </c>
      <c r="R30" s="94">
        <v>32386.1875</v>
      </c>
      <c r="S30" s="95">
        <v>12538096</v>
      </c>
      <c r="T30" s="95">
        <v>4755872</v>
      </c>
      <c r="U30" s="95">
        <v>2924856</v>
      </c>
      <c r="V30" s="95">
        <v>4857368</v>
      </c>
      <c r="W30" s="96">
        <v>73.425825000000003</v>
      </c>
      <c r="X30" s="96">
        <v>75.7108109375</v>
      </c>
      <c r="Y30" s="96">
        <v>34.765978124999997</v>
      </c>
      <c r="Z30" s="96">
        <v>42.277029687499997</v>
      </c>
      <c r="AA30" s="96">
        <v>43.833979687499998</v>
      </c>
      <c r="AB30" s="97">
        <v>5302.72</v>
      </c>
      <c r="AC30" s="97">
        <v>7750.79</v>
      </c>
      <c r="AD30" s="97">
        <v>43.883000000000003</v>
      </c>
      <c r="AE30" s="97">
        <v>139.75899999999999</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8.3592337499999996</v>
      </c>
      <c r="J31" s="12">
        <f t="shared" si="1"/>
        <v>9.5410752127767506E-2</v>
      </c>
      <c r="K31" s="12">
        <f t="shared" si="2"/>
        <v>5.0494577302476064E-2</v>
      </c>
      <c r="L31" s="12">
        <f t="shared" si="3"/>
        <v>3.4845936576355367E-2</v>
      </c>
      <c r="M31" s="12">
        <f t="shared" si="4"/>
        <v>4.4916174825291443E-2</v>
      </c>
      <c r="N31" s="54">
        <f t="shared" si="5"/>
        <v>9437840</v>
      </c>
      <c r="O31" s="12">
        <v>16</v>
      </c>
      <c r="P31" s="90">
        <v>180452170</v>
      </c>
      <c r="Q31" s="90">
        <v>2819565.15625</v>
      </c>
      <c r="R31" s="90">
        <v>41116.796875</v>
      </c>
      <c r="S31" s="91">
        <v>17833032</v>
      </c>
      <c r="T31" s="91">
        <v>6512984</v>
      </c>
      <c r="U31" s="91">
        <v>2924856</v>
      </c>
      <c r="V31" s="91">
        <v>8395192</v>
      </c>
      <c r="W31" s="92">
        <v>75.137903124999994</v>
      </c>
      <c r="X31" s="92">
        <v>77.582792187500004</v>
      </c>
      <c r="Y31" s="92">
        <v>36.699199999999998</v>
      </c>
      <c r="Z31" s="92">
        <v>42.816385937500002</v>
      </c>
      <c r="AA31" s="92">
        <v>45.059417187500003</v>
      </c>
      <c r="AB31" s="93">
        <v>5300.47</v>
      </c>
      <c r="AC31" s="93">
        <v>7990.34</v>
      </c>
      <c r="AD31" s="93">
        <v>45.765999999999998</v>
      </c>
      <c r="AE31" s="93">
        <v>140.51</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12.86695125</v>
      </c>
      <c r="J32" s="21">
        <f t="shared" si="1"/>
        <v>0.14686100820590384</v>
      </c>
      <c r="K32" s="21">
        <f t="shared" si="2"/>
        <v>6.4035442979000295E-2</v>
      </c>
      <c r="L32" s="21">
        <f t="shared" si="3"/>
        <v>4.8386802252879599E-2</v>
      </c>
      <c r="M32" s="21">
        <f t="shared" si="4"/>
        <v>8.2825565226903541E-2</v>
      </c>
      <c r="N32" s="18">
        <f t="shared" si="5"/>
        <v>11968736</v>
      </c>
      <c r="O32" s="21">
        <v>16</v>
      </c>
      <c r="P32" s="94">
        <v>184663139</v>
      </c>
      <c r="Q32" s="94">
        <v>2885361.546875</v>
      </c>
      <c r="R32" s="94">
        <v>44778.625</v>
      </c>
      <c r="S32" s="95">
        <v>27449496</v>
      </c>
      <c r="T32" s="95">
        <v>9043880</v>
      </c>
      <c r="U32" s="95">
        <v>2924856</v>
      </c>
      <c r="V32" s="95">
        <v>15480760</v>
      </c>
      <c r="W32" s="96">
        <v>76.444009374999993</v>
      </c>
      <c r="X32" s="96">
        <v>79.129159375</v>
      </c>
      <c r="Y32" s="96">
        <v>38.458793749999998</v>
      </c>
      <c r="Z32" s="96">
        <v>43.332940624999999</v>
      </c>
      <c r="AA32" s="96">
        <v>46.298910937499997</v>
      </c>
      <c r="AB32" s="97">
        <v>5299.13</v>
      </c>
      <c r="AC32" s="97">
        <v>8255.09</v>
      </c>
      <c r="AD32" s="97">
        <v>45.332999999999998</v>
      </c>
      <c r="AE32" s="97">
        <v>142.684</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21.428763750000002</v>
      </c>
      <c r="J33" s="12">
        <f t="shared" si="1"/>
        <v>0.2445839568196953</v>
      </c>
      <c r="K33" s="12">
        <f t="shared" si="2"/>
        <v>8.6467271482255678E-2</v>
      </c>
      <c r="L33" s="12">
        <f t="shared" si="3"/>
        <v>7.0818630756134981E-2</v>
      </c>
      <c r="M33" s="12">
        <f t="shared" si="4"/>
        <v>0.15811668533743964</v>
      </c>
      <c r="N33" s="54">
        <f t="shared" si="5"/>
        <v>16161424</v>
      </c>
      <c r="O33" s="12">
        <v>16</v>
      </c>
      <c r="P33" s="90">
        <v>188952868</v>
      </c>
      <c r="Q33" s="90">
        <v>2952388.5625</v>
      </c>
      <c r="R33" s="90">
        <v>49662.96875</v>
      </c>
      <c r="S33" s="91">
        <v>45714696</v>
      </c>
      <c r="T33" s="91">
        <v>13236568</v>
      </c>
      <c r="U33" s="91">
        <v>2924856</v>
      </c>
      <c r="V33" s="91">
        <v>29553272</v>
      </c>
      <c r="W33" s="92">
        <v>77.586043750000002</v>
      </c>
      <c r="X33" s="92">
        <v>80.332601562500003</v>
      </c>
      <c r="Y33" s="92">
        <v>40.064645312499998</v>
      </c>
      <c r="Z33" s="92">
        <v>44.027356249999997</v>
      </c>
      <c r="AA33" s="92">
        <v>47.883262500000001</v>
      </c>
      <c r="AB33" s="93">
        <v>5339.25</v>
      </c>
      <c r="AC33" s="93">
        <v>8783.08</v>
      </c>
      <c r="AD33" s="93">
        <v>45.526000000000003</v>
      </c>
      <c r="AE33" s="93">
        <v>145.542</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186907991</v>
      </c>
      <c r="E34" s="38">
        <v>11</v>
      </c>
      <c r="F34" s="38">
        <v>64</v>
      </c>
      <c r="G34" s="38">
        <v>30</v>
      </c>
      <c r="I34" s="39">
        <f t="shared" si="0"/>
        <v>40.080228750000003</v>
      </c>
      <c r="J34" s="40">
        <f t="shared" si="1"/>
        <v>0.4574683379909637</v>
      </c>
      <c r="K34" s="40">
        <f t="shared" si="2"/>
        <v>0.1386743063328951</v>
      </c>
      <c r="L34" s="40">
        <f t="shared" si="3"/>
        <v>0.10748569867192034</v>
      </c>
      <c r="M34" s="40">
        <f t="shared" si="4"/>
        <v>0.31879403165806858</v>
      </c>
      <c r="N34" s="37">
        <f t="shared" si="5"/>
        <v>25919336</v>
      </c>
      <c r="O34" s="40">
        <v>16</v>
      </c>
      <c r="P34" s="102">
        <v>185214441</v>
      </c>
      <c r="Q34" s="102">
        <v>2893975.640625</v>
      </c>
      <c r="R34" s="102">
        <v>21165.515625</v>
      </c>
      <c r="S34" s="103">
        <v>85504488</v>
      </c>
      <c r="T34" s="103">
        <v>20089936</v>
      </c>
      <c r="U34" s="103">
        <v>5829400</v>
      </c>
      <c r="V34" s="103">
        <v>59585152</v>
      </c>
      <c r="W34" s="104">
        <v>78.508043749999999</v>
      </c>
      <c r="X34" s="104">
        <v>81.993964062499998</v>
      </c>
      <c r="Y34" s="104">
        <v>41.55774375</v>
      </c>
      <c r="Z34" s="104">
        <v>44.809234375000003</v>
      </c>
      <c r="AA34" s="104">
        <v>49.269304687499996</v>
      </c>
      <c r="AB34" s="105">
        <v>5314.48</v>
      </c>
      <c r="AC34" s="105">
        <v>9583.01</v>
      </c>
      <c r="AD34" s="105">
        <v>44.167000000000002</v>
      </c>
      <c r="AE34" s="105">
        <v>149.65700000000001</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6.2564475000000002</v>
      </c>
      <c r="J35" s="12">
        <f t="shared" si="1"/>
        <v>8.0390237067300613E-2</v>
      </c>
      <c r="K35" s="12">
        <f t="shared" si="2"/>
        <v>4.7424132974393018E-2</v>
      </c>
      <c r="L35" s="12">
        <f t="shared" si="3"/>
        <v>2.8873029062357756E-2</v>
      </c>
      <c r="M35" s="12">
        <f t="shared" si="4"/>
        <v>3.2966104092907587E-2</v>
      </c>
      <c r="N35" s="54">
        <f t="shared" si="5"/>
        <v>7873768</v>
      </c>
      <c r="O35" s="12">
        <v>16</v>
      </c>
      <c r="P35" s="90">
        <v>149439565</v>
      </c>
      <c r="Q35" s="90">
        <v>2334993.203125</v>
      </c>
      <c r="R35" s="90">
        <v>31998.515625</v>
      </c>
      <c r="S35" s="91">
        <v>13347088</v>
      </c>
      <c r="T35" s="91">
        <v>4793752</v>
      </c>
      <c r="U35" s="91">
        <v>3080016</v>
      </c>
      <c r="V35" s="91">
        <v>5473320</v>
      </c>
      <c r="W35" s="92">
        <v>73.210637500000004</v>
      </c>
      <c r="X35" s="92">
        <v>75.474950000000007</v>
      </c>
      <c r="Y35" s="92">
        <v>34.080990624999998</v>
      </c>
      <c r="Z35" s="92">
        <v>42.529596875000003</v>
      </c>
      <c r="AA35" s="92">
        <v>44.065096875000002</v>
      </c>
      <c r="AB35" s="93">
        <v>4750.7299999999996</v>
      </c>
      <c r="AC35" s="93">
        <v>9947.8700000000008</v>
      </c>
      <c r="AD35" s="93">
        <v>41.332000000000001</v>
      </c>
      <c r="AE35" s="93">
        <v>173.292</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8.8954574999999991</v>
      </c>
      <c r="J36" s="21">
        <f t="shared" si="1"/>
        <v>0.11429935874105827</v>
      </c>
      <c r="K36" s="21">
        <f t="shared" si="2"/>
        <v>5.7964719091548968E-2</v>
      </c>
      <c r="L36" s="21">
        <f t="shared" si="3"/>
        <v>3.9413615179513702E-2</v>
      </c>
      <c r="M36" s="21">
        <f t="shared" si="4"/>
        <v>5.6334639649509306E-2</v>
      </c>
      <c r="N36" s="18">
        <f t="shared" si="5"/>
        <v>9623808</v>
      </c>
      <c r="O36" s="21">
        <v>16</v>
      </c>
      <c r="P36" s="94">
        <v>159793992</v>
      </c>
      <c r="Q36" s="94">
        <v>2496781.125</v>
      </c>
      <c r="R36" s="94">
        <v>40635.875</v>
      </c>
      <c r="S36" s="95">
        <v>18976976</v>
      </c>
      <c r="T36" s="95">
        <v>6543792</v>
      </c>
      <c r="U36" s="95">
        <v>3080016</v>
      </c>
      <c r="V36" s="95">
        <v>9353168</v>
      </c>
      <c r="W36" s="96">
        <v>74.940449999999998</v>
      </c>
      <c r="X36" s="96">
        <v>77.395582812499995</v>
      </c>
      <c r="Y36" s="96">
        <v>36.166871874999998</v>
      </c>
      <c r="Z36" s="96">
        <v>43.171703125000001</v>
      </c>
      <c r="AA36" s="96">
        <v>45.373907812500001</v>
      </c>
      <c r="AB36" s="97">
        <v>5138.46</v>
      </c>
      <c r="AC36" s="97">
        <v>12220.6</v>
      </c>
      <c r="AD36" s="97">
        <v>50.03</v>
      </c>
      <c r="AE36" s="97">
        <v>210.04599999999999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13.545367499999999</v>
      </c>
      <c r="J37" s="12">
        <f t="shared" si="1"/>
        <v>0.17404690193415817</v>
      </c>
      <c r="K37" s="12">
        <f t="shared" si="2"/>
        <v>7.3177557150082909E-2</v>
      </c>
      <c r="L37" s="12">
        <f t="shared" si="3"/>
        <v>5.4626453238047649E-2</v>
      </c>
      <c r="M37" s="12">
        <f t="shared" si="4"/>
        <v>0.10086934478407525</v>
      </c>
      <c r="N37" s="54">
        <f t="shared" si="5"/>
        <v>12149576</v>
      </c>
      <c r="O37" s="12">
        <v>16</v>
      </c>
      <c r="P37" s="90">
        <v>163362133</v>
      </c>
      <c r="Q37" s="90">
        <v>2552533.328125</v>
      </c>
      <c r="R37" s="90">
        <v>43997.828125</v>
      </c>
      <c r="S37" s="91">
        <v>28896784</v>
      </c>
      <c r="T37" s="91">
        <v>9069560</v>
      </c>
      <c r="U37" s="91">
        <v>3080016</v>
      </c>
      <c r="V37" s="91">
        <v>16747208</v>
      </c>
      <c r="W37" s="92">
        <v>76.241079687500005</v>
      </c>
      <c r="X37" s="92">
        <v>78.977154687500004</v>
      </c>
      <c r="Y37" s="92">
        <v>38.022651562500002</v>
      </c>
      <c r="Z37" s="92">
        <v>43.730821874999997</v>
      </c>
      <c r="AA37" s="92">
        <v>46.551312500000002</v>
      </c>
      <c r="AB37" s="93">
        <v>5161.8500000000004</v>
      </c>
      <c r="AC37" s="93">
        <v>12542.1</v>
      </c>
      <c r="AD37" s="93">
        <v>49.688000000000002</v>
      </c>
      <c r="AE37" s="93">
        <v>206.88900000000001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22.638791250000001</v>
      </c>
      <c r="J38" s="21">
        <f t="shared" si="1"/>
        <v>0.2908899651926482</v>
      </c>
      <c r="K38" s="21">
        <f t="shared" si="2"/>
        <v>9.8384184355383625E-2</v>
      </c>
      <c r="L38" s="21">
        <f t="shared" si="3"/>
        <v>7.9833080443348359E-2</v>
      </c>
      <c r="M38" s="21">
        <f t="shared" si="4"/>
        <v>0.19250578083726455</v>
      </c>
      <c r="N38" s="18">
        <f t="shared" si="5"/>
        <v>16334600</v>
      </c>
      <c r="O38" s="21">
        <v>16</v>
      </c>
      <c r="P38" s="94">
        <v>167645166</v>
      </c>
      <c r="Q38" s="94">
        <v>2619455.71875</v>
      </c>
      <c r="R38" s="94">
        <v>49216.015625</v>
      </c>
      <c r="S38" s="95">
        <v>48296088</v>
      </c>
      <c r="T38" s="95">
        <v>13254584</v>
      </c>
      <c r="U38" s="95">
        <v>3080016</v>
      </c>
      <c r="V38" s="95">
        <v>31961488</v>
      </c>
      <c r="W38" s="96">
        <v>77.421584374999995</v>
      </c>
      <c r="X38" s="96">
        <v>80.181292187500006</v>
      </c>
      <c r="Y38" s="96">
        <v>39.794079687500002</v>
      </c>
      <c r="Z38" s="96">
        <v>44.509331250000002</v>
      </c>
      <c r="AA38" s="96">
        <v>47.874910937499997</v>
      </c>
      <c r="AB38" s="97">
        <v>5135.3900000000003</v>
      </c>
      <c r="AC38" s="97">
        <v>13099.4</v>
      </c>
      <c r="AD38" s="97">
        <v>51.08</v>
      </c>
      <c r="AE38" s="97">
        <v>212.66200000000001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166028718</v>
      </c>
      <c r="E39" s="28">
        <v>11</v>
      </c>
      <c r="F39" s="28">
        <v>64</v>
      </c>
      <c r="G39" s="28">
        <v>30</v>
      </c>
      <c r="I39" s="29">
        <f t="shared" si="0"/>
        <v>41.416919999999998</v>
      </c>
      <c r="J39" s="30">
        <f t="shared" si="1"/>
        <v>0.53217357252616981</v>
      </c>
      <c r="K39" s="30">
        <f t="shared" si="2"/>
        <v>0.15856095449704069</v>
      </c>
      <c r="L39" s="30">
        <f t="shared" si="3"/>
        <v>0.1213118805145505</v>
      </c>
      <c r="M39" s="30">
        <f t="shared" si="4"/>
        <v>0.37361261802912915</v>
      </c>
      <c r="N39" s="27">
        <f t="shared" si="5"/>
        <v>26325672</v>
      </c>
      <c r="O39" s="30">
        <v>16</v>
      </c>
      <c r="P39" s="98">
        <v>163814525</v>
      </c>
      <c r="Q39" s="98">
        <v>2559601.953125</v>
      </c>
      <c r="R39" s="98">
        <v>20010.140625</v>
      </c>
      <c r="S39" s="99">
        <v>88356096</v>
      </c>
      <c r="T39" s="99">
        <v>20141256</v>
      </c>
      <c r="U39" s="99">
        <v>6184416</v>
      </c>
      <c r="V39" s="99">
        <v>62030424</v>
      </c>
      <c r="W39" s="100">
        <v>78.307156250000006</v>
      </c>
      <c r="X39" s="100">
        <v>81.904659374999994</v>
      </c>
      <c r="Y39" s="100">
        <v>41.377910937499998</v>
      </c>
      <c r="Z39" s="100">
        <v>45.4940703125</v>
      </c>
      <c r="AA39" s="100">
        <v>49.188935937499998</v>
      </c>
      <c r="AB39" s="101">
        <v>5161.8</v>
      </c>
      <c r="AC39" s="101">
        <v>14212.8</v>
      </c>
      <c r="AD39" s="101">
        <v>49.444000000000003</v>
      </c>
      <c r="AE39" s="101">
        <v>220.07499999999999</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0.400552619587838</v>
      </c>
      <c r="K40" s="48">
        <f>AVERAGE(K5:K24)</f>
        <v>0.1295574306050031</v>
      </c>
      <c r="L40" s="48">
        <f>AVERAGE(L5:L24)</f>
        <v>9.0551988153411797E-2</v>
      </c>
      <c r="M40" s="48">
        <f>AVERAGE(M5:M24)</f>
        <v>0.27099518898283492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0.79766272208001698</v>
      </c>
      <c r="K41" s="48">
        <f>AVERAGE(K25:K29)</f>
        <v>0.1228802116060187</v>
      </c>
      <c r="L41" s="48">
        <f>AVERAGE(L25:L29)</f>
        <v>8.9532517327922029E-2</v>
      </c>
      <c r="M41" s="48">
        <f>AVERAGE(M25:M29)</f>
        <v>0.67478251047399818</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0.2203205738281179</v>
      </c>
      <c r="K42" s="48">
        <f>AVERAGE(K30:K39)</f>
        <v>8.1627677709495999E-2</v>
      </c>
      <c r="L42" s="48">
        <f>AVERAGE(L30:L39)</f>
        <v>6.1104011689887119E-2</v>
      </c>
      <c r="M42" s="48">
        <f>AVERAGE(M30:M39)</f>
        <v>0.13869289611862187</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0.40578776401251498</v>
      </c>
      <c r="K43" s="48">
        <f>AVERAGE(K5:K39)</f>
        <v>0.11490932706357473</v>
      </c>
      <c r="L43" s="48">
        <f>AVERAGE(L5:L39)</f>
        <v>8.1992641903049071E-2</v>
      </c>
      <c r="M43" s="48">
        <f>AVERAGE(M5:M39)</f>
        <v>0.29087843694894017</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687568.48</v>
      </c>
      <c r="AC44" s="49">
        <f>SUM(AC5:AC24,AC25:AC29,AC30:AC39)</f>
        <v>447822.28</v>
      </c>
      <c r="AD44" s="49">
        <f>SUM(AD5:AD24,AD25:AD29,AD30:AD39)</f>
        <v>2060.4430000000007</v>
      </c>
      <c r="AE44" s="49">
        <f>SUM(AE5:AE24,AE25:AE29,AE30:AE39)</f>
        <v>7087.0770000000011</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15422.75781650058</v>
      </c>
      <c r="AC46" s="49">
        <f>GEOMEAN(AC5:AC24,AC25:AC29,AC30:AC39)</f>
        <v>12447.44524288339</v>
      </c>
      <c r="AD46" s="49">
        <f>GEOMEAN(AD5:AD24,AD25:AD29,AD30:AD39)</f>
        <v>57.807303737213537</v>
      </c>
      <c r="AE46" s="49">
        <f>GEOMEAN(AE5:AE24,AE25:AE29,AE30:AE39)</f>
        <v>198.95447201142997</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121" t="s">
        <v>564</v>
      </c>
      <c r="B1" s="107"/>
      <c r="C1" s="107"/>
      <c r="D1" s="107"/>
      <c r="E1" s="107"/>
      <c r="F1" s="107"/>
      <c r="H1" s="106" t="str">
        <f>Summary!$C$1</f>
        <v>Master+r7.0</v>
      </c>
      <c r="I1" s="107"/>
      <c r="J1" s="107"/>
      <c r="K1" s="107"/>
      <c r="L1" s="107"/>
      <c r="M1" s="107"/>
      <c r="N1" s="107"/>
      <c r="O1" s="107"/>
      <c r="P1" s="107"/>
      <c r="Q1" s="107"/>
      <c r="R1" s="107"/>
      <c r="S1" s="107"/>
      <c r="T1" s="107"/>
      <c r="U1" s="107"/>
      <c r="V1" s="107"/>
      <c r="W1" s="107"/>
      <c r="X1" s="107"/>
      <c r="Y1" s="107"/>
      <c r="Z1" s="107"/>
      <c r="AA1" s="107"/>
      <c r="AB1" s="107"/>
      <c r="AC1" s="107"/>
      <c r="AE1" s="108">
        <f>Summary!$C$2</f>
        <v>0</v>
      </c>
      <c r="AF1" s="107"/>
      <c r="AG1" s="107"/>
      <c r="AH1" s="107"/>
      <c r="AI1" s="107"/>
      <c r="AJ1" s="107"/>
      <c r="AK1" s="107"/>
      <c r="AL1" s="107"/>
      <c r="AM1" s="107"/>
      <c r="AN1" s="107"/>
      <c r="AO1" s="107"/>
      <c r="AP1" s="107"/>
      <c r="AQ1" s="107"/>
      <c r="AR1" s="107"/>
      <c r="AS1" s="107"/>
      <c r="AT1" s="107"/>
      <c r="AU1" s="107"/>
      <c r="AV1" s="107"/>
      <c r="AW1" s="107"/>
      <c r="AX1" s="107"/>
      <c r="AY1" s="107"/>
      <c r="AZ1" s="107"/>
    </row>
    <row r="2" spans="1:59" ht="30" customHeight="1" x14ac:dyDescent="0.25">
      <c r="A2" s="117" t="s">
        <v>137</v>
      </c>
      <c r="B2" s="118" t="s">
        <v>138</v>
      </c>
      <c r="C2" s="117" t="s">
        <v>140</v>
      </c>
      <c r="D2" s="118" t="s">
        <v>141</v>
      </c>
      <c r="E2" s="117" t="s">
        <v>142</v>
      </c>
      <c r="F2" s="118" t="s">
        <v>143</v>
      </c>
      <c r="H2" s="117" t="s">
        <v>565</v>
      </c>
      <c r="I2" s="118" t="s">
        <v>144</v>
      </c>
      <c r="J2" s="119" t="s">
        <v>145</v>
      </c>
      <c r="K2" s="107"/>
      <c r="L2" s="107"/>
      <c r="M2" s="107"/>
      <c r="N2" s="117" t="s">
        <v>146</v>
      </c>
      <c r="O2" s="118" t="s">
        <v>147</v>
      </c>
      <c r="P2" s="117" t="s">
        <v>84</v>
      </c>
      <c r="Q2" s="120" t="s">
        <v>148</v>
      </c>
      <c r="R2" s="107"/>
      <c r="S2" s="107"/>
      <c r="T2" s="107"/>
      <c r="U2" s="119" t="s">
        <v>149</v>
      </c>
      <c r="V2" s="107"/>
      <c r="W2" s="120" t="s">
        <v>150</v>
      </c>
      <c r="X2" s="107"/>
      <c r="Y2" s="107"/>
      <c r="Z2" s="119" t="s">
        <v>151</v>
      </c>
      <c r="AA2" s="107"/>
      <c r="AB2" s="120" t="s">
        <v>152</v>
      </c>
      <c r="AC2" s="107"/>
      <c r="AE2" s="117" t="s">
        <v>565</v>
      </c>
      <c r="AF2" s="118" t="s">
        <v>144</v>
      </c>
      <c r="AG2" s="119" t="s">
        <v>145</v>
      </c>
      <c r="AH2" s="107"/>
      <c r="AI2" s="107"/>
      <c r="AJ2" s="107"/>
      <c r="AK2" s="117" t="s">
        <v>153</v>
      </c>
      <c r="AL2" s="118" t="s">
        <v>147</v>
      </c>
      <c r="AM2" s="117" t="s">
        <v>84</v>
      </c>
      <c r="AN2" s="120" t="s">
        <v>148</v>
      </c>
      <c r="AO2" s="107"/>
      <c r="AP2" s="107"/>
      <c r="AQ2" s="107"/>
      <c r="AR2" s="119" t="s">
        <v>149</v>
      </c>
      <c r="AS2" s="107"/>
      <c r="AT2" s="120" t="s">
        <v>150</v>
      </c>
      <c r="AU2" s="107"/>
      <c r="AV2" s="107"/>
      <c r="AW2" s="119" t="s">
        <v>151</v>
      </c>
      <c r="AX2" s="107"/>
      <c r="AY2" s="120" t="s">
        <v>152</v>
      </c>
      <c r="AZ2" s="107"/>
      <c r="BB2" s="119" t="s">
        <v>22</v>
      </c>
      <c r="BC2" s="107"/>
      <c r="BD2" s="107"/>
      <c r="BE2" s="107"/>
      <c r="BF2" s="118" t="s">
        <v>156</v>
      </c>
      <c r="BG2" s="117" t="s">
        <v>156</v>
      </c>
    </row>
    <row r="3" spans="1:59" ht="28.9" customHeight="1" thickBot="1" x14ac:dyDescent="0.3">
      <c r="A3" s="110"/>
      <c r="B3" s="110"/>
      <c r="C3" s="110"/>
      <c r="D3" s="110"/>
      <c r="E3" s="110"/>
      <c r="F3" s="110"/>
      <c r="H3" s="110"/>
      <c r="I3" s="110"/>
      <c r="J3" s="57" t="s">
        <v>25</v>
      </c>
      <c r="K3" s="57" t="s">
        <v>23</v>
      </c>
      <c r="L3" s="57" t="s">
        <v>157</v>
      </c>
      <c r="M3" s="57" t="s">
        <v>158</v>
      </c>
      <c r="N3" s="110"/>
      <c r="O3" s="110"/>
      <c r="P3" s="110"/>
      <c r="Q3" s="56" t="s">
        <v>25</v>
      </c>
      <c r="R3" s="56" t="s">
        <v>157</v>
      </c>
      <c r="S3" s="56" t="s">
        <v>159</v>
      </c>
      <c r="T3" s="56" t="s">
        <v>24</v>
      </c>
      <c r="U3" s="57" t="s">
        <v>9</v>
      </c>
      <c r="V3" s="57" t="s">
        <v>10</v>
      </c>
      <c r="W3" s="56" t="s">
        <v>11</v>
      </c>
      <c r="X3" s="56" t="s">
        <v>12</v>
      </c>
      <c r="Y3" s="56" t="s">
        <v>13</v>
      </c>
      <c r="Z3" s="57" t="s">
        <v>160</v>
      </c>
      <c r="AA3" s="57" t="s">
        <v>161</v>
      </c>
      <c r="AB3" s="56" t="s">
        <v>160</v>
      </c>
      <c r="AC3" s="56" t="s">
        <v>161</v>
      </c>
      <c r="AE3" s="110"/>
      <c r="AF3" s="110"/>
      <c r="AG3" s="57" t="s">
        <v>25</v>
      </c>
      <c r="AH3" s="57" t="s">
        <v>23</v>
      </c>
      <c r="AI3" s="57" t="s">
        <v>157</v>
      </c>
      <c r="AJ3" s="57" t="s">
        <v>158</v>
      </c>
      <c r="AK3" s="110"/>
      <c r="AL3" s="110"/>
      <c r="AM3" s="110"/>
      <c r="AN3" s="56" t="s">
        <v>25</v>
      </c>
      <c r="AO3" s="56" t="s">
        <v>157</v>
      </c>
      <c r="AP3" s="56" t="s">
        <v>159</v>
      </c>
      <c r="AQ3" s="56" t="s">
        <v>24</v>
      </c>
      <c r="AR3" s="57" t="s">
        <v>9</v>
      </c>
      <c r="AS3" s="57" t="s">
        <v>10</v>
      </c>
      <c r="AT3" s="56" t="s">
        <v>11</v>
      </c>
      <c r="AU3" s="56" t="s">
        <v>12</v>
      </c>
      <c r="AV3" s="56" t="s">
        <v>13</v>
      </c>
      <c r="AW3" s="57" t="s">
        <v>160</v>
      </c>
      <c r="AX3" s="57" t="s">
        <v>161</v>
      </c>
      <c r="AY3" s="56" t="s">
        <v>160</v>
      </c>
      <c r="AZ3" s="56" t="s">
        <v>161</v>
      </c>
      <c r="BB3" s="57" t="s">
        <v>25</v>
      </c>
      <c r="BC3" s="57" t="s">
        <v>23</v>
      </c>
      <c r="BD3" s="57" t="s">
        <v>157</v>
      </c>
      <c r="BE3" s="57" t="s">
        <v>24</v>
      </c>
      <c r="BF3" s="110"/>
      <c r="BG3" s="110"/>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0.16815677665038176</v>
      </c>
      <c r="I5" s="11">
        <f t="shared" ref="I5:I11" si="1">IF(OR(ISBLANK(Q5),ISBLANK(F5)),"·",Q5*F5/E5/1000000)</f>
        <v>216.24801919999999</v>
      </c>
      <c r="J5" s="12">
        <f t="shared" ref="J5:J11" si="2">IF(ISBLANK(Q5),"·",Q5/C5)</f>
        <v>9.0804659391206144</v>
      </c>
      <c r="K5" s="12">
        <f t="shared" ref="K5:K11" si="3">IF(N5="","·",N5/C5)</f>
        <v>1.4354223659009806</v>
      </c>
      <c r="L5" s="12">
        <f t="shared" ref="L5:L11" si="4">IF(R5="","·",R5/C5)</f>
        <v>1.3377396930613155</v>
      </c>
      <c r="M5" s="12">
        <f t="shared" ref="M5:M11" si="5">IF(ISBLANK(T5),"·",T5/C5)</f>
        <v>7.6450435732196338</v>
      </c>
      <c r="N5" s="54">
        <f t="shared" ref="N5:N11" si="6">IF(OR(ISBLANK(R5),ISBLANK(S5)),"",R5+S5)</f>
        <v>341840656</v>
      </c>
      <c r="O5" s="12">
        <v>16</v>
      </c>
      <c r="P5" s="90">
        <v>238146391</v>
      </c>
      <c r="Q5" s="91">
        <v>2162480192</v>
      </c>
      <c r="R5" s="91">
        <v>318577880</v>
      </c>
      <c r="S5" s="91">
        <v>23262776</v>
      </c>
      <c r="T5" s="91">
        <v>1820639536</v>
      </c>
      <c r="U5" s="92" t="s">
        <v>571</v>
      </c>
      <c r="V5" s="92" t="s">
        <v>571</v>
      </c>
      <c r="W5" s="92" t="s">
        <v>571</v>
      </c>
      <c r="X5" s="92" t="s">
        <v>571</v>
      </c>
      <c r="Y5" s="92" t="s">
        <v>571</v>
      </c>
      <c r="Z5" s="93">
        <v>33061.199999999997</v>
      </c>
      <c r="AA5" s="93">
        <v>55751.199999999997</v>
      </c>
      <c r="AB5" s="93">
        <v>45.487000000000002</v>
      </c>
      <c r="AC5" s="93">
        <v>259.31299999999999</v>
      </c>
      <c r="AE5" s="17">
        <f t="shared" ref="AE5:AE11" si="7">IF(ISBLANK(Q5),"·",Q5/(C5*(D5*3+IF(AND(ISNUMBER(T5),T5&gt;0),24,0))))</f>
        <v>0.16815677665038176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58"/>
      <c r="AN5" s="59"/>
      <c r="AO5" s="59"/>
      <c r="AP5" s="59"/>
      <c r="AQ5" s="59"/>
      <c r="AR5" s="60"/>
      <c r="AS5" s="60"/>
      <c r="AT5" s="60"/>
      <c r="AU5" s="60"/>
      <c r="AV5" s="60"/>
      <c r="AW5" s="61"/>
      <c r="AX5" s="61"/>
      <c r="AY5" s="61"/>
      <c r="AZ5" s="61"/>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0.23933612725959691</v>
      </c>
      <c r="I6" s="20">
        <f t="shared" si="1"/>
        <v>281.90318400000001</v>
      </c>
      <c r="J6" s="21">
        <f t="shared" si="2"/>
        <v>12.924150872018233</v>
      </c>
      <c r="K6" s="21">
        <f t="shared" si="3"/>
        <v>1.7650532175128546</v>
      </c>
      <c r="L6" s="21">
        <f t="shared" si="4"/>
        <v>1.6027027390573909</v>
      </c>
      <c r="M6" s="21">
        <f t="shared" si="5"/>
        <v>11.159097654505379</v>
      </c>
      <c r="N6" s="18">
        <f t="shared" si="6"/>
        <v>384995600</v>
      </c>
      <c r="O6" s="21">
        <v>16</v>
      </c>
      <c r="P6" s="94">
        <v>218121242</v>
      </c>
      <c r="Q6" s="95">
        <v>2819031840</v>
      </c>
      <c r="R6" s="95">
        <v>349583512</v>
      </c>
      <c r="S6" s="95">
        <v>35412088</v>
      </c>
      <c r="T6" s="95">
        <v>2434036240</v>
      </c>
      <c r="U6" s="96" t="s">
        <v>571</v>
      </c>
      <c r="V6" s="96" t="s">
        <v>571</v>
      </c>
      <c r="W6" s="96" t="s">
        <v>571</v>
      </c>
      <c r="X6" s="96" t="s">
        <v>571</v>
      </c>
      <c r="Y6" s="96" t="s">
        <v>571</v>
      </c>
      <c r="Z6" s="97">
        <v>30409.9</v>
      </c>
      <c r="AA6" s="97">
        <v>57029.3</v>
      </c>
      <c r="AB6" s="97">
        <v>44.362000000000002</v>
      </c>
      <c r="AC6" s="97">
        <v>274.16300000000001</v>
      </c>
      <c r="AE6" s="26">
        <f t="shared" si="7"/>
        <v>0.23933612725959691</v>
      </c>
      <c r="AF6" s="20" t="str">
        <f t="shared" si="8"/>
        <v>·</v>
      </c>
      <c r="AG6" s="21" t="str">
        <f t="shared" si="9"/>
        <v>·</v>
      </c>
      <c r="AH6" s="21" t="str">
        <f t="shared" si="10"/>
        <v>·</v>
      </c>
      <c r="AI6" s="21" t="str">
        <f t="shared" si="11"/>
        <v>·</v>
      </c>
      <c r="AJ6" s="21" t="str">
        <f t="shared" si="12"/>
        <v>·</v>
      </c>
      <c r="AK6" s="18" t="str">
        <f t="shared" si="13"/>
        <v/>
      </c>
      <c r="AL6" s="21">
        <v>16</v>
      </c>
      <c r="AM6" s="62"/>
      <c r="AN6" s="63"/>
      <c r="AO6" s="63"/>
      <c r="AP6" s="63"/>
      <c r="AQ6" s="63"/>
      <c r="AR6" s="64"/>
      <c r="AS6" s="64"/>
      <c r="AT6" s="64"/>
      <c r="AU6" s="64"/>
      <c r="AV6" s="64"/>
      <c r="AW6" s="65"/>
      <c r="AX6" s="65"/>
      <c r="AY6" s="65"/>
      <c r="AZ6" s="6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0.18677300330655269</v>
      </c>
      <c r="I7" s="11">
        <f t="shared" si="1"/>
        <v>325.35565839999998</v>
      </c>
      <c r="J7" s="12">
        <f t="shared" si="2"/>
        <v>10.085742178553845</v>
      </c>
      <c r="K7" s="12">
        <f t="shared" si="3"/>
        <v>1.6489351563433654</v>
      </c>
      <c r="L7" s="12">
        <f t="shared" si="4"/>
        <v>1.5287124724848626</v>
      </c>
      <c r="M7" s="12">
        <f t="shared" si="5"/>
        <v>8.4368070222104787</v>
      </c>
      <c r="N7" s="54">
        <f t="shared" si="6"/>
        <v>531929504</v>
      </c>
      <c r="O7" s="12">
        <v>16</v>
      </c>
      <c r="P7" s="90">
        <v>322589704</v>
      </c>
      <c r="Q7" s="91">
        <v>3253556584</v>
      </c>
      <c r="R7" s="91">
        <v>493146904</v>
      </c>
      <c r="S7" s="91">
        <v>38782600</v>
      </c>
      <c r="T7" s="91">
        <v>2721627080</v>
      </c>
      <c r="U7" s="92" t="s">
        <v>571</v>
      </c>
      <c r="V7" s="92" t="s">
        <v>571</v>
      </c>
      <c r="W7" s="92" t="s">
        <v>571</v>
      </c>
      <c r="X7" s="92" t="s">
        <v>571</v>
      </c>
      <c r="Y7" s="92" t="s">
        <v>571</v>
      </c>
      <c r="Z7" s="93">
        <v>41817</v>
      </c>
      <c r="AA7" s="93">
        <v>73179.7</v>
      </c>
      <c r="AB7" s="93">
        <v>52.863</v>
      </c>
      <c r="AC7" s="93">
        <v>270.27999999999997</v>
      </c>
      <c r="AE7" s="17">
        <f t="shared" si="7"/>
        <v>0.18677300330655269</v>
      </c>
      <c r="AF7" s="11" t="str">
        <f t="shared" si="8"/>
        <v>·</v>
      </c>
      <c r="AG7" s="12" t="str">
        <f t="shared" si="9"/>
        <v>·</v>
      </c>
      <c r="AH7" s="12" t="str">
        <f t="shared" si="10"/>
        <v>·</v>
      </c>
      <c r="AI7" s="12" t="str">
        <f t="shared" si="11"/>
        <v>·</v>
      </c>
      <c r="AJ7" s="12" t="str">
        <f t="shared" si="12"/>
        <v>·</v>
      </c>
      <c r="AK7" s="54" t="str">
        <f t="shared" si="13"/>
        <v/>
      </c>
      <c r="AL7" s="12">
        <v>16</v>
      </c>
      <c r="AM7" s="58"/>
      <c r="AN7" s="59"/>
      <c r="AO7" s="59"/>
      <c r="AP7" s="59"/>
      <c r="AQ7" s="59"/>
      <c r="AR7" s="60"/>
      <c r="AS7" s="60"/>
      <c r="AT7" s="60"/>
      <c r="AU7" s="60"/>
      <c r="AV7" s="60"/>
      <c r="AW7" s="61"/>
      <c r="AX7" s="61"/>
      <c r="AY7" s="61"/>
      <c r="AZ7" s="61"/>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0.15951636555689364</v>
      </c>
      <c r="I8" s="39">
        <f t="shared" si="1"/>
        <v>431.73283360000005</v>
      </c>
      <c r="J8" s="40">
        <f t="shared" si="2"/>
        <v>8.6138837400722572</v>
      </c>
      <c r="K8" s="40">
        <f t="shared" si="3"/>
        <v>1.2314001916282762</v>
      </c>
      <c r="L8" s="40">
        <f t="shared" si="4"/>
        <v>1.0860655554049454</v>
      </c>
      <c r="M8" s="40">
        <f t="shared" si="5"/>
        <v>7.3824835484439806</v>
      </c>
      <c r="N8" s="37">
        <f t="shared" si="6"/>
        <v>308592448</v>
      </c>
      <c r="O8" s="40">
        <v>16</v>
      </c>
      <c r="P8" s="102">
        <v>250602891</v>
      </c>
      <c r="Q8" s="103">
        <v>2158664168</v>
      </c>
      <c r="R8" s="103">
        <v>272171168</v>
      </c>
      <c r="S8" s="103">
        <v>36421280</v>
      </c>
      <c r="T8" s="103">
        <v>1850071720</v>
      </c>
      <c r="U8" s="104" t="s">
        <v>571</v>
      </c>
      <c r="V8" s="104" t="s">
        <v>571</v>
      </c>
      <c r="W8" s="104" t="s">
        <v>571</v>
      </c>
      <c r="X8" s="104" t="s">
        <v>571</v>
      </c>
      <c r="Y8" s="104" t="s">
        <v>571</v>
      </c>
      <c r="Z8" s="105">
        <v>33444</v>
      </c>
      <c r="AA8" s="105">
        <v>51144.6</v>
      </c>
      <c r="AB8" s="105">
        <v>42.65</v>
      </c>
      <c r="AC8" s="105">
        <v>236.35</v>
      </c>
      <c r="AE8" s="46">
        <f t="shared" si="7"/>
        <v>0.15951636555689364</v>
      </c>
      <c r="AF8" s="39" t="str">
        <f t="shared" si="8"/>
        <v>·</v>
      </c>
      <c r="AG8" s="40" t="str">
        <f t="shared" si="9"/>
        <v>·</v>
      </c>
      <c r="AH8" s="40" t="str">
        <f t="shared" si="10"/>
        <v>·</v>
      </c>
      <c r="AI8" s="40" t="str">
        <f t="shared" si="11"/>
        <v>·</v>
      </c>
      <c r="AJ8" s="40" t="str">
        <f t="shared" si="12"/>
        <v>·</v>
      </c>
      <c r="AK8" s="37" t="str">
        <f t="shared" si="13"/>
        <v/>
      </c>
      <c r="AL8" s="40">
        <v>16</v>
      </c>
      <c r="AM8" s="70"/>
      <c r="AN8" s="71"/>
      <c r="AO8" s="71"/>
      <c r="AP8" s="71"/>
      <c r="AQ8" s="71"/>
      <c r="AR8" s="72"/>
      <c r="AS8" s="72"/>
      <c r="AT8" s="72"/>
      <c r="AU8" s="72"/>
      <c r="AV8" s="72"/>
      <c r="AW8" s="73"/>
      <c r="AX8" s="73"/>
      <c r="AY8" s="73"/>
      <c r="AZ8" s="73"/>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0.2743461495095999</v>
      </c>
      <c r="I9" s="29">
        <f t="shared" si="1"/>
        <v>370.80371600000001</v>
      </c>
      <c r="J9" s="30">
        <f t="shared" si="2"/>
        <v>14.814692073518396</v>
      </c>
      <c r="K9" s="30">
        <f t="shared" si="3"/>
        <v>1.5223399442182093</v>
      </c>
      <c r="L9" s="30">
        <f t="shared" si="4"/>
        <v>1.4219677835455504</v>
      </c>
      <c r="M9" s="30">
        <f t="shared" si="5"/>
        <v>13.292352129300186</v>
      </c>
      <c r="N9" s="27">
        <f t="shared" si="6"/>
        <v>381033440</v>
      </c>
      <c r="O9" s="30">
        <v>16</v>
      </c>
      <c r="P9" s="98">
        <v>250294582</v>
      </c>
      <c r="Q9" s="99">
        <v>3708037160</v>
      </c>
      <c r="R9" s="99">
        <v>355910832</v>
      </c>
      <c r="S9" s="99">
        <v>25122608</v>
      </c>
      <c r="T9" s="99">
        <v>3327003720</v>
      </c>
      <c r="U9" s="100" t="s">
        <v>571</v>
      </c>
      <c r="V9" s="100" t="s">
        <v>571</v>
      </c>
      <c r="W9" s="100" t="s">
        <v>571</v>
      </c>
      <c r="X9" s="100" t="s">
        <v>571</v>
      </c>
      <c r="Y9" s="100" t="s">
        <v>571</v>
      </c>
      <c r="Z9" s="101">
        <v>13752.3</v>
      </c>
      <c r="AA9" s="101">
        <v>62262.2</v>
      </c>
      <c r="AB9" s="101">
        <v>45.014000000000003</v>
      </c>
      <c r="AC9" s="101">
        <v>294.48700000000002</v>
      </c>
      <c r="AE9" s="36">
        <f t="shared" si="7"/>
        <v>0.2743461495095999</v>
      </c>
      <c r="AF9" s="29" t="str">
        <f t="shared" si="8"/>
        <v>·</v>
      </c>
      <c r="AG9" s="30" t="str">
        <f t="shared" si="9"/>
        <v>·</v>
      </c>
      <c r="AH9" s="30" t="str">
        <f t="shared" si="10"/>
        <v>·</v>
      </c>
      <c r="AI9" s="30" t="str">
        <f t="shared" si="11"/>
        <v>·</v>
      </c>
      <c r="AJ9" s="30" t="str">
        <f t="shared" si="12"/>
        <v>·</v>
      </c>
      <c r="AK9" s="27" t="str">
        <f t="shared" si="13"/>
        <v/>
      </c>
      <c r="AL9" s="30">
        <v>16</v>
      </c>
      <c r="AM9" s="66"/>
      <c r="AN9" s="67"/>
      <c r="AO9" s="67"/>
      <c r="AP9" s="67"/>
      <c r="AQ9" s="67"/>
      <c r="AR9" s="68"/>
      <c r="AS9" s="68"/>
      <c r="AT9" s="68"/>
      <c r="AU9" s="68"/>
      <c r="AV9" s="68"/>
      <c r="AW9" s="69"/>
      <c r="AX9" s="69"/>
      <c r="AY9" s="69"/>
      <c r="AZ9" s="69"/>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0.17218626898640779</v>
      </c>
      <c r="I10" s="20">
        <f t="shared" si="1"/>
        <v>859.88925374999997</v>
      </c>
      <c r="J10" s="21">
        <f t="shared" si="2"/>
        <v>9.8146173322252448</v>
      </c>
      <c r="K10" s="21">
        <f t="shared" si="3"/>
        <v>1.1272296217661448</v>
      </c>
      <c r="L10" s="21">
        <f t="shared" si="4"/>
        <v>1.0768247142520515</v>
      </c>
      <c r="M10" s="21">
        <f t="shared" si="5"/>
        <v>8.6873877104590989</v>
      </c>
      <c r="N10" s="18">
        <f t="shared" si="6"/>
        <v>210688224</v>
      </c>
      <c r="O10" s="21">
        <v>16</v>
      </c>
      <c r="P10" s="94">
        <v>186907991</v>
      </c>
      <c r="Q10" s="95">
        <v>1834430408</v>
      </c>
      <c r="R10" s="95">
        <v>201267144</v>
      </c>
      <c r="S10" s="95">
        <v>9421080</v>
      </c>
      <c r="T10" s="95">
        <v>1623742184</v>
      </c>
      <c r="U10" s="96" t="s">
        <v>571</v>
      </c>
      <c r="V10" s="96" t="s">
        <v>571</v>
      </c>
      <c r="W10" s="96" t="s">
        <v>571</v>
      </c>
      <c r="X10" s="96" t="s">
        <v>571</v>
      </c>
      <c r="Y10" s="96" t="s">
        <v>571</v>
      </c>
      <c r="Z10" s="97">
        <v>6055.02</v>
      </c>
      <c r="AA10" s="97">
        <v>39792.300000000003</v>
      </c>
      <c r="AB10" s="97">
        <v>33.765999999999998</v>
      </c>
      <c r="AC10" s="97">
        <v>175.744</v>
      </c>
      <c r="AE10" s="26">
        <f t="shared" si="7"/>
        <v>0.17218626898640779</v>
      </c>
      <c r="AF10" s="20" t="str">
        <f t="shared" si="8"/>
        <v>·</v>
      </c>
      <c r="AG10" s="21" t="str">
        <f t="shared" si="9"/>
        <v>·</v>
      </c>
      <c r="AH10" s="21" t="str">
        <f t="shared" si="10"/>
        <v>·</v>
      </c>
      <c r="AI10" s="21" t="str">
        <f t="shared" si="11"/>
        <v>·</v>
      </c>
      <c r="AJ10" s="21" t="str">
        <f t="shared" si="12"/>
        <v>·</v>
      </c>
      <c r="AK10" s="18" t="str">
        <f t="shared" si="13"/>
        <v/>
      </c>
      <c r="AL10" s="21">
        <v>16</v>
      </c>
      <c r="AM10" s="62"/>
      <c r="AN10" s="63"/>
      <c r="AO10" s="63"/>
      <c r="AP10" s="63"/>
      <c r="AQ10" s="63"/>
      <c r="AR10" s="64"/>
      <c r="AS10" s="64"/>
      <c r="AT10" s="64"/>
      <c r="AU10" s="64"/>
      <c r="AV10" s="64"/>
      <c r="AW10" s="65"/>
      <c r="AX10" s="65"/>
      <c r="AY10" s="65"/>
      <c r="AZ10" s="6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166028718</v>
      </c>
      <c r="D11" s="28">
        <v>11</v>
      </c>
      <c r="E11" s="28">
        <v>64</v>
      </c>
      <c r="F11" s="28">
        <v>30</v>
      </c>
      <c r="H11" s="36">
        <f t="shared" si="0"/>
        <v>0.17471294523751893</v>
      </c>
      <c r="I11" s="29">
        <f t="shared" si="1"/>
        <v>775.04056875000003</v>
      </c>
      <c r="J11" s="30">
        <f t="shared" si="2"/>
        <v>9.9586378785385783</v>
      </c>
      <c r="K11" s="30">
        <f t="shared" si="3"/>
        <v>1.1936502214032636</v>
      </c>
      <c r="L11" s="30">
        <f t="shared" si="4"/>
        <v>1.1351388017101958</v>
      </c>
      <c r="M11" s="30">
        <f t="shared" si="5"/>
        <v>8.7649876571353165</v>
      </c>
      <c r="N11" s="27">
        <f t="shared" si="6"/>
        <v>198180216</v>
      </c>
      <c r="O11" s="30">
        <v>16</v>
      </c>
      <c r="P11" s="98">
        <v>166028718</v>
      </c>
      <c r="Q11" s="99">
        <v>1653419880</v>
      </c>
      <c r="R11" s="99">
        <v>188465640</v>
      </c>
      <c r="S11" s="99">
        <v>9714576</v>
      </c>
      <c r="T11" s="99">
        <v>1455239664</v>
      </c>
      <c r="U11" s="100" t="s">
        <v>571</v>
      </c>
      <c r="V11" s="100" t="s">
        <v>571</v>
      </c>
      <c r="W11" s="100" t="s">
        <v>571</v>
      </c>
      <c r="X11" s="100" t="s">
        <v>571</v>
      </c>
      <c r="Y11" s="100" t="s">
        <v>571</v>
      </c>
      <c r="Z11" s="101">
        <v>5321.07</v>
      </c>
      <c r="AA11" s="101">
        <v>41982.3</v>
      </c>
      <c r="AB11" s="101">
        <v>34.491</v>
      </c>
      <c r="AC11" s="101">
        <v>210.298</v>
      </c>
      <c r="AE11" s="36">
        <f t="shared" si="7"/>
        <v>0.17471294523751893</v>
      </c>
      <c r="AF11" s="29" t="str">
        <f t="shared" si="8"/>
        <v>·</v>
      </c>
      <c r="AG11" s="30" t="str">
        <f t="shared" si="9"/>
        <v>·</v>
      </c>
      <c r="AH11" s="30" t="str">
        <f t="shared" si="10"/>
        <v>·</v>
      </c>
      <c r="AI11" s="30" t="str">
        <f t="shared" si="11"/>
        <v>·</v>
      </c>
      <c r="AJ11" s="30" t="str">
        <f t="shared" si="12"/>
        <v>·</v>
      </c>
      <c r="AK11" s="27" t="str">
        <f t="shared" si="13"/>
        <v/>
      </c>
      <c r="AL11" s="30">
        <v>16</v>
      </c>
      <c r="AM11" s="66"/>
      <c r="AN11" s="67"/>
      <c r="AO11" s="67"/>
      <c r="AP11" s="67"/>
      <c r="AQ11" s="67"/>
      <c r="AR11" s="68"/>
      <c r="AS11" s="68"/>
      <c r="AT11" s="68"/>
      <c r="AU11" s="68"/>
      <c r="AV11" s="68"/>
      <c r="AW11" s="69"/>
      <c r="AX11" s="69"/>
      <c r="AY11" s="69"/>
      <c r="AZ11" s="69"/>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10.176060682441236</v>
      </c>
      <c r="K12" s="48">
        <f>AVERAGE(K5:K8)</f>
        <v>1.5202027328463692</v>
      </c>
      <c r="L12" s="48">
        <f>AVERAGE(L5:L8)</f>
        <v>1.3888051150021286</v>
      </c>
      <c r="M12" s="48">
        <f>AVERAGE(M5:M8)</f>
        <v>8.6558579495948678</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14.814692073518396</v>
      </c>
      <c r="K13" s="48">
        <f>AVERAGE(K9:K9)</f>
        <v>1.5223399442182093</v>
      </c>
      <c r="L13" s="48">
        <f>AVERAGE(L9:L9)</f>
        <v>1.4219677835455504</v>
      </c>
      <c r="M13" s="48">
        <f>AVERAGE(M9:M9)</f>
        <v>13.292352129300186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9.8866276053819107</v>
      </c>
      <c r="K14" s="48">
        <f>AVERAGE(K10:K11)</f>
        <v>1.1604399215847043</v>
      </c>
      <c r="L14" s="48">
        <f>AVERAGE(L10:L11)</f>
        <v>1.1059817579811235</v>
      </c>
      <c r="M14" s="48">
        <f>AVERAGE(M10:M11)</f>
        <v>8.7261876837972068</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10.75602714486388</v>
      </c>
      <c r="K15" s="48">
        <f>AVERAGE(K5:K11)</f>
        <v>1.4177186741104422</v>
      </c>
      <c r="L15" s="48">
        <f>AVERAGE(L5:L11)</f>
        <v>1.3127359656451874</v>
      </c>
      <c r="M15" s="48">
        <f>AVERAGE(M5:M11)</f>
        <v>9.3383084707534376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163860.49</v>
      </c>
      <c r="AA16" s="49">
        <f>SUM(AA5:AA8,AA9:AA9,AA10:AA11)</f>
        <v>381141.6</v>
      </c>
      <c r="AB16" s="49">
        <f>SUM(AB5:AB8,AB9:AB9,AB10:AB11)</f>
        <v>298.63299999999998</v>
      </c>
      <c r="AC16" s="49">
        <f>SUM(AC5:AC8,AC9:AC9,AC10:AC11)</f>
        <v>1720.635</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18044.978509869015</v>
      </c>
      <c r="AA18" s="49">
        <f>GEOMEAN(AA5:AA8,AA9:AA9,AA10:AA11)</f>
        <v>53397.252916361278</v>
      </c>
      <c r="AB18" s="49">
        <f>GEOMEAN(AB5:AB8,AB9:AB9,AB10:AB11)</f>
        <v>42.204374304114175</v>
      </c>
      <c r="AC18" s="49">
        <f>GEOMEAN(AC5:AC8,AC9:AC9,AC10:AC11)</f>
        <v>242.57995892409468</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I44" sqref="I44"/>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121" t="s">
        <v>572</v>
      </c>
      <c r="B1" s="107"/>
      <c r="C1" s="107"/>
      <c r="D1" s="107"/>
      <c r="E1" s="107"/>
      <c r="F1" s="107"/>
      <c r="H1" s="106" t="str">
        <f>Summary!$C$1</f>
        <v>Master+r7.0</v>
      </c>
      <c r="I1" s="107"/>
      <c r="J1" s="107"/>
      <c r="K1" s="107"/>
      <c r="L1" s="107"/>
      <c r="M1" s="107"/>
      <c r="N1" s="107"/>
      <c r="O1" s="107"/>
      <c r="P1" s="107"/>
      <c r="Q1" s="107"/>
      <c r="R1" s="107"/>
      <c r="S1" s="107"/>
      <c r="T1" s="107"/>
      <c r="U1" s="107"/>
      <c r="V1" s="107"/>
      <c r="W1" s="107"/>
      <c r="X1" s="107"/>
      <c r="Y1" s="107"/>
      <c r="Z1" s="107"/>
      <c r="AA1" s="107"/>
      <c r="AB1" s="107"/>
      <c r="AC1" s="107"/>
      <c r="AE1" s="108">
        <f>Summary!$C$2</f>
        <v>0</v>
      </c>
      <c r="AF1" s="107"/>
      <c r="AG1" s="107"/>
      <c r="AH1" s="107"/>
      <c r="AI1" s="107"/>
      <c r="AJ1" s="107"/>
      <c r="AK1" s="107"/>
      <c r="AL1" s="107"/>
      <c r="AM1" s="107"/>
      <c r="AN1" s="107"/>
      <c r="AO1" s="107"/>
      <c r="AP1" s="107"/>
      <c r="AQ1" s="107"/>
      <c r="AR1" s="107"/>
      <c r="AS1" s="107"/>
      <c r="AT1" s="107"/>
      <c r="AU1" s="107"/>
      <c r="AV1" s="107"/>
      <c r="AW1" s="107"/>
      <c r="AX1" s="107"/>
      <c r="AY1" s="107"/>
      <c r="AZ1" s="107"/>
    </row>
    <row r="2" spans="1:59" ht="30" customHeight="1" x14ac:dyDescent="0.25">
      <c r="A2" s="117" t="s">
        <v>137</v>
      </c>
      <c r="B2" s="118" t="s">
        <v>138</v>
      </c>
      <c r="C2" s="117" t="s">
        <v>140</v>
      </c>
      <c r="D2" s="118" t="s">
        <v>141</v>
      </c>
      <c r="E2" s="117" t="s">
        <v>142</v>
      </c>
      <c r="F2" s="118" t="s">
        <v>143</v>
      </c>
      <c r="H2" s="117" t="s">
        <v>565</v>
      </c>
      <c r="I2" s="118" t="s">
        <v>144</v>
      </c>
      <c r="J2" s="119" t="s">
        <v>145</v>
      </c>
      <c r="K2" s="107"/>
      <c r="L2" s="107"/>
      <c r="M2" s="107"/>
      <c r="N2" s="117" t="s">
        <v>146</v>
      </c>
      <c r="O2" s="118" t="s">
        <v>147</v>
      </c>
      <c r="P2" s="117" t="s">
        <v>84</v>
      </c>
      <c r="Q2" s="120" t="s">
        <v>148</v>
      </c>
      <c r="R2" s="107"/>
      <c r="S2" s="107"/>
      <c r="T2" s="107"/>
      <c r="U2" s="119" t="s">
        <v>149</v>
      </c>
      <c r="V2" s="107"/>
      <c r="W2" s="120" t="s">
        <v>150</v>
      </c>
      <c r="X2" s="107"/>
      <c r="Y2" s="107"/>
      <c r="Z2" s="119" t="s">
        <v>151</v>
      </c>
      <c r="AA2" s="107"/>
      <c r="AB2" s="120" t="s">
        <v>152</v>
      </c>
      <c r="AC2" s="107"/>
      <c r="AE2" s="117" t="s">
        <v>565</v>
      </c>
      <c r="AF2" s="118" t="s">
        <v>144</v>
      </c>
      <c r="AG2" s="119" t="s">
        <v>145</v>
      </c>
      <c r="AH2" s="107"/>
      <c r="AI2" s="107"/>
      <c r="AJ2" s="107"/>
      <c r="AK2" s="117" t="s">
        <v>153</v>
      </c>
      <c r="AL2" s="118" t="s">
        <v>147</v>
      </c>
      <c r="AM2" s="117" t="s">
        <v>84</v>
      </c>
      <c r="AN2" s="120" t="s">
        <v>148</v>
      </c>
      <c r="AO2" s="107"/>
      <c r="AP2" s="107"/>
      <c r="AQ2" s="107"/>
      <c r="AR2" s="119" t="s">
        <v>149</v>
      </c>
      <c r="AS2" s="107"/>
      <c r="AT2" s="120" t="s">
        <v>150</v>
      </c>
      <c r="AU2" s="107"/>
      <c r="AV2" s="107"/>
      <c r="AW2" s="119" t="s">
        <v>151</v>
      </c>
      <c r="AX2" s="107"/>
      <c r="AY2" s="120" t="s">
        <v>152</v>
      </c>
      <c r="AZ2" s="107"/>
      <c r="BB2" s="119" t="s">
        <v>22</v>
      </c>
      <c r="BC2" s="107"/>
      <c r="BD2" s="107"/>
      <c r="BE2" s="107"/>
      <c r="BF2" s="118" t="s">
        <v>156</v>
      </c>
      <c r="BG2" s="117" t="s">
        <v>156</v>
      </c>
    </row>
    <row r="3" spans="1:59" ht="28.9" customHeight="1" thickBot="1" x14ac:dyDescent="0.3">
      <c r="A3" s="110"/>
      <c r="B3" s="110"/>
      <c r="C3" s="110"/>
      <c r="D3" s="110"/>
      <c r="E3" s="110"/>
      <c r="F3" s="110"/>
      <c r="H3" s="110"/>
      <c r="I3" s="110"/>
      <c r="J3" s="57" t="s">
        <v>25</v>
      </c>
      <c r="K3" s="57" t="s">
        <v>23</v>
      </c>
      <c r="L3" s="57" t="s">
        <v>157</v>
      </c>
      <c r="M3" s="57" t="s">
        <v>158</v>
      </c>
      <c r="N3" s="110"/>
      <c r="O3" s="110"/>
      <c r="P3" s="110"/>
      <c r="Q3" s="56" t="s">
        <v>25</v>
      </c>
      <c r="R3" s="56" t="s">
        <v>157</v>
      </c>
      <c r="S3" s="56" t="s">
        <v>159</v>
      </c>
      <c r="T3" s="56" t="s">
        <v>24</v>
      </c>
      <c r="U3" s="57" t="s">
        <v>9</v>
      </c>
      <c r="V3" s="57" t="s">
        <v>10</v>
      </c>
      <c r="W3" s="56" t="s">
        <v>11</v>
      </c>
      <c r="X3" s="56" t="s">
        <v>12</v>
      </c>
      <c r="Y3" s="56" t="s">
        <v>13</v>
      </c>
      <c r="Z3" s="57" t="s">
        <v>160</v>
      </c>
      <c r="AA3" s="57" t="s">
        <v>161</v>
      </c>
      <c r="AB3" s="56" t="s">
        <v>160</v>
      </c>
      <c r="AC3" s="56" t="s">
        <v>161</v>
      </c>
      <c r="AE3" s="110"/>
      <c r="AF3" s="110"/>
      <c r="AG3" s="57" t="s">
        <v>25</v>
      </c>
      <c r="AH3" s="57" t="s">
        <v>23</v>
      </c>
      <c r="AI3" s="57" t="s">
        <v>157</v>
      </c>
      <c r="AJ3" s="57" t="s">
        <v>158</v>
      </c>
      <c r="AK3" s="110"/>
      <c r="AL3" s="110"/>
      <c r="AM3" s="110"/>
      <c r="AN3" s="56" t="s">
        <v>25</v>
      </c>
      <c r="AO3" s="56" t="s">
        <v>157</v>
      </c>
      <c r="AP3" s="56" t="s">
        <v>159</v>
      </c>
      <c r="AQ3" s="56" t="s">
        <v>24</v>
      </c>
      <c r="AR3" s="57" t="s">
        <v>9</v>
      </c>
      <c r="AS3" s="57" t="s">
        <v>10</v>
      </c>
      <c r="AT3" s="56" t="s">
        <v>11</v>
      </c>
      <c r="AU3" s="56" t="s">
        <v>12</v>
      </c>
      <c r="AV3" s="56" t="s">
        <v>13</v>
      </c>
      <c r="AW3" s="57" t="s">
        <v>160</v>
      </c>
      <c r="AX3" s="57" t="s">
        <v>161</v>
      </c>
      <c r="AY3" s="56" t="s">
        <v>160</v>
      </c>
      <c r="AZ3" s="56" t="s">
        <v>161</v>
      </c>
      <c r="BB3" s="57" t="s">
        <v>25</v>
      </c>
      <c r="BC3" s="57" t="s">
        <v>23</v>
      </c>
      <c r="BD3" s="57" t="s">
        <v>157</v>
      </c>
      <c r="BE3" s="57" t="s">
        <v>24</v>
      </c>
      <c r="BF3" s="110"/>
      <c r="BG3" s="110"/>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0.16672605691824546</v>
      </c>
      <c r="I5" s="11">
        <f t="shared" ref="I5:I11" si="1">IF(OR(ISBLANK(Q5),ISBLANK(F5)),"·",Q5*F5/E5/1000000)</f>
        <v>214.4081272</v>
      </c>
      <c r="J5" s="12">
        <f t="shared" ref="J5:J11" si="2">IF(ISBLANK(Q5),"·",Q5/C5)</f>
        <v>9.003207073585255</v>
      </c>
      <c r="K5" s="12">
        <f t="shared" ref="K5:K11" si="3">IF(N5="","·",N5/C5)</f>
        <v>1.4187239646222478</v>
      </c>
      <c r="L5" s="12">
        <f t="shared" ref="L5:L11" si="4">IF(R5="","·",R5/C5)</f>
        <v>1.3191548554687105</v>
      </c>
      <c r="M5" s="12">
        <f t="shared" ref="M5:M11" si="5">IF(ISBLANK(T5),"·",T5/C5)</f>
        <v>7.5844831089630071</v>
      </c>
      <c r="N5" s="54">
        <f t="shared" ref="N5:N11" si="6">IF(OR(ISBLANK(R5),ISBLANK(S5)),"",R5+S5)</f>
        <v>337863992</v>
      </c>
      <c r="O5" s="12">
        <v>16</v>
      </c>
      <c r="P5" s="90">
        <v>238146391</v>
      </c>
      <c r="Q5" s="91">
        <v>2144081272</v>
      </c>
      <c r="R5" s="91">
        <v>314151968</v>
      </c>
      <c r="S5" s="91">
        <v>23712024</v>
      </c>
      <c r="T5" s="91">
        <v>1806217280</v>
      </c>
      <c r="U5" s="92" t="s">
        <v>571</v>
      </c>
      <c r="V5" s="92" t="s">
        <v>571</v>
      </c>
      <c r="W5" s="92" t="s">
        <v>571</v>
      </c>
      <c r="X5" s="92" t="s">
        <v>571</v>
      </c>
      <c r="Y5" s="92" t="s">
        <v>571</v>
      </c>
      <c r="Z5" s="93">
        <v>32486.6</v>
      </c>
      <c r="AA5" s="93">
        <v>81118.5</v>
      </c>
      <c r="AB5" s="93">
        <v>41.633000000000003</v>
      </c>
      <c r="AC5" s="93">
        <v>239.446</v>
      </c>
      <c r="AE5" s="17">
        <f t="shared" ref="AE5:AE11" si="7">IF(ISBLANK(Q5),"·",Q5/(C5*(D5*3+IF(AND(ISNUMBER(T5),T5&gt;0),24,0))))</f>
        <v>0.16672605691824546</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74"/>
      <c r="AN5" s="75"/>
      <c r="AO5" s="75"/>
      <c r="AP5" s="75"/>
      <c r="AQ5" s="75"/>
      <c r="AR5" s="76"/>
      <c r="AS5" s="76"/>
      <c r="AT5" s="76"/>
      <c r="AU5" s="76"/>
      <c r="AV5" s="76"/>
      <c r="AW5" s="77"/>
      <c r="AX5" s="77"/>
      <c r="AY5" s="77"/>
      <c r="AZ5" s="77"/>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0.23786748975276922</v>
      </c>
      <c r="I6" s="20">
        <f t="shared" si="1"/>
        <v>280.17334239999997</v>
      </c>
      <c r="J6" s="21">
        <f t="shared" si="2"/>
        <v>12.844844446649539</v>
      </c>
      <c r="K6" s="21">
        <f t="shared" si="3"/>
        <v>1.7645737777341282</v>
      </c>
      <c r="L6" s="21">
        <f t="shared" si="4"/>
        <v>1.5954921070915229</v>
      </c>
      <c r="M6" s="21">
        <f t="shared" si="5"/>
        <v>11.080270668915411</v>
      </c>
      <c r="N6" s="18">
        <f t="shared" si="6"/>
        <v>384891024</v>
      </c>
      <c r="O6" s="21">
        <v>16</v>
      </c>
      <c r="P6" s="94">
        <v>218121242</v>
      </c>
      <c r="Q6" s="95">
        <v>2801733424</v>
      </c>
      <c r="R6" s="95">
        <v>348010720</v>
      </c>
      <c r="S6" s="95">
        <v>36880304</v>
      </c>
      <c r="T6" s="95">
        <v>2416842400</v>
      </c>
      <c r="U6" s="96" t="s">
        <v>571</v>
      </c>
      <c r="V6" s="96" t="s">
        <v>571</v>
      </c>
      <c r="W6" s="96" t="s">
        <v>571</v>
      </c>
      <c r="X6" s="96" t="s">
        <v>571</v>
      </c>
      <c r="Y6" s="96" t="s">
        <v>571</v>
      </c>
      <c r="Z6" s="97">
        <v>29423.8</v>
      </c>
      <c r="AA6" s="97">
        <v>95937.1</v>
      </c>
      <c r="AB6" s="97">
        <v>38.896999999999998</v>
      </c>
      <c r="AC6" s="97">
        <v>251.428</v>
      </c>
      <c r="AE6" s="26">
        <f t="shared" si="7"/>
        <v>0.23786748975276922</v>
      </c>
      <c r="AF6" s="20" t="str">
        <f t="shared" si="8"/>
        <v>·</v>
      </c>
      <c r="AG6" s="21" t="str">
        <f t="shared" si="9"/>
        <v>·</v>
      </c>
      <c r="AH6" s="21" t="str">
        <f t="shared" si="10"/>
        <v>·</v>
      </c>
      <c r="AI6" s="21" t="str">
        <f t="shared" si="11"/>
        <v>·</v>
      </c>
      <c r="AJ6" s="21" t="str">
        <f t="shared" si="12"/>
        <v>·</v>
      </c>
      <c r="AK6" s="18" t="str">
        <f t="shared" si="13"/>
        <v/>
      </c>
      <c r="AL6" s="21">
        <v>16</v>
      </c>
      <c r="AM6" s="78"/>
      <c r="AN6" s="79"/>
      <c r="AO6" s="79"/>
      <c r="AP6" s="79"/>
      <c r="AQ6" s="79"/>
      <c r="AR6" s="80"/>
      <c r="AS6" s="80"/>
      <c r="AT6" s="80"/>
      <c r="AU6" s="80"/>
      <c r="AV6" s="80"/>
      <c r="AW6" s="81"/>
      <c r="AX6" s="81"/>
      <c r="AY6" s="81"/>
      <c r="AZ6" s="81"/>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0.18275918963888843</v>
      </c>
      <c r="I7" s="11">
        <f t="shared" si="1"/>
        <v>318.36365760000001</v>
      </c>
      <c r="J7" s="12">
        <f t="shared" si="2"/>
        <v>9.8689962404999765</v>
      </c>
      <c r="K7" s="12">
        <f t="shared" si="3"/>
        <v>1.5560574989708909</v>
      </c>
      <c r="L7" s="12">
        <f t="shared" si="4"/>
        <v>1.4374309974877562</v>
      </c>
      <c r="M7" s="12">
        <f t="shared" si="5"/>
        <v>8.3129387415290843</v>
      </c>
      <c r="N7" s="54">
        <f t="shared" si="6"/>
        <v>501968128</v>
      </c>
      <c r="O7" s="12">
        <v>16</v>
      </c>
      <c r="P7" s="90">
        <v>322589704</v>
      </c>
      <c r="Q7" s="91">
        <v>3183636576</v>
      </c>
      <c r="R7" s="91">
        <v>463700440</v>
      </c>
      <c r="S7" s="91">
        <v>38267688</v>
      </c>
      <c r="T7" s="91">
        <v>2681668448</v>
      </c>
      <c r="U7" s="92" t="s">
        <v>571</v>
      </c>
      <c r="V7" s="92" t="s">
        <v>571</v>
      </c>
      <c r="W7" s="92" t="s">
        <v>571</v>
      </c>
      <c r="X7" s="92" t="s">
        <v>571</v>
      </c>
      <c r="Y7" s="92" t="s">
        <v>571</v>
      </c>
      <c r="Z7" s="93">
        <v>41397.4</v>
      </c>
      <c r="AA7" s="93">
        <v>99305.9</v>
      </c>
      <c r="AB7" s="93">
        <v>51.768000000000001</v>
      </c>
      <c r="AC7" s="93">
        <v>269.97800000000001</v>
      </c>
      <c r="AE7" s="17">
        <f t="shared" si="7"/>
        <v>0.18275918963888843</v>
      </c>
      <c r="AF7" s="11" t="str">
        <f t="shared" si="8"/>
        <v>·</v>
      </c>
      <c r="AG7" s="12" t="str">
        <f t="shared" si="9"/>
        <v>·</v>
      </c>
      <c r="AH7" s="12" t="str">
        <f t="shared" si="10"/>
        <v>·</v>
      </c>
      <c r="AI7" s="12" t="str">
        <f t="shared" si="11"/>
        <v>·</v>
      </c>
      <c r="AJ7" s="12" t="str">
        <f t="shared" si="12"/>
        <v>·</v>
      </c>
      <c r="AK7" s="54" t="str">
        <f t="shared" si="13"/>
        <v/>
      </c>
      <c r="AL7" s="12">
        <v>16</v>
      </c>
      <c r="AM7" s="74"/>
      <c r="AN7" s="75"/>
      <c r="AO7" s="75"/>
      <c r="AP7" s="75"/>
      <c r="AQ7" s="75"/>
      <c r="AR7" s="76"/>
      <c r="AS7" s="76"/>
      <c r="AT7" s="76"/>
      <c r="AU7" s="76"/>
      <c r="AV7" s="76"/>
      <c r="AW7" s="77"/>
      <c r="AX7" s="77"/>
      <c r="AY7" s="77"/>
      <c r="AZ7" s="77"/>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ht="15.75" collapsed="1" thickBot="1" x14ac:dyDescent="0.3">
      <c r="A8" s="37"/>
      <c r="B8" s="37" t="s">
        <v>68</v>
      </c>
      <c r="C8" s="37">
        <v>250602891</v>
      </c>
      <c r="D8" s="38">
        <v>10</v>
      </c>
      <c r="E8" s="38">
        <v>250</v>
      </c>
      <c r="F8" s="38">
        <v>50</v>
      </c>
      <c r="H8" s="46">
        <f t="shared" si="0"/>
        <v>0.15159640963008092</v>
      </c>
      <c r="I8" s="39">
        <f t="shared" si="1"/>
        <v>410.29738400000002</v>
      </c>
      <c r="J8" s="40">
        <f t="shared" si="2"/>
        <v>8.1862061200243694</v>
      </c>
      <c r="K8" s="40">
        <f t="shared" si="3"/>
        <v>1.0127743657993156</v>
      </c>
      <c r="L8" s="40">
        <f t="shared" si="4"/>
        <v>0.89337136976604148</v>
      </c>
      <c r="M8" s="40">
        <f t="shared" si="5"/>
        <v>7.1734317542250539</v>
      </c>
      <c r="N8" s="37">
        <f t="shared" si="6"/>
        <v>253804184</v>
      </c>
      <c r="O8" s="40">
        <v>16</v>
      </c>
      <c r="P8" s="102">
        <v>250602891</v>
      </c>
      <c r="Q8" s="103">
        <v>2051486920</v>
      </c>
      <c r="R8" s="103">
        <v>223881448</v>
      </c>
      <c r="S8" s="103">
        <v>29922736</v>
      </c>
      <c r="T8" s="103">
        <v>1797682736</v>
      </c>
      <c r="U8" s="104" t="s">
        <v>571</v>
      </c>
      <c r="V8" s="104" t="s">
        <v>571</v>
      </c>
      <c r="W8" s="104" t="s">
        <v>571</v>
      </c>
      <c r="X8" s="104" t="s">
        <v>571</v>
      </c>
      <c r="Y8" s="104" t="s">
        <v>571</v>
      </c>
      <c r="Z8" s="105">
        <v>32079</v>
      </c>
      <c r="AA8" s="105">
        <v>67085.7</v>
      </c>
      <c r="AB8" s="105">
        <v>41.881</v>
      </c>
      <c r="AC8" s="105">
        <v>224.45099999999999</v>
      </c>
      <c r="AE8" s="46">
        <f t="shared" si="7"/>
        <v>0.15159640963008092</v>
      </c>
      <c r="AF8" s="39" t="str">
        <f t="shared" si="8"/>
        <v>·</v>
      </c>
      <c r="AG8" s="40" t="str">
        <f t="shared" si="9"/>
        <v>·</v>
      </c>
      <c r="AH8" s="40" t="str">
        <f t="shared" si="10"/>
        <v>·</v>
      </c>
      <c r="AI8" s="40" t="str">
        <f t="shared" si="11"/>
        <v>·</v>
      </c>
      <c r="AJ8" s="40" t="str">
        <f t="shared" si="12"/>
        <v>·</v>
      </c>
      <c r="AK8" s="37" t="str">
        <f t="shared" si="13"/>
        <v/>
      </c>
      <c r="AL8" s="40">
        <v>16</v>
      </c>
      <c r="AM8" s="86"/>
      <c r="AN8" s="87"/>
      <c r="AO8" s="87"/>
      <c r="AP8" s="87"/>
      <c r="AQ8" s="87"/>
      <c r="AR8" s="88"/>
      <c r="AS8" s="88"/>
      <c r="AT8" s="88"/>
      <c r="AU8" s="88"/>
      <c r="AV8" s="88"/>
      <c r="AW8" s="89"/>
      <c r="AX8" s="89"/>
      <c r="AY8" s="89"/>
      <c r="AZ8" s="89"/>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ht="15.75" collapsed="1" thickBot="1" x14ac:dyDescent="0.3">
      <c r="A9" s="27" t="s">
        <v>235</v>
      </c>
      <c r="B9" s="27" t="s">
        <v>71</v>
      </c>
      <c r="C9" s="27">
        <v>250294582</v>
      </c>
      <c r="D9" s="28">
        <v>10</v>
      </c>
      <c r="E9" s="28">
        <v>300</v>
      </c>
      <c r="F9" s="28">
        <v>30</v>
      </c>
      <c r="H9" s="36">
        <f t="shared" si="0"/>
        <v>0.27254858821899292</v>
      </c>
      <c r="I9" s="29">
        <f t="shared" si="1"/>
        <v>368.3741488</v>
      </c>
      <c r="J9" s="30">
        <f t="shared" si="2"/>
        <v>14.717623763825619</v>
      </c>
      <c r="K9" s="30">
        <f t="shared" si="3"/>
        <v>1.5177573120619927</v>
      </c>
      <c r="L9" s="30">
        <f t="shared" si="4"/>
        <v>1.4142692069938614</v>
      </c>
      <c r="M9" s="30">
        <f t="shared" si="5"/>
        <v>13.199866451763626</v>
      </c>
      <c r="N9" s="27">
        <f t="shared" si="6"/>
        <v>379886432</v>
      </c>
      <c r="O9" s="30">
        <v>16</v>
      </c>
      <c r="P9" s="98">
        <v>250294582</v>
      </c>
      <c r="Q9" s="99">
        <v>3683741488</v>
      </c>
      <c r="R9" s="99">
        <v>353983920</v>
      </c>
      <c r="S9" s="99">
        <v>25902512</v>
      </c>
      <c r="T9" s="99">
        <v>3303855056</v>
      </c>
      <c r="U9" s="100" t="s">
        <v>571</v>
      </c>
      <c r="V9" s="100" t="s">
        <v>571</v>
      </c>
      <c r="W9" s="100" t="s">
        <v>571</v>
      </c>
      <c r="X9" s="100" t="s">
        <v>571</v>
      </c>
      <c r="Y9" s="100" t="s">
        <v>571</v>
      </c>
      <c r="Z9" s="101">
        <v>13621.9</v>
      </c>
      <c r="AA9" s="101">
        <v>99695.5</v>
      </c>
      <c r="AB9" s="101">
        <v>42.848999999999997</v>
      </c>
      <c r="AC9" s="101">
        <v>274.642</v>
      </c>
      <c r="AE9" s="36">
        <f t="shared" si="7"/>
        <v>0.27254858821899292</v>
      </c>
      <c r="AF9" s="29" t="str">
        <f t="shared" si="8"/>
        <v>·</v>
      </c>
      <c r="AG9" s="30" t="str">
        <f t="shared" si="9"/>
        <v>·</v>
      </c>
      <c r="AH9" s="30" t="str">
        <f t="shared" si="10"/>
        <v>·</v>
      </c>
      <c r="AI9" s="30" t="str">
        <f t="shared" si="11"/>
        <v>·</v>
      </c>
      <c r="AJ9" s="30" t="str">
        <f t="shared" si="12"/>
        <v>·</v>
      </c>
      <c r="AK9" s="27" t="str">
        <f t="shared" si="13"/>
        <v/>
      </c>
      <c r="AL9" s="30">
        <v>16</v>
      </c>
      <c r="AM9" s="82"/>
      <c r="AN9" s="83"/>
      <c r="AO9" s="83"/>
      <c r="AP9" s="83"/>
      <c r="AQ9" s="83"/>
      <c r="AR9" s="84"/>
      <c r="AS9" s="84"/>
      <c r="AT9" s="84"/>
      <c r="AU9" s="84"/>
      <c r="AV9" s="84"/>
      <c r="AW9" s="85"/>
      <c r="AX9" s="85"/>
      <c r="AY9" s="85"/>
      <c r="AZ9" s="85"/>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0.17214285143279823</v>
      </c>
      <c r="I10" s="20">
        <f t="shared" si="1"/>
        <v>859.67242874999999</v>
      </c>
      <c r="J10" s="21">
        <f t="shared" si="2"/>
        <v>9.8121425316694992</v>
      </c>
      <c r="K10" s="21">
        <f t="shared" si="3"/>
        <v>1.1267253736625953</v>
      </c>
      <c r="L10" s="21">
        <f t="shared" si="4"/>
        <v>1.0744377430069323</v>
      </c>
      <c r="M10" s="21">
        <f t="shared" si="5"/>
        <v>8.6854171580069046</v>
      </c>
      <c r="N10" s="18">
        <f t="shared" si="6"/>
        <v>210593976</v>
      </c>
      <c r="O10" s="21">
        <v>16</v>
      </c>
      <c r="P10" s="94">
        <v>186907991</v>
      </c>
      <c r="Q10" s="95">
        <v>1833967848</v>
      </c>
      <c r="R10" s="95">
        <v>200821000</v>
      </c>
      <c r="S10" s="95">
        <v>9772976</v>
      </c>
      <c r="T10" s="95">
        <v>1623373872</v>
      </c>
      <c r="U10" s="96" t="s">
        <v>571</v>
      </c>
      <c r="V10" s="96" t="s">
        <v>571</v>
      </c>
      <c r="W10" s="96" t="s">
        <v>571</v>
      </c>
      <c r="X10" s="96" t="s">
        <v>571</v>
      </c>
      <c r="Y10" s="96" t="s">
        <v>571</v>
      </c>
      <c r="Z10" s="97">
        <v>6109.23</v>
      </c>
      <c r="AA10" s="97">
        <v>82941.2</v>
      </c>
      <c r="AB10" s="97">
        <v>36.607999999999997</v>
      </c>
      <c r="AC10" s="97">
        <v>218.56200000000001</v>
      </c>
      <c r="AE10" s="26">
        <f t="shared" si="7"/>
        <v>0.17214285143279823</v>
      </c>
      <c r="AF10" s="20" t="str">
        <f t="shared" si="8"/>
        <v>·</v>
      </c>
      <c r="AG10" s="21" t="str">
        <f t="shared" si="9"/>
        <v>·</v>
      </c>
      <c r="AH10" s="21" t="str">
        <f t="shared" si="10"/>
        <v>·</v>
      </c>
      <c r="AI10" s="21" t="str">
        <f t="shared" si="11"/>
        <v>·</v>
      </c>
      <c r="AJ10" s="21" t="str">
        <f t="shared" si="12"/>
        <v>·</v>
      </c>
      <c r="AK10" s="18" t="str">
        <f t="shared" si="13"/>
        <v/>
      </c>
      <c r="AL10" s="21">
        <v>16</v>
      </c>
      <c r="AM10" s="78"/>
      <c r="AN10" s="79"/>
      <c r="AO10" s="79"/>
      <c r="AP10" s="79"/>
      <c r="AQ10" s="79"/>
      <c r="AR10" s="80"/>
      <c r="AS10" s="80"/>
      <c r="AT10" s="80"/>
      <c r="AU10" s="80"/>
      <c r="AV10" s="80"/>
      <c r="AW10" s="81"/>
      <c r="AX10" s="81"/>
      <c r="AY10" s="81"/>
      <c r="AZ10" s="81"/>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ht="15.75" collapsed="1" thickBot="1" x14ac:dyDescent="0.3">
      <c r="A11" s="27"/>
      <c r="B11" s="27" t="s">
        <v>80</v>
      </c>
      <c r="C11" s="27">
        <v>166028718</v>
      </c>
      <c r="D11" s="28">
        <v>11</v>
      </c>
      <c r="E11" s="28">
        <v>64</v>
      </c>
      <c r="F11" s="28">
        <v>30</v>
      </c>
      <c r="H11" s="36">
        <f t="shared" si="0"/>
        <v>0.1746962091770341</v>
      </c>
      <c r="I11" s="29">
        <f t="shared" si="1"/>
        <v>774.96632624999995</v>
      </c>
      <c r="J11" s="30">
        <f t="shared" si="2"/>
        <v>9.9576839230909435</v>
      </c>
      <c r="K11" s="30">
        <f t="shared" si="3"/>
        <v>1.1944275327115397</v>
      </c>
      <c r="L11" s="30">
        <f t="shared" si="4"/>
        <v>1.1339409848361295</v>
      </c>
      <c r="M11" s="30">
        <f t="shared" si="5"/>
        <v>8.7632563903794036</v>
      </c>
      <c r="N11" s="27">
        <f t="shared" si="6"/>
        <v>198309272</v>
      </c>
      <c r="O11" s="30">
        <v>16</v>
      </c>
      <c r="P11" s="98">
        <v>166028718</v>
      </c>
      <c r="Q11" s="99">
        <v>1653261496</v>
      </c>
      <c r="R11" s="99">
        <v>188266768</v>
      </c>
      <c r="S11" s="99">
        <v>10042504</v>
      </c>
      <c r="T11" s="99">
        <v>1454952224</v>
      </c>
      <c r="U11" s="100" t="s">
        <v>571</v>
      </c>
      <c r="V11" s="100" t="s">
        <v>571</v>
      </c>
      <c r="W11" s="100" t="s">
        <v>571</v>
      </c>
      <c r="X11" s="100" t="s">
        <v>571</v>
      </c>
      <c r="Y11" s="100" t="s">
        <v>571</v>
      </c>
      <c r="Z11" s="101">
        <v>5344.84</v>
      </c>
      <c r="AA11" s="101">
        <v>86801.3</v>
      </c>
      <c r="AB11" s="101">
        <v>34.905999999999999</v>
      </c>
      <c r="AC11" s="101">
        <v>210.685</v>
      </c>
      <c r="AE11" s="36">
        <f t="shared" si="7"/>
        <v>0.1746962091770341</v>
      </c>
      <c r="AF11" s="29" t="str">
        <f t="shared" si="8"/>
        <v>·</v>
      </c>
      <c r="AG11" s="30" t="str">
        <f t="shared" si="9"/>
        <v>·</v>
      </c>
      <c r="AH11" s="30" t="str">
        <f t="shared" si="10"/>
        <v>·</v>
      </c>
      <c r="AI11" s="30" t="str">
        <f t="shared" si="11"/>
        <v>·</v>
      </c>
      <c r="AJ11" s="30" t="str">
        <f t="shared" si="12"/>
        <v>·</v>
      </c>
      <c r="AK11" s="27" t="str">
        <f t="shared" si="13"/>
        <v/>
      </c>
      <c r="AL11" s="30">
        <v>16</v>
      </c>
      <c r="AM11" s="82"/>
      <c r="AN11" s="83"/>
      <c r="AO11" s="83"/>
      <c r="AP11" s="83"/>
      <c r="AQ11" s="83"/>
      <c r="AR11" s="84"/>
      <c r="AS11" s="84"/>
      <c r="AT11" s="84"/>
      <c r="AU11" s="84"/>
      <c r="AV11" s="84"/>
      <c r="AW11" s="85"/>
      <c r="AX11" s="85"/>
      <c r="AY11" s="85"/>
      <c r="AZ11" s="85"/>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9.9758134701897845</v>
      </c>
      <c r="K12" s="48">
        <f>AVERAGE(K5:K8)</f>
        <v>1.4380324017816457</v>
      </c>
      <c r="L12" s="48">
        <f>AVERAGE(L5:L8)</f>
        <v>1.3113623324535078</v>
      </c>
      <c r="M12" s="48">
        <f>AVERAGE(M5:M8)</f>
        <v>8.5377810684081386</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14.717623763825619</v>
      </c>
      <c r="K13" s="48">
        <f>AVERAGE(K9:K9)</f>
        <v>1.5177573120619927</v>
      </c>
      <c r="L13" s="48">
        <f>AVERAGE(L9:L9)</f>
        <v>1.4142692069938614</v>
      </c>
      <c r="M13" s="48">
        <f>AVERAGE(M9:M9)</f>
        <v>13.199866451763626</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9.8849132273802205</v>
      </c>
      <c r="K14" s="48">
        <f>AVERAGE(K10:K11)</f>
        <v>1.1605764531870675</v>
      </c>
      <c r="L14" s="48">
        <f>AVERAGE(L10:L11)</f>
        <v>1.104189363921531</v>
      </c>
      <c r="M14" s="48">
        <f>AVERAGE(M10:M11)</f>
        <v>8.724336774193155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10.6272434427636</v>
      </c>
      <c r="K15" s="48">
        <f>AVERAGE(K5:K11)</f>
        <v>1.3701485465089587</v>
      </c>
      <c r="L15" s="48">
        <f>AVERAGE(L5:L11)</f>
        <v>1.2668710378072792</v>
      </c>
      <c r="M15" s="48">
        <f>AVERAGE(M5:M11)</f>
        <v>9.2570948962546424</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160462.76999999999</v>
      </c>
      <c r="AA16" s="49">
        <f>SUM(AA5:AA8,AA9:AA9,AA10:AA11)</f>
        <v>612885.20000000007</v>
      </c>
      <c r="AB16" s="49">
        <f>SUM(AB5:AB8,AB9:AB9,AB10:AB11)</f>
        <v>288.54199999999997</v>
      </c>
      <c r="AC16" s="49">
        <f>SUM(AC5:AC8,AC9:AC9,AC10:AC11)</f>
        <v>1689.192</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17793.067480207217</v>
      </c>
      <c r="AA18" s="49">
        <f>GEOMEAN(AA5:AA8,AA9:AA9,AA10:AA11)</f>
        <v>86829.857130033313</v>
      </c>
      <c r="AB18" s="49">
        <f>GEOMEAN(AB5:AB8,AB9:AB9,AB10:AB11)</f>
        <v>40.924033507789581</v>
      </c>
      <c r="AC18" s="49">
        <f>GEOMEAN(AC5:AC8,AC9:AC9,AC10:AC11)</f>
        <v>240.2027932236104</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M53" sqref="M5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121" t="s">
        <v>573</v>
      </c>
      <c r="B1" s="107"/>
      <c r="C1" s="107"/>
      <c r="D1" s="107"/>
      <c r="E1" s="107"/>
      <c r="F1" s="107"/>
      <c r="G1" s="107"/>
      <c r="I1" s="106" t="str">
        <f>Summary!$C$1</f>
        <v>Master+r7.0</v>
      </c>
      <c r="J1" s="107"/>
      <c r="K1" s="107"/>
      <c r="L1" s="107"/>
      <c r="M1" s="107"/>
      <c r="N1" s="107"/>
      <c r="O1" s="107"/>
      <c r="P1" s="107"/>
      <c r="Q1" s="107"/>
      <c r="R1" s="107"/>
      <c r="S1" s="107"/>
      <c r="T1" s="107"/>
      <c r="U1" s="107"/>
      <c r="V1" s="107"/>
      <c r="W1" s="107"/>
      <c r="X1" s="107"/>
      <c r="Y1" s="107"/>
      <c r="Z1" s="107"/>
      <c r="AA1" s="107"/>
      <c r="AB1" s="107"/>
      <c r="AC1" s="107"/>
      <c r="AD1" s="107"/>
      <c r="AE1" s="107"/>
      <c r="AG1" s="108">
        <f>Summary!$C$2</f>
        <v>0</v>
      </c>
      <c r="AH1" s="107"/>
      <c r="AI1" s="107"/>
      <c r="AJ1" s="107"/>
      <c r="AK1" s="107"/>
      <c r="AL1" s="107"/>
      <c r="AM1" s="107"/>
      <c r="AN1" s="107"/>
      <c r="AO1" s="107"/>
      <c r="AP1" s="107"/>
      <c r="AQ1" s="107"/>
      <c r="AR1" s="107"/>
      <c r="AS1" s="107"/>
      <c r="AT1" s="107"/>
      <c r="AU1" s="107"/>
      <c r="AV1" s="107"/>
      <c r="AW1" s="107"/>
      <c r="AX1" s="107"/>
      <c r="AY1" s="107"/>
      <c r="AZ1" s="107"/>
      <c r="BA1" s="107"/>
      <c r="BB1" s="107"/>
      <c r="BC1" s="107"/>
    </row>
    <row r="2" spans="1:72" ht="30" customHeight="1" thickBot="1" x14ac:dyDescent="0.3">
      <c r="A2" s="117" t="s">
        <v>137</v>
      </c>
      <c r="B2" s="118" t="s">
        <v>138</v>
      </c>
      <c r="C2" s="117" t="s">
        <v>139</v>
      </c>
      <c r="D2" s="118" t="s">
        <v>140</v>
      </c>
      <c r="E2" s="117" t="s">
        <v>141</v>
      </c>
      <c r="F2" s="118" t="s">
        <v>142</v>
      </c>
      <c r="G2" s="117" t="s">
        <v>143</v>
      </c>
      <c r="I2" s="118" t="s">
        <v>144</v>
      </c>
      <c r="J2" s="119" t="s">
        <v>145</v>
      </c>
      <c r="K2" s="107"/>
      <c r="L2" s="107"/>
      <c r="M2" s="107"/>
      <c r="N2" s="117" t="s">
        <v>146</v>
      </c>
      <c r="O2" s="118" t="s">
        <v>147</v>
      </c>
      <c r="P2" s="122" t="s">
        <v>84</v>
      </c>
      <c r="Q2" s="123" t="s">
        <v>86</v>
      </c>
      <c r="R2" s="122" t="s">
        <v>82</v>
      </c>
      <c r="S2" s="120" t="s">
        <v>148</v>
      </c>
      <c r="T2" s="120"/>
      <c r="U2" s="120"/>
      <c r="V2" s="120"/>
      <c r="W2" s="119" t="s">
        <v>149</v>
      </c>
      <c r="X2" s="119"/>
      <c r="Y2" s="120" t="s">
        <v>150</v>
      </c>
      <c r="Z2" s="120"/>
      <c r="AA2" s="120"/>
      <c r="AB2" s="119" t="s">
        <v>151</v>
      </c>
      <c r="AC2" s="119"/>
      <c r="AD2" s="120" t="s">
        <v>152</v>
      </c>
      <c r="AE2" s="120"/>
      <c r="AG2" s="117" t="s">
        <v>144</v>
      </c>
      <c r="AH2" s="120" t="s">
        <v>145</v>
      </c>
      <c r="AI2" s="107"/>
      <c r="AJ2" s="107"/>
      <c r="AK2" s="107"/>
      <c r="AL2" s="118" t="s">
        <v>153</v>
      </c>
      <c r="AM2" s="117" t="s">
        <v>147</v>
      </c>
      <c r="AN2" s="118" t="s">
        <v>84</v>
      </c>
      <c r="AO2" s="117" t="s">
        <v>86</v>
      </c>
      <c r="AP2" s="118" t="s">
        <v>82</v>
      </c>
      <c r="AQ2" s="119" t="s">
        <v>148</v>
      </c>
      <c r="AR2" s="107"/>
      <c r="AS2" s="107"/>
      <c r="AT2" s="107"/>
      <c r="AU2" s="120" t="s">
        <v>149</v>
      </c>
      <c r="AV2" s="107"/>
      <c r="AW2" s="119" t="s">
        <v>150</v>
      </c>
      <c r="AX2" s="107"/>
      <c r="AY2" s="107"/>
      <c r="AZ2" s="120" t="s">
        <v>151</v>
      </c>
      <c r="BA2" s="107"/>
      <c r="BB2" s="119" t="s">
        <v>152</v>
      </c>
      <c r="BC2" s="107"/>
      <c r="BE2" s="118" t="s">
        <v>154</v>
      </c>
      <c r="BF2" s="117" t="s">
        <v>155</v>
      </c>
      <c r="BG2" s="118" t="s">
        <v>156</v>
      </c>
      <c r="BH2" s="117" t="s">
        <v>156</v>
      </c>
      <c r="BJ2" s="120" t="s">
        <v>5</v>
      </c>
      <c r="BK2" s="107"/>
      <c r="BL2" s="119" t="s">
        <v>6</v>
      </c>
      <c r="BM2" s="107"/>
      <c r="BN2" s="107"/>
      <c r="BP2" s="120" t="s">
        <v>7</v>
      </c>
      <c r="BQ2" s="107"/>
      <c r="BR2" s="119" t="s">
        <v>8</v>
      </c>
      <c r="BS2" s="107"/>
      <c r="BT2" s="107"/>
    </row>
    <row r="3" spans="1:72" ht="15.75" thickBot="1" x14ac:dyDescent="0.3">
      <c r="A3" s="110"/>
      <c r="B3" s="110"/>
      <c r="C3" s="110"/>
      <c r="D3" s="110"/>
      <c r="E3" s="110"/>
      <c r="F3" s="110"/>
      <c r="G3" s="110"/>
      <c r="I3" s="110"/>
      <c r="J3" s="57" t="s">
        <v>25</v>
      </c>
      <c r="K3" s="57" t="s">
        <v>23</v>
      </c>
      <c r="L3" s="57" t="s">
        <v>157</v>
      </c>
      <c r="M3" s="57" t="s">
        <v>158</v>
      </c>
      <c r="N3" s="110"/>
      <c r="O3" s="110"/>
      <c r="P3" s="117"/>
      <c r="Q3" s="118"/>
      <c r="R3" s="117"/>
      <c r="S3" s="56" t="s">
        <v>25</v>
      </c>
      <c r="T3" s="56" t="s">
        <v>157</v>
      </c>
      <c r="U3" s="56" t="s">
        <v>159</v>
      </c>
      <c r="V3" s="56" t="s">
        <v>24</v>
      </c>
      <c r="W3" s="57" t="s">
        <v>9</v>
      </c>
      <c r="X3" s="57" t="s">
        <v>10</v>
      </c>
      <c r="Y3" s="56" t="s">
        <v>11</v>
      </c>
      <c r="Z3" s="56" t="s">
        <v>12</v>
      </c>
      <c r="AA3" s="56" t="s">
        <v>13</v>
      </c>
      <c r="AB3" s="57" t="s">
        <v>160</v>
      </c>
      <c r="AC3" s="57" t="s">
        <v>161</v>
      </c>
      <c r="AD3" s="56" t="s">
        <v>160</v>
      </c>
      <c r="AE3" s="56" t="s">
        <v>161</v>
      </c>
      <c r="AG3" s="110"/>
      <c r="AH3" s="56" t="s">
        <v>25</v>
      </c>
      <c r="AI3" s="56" t="s">
        <v>23</v>
      </c>
      <c r="AJ3" s="56" t="s">
        <v>157</v>
      </c>
      <c r="AK3" s="56" t="s">
        <v>158</v>
      </c>
      <c r="AL3" s="110"/>
      <c r="AM3" s="110"/>
      <c r="AN3" s="110"/>
      <c r="AO3" s="110"/>
      <c r="AP3" s="110"/>
      <c r="AQ3" s="57" t="s">
        <v>25</v>
      </c>
      <c r="AR3" s="57" t="s">
        <v>157</v>
      </c>
      <c r="AS3" s="57" t="s">
        <v>159</v>
      </c>
      <c r="AT3" s="57" t="s">
        <v>24</v>
      </c>
      <c r="AU3" s="56" t="s">
        <v>9</v>
      </c>
      <c r="AV3" s="56" t="s">
        <v>10</v>
      </c>
      <c r="AW3" s="57" t="s">
        <v>11</v>
      </c>
      <c r="AX3" s="57" t="s">
        <v>12</v>
      </c>
      <c r="AY3" s="57" t="s">
        <v>13</v>
      </c>
      <c r="AZ3" s="56" t="s">
        <v>160</v>
      </c>
      <c r="BA3" s="56" t="s">
        <v>161</v>
      </c>
      <c r="BB3" s="57" t="s">
        <v>160</v>
      </c>
      <c r="BC3" s="57" t="s">
        <v>161</v>
      </c>
      <c r="BE3" s="110"/>
      <c r="BF3" s="110"/>
      <c r="BG3" s="110"/>
      <c r="BH3" s="110"/>
      <c r="BJ3" s="56" t="s">
        <v>9</v>
      </c>
      <c r="BK3" s="56" t="s">
        <v>10</v>
      </c>
      <c r="BL3" s="57" t="s">
        <v>11</v>
      </c>
      <c r="BM3" s="57" t="s">
        <v>12</v>
      </c>
      <c r="BN3" s="57" t="s">
        <v>13</v>
      </c>
      <c r="BP3" s="56" t="s">
        <v>9</v>
      </c>
      <c r="BQ3" s="56" t="s">
        <v>10</v>
      </c>
      <c r="BR3" s="57" t="s">
        <v>11</v>
      </c>
      <c r="BS3" s="57" t="s">
        <v>12</v>
      </c>
      <c r="BT3" s="57"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1.2533608000000001</v>
      </c>
      <c r="J5" s="12">
        <f t="shared" ref="J5:J39" si="1">IF(ISBLANK(S5),"·",S5/D5)</f>
        <v>5.2629846487994854E-2</v>
      </c>
      <c r="K5" s="12">
        <f t="shared" ref="K5:K39" si="2">IF(N5="","·",N5/D5)</f>
        <v>4.467927460634917E-2</v>
      </c>
      <c r="L5" s="12">
        <f t="shared" ref="L5:L39" si="3">IF(T5="","·",T5/D5)</f>
        <v>2.7862156433015185E-2</v>
      </c>
      <c r="M5" s="12">
        <f t="shared" ref="M5:M39" si="4">IF(ISBLANK(V5),"·",V5/D5)</f>
        <v>7.9505718816456888E-3</v>
      </c>
      <c r="N5" s="54">
        <f t="shared" ref="N5:N39" si="5">IF(OR(ISBLANK(T5),ISBLANK(U5)),"",T5+U5)</f>
        <v>10640208</v>
      </c>
      <c r="O5" s="12">
        <v>16</v>
      </c>
      <c r="P5" s="90">
        <v>222175774</v>
      </c>
      <c r="Q5" s="90">
        <v>740585.91333333298</v>
      </c>
      <c r="R5" s="90">
        <v>16831.89</v>
      </c>
      <c r="S5" s="91">
        <v>12533608</v>
      </c>
      <c r="T5" s="91">
        <v>6635272</v>
      </c>
      <c r="U5" s="91">
        <v>4004936</v>
      </c>
      <c r="V5" s="91">
        <v>1893400</v>
      </c>
      <c r="W5" s="92">
        <v>66.605775333333298</v>
      </c>
      <c r="X5" s="92">
        <v>68.398893666666595</v>
      </c>
      <c r="Y5" s="92">
        <v>31.584993333333301</v>
      </c>
      <c r="Z5" s="92">
        <v>44.355870000000003</v>
      </c>
      <c r="AA5" s="92">
        <v>43.854431333333302</v>
      </c>
      <c r="AB5" s="93">
        <v>29803.200000000001</v>
      </c>
      <c r="AC5" s="93">
        <v>39653.699999999997</v>
      </c>
      <c r="AD5" s="93">
        <v>65.765000000000001</v>
      </c>
      <c r="AE5" s="93">
        <v>216.49199999999999</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1.6558256</v>
      </c>
      <c r="J6" s="21">
        <f t="shared" si="1"/>
        <v>6.9529737278277715E-2</v>
      </c>
      <c r="K6" s="21">
        <f t="shared" si="2"/>
        <v>5.4818013177449325E-2</v>
      </c>
      <c r="L6" s="21">
        <f t="shared" si="3"/>
        <v>3.8000895004115347E-2</v>
      </c>
      <c r="M6" s="21">
        <f t="shared" si="4"/>
        <v>1.4711724100828385E-2</v>
      </c>
      <c r="N6" s="18">
        <f t="shared" si="5"/>
        <v>13054712</v>
      </c>
      <c r="O6" s="21">
        <v>16</v>
      </c>
      <c r="P6" s="94">
        <v>234540050</v>
      </c>
      <c r="Q6" s="94">
        <v>781800.16666666698</v>
      </c>
      <c r="R6" s="94">
        <v>20263.916666666701</v>
      </c>
      <c r="S6" s="95">
        <v>16558256</v>
      </c>
      <c r="T6" s="95">
        <v>9049776</v>
      </c>
      <c r="U6" s="95">
        <v>4004936</v>
      </c>
      <c r="V6" s="95">
        <v>3503544</v>
      </c>
      <c r="W6" s="96">
        <v>68.316568000000103</v>
      </c>
      <c r="X6" s="96">
        <v>70.389475333333294</v>
      </c>
      <c r="Y6" s="96">
        <v>33.642755999999999</v>
      </c>
      <c r="Z6" s="96">
        <v>45.377711333333401</v>
      </c>
      <c r="AA6" s="96">
        <v>45.0669233333333</v>
      </c>
      <c r="AB6" s="97">
        <v>30010.799999999999</v>
      </c>
      <c r="AC6" s="97">
        <v>42344.7</v>
      </c>
      <c r="AD6" s="97">
        <v>67.114000000000004</v>
      </c>
      <c r="AE6" s="97">
        <v>220.25200000000001</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2.3523007999999996</v>
      </c>
      <c r="J7" s="12">
        <f t="shared" si="1"/>
        <v>9.8775412473078375E-2</v>
      </c>
      <c r="K7" s="12">
        <f t="shared" si="2"/>
        <v>6.9102571451523695E-2</v>
      </c>
      <c r="L7" s="12">
        <f t="shared" si="3"/>
        <v>5.2285453278189717E-2</v>
      </c>
      <c r="M7" s="12">
        <f t="shared" si="4"/>
        <v>2.967284102155468E-2</v>
      </c>
      <c r="N7" s="54">
        <f t="shared" si="5"/>
        <v>16456528</v>
      </c>
      <c r="O7" s="12">
        <v>16</v>
      </c>
      <c r="P7" s="90">
        <v>237156270</v>
      </c>
      <c r="Q7" s="90">
        <v>790520.9</v>
      </c>
      <c r="R7" s="90">
        <v>21717.65</v>
      </c>
      <c r="S7" s="91">
        <v>23523008</v>
      </c>
      <c r="T7" s="91">
        <v>12451592</v>
      </c>
      <c r="U7" s="91">
        <v>4004936</v>
      </c>
      <c r="V7" s="91">
        <v>7066480</v>
      </c>
      <c r="W7" s="92">
        <v>69.641762666666693</v>
      </c>
      <c r="X7" s="92">
        <v>72.052495333333397</v>
      </c>
      <c r="Y7" s="92">
        <v>36.026087333333301</v>
      </c>
      <c r="Z7" s="92">
        <v>46.654397000000003</v>
      </c>
      <c r="AA7" s="92">
        <v>46.426361999999997</v>
      </c>
      <c r="AB7" s="93">
        <v>29987.200000000001</v>
      </c>
      <c r="AC7" s="93">
        <v>45005.3</v>
      </c>
      <c r="AD7" s="93">
        <v>67.519000000000005</v>
      </c>
      <c r="AE7" s="93">
        <v>219.126</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3.8917872</v>
      </c>
      <c r="J8" s="21">
        <f t="shared" si="1"/>
        <v>0.16341995289779554</v>
      </c>
      <c r="K8" s="21">
        <f t="shared" si="2"/>
        <v>9.9004179324304775E-2</v>
      </c>
      <c r="L8" s="21">
        <f t="shared" si="3"/>
        <v>8.2187061150970797E-2</v>
      </c>
      <c r="M8" s="21">
        <f t="shared" si="4"/>
        <v>6.4415773573490764E-2</v>
      </c>
      <c r="N8" s="18">
        <f t="shared" si="5"/>
        <v>23577488</v>
      </c>
      <c r="O8" s="21">
        <v>16</v>
      </c>
      <c r="P8" s="94">
        <v>246285905</v>
      </c>
      <c r="Q8" s="94">
        <v>820953.01666666695</v>
      </c>
      <c r="R8" s="94">
        <v>25005.6033333333</v>
      </c>
      <c r="S8" s="95">
        <v>38917872</v>
      </c>
      <c r="T8" s="95">
        <v>19572552</v>
      </c>
      <c r="U8" s="95">
        <v>4004936</v>
      </c>
      <c r="V8" s="95">
        <v>15340384</v>
      </c>
      <c r="W8" s="96">
        <v>70.708440999999993</v>
      </c>
      <c r="X8" s="96">
        <v>73.267006666666603</v>
      </c>
      <c r="Y8" s="96">
        <v>38.508783000000001</v>
      </c>
      <c r="Z8" s="96">
        <v>47.9325196666667</v>
      </c>
      <c r="AA8" s="96">
        <v>47.897598333333299</v>
      </c>
      <c r="AB8" s="97">
        <v>29815.1</v>
      </c>
      <c r="AC8" s="97">
        <v>48789.4</v>
      </c>
      <c r="AD8" s="97">
        <v>68.61</v>
      </c>
      <c r="AE8" s="97">
        <v>228.547</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ht="15.75" outlineLevel="1" thickBot="1" x14ac:dyDescent="0.3">
      <c r="A9" s="54"/>
      <c r="B9" s="27" t="s">
        <v>49</v>
      </c>
      <c r="C9" s="28" t="s">
        <v>234</v>
      </c>
      <c r="D9" s="27">
        <v>238146391</v>
      </c>
      <c r="E9" s="28">
        <v>10</v>
      </c>
      <c r="F9" s="28">
        <v>300</v>
      </c>
      <c r="G9" s="28">
        <v>30</v>
      </c>
      <c r="I9" s="29">
        <f t="shared" si="0"/>
        <v>7.7645647999999996</v>
      </c>
      <c r="J9" s="30">
        <f t="shared" si="1"/>
        <v>0.32604167408944695</v>
      </c>
      <c r="K9" s="30">
        <f t="shared" si="2"/>
        <v>0.17066789813329566</v>
      </c>
      <c r="L9" s="30">
        <f t="shared" si="3"/>
        <v>0.13410702495172391</v>
      </c>
      <c r="M9" s="30">
        <f t="shared" si="4"/>
        <v>0.15537377595615126</v>
      </c>
      <c r="N9" s="27">
        <f t="shared" si="5"/>
        <v>40643944</v>
      </c>
      <c r="O9" s="30">
        <v>16</v>
      </c>
      <c r="P9" s="98">
        <v>236696159</v>
      </c>
      <c r="Q9" s="98">
        <v>788987.19666666701</v>
      </c>
      <c r="R9" s="98">
        <v>10947.596666666699</v>
      </c>
      <c r="S9" s="99">
        <v>77645648</v>
      </c>
      <c r="T9" s="99">
        <v>31937104</v>
      </c>
      <c r="U9" s="99">
        <v>8706840</v>
      </c>
      <c r="V9" s="99">
        <v>37001704</v>
      </c>
      <c r="W9" s="100">
        <v>71.773718333333306</v>
      </c>
      <c r="X9" s="100">
        <v>75.150895333333395</v>
      </c>
      <c r="Y9" s="100">
        <v>41.052292333333298</v>
      </c>
      <c r="Z9" s="100">
        <v>49.402996333333398</v>
      </c>
      <c r="AA9" s="100">
        <v>49.457055333333301</v>
      </c>
      <c r="AB9" s="101">
        <v>30074.1</v>
      </c>
      <c r="AC9" s="101">
        <v>54030</v>
      </c>
      <c r="AD9" s="101">
        <v>62.177</v>
      </c>
      <c r="AE9" s="101">
        <v>221.99100000000001</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2.1451832000000004</v>
      </c>
      <c r="J10" s="21">
        <f t="shared" si="1"/>
        <v>9.8348202143466609E-2</v>
      </c>
      <c r="K10" s="21">
        <f t="shared" si="2"/>
        <v>7.3666626196819476E-2</v>
      </c>
      <c r="L10" s="21">
        <f t="shared" si="3"/>
        <v>4.1382966267907093E-2</v>
      </c>
      <c r="M10" s="21">
        <f t="shared" si="4"/>
        <v>2.468157594664714E-2</v>
      </c>
      <c r="N10" s="18">
        <f t="shared" si="5"/>
        <v>16068256</v>
      </c>
      <c r="O10" s="21">
        <v>16</v>
      </c>
      <c r="P10" s="94">
        <v>202429427</v>
      </c>
      <c r="Q10" s="94">
        <v>674764.75666666694</v>
      </c>
      <c r="R10" s="94">
        <v>20419.77</v>
      </c>
      <c r="S10" s="95">
        <v>21451832</v>
      </c>
      <c r="T10" s="95">
        <v>9026504</v>
      </c>
      <c r="U10" s="95">
        <v>7041752</v>
      </c>
      <c r="V10" s="95">
        <v>5383576</v>
      </c>
      <c r="W10" s="96">
        <v>65.897101000000006</v>
      </c>
      <c r="X10" s="96">
        <v>67.697368666666705</v>
      </c>
      <c r="Y10" s="96">
        <v>30.852983666666699</v>
      </c>
      <c r="Z10" s="96">
        <v>38.649319666666699</v>
      </c>
      <c r="AA10" s="96">
        <v>29.913253333333301</v>
      </c>
      <c r="AB10" s="97">
        <v>27696</v>
      </c>
      <c r="AC10" s="97">
        <v>48525.7</v>
      </c>
      <c r="AD10" s="97">
        <v>61.39</v>
      </c>
      <c r="AE10" s="97">
        <v>237.03</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2.9212192000000003</v>
      </c>
      <c r="J11" s="12">
        <f t="shared" si="1"/>
        <v>0.1339263967697378</v>
      </c>
      <c r="K11" s="12">
        <f t="shared" si="2"/>
        <v>9.0412725597812243E-2</v>
      </c>
      <c r="L11" s="12">
        <f t="shared" si="3"/>
        <v>5.8129065668899867E-2</v>
      </c>
      <c r="M11" s="12">
        <f t="shared" si="4"/>
        <v>4.3513671171925568E-2</v>
      </c>
      <c r="N11" s="54">
        <f t="shared" si="5"/>
        <v>19720936</v>
      </c>
      <c r="O11" s="12">
        <v>16</v>
      </c>
      <c r="P11" s="90">
        <v>214431738</v>
      </c>
      <c r="Q11" s="90">
        <v>714772.46</v>
      </c>
      <c r="R11" s="90">
        <v>25010.959999999999</v>
      </c>
      <c r="S11" s="91">
        <v>29212192</v>
      </c>
      <c r="T11" s="91">
        <v>12679184</v>
      </c>
      <c r="U11" s="91">
        <v>7041752</v>
      </c>
      <c r="V11" s="91">
        <v>9491256</v>
      </c>
      <c r="W11" s="92">
        <v>67.574102999999994</v>
      </c>
      <c r="X11" s="92">
        <v>69.611167666666603</v>
      </c>
      <c r="Y11" s="92">
        <v>32.669739999999997</v>
      </c>
      <c r="Z11" s="92">
        <v>39.622696333333401</v>
      </c>
      <c r="AA11" s="92">
        <v>32.107823000000003</v>
      </c>
      <c r="AB11" s="93">
        <v>27773.9</v>
      </c>
      <c r="AC11" s="93">
        <v>51964.9</v>
      </c>
      <c r="AD11" s="93">
        <v>62.823999999999998</v>
      </c>
      <c r="AE11" s="93">
        <v>238.94399999999999</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4.1648335999999997</v>
      </c>
      <c r="J12" s="21">
        <f t="shared" si="1"/>
        <v>0.19094121974603465</v>
      </c>
      <c r="K12" s="21">
        <f t="shared" si="2"/>
        <v>0.11569165739483549</v>
      </c>
      <c r="L12" s="21">
        <f t="shared" si="3"/>
        <v>8.3407997465923103E-2</v>
      </c>
      <c r="M12" s="21">
        <f t="shared" si="4"/>
        <v>7.5249562351199159E-2</v>
      </c>
      <c r="N12" s="18">
        <f t="shared" si="5"/>
        <v>25234808</v>
      </c>
      <c r="O12" s="21">
        <v>16</v>
      </c>
      <c r="P12" s="94">
        <v>217408494</v>
      </c>
      <c r="Q12" s="94">
        <v>724694.98</v>
      </c>
      <c r="R12" s="94">
        <v>26563.503333333301</v>
      </c>
      <c r="S12" s="95">
        <v>41648336</v>
      </c>
      <c r="T12" s="95">
        <v>18193056</v>
      </c>
      <c r="U12" s="95">
        <v>7041752</v>
      </c>
      <c r="V12" s="95">
        <v>16413528</v>
      </c>
      <c r="W12" s="96">
        <v>68.898682333333298</v>
      </c>
      <c r="X12" s="96">
        <v>71.250570999999994</v>
      </c>
      <c r="Y12" s="96">
        <v>34.690624333333403</v>
      </c>
      <c r="Z12" s="96">
        <v>40.563835666666598</v>
      </c>
      <c r="AA12" s="96">
        <v>33.990293999999999</v>
      </c>
      <c r="AB12" s="97">
        <v>27783.599999999999</v>
      </c>
      <c r="AC12" s="97">
        <v>55172</v>
      </c>
      <c r="AD12" s="97">
        <v>61.863</v>
      </c>
      <c r="AE12" s="97">
        <v>240.66499999999999</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6.7487455999999995</v>
      </c>
      <c r="J13" s="12">
        <f t="shared" si="1"/>
        <v>0.3094034096871684</v>
      </c>
      <c r="K13" s="12">
        <f t="shared" si="2"/>
        <v>0.16260028447848285</v>
      </c>
      <c r="L13" s="12">
        <f t="shared" si="3"/>
        <v>0.13031662454957046</v>
      </c>
      <c r="M13" s="12">
        <f t="shared" si="4"/>
        <v>0.14680312520868555</v>
      </c>
      <c r="N13" s="54">
        <f t="shared" si="5"/>
        <v>35466576</v>
      </c>
      <c r="O13" s="12">
        <v>16</v>
      </c>
      <c r="P13" s="90">
        <v>225163089</v>
      </c>
      <c r="Q13" s="90">
        <v>750543.63</v>
      </c>
      <c r="R13" s="90">
        <v>30141.4666666667</v>
      </c>
      <c r="S13" s="91">
        <v>67487456</v>
      </c>
      <c r="T13" s="91">
        <v>28424824</v>
      </c>
      <c r="U13" s="91">
        <v>7041752</v>
      </c>
      <c r="V13" s="91">
        <v>32020880</v>
      </c>
      <c r="W13" s="92">
        <v>69.946918666666704</v>
      </c>
      <c r="X13" s="92">
        <v>72.471755333333306</v>
      </c>
      <c r="Y13" s="92">
        <v>36.892521000000002</v>
      </c>
      <c r="Z13" s="92">
        <v>41.619339333333301</v>
      </c>
      <c r="AA13" s="92">
        <v>35.919769333333299</v>
      </c>
      <c r="AB13" s="93">
        <v>27699.1</v>
      </c>
      <c r="AC13" s="93">
        <v>59063.199999999997</v>
      </c>
      <c r="AD13" s="93">
        <v>61.145000000000003</v>
      </c>
      <c r="AE13" s="93">
        <v>239.518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ht="15.75" outlineLevel="1" thickBot="1" x14ac:dyDescent="0.3">
      <c r="A14" s="18"/>
      <c r="B14" s="37" t="s">
        <v>57</v>
      </c>
      <c r="C14" s="38" t="s">
        <v>234</v>
      </c>
      <c r="D14" s="37">
        <v>218121242</v>
      </c>
      <c r="E14" s="38">
        <v>10</v>
      </c>
      <c r="F14" s="38">
        <v>300</v>
      </c>
      <c r="G14" s="38">
        <v>30</v>
      </c>
      <c r="I14" s="39">
        <f t="shared" si="0"/>
        <v>13.2512928</v>
      </c>
      <c r="J14" s="40">
        <f t="shared" si="1"/>
        <v>0.6075195922458575</v>
      </c>
      <c r="K14" s="40">
        <f t="shared" si="2"/>
        <v>0.27360654768323756</v>
      </c>
      <c r="L14" s="40">
        <f t="shared" si="3"/>
        <v>0.21076901808582219</v>
      </c>
      <c r="M14" s="40">
        <f t="shared" si="4"/>
        <v>0.33391304456261989</v>
      </c>
      <c r="N14" s="37">
        <f t="shared" si="5"/>
        <v>59679400</v>
      </c>
      <c r="O14" s="40">
        <v>16</v>
      </c>
      <c r="P14" s="102">
        <v>212925678</v>
      </c>
      <c r="Q14" s="102">
        <v>709752.26</v>
      </c>
      <c r="R14" s="102">
        <v>14252.19</v>
      </c>
      <c r="S14" s="103">
        <v>132512928</v>
      </c>
      <c r="T14" s="103">
        <v>45973200</v>
      </c>
      <c r="U14" s="103">
        <v>13706200</v>
      </c>
      <c r="V14" s="103">
        <v>72833528</v>
      </c>
      <c r="W14" s="104">
        <v>70.806886666666699</v>
      </c>
      <c r="X14" s="104">
        <v>74.5742093333333</v>
      </c>
      <c r="Y14" s="104">
        <v>39.285404</v>
      </c>
      <c r="Z14" s="104">
        <v>42.9040483333333</v>
      </c>
      <c r="AA14" s="104">
        <v>38.014283666666699</v>
      </c>
      <c r="AB14" s="105">
        <v>27638.799999999999</v>
      </c>
      <c r="AC14" s="105">
        <v>64987</v>
      </c>
      <c r="AD14" s="105">
        <v>69.710999999999999</v>
      </c>
      <c r="AE14" s="105">
        <v>271.08999999999997</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1.887748</v>
      </c>
      <c r="J15" s="12">
        <f t="shared" si="1"/>
        <v>5.8518544658821475E-2</v>
      </c>
      <c r="K15" s="12">
        <f t="shared" si="2"/>
        <v>4.8601278359460598E-2</v>
      </c>
      <c r="L15" s="12">
        <f t="shared" si="3"/>
        <v>2.6890504850086597E-2</v>
      </c>
      <c r="M15" s="12">
        <f t="shared" si="4"/>
        <v>9.9172662993608756E-3</v>
      </c>
      <c r="N15" s="54">
        <f t="shared" si="5"/>
        <v>15678272</v>
      </c>
      <c r="O15" s="12">
        <v>16</v>
      </c>
      <c r="P15" s="90">
        <v>308654013</v>
      </c>
      <c r="Q15" s="90">
        <v>1028846.71</v>
      </c>
      <c r="R15" s="90">
        <v>31662.186666666701</v>
      </c>
      <c r="S15" s="91">
        <v>18877480</v>
      </c>
      <c r="T15" s="91">
        <v>8674600</v>
      </c>
      <c r="U15" s="91">
        <v>7003672</v>
      </c>
      <c r="V15" s="91">
        <v>3199208</v>
      </c>
      <c r="W15" s="92">
        <v>66.288795666666601</v>
      </c>
      <c r="X15" s="92">
        <v>67.884240666666699</v>
      </c>
      <c r="Y15" s="92">
        <v>29.014768333333301</v>
      </c>
      <c r="Z15" s="92">
        <v>43.360642666666699</v>
      </c>
      <c r="AA15" s="92">
        <v>43.5883513333333</v>
      </c>
      <c r="AB15" s="93">
        <v>38858.6</v>
      </c>
      <c r="AC15" s="93">
        <v>42030.9</v>
      </c>
      <c r="AD15" s="93">
        <v>83.084000000000003</v>
      </c>
      <c r="AE15" s="93">
        <v>226.03899999999999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2.5150647999999998</v>
      </c>
      <c r="J16" s="21">
        <f t="shared" si="1"/>
        <v>7.796481936075679E-2</v>
      </c>
      <c r="K16" s="21">
        <f t="shared" si="2"/>
        <v>5.8895940460641609E-2</v>
      </c>
      <c r="L16" s="21">
        <f t="shared" si="3"/>
        <v>3.7185166951267605E-2</v>
      </c>
      <c r="M16" s="21">
        <f t="shared" si="4"/>
        <v>1.9068878900115174E-2</v>
      </c>
      <c r="N16" s="18">
        <f t="shared" si="5"/>
        <v>18999224</v>
      </c>
      <c r="O16" s="21">
        <v>16</v>
      </c>
      <c r="P16" s="94">
        <v>321094751</v>
      </c>
      <c r="Q16" s="94">
        <v>1070315.8366666699</v>
      </c>
      <c r="R16" s="94">
        <v>36528.910000000003</v>
      </c>
      <c r="S16" s="95">
        <v>25150648</v>
      </c>
      <c r="T16" s="95">
        <v>11995552</v>
      </c>
      <c r="U16" s="95">
        <v>7003672</v>
      </c>
      <c r="V16" s="95">
        <v>6151424</v>
      </c>
      <c r="W16" s="96">
        <v>68.000212666666698</v>
      </c>
      <c r="X16" s="96">
        <v>70.007170333333306</v>
      </c>
      <c r="Y16" s="96">
        <v>31.329467333333401</v>
      </c>
      <c r="Z16" s="96">
        <v>44.0489416666667</v>
      </c>
      <c r="AA16" s="96">
        <v>44.375662333333302</v>
      </c>
      <c r="AB16" s="97">
        <v>38393.199999999997</v>
      </c>
      <c r="AC16" s="97">
        <v>44798.9</v>
      </c>
      <c r="AD16" s="97">
        <v>83.093999999999994</v>
      </c>
      <c r="AE16" s="97">
        <v>222.828</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3.6213848</v>
      </c>
      <c r="J17" s="12">
        <f t="shared" si="1"/>
        <v>0.11225977627605871</v>
      </c>
      <c r="K17" s="12">
        <f t="shared" si="2"/>
        <v>7.2910522897531777E-2</v>
      </c>
      <c r="L17" s="12">
        <f t="shared" si="3"/>
        <v>5.1199749388157779E-2</v>
      </c>
      <c r="M17" s="12">
        <f t="shared" si="4"/>
        <v>3.9349253378526926E-2</v>
      </c>
      <c r="N17" s="54">
        <f t="shared" si="5"/>
        <v>23520184</v>
      </c>
      <c r="O17" s="12">
        <v>16</v>
      </c>
      <c r="P17" s="90">
        <v>321754793</v>
      </c>
      <c r="Q17" s="90">
        <v>1072515.9766666701</v>
      </c>
      <c r="R17" s="90">
        <v>37385.196666666699</v>
      </c>
      <c r="S17" s="91">
        <v>36213848</v>
      </c>
      <c r="T17" s="91">
        <v>16516512</v>
      </c>
      <c r="U17" s="91">
        <v>7003672</v>
      </c>
      <c r="V17" s="91">
        <v>12693664</v>
      </c>
      <c r="W17" s="92">
        <v>69.319582999999994</v>
      </c>
      <c r="X17" s="92">
        <v>71.776932000000002</v>
      </c>
      <c r="Y17" s="92">
        <v>33.735333333333301</v>
      </c>
      <c r="Z17" s="92">
        <v>45.176124666666702</v>
      </c>
      <c r="AA17" s="92">
        <v>45.586641333333297</v>
      </c>
      <c r="AB17" s="93">
        <v>38379.199999999997</v>
      </c>
      <c r="AC17" s="93">
        <v>47791.8</v>
      </c>
      <c r="AD17" s="93">
        <v>81.96</v>
      </c>
      <c r="AE17" s="93">
        <v>221.16</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6.3196712000000002</v>
      </c>
      <c r="J18" s="21">
        <f t="shared" si="1"/>
        <v>0.19590430573692458</v>
      </c>
      <c r="K18" s="21">
        <f t="shared" si="2"/>
        <v>0.10682751362703131</v>
      </c>
      <c r="L18" s="21">
        <f t="shared" si="3"/>
        <v>8.5116740117657325E-2</v>
      </c>
      <c r="M18" s="21">
        <f t="shared" si="4"/>
        <v>8.9076792109893249E-2</v>
      </c>
      <c r="N18" s="18">
        <f t="shared" si="5"/>
        <v>34461456</v>
      </c>
      <c r="O18" s="21">
        <v>16</v>
      </c>
      <c r="P18" s="94">
        <v>331702199</v>
      </c>
      <c r="Q18" s="94">
        <v>1105673.9966666701</v>
      </c>
      <c r="R18" s="94">
        <v>41739.050000000003</v>
      </c>
      <c r="S18" s="95">
        <v>63196712</v>
      </c>
      <c r="T18" s="95">
        <v>27457784</v>
      </c>
      <c r="U18" s="95">
        <v>7003672</v>
      </c>
      <c r="V18" s="95">
        <v>28735256</v>
      </c>
      <c r="W18" s="96">
        <v>70.481268666666594</v>
      </c>
      <c r="X18" s="96">
        <v>73.086710999999994</v>
      </c>
      <c r="Y18" s="96">
        <v>36.170915333333397</v>
      </c>
      <c r="Z18" s="96">
        <v>46.487573666666599</v>
      </c>
      <c r="AA18" s="96">
        <v>46.987980333333297</v>
      </c>
      <c r="AB18" s="97">
        <v>38397.599999999999</v>
      </c>
      <c r="AC18" s="97">
        <v>52043.7</v>
      </c>
      <c r="AD18" s="97">
        <v>91.197000000000003</v>
      </c>
      <c r="AE18" s="97">
        <v>250.99100000000001</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ht="15.75" outlineLevel="1" thickBot="1" x14ac:dyDescent="0.3">
      <c r="A19" s="54"/>
      <c r="B19" s="27" t="s">
        <v>62</v>
      </c>
      <c r="C19" s="28" t="s">
        <v>234</v>
      </c>
      <c r="D19" s="27">
        <v>322589704</v>
      </c>
      <c r="E19" s="28">
        <v>10</v>
      </c>
      <c r="F19" s="28">
        <v>300</v>
      </c>
      <c r="G19" s="28">
        <v>30</v>
      </c>
      <c r="I19" s="29">
        <f t="shared" si="0"/>
        <v>13.296434400000001</v>
      </c>
      <c r="J19" s="30">
        <f t="shared" si="1"/>
        <v>0.41217789145558098</v>
      </c>
      <c r="K19" s="30">
        <f t="shared" si="2"/>
        <v>0.18434706149208036</v>
      </c>
      <c r="L19" s="30">
        <f t="shared" si="3"/>
        <v>0.13881477134806511</v>
      </c>
      <c r="M19" s="30">
        <f t="shared" si="4"/>
        <v>0.22783082996350063</v>
      </c>
      <c r="N19" s="27">
        <f t="shared" si="5"/>
        <v>59468464</v>
      </c>
      <c r="O19" s="30">
        <v>16</v>
      </c>
      <c r="P19" s="98">
        <v>314143532</v>
      </c>
      <c r="Q19" s="98">
        <v>1047145.1066666699</v>
      </c>
      <c r="R19" s="98">
        <v>18178.98</v>
      </c>
      <c r="S19" s="99">
        <v>132964344</v>
      </c>
      <c r="T19" s="99">
        <v>44780216</v>
      </c>
      <c r="U19" s="99">
        <v>14688248</v>
      </c>
      <c r="V19" s="99">
        <v>73495880</v>
      </c>
      <c r="W19" s="100">
        <v>71.167008999999993</v>
      </c>
      <c r="X19" s="100">
        <v>75.031801333333306</v>
      </c>
      <c r="Y19" s="100">
        <v>38.670421333333302</v>
      </c>
      <c r="Z19" s="100">
        <v>48.273802000000003</v>
      </c>
      <c r="AA19" s="100">
        <v>48.812712666666698</v>
      </c>
      <c r="AB19" s="101">
        <v>38380.199999999997</v>
      </c>
      <c r="AC19" s="101">
        <v>59041.1</v>
      </c>
      <c r="AD19" s="101">
        <v>76.924999999999997</v>
      </c>
      <c r="AE19" s="101">
        <v>239.01900000000001</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2.2325024</v>
      </c>
      <c r="J20" s="21">
        <f t="shared" si="1"/>
        <v>4.4542630595590375E-2</v>
      </c>
      <c r="K20" s="21">
        <f t="shared" si="2"/>
        <v>3.5371467442488522E-2</v>
      </c>
      <c r="L20" s="21">
        <f t="shared" si="3"/>
        <v>1.9913928287443421E-2</v>
      </c>
      <c r="M20" s="21">
        <f t="shared" si="4"/>
        <v>9.1711631531018536E-3</v>
      </c>
      <c r="N20" s="18">
        <f t="shared" si="5"/>
        <v>8864192</v>
      </c>
      <c r="O20" s="21">
        <v>16</v>
      </c>
      <c r="P20" s="94">
        <v>236077728</v>
      </c>
      <c r="Q20" s="94">
        <v>944310.91200000001</v>
      </c>
      <c r="R20" s="94">
        <v>29116.612000000001</v>
      </c>
      <c r="S20" s="95">
        <v>11162512</v>
      </c>
      <c r="T20" s="95">
        <v>4990488</v>
      </c>
      <c r="U20" s="95">
        <v>3873704</v>
      </c>
      <c r="V20" s="95">
        <v>2298320</v>
      </c>
      <c r="W20" s="96">
        <v>67.491250800000003</v>
      </c>
      <c r="X20" s="96">
        <v>69.268420800000001</v>
      </c>
      <c r="Y20" s="96">
        <v>30.287767599999999</v>
      </c>
      <c r="Z20" s="96">
        <v>40.1978972</v>
      </c>
      <c r="AA20" s="96">
        <v>38.774874799999999</v>
      </c>
      <c r="AB20" s="97">
        <v>29696.5</v>
      </c>
      <c r="AC20" s="97">
        <v>33891.9</v>
      </c>
      <c r="AD20" s="97">
        <v>61.723999999999997</v>
      </c>
      <c r="AE20" s="97">
        <v>192.142</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2.9820224</v>
      </c>
      <c r="J21" s="12">
        <f t="shared" si="1"/>
        <v>5.9496967255657077E-2</v>
      </c>
      <c r="K21" s="12">
        <f t="shared" si="2"/>
        <v>4.21432648197183E-2</v>
      </c>
      <c r="L21" s="12">
        <f t="shared" si="3"/>
        <v>2.6685725664673199E-2</v>
      </c>
      <c r="M21" s="12">
        <f t="shared" si="4"/>
        <v>1.7353702435938777E-2</v>
      </c>
      <c r="N21" s="54">
        <f t="shared" si="5"/>
        <v>10561224</v>
      </c>
      <c r="O21" s="12">
        <v>16</v>
      </c>
      <c r="P21" s="90">
        <v>245359978</v>
      </c>
      <c r="Q21" s="90">
        <v>981439.91200000001</v>
      </c>
      <c r="R21" s="90">
        <v>33615.811999999998</v>
      </c>
      <c r="S21" s="91">
        <v>14910112</v>
      </c>
      <c r="T21" s="91">
        <v>6687520</v>
      </c>
      <c r="U21" s="91">
        <v>3873704</v>
      </c>
      <c r="V21" s="91">
        <v>4348888</v>
      </c>
      <c r="W21" s="92">
        <v>69.054532399999999</v>
      </c>
      <c r="X21" s="92">
        <v>71.225704800000003</v>
      </c>
      <c r="Y21" s="92">
        <v>31.832028000000001</v>
      </c>
      <c r="Z21" s="92">
        <v>41.287252000000002</v>
      </c>
      <c r="AA21" s="92">
        <v>40.017842799999997</v>
      </c>
      <c r="AB21" s="93">
        <v>30038.1</v>
      </c>
      <c r="AC21" s="93">
        <v>36067.300000000003</v>
      </c>
      <c r="AD21" s="93">
        <v>63.070999999999998</v>
      </c>
      <c r="AE21" s="93">
        <v>197.69800000000001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4.4791664000000004</v>
      </c>
      <c r="J22" s="21">
        <f t="shared" si="1"/>
        <v>8.9367811802298802E-2</v>
      </c>
      <c r="K22" s="21">
        <f t="shared" si="2"/>
        <v>5.0117442579702721E-2</v>
      </c>
      <c r="L22" s="21">
        <f t="shared" si="3"/>
        <v>3.465990342465762E-2</v>
      </c>
      <c r="M22" s="21">
        <f t="shared" si="4"/>
        <v>3.9250369222596081E-2</v>
      </c>
      <c r="N22" s="18">
        <f t="shared" si="5"/>
        <v>12559576</v>
      </c>
      <c r="O22" s="21">
        <v>16</v>
      </c>
      <c r="P22" s="94">
        <v>252324755</v>
      </c>
      <c r="Q22" s="94">
        <v>1009299.02</v>
      </c>
      <c r="R22" s="94">
        <v>35506.167999999998</v>
      </c>
      <c r="S22" s="95">
        <v>22395832</v>
      </c>
      <c r="T22" s="95">
        <v>8685872</v>
      </c>
      <c r="U22" s="95">
        <v>3873704</v>
      </c>
      <c r="V22" s="95">
        <v>9836256</v>
      </c>
      <c r="W22" s="96">
        <v>70.261877600000005</v>
      </c>
      <c r="X22" s="96">
        <v>72.740842000000001</v>
      </c>
      <c r="Y22" s="96">
        <v>33.733865199999997</v>
      </c>
      <c r="Z22" s="96">
        <v>42.532604399999997</v>
      </c>
      <c r="AA22" s="96">
        <v>41.350980800000002</v>
      </c>
      <c r="AB22" s="97">
        <v>30131.200000000001</v>
      </c>
      <c r="AC22" s="97">
        <v>37929.599999999999</v>
      </c>
      <c r="AD22" s="97">
        <v>63.387</v>
      </c>
      <c r="AE22" s="97">
        <v>198.286</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8.2527887999999994</v>
      </c>
      <c r="J23" s="12">
        <f t="shared" si="1"/>
        <v>0.16465869102842873</v>
      </c>
      <c r="K23" s="12">
        <f t="shared" si="2"/>
        <v>7.2617518207321874E-2</v>
      </c>
      <c r="L23" s="12">
        <f t="shared" si="3"/>
        <v>5.7159979052276773E-2</v>
      </c>
      <c r="M23" s="12">
        <f t="shared" si="4"/>
        <v>9.204117282110684E-2</v>
      </c>
      <c r="N23" s="54">
        <f t="shared" si="5"/>
        <v>18198160</v>
      </c>
      <c r="O23" s="12">
        <v>16</v>
      </c>
      <c r="P23" s="90">
        <v>255090373</v>
      </c>
      <c r="Q23" s="90">
        <v>1020361.492</v>
      </c>
      <c r="R23" s="90">
        <v>37774.063999999998</v>
      </c>
      <c r="S23" s="91">
        <v>41263944</v>
      </c>
      <c r="T23" s="91">
        <v>14324456</v>
      </c>
      <c r="U23" s="91">
        <v>3873704</v>
      </c>
      <c r="V23" s="91">
        <v>23065784</v>
      </c>
      <c r="W23" s="92">
        <v>71.205645599999997</v>
      </c>
      <c r="X23" s="92">
        <v>73.977870800000005</v>
      </c>
      <c r="Y23" s="92">
        <v>35.656005999999998</v>
      </c>
      <c r="Z23" s="92">
        <v>43.717683200000003</v>
      </c>
      <c r="AA23" s="92">
        <v>42.4898332</v>
      </c>
      <c r="AB23" s="93">
        <v>30023.200000000001</v>
      </c>
      <c r="AC23" s="93">
        <v>40987.199999999997</v>
      </c>
      <c r="AD23" s="93">
        <v>64.182000000000002</v>
      </c>
      <c r="AE23" s="93">
        <v>202.93</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ht="15.75" outlineLevel="1" thickBot="1" x14ac:dyDescent="0.3">
      <c r="A24" s="37"/>
      <c r="B24" s="37" t="s">
        <v>68</v>
      </c>
      <c r="C24" s="38" t="s">
        <v>234</v>
      </c>
      <c r="D24" s="37">
        <v>250602891</v>
      </c>
      <c r="E24" s="38">
        <v>10</v>
      </c>
      <c r="F24" s="38">
        <v>250</v>
      </c>
      <c r="G24" s="38">
        <v>50</v>
      </c>
      <c r="I24" s="39">
        <f t="shared" si="0"/>
        <v>16.7070176</v>
      </c>
      <c r="J24" s="40">
        <f t="shared" si="1"/>
        <v>0.33333648972150126</v>
      </c>
      <c r="K24" s="40">
        <f t="shared" si="2"/>
        <v>0.124995365675969</v>
      </c>
      <c r="L24" s="40">
        <f t="shared" si="3"/>
        <v>9.1759516054425727E-2</v>
      </c>
      <c r="M24" s="40">
        <f t="shared" si="4"/>
        <v>0.20834112404553226</v>
      </c>
      <c r="N24" s="37">
        <f t="shared" si="5"/>
        <v>31324200</v>
      </c>
      <c r="O24" s="40">
        <v>16</v>
      </c>
      <c r="P24" s="102">
        <v>243894865</v>
      </c>
      <c r="Q24" s="102">
        <v>975579.46</v>
      </c>
      <c r="R24" s="102">
        <v>18588.684000000001</v>
      </c>
      <c r="S24" s="103">
        <v>83535088</v>
      </c>
      <c r="T24" s="103">
        <v>22995200</v>
      </c>
      <c r="U24" s="103">
        <v>8329000</v>
      </c>
      <c r="V24" s="103">
        <v>52210888</v>
      </c>
      <c r="W24" s="104">
        <v>71.920644800000005</v>
      </c>
      <c r="X24" s="104">
        <v>75.958430800000002</v>
      </c>
      <c r="Y24" s="104">
        <v>37.235748800000003</v>
      </c>
      <c r="Z24" s="104">
        <v>44.644544000000003</v>
      </c>
      <c r="AA24" s="104">
        <v>43.2741744</v>
      </c>
      <c r="AB24" s="105">
        <v>29484.2</v>
      </c>
      <c r="AC24" s="105">
        <v>45466.2</v>
      </c>
      <c r="AD24" s="105">
        <v>62.222000000000001</v>
      </c>
      <c r="AE24" s="105">
        <v>214.30799999999999</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2.1911063999999998</v>
      </c>
      <c r="J25" s="12">
        <f t="shared" si="1"/>
        <v>8.7541103866163594E-2</v>
      </c>
      <c r="K25" s="12">
        <f t="shared" si="2"/>
        <v>5.6434461693621478E-2</v>
      </c>
      <c r="L25" s="12">
        <f t="shared" si="3"/>
        <v>3.4338194344134862E-2</v>
      </c>
      <c r="M25" s="12">
        <f t="shared" si="4"/>
        <v>3.1106642172542113E-2</v>
      </c>
      <c r="N25" s="54">
        <f t="shared" si="5"/>
        <v>14125240</v>
      </c>
      <c r="O25" s="12">
        <v>16</v>
      </c>
      <c r="P25" s="90">
        <v>232141403</v>
      </c>
      <c r="Q25" s="90">
        <v>773804.67666666699</v>
      </c>
      <c r="R25" s="90">
        <v>16163.3</v>
      </c>
      <c r="S25" s="91">
        <v>21911064</v>
      </c>
      <c r="T25" s="91">
        <v>8594664</v>
      </c>
      <c r="U25" s="91">
        <v>5530576</v>
      </c>
      <c r="V25" s="91">
        <v>7785824</v>
      </c>
      <c r="W25" s="92">
        <v>66.367152333333294</v>
      </c>
      <c r="X25" s="92">
        <v>68.130876333333305</v>
      </c>
      <c r="Y25" s="92">
        <v>25.8259646666667</v>
      </c>
      <c r="Z25" s="92">
        <v>32.375669333333299</v>
      </c>
      <c r="AA25" s="92">
        <v>31.541340000000002</v>
      </c>
      <c r="AB25" s="93">
        <v>12816.5</v>
      </c>
      <c r="AC25" s="93">
        <v>46912</v>
      </c>
      <c r="AD25" s="93">
        <v>66.941999999999993</v>
      </c>
      <c r="AE25" s="93">
        <v>228.66499999999999</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3.3719367999999998</v>
      </c>
      <c r="J26" s="21">
        <f t="shared" si="1"/>
        <v>0.13471872914931893</v>
      </c>
      <c r="K26" s="21">
        <f t="shared" si="2"/>
        <v>7.0472192642188319E-2</v>
      </c>
      <c r="L26" s="21">
        <f t="shared" si="3"/>
        <v>4.8375925292701703E-2</v>
      </c>
      <c r="M26" s="21">
        <f t="shared" si="4"/>
        <v>6.4246536507130622E-2</v>
      </c>
      <c r="N26" s="18">
        <f t="shared" si="5"/>
        <v>17638808</v>
      </c>
      <c r="O26" s="21">
        <v>16</v>
      </c>
      <c r="P26" s="94">
        <v>244031498</v>
      </c>
      <c r="Q26" s="94">
        <v>813438.32666666701</v>
      </c>
      <c r="R26" s="94">
        <v>19473.3</v>
      </c>
      <c r="S26" s="95">
        <v>33719368</v>
      </c>
      <c r="T26" s="95">
        <v>12108232</v>
      </c>
      <c r="U26" s="95">
        <v>5530576</v>
      </c>
      <c r="V26" s="95">
        <v>16080560</v>
      </c>
      <c r="W26" s="96">
        <v>68.071844999999996</v>
      </c>
      <c r="X26" s="96">
        <v>70.1145286666667</v>
      </c>
      <c r="Y26" s="96">
        <v>27.860334333333299</v>
      </c>
      <c r="Z26" s="96">
        <v>33.574995000000001</v>
      </c>
      <c r="AA26" s="96">
        <v>32.9463236666667</v>
      </c>
      <c r="AB26" s="97">
        <v>12787.8</v>
      </c>
      <c r="AC26" s="97">
        <v>50569.2</v>
      </c>
      <c r="AD26" s="97">
        <v>70.028999999999996</v>
      </c>
      <c r="AE26" s="97">
        <v>238.39400000000001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5.6886424</v>
      </c>
      <c r="J27" s="12">
        <f t="shared" si="1"/>
        <v>0.22727788810067012</v>
      </c>
      <c r="K27" s="12">
        <f t="shared" si="2"/>
        <v>9.1217443931726816E-2</v>
      </c>
      <c r="L27" s="12">
        <f t="shared" si="3"/>
        <v>6.9121176582240207E-2</v>
      </c>
      <c r="M27" s="12">
        <f t="shared" si="4"/>
        <v>0.13606044416894331</v>
      </c>
      <c r="N27" s="54">
        <f t="shared" si="5"/>
        <v>22831232</v>
      </c>
      <c r="O27" s="12">
        <v>16</v>
      </c>
      <c r="P27" s="90">
        <v>246289141</v>
      </c>
      <c r="Q27" s="90">
        <v>820963.80333333299</v>
      </c>
      <c r="R27" s="90">
        <v>20401.856666666699</v>
      </c>
      <c r="S27" s="91">
        <v>56886424</v>
      </c>
      <c r="T27" s="91">
        <v>17300656</v>
      </c>
      <c r="U27" s="91">
        <v>5530576</v>
      </c>
      <c r="V27" s="91">
        <v>34055192</v>
      </c>
      <c r="W27" s="92">
        <v>69.362729999999999</v>
      </c>
      <c r="X27" s="92">
        <v>71.793965333333404</v>
      </c>
      <c r="Y27" s="92">
        <v>30.179990333333301</v>
      </c>
      <c r="Z27" s="92">
        <v>34.833454000000003</v>
      </c>
      <c r="AA27" s="92">
        <v>34.291808666666697</v>
      </c>
      <c r="AB27" s="93">
        <v>13684.1</v>
      </c>
      <c r="AC27" s="93">
        <v>61547.7</v>
      </c>
      <c r="AD27" s="93">
        <v>74.075999999999993</v>
      </c>
      <c r="AE27" s="93">
        <v>261.09800000000001</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10.9980096</v>
      </c>
      <c r="J28" s="21">
        <f t="shared" si="1"/>
        <v>0.43940262358535592</v>
      </c>
      <c r="K28" s="21">
        <f t="shared" si="2"/>
        <v>0.12834607822234043</v>
      </c>
      <c r="L28" s="21">
        <f t="shared" si="3"/>
        <v>0.10624981087285382</v>
      </c>
      <c r="M28" s="21">
        <f t="shared" si="4"/>
        <v>0.31105654536301547</v>
      </c>
      <c r="N28" s="18">
        <f t="shared" si="5"/>
        <v>32124328</v>
      </c>
      <c r="O28" s="21">
        <v>16</v>
      </c>
      <c r="P28" s="94">
        <v>253120330</v>
      </c>
      <c r="Q28" s="94">
        <v>843734.433333333</v>
      </c>
      <c r="R28" s="94">
        <v>22945.56</v>
      </c>
      <c r="S28" s="95">
        <v>109980096</v>
      </c>
      <c r="T28" s="95">
        <v>26593752</v>
      </c>
      <c r="U28" s="95">
        <v>5530576</v>
      </c>
      <c r="V28" s="95">
        <v>77855768</v>
      </c>
      <c r="W28" s="96">
        <v>70.485357999999906</v>
      </c>
      <c r="X28" s="96">
        <v>73.041494666666694</v>
      </c>
      <c r="Y28" s="96">
        <v>32.706982666666697</v>
      </c>
      <c r="Z28" s="96">
        <v>36.390406333333402</v>
      </c>
      <c r="AA28" s="96">
        <v>35.838780999999997</v>
      </c>
      <c r="AB28" s="97">
        <v>13521.5</v>
      </c>
      <c r="AC28" s="97">
        <v>66556.100000000006</v>
      </c>
      <c r="AD28" s="97">
        <v>72.706000000000003</v>
      </c>
      <c r="AE28" s="97">
        <v>263.00099999999998</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ht="15.75" outlineLevel="1" thickBot="1" x14ac:dyDescent="0.3">
      <c r="A29" s="27"/>
      <c r="B29" s="27" t="s">
        <v>71</v>
      </c>
      <c r="C29" s="28" t="s">
        <v>234</v>
      </c>
      <c r="D29" s="27">
        <v>250294582</v>
      </c>
      <c r="E29" s="28">
        <v>10</v>
      </c>
      <c r="F29" s="28">
        <v>300</v>
      </c>
      <c r="G29" s="28">
        <v>30</v>
      </c>
      <c r="I29" s="29">
        <f t="shared" si="0"/>
        <v>25.249316799999999</v>
      </c>
      <c r="J29" s="30">
        <f t="shared" si="1"/>
        <v>1.0087839935744194</v>
      </c>
      <c r="K29" s="30">
        <f t="shared" si="2"/>
        <v>0.21169835789733554</v>
      </c>
      <c r="L29" s="30">
        <f t="shared" si="3"/>
        <v>0.16742620501469743</v>
      </c>
      <c r="M29" s="30">
        <f t="shared" si="4"/>
        <v>0.7970856356770839</v>
      </c>
      <c r="N29" s="27">
        <f t="shared" si="5"/>
        <v>52986952</v>
      </c>
      <c r="O29" s="30">
        <v>16</v>
      </c>
      <c r="P29" s="98">
        <v>243643189</v>
      </c>
      <c r="Q29" s="98">
        <v>812143.96333333303</v>
      </c>
      <c r="R29" s="98">
        <v>10655.1133333333</v>
      </c>
      <c r="S29" s="99">
        <v>252493168</v>
      </c>
      <c r="T29" s="99">
        <v>41905872</v>
      </c>
      <c r="U29" s="99">
        <v>11081080</v>
      </c>
      <c r="V29" s="99">
        <v>199506216</v>
      </c>
      <c r="W29" s="100">
        <v>71.191933333333296</v>
      </c>
      <c r="X29" s="100">
        <v>74.925769000000003</v>
      </c>
      <c r="Y29" s="100">
        <v>35.726918333333302</v>
      </c>
      <c r="Z29" s="100">
        <v>38.3666883333334</v>
      </c>
      <c r="AA29" s="100">
        <v>37.755306666666698</v>
      </c>
      <c r="AB29" s="101">
        <v>13422.5</v>
      </c>
      <c r="AC29" s="101">
        <v>74894.600000000006</v>
      </c>
      <c r="AD29" s="101">
        <v>71.233999999999995</v>
      </c>
      <c r="AE29" s="101">
        <v>288.74799999999999</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4.0368712499999999</v>
      </c>
      <c r="J30" s="21">
        <f t="shared" si="1"/>
        <v>4.6076103830146029E-2</v>
      </c>
      <c r="K30" s="21">
        <f t="shared" si="2"/>
        <v>3.5983651442703699E-2</v>
      </c>
      <c r="L30" s="21">
        <f t="shared" si="3"/>
        <v>2.292768745237864E-2</v>
      </c>
      <c r="M30" s="21">
        <f t="shared" si="4"/>
        <v>1.0092452387442332E-2</v>
      </c>
      <c r="N30" s="18">
        <f t="shared" si="5"/>
        <v>6725632</v>
      </c>
      <c r="O30" s="21">
        <v>16</v>
      </c>
      <c r="P30" s="94">
        <v>172119781</v>
      </c>
      <c r="Q30" s="94">
        <v>2689371.578125</v>
      </c>
      <c r="R30" s="94">
        <v>33544.125</v>
      </c>
      <c r="S30" s="95">
        <v>8611992</v>
      </c>
      <c r="T30" s="95">
        <v>4285368</v>
      </c>
      <c r="U30" s="95">
        <v>2440264</v>
      </c>
      <c r="V30" s="95">
        <v>1886360</v>
      </c>
      <c r="W30" s="96">
        <v>73.538409375000001</v>
      </c>
      <c r="X30" s="96">
        <v>75.705965625000005</v>
      </c>
      <c r="Y30" s="96">
        <v>32.979881249999998</v>
      </c>
      <c r="Z30" s="96">
        <v>41.890848437499997</v>
      </c>
      <c r="AA30" s="96">
        <v>43.0265953125</v>
      </c>
      <c r="AB30" s="97">
        <v>5780.02</v>
      </c>
      <c r="AC30" s="97">
        <v>45703.6</v>
      </c>
      <c r="AD30" s="97">
        <v>54.106000000000002</v>
      </c>
      <c r="AE30" s="97">
        <v>236.49799999999999</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5.3958787499999996</v>
      </c>
      <c r="J31" s="12">
        <f t="shared" si="1"/>
        <v>6.1587564760674146E-2</v>
      </c>
      <c r="K31" s="12">
        <f t="shared" si="2"/>
        <v>4.4386160033147007E-2</v>
      </c>
      <c r="L31" s="12">
        <f t="shared" si="3"/>
        <v>3.1330196042821945E-2</v>
      </c>
      <c r="M31" s="12">
        <f t="shared" si="4"/>
        <v>1.7201404727527139E-2</v>
      </c>
      <c r="N31" s="54">
        <f t="shared" si="5"/>
        <v>8296128</v>
      </c>
      <c r="O31" s="12">
        <v>16</v>
      </c>
      <c r="P31" s="90">
        <v>181793517</v>
      </c>
      <c r="Q31" s="90">
        <v>2840523.703125</v>
      </c>
      <c r="R31" s="90">
        <v>41507.578125</v>
      </c>
      <c r="S31" s="91">
        <v>11511208</v>
      </c>
      <c r="T31" s="91">
        <v>5855864</v>
      </c>
      <c r="U31" s="91">
        <v>2440264</v>
      </c>
      <c r="V31" s="91">
        <v>3215080</v>
      </c>
      <c r="W31" s="92">
        <v>75.198571874999999</v>
      </c>
      <c r="X31" s="92">
        <v>77.573767187499996</v>
      </c>
      <c r="Y31" s="92">
        <v>35.007385937499997</v>
      </c>
      <c r="Z31" s="92">
        <v>42.599560937500002</v>
      </c>
      <c r="AA31" s="92">
        <v>44.470268750000002</v>
      </c>
      <c r="AB31" s="93">
        <v>6413.09</v>
      </c>
      <c r="AC31" s="93">
        <v>55452.1</v>
      </c>
      <c r="AD31" s="93">
        <v>62.738</v>
      </c>
      <c r="AE31" s="93">
        <v>270.12</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7.7652900000000002</v>
      </c>
      <c r="J32" s="21">
        <f t="shared" si="1"/>
        <v>8.8631587720612762E-2</v>
      </c>
      <c r="K32" s="21">
        <f t="shared" si="2"/>
        <v>5.6776085084559065E-2</v>
      </c>
      <c r="L32" s="21">
        <f t="shared" si="3"/>
        <v>4.372012109423401E-2</v>
      </c>
      <c r="M32" s="21">
        <f t="shared" si="4"/>
        <v>3.1855502636053697E-2</v>
      </c>
      <c r="N32" s="18">
        <f t="shared" si="5"/>
        <v>10611904</v>
      </c>
      <c r="O32" s="21">
        <v>16</v>
      </c>
      <c r="P32" s="94">
        <v>184640807</v>
      </c>
      <c r="Q32" s="94">
        <v>2885012.609375</v>
      </c>
      <c r="R32" s="94">
        <v>44657.078125</v>
      </c>
      <c r="S32" s="95">
        <v>16565952</v>
      </c>
      <c r="T32" s="95">
        <v>8171640</v>
      </c>
      <c r="U32" s="95">
        <v>2440264</v>
      </c>
      <c r="V32" s="95">
        <v>5954048</v>
      </c>
      <c r="W32" s="96">
        <v>76.443582812499997</v>
      </c>
      <c r="X32" s="96">
        <v>79.119150000000005</v>
      </c>
      <c r="Y32" s="96">
        <v>36.887945312500001</v>
      </c>
      <c r="Z32" s="96">
        <v>43.1831265625</v>
      </c>
      <c r="AA32" s="96">
        <v>45.813326562500002</v>
      </c>
      <c r="AB32" s="97">
        <v>6432.63</v>
      </c>
      <c r="AC32" s="97">
        <v>58197.8</v>
      </c>
      <c r="AD32" s="97">
        <v>60.994999999999997</v>
      </c>
      <c r="AE32" s="97">
        <v>265.06</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12.811882499999999</v>
      </c>
      <c r="J33" s="12">
        <f t="shared" si="1"/>
        <v>0.14623246365105919</v>
      </c>
      <c r="K33" s="12">
        <f t="shared" si="2"/>
        <v>7.880181003069045E-2</v>
      </c>
      <c r="L33" s="12">
        <f t="shared" si="3"/>
        <v>6.5745846040365388E-2</v>
      </c>
      <c r="M33" s="12">
        <f t="shared" si="4"/>
        <v>6.743065362036875E-2</v>
      </c>
      <c r="N33" s="54">
        <f t="shared" si="5"/>
        <v>14728688</v>
      </c>
      <c r="O33" s="12">
        <v>16</v>
      </c>
      <c r="P33" s="90">
        <v>189214522</v>
      </c>
      <c r="Q33" s="90">
        <v>2956476.90625</v>
      </c>
      <c r="R33" s="90">
        <v>49885.15625</v>
      </c>
      <c r="S33" s="91">
        <v>27332016</v>
      </c>
      <c r="T33" s="91">
        <v>12288424</v>
      </c>
      <c r="U33" s="91">
        <v>2440264</v>
      </c>
      <c r="V33" s="91">
        <v>12603328</v>
      </c>
      <c r="W33" s="92">
        <v>77.554853124999994</v>
      </c>
      <c r="X33" s="92">
        <v>80.274532812499999</v>
      </c>
      <c r="Y33" s="92">
        <v>38.707071874999997</v>
      </c>
      <c r="Z33" s="92">
        <v>43.754846874999998</v>
      </c>
      <c r="AA33" s="92">
        <v>47.274164062499999</v>
      </c>
      <c r="AB33" s="93">
        <v>6375.35</v>
      </c>
      <c r="AC33" s="93">
        <v>61051.5</v>
      </c>
      <c r="AD33" s="93">
        <v>62.085000000000001</v>
      </c>
      <c r="AE33" s="93">
        <v>272.613</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186907991</v>
      </c>
      <c r="E34" s="38">
        <v>11</v>
      </c>
      <c r="F34" s="38">
        <v>64</v>
      </c>
      <c r="G34" s="38">
        <v>30</v>
      </c>
      <c r="I34" s="39">
        <f t="shared" si="0"/>
        <v>25.79369625</v>
      </c>
      <c r="J34" s="40">
        <f t="shared" si="1"/>
        <v>0.29440449124510681</v>
      </c>
      <c r="K34" s="40">
        <f t="shared" si="2"/>
        <v>0.13040131601435917</v>
      </c>
      <c r="L34" s="40">
        <f t="shared" si="3"/>
        <v>0.10363785890780881</v>
      </c>
      <c r="M34" s="40">
        <f t="shared" si="4"/>
        <v>0.16400317523074762</v>
      </c>
      <c r="N34" s="37">
        <f t="shared" si="5"/>
        <v>24373048</v>
      </c>
      <c r="O34" s="40">
        <v>16</v>
      </c>
      <c r="P34" s="102">
        <v>185473998</v>
      </c>
      <c r="Q34" s="102">
        <v>2898031.21875</v>
      </c>
      <c r="R34" s="102">
        <v>21040.359375</v>
      </c>
      <c r="S34" s="103">
        <v>55026552</v>
      </c>
      <c r="T34" s="103">
        <v>19370744</v>
      </c>
      <c r="U34" s="103">
        <v>5002304</v>
      </c>
      <c r="V34" s="103">
        <v>30653504</v>
      </c>
      <c r="W34" s="104">
        <v>78.483640625000007</v>
      </c>
      <c r="X34" s="104">
        <v>81.908514062500004</v>
      </c>
      <c r="Y34" s="104">
        <v>40.536990625000001</v>
      </c>
      <c r="Z34" s="104">
        <v>44.458462500000003</v>
      </c>
      <c r="AA34" s="104">
        <v>48.761865624999999</v>
      </c>
      <c r="AB34" s="105">
        <v>6372.28</v>
      </c>
      <c r="AC34" s="105">
        <v>65473.9</v>
      </c>
      <c r="AD34" s="105">
        <v>59.357999999999997</v>
      </c>
      <c r="AE34" s="105">
        <v>274.55399999999997</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4.6048012500000004</v>
      </c>
      <c r="J35" s="12">
        <f t="shared" si="1"/>
        <v>5.9167932622355125E-2</v>
      </c>
      <c r="K35" s="12">
        <f t="shared" si="2"/>
        <v>4.4905966207605119E-2</v>
      </c>
      <c r="L35" s="12">
        <f t="shared" si="3"/>
        <v>2.8690217315296019E-2</v>
      </c>
      <c r="M35" s="12">
        <f t="shared" si="4"/>
        <v>1.4261966414750008E-2</v>
      </c>
      <c r="N35" s="54">
        <f t="shared" si="5"/>
        <v>7455680</v>
      </c>
      <c r="O35" s="12">
        <v>16</v>
      </c>
      <c r="P35" s="90">
        <v>149613278</v>
      </c>
      <c r="Q35" s="90">
        <v>2337707.46875</v>
      </c>
      <c r="R35" s="90">
        <v>31836.328125</v>
      </c>
      <c r="S35" s="91">
        <v>9823576</v>
      </c>
      <c r="T35" s="91">
        <v>4763400</v>
      </c>
      <c r="U35" s="91">
        <v>2692280</v>
      </c>
      <c r="V35" s="91">
        <v>2367896</v>
      </c>
      <c r="W35" s="92">
        <v>73.201135937499998</v>
      </c>
      <c r="X35" s="92">
        <v>75.428648437500001</v>
      </c>
      <c r="Y35" s="92">
        <v>31.857690625</v>
      </c>
      <c r="Z35" s="92">
        <v>42.104685937500001</v>
      </c>
      <c r="AA35" s="92">
        <v>43.359421875000002</v>
      </c>
      <c r="AB35" s="93">
        <v>5700.39</v>
      </c>
      <c r="AC35" s="93">
        <v>55597.9</v>
      </c>
      <c r="AD35" s="93">
        <v>58.122999999999998</v>
      </c>
      <c r="AE35" s="93">
        <v>271.68299999999999</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6.1643662499999996</v>
      </c>
      <c r="J36" s="21">
        <f t="shared" si="1"/>
        <v>7.920706826152811E-2</v>
      </c>
      <c r="K36" s="21">
        <f t="shared" si="2"/>
        <v>5.5240997524295767E-2</v>
      </c>
      <c r="L36" s="21">
        <f t="shared" si="3"/>
        <v>3.9025248631986663E-2</v>
      </c>
      <c r="M36" s="21">
        <f t="shared" si="4"/>
        <v>2.3966070737232337E-2</v>
      </c>
      <c r="N36" s="18">
        <f t="shared" si="5"/>
        <v>9171592</v>
      </c>
      <c r="O36" s="21">
        <v>16</v>
      </c>
      <c r="P36" s="94">
        <v>159901191</v>
      </c>
      <c r="Q36" s="94">
        <v>2498456.109375</v>
      </c>
      <c r="R36" s="94">
        <v>40289.96875</v>
      </c>
      <c r="S36" s="95">
        <v>13150648</v>
      </c>
      <c r="T36" s="95">
        <v>6479312</v>
      </c>
      <c r="U36" s="95">
        <v>2692280</v>
      </c>
      <c r="V36" s="95">
        <v>3979056</v>
      </c>
      <c r="W36" s="96">
        <v>74.942665625000004</v>
      </c>
      <c r="X36" s="96">
        <v>77.380543750000001</v>
      </c>
      <c r="Y36" s="96">
        <v>34.085064062500003</v>
      </c>
      <c r="Z36" s="96">
        <v>42.90930625</v>
      </c>
      <c r="AA36" s="96">
        <v>44.879321875000002</v>
      </c>
      <c r="AB36" s="97">
        <v>5689.55</v>
      </c>
      <c r="AC36" s="97">
        <v>58447.8</v>
      </c>
      <c r="AD36" s="97">
        <v>57.881999999999998</v>
      </c>
      <c r="AE36" s="97">
        <v>271.01499999999999</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8.8189349999999997</v>
      </c>
      <c r="J37" s="12">
        <f t="shared" si="1"/>
        <v>0.11331610715683536</v>
      </c>
      <c r="K37" s="12">
        <f t="shared" si="2"/>
        <v>7.0241197670393385E-2</v>
      </c>
      <c r="L37" s="12">
        <f t="shared" si="3"/>
        <v>5.4025448778084281E-2</v>
      </c>
      <c r="M37" s="12">
        <f t="shared" si="4"/>
        <v>4.3074909486441978E-2</v>
      </c>
      <c r="N37" s="54">
        <f t="shared" si="5"/>
        <v>11662056</v>
      </c>
      <c r="O37" s="12">
        <v>16</v>
      </c>
      <c r="P37" s="90">
        <v>163389765</v>
      </c>
      <c r="Q37" s="90">
        <v>2552965.078125</v>
      </c>
      <c r="R37" s="90">
        <v>43966.28125</v>
      </c>
      <c r="S37" s="91">
        <v>18813728</v>
      </c>
      <c r="T37" s="91">
        <v>8969776</v>
      </c>
      <c r="U37" s="91">
        <v>2692280</v>
      </c>
      <c r="V37" s="91">
        <v>7151672</v>
      </c>
      <c r="W37" s="92">
        <v>76.244087500000006</v>
      </c>
      <c r="X37" s="92">
        <v>78.967284375000006</v>
      </c>
      <c r="Y37" s="92">
        <v>36.180357812499999</v>
      </c>
      <c r="Z37" s="92">
        <v>43.476976562499999</v>
      </c>
      <c r="AA37" s="92">
        <v>46.033351562500002</v>
      </c>
      <c r="AB37" s="93">
        <v>4515.88</v>
      </c>
      <c r="AC37" s="93">
        <v>46599.6</v>
      </c>
      <c r="AD37" s="93">
        <v>44.936999999999998</v>
      </c>
      <c r="AE37" s="93">
        <v>208.251</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14.30102625</v>
      </c>
      <c r="J38" s="21">
        <f t="shared" si="1"/>
        <v>0.18375649928225068</v>
      </c>
      <c r="K38" s="21">
        <f t="shared" si="2"/>
        <v>9.5540098069058152E-2</v>
      </c>
      <c r="L38" s="21">
        <f t="shared" si="3"/>
        <v>7.9324349176749048E-2</v>
      </c>
      <c r="M38" s="21">
        <f t="shared" si="4"/>
        <v>8.8216401213192533E-2</v>
      </c>
      <c r="N38" s="18">
        <f t="shared" si="5"/>
        <v>15862400</v>
      </c>
      <c r="O38" s="21">
        <v>16</v>
      </c>
      <c r="P38" s="94">
        <v>167533646</v>
      </c>
      <c r="Q38" s="94">
        <v>2617713.21875</v>
      </c>
      <c r="R38" s="94">
        <v>49170.921875</v>
      </c>
      <c r="S38" s="95">
        <v>30508856</v>
      </c>
      <c r="T38" s="95">
        <v>13170120</v>
      </c>
      <c r="U38" s="95">
        <v>2692280</v>
      </c>
      <c r="V38" s="95">
        <v>14646456</v>
      </c>
      <c r="W38" s="96">
        <v>77.413173437500006</v>
      </c>
      <c r="X38" s="96">
        <v>80.162648437499996</v>
      </c>
      <c r="Y38" s="96">
        <v>38.161237499999999</v>
      </c>
      <c r="Z38" s="96">
        <v>44.140392187499998</v>
      </c>
      <c r="AA38" s="96">
        <v>47.280490624999999</v>
      </c>
      <c r="AB38" s="97">
        <v>4573.78</v>
      </c>
      <c r="AC38" s="97">
        <v>49030.6</v>
      </c>
      <c r="AD38" s="97">
        <v>45.28</v>
      </c>
      <c r="AE38" s="97">
        <v>210.21600000000001</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166028718</v>
      </c>
      <c r="E39" s="28">
        <v>11</v>
      </c>
      <c r="F39" s="28">
        <v>64</v>
      </c>
      <c r="G39" s="28">
        <v>30</v>
      </c>
      <c r="I39" s="29">
        <f t="shared" si="0"/>
        <v>28.26135</v>
      </c>
      <c r="J39" s="30">
        <f t="shared" si="1"/>
        <v>0.36313524989092549</v>
      </c>
      <c r="K39" s="30">
        <f t="shared" si="2"/>
        <v>0.15490206941187126</v>
      </c>
      <c r="L39" s="30">
        <f t="shared" si="3"/>
        <v>0.12233228229829493</v>
      </c>
      <c r="M39" s="30">
        <f t="shared" si="4"/>
        <v>0.20823318047905423</v>
      </c>
      <c r="N39" s="27">
        <f t="shared" si="5"/>
        <v>25718192</v>
      </c>
      <c r="O39" s="30">
        <v>16</v>
      </c>
      <c r="P39" s="98">
        <v>163847524</v>
      </c>
      <c r="Q39" s="98">
        <v>2560117.5625</v>
      </c>
      <c r="R39" s="98">
        <v>19932.265625</v>
      </c>
      <c r="S39" s="99">
        <v>60290880</v>
      </c>
      <c r="T39" s="99">
        <v>20310672</v>
      </c>
      <c r="U39" s="99">
        <v>5407520</v>
      </c>
      <c r="V39" s="99">
        <v>34572688</v>
      </c>
      <c r="W39" s="100">
        <v>78.301231250000001</v>
      </c>
      <c r="X39" s="100">
        <v>81.886656250000001</v>
      </c>
      <c r="Y39" s="100">
        <v>40.245284374999997</v>
      </c>
      <c r="Z39" s="100">
        <v>45.050317187499999</v>
      </c>
      <c r="AA39" s="100">
        <v>48.674754687499998</v>
      </c>
      <c r="AB39" s="101">
        <v>4617.9399999999996</v>
      </c>
      <c r="AC39" s="101">
        <v>52857.2</v>
      </c>
      <c r="AD39" s="101">
        <v>45.1</v>
      </c>
      <c r="AE39" s="101">
        <v>223.93100000000001</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0.17993816858552389</v>
      </c>
      <c r="K40" s="48">
        <f>AVERAGE(K5:K24)</f>
        <v>9.7553857680302794E-2</v>
      </c>
      <c r="L40" s="48">
        <f>AVERAGE(L5:L24)</f>
        <v>7.139171239974243E-2</v>
      </c>
      <c r="M40" s="48">
        <f>AVERAGE(M5:M24)</f>
        <v>8.2384310905221039E-2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0.37954486765518558</v>
      </c>
      <c r="K41" s="48">
        <f>AVERAGE(K25:K29)</f>
        <v>0.11163370687744252</v>
      </c>
      <c r="L41" s="48">
        <f>AVERAGE(L25:L29)</f>
        <v>8.5102262421325597E-2</v>
      </c>
      <c r="M41" s="48">
        <f>AVERAGE(M25:M29)</f>
        <v>0.26791116077774307</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0.14355150684214937</v>
      </c>
      <c r="K42" s="48">
        <f>AVERAGE(K30:K39)</f>
        <v>7.6717935148868308E-2</v>
      </c>
      <c r="L42" s="48">
        <f>AVERAGE(L30:L39)</f>
        <v>5.907592557380198E-2</v>
      </c>
      <c r="M42" s="48">
        <f>AVERAGE(M30:M39)</f>
        <v>6.6833571693281052E-2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0.19805722224022571</v>
      </c>
      <c r="K43" s="48">
        <f>AVERAGE(K5:K39)</f>
        <v>9.3612143985198598E-2</v>
      </c>
      <c r="L43" s="48">
        <f>AVERAGE(L5:L39)</f>
        <v>6.9831566166842746E-2</v>
      </c>
      <c r="M43" s="48">
        <f>AVERAGE(M5:M39)</f>
        <v>0.10444507825502705</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752767.10999999987</v>
      </c>
      <c r="AC44" s="49">
        <f>SUM(AC5:AC24,AC25:AC29,AC30:AC39)</f>
        <v>1798476.1000000003</v>
      </c>
      <c r="AD44" s="49">
        <f>SUM(AD5:AD24,AD25:AD29,AD30:AD39)</f>
        <v>2284.5549999999998</v>
      </c>
      <c r="AE44" s="49">
        <f>SUM(AE5:AE24,AE25:AE29,AE30:AE39)</f>
        <v>8282.9030000000002</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16908.740556533012</v>
      </c>
      <c r="AC46" s="49">
        <f>GEOMEAN(AC5:AC24,AC25:AC29,AC30:AC39)</f>
        <v>50553.947618048485</v>
      </c>
      <c r="AD46" s="49">
        <f>GEOMEAN(AD5:AD24,AD25:AD29,AD30:AD39)</f>
        <v>64.484651209406579</v>
      </c>
      <c r="AE46" s="49">
        <f>GEOMEAN(AE5:AE24,AE25:AE29,AE30:AE39)</f>
        <v>235.29868785838815</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Ricard Julien</dc:creator>
  <cp:lastModifiedBy>Julien Ricard</cp:lastModifiedBy>
  <dcterms:created xsi:type="dcterms:W3CDTF">2019-04-23T13:57:55Z</dcterms:created>
  <dcterms:modified xsi:type="dcterms:W3CDTF">2021-07-09T15:47:40Z</dcterms:modified>
</cp:coreProperties>
</file>