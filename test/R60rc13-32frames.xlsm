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/Users/jkim/_RDoc/VPCCv6.0rc/"/>
    </mc:Choice>
  </mc:AlternateContent>
  <xr:revisionPtr revIDLastSave="0" documentId="13_ncr:1_{07E5C4F6-474D-794C-B493-913447DB49A9}" xr6:coauthVersionLast="36" xr6:coauthVersionMax="36" xr10:uidLastSave="{00000000-0000-0000-0000-000000000000}"/>
  <bookViews>
    <workbookView xWindow="0" yWindow="460" windowWidth="28800" windowHeight="16000" activeTab="4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  <sheet name="Results" sheetId="10" r:id="rId8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81029"/>
</workbook>
</file>

<file path=xl/calcChain.xml><?xml version="1.0" encoding="utf-8"?>
<calcChain xmlns="http://schemas.openxmlformats.org/spreadsheetml/2006/main">
  <c r="AH29" i="3" l="1"/>
  <c r="AH30" i="3"/>
  <c r="BF39" i="7"/>
  <c r="BE39" i="7"/>
  <c r="BF38" i="7"/>
  <c r="BE38" i="7"/>
  <c r="BF37" i="7"/>
  <c r="BE37" i="7"/>
  <c r="BF36" i="7"/>
  <c r="BE36" i="7"/>
  <c r="BS35" i="7"/>
  <c r="BR35" i="7"/>
  <c r="BQ35" i="7"/>
  <c r="BP35" i="7"/>
  <c r="BO35" i="7"/>
  <c r="BM35" i="7"/>
  <c r="BL35" i="7"/>
  <c r="BK35" i="7"/>
  <c r="BJ35" i="7"/>
  <c r="BI35" i="7"/>
  <c r="BG35" i="7" a="1"/>
  <c r="BG35" i="7" s="1"/>
  <c r="BF35" i="7"/>
  <c r="BE35" i="7"/>
  <c r="BF34" i="7"/>
  <c r="BE34" i="7"/>
  <c r="BF33" i="7"/>
  <c r="BE33" i="7"/>
  <c r="BF32" i="7"/>
  <c r="BE32" i="7"/>
  <c r="BF31" i="7"/>
  <c r="BE31" i="7"/>
  <c r="BS30" i="7"/>
  <c r="BR30" i="7"/>
  <c r="BQ30" i="7"/>
  <c r="BP30" i="7"/>
  <c r="BO30" i="7"/>
  <c r="BM30" i="7"/>
  <c r="BL30" i="7"/>
  <c r="BK30" i="7"/>
  <c r="BJ30" i="7"/>
  <c r="BI30" i="7"/>
  <c r="BG30" i="7" a="1"/>
  <c r="BG30" i="7" s="1"/>
  <c r="BF30" i="7"/>
  <c r="BE30" i="7"/>
  <c r="BE30" i="3"/>
  <c r="BE26" i="3"/>
  <c r="BE39" i="3"/>
  <c r="BE38" i="3"/>
  <c r="BE37" i="3"/>
  <c r="BE36" i="3"/>
  <c r="BS35" i="3"/>
  <c r="BR35" i="3"/>
  <c r="BQ35" i="3"/>
  <c r="BP35" i="3"/>
  <c r="BO35" i="3"/>
  <c r="BM35" i="3"/>
  <c r="BL35" i="3"/>
  <c r="BK35" i="3"/>
  <c r="BE35" i="3"/>
  <c r="BE34" i="3"/>
  <c r="BE33" i="3"/>
  <c r="BE32" i="3"/>
  <c r="BE31" i="3"/>
  <c r="BS30" i="3"/>
  <c r="BR30" i="3"/>
  <c r="BQ30" i="3"/>
  <c r="BP30" i="3"/>
  <c r="BO30" i="3"/>
  <c r="BM30" i="3"/>
  <c r="BL30" i="3"/>
  <c r="BK30" i="3"/>
  <c r="AL39" i="3"/>
  <c r="AK39" i="3"/>
  <c r="AJ39" i="3"/>
  <c r="AH39" i="3"/>
  <c r="AG39" i="3"/>
  <c r="AL38" i="3"/>
  <c r="AI38" i="3" s="1"/>
  <c r="AK38" i="3"/>
  <c r="AJ38" i="3"/>
  <c r="AH38" i="3"/>
  <c r="AG38" i="3"/>
  <c r="AL37" i="3"/>
  <c r="AK37" i="3"/>
  <c r="AJ37" i="3"/>
  <c r="AH37" i="3"/>
  <c r="AG37" i="3"/>
  <c r="AL36" i="3"/>
  <c r="AI36" i="3" s="1"/>
  <c r="AK36" i="3"/>
  <c r="AJ36" i="3"/>
  <c r="AH36" i="3"/>
  <c r="AG36" i="3"/>
  <c r="AL35" i="3"/>
  <c r="BI35" i="3" s="1"/>
  <c r="AK35" i="3"/>
  <c r="AJ35" i="3"/>
  <c r="AH35" i="3"/>
  <c r="AG35" i="3"/>
  <c r="AL34" i="3"/>
  <c r="AI34" i="3" s="1"/>
  <c r="AK34" i="3"/>
  <c r="AJ34" i="3"/>
  <c r="AH34" i="3"/>
  <c r="AG34" i="3"/>
  <c r="AL33" i="3"/>
  <c r="AI33" i="3" s="1"/>
  <c r="AK33" i="3"/>
  <c r="AJ33" i="3"/>
  <c r="AH33" i="3"/>
  <c r="AG33" i="3"/>
  <c r="AL32" i="3"/>
  <c r="BF32" i="3" s="1"/>
  <c r="AK32" i="3"/>
  <c r="AJ32" i="3"/>
  <c r="AH32" i="3"/>
  <c r="AG32" i="3"/>
  <c r="AL31" i="3"/>
  <c r="AI31" i="3" s="1"/>
  <c r="AK31" i="3"/>
  <c r="AJ31" i="3"/>
  <c r="AH31" i="3"/>
  <c r="AG31" i="3"/>
  <c r="AL30" i="3"/>
  <c r="BF30" i="3" s="1"/>
  <c r="AK30" i="3"/>
  <c r="AJ30" i="3"/>
  <c r="AG30" i="3"/>
  <c r="AL39" i="7"/>
  <c r="AK39" i="7"/>
  <c r="AJ39" i="7"/>
  <c r="AI39" i="7"/>
  <c r="AH39" i="7"/>
  <c r="AG39" i="7"/>
  <c r="AL38" i="7"/>
  <c r="AI38" i="7" s="1"/>
  <c r="AK38" i="7"/>
  <c r="AJ38" i="7"/>
  <c r="AH38" i="7"/>
  <c r="AG38" i="7"/>
  <c r="AL37" i="7"/>
  <c r="AK37" i="7"/>
  <c r="AJ37" i="7"/>
  <c r="AI37" i="7"/>
  <c r="AH37" i="7"/>
  <c r="AG37" i="7"/>
  <c r="AL36" i="7"/>
  <c r="AI36" i="7" s="1"/>
  <c r="AK36" i="7"/>
  <c r="AJ36" i="7"/>
  <c r="AH36" i="7"/>
  <c r="AG36" i="7"/>
  <c r="AL35" i="7"/>
  <c r="AK35" i="7"/>
  <c r="AJ35" i="7"/>
  <c r="AI35" i="7"/>
  <c r="AH35" i="7"/>
  <c r="AG35" i="7"/>
  <c r="AL34" i="7"/>
  <c r="AK34" i="7"/>
  <c r="AJ34" i="7"/>
  <c r="AI34" i="7"/>
  <c r="AH34" i="7"/>
  <c r="AG34" i="7"/>
  <c r="AL33" i="7"/>
  <c r="AI33" i="7" s="1"/>
  <c r="AK33" i="7"/>
  <c r="AJ33" i="7"/>
  <c r="AH33" i="7"/>
  <c r="AG33" i="7"/>
  <c r="AL32" i="7"/>
  <c r="AK32" i="7"/>
  <c r="AJ32" i="7"/>
  <c r="AI32" i="7"/>
  <c r="AH32" i="7"/>
  <c r="AG32" i="7"/>
  <c r="AL31" i="7"/>
  <c r="AI31" i="7" s="1"/>
  <c r="AK31" i="7"/>
  <c r="AJ31" i="7"/>
  <c r="AH31" i="7"/>
  <c r="AG31" i="7"/>
  <c r="AL30" i="7"/>
  <c r="AK30" i="7"/>
  <c r="AJ30" i="7"/>
  <c r="AI30" i="7"/>
  <c r="AH30" i="7"/>
  <c r="AG30" i="7"/>
  <c r="K31" i="7"/>
  <c r="N39" i="7"/>
  <c r="M39" i="7"/>
  <c r="L39" i="7"/>
  <c r="K39" i="7"/>
  <c r="J39" i="7"/>
  <c r="I39" i="7"/>
  <c r="N38" i="7"/>
  <c r="K38" i="7" s="1"/>
  <c r="M38" i="7"/>
  <c r="L38" i="7"/>
  <c r="J38" i="7"/>
  <c r="I38" i="7"/>
  <c r="N37" i="7"/>
  <c r="M37" i="7"/>
  <c r="L37" i="7"/>
  <c r="K37" i="7"/>
  <c r="J37" i="7"/>
  <c r="I37" i="7"/>
  <c r="N36" i="7"/>
  <c r="K36" i="7" s="1"/>
  <c r="M36" i="7"/>
  <c r="L36" i="7"/>
  <c r="J36" i="7"/>
  <c r="I36" i="7"/>
  <c r="N35" i="7"/>
  <c r="M35" i="7"/>
  <c r="L35" i="7"/>
  <c r="K35" i="7"/>
  <c r="J35" i="7"/>
  <c r="I35" i="7"/>
  <c r="N34" i="7"/>
  <c r="K34" i="7" s="1"/>
  <c r="M34" i="7"/>
  <c r="L34" i="7"/>
  <c r="J34" i="7"/>
  <c r="I34" i="7"/>
  <c r="N33" i="7"/>
  <c r="M33" i="7"/>
  <c r="L33" i="7"/>
  <c r="K33" i="7"/>
  <c r="J33" i="7"/>
  <c r="I33" i="7"/>
  <c r="N32" i="7"/>
  <c r="M32" i="7"/>
  <c r="L32" i="7"/>
  <c r="K32" i="7"/>
  <c r="J32" i="7"/>
  <c r="I32" i="7"/>
  <c r="N31" i="7"/>
  <c r="M31" i="7"/>
  <c r="L31" i="7"/>
  <c r="J31" i="7"/>
  <c r="I31" i="7"/>
  <c r="N30" i="7"/>
  <c r="M30" i="7"/>
  <c r="L30" i="7"/>
  <c r="K30" i="7"/>
  <c r="J30" i="7"/>
  <c r="I30" i="7"/>
  <c r="N39" i="3"/>
  <c r="K39" i="3" s="1"/>
  <c r="M39" i="3"/>
  <c r="L39" i="3"/>
  <c r="J39" i="3"/>
  <c r="I39" i="3"/>
  <c r="N38" i="3"/>
  <c r="K38" i="3" s="1"/>
  <c r="M38" i="3"/>
  <c r="L38" i="3"/>
  <c r="J38" i="3"/>
  <c r="I38" i="3"/>
  <c r="N37" i="3"/>
  <c r="K37" i="3" s="1"/>
  <c r="M37" i="3"/>
  <c r="L37" i="3"/>
  <c r="J37" i="3"/>
  <c r="I37" i="3"/>
  <c r="N36" i="3"/>
  <c r="K36" i="3" s="1"/>
  <c r="M36" i="3"/>
  <c r="L36" i="3"/>
  <c r="J36" i="3"/>
  <c r="I36" i="3"/>
  <c r="N35" i="3"/>
  <c r="BJ35" i="3" s="1"/>
  <c r="M35" i="3"/>
  <c r="L35" i="3"/>
  <c r="K35" i="3"/>
  <c r="J35" i="3"/>
  <c r="I35" i="3"/>
  <c r="N34" i="3"/>
  <c r="K34" i="3" s="1"/>
  <c r="M34" i="3"/>
  <c r="L34" i="3"/>
  <c r="J34" i="3"/>
  <c r="I34" i="3"/>
  <c r="N33" i="3"/>
  <c r="K33" i="3" s="1"/>
  <c r="M33" i="3"/>
  <c r="L33" i="3"/>
  <c r="J33" i="3"/>
  <c r="I33" i="3"/>
  <c r="N32" i="3"/>
  <c r="K32" i="3" s="1"/>
  <c r="M32" i="3"/>
  <c r="L32" i="3"/>
  <c r="J32" i="3"/>
  <c r="I32" i="3"/>
  <c r="N31" i="3"/>
  <c r="K31" i="3" s="1"/>
  <c r="M31" i="3"/>
  <c r="L31" i="3"/>
  <c r="J31" i="3"/>
  <c r="I31" i="3"/>
  <c r="N30" i="3"/>
  <c r="M30" i="3"/>
  <c r="L30" i="3"/>
  <c r="K30" i="3"/>
  <c r="J30" i="3"/>
  <c r="I30" i="3"/>
  <c r="I25" i="3"/>
  <c r="BF31" i="3" l="1"/>
  <c r="BF39" i="3"/>
  <c r="BF35" i="3"/>
  <c r="AI32" i="3"/>
  <c r="AI35" i="3"/>
  <c r="BG30" i="3" a="1"/>
  <c r="BG30" i="3" s="1"/>
  <c r="BG35" i="3" a="1"/>
  <c r="BG35" i="3" s="1"/>
  <c r="BF37" i="3"/>
  <c r="BF38" i="3"/>
  <c r="AI39" i="3"/>
  <c r="BF36" i="3"/>
  <c r="AI37" i="3"/>
  <c r="BF33" i="3"/>
  <c r="AI30" i="3"/>
  <c r="BI30" i="3"/>
  <c r="BJ30" i="3"/>
  <c r="BF34" i="3"/>
  <c r="BC45" i="7"/>
  <c r="BB45" i="7"/>
  <c r="BA45" i="7"/>
  <c r="AZ45" i="7"/>
  <c r="AE45" i="7"/>
  <c r="AD45" i="7"/>
  <c r="AC45" i="7"/>
  <c r="AB45" i="7"/>
  <c r="BC43" i="7"/>
  <c r="BB43" i="7"/>
  <c r="BA43" i="7"/>
  <c r="AZ43" i="7"/>
  <c r="AE43" i="7"/>
  <c r="AD43" i="7"/>
  <c r="AC43" i="7"/>
  <c r="AB43" i="7"/>
  <c r="BE29" i="7"/>
  <c r="AL29" i="7"/>
  <c r="AI29" i="7" s="1"/>
  <c r="AK29" i="7"/>
  <c r="AJ29" i="7"/>
  <c r="AH29" i="7"/>
  <c r="AG29" i="7"/>
  <c r="N29" i="7"/>
  <c r="K29" i="7" s="1"/>
  <c r="M29" i="7"/>
  <c r="L29" i="7"/>
  <c r="J29" i="7"/>
  <c r="I29" i="7"/>
  <c r="BE28" i="7"/>
  <c r="AL28" i="7"/>
  <c r="AI28" i="7" s="1"/>
  <c r="AK28" i="7"/>
  <c r="AJ28" i="7"/>
  <c r="AH28" i="7"/>
  <c r="AG28" i="7"/>
  <c r="N28" i="7"/>
  <c r="K28" i="7" s="1"/>
  <c r="M28" i="7"/>
  <c r="L28" i="7"/>
  <c r="J28" i="7"/>
  <c r="I28" i="7"/>
  <c r="BE27" i="7"/>
  <c r="AL27" i="7"/>
  <c r="AI27" i="7" s="1"/>
  <c r="AK27" i="7"/>
  <c r="AJ27" i="7"/>
  <c r="AH27" i="7"/>
  <c r="AG27" i="7"/>
  <c r="N27" i="7"/>
  <c r="K27" i="7" s="1"/>
  <c r="M27" i="7"/>
  <c r="L27" i="7"/>
  <c r="J27" i="7"/>
  <c r="I27" i="7"/>
  <c r="BE26" i="7"/>
  <c r="AL26" i="7"/>
  <c r="AI26" i="7" s="1"/>
  <c r="AK26" i="7"/>
  <c r="AJ26" i="7"/>
  <c r="AH26" i="7"/>
  <c r="AG26" i="7"/>
  <c r="N26" i="7"/>
  <c r="M26" i="7"/>
  <c r="L26" i="7"/>
  <c r="J26" i="7"/>
  <c r="I26" i="7"/>
  <c r="BE25" i="7"/>
  <c r="AL25" i="7"/>
  <c r="AK25" i="7"/>
  <c r="AJ25" i="7"/>
  <c r="AH25" i="7"/>
  <c r="AG25" i="7"/>
  <c r="N25" i="7"/>
  <c r="K25" i="7" s="1"/>
  <c r="M25" i="7"/>
  <c r="L25" i="7"/>
  <c r="J25" i="7"/>
  <c r="I25" i="7"/>
  <c r="BE24" i="7"/>
  <c r="AL24" i="7"/>
  <c r="AI24" i="7" s="1"/>
  <c r="AK24" i="7"/>
  <c r="AJ24" i="7"/>
  <c r="AH24" i="7"/>
  <c r="AG24" i="7"/>
  <c r="N24" i="7"/>
  <c r="K24" i="7" s="1"/>
  <c r="M24" i="7"/>
  <c r="L24" i="7"/>
  <c r="J24" i="7"/>
  <c r="I24" i="7"/>
  <c r="BE23" i="7"/>
  <c r="AL23" i="7"/>
  <c r="AK23" i="7"/>
  <c r="AJ23" i="7"/>
  <c r="AH23" i="7"/>
  <c r="AG23" i="7"/>
  <c r="N23" i="7"/>
  <c r="K23" i="7" s="1"/>
  <c r="M23" i="7"/>
  <c r="L23" i="7"/>
  <c r="J23" i="7"/>
  <c r="I23" i="7"/>
  <c r="BE22" i="7"/>
  <c r="AL22" i="7"/>
  <c r="AI22" i="7" s="1"/>
  <c r="AK22" i="7"/>
  <c r="AJ22" i="7"/>
  <c r="AH22" i="7"/>
  <c r="AG22" i="7"/>
  <c r="N22" i="7"/>
  <c r="K22" i="7" s="1"/>
  <c r="M22" i="7"/>
  <c r="L22" i="7"/>
  <c r="J22" i="7"/>
  <c r="I22" i="7"/>
  <c r="BE21" i="7"/>
  <c r="AL21" i="7"/>
  <c r="AK21" i="7"/>
  <c r="AJ21" i="7"/>
  <c r="AH21" i="7"/>
  <c r="AG21" i="7"/>
  <c r="N21" i="7"/>
  <c r="K21" i="7" s="1"/>
  <c r="M21" i="7"/>
  <c r="L21" i="7"/>
  <c r="J21" i="7"/>
  <c r="I21" i="7"/>
  <c r="BE20" i="7"/>
  <c r="AL20" i="7"/>
  <c r="AK20" i="7"/>
  <c r="AJ20" i="7"/>
  <c r="AH20" i="7"/>
  <c r="AG20" i="7"/>
  <c r="N20" i="7"/>
  <c r="M20" i="7"/>
  <c r="L20" i="7"/>
  <c r="J20" i="7"/>
  <c r="I20" i="7"/>
  <c r="BE19" i="7"/>
  <c r="AL19" i="7"/>
  <c r="AK19" i="7"/>
  <c r="AJ19" i="7"/>
  <c r="AH19" i="7"/>
  <c r="AG19" i="7"/>
  <c r="N19" i="7"/>
  <c r="K19" i="7" s="1"/>
  <c r="M19" i="7"/>
  <c r="L19" i="7"/>
  <c r="J19" i="7"/>
  <c r="I19" i="7"/>
  <c r="BE18" i="7"/>
  <c r="AL18" i="7"/>
  <c r="AK18" i="7"/>
  <c r="AJ18" i="7"/>
  <c r="AH18" i="7"/>
  <c r="AG18" i="7"/>
  <c r="N18" i="7"/>
  <c r="K18" i="7" s="1"/>
  <c r="M18" i="7"/>
  <c r="L18" i="7"/>
  <c r="J18" i="7"/>
  <c r="I18" i="7"/>
  <c r="BE17" i="7"/>
  <c r="AL17" i="7"/>
  <c r="AI17" i="7" s="1"/>
  <c r="AK17" i="7"/>
  <c r="AJ17" i="7"/>
  <c r="AH17" i="7"/>
  <c r="AG17" i="7"/>
  <c r="N17" i="7"/>
  <c r="K17" i="7" s="1"/>
  <c r="M17" i="7"/>
  <c r="L17" i="7"/>
  <c r="J17" i="7"/>
  <c r="I17" i="7"/>
  <c r="BE16" i="7"/>
  <c r="AL16" i="7"/>
  <c r="AI16" i="7" s="1"/>
  <c r="AK16" i="7"/>
  <c r="AJ16" i="7"/>
  <c r="AH16" i="7"/>
  <c r="AG16" i="7"/>
  <c r="N16" i="7"/>
  <c r="K16" i="7" s="1"/>
  <c r="M16" i="7"/>
  <c r="L16" i="7"/>
  <c r="J16" i="7"/>
  <c r="I16" i="7"/>
  <c r="BE15" i="7"/>
  <c r="AL15" i="7"/>
  <c r="AI15" i="7" s="1"/>
  <c r="AK15" i="7"/>
  <c r="AJ15" i="7"/>
  <c r="AH15" i="7"/>
  <c r="AG15" i="7"/>
  <c r="N15" i="7"/>
  <c r="M15" i="7"/>
  <c r="L15" i="7"/>
  <c r="J15" i="7"/>
  <c r="I15" i="7"/>
  <c r="BE14" i="7"/>
  <c r="AL14" i="7"/>
  <c r="AK14" i="7"/>
  <c r="AJ14" i="7"/>
  <c r="AH14" i="7"/>
  <c r="AG14" i="7"/>
  <c r="N14" i="7"/>
  <c r="K14" i="7" s="1"/>
  <c r="M14" i="7"/>
  <c r="L14" i="7"/>
  <c r="J14" i="7"/>
  <c r="I14" i="7"/>
  <c r="BE13" i="7"/>
  <c r="AL13" i="7"/>
  <c r="AK13" i="7"/>
  <c r="AJ13" i="7"/>
  <c r="AH13" i="7"/>
  <c r="AG13" i="7"/>
  <c r="N13" i="7"/>
  <c r="K13" i="7" s="1"/>
  <c r="M13" i="7"/>
  <c r="L13" i="7"/>
  <c r="J13" i="7"/>
  <c r="I13" i="7"/>
  <c r="BE12" i="7"/>
  <c r="AL12" i="7"/>
  <c r="AI12" i="7" s="1"/>
  <c r="AK12" i="7"/>
  <c r="AJ12" i="7"/>
  <c r="AH12" i="7"/>
  <c r="AG12" i="7"/>
  <c r="N12" i="7"/>
  <c r="K12" i="7" s="1"/>
  <c r="M12" i="7"/>
  <c r="L12" i="7"/>
  <c r="J12" i="7"/>
  <c r="I12" i="7"/>
  <c r="BE11" i="7"/>
  <c r="AL11" i="7"/>
  <c r="AI11" i="7" s="1"/>
  <c r="AK11" i="7"/>
  <c r="AJ11" i="7"/>
  <c r="AH11" i="7"/>
  <c r="AG11" i="7"/>
  <c r="N11" i="7"/>
  <c r="K11" i="7" s="1"/>
  <c r="M11" i="7"/>
  <c r="L11" i="7"/>
  <c r="J11" i="7"/>
  <c r="I11" i="7"/>
  <c r="BE10" i="7"/>
  <c r="AL10" i="7"/>
  <c r="AI10" i="7" s="1"/>
  <c r="AK10" i="7"/>
  <c r="AJ10" i="7"/>
  <c r="AH10" i="7"/>
  <c r="AG10" i="7"/>
  <c r="N10" i="7"/>
  <c r="M10" i="7"/>
  <c r="L10" i="7"/>
  <c r="J10" i="7"/>
  <c r="I10" i="7"/>
  <c r="BE9" i="7"/>
  <c r="AL9" i="7"/>
  <c r="AK9" i="7"/>
  <c r="AJ9" i="7"/>
  <c r="AH9" i="7"/>
  <c r="AG9" i="7"/>
  <c r="N9" i="7"/>
  <c r="K9" i="7" s="1"/>
  <c r="M9" i="7"/>
  <c r="L9" i="7"/>
  <c r="J9" i="7"/>
  <c r="I9" i="7"/>
  <c r="BE8" i="7"/>
  <c r="AL8" i="7"/>
  <c r="AK8" i="7"/>
  <c r="AJ8" i="7"/>
  <c r="AH8" i="7"/>
  <c r="AG8" i="7"/>
  <c r="N8" i="7"/>
  <c r="K8" i="7" s="1"/>
  <c r="M8" i="7"/>
  <c r="L8" i="7"/>
  <c r="J8" i="7"/>
  <c r="I8" i="7"/>
  <c r="BE7" i="7"/>
  <c r="AL7" i="7"/>
  <c r="AI7" i="7" s="1"/>
  <c r="AK7" i="7"/>
  <c r="AJ7" i="7"/>
  <c r="AH7" i="7"/>
  <c r="AG7" i="7"/>
  <c r="N7" i="7"/>
  <c r="K7" i="7" s="1"/>
  <c r="M7" i="7"/>
  <c r="L7" i="7"/>
  <c r="J7" i="7"/>
  <c r="I7" i="7"/>
  <c r="BE6" i="7"/>
  <c r="AL6" i="7"/>
  <c r="AI6" i="7" s="1"/>
  <c r="AK6" i="7"/>
  <c r="AJ6" i="7"/>
  <c r="AH6" i="7"/>
  <c r="AG6" i="7"/>
  <c r="N6" i="7"/>
  <c r="K6" i="7" s="1"/>
  <c r="M6" i="7"/>
  <c r="L6" i="7"/>
  <c r="J6" i="7"/>
  <c r="I6" i="7"/>
  <c r="BE5" i="7"/>
  <c r="AL5" i="7"/>
  <c r="AI5" i="7" s="1"/>
  <c r="AK5" i="7"/>
  <c r="AJ5" i="7"/>
  <c r="AH5" i="7"/>
  <c r="AG5" i="7"/>
  <c r="N5" i="7"/>
  <c r="M5" i="7"/>
  <c r="L5" i="7"/>
  <c r="J5" i="7"/>
  <c r="I5" i="7"/>
  <c r="AZ17" i="6"/>
  <c r="AY17" i="6"/>
  <c r="AX17" i="6"/>
  <c r="AW17" i="6"/>
  <c r="AC17" i="6"/>
  <c r="AZ18" i="6" s="1"/>
  <c r="X6" i="10" s="1"/>
  <c r="AB17" i="6"/>
  <c r="AA17" i="6"/>
  <c r="Z17" i="6"/>
  <c r="AZ15" i="6"/>
  <c r="AY15" i="6"/>
  <c r="AY16" i="6" s="1"/>
  <c r="AX15" i="6"/>
  <c r="AW15" i="6"/>
  <c r="AC15" i="6"/>
  <c r="AB15" i="6"/>
  <c r="AA15" i="6"/>
  <c r="Z15" i="6"/>
  <c r="AK9" i="6"/>
  <c r="AH9" i="6" s="1"/>
  <c r="AH13" i="6" s="1"/>
  <c r="AJ9" i="6"/>
  <c r="AI9" i="6"/>
  <c r="AG9" i="6"/>
  <c r="AG13" i="6" s="1"/>
  <c r="AF9" i="6"/>
  <c r="AE9" i="6"/>
  <c r="N9" i="6"/>
  <c r="K9" i="6" s="1"/>
  <c r="K13" i="6" s="1"/>
  <c r="M9" i="6"/>
  <c r="M13" i="6" s="1"/>
  <c r="L9" i="6"/>
  <c r="L13" i="6" s="1"/>
  <c r="J9" i="6"/>
  <c r="J13" i="6" s="1"/>
  <c r="I9" i="6"/>
  <c r="H9" i="6"/>
  <c r="AK8" i="6"/>
  <c r="AH8" i="6" s="1"/>
  <c r="AJ8" i="6"/>
  <c r="AI8" i="6"/>
  <c r="AG8" i="6"/>
  <c r="AF8" i="6"/>
  <c r="AE8" i="6"/>
  <c r="N8" i="6"/>
  <c r="K8" i="6" s="1"/>
  <c r="M8" i="6"/>
  <c r="L8" i="6"/>
  <c r="J8" i="6"/>
  <c r="I8" i="6"/>
  <c r="H8" i="6"/>
  <c r="AK7" i="6"/>
  <c r="AH7" i="6" s="1"/>
  <c r="AJ7" i="6"/>
  <c r="AI7" i="6"/>
  <c r="AG7" i="6"/>
  <c r="AF7" i="6"/>
  <c r="AE7" i="6"/>
  <c r="N7" i="6"/>
  <c r="K7" i="6" s="1"/>
  <c r="M7" i="6"/>
  <c r="L7" i="6"/>
  <c r="J7" i="6"/>
  <c r="I7" i="6"/>
  <c r="H7" i="6"/>
  <c r="AK6" i="6"/>
  <c r="AH6" i="6" s="1"/>
  <c r="AJ6" i="6"/>
  <c r="AI6" i="6"/>
  <c r="AG6" i="6"/>
  <c r="AF6" i="6"/>
  <c r="AE6" i="6"/>
  <c r="N6" i="6"/>
  <c r="K6" i="6" s="1"/>
  <c r="M6" i="6"/>
  <c r="L6" i="6"/>
  <c r="J6" i="6"/>
  <c r="I6" i="6"/>
  <c r="H6" i="6"/>
  <c r="AK5" i="6"/>
  <c r="AH5" i="6" s="1"/>
  <c r="AJ5" i="6"/>
  <c r="AI5" i="6"/>
  <c r="AG5" i="6"/>
  <c r="AF5" i="6"/>
  <c r="AE5" i="6"/>
  <c r="N5" i="6"/>
  <c r="K5" i="6" s="1"/>
  <c r="K14" i="6" s="1"/>
  <c r="M5" i="6"/>
  <c r="L5" i="6"/>
  <c r="L14" i="6" s="1"/>
  <c r="J5" i="6"/>
  <c r="I5" i="6"/>
  <c r="H5" i="6"/>
  <c r="AZ17" i="5"/>
  <c r="AY17" i="5"/>
  <c r="AX17" i="5"/>
  <c r="AW17" i="5"/>
  <c r="AC17" i="5"/>
  <c r="AZ18" i="5" s="1"/>
  <c r="X5" i="10" s="1"/>
  <c r="AB17" i="5"/>
  <c r="AA17" i="5"/>
  <c r="Z17" i="5"/>
  <c r="AZ15" i="5"/>
  <c r="AY15" i="5"/>
  <c r="AX15" i="5"/>
  <c r="AW15" i="5"/>
  <c r="AC15" i="5"/>
  <c r="AB15" i="5"/>
  <c r="AA15" i="5"/>
  <c r="Z15" i="5"/>
  <c r="BF9" i="5" a="1"/>
  <c r="AK9" i="5"/>
  <c r="AJ9" i="5"/>
  <c r="AJ13" i="5" s="1"/>
  <c r="AI9" i="5"/>
  <c r="AI13" i="5" s="1"/>
  <c r="AG9" i="5"/>
  <c r="AG13" i="5" s="1"/>
  <c r="AF9" i="5"/>
  <c r="AE9" i="5"/>
  <c r="N9" i="5"/>
  <c r="K9" i="5" s="1"/>
  <c r="K13" i="5" s="1"/>
  <c r="M9" i="5"/>
  <c r="M13" i="5" s="1"/>
  <c r="L9" i="5"/>
  <c r="L13" i="5" s="1"/>
  <c r="J9" i="5"/>
  <c r="J13" i="5" s="1"/>
  <c r="I9" i="5"/>
  <c r="H9" i="5"/>
  <c r="BF8" i="5" a="1"/>
  <c r="AK8" i="5"/>
  <c r="AJ8" i="5"/>
  <c r="BD8" i="5" s="1"/>
  <c r="E8" i="10" s="1"/>
  <c r="AI8" i="5"/>
  <c r="AG8" i="5"/>
  <c r="AF8" i="5"/>
  <c r="AE8" i="5"/>
  <c r="N8" i="5"/>
  <c r="K8" i="5" s="1"/>
  <c r="M8" i="5"/>
  <c r="L8" i="5"/>
  <c r="J8" i="5"/>
  <c r="I8" i="5"/>
  <c r="H8" i="5"/>
  <c r="BF7" i="5" a="1"/>
  <c r="AK7" i="5"/>
  <c r="BE7" i="5" s="1"/>
  <c r="AJ7" i="5"/>
  <c r="AI7" i="5"/>
  <c r="AG7" i="5"/>
  <c r="AF7" i="5"/>
  <c r="AE7" i="5"/>
  <c r="N7" i="5"/>
  <c r="K7" i="5" s="1"/>
  <c r="M7" i="5"/>
  <c r="L7" i="5"/>
  <c r="J7" i="5"/>
  <c r="I7" i="5"/>
  <c r="H7" i="5"/>
  <c r="BF6" i="5" a="1"/>
  <c r="AK6" i="5"/>
  <c r="AJ6" i="5"/>
  <c r="AI6" i="5"/>
  <c r="AG6" i="5"/>
  <c r="AF6" i="5"/>
  <c r="AE6" i="5"/>
  <c r="N6" i="5"/>
  <c r="K6" i="5" s="1"/>
  <c r="M6" i="5"/>
  <c r="L6" i="5"/>
  <c r="J6" i="5"/>
  <c r="I6" i="5"/>
  <c r="H6" i="5"/>
  <c r="BF5" i="5" a="1"/>
  <c r="AK5" i="5"/>
  <c r="AJ5" i="5"/>
  <c r="AI5" i="5"/>
  <c r="AG5" i="5"/>
  <c r="AF5" i="5"/>
  <c r="AE5" i="5"/>
  <c r="N5" i="5"/>
  <c r="K5" i="5" s="1"/>
  <c r="M5" i="5"/>
  <c r="L5" i="5"/>
  <c r="J5" i="5"/>
  <c r="I5" i="5"/>
  <c r="H5" i="5"/>
  <c r="BC45" i="3"/>
  <c r="BB45" i="3"/>
  <c r="BA45" i="3"/>
  <c r="AZ45" i="3"/>
  <c r="AE45" i="3"/>
  <c r="AD45" i="3"/>
  <c r="AC45" i="3"/>
  <c r="AB45" i="3"/>
  <c r="BC43" i="3"/>
  <c r="BB43" i="3"/>
  <c r="BA43" i="3"/>
  <c r="AZ43" i="3"/>
  <c r="AE43" i="3"/>
  <c r="AD43" i="3"/>
  <c r="AC43" i="3"/>
  <c r="AB43" i="3"/>
  <c r="BE29" i="3"/>
  <c r="AL29" i="3"/>
  <c r="AI29" i="3" s="1"/>
  <c r="AK29" i="3"/>
  <c r="AJ29" i="3"/>
  <c r="AG29" i="3"/>
  <c r="N29" i="3"/>
  <c r="K29" i="3" s="1"/>
  <c r="M29" i="3"/>
  <c r="L29" i="3"/>
  <c r="J29" i="3"/>
  <c r="I29" i="3"/>
  <c r="BE28" i="3"/>
  <c r="AL28" i="3"/>
  <c r="AK28" i="3"/>
  <c r="AJ28" i="3"/>
  <c r="AH28" i="3"/>
  <c r="AG28" i="3"/>
  <c r="N28" i="3"/>
  <c r="K28" i="3" s="1"/>
  <c r="M28" i="3"/>
  <c r="L28" i="3"/>
  <c r="J28" i="3"/>
  <c r="I28" i="3"/>
  <c r="BE27" i="3"/>
  <c r="AL27" i="3"/>
  <c r="AI27" i="3" s="1"/>
  <c r="AK27" i="3"/>
  <c r="AJ27" i="3"/>
  <c r="AH27" i="3"/>
  <c r="AG27" i="3"/>
  <c r="N27" i="3"/>
  <c r="K27" i="3" s="1"/>
  <c r="M27" i="3"/>
  <c r="L27" i="3"/>
  <c r="J27" i="3"/>
  <c r="I27" i="3"/>
  <c r="AL26" i="3"/>
  <c r="AK26" i="3"/>
  <c r="AJ26" i="3"/>
  <c r="AH26" i="3"/>
  <c r="AG26" i="3"/>
  <c r="N26" i="3"/>
  <c r="K26" i="3" s="1"/>
  <c r="M26" i="3"/>
  <c r="L26" i="3"/>
  <c r="J26" i="3"/>
  <c r="I26" i="3"/>
  <c r="BE25" i="3"/>
  <c r="AL25" i="3"/>
  <c r="AI25" i="3" s="1"/>
  <c r="AK25" i="3"/>
  <c r="AJ25" i="3"/>
  <c r="AH25" i="3"/>
  <c r="AG25" i="3"/>
  <c r="N25" i="3"/>
  <c r="M25" i="3"/>
  <c r="L25" i="3"/>
  <c r="J25" i="3"/>
  <c r="BE24" i="3"/>
  <c r="AL24" i="3"/>
  <c r="AK24" i="3"/>
  <c r="AJ24" i="3"/>
  <c r="AH24" i="3"/>
  <c r="AG24" i="3"/>
  <c r="N24" i="3"/>
  <c r="K24" i="3" s="1"/>
  <c r="M24" i="3"/>
  <c r="L24" i="3"/>
  <c r="J24" i="3"/>
  <c r="I24" i="3"/>
  <c r="BE23" i="3"/>
  <c r="AL23" i="3"/>
  <c r="AI23" i="3" s="1"/>
  <c r="AK23" i="3"/>
  <c r="AJ23" i="3"/>
  <c r="AH23" i="3"/>
  <c r="AG23" i="3"/>
  <c r="N23" i="3"/>
  <c r="K23" i="3" s="1"/>
  <c r="M23" i="3"/>
  <c r="L23" i="3"/>
  <c r="J23" i="3"/>
  <c r="I23" i="3"/>
  <c r="BE22" i="3"/>
  <c r="AL22" i="3"/>
  <c r="AK22" i="3"/>
  <c r="AJ22" i="3"/>
  <c r="AH22" i="3"/>
  <c r="AG22" i="3"/>
  <c r="N22" i="3"/>
  <c r="K22" i="3" s="1"/>
  <c r="M22" i="3"/>
  <c r="L22" i="3"/>
  <c r="J22" i="3"/>
  <c r="I22" i="3"/>
  <c r="BE21" i="3"/>
  <c r="AL21" i="3"/>
  <c r="AI21" i="3" s="1"/>
  <c r="AK21" i="3"/>
  <c r="AJ21" i="3"/>
  <c r="AH21" i="3"/>
  <c r="AG21" i="3"/>
  <c r="N21" i="3"/>
  <c r="M21" i="3"/>
  <c r="L21" i="3"/>
  <c r="J21" i="3"/>
  <c r="I21" i="3"/>
  <c r="BE20" i="3"/>
  <c r="AL20" i="3"/>
  <c r="AK20" i="3"/>
  <c r="AJ20" i="3"/>
  <c r="AH20" i="3"/>
  <c r="AG20" i="3"/>
  <c r="N20" i="3"/>
  <c r="K20" i="3" s="1"/>
  <c r="M20" i="3"/>
  <c r="L20" i="3"/>
  <c r="J20" i="3"/>
  <c r="I20" i="3"/>
  <c r="BE19" i="3"/>
  <c r="AL19" i="3"/>
  <c r="AI19" i="3" s="1"/>
  <c r="AK19" i="3"/>
  <c r="AJ19" i="3"/>
  <c r="AH19" i="3"/>
  <c r="AG19" i="3"/>
  <c r="N19" i="3"/>
  <c r="M19" i="3"/>
  <c r="L19" i="3"/>
  <c r="J19" i="3"/>
  <c r="I19" i="3"/>
  <c r="BE18" i="3"/>
  <c r="AL18" i="3"/>
  <c r="AK18" i="3"/>
  <c r="AJ18" i="3"/>
  <c r="AH18" i="3"/>
  <c r="AG18" i="3"/>
  <c r="N18" i="3"/>
  <c r="K18" i="3" s="1"/>
  <c r="M18" i="3"/>
  <c r="L18" i="3"/>
  <c r="J18" i="3"/>
  <c r="I18" i="3"/>
  <c r="BE17" i="3"/>
  <c r="AL17" i="3"/>
  <c r="AI17" i="3" s="1"/>
  <c r="AK17" i="3"/>
  <c r="AJ17" i="3"/>
  <c r="AH17" i="3"/>
  <c r="AG17" i="3"/>
  <c r="N17" i="3"/>
  <c r="M17" i="3"/>
  <c r="L17" i="3"/>
  <c r="J17" i="3"/>
  <c r="I17" i="3"/>
  <c r="BE16" i="3"/>
  <c r="AL16" i="3"/>
  <c r="AK16" i="3"/>
  <c r="AJ16" i="3"/>
  <c r="AH16" i="3"/>
  <c r="AG16" i="3"/>
  <c r="N16" i="3"/>
  <c r="K16" i="3" s="1"/>
  <c r="M16" i="3"/>
  <c r="L16" i="3"/>
  <c r="J16" i="3"/>
  <c r="I16" i="3"/>
  <c r="BE15" i="3"/>
  <c r="AL15" i="3"/>
  <c r="AI15" i="3" s="1"/>
  <c r="AK15" i="3"/>
  <c r="AJ15" i="3"/>
  <c r="AH15" i="3"/>
  <c r="AG15" i="3"/>
  <c r="N15" i="3"/>
  <c r="M15" i="3"/>
  <c r="L15" i="3"/>
  <c r="J15" i="3"/>
  <c r="I15" i="3"/>
  <c r="BE14" i="3"/>
  <c r="AL14" i="3"/>
  <c r="AK14" i="3"/>
  <c r="AJ14" i="3"/>
  <c r="AH14" i="3"/>
  <c r="AG14" i="3"/>
  <c r="N14" i="3"/>
  <c r="K14" i="3" s="1"/>
  <c r="M14" i="3"/>
  <c r="L14" i="3"/>
  <c r="J14" i="3"/>
  <c r="I14" i="3"/>
  <c r="BE13" i="3"/>
  <c r="AL13" i="3"/>
  <c r="AI13" i="3" s="1"/>
  <c r="AK13" i="3"/>
  <c r="AJ13" i="3"/>
  <c r="AH13" i="3"/>
  <c r="AG13" i="3"/>
  <c r="N13" i="3"/>
  <c r="M13" i="3"/>
  <c r="L13" i="3"/>
  <c r="J13" i="3"/>
  <c r="I13" i="3"/>
  <c r="BE12" i="3"/>
  <c r="AL12" i="3"/>
  <c r="AK12" i="3"/>
  <c r="AJ12" i="3"/>
  <c r="AH12" i="3"/>
  <c r="AG12" i="3"/>
  <c r="N12" i="3"/>
  <c r="K12" i="3" s="1"/>
  <c r="M12" i="3"/>
  <c r="L12" i="3"/>
  <c r="J12" i="3"/>
  <c r="I12" i="3"/>
  <c r="BE11" i="3"/>
  <c r="AL11" i="3"/>
  <c r="AI11" i="3" s="1"/>
  <c r="AK11" i="3"/>
  <c r="AJ11" i="3"/>
  <c r="AH11" i="3"/>
  <c r="AG11" i="3"/>
  <c r="N11" i="3"/>
  <c r="M11" i="3"/>
  <c r="L11" i="3"/>
  <c r="J11" i="3"/>
  <c r="I11" i="3"/>
  <c r="BE10" i="3"/>
  <c r="AL10" i="3"/>
  <c r="AK10" i="3"/>
  <c r="AJ10" i="3"/>
  <c r="AH10" i="3"/>
  <c r="AG10" i="3"/>
  <c r="N10" i="3"/>
  <c r="K10" i="3" s="1"/>
  <c r="M10" i="3"/>
  <c r="L10" i="3"/>
  <c r="J10" i="3"/>
  <c r="I10" i="3"/>
  <c r="BE9" i="3"/>
  <c r="AL9" i="3"/>
  <c r="AI9" i="3" s="1"/>
  <c r="AK9" i="3"/>
  <c r="AJ9" i="3"/>
  <c r="AH9" i="3"/>
  <c r="AG9" i="3"/>
  <c r="N9" i="3"/>
  <c r="M9" i="3"/>
  <c r="L9" i="3"/>
  <c r="J9" i="3"/>
  <c r="I9" i="3"/>
  <c r="BE8" i="3"/>
  <c r="AL8" i="3"/>
  <c r="AK8" i="3"/>
  <c r="AJ8" i="3"/>
  <c r="AH8" i="3"/>
  <c r="AG8" i="3"/>
  <c r="N8" i="3"/>
  <c r="K8" i="3" s="1"/>
  <c r="M8" i="3"/>
  <c r="L8" i="3"/>
  <c r="J8" i="3"/>
  <c r="I8" i="3"/>
  <c r="BE7" i="3"/>
  <c r="AL7" i="3"/>
  <c r="AI7" i="3" s="1"/>
  <c r="AK7" i="3"/>
  <c r="AJ7" i="3"/>
  <c r="AH7" i="3"/>
  <c r="AG7" i="3"/>
  <c r="N7" i="3"/>
  <c r="K7" i="3" s="1"/>
  <c r="M7" i="3"/>
  <c r="L7" i="3"/>
  <c r="J7" i="3"/>
  <c r="I7" i="3"/>
  <c r="BE6" i="3"/>
  <c r="AL6" i="3"/>
  <c r="AK6" i="3"/>
  <c r="AJ6" i="3"/>
  <c r="AH6" i="3"/>
  <c r="AG6" i="3"/>
  <c r="N6" i="3"/>
  <c r="K6" i="3" s="1"/>
  <c r="M6" i="3"/>
  <c r="L6" i="3"/>
  <c r="J6" i="3"/>
  <c r="I6" i="3"/>
  <c r="BE5" i="3"/>
  <c r="AL5" i="3"/>
  <c r="AI5" i="3" s="1"/>
  <c r="AK5" i="3"/>
  <c r="AJ5" i="3"/>
  <c r="AH5" i="3"/>
  <c r="AG5" i="3"/>
  <c r="N5" i="3"/>
  <c r="M5" i="3"/>
  <c r="L5" i="3"/>
  <c r="J5" i="3"/>
  <c r="I5" i="3"/>
  <c r="B2" i="2"/>
  <c r="B1" i="2"/>
  <c r="BM10" i="7"/>
  <c r="BL10" i="7"/>
  <c r="BM15" i="7"/>
  <c r="BP5" i="7"/>
  <c r="BO5" i="7"/>
  <c r="BK5" i="7"/>
  <c r="BO20" i="7"/>
  <c r="BP20" i="7"/>
  <c r="BO15" i="7"/>
  <c r="BL15" i="7"/>
  <c r="BL5" i="7"/>
  <c r="BS15" i="7"/>
  <c r="BM5" i="7"/>
  <c r="BS10" i="7"/>
  <c r="BP10" i="7"/>
  <c r="BM20" i="7"/>
  <c r="BR10" i="7"/>
  <c r="BQ15" i="7"/>
  <c r="BR15" i="7"/>
  <c r="BO10" i="7"/>
  <c r="BR25" i="7"/>
  <c r="BQ5" i="7"/>
  <c r="BK20" i="7"/>
  <c r="BL25" i="7"/>
  <c r="BO25" i="7"/>
  <c r="BK10" i="7"/>
  <c r="BP25" i="7"/>
  <c r="BQ25" i="7"/>
  <c r="BR5" i="7"/>
  <c r="BS20" i="7"/>
  <c r="BQ20" i="7"/>
  <c r="BQ10" i="7"/>
  <c r="BS5" i="7"/>
  <c r="BL20" i="7"/>
  <c r="BP15" i="7"/>
  <c r="BK25" i="7"/>
  <c r="BS25" i="7"/>
  <c r="BM25" i="7"/>
  <c r="BK15" i="7"/>
  <c r="BR20" i="7"/>
  <c r="BQ20" i="3"/>
  <c r="BQ5" i="3"/>
  <c r="BQ25" i="3"/>
  <c r="BK25" i="3"/>
  <c r="BK5" i="3"/>
  <c r="BK20" i="3"/>
  <c r="BO20" i="3"/>
  <c r="BS5" i="3"/>
  <c r="BR20" i="3"/>
  <c r="BI25" i="3"/>
  <c r="BM10" i="3"/>
  <c r="BL25" i="3"/>
  <c r="BQ10" i="3"/>
  <c r="BO25" i="3"/>
  <c r="BI15" i="3"/>
  <c r="BO15" i="3"/>
  <c r="BL15" i="3"/>
  <c r="BK10" i="3"/>
  <c r="BL20" i="3"/>
  <c r="BM5" i="3"/>
  <c r="BR10" i="3"/>
  <c r="BM20" i="3"/>
  <c r="BO5" i="3"/>
  <c r="BO10" i="3"/>
  <c r="BS10" i="3"/>
  <c r="BP5" i="3"/>
  <c r="BS25" i="3"/>
  <c r="BR15" i="3"/>
  <c r="BR5" i="3"/>
  <c r="BK15" i="3"/>
  <c r="BP20" i="3"/>
  <c r="BP10" i="3"/>
  <c r="BP25" i="3"/>
  <c r="BS20" i="3"/>
  <c r="BS15" i="3"/>
  <c r="BL5" i="3"/>
  <c r="BP15" i="3"/>
  <c r="BM15" i="3"/>
  <c r="BM25" i="3"/>
  <c r="BR25" i="3"/>
  <c r="BL10" i="3"/>
  <c r="BI5" i="3"/>
  <c r="BQ15" i="3"/>
  <c r="BF9" i="3" l="1"/>
  <c r="BF13" i="3"/>
  <c r="BA46" i="3"/>
  <c r="V7" i="10" s="1"/>
  <c r="BG5" i="7" a="1"/>
  <c r="BG15" i="7" a="1"/>
  <c r="BF26" i="7"/>
  <c r="BF25" i="7"/>
  <c r="AZ16" i="6"/>
  <c r="AY18" i="6"/>
  <c r="W6" i="10" s="1"/>
  <c r="AW16" i="6"/>
  <c r="AX16" i="6"/>
  <c r="AW16" i="5"/>
  <c r="AW18" i="5"/>
  <c r="U5" i="10" s="1"/>
  <c r="AX16" i="5"/>
  <c r="AX18" i="5"/>
  <c r="AZ16" i="5"/>
  <c r="AY16" i="5"/>
  <c r="AY18" i="5"/>
  <c r="BC6" i="5"/>
  <c r="D6" i="10" s="1"/>
  <c r="L12" i="6"/>
  <c r="BD5" i="6"/>
  <c r="H5" i="10" s="1"/>
  <c r="BD6" i="6"/>
  <c r="H6" i="10" s="1"/>
  <c r="BD7" i="6"/>
  <c r="H7" i="10" s="1"/>
  <c r="BD8" i="6"/>
  <c r="H8" i="10" s="1"/>
  <c r="BD9" i="6"/>
  <c r="H9" i="10" s="1"/>
  <c r="J14" i="5"/>
  <c r="BD6" i="5"/>
  <c r="E6" i="10" s="1"/>
  <c r="BE9" i="5"/>
  <c r="BE5" i="5"/>
  <c r="M14" i="5"/>
  <c r="BC8" i="5"/>
  <c r="D8" i="10" s="1"/>
  <c r="BB5" i="6"/>
  <c r="F5" i="10" s="1"/>
  <c r="BB6" i="6"/>
  <c r="F6" i="10" s="1"/>
  <c r="BB7" i="6"/>
  <c r="F7" i="10" s="1"/>
  <c r="BB8" i="6"/>
  <c r="F8" i="10" s="1"/>
  <c r="BC5" i="6"/>
  <c r="G5" i="10" s="1"/>
  <c r="BC6" i="6"/>
  <c r="G6" i="10" s="1"/>
  <c r="BC7" i="6"/>
  <c r="G7" i="10" s="1"/>
  <c r="BC8" i="6"/>
  <c r="G8" i="10" s="1"/>
  <c r="BC9" i="6"/>
  <c r="G9" i="10" s="1"/>
  <c r="AG12" i="5"/>
  <c r="BC5" i="5"/>
  <c r="D5" i="10" s="1"/>
  <c r="BE6" i="5"/>
  <c r="BE8" i="5"/>
  <c r="BC13" i="5"/>
  <c r="D11" i="10" s="1"/>
  <c r="J12" i="5"/>
  <c r="BD7" i="5"/>
  <c r="E7" i="10" s="1"/>
  <c r="BD13" i="5"/>
  <c r="E11" i="10" s="1"/>
  <c r="M12" i="5"/>
  <c r="BF5" i="5"/>
  <c r="BF8" i="5"/>
  <c r="BF17" i="3"/>
  <c r="BF20" i="7"/>
  <c r="BA44" i="3"/>
  <c r="BB7" i="5"/>
  <c r="C7" i="10" s="1"/>
  <c r="AH7" i="5"/>
  <c r="BF7" i="5"/>
  <c r="BD9" i="5"/>
  <c r="E9" i="10" s="1"/>
  <c r="AJ14" i="5"/>
  <c r="AG14" i="5"/>
  <c r="BF6" i="5"/>
  <c r="BF9" i="5"/>
  <c r="BF13" i="5" s="1"/>
  <c r="BF21" i="3"/>
  <c r="L41" i="7"/>
  <c r="BF23" i="7"/>
  <c r="BB44" i="3"/>
  <c r="J40" i="3"/>
  <c r="L40" i="3"/>
  <c r="J41" i="3"/>
  <c r="O8" i="10"/>
  <c r="Q8" i="10"/>
  <c r="N8" i="10"/>
  <c r="Q5" i="10"/>
  <c r="O7" i="10"/>
  <c r="N5" i="10"/>
  <c r="R8" i="10"/>
  <c r="R7" i="10"/>
  <c r="N6" i="10"/>
  <c r="R5" i="10"/>
  <c r="P7" i="10"/>
  <c r="R9" i="10"/>
  <c r="O6" i="10"/>
  <c r="Q6" i="10"/>
  <c r="P9" i="10"/>
  <c r="P5" i="10"/>
  <c r="Q9" i="10"/>
  <c r="N9" i="10"/>
  <c r="P6" i="10"/>
  <c r="R6" i="10"/>
  <c r="P8" i="10"/>
  <c r="N7" i="10"/>
  <c r="O5" i="10"/>
  <c r="Q7" i="10"/>
  <c r="O9" i="10"/>
  <c r="BF24" i="7"/>
  <c r="AH41" i="7"/>
  <c r="BG5" i="7"/>
  <c r="BF6" i="7"/>
  <c r="I7" i="10"/>
  <c r="K7" i="10"/>
  <c r="M9" i="10"/>
  <c r="K5" i="10"/>
  <c r="J5" i="10"/>
  <c r="J7" i="10"/>
  <c r="J6" i="10"/>
  <c r="I6" i="10"/>
  <c r="I5" i="10"/>
  <c r="L8" i="10"/>
  <c r="J9" i="10"/>
  <c r="M7" i="10"/>
  <c r="L5" i="10"/>
  <c r="L9" i="10"/>
  <c r="L7" i="10"/>
  <c r="K9" i="10"/>
  <c r="K6" i="10"/>
  <c r="M8" i="10"/>
  <c r="L6" i="10"/>
  <c r="J8" i="10"/>
  <c r="I8" i="10"/>
  <c r="M6" i="10"/>
  <c r="K8" i="10"/>
  <c r="M5" i="10"/>
  <c r="I9" i="10"/>
  <c r="BF11" i="3"/>
  <c r="BF19" i="3"/>
  <c r="BB13" i="5"/>
  <c r="C11" i="10" s="1"/>
  <c r="BB5" i="5"/>
  <c r="C5" i="10" s="1"/>
  <c r="AH5" i="5"/>
  <c r="BC7" i="5"/>
  <c r="D7" i="10" s="1"/>
  <c r="X9" i="10"/>
  <c r="BD5" i="5"/>
  <c r="E5" i="10" s="1"/>
  <c r="BB6" i="5"/>
  <c r="C6" i="10" s="1"/>
  <c r="AH6" i="5"/>
  <c r="BB8" i="5"/>
  <c r="C8" i="10" s="1"/>
  <c r="AH8" i="5"/>
  <c r="BB9" i="5"/>
  <c r="C9" i="10" s="1"/>
  <c r="AH9" i="5"/>
  <c r="AH13" i="5" s="1"/>
  <c r="BC9" i="5"/>
  <c r="D9" i="10" s="1"/>
  <c r="AI12" i="6"/>
  <c r="BC12" i="6" s="1"/>
  <c r="G10" i="10" s="1"/>
  <c r="AI14" i="6"/>
  <c r="BC14" i="6" s="1"/>
  <c r="G12" i="10" s="1"/>
  <c r="AH14" i="6"/>
  <c r="BB9" i="6"/>
  <c r="F9" i="10" s="1"/>
  <c r="AI13" i="6"/>
  <c r="BC13" i="6" s="1"/>
  <c r="G11" i="10" s="1"/>
  <c r="AK40" i="7"/>
  <c r="AI23" i="7"/>
  <c r="AI25" i="7"/>
  <c r="AI41" i="7" s="1"/>
  <c r="AJ41" i="7"/>
  <c r="AK41" i="7"/>
  <c r="BF10" i="7"/>
  <c r="BF12" i="7"/>
  <c r="BF22" i="7"/>
  <c r="AH42" i="3"/>
  <c r="AH41" i="3"/>
  <c r="AK41" i="3"/>
  <c r="AJ42" i="3"/>
  <c r="AJ41" i="3"/>
  <c r="L40" i="7"/>
  <c r="BA44" i="7"/>
  <c r="BA46" i="7"/>
  <c r="V8" i="10" s="1"/>
  <c r="BF29" i="7"/>
  <c r="BB44" i="7"/>
  <c r="BB46" i="7"/>
  <c r="W8" i="10" s="1"/>
  <c r="AZ44" i="7"/>
  <c r="AZ46" i="7"/>
  <c r="U8" i="10" s="1"/>
  <c r="BG15" i="7"/>
  <c r="M41" i="7"/>
  <c r="BF13" i="7"/>
  <c r="BF16" i="7"/>
  <c r="BF27" i="7"/>
  <c r="BC44" i="7"/>
  <c r="BC46" i="7"/>
  <c r="X8" i="10" s="1"/>
  <c r="BC44" i="3"/>
  <c r="BF8" i="3"/>
  <c r="BF12" i="3"/>
  <c r="BF16" i="3"/>
  <c r="BF20" i="3"/>
  <c r="BF24" i="3"/>
  <c r="AZ44" i="3"/>
  <c r="BB46" i="3"/>
  <c r="W7" i="10" s="1"/>
  <c r="M40" i="3"/>
  <c r="M41" i="3"/>
  <c r="BC46" i="3"/>
  <c r="X7" i="10" s="1"/>
  <c r="BF6" i="3"/>
  <c r="BF10" i="3"/>
  <c r="BF14" i="3"/>
  <c r="BF18" i="3"/>
  <c r="BF22" i="3"/>
  <c r="BF26" i="3"/>
  <c r="AZ46" i="3"/>
  <c r="U7" i="10" s="1"/>
  <c r="BL41" i="7"/>
  <c r="F41" i="1" s="1"/>
  <c r="BL40" i="3"/>
  <c r="F9" i="1" s="1"/>
  <c r="BL42" i="3"/>
  <c r="F11" i="1" s="1"/>
  <c r="BI41" i="3"/>
  <c r="C10" i="1" s="1"/>
  <c r="BL41" i="3"/>
  <c r="F10" i="1" s="1"/>
  <c r="BQ41" i="3"/>
  <c r="K11" i="10" s="1"/>
  <c r="BM41" i="7"/>
  <c r="G41" i="1" s="1"/>
  <c r="BP41" i="3"/>
  <c r="J11" i="10" s="1"/>
  <c r="BM40" i="3"/>
  <c r="G9" i="1" s="1"/>
  <c r="BM41" i="3"/>
  <c r="G10" i="1" s="1"/>
  <c r="BO40" i="7"/>
  <c r="N10" i="10" s="1"/>
  <c r="BS40" i="7"/>
  <c r="R10" i="10" s="1"/>
  <c r="BK42" i="3"/>
  <c r="E11" i="1" s="1"/>
  <c r="BK41" i="3"/>
  <c r="E10" i="1" s="1"/>
  <c r="BK40" i="7"/>
  <c r="E40" i="1" s="1"/>
  <c r="BP40" i="7"/>
  <c r="O10" i="10" s="1"/>
  <c r="BK41" i="7"/>
  <c r="E41" i="1" s="1"/>
  <c r="BP41" i="7"/>
  <c r="O11" i="10" s="1"/>
  <c r="D54" i="1"/>
  <c r="C52" i="1"/>
  <c r="C21" i="1"/>
  <c r="C33" i="1"/>
  <c r="E53" i="1"/>
  <c r="BO42" i="3"/>
  <c r="I12" i="10" s="1"/>
  <c r="BF15" i="3"/>
  <c r="BG20" i="3" a="1"/>
  <c r="BG20" i="3" s="1"/>
  <c r="BF23" i="3"/>
  <c r="BF25" i="3"/>
  <c r="K15" i="7"/>
  <c r="BF21" i="7"/>
  <c r="AI21" i="7"/>
  <c r="AK42" i="3"/>
  <c r="AI6" i="3"/>
  <c r="AI8" i="3"/>
  <c r="K9" i="3"/>
  <c r="AI10" i="3"/>
  <c r="K11" i="3"/>
  <c r="AI12" i="3"/>
  <c r="K13" i="3"/>
  <c r="AI14" i="3"/>
  <c r="K15" i="3"/>
  <c r="AI16" i="3"/>
  <c r="K17" i="3"/>
  <c r="AI18" i="3"/>
  <c r="K19" i="3"/>
  <c r="AI20" i="3"/>
  <c r="K21" i="3"/>
  <c r="AI22" i="3"/>
  <c r="AI24" i="3"/>
  <c r="K25" i="3"/>
  <c r="K41" i="3" s="1"/>
  <c r="AI26" i="3"/>
  <c r="BF28" i="3"/>
  <c r="AI28" i="3"/>
  <c r="BK40" i="3"/>
  <c r="E9" i="1" s="1"/>
  <c r="BM42" i="3"/>
  <c r="G11" i="1" s="1"/>
  <c r="K14" i="5"/>
  <c r="K12" i="5"/>
  <c r="AI14" i="5"/>
  <c r="AI12" i="5"/>
  <c r="J14" i="6"/>
  <c r="J12" i="6"/>
  <c r="BE5" i="6"/>
  <c r="BE6" i="6"/>
  <c r="BE7" i="6"/>
  <c r="BE8" i="6"/>
  <c r="BE9" i="6"/>
  <c r="AH12" i="6"/>
  <c r="BF7" i="7"/>
  <c r="K10" i="7"/>
  <c r="AI18" i="7"/>
  <c r="BF18" i="7"/>
  <c r="BR41" i="7"/>
  <c r="Q11" i="10" s="1"/>
  <c r="K26" i="7"/>
  <c r="K41" i="7" s="1"/>
  <c r="BS42" i="3"/>
  <c r="M12" i="10" s="1"/>
  <c r="BG10" i="3" a="1"/>
  <c r="BG10" i="3" s="1"/>
  <c r="BS41" i="3"/>
  <c r="M11" i="10" s="1"/>
  <c r="AX18" i="6"/>
  <c r="V6" i="10" s="1"/>
  <c r="AI8" i="7"/>
  <c r="BF8" i="7"/>
  <c r="BF15" i="7"/>
  <c r="BQ41" i="7"/>
  <c r="P11" i="10" s="1"/>
  <c r="BP42" i="3"/>
  <c r="J12" i="10" s="1"/>
  <c r="F52" i="1"/>
  <c r="L42" i="3"/>
  <c r="AH40" i="3"/>
  <c r="BG5" i="3" a="1"/>
  <c r="BG5" i="3" s="1"/>
  <c r="BQ40" i="3"/>
  <c r="K10" i="10" s="1"/>
  <c r="BG15" i="3" a="1"/>
  <c r="BG15" i="3" s="1"/>
  <c r="L41" i="3"/>
  <c r="BG25" i="3" a="1"/>
  <c r="BG25" i="3" s="1"/>
  <c r="BG41" i="3" s="1"/>
  <c r="BF27" i="3"/>
  <c r="AJ40" i="3"/>
  <c r="BO40" i="3"/>
  <c r="I10" i="10" s="1"/>
  <c r="J42" i="3"/>
  <c r="BQ42" i="3"/>
  <c r="K12" i="10" s="1"/>
  <c r="L14" i="5"/>
  <c r="L12" i="5"/>
  <c r="AJ12" i="5"/>
  <c r="BL40" i="7"/>
  <c r="F40" i="1" s="1"/>
  <c r="BL42" i="7"/>
  <c r="F42" i="1" s="1"/>
  <c r="BQ40" i="7"/>
  <c r="P10" i="10" s="1"/>
  <c r="BQ42" i="7"/>
  <c r="P12" i="10" s="1"/>
  <c r="BF11" i="7"/>
  <c r="AI14" i="7"/>
  <c r="BF14" i="7"/>
  <c r="BF17" i="7"/>
  <c r="K20" i="7"/>
  <c r="BG25" i="7" a="1"/>
  <c r="BG25" i="7" s="1"/>
  <c r="BG41" i="7" s="1"/>
  <c r="BF28" i="7"/>
  <c r="BF5" i="3"/>
  <c r="BF7" i="3"/>
  <c r="BO41" i="3"/>
  <c r="I11" i="10" s="1"/>
  <c r="BS40" i="3"/>
  <c r="M10" i="10" s="1"/>
  <c r="J40" i="7"/>
  <c r="J42" i="7"/>
  <c r="BF19" i="7"/>
  <c r="AI19" i="7"/>
  <c r="K5" i="3"/>
  <c r="F53" i="1"/>
  <c r="M42" i="3"/>
  <c r="BR40" i="3"/>
  <c r="L10" i="10" s="1"/>
  <c r="BR41" i="3"/>
  <c r="L11" i="10" s="1"/>
  <c r="BF29" i="3"/>
  <c r="AK40" i="3"/>
  <c r="BP40" i="3"/>
  <c r="J10" i="10" s="1"/>
  <c r="BR42" i="3"/>
  <c r="L12" i="10" s="1"/>
  <c r="M14" i="6"/>
  <c r="M12" i="6"/>
  <c r="AG14" i="6"/>
  <c r="BB14" i="6" s="1"/>
  <c r="F12" i="10" s="1"/>
  <c r="AG12" i="6"/>
  <c r="BF5" i="6" a="1"/>
  <c r="BF5" i="6" s="1"/>
  <c r="BF6" i="6" a="1"/>
  <c r="BF6" i="6" s="1"/>
  <c r="BF7" i="6" a="1"/>
  <c r="BF7" i="6" s="1"/>
  <c r="BF8" i="6" a="1"/>
  <c r="BF8" i="6" s="1"/>
  <c r="BB13" i="6"/>
  <c r="F11" i="10" s="1"/>
  <c r="BF9" i="6" a="1"/>
  <c r="BF9" i="6" s="1"/>
  <c r="BF13" i="6" s="1"/>
  <c r="K12" i="6"/>
  <c r="K5" i="7"/>
  <c r="AJ42" i="7"/>
  <c r="AJ40" i="7"/>
  <c r="BF5" i="7"/>
  <c r="BF9" i="7"/>
  <c r="AI9" i="7"/>
  <c r="AI13" i="7"/>
  <c r="AJ12" i="6"/>
  <c r="AJ13" i="6"/>
  <c r="BD13" i="6" s="1"/>
  <c r="H11" i="10" s="1"/>
  <c r="AJ14" i="6"/>
  <c r="L42" i="7"/>
  <c r="AH40" i="7"/>
  <c r="BM42" i="7"/>
  <c r="G42" i="1" s="1"/>
  <c r="BM40" i="7"/>
  <c r="G40" i="1" s="1"/>
  <c r="BR42" i="7"/>
  <c r="Q12" i="10" s="1"/>
  <c r="BR40" i="7"/>
  <c r="Q10" i="10" s="1"/>
  <c r="BG10" i="7" a="1"/>
  <c r="BG10" i="7" s="1"/>
  <c r="AI20" i="7"/>
  <c r="BG20" i="7" a="1"/>
  <c r="BG20" i="7" s="1"/>
  <c r="J41" i="7"/>
  <c r="AW18" i="6"/>
  <c r="U6" i="10" s="1"/>
  <c r="M40" i="7"/>
  <c r="M42" i="7"/>
  <c r="BO42" i="7"/>
  <c r="N12" i="10" s="1"/>
  <c r="BS42" i="7"/>
  <c r="R12" i="10" s="1"/>
  <c r="AH42" i="7"/>
  <c r="BO41" i="7"/>
  <c r="N11" i="10" s="1"/>
  <c r="BS41" i="7"/>
  <c r="R11" i="10" s="1"/>
  <c r="AK42" i="7"/>
  <c r="BK42" i="7"/>
  <c r="E42" i="1" s="1"/>
  <c r="BP42" i="7"/>
  <c r="O12" i="10" s="1"/>
  <c r="BI25" i="7"/>
  <c r="BJ10" i="7"/>
  <c r="BJ20" i="7"/>
  <c r="BJ5" i="7"/>
  <c r="BI10" i="7"/>
  <c r="BJ15" i="7"/>
  <c r="BJ25" i="7"/>
  <c r="BI20" i="7"/>
  <c r="BI5" i="7"/>
  <c r="BI15" i="7"/>
  <c r="BJ5" i="3"/>
  <c r="BI10" i="3"/>
  <c r="BJ15" i="3"/>
  <c r="BJ25" i="3"/>
  <c r="BJ10" i="3"/>
  <c r="BJ20" i="3"/>
  <c r="BI20" i="3"/>
  <c r="U9" i="10" l="1"/>
  <c r="W5" i="10"/>
  <c r="W9" i="10" s="1"/>
  <c r="E52" i="1"/>
  <c r="C22" i="1"/>
  <c r="V5" i="10"/>
  <c r="V9" i="10" s="1"/>
  <c r="D52" i="1"/>
  <c r="BB14" i="5"/>
  <c r="C12" i="10" s="1"/>
  <c r="BD14" i="5"/>
  <c r="E12" i="10" s="1"/>
  <c r="BD12" i="6"/>
  <c r="H10" i="10" s="1"/>
  <c r="BB12" i="5"/>
  <c r="C10" i="10" s="1"/>
  <c r="BD12" i="5"/>
  <c r="E10" i="10" s="1"/>
  <c r="BB12" i="6"/>
  <c r="F10" i="10" s="1"/>
  <c r="D31" i="1"/>
  <c r="D19" i="1"/>
  <c r="C19" i="1"/>
  <c r="BC12" i="5"/>
  <c r="D10" i="10" s="1"/>
  <c r="E19" i="1"/>
  <c r="BC14" i="5"/>
  <c r="D12" i="10" s="1"/>
  <c r="BF12" i="5"/>
  <c r="D20" i="1"/>
  <c r="BF14" i="5"/>
  <c r="D29" i="1"/>
  <c r="D30" i="1"/>
  <c r="AH12" i="5"/>
  <c r="AI40" i="7"/>
  <c r="AH14" i="5"/>
  <c r="BG40" i="7"/>
  <c r="AI42" i="7"/>
  <c r="AI41" i="3"/>
  <c r="AI40" i="3"/>
  <c r="C55" i="1"/>
  <c r="F55" i="1"/>
  <c r="D55" i="1"/>
  <c r="BG42" i="7"/>
  <c r="C43" i="1"/>
  <c r="E55" i="1"/>
  <c r="C44" i="1"/>
  <c r="F54" i="1"/>
  <c r="C13" i="1"/>
  <c r="C54" i="1"/>
  <c r="C12" i="1"/>
  <c r="E54" i="1"/>
  <c r="BJ41" i="3"/>
  <c r="D10" i="1" s="1"/>
  <c r="BI41" i="7"/>
  <c r="C41" i="1" s="1"/>
  <c r="BJ41" i="7"/>
  <c r="D41" i="1" s="1"/>
  <c r="BI42" i="3"/>
  <c r="C11" i="1" s="1"/>
  <c r="BI40" i="3"/>
  <c r="C9" i="1" s="1"/>
  <c r="H40" i="1"/>
  <c r="I10" i="1"/>
  <c r="I40" i="1"/>
  <c r="J10" i="1"/>
  <c r="I41" i="1"/>
  <c r="L40" i="1"/>
  <c r="L42" i="1"/>
  <c r="BJ42" i="7"/>
  <c r="D42" i="1" s="1"/>
  <c r="BJ40" i="7"/>
  <c r="D40" i="1" s="1"/>
  <c r="H10" i="1"/>
  <c r="H11" i="1"/>
  <c r="K42" i="7"/>
  <c r="K40" i="7"/>
  <c r="K11" i="1"/>
  <c r="K10" i="1"/>
  <c r="K40" i="3"/>
  <c r="K42" i="3"/>
  <c r="J40" i="1"/>
  <c r="H9" i="1"/>
  <c r="J9" i="1"/>
  <c r="L10" i="1"/>
  <c r="C53" i="1"/>
  <c r="C32" i="1"/>
  <c r="C30" i="1"/>
  <c r="D53" i="1"/>
  <c r="K41" i="1"/>
  <c r="L41" i="1"/>
  <c r="BD14" i="6"/>
  <c r="H12" i="10" s="1"/>
  <c r="I42" i="1"/>
  <c r="H41" i="1"/>
  <c r="H42" i="1"/>
  <c r="K40" i="1"/>
  <c r="E30" i="1"/>
  <c r="C31" i="1"/>
  <c r="I9" i="1"/>
  <c r="AI42" i="3"/>
  <c r="BF14" i="6"/>
  <c r="BF12" i="6"/>
  <c r="J41" i="1"/>
  <c r="L11" i="1"/>
  <c r="K42" i="1"/>
  <c r="BI42" i="7"/>
  <c r="C42" i="1" s="1"/>
  <c r="BI40" i="7"/>
  <c r="C40" i="1" s="1"/>
  <c r="K9" i="1"/>
  <c r="L9" i="1"/>
  <c r="BJ42" i="3"/>
  <c r="D11" i="1" s="1"/>
  <c r="BJ40" i="3"/>
  <c r="D9" i="1" s="1"/>
  <c r="J42" i="1"/>
  <c r="J11" i="1"/>
  <c r="BG40" i="3"/>
  <c r="BG42" i="3"/>
  <c r="I11" i="1"/>
  <c r="E18" i="1" l="1"/>
  <c r="E29" i="1"/>
  <c r="C29" i="1"/>
  <c r="E20" i="1"/>
  <c r="D18" i="1"/>
  <c r="C20" i="1"/>
  <c r="C18" i="1"/>
  <c r="E31" i="1"/>
</calcChain>
</file>

<file path=xl/sharedStrings.xml><?xml version="1.0" encoding="utf-8"?>
<sst xmlns="http://schemas.openxmlformats.org/spreadsheetml/2006/main" count="1462" uniqueCount="577">
  <si>
    <t>Reference:</t>
  </si>
  <si>
    <t>master+r5.2</t>
  </si>
  <si>
    <t>Tested:</t>
  </si>
  <si>
    <t>mpeg126-integration+r60rc02</t>
  </si>
  <si>
    <t>All Intra</t>
  </si>
  <si>
    <t>C2_ai</t>
  </si>
  <si>
    <t>lossy geometry, lossy attributes [all intra]</t>
  </si>
  <si>
    <t>Geom. BD‑TotGeomRate [%]</t>
  </si>
  <si>
    <t>End-to-End BD‑AttrRate [%]</t>
  </si>
  <si>
    <t>Geom. BD‑TotalRate [%]</t>
  </si>
  <si>
    <t>End-to-End BD‑TotalRate [%]</t>
  </si>
  <si>
    <t>D1</t>
  </si>
  <si>
    <t>D2</t>
  </si>
  <si>
    <t>Luma</t>
  </si>
  <si>
    <t>Chroma Cb</t>
  </si>
  <si>
    <t>Chroma Cr</t>
  </si>
  <si>
    <t>Cat2-A average</t>
  </si>
  <si>
    <t>Cat2-B average</t>
  </si>
  <si>
    <t>Overall average</t>
  </si>
  <si>
    <t>Avg. Enc Time [%]</t>
  </si>
  <si>
    <t>Avg. Dec Time [%]</t>
  </si>
  <si>
    <t>CW_ai</t>
  </si>
  <si>
    <t>lossless geometry, lossless attributes [all intra]</t>
  </si>
  <si>
    <t>bpip ratio [%]</t>
  </si>
  <si>
    <t>Geometry</t>
  </si>
  <si>
    <t>Total</t>
  </si>
  <si>
    <t>Colour</t>
  </si>
  <si>
    <t>Inter, Low Delay</t>
  </si>
  <si>
    <t>CW_ld</t>
  </si>
  <si>
    <t>lossless geometry, lossless attributes [inter, low delay]</t>
  </si>
  <si>
    <t>Inter, Random Access</t>
  </si>
  <si>
    <t>C2_ra</t>
  </si>
  <si>
    <t>lossy geometry, lossy attributes [inter, random access]</t>
  </si>
  <si>
    <t>Encoder runtime [%]</t>
  </si>
  <si>
    <t>Decoder runtime [%]</t>
  </si>
  <si>
    <t>Self</t>
  </si>
  <si>
    <t>Child</t>
  </si>
  <si>
    <t>Condition:</t>
  </si>
  <si>
    <t>← Select this …</t>
  </si>
  <si>
    <t>Columns</t>
  </si>
  <si>
    <t>C2 lossyG,lossyA,intra</t>
  </si>
  <si>
    <t>CW losslG,losslA,intra</t>
  </si>
  <si>
    <t>CW losslG,losslA,interLD</t>
  </si>
  <si>
    <t>C2 lossyG,lossyA,interRA</t>
  </si>
  <si>
    <t>Sequence:</t>
  </si>
  <si>
    <t>← … then this</t>
  </si>
  <si>
    <t>dec.cb-hpsnr</t>
  </si>
  <si>
    <t>Chroma Cb EtE Hausdorff PSNR</t>
  </si>
  <si>
    <t>names!$B$74:$X$74</t>
  </si>
  <si>
    <t>names!$B$137:$W$137</t>
  </si>
  <si>
    <t>names!$B$200:$W$200</t>
  </si>
  <si>
    <t>names!$B$274:$X$274</t>
  </si>
  <si>
    <t>dec.cb-psnr</t>
  </si>
  <si>
    <t>Chroma Cb End-to-end PSNR</t>
  </si>
  <si>
    <t>8ivfbv2_loot_vox10</t>
  </si>
  <si>
    <t>X:</t>
  </si>
  <si>
    <t>eqn.bpp</t>
  </si>
  <si>
    <t>Y:</t>
  </si>
  <si>
    <t>dec.d1-psnr</t>
  </si>
  <si>
    <t>← settings for graph a</t>
  </si>
  <si>
    <t>dec.cr-hpsnr</t>
  </si>
  <si>
    <t>Chroma Cr EtE Hausdorff PSNR</t>
  </si>
  <si>
    <t>8ivfbv2_redandblack_vox10</t>
  </si>
  <si>
    <t>dec.d2-psnr</t>
  </si>
  <si>
    <t>← settings for graph b</t>
  </si>
  <si>
    <t>dec.cr-psnr</t>
  </si>
  <si>
    <t>Chroma Cr End-to-end PSNR</t>
  </si>
  <si>
    <t>8ivfbv2_soldier_vox10</t>
  </si>
  <si>
    <t>dec.y-psnr</t>
  </si>
  <si>
    <t>← settings for graph c</t>
  </si>
  <si>
    <t>dec.d1-mse</t>
  </si>
  <si>
    <t>D1 Geometry MSE</t>
  </si>
  <si>
    <t>queen</t>
  </si>
  <si>
    <t>← settings for graph d</t>
  </si>
  <si>
    <t>D1 Geometry PSNR</t>
  </si>
  <si>
    <t>8ivfbv2_longdress_vox10</t>
  </si>
  <si>
    <t>← settings for graph e</t>
  </si>
  <si>
    <t>dec.d2-mse</t>
  </si>
  <si>
    <t>D2 Geometry MSE</t>
  </si>
  <si>
    <t>dec.reflectance-psnr</t>
  </si>
  <si>
    <t>← settings for graph f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</si>
  <si>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</si>
  <si>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</si>
  <si>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</si>
  <si>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</si>
  <si>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</si>
  <si>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</si>
  <si>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</si>
  <si>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</si>
  <si>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</si>
  <si>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</si>
  <si>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</si>
  <si>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</si>
  <si>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</si>
  <si>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</si>
  <si>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</si>
  <si>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</si>
  <si>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</si>
  <si>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</si>
  <si>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</si>
  <si>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</si>
  <si>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</si>
  <si>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</si>
  <si>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</si>
  <si>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</si>
  <si>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</si>
  <si>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</si>
  <si>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</si>
  <si>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</si>
  <si>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</si>
  <si>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</si>
  <si>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</si>
  <si>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</si>
  <si>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</si>
  <si>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</si>
  <si>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</si>
  <si>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</si>
  <si>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</si>
  <si>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</si>
  <si>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</si>
  <si>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</si>
  <si>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</si>
  <si>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</si>
  <si>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</si>
  <si>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</si>
  <si>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</si>
  <si>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</si>
  <si>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</si>
  <si>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</si>
  <si>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</si>
  <si>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</si>
  <si>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</si>
  <si>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</si>
  <si>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</si>
  <si>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</si>
  <si>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</si>
  <si>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</si>
  <si>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</si>
  <si>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</si>
  <si>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C2_ai — lossy geometry, lossy attributes [all intra]</t>
  </si>
  <si>
    <t>Class</t>
  </si>
  <si>
    <t>Sequence</t>
  </si>
  <si>
    <t>Variant</t>
  </si>
  <si>
    <t>№ input points</t>
  </si>
  <si>
    <t>Geometry precision [bits]</t>
  </si>
  <si>
    <t>№ frames</t>
  </si>
  <si>
    <t>Frame rate [fps]</t>
  </si>
  <si>
    <t>Rate [Mbps]</t>
  </si>
  <si>
    <t>Bits per input point [bpip]</t>
  </si>
  <si>
    <t>A.eqn.bits.totalgeometry Bitstream [bits]</t>
  </si>
  <si>
    <t>Total Bits per output point [bpop]</t>
  </si>
  <si>
    <t>Bitstream [bits]</t>
  </si>
  <si>
    <t>Geometry PSNR [dB]</t>
  </si>
  <si>
    <t>End-to-end PSNR [dB]</t>
  </si>
  <si>
    <t>Encoder runtime [s]</t>
  </si>
  <si>
    <t>Decoder runtime [s]</t>
  </si>
  <si>
    <t>B.eqn.bits.totalgeometry Bitstream [bits]</t>
  </si>
  <si>
    <t>Shift in duppoint ratio [pp]</t>
  </si>
  <si>
    <t>Shift in G:T bits ratio [pp]</t>
  </si>
  <si>
    <t>Tot.Geom</t>
  </si>
  <si>
    <t xml:space="preserve">Colour </t>
  </si>
  <si>
    <t>Occ+Patch</t>
  </si>
  <si>
    <t>class</t>
  </si>
  <si>
    <t>sequence</t>
  </si>
  <si>
    <t>variant</t>
  </si>
  <si>
    <t>src.numpoints</t>
  </si>
  <si>
    <t>src.geometry-precision</t>
  </si>
  <si>
    <t>src.framecount</t>
  </si>
  <si>
    <t>src.framerate</t>
  </si>
  <si>
    <t>A.eqn.bitrate</t>
  </si>
  <si>
    <t>A.eqn.bpp</t>
  </si>
  <si>
    <t>A.eqn.bpp.geometry+occ+patch</t>
  </si>
  <si>
    <t>A.eqn.bpp.geometry</t>
  </si>
  <si>
    <t>A.eqn.bpp.colour</t>
  </si>
  <si>
    <t>A.eqn.bits.totalgeometry</t>
  </si>
  <si>
    <t>A.eqn.bpop</t>
  </si>
  <si>
    <t>A.dec.numpoints</t>
  </si>
  <si>
    <t>A.dec.numpoints.mean</t>
  </si>
  <si>
    <t>A.dec.numduppoints.mean</t>
  </si>
  <si>
    <t>A.enc.ext.bits</t>
  </si>
  <si>
    <t>A.enc.bits.geometry</t>
  </si>
  <si>
    <t>A.enc.bits.occ+patch</t>
  </si>
  <si>
    <t>A.enc.bits.colour</t>
  </si>
  <si>
    <t>A.dec.d1-psnr</t>
  </si>
  <si>
    <t>A.dec.d2-psnr</t>
  </si>
  <si>
    <t>A.dec.y-psnr</t>
  </si>
  <si>
    <t>A.dec.cb-psnr</t>
  </si>
  <si>
    <t>A.dec.cr-psnr</t>
  </si>
  <si>
    <t>A.enc.utime.self</t>
  </si>
  <si>
    <t>A.enc.utime.children</t>
  </si>
  <si>
    <t>A.dec.utime.self</t>
  </si>
  <si>
    <t>A.dec.utime.children</t>
  </si>
  <si>
    <t>B.eqn.bitrate</t>
  </si>
  <si>
    <t>B.eqn.bpp</t>
  </si>
  <si>
    <t>B.eqn.bpp.geometry+occ+patch</t>
  </si>
  <si>
    <t>B.eqn.bpp.geometry</t>
  </si>
  <si>
    <t>B.eqn.bpp.colour</t>
  </si>
  <si>
    <t>B.eqn.bits.totalgeometry</t>
  </si>
  <si>
    <t>B.eqn.bpop</t>
  </si>
  <si>
    <t>B.dec.numpoints</t>
  </si>
  <si>
    <t>B.dec.numpoints.mean</t>
  </si>
  <si>
    <t>B.dec.numduppoints.mean</t>
  </si>
  <si>
    <t>B.enc.ext.bits</t>
  </si>
  <si>
    <t>B.enc.bits.geometry</t>
  </si>
  <si>
    <t>B.enc.bits.occ+patch</t>
  </si>
  <si>
    <t>B.enc.bits.colour</t>
  </si>
  <si>
    <t>B.dec.d1-psnr</t>
  </si>
  <si>
    <t>B.dec.d2-psnr</t>
  </si>
  <si>
    <t>B.dec.y-psnr</t>
  </si>
  <si>
    <t>B.dec.cb-psnr</t>
  </si>
  <si>
    <t>B.dec.cr-psnr</t>
  </si>
  <si>
    <t>B.enc.utime.self</t>
  </si>
  <si>
    <t>B.enc.utime.children</t>
  </si>
  <si>
    <t>B.dec.utime.self</t>
  </si>
  <si>
    <t>B.dec.utime.children</t>
  </si>
  <si>
    <t>eqn.ab.delta-duppoints_ratio</t>
  </si>
  <si>
    <t>eqn.ab.delta-geom_texture_bits_ratio</t>
  </si>
  <si>
    <t>eqn.ab.summary-delta-geom_texture_bits_ratio</t>
  </si>
  <si>
    <t>eqn.ab.bdrate-d1-geomrate</t>
  </si>
  <si>
    <t>eqn.ab.bdrate-d2-geomrate</t>
  </si>
  <si>
    <t>eqn.ab.bdrate-y-attrrate</t>
  </si>
  <si>
    <t>eqn.ab.bdrate-cb-attrrate</t>
  </si>
  <si>
    <t>eqn.ab.bdrate-cr-attrrate</t>
  </si>
  <si>
    <t>eqn.ab.bdrate-d1</t>
  </si>
  <si>
    <t>eqn.ab.bdrate-d2</t>
  </si>
  <si>
    <t>eqn.ab.bdrate-y</t>
  </si>
  <si>
    <t>eqn.ab.bdrate-cb</t>
  </si>
  <si>
    <t>eqn.ab.bdrate-cr</t>
  </si>
  <si>
    <t>cat2-A</t>
  </si>
  <si>
    <t>r01</t>
  </si>
  <si>
    <t>r02</t>
  </si>
  <si>
    <t>r03</t>
  </si>
  <si>
    <t>r04</t>
  </si>
  <si>
    <t>r05</t>
  </si>
  <si>
    <t>cat2-B</t>
  </si>
  <si>
    <t>Overall</t>
  </si>
  <si>
    <t>Total time [s]</t>
  </si>
  <si>
    <t>Total time [%]</t>
  </si>
  <si>
    <t>Avg (geometric) time [s]</t>
  </si>
  <si>
    <t>Avg (geometric) time [%]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</si>
  <si>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</si>
  <si>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</si>
  <si>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</si>
  <si>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</si>
  <si>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</si>
  <si>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</si>
  <si>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</si>
  <si>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</si>
  <si>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</si>
  <si>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lossyG,lossyA,intra.A.eqn.bpp.geometry+occ+patch</t>
  </si>
  <si>
    <t>col.C2 lossyG,lossyA,intra.A.eqn.bpp.geometry</t>
  </si>
  <si>
    <t>col.C2 lossyG,lossyA,intra.A.eqn.bpp.colour</t>
  </si>
  <si>
    <t>col.C2 lossyG,lossyA,intra.A.eqn.bits.totalgeometry</t>
  </si>
  <si>
    <t>col.C2 lossyG,lossyA,intra.A.eqn.bpop</t>
  </si>
  <si>
    <t>col.C2 lossyG,lossyA,intra.A.dec.numpoints</t>
  </si>
  <si>
    <t>col.C2 lossyG,lossyA,intra.A.dec.numpoints.mean</t>
  </si>
  <si>
    <t>col.C2 lossyG,lossyA,intra.A.dec.numduppoints.mean</t>
  </si>
  <si>
    <t>col.C2 lossyG,lossyA,intra.A.enc.ext.bits</t>
  </si>
  <si>
    <t>col.C2 lossyG,lossyA,intra.A.enc.bits.geometry</t>
  </si>
  <si>
    <t>col.C2 lossyG,lossyA,intra.A.enc.bits.occ+patch</t>
  </si>
  <si>
    <t>col.C2 lossyG,lossyA,intra.A.enc.bits.colour</t>
  </si>
  <si>
    <t>col.C2 lossyG,lossyA,intra.A.dec.d1-psnr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</si>
  <si>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</si>
  <si>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</si>
  <si>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</si>
  <si>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</si>
  <si>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lossyG,lossyA,intra.A.enc.utime.self</t>
  </si>
  <si>
    <t>col.C2 lossyG,lossyA,intra.A.enc.utime.children</t>
  </si>
  <si>
    <t>col.C2 lossyG,lossyA,intra.A.dec.utime.self</t>
  </si>
  <si>
    <t>col.C2 lossyG,lossyA,intra.A.dec.utime.children</t>
  </si>
  <si>
    <t>col.C2 lossyG,lossyA,intra.B.eqn.bitrate</t>
  </si>
  <si>
    <t>col.C2 lossyG,lossyA,intra.B.eqn.bpp</t>
  </si>
  <si>
    <t>col.C2 lossyG,lossyA,intra.B.eqn.bpp.geometry+occ+patch</t>
  </si>
  <si>
    <t>col.C2 lossyG,lossyA,intra.B.eqn.bpp.geometry</t>
  </si>
  <si>
    <t>col.C2 lossyG,lossyA,intra.B.eqn.bpp.colour</t>
  </si>
  <si>
    <t>col.C2 lossyG,lossyA,intra.B.eqn.bits.totalgeometry</t>
  </si>
  <si>
    <t>col.C2 lossyG,lossyA,intra.B.eqn.bpop</t>
  </si>
  <si>
    <t>col.C2 lossyG,lossyA,intra.B.dec.numpoints</t>
  </si>
  <si>
    <t>col.C2 lossyG,lossyA,intra.B.dec.numpoints.mean</t>
  </si>
  <si>
    <t>col.C2 lossyG,lossyA,intra.B.dec.numduppoints.mean</t>
  </si>
  <si>
    <t>col.C2 lossyG,lossyA,intra.B.enc.ext.bits</t>
  </si>
  <si>
    <t>col.C2 lossyG,lossyA,intra.B.enc.bits.geometry</t>
  </si>
  <si>
    <t>col.C2 lossyG,lossyA,intra.B.enc.bits.occ+patch</t>
  </si>
  <si>
    <t>col.C2 lossyG,lossyA,intra.B.enc.bits.colour</t>
  </si>
  <si>
    <t>col.C2 lossyG,lossyA,intra.B.dec.d1-psnr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</si>
  <si>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</si>
  <si>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</si>
  <si>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</si>
  <si>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</si>
  <si>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lossyG,lossyA,intra.B.enc.utime.self</t>
  </si>
  <si>
    <t>col.C2 lossyG,lossyA,intra.B.enc.utime.children</t>
  </si>
  <si>
    <t>col.C2 lossyG,lossyA,intra.B.dec.utime.self</t>
  </si>
  <si>
    <t>col.C2 lossyG,lossyA,intra.B.dec.utime.children</t>
  </si>
  <si>
    <t>col.C2 lossyG,lossyA,intra.eqn.ab.delta-duppoints_ratio</t>
  </si>
  <si>
    <t>col.C2 lossyG,lossyA,intra.eqn.ab.delta-geom_texture_bits_ratio</t>
  </si>
  <si>
    <t>col.C2 lossyG,lossyA,intra.eqn.ab.summary-delta-geom_texture_bits_ratio</t>
  </si>
  <si>
    <t>col.C2 lossyG,lossyA,intra.eqn.ab.bdrate-d1-geomrate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</si>
  <si>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</si>
  <si>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</si>
  <si>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</si>
  <si>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</si>
  <si>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lossyG,lossyA,intra.eqn.ab.bdrate-d1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</si>
  <si>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</si>
  <si>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</si>
  <si>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</si>
  <si>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</si>
  <si>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name.A.C2 lossyG,lossyA,intra</t>
  </si>
  <si>
    <t>'C2 lossyG,lossyA,intra'!$I$1</t>
  </si>
  <si>
    <t>name.B.C2 lossyG,lossyA,intra</t>
  </si>
  <si>
    <t>'C2 lossyG,lossyA,intra'!$AG$1</t>
  </si>
  <si>
    <t>range.C2 lossyG,lossyA,intra.8ivfbv2_loot_vox10</t>
  </si>
  <si>
    <t>'C2 lossyG,lossyA,intra'!$A$5:$BS$9</t>
  </si>
  <si>
    <t>range.C2 lossyG,lossyA,intra.8ivfbv2_redandblack_vox10</t>
  </si>
  <si>
    <t>'C2 lossyG,lossyA,intra'!$A$10:$BS$14</t>
  </si>
  <si>
    <t>range.C2 lossyG,lossyA,intra.8ivfbv2_soldier_vox10</t>
  </si>
  <si>
    <t>'C2 lossyG,lossyA,intra'!$A$15:$BS$19</t>
  </si>
  <si>
    <t>range.C2 lossyG,lossyA,intra.queen</t>
  </si>
  <si>
    <t>'C2 lossyG,lossyA,intra'!$A$20:$BS$24</t>
  </si>
  <si>
    <t>range.C2 lossyG,lossyA,intra.8ivfbv2_longdress_vox10</t>
  </si>
  <si>
    <t>'C2 lossyG,lossyA,intra'!$A$25:$BS$29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</si>
  <si>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</si>
  <si>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</si>
  <si>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</si>
  <si>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</si>
  <si>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</si>
  <si>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</si>
  <si>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</si>
  <si>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</si>
  <si>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</si>
  <si>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</si>
  <si>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</si>
  <si>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</si>
  <si>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</si>
  <si>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</si>
  <si>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</si>
  <si>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</si>
  <si>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</si>
  <si>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</si>
  <si>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</si>
  <si>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</si>
  <si>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</si>
  <si>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</si>
  <si>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</si>
  <si>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</si>
  <si>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</si>
  <si>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</si>
  <si>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</si>
  <si>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</si>
  <si>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</si>
  <si>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</si>
  <si>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</si>
  <si>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</si>
  <si>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</si>
  <si>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</si>
  <si>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</si>
  <si>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</si>
  <si>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</si>
  <si>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</si>
  <si>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</si>
  <si>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</si>
  <si>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</si>
  <si>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</si>
  <si>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</si>
  <si>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</si>
  <si>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</si>
  <si>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</si>
  <si>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</si>
  <si>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</si>
  <si>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</si>
  <si>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</si>
  <si>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</si>
  <si>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col.CW losslG,losslA,intra.eqn.ab.ratio-bpp</t>
  </si>
  <si>
    <t>col.CW losslG,losslA,intra.eqn.ab.ratio-bpp-geometry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</si>
  <si>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</si>
  <si>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</si>
  <si>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</si>
  <si>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</si>
  <si>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</si>
  <si>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</si>
  <si>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</si>
  <si>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</si>
  <si>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</si>
  <si>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</si>
  <si>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</si>
  <si>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</si>
  <si>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</si>
  <si>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</si>
  <si>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</si>
  <si>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</si>
  <si>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</si>
  <si>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cols.CW losslG,losslA,intra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</si>
  <si>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</si>
  <si>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</si>
  <si>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</si>
  <si>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</si>
  <si>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</si>
  <si>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</si>
  <si>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</si>
  <si>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</si>
  <si>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</si>
  <si>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</si>
  <si>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</si>
  <si>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</si>
  <si>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</si>
  <si>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</si>
  <si>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</si>
  <si>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</si>
  <si>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</si>
  <si>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</si>
  <si>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</si>
  <si>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</si>
  <si>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</si>
  <si>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</si>
  <si>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</si>
  <si>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</si>
  <si>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</si>
  <si>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</si>
  <si>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</si>
  <si>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</si>
  <si>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</si>
  <si>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</si>
  <si>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</si>
  <si>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</si>
  <si>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</si>
  <si>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</si>
  <si>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</si>
  <si>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</si>
  <si>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</si>
  <si>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</si>
  <si>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</si>
  <si>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</si>
  <si>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</si>
  <si>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</si>
  <si>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</si>
  <si>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</si>
  <si>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</si>
  <si>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</si>
  <si>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</si>
  <si>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</si>
  <si>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</si>
  <si>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</si>
  <si>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</si>
  <si>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</si>
  <si>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</si>
  <si>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</si>
  <si>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</si>
  <si>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</si>
  <si>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</si>
  <si>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</si>
  <si>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</si>
  <si>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</si>
  <si>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</si>
  <si>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</si>
  <si>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</si>
  <si>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</si>
  <si>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</si>
  <si>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</si>
  <si>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</si>
  <si>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</si>
  <si>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</si>
  <si>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cols.CW losslG,losslA,interLD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</si>
  <si>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</si>
  <si>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</si>
  <si>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</si>
  <si>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</si>
  <si>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</si>
  <si>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</si>
  <si>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</si>
  <si>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</si>
  <si>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</si>
  <si>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</si>
  <si>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</si>
  <si>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</si>
  <si>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</si>
  <si>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</si>
  <si>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</si>
  <si>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</si>
  <si>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</si>
  <si>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</si>
  <si>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</si>
  <si>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</si>
  <si>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</si>
  <si>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</si>
  <si>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</si>
  <si>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</si>
  <si>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</si>
  <si>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</si>
  <si>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</si>
  <si>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</si>
  <si>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</si>
  <si>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</si>
  <si>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</si>
  <si>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</si>
  <si>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</si>
  <si>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</si>
  <si>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</si>
  <si>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</si>
  <si>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</si>
  <si>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</si>
  <si>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</si>
  <si>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</si>
  <si>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</si>
  <si>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</si>
  <si>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</si>
  <si>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</si>
  <si>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</si>
  <si>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</si>
  <si>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</si>
  <si>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</si>
  <si>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</si>
  <si>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</si>
  <si>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</si>
  <si>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</si>
  <si>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</si>
  <si>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</si>
  <si>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</si>
  <si>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</si>
  <si>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</si>
  <si>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</si>
  <si>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</si>
  <si>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</si>
  <si>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</si>
  <si>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</si>
  <si>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</si>
  <si>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</si>
  <si>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</si>
  <si>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</si>
  <si>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</si>
  <si>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</si>
  <si>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</si>
  <si>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</si>
  <si>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</si>
  <si>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</si>
  <si>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</si>
  <si>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</si>
  <si>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</si>
  <si>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</si>
  <si>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</si>
  <si>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</si>
  <si>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</si>
  <si>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</si>
  <si>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cols.C2 lossyG,lossyA,interRA</t>
  </si>
  <si>
    <t>CW_ai — lossless geometry, lossless attributes [all intra]</t>
  </si>
  <si>
    <t>Comp. ratio [%]</t>
  </si>
  <si>
    <t>A.eqn.compratio</t>
  </si>
  <si>
    <t>B.eqn.compratio</t>
  </si>
  <si>
    <t>eqn.ab.ratio-bpp</t>
  </si>
  <si>
    <t>eqn.ab.ratio-bpp-geometry</t>
  </si>
  <si>
    <t>eqn.ab.ratio-bpp-colour</t>
  </si>
  <si>
    <t>inf</t>
  </si>
  <si>
    <t>CW_ld — lossless geometry, lossless attributes [inter, low delay]</t>
  </si>
  <si>
    <t>C2_ra — lossy geometry, lossy attributes [inter, random access]</t>
  </si>
  <si>
    <t>Seq.</t>
  </si>
  <si>
    <t>CWAI</t>
  </si>
  <si>
    <t>CWLD</t>
  </si>
  <si>
    <t>C2AI</t>
  </si>
  <si>
    <t>C2RA</t>
  </si>
  <si>
    <t>Cond.</t>
  </si>
  <si>
    <t>Geo.</t>
  </si>
  <si>
    <t xml:space="preserve"> Cb</t>
  </si>
  <si>
    <t>Cr</t>
  </si>
  <si>
    <t>Cb</t>
  </si>
  <si>
    <t>A</t>
  </si>
  <si>
    <t>Loot</t>
  </si>
  <si>
    <t>R&amp;B</t>
  </si>
  <si>
    <t>Soldier</t>
  </si>
  <si>
    <t>Queen</t>
  </si>
  <si>
    <t>B</t>
  </si>
  <si>
    <t>Long.</t>
  </si>
  <si>
    <t>Avg.</t>
  </si>
  <si>
    <t>A avg</t>
  </si>
  <si>
    <t>B avg</t>
  </si>
  <si>
    <t>basketball_player_vox11</t>
  </si>
  <si>
    <t>dancer_vox11</t>
  </si>
  <si>
    <t>r6.0rc11.2</t>
  </si>
  <si>
    <t>cat2-C</t>
  </si>
  <si>
    <t>r6.0rc13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</si>
</sst>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" fillId="4" borderId="9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horizontal="center" wrapText="1"/>
    </xf>
    <xf numFmtId="0" fontId="1" fillId="5" borderId="11" xfId="0" applyFont="1" applyFill="1" applyBorder="1" applyAlignment="1">
      <alignment horizontal="center" wrapText="1"/>
    </xf>
    <xf numFmtId="0" fontId="1" fillId="5" borderId="10" xfId="0" applyFont="1" applyFill="1" applyBorder="1" applyAlignment="1">
      <alignment horizontal="center" wrapText="1"/>
    </xf>
    <xf numFmtId="0" fontId="1" fillId="4" borderId="12" xfId="0" applyFont="1" applyFill="1" applyBorder="1" applyAlignment="1">
      <alignment vertical="center" wrapText="1"/>
    </xf>
    <xf numFmtId="9" fontId="0" fillId="0" borderId="13" xfId="0" applyNumberFormat="1" applyBorder="1" applyAlignment="1">
      <alignment horizontal="center"/>
    </xf>
    <xf numFmtId="9" fontId="0" fillId="0" borderId="14" xfId="0" applyNumberFormat="1" applyBorder="1" applyAlignment="1">
      <alignment horizontal="center"/>
    </xf>
    <xf numFmtId="0" fontId="1" fillId="12" borderId="18" xfId="0" applyFont="1" applyFill="1" applyBorder="1" applyAlignment="1">
      <alignment horizontal="center" wrapText="1"/>
    </xf>
    <xf numFmtId="0" fontId="1" fillId="12" borderId="0" xfId="0" applyFont="1" applyFill="1" applyAlignment="1">
      <alignment horizontal="center" wrapText="1"/>
    </xf>
    <xf numFmtId="0" fontId="1" fillId="12" borderId="19" xfId="0" applyFont="1" applyFill="1" applyBorder="1" applyAlignment="1">
      <alignment horizontal="center" wrapText="1"/>
    </xf>
    <xf numFmtId="0" fontId="0" fillId="12" borderId="22" xfId="0" applyFill="1" applyBorder="1" applyAlignment="1">
      <alignment horizontal="center"/>
    </xf>
    <xf numFmtId="0" fontId="0" fillId="12" borderId="23" xfId="0" applyFill="1" applyBorder="1"/>
    <xf numFmtId="0" fontId="0" fillId="12" borderId="22" xfId="0" applyFill="1" applyBorder="1"/>
    <xf numFmtId="0" fontId="0" fillId="8" borderId="15" xfId="0" applyFill="1" applyBorder="1"/>
    <xf numFmtId="164" fontId="0" fillId="8" borderId="15" xfId="0" applyNumberFormat="1" applyFill="1" applyBorder="1" applyAlignment="1">
      <alignment horizontal="center"/>
    </xf>
    <xf numFmtId="0" fontId="0" fillId="13" borderId="6" xfId="0" applyFill="1" applyBorder="1"/>
    <xf numFmtId="9" fontId="0" fillId="0" borderId="6" xfId="0" applyNumberFormat="1" applyBorder="1"/>
    <xf numFmtId="9" fontId="0" fillId="0" borderId="7" xfId="0" applyNumberFormat="1" applyBorder="1"/>
    <xf numFmtId="0" fontId="0" fillId="10" borderId="18" xfId="0" applyFill="1" applyBorder="1"/>
    <xf numFmtId="0" fontId="0" fillId="10" borderId="0" xfId="0" applyFill="1"/>
    <xf numFmtId="164" fontId="0" fillId="10" borderId="18" xfId="0" applyNumberFormat="1" applyFill="1" applyBorder="1" applyAlignment="1">
      <alignment horizontal="center"/>
    </xf>
    <xf numFmtId="164" fontId="0" fillId="10" borderId="0" xfId="0" applyNumberFormat="1" applyFill="1" applyAlignment="1">
      <alignment horizontal="center"/>
    </xf>
    <xf numFmtId="164" fontId="0" fillId="10" borderId="19" xfId="0" applyNumberFormat="1" applyFill="1" applyBorder="1" applyAlignment="1">
      <alignment horizontal="center"/>
    </xf>
    <xf numFmtId="0" fontId="0" fillId="14" borderId="22" xfId="0" applyFill="1" applyBorder="1"/>
    <xf numFmtId="9" fontId="0" fillId="14" borderId="22" xfId="0" applyNumberFormat="1" applyFill="1" applyBorder="1"/>
    <xf numFmtId="9" fontId="0" fillId="14" borderId="23" xfId="0" applyNumberFormat="1" applyFill="1" applyBorder="1"/>
    <xf numFmtId="0" fontId="0" fillId="8" borderId="18" xfId="0" applyFill="1" applyBorder="1"/>
    <xf numFmtId="0" fontId="0" fillId="8" borderId="0" xfId="0" applyFill="1"/>
    <xf numFmtId="164" fontId="0" fillId="8" borderId="18" xfId="0" applyNumberFormat="1" applyFill="1" applyBorder="1" applyAlignment="1">
      <alignment horizontal="center"/>
    </xf>
    <xf numFmtId="164" fontId="0" fillId="8" borderId="0" xfId="0" applyNumberFormat="1" applyFill="1" applyAlignment="1">
      <alignment horizontal="center"/>
    </xf>
    <xf numFmtId="164" fontId="0" fillId="8" borderId="19" xfId="0" applyNumberFormat="1" applyFill="1" applyBorder="1" applyAlignment="1">
      <alignment horizontal="center"/>
    </xf>
    <xf numFmtId="0" fontId="0" fillId="13" borderId="22" xfId="0" applyFill="1" applyBorder="1"/>
    <xf numFmtId="9" fontId="0" fillId="13" borderId="22" xfId="0" applyNumberFormat="1" applyFill="1" applyBorder="1"/>
    <xf numFmtId="9" fontId="0" fillId="13" borderId="23" xfId="0" applyNumberFormat="1" applyFill="1" applyBorder="1"/>
    <xf numFmtId="0" fontId="0" fillId="10" borderId="20" xfId="0" applyFill="1" applyBorder="1"/>
    <xf numFmtId="164" fontId="0" fillId="10" borderId="20" xfId="0" applyNumberFormat="1" applyFill="1" applyBorder="1" applyAlignment="1">
      <alignment horizontal="center"/>
    </xf>
    <xf numFmtId="164" fontId="0" fillId="10" borderId="21" xfId="0" applyNumberFormat="1" applyFill="1" applyBorder="1" applyAlignment="1">
      <alignment horizontal="center"/>
    </xf>
    <xf numFmtId="0" fontId="0" fillId="14" borderId="9" xfId="0" applyFill="1" applyBorder="1"/>
    <xf numFmtId="9" fontId="0" fillId="14" borderId="9" xfId="0" applyNumberFormat="1" applyFill="1" applyBorder="1"/>
    <xf numFmtId="9" fontId="0" fillId="14" borderId="10" xfId="0" applyNumberFormat="1" applyFill="1" applyBorder="1"/>
    <xf numFmtId="0" fontId="0" fillId="8" borderId="20" xfId="0" applyFill="1" applyBorder="1"/>
    <xf numFmtId="164" fontId="0" fillId="8" borderId="20" xfId="0" applyNumberFormat="1" applyFill="1" applyBorder="1" applyAlignment="1">
      <alignment horizontal="center"/>
    </xf>
    <xf numFmtId="164" fontId="0" fillId="8" borderId="21" xfId="0" applyNumberFormat="1" applyFill="1" applyBorder="1" applyAlignment="1">
      <alignment horizontal="center"/>
    </xf>
    <xf numFmtId="0" fontId="0" fillId="0" borderId="12" xfId="0" applyBorder="1"/>
    <xf numFmtId="9" fontId="0" fillId="0" borderId="12" xfId="0" applyNumberFormat="1" applyBorder="1"/>
    <xf numFmtId="9" fontId="0" fillId="0" borderId="14" xfId="0" applyNumberFormat="1" applyBorder="1"/>
    <xf numFmtId="9" fontId="0" fillId="0" borderId="4" xfId="0" applyNumberFormat="1" applyBorder="1"/>
    <xf numFmtId="164" fontId="0" fillId="0" borderId="18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9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0" fillId="8" borderId="25" xfId="0" applyFill="1" applyBorder="1"/>
    <xf numFmtId="164" fontId="0" fillId="8" borderId="25" xfId="0" applyNumberFormat="1" applyFill="1" applyBorder="1" applyAlignment="1">
      <alignment horizontal="center"/>
    </xf>
    <xf numFmtId="164" fontId="0" fillId="8" borderId="28" xfId="0" applyNumberFormat="1" applyFill="1" applyBorder="1" applyAlignment="1">
      <alignment horizontal="center"/>
    </xf>
    <xf numFmtId="0" fontId="0" fillId="0" borderId="0" xfId="0"/>
    <xf numFmtId="0" fontId="0" fillId="8" borderId="0" xfId="0" applyFill="1" applyBorder="1"/>
    <xf numFmtId="0" fontId="0" fillId="8" borderId="0" xfId="0" applyFill="1" applyBorder="1" applyAlignment="1">
      <alignment horizontal="center"/>
    </xf>
    <xf numFmtId="9" fontId="0" fillId="8" borderId="0" xfId="0" applyNumberFormat="1" applyFill="1" applyBorder="1" applyAlignment="1">
      <alignment horizontal="center"/>
    </xf>
    <xf numFmtId="165" fontId="0" fillId="8" borderId="0" xfId="0" applyNumberFormat="1" applyFill="1" applyBorder="1" applyAlignment="1">
      <alignment horizontal="center"/>
    </xf>
    <xf numFmtId="2" fontId="0" fillId="8" borderId="0" xfId="0" applyNumberForma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2" fontId="0" fillId="9" borderId="0" xfId="0" applyNumberFormat="1" applyFill="1" applyBorder="1" applyAlignment="1">
      <alignment horizontal="center"/>
    </xf>
    <xf numFmtId="166" fontId="0" fillId="9" borderId="0" xfId="0" applyNumberFormat="1" applyFill="1" applyBorder="1" applyAlignment="1">
      <alignment horizontal="center"/>
    </xf>
    <xf numFmtId="164" fontId="0" fillId="8" borderId="0" xfId="0" applyNumberFormat="1" applyFill="1" applyBorder="1" applyAlignment="1">
      <alignment horizontal="center"/>
    </xf>
    <xf numFmtId="10" fontId="0" fillId="8" borderId="0" xfId="0" applyNumberFormat="1" applyFill="1" applyAlignment="1">
      <alignment horizontal="center"/>
    </xf>
    <xf numFmtId="10" fontId="0" fillId="0" borderId="0" xfId="0" applyNumberFormat="1"/>
    <xf numFmtId="10" fontId="0" fillId="10" borderId="0" xfId="0" applyNumberFormat="1" applyFill="1" applyAlignment="1">
      <alignment horizontal="center"/>
    </xf>
    <xf numFmtId="10" fontId="0" fillId="8" borderId="3" xfId="0" applyNumberFormat="1" applyFill="1" applyBorder="1" applyAlignment="1">
      <alignment horizontal="center"/>
    </xf>
    <xf numFmtId="10" fontId="0" fillId="10" borderId="3" xfId="0" applyNumberFormat="1" applyFill="1" applyBorder="1" applyAlignment="1">
      <alignment horizontal="center"/>
    </xf>
    <xf numFmtId="0" fontId="0" fillId="0" borderId="0" xfId="0"/>
    <xf numFmtId="9" fontId="0" fillId="0" borderId="0" xfId="0" applyNumberFormat="1" applyAlignment="1">
      <alignment horizontal="center"/>
    </xf>
    <xf numFmtId="0" fontId="0" fillId="0" borderId="0" xfId="0"/>
    <xf numFmtId="9" fontId="0" fillId="0" borderId="3" xfId="0" applyNumberFormat="1" applyBorder="1" applyAlignment="1">
      <alignment horizontal="center"/>
    </xf>
    <xf numFmtId="0" fontId="0" fillId="0" borderId="3" xfId="0" applyBorder="1"/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13" xfId="0" applyFont="1" applyBorder="1" applyAlignment="1">
      <alignment horizontal="center" wrapText="1"/>
    </xf>
    <xf numFmtId="0" fontId="0" fillId="0" borderId="8" xfId="0" applyBorder="1"/>
    <xf numFmtId="0" fontId="1" fillId="4" borderId="5" xfId="0" applyFont="1" applyFill="1" applyBorder="1" applyAlignment="1">
      <alignment horizontal="center" wrapText="1"/>
    </xf>
    <xf numFmtId="0" fontId="0" fillId="0" borderId="7" xfId="0" applyBorder="1"/>
    <xf numFmtId="0" fontId="1" fillId="5" borderId="5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0" borderId="29" xfId="0" applyFont="1" applyBorder="1" applyAlignment="1">
      <alignment horizontal="left" wrapText="1"/>
    </xf>
    <xf numFmtId="0" fontId="0" fillId="0" borderId="19" xfId="0" applyBorder="1"/>
    <xf numFmtId="0" fontId="1" fillId="0" borderId="30" xfId="0" applyFont="1" applyBorder="1" applyAlignment="1">
      <alignment horizontal="left" wrapText="1"/>
    </xf>
    <xf numFmtId="0" fontId="0" fillId="0" borderId="21" xfId="0" applyBorder="1"/>
    <xf numFmtId="0" fontId="1" fillId="12" borderId="15" xfId="0" applyFont="1" applyFill="1" applyBorder="1" applyAlignment="1">
      <alignment horizontal="center" wrapText="1"/>
    </xf>
    <xf numFmtId="0" fontId="0" fillId="0" borderId="25" xfId="0" applyBorder="1"/>
    <xf numFmtId="0" fontId="1" fillId="12" borderId="28" xfId="0" applyFont="1" applyFill="1" applyBorder="1" applyAlignment="1">
      <alignment horizontal="center" wrapText="1"/>
    </xf>
    <xf numFmtId="0" fontId="0" fillId="0" borderId="28" xfId="0" applyBorder="1"/>
    <xf numFmtId="0" fontId="0" fillId="12" borderId="13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/>
    </xf>
    <xf numFmtId="0" fontId="1" fillId="0" borderId="24" xfId="0" applyFont="1" applyBorder="1" applyAlignment="1">
      <alignment horizontal="left" wrapText="1"/>
    </xf>
    <xf numFmtId="0" fontId="1" fillId="12" borderId="16" xfId="0" applyFont="1" applyFill="1" applyBorder="1" applyAlignment="1">
      <alignment horizontal="center" vertical="top" textRotation="180" wrapText="1"/>
    </xf>
    <xf numFmtId="0" fontId="0" fillId="0" borderId="18" xfId="0" applyBorder="1"/>
    <xf numFmtId="0" fontId="0" fillId="0" borderId="20" xfId="0" applyBorder="1"/>
    <xf numFmtId="0" fontId="1" fillId="12" borderId="17" xfId="0" applyFont="1" applyFill="1" applyBorder="1" applyAlignment="1">
      <alignment horizontal="center" vertical="top" textRotation="180"/>
    </xf>
    <xf numFmtId="0" fontId="0" fillId="12" borderId="26" xfId="0" applyFill="1" applyBorder="1" applyAlignment="1">
      <alignment horizontal="center"/>
    </xf>
    <xf numFmtId="0" fontId="0" fillId="0" borderId="27" xfId="0" applyBorder="1"/>
    <xf numFmtId="0" fontId="0" fillId="0" borderId="17" xfId="0" applyBorder="1"/>
    <xf numFmtId="0" fontId="1" fillId="12" borderId="24" xfId="0" applyFont="1" applyFill="1" applyBorder="1" applyAlignment="1">
      <alignment horizontal="center" wrapText="1"/>
    </xf>
  </cellXfs>
  <cellStyles count="1">
    <cellStyle name="Normal" xfId="0" builtinId="0"/>
  </cellStyles>
  <dxfs count="192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r6.0rc11.2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66.333168999999998</c:v>
                </c:pt>
                <c:pt idx="1">
                  <c:v>68.238112000000001</c:v>
                </c:pt>
                <c:pt idx="2">
                  <c:v>69.677408999999997</c:v>
                </c:pt>
                <c:pt idx="3">
                  <c:v>70.749765999999994</c:v>
                </c:pt>
                <c:pt idx="4">
                  <c:v>72.062166000000005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D4-8947-A2D1-29B71D19CA3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r6.0rc13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Graphs!graph_a_x_range_B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66.333168999999998</c:v>
                </c:pt>
                <c:pt idx="1">
                  <c:v>68.238112000000001</c:v>
                </c:pt>
                <c:pt idx="2">
                  <c:v>69.677408999999997</c:v>
                </c:pt>
                <c:pt idx="3">
                  <c:v>70.749765999999994</c:v>
                </c:pt>
                <c:pt idx="4">
                  <c:v>72.062166000000005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D4-8947-A2D1-29B71D19C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r6.0rc11.2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68.402850000000001</c:v>
                </c:pt>
                <c:pt idx="1">
                  <c:v>70.356650000000002</c:v>
                </c:pt>
                <c:pt idx="2">
                  <c:v>72.041343999999995</c:v>
                </c:pt>
                <c:pt idx="3">
                  <c:v>73.293744000000004</c:v>
                </c:pt>
                <c:pt idx="4">
                  <c:v>75.321166000000005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99-AC4A-8F6A-27F76182C4E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r6.0rc13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Graphs!graph_b_x_range_B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68.402850000000001</c:v>
                </c:pt>
                <c:pt idx="1">
                  <c:v>70.356650000000002</c:v>
                </c:pt>
                <c:pt idx="2">
                  <c:v>72.041343999999995</c:v>
                </c:pt>
                <c:pt idx="3">
                  <c:v>73.293744000000004</c:v>
                </c:pt>
                <c:pt idx="4">
                  <c:v>75.321166000000005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99-AC4A-8F6A-27F76182C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r6.0rc11.2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32.165624999999999</c:v>
                </c:pt>
                <c:pt idx="1">
                  <c:v>34.445497000000003</c:v>
                </c:pt>
                <c:pt idx="2">
                  <c:v>36.986227999999997</c:v>
                </c:pt>
                <c:pt idx="3">
                  <c:v>39.614122000000002</c:v>
                </c:pt>
                <c:pt idx="4">
                  <c:v>42.039611999999998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C2-E441-A7E2-6638842E35BD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r6.0rc13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Graphs!graph_c_x_range_B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32.165624999999999</c:v>
                </c:pt>
                <c:pt idx="1">
                  <c:v>34.445497000000003</c:v>
                </c:pt>
                <c:pt idx="2">
                  <c:v>36.986227999999997</c:v>
                </c:pt>
                <c:pt idx="3">
                  <c:v>39.614122000000002</c:v>
                </c:pt>
                <c:pt idx="4">
                  <c:v>42.039611999999998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C2-E441-A7E2-6638842E3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r6.0rc11.2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44.153830999999997</c:v>
                </c:pt>
                <c:pt idx="1">
                  <c:v>45.472078000000003</c:v>
                </c:pt>
                <c:pt idx="2">
                  <c:v>46.565627999999997</c:v>
                </c:pt>
                <c:pt idx="3">
                  <c:v>47.886353</c:v>
                </c:pt>
                <c:pt idx="4">
                  <c:v>49.434652999999997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49-BA40-B705-A8CB21BB7032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r6.0rc13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Graphs!graph_d_x_range_B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44.153830999999997</c:v>
                </c:pt>
                <c:pt idx="1">
                  <c:v>45.472078000000003</c:v>
                </c:pt>
                <c:pt idx="2">
                  <c:v>46.565627999999997</c:v>
                </c:pt>
                <c:pt idx="3">
                  <c:v>47.886353</c:v>
                </c:pt>
                <c:pt idx="4">
                  <c:v>49.434652999999997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49-BA40-B705-A8CB21BB7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r6.0rc11.2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43.731209</c:v>
                </c:pt>
                <c:pt idx="1">
                  <c:v>45.189937</c:v>
                </c:pt>
                <c:pt idx="2">
                  <c:v>46.444780999999999</c:v>
                </c:pt>
                <c:pt idx="3">
                  <c:v>47.917003000000001</c:v>
                </c:pt>
                <c:pt idx="4">
                  <c:v>49.581252999999997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DE-3A48-A662-497BFAF37210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r6.0rc13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Graphs!graph_e_x_range_B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43.731209</c:v>
                </c:pt>
                <c:pt idx="1">
                  <c:v>45.189937</c:v>
                </c:pt>
                <c:pt idx="2">
                  <c:v>46.444780999999999</c:v>
                </c:pt>
                <c:pt idx="3">
                  <c:v>47.917003000000001</c:v>
                </c:pt>
                <c:pt idx="4">
                  <c:v>49.581252999999997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DE-3A48-A662-497BFAF37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r6.0rc11.2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03-4F4E-BFC0-DA79BEDAE28C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r6.0rc13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Graphs!graph_f_x_range_B</c:f>
              <c:numCache>
                <c:formatCode>0.00</c:formatCode>
                <c:ptCount val="5"/>
                <c:pt idx="0">
                  <c:v>1.0074274020805967E-2</c:v>
                </c:pt>
                <c:pt idx="1">
                  <c:v>1.5630721861327725E-2</c:v>
                </c:pt>
                <c:pt idx="2">
                  <c:v>2.560680417785546E-2</c:v>
                </c:pt>
                <c:pt idx="3">
                  <c:v>4.4514972305416962E-2</c:v>
                </c:pt>
                <c:pt idx="4">
                  <c:v>8.1219353855335144E-2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03-4F4E-BFC0-DA79BEDAE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55"/>
  <sheetViews>
    <sheetView workbookViewId="0">
      <selection activeCell="C2" sqref="C2:E2"/>
    </sheetView>
  </sheetViews>
  <sheetFormatPr baseColWidth="10" defaultColWidth="8.83203125" defaultRowHeight="15" x14ac:dyDescent="0.2"/>
  <cols>
    <col min="2" max="2" width="16.6640625" style="4" customWidth="1"/>
    <col min="3" max="12" width="24.6640625" style="4" customWidth="1"/>
  </cols>
  <sheetData>
    <row r="1" spans="2:12" x14ac:dyDescent="0.2">
      <c r="B1" t="s">
        <v>0</v>
      </c>
      <c r="C1" s="140" t="s">
        <v>1</v>
      </c>
      <c r="D1" s="127"/>
      <c r="E1" s="127"/>
    </row>
    <row r="2" spans="2:12" x14ac:dyDescent="0.2">
      <c r="B2" t="s">
        <v>2</v>
      </c>
      <c r="C2" s="141" t="s">
        <v>3</v>
      </c>
      <c r="D2" s="127"/>
      <c r="E2" s="127"/>
    </row>
    <row r="4" spans="2:12" s="1" customFormat="1" x14ac:dyDescent="0.2">
      <c r="B4" s="1" t="s">
        <v>4</v>
      </c>
    </row>
    <row r="6" spans="2:12" x14ac:dyDescent="0.2">
      <c r="B6" s="130" t="s">
        <v>5</v>
      </c>
      <c r="C6" s="131" t="s">
        <v>6</v>
      </c>
      <c r="D6" s="132"/>
      <c r="E6" s="132"/>
      <c r="F6" s="132"/>
      <c r="G6" s="132"/>
      <c r="H6" s="132"/>
      <c r="I6" s="132"/>
      <c r="J6" s="132"/>
      <c r="K6" s="132"/>
      <c r="L6" s="132"/>
    </row>
    <row r="7" spans="2:12" x14ac:dyDescent="0.2">
      <c r="B7" s="127"/>
      <c r="C7" s="133" t="s">
        <v>7</v>
      </c>
      <c r="D7" s="127"/>
      <c r="E7" s="134" t="s">
        <v>8</v>
      </c>
      <c r="F7" s="127"/>
      <c r="G7" s="127"/>
      <c r="H7" s="133" t="s">
        <v>9</v>
      </c>
      <c r="I7" s="127"/>
      <c r="J7" s="134" t="s">
        <v>10</v>
      </c>
      <c r="K7" s="127"/>
      <c r="L7" s="127"/>
    </row>
    <row r="8" spans="2:12" ht="16" x14ac:dyDescent="0.2">
      <c r="B8" s="129"/>
      <c r="C8" s="2" t="s">
        <v>11</v>
      </c>
      <c r="D8" s="2" t="s">
        <v>12</v>
      </c>
      <c r="E8" s="3" t="s">
        <v>13</v>
      </c>
      <c r="F8" s="3" t="s">
        <v>14</v>
      </c>
      <c r="G8" s="3" t="s">
        <v>15</v>
      </c>
      <c r="H8" s="2" t="s">
        <v>11</v>
      </c>
      <c r="I8" s="2" t="s">
        <v>12</v>
      </c>
      <c r="J8" s="3" t="s">
        <v>13</v>
      </c>
      <c r="K8" s="3" t="s">
        <v>14</v>
      </c>
      <c r="L8" s="3" t="s">
        <v>15</v>
      </c>
    </row>
    <row r="9" spans="2:12" x14ac:dyDescent="0.2">
      <c r="B9" t="s">
        <v>16</v>
      </c>
      <c r="C9" s="98">
        <f>'C2 lossyG,lossyA,intra'!$BI$40:$BI$40</f>
        <v>0</v>
      </c>
      <c r="D9" s="98">
        <f>'C2 lossyG,lossyA,intra'!$BJ$40:$BJ$40</f>
        <v>0</v>
      </c>
      <c r="E9" s="98">
        <f>'C2 lossyG,lossyA,intra'!$BK$40:$BK$40</f>
        <v>0</v>
      </c>
      <c r="F9" s="98">
        <f>'C2 lossyG,lossyA,intra'!$BL$40:$BL$40</f>
        <v>0</v>
      </c>
      <c r="G9" s="98">
        <f>'C2 lossyG,lossyA,intra'!$BM$40:$BM$40</f>
        <v>0</v>
      </c>
      <c r="H9" s="98">
        <f>'C2 lossyG,lossyA,intra'!$BO$40:$BO$40</f>
        <v>0</v>
      </c>
      <c r="I9" s="98">
        <f>'C2 lossyG,lossyA,intra'!$BP$40:$BP$40</f>
        <v>0</v>
      </c>
      <c r="J9" s="98">
        <f>'C2 lossyG,lossyA,intra'!$BQ$40:$BQ$40</f>
        <v>0</v>
      </c>
      <c r="K9" s="98">
        <f>'C2 lossyG,lossyA,intra'!$BR$40:$BR$40</f>
        <v>0</v>
      </c>
      <c r="L9" s="98">
        <f>'C2 lossyG,lossyA,intra'!$BS$40:$BS$40</f>
        <v>0</v>
      </c>
    </row>
    <row r="10" spans="2:12" x14ac:dyDescent="0.2">
      <c r="B10" t="s">
        <v>17</v>
      </c>
      <c r="C10" s="98">
        <f>'C2 lossyG,lossyA,intra'!$BI$41:$BI$41</f>
        <v>0</v>
      </c>
      <c r="D10" s="98">
        <f>'C2 lossyG,lossyA,intra'!$BJ$41:$BJ$41</f>
        <v>0</v>
      </c>
      <c r="E10" s="98">
        <f>'C2 lossyG,lossyA,intra'!$BK$41:$BK$41</f>
        <v>0</v>
      </c>
      <c r="F10" s="98">
        <f>'C2 lossyG,lossyA,intra'!$BL$41:$BL$41</f>
        <v>0</v>
      </c>
      <c r="G10" s="98">
        <f>'C2 lossyG,lossyA,intra'!$BM$41:$BM$41</f>
        <v>0</v>
      </c>
      <c r="H10" s="98">
        <f>'C2 lossyG,lossyA,intra'!$BO$41:$BO$41</f>
        <v>0</v>
      </c>
      <c r="I10" s="98">
        <f>'C2 lossyG,lossyA,intra'!$BP$41:$BP$41</f>
        <v>0</v>
      </c>
      <c r="J10" s="98">
        <f>'C2 lossyG,lossyA,intra'!$BQ$41:$BQ$41</f>
        <v>0</v>
      </c>
      <c r="K10" s="98">
        <f>'C2 lossyG,lossyA,intra'!$BR$41:$BR$41</f>
        <v>0</v>
      </c>
      <c r="L10" s="98">
        <f>'C2 lossyG,lossyA,intra'!$BS$41:$BS$41</f>
        <v>0</v>
      </c>
    </row>
    <row r="11" spans="2:12" x14ac:dyDescent="0.2">
      <c r="B11" s="5" t="s">
        <v>18</v>
      </c>
      <c r="C11" s="6">
        <f>'C2 lossyG,lossyA,intra'!$BI$42:$BI$42</f>
        <v>0</v>
      </c>
      <c r="D11" s="6">
        <f>'C2 lossyG,lossyA,intra'!$BJ$42:$BJ$42</f>
        <v>0</v>
      </c>
      <c r="E11" s="6">
        <f>'C2 lossyG,lossyA,intra'!$BK$42:$BK$42</f>
        <v>0</v>
      </c>
      <c r="F11" s="6">
        <f>'C2 lossyG,lossyA,intra'!$BL$42:$BL$42</f>
        <v>0</v>
      </c>
      <c r="G11" s="6">
        <f>'C2 lossyG,lossyA,intra'!$BM$42:$BM$42</f>
        <v>0</v>
      </c>
      <c r="H11" s="6">
        <f>'C2 lossyG,lossyA,intra'!$BO$42:$BO$42</f>
        <v>0</v>
      </c>
      <c r="I11" s="6">
        <f>'C2 lossyG,lossyA,intra'!$BP$42:$BP$42</f>
        <v>0</v>
      </c>
      <c r="J11" s="6">
        <f>'C2 lossyG,lossyA,intra'!$BQ$42:$BQ$42</f>
        <v>0</v>
      </c>
      <c r="K11" s="6">
        <f>'C2 lossyG,lossyA,intra'!$BR$42:$BR$42</f>
        <v>0</v>
      </c>
      <c r="L11" s="6">
        <f>'C2 lossyG,lossyA,intra'!$BS$42:$BS$42</f>
        <v>0</v>
      </c>
    </row>
    <row r="12" spans="2:12" x14ac:dyDescent="0.2">
      <c r="B12" t="s">
        <v>19</v>
      </c>
      <c r="C12" s="126">
        <f>'C2 lossyG,lossyA,intra'!AZ46</f>
        <v>0.96552404780299583</v>
      </c>
      <c r="D12" s="127"/>
      <c r="E12" s="127"/>
      <c r="F12" s="127"/>
      <c r="G12" s="127"/>
      <c r="H12" s="127"/>
      <c r="I12" s="127"/>
      <c r="J12" s="127"/>
      <c r="K12" s="127"/>
      <c r="L12" s="127"/>
    </row>
    <row r="13" spans="2:12" x14ac:dyDescent="0.2">
      <c r="B13" s="7" t="s">
        <v>20</v>
      </c>
      <c r="C13" s="128">
        <f>'C2 lossyG,lossyA,intra'!BB46</f>
        <v>0.99866283809399503</v>
      </c>
      <c r="D13" s="129"/>
      <c r="E13" s="129"/>
      <c r="F13" s="129"/>
      <c r="G13" s="129"/>
      <c r="H13" s="129"/>
      <c r="I13" s="129"/>
      <c r="J13" s="129"/>
      <c r="K13" s="129"/>
      <c r="L13" s="129"/>
    </row>
    <row r="15" spans="2:12" x14ac:dyDescent="0.2">
      <c r="B15" s="130" t="s">
        <v>21</v>
      </c>
      <c r="C15" s="131" t="s">
        <v>22</v>
      </c>
      <c r="D15" s="132"/>
      <c r="E15" s="132"/>
    </row>
    <row r="16" spans="2:12" x14ac:dyDescent="0.2">
      <c r="B16" s="127"/>
      <c r="C16" s="133" t="s">
        <v>23</v>
      </c>
      <c r="D16" s="127"/>
      <c r="E16" s="127"/>
    </row>
    <row r="17" spans="2:5" ht="16" x14ac:dyDescent="0.2">
      <c r="B17" s="129"/>
      <c r="C17" s="2" t="s">
        <v>24</v>
      </c>
      <c r="D17" s="2" t="s">
        <v>25</v>
      </c>
      <c r="E17" s="2" t="s">
        <v>26</v>
      </c>
    </row>
    <row r="18" spans="2:5" x14ac:dyDescent="0.2">
      <c r="B18" t="s">
        <v>16</v>
      </c>
      <c r="C18" s="98">
        <f>'CW losslG,losslA,intra'!BC12</f>
        <v>1</v>
      </c>
      <c r="D18" s="98">
        <f>'CW losslG,losslA,intra'!BB12</f>
        <v>1</v>
      </c>
      <c r="E18" s="98">
        <f>'CW losslG,losslA,intra'!BD12</f>
        <v>1</v>
      </c>
    </row>
    <row r="19" spans="2:5" x14ac:dyDescent="0.2">
      <c r="B19" t="s">
        <v>17</v>
      </c>
      <c r="C19" s="98">
        <f>'CW losslG,losslA,intra'!BC13</f>
        <v>1</v>
      </c>
      <c r="D19" s="98">
        <f>'CW losslG,losslA,intra'!BB13</f>
        <v>1</v>
      </c>
      <c r="E19" s="98">
        <f>'CW losslG,losslA,intra'!BD13</f>
        <v>1</v>
      </c>
    </row>
    <row r="20" spans="2:5" x14ac:dyDescent="0.2">
      <c r="B20" s="5" t="s">
        <v>18</v>
      </c>
      <c r="C20" s="6">
        <f>'CW losslG,losslA,intra'!BC14</f>
        <v>1</v>
      </c>
      <c r="D20" s="6">
        <f>'CW losslG,losslA,intra'!BB14</f>
        <v>1</v>
      </c>
      <c r="E20" s="6">
        <f>'CW losslG,losslA,intra'!BD14</f>
        <v>1</v>
      </c>
    </row>
    <row r="21" spans="2:5" x14ac:dyDescent="0.2">
      <c r="B21" t="s">
        <v>19</v>
      </c>
      <c r="C21" s="126" t="e">
        <f>'CW losslG,losslA,intra'!AW18</f>
        <v>#NUM!</v>
      </c>
      <c r="D21" s="127"/>
      <c r="E21" s="127"/>
    </row>
    <row r="22" spans="2:5" x14ac:dyDescent="0.2">
      <c r="B22" s="7" t="s">
        <v>20</v>
      </c>
      <c r="C22" s="128" t="e">
        <f>'CW losslG,losslA,intra'!AY18</f>
        <v>#NUM!</v>
      </c>
      <c r="D22" s="129"/>
      <c r="E22" s="129"/>
    </row>
    <row r="24" spans="2:5" s="1" customFormat="1" x14ac:dyDescent="0.2">
      <c r="B24" s="1" t="s">
        <v>27</v>
      </c>
    </row>
    <row r="26" spans="2:5" x14ac:dyDescent="0.2">
      <c r="B26" s="130" t="s">
        <v>28</v>
      </c>
      <c r="C26" s="131" t="s">
        <v>29</v>
      </c>
      <c r="D26" s="132"/>
      <c r="E26" s="132"/>
    </row>
    <row r="27" spans="2:5" x14ac:dyDescent="0.2">
      <c r="B27" s="127"/>
      <c r="C27" s="133" t="s">
        <v>23</v>
      </c>
      <c r="D27" s="127"/>
      <c r="E27" s="127"/>
    </row>
    <row r="28" spans="2:5" ht="16" x14ac:dyDescent="0.2">
      <c r="B28" s="129"/>
      <c r="C28" s="2" t="s">
        <v>25</v>
      </c>
      <c r="D28" s="2" t="s">
        <v>24</v>
      </c>
      <c r="E28" s="2" t="s">
        <v>26</v>
      </c>
    </row>
    <row r="29" spans="2:5" x14ac:dyDescent="0.2">
      <c r="B29" t="s">
        <v>16</v>
      </c>
      <c r="C29" s="98">
        <f>'CW losslG,losslA,interLD'!BB12</f>
        <v>1</v>
      </c>
      <c r="D29" s="98">
        <f>'CW losslG,losslA,interLD'!BC12</f>
        <v>1</v>
      </c>
      <c r="E29" s="98">
        <f>'CW losslG,losslA,interLD'!BD12</f>
        <v>1</v>
      </c>
    </row>
    <row r="30" spans="2:5" x14ac:dyDescent="0.2">
      <c r="B30" t="s">
        <v>17</v>
      </c>
      <c r="C30" s="98">
        <f>'CW losslG,losslA,interLD'!BB13</f>
        <v>1</v>
      </c>
      <c r="D30" s="98">
        <f>'CW losslG,losslA,interLD'!BC13</f>
        <v>1</v>
      </c>
      <c r="E30" s="98">
        <f>'CW losslG,losslA,interLD'!BD13</f>
        <v>1</v>
      </c>
    </row>
    <row r="31" spans="2:5" x14ac:dyDescent="0.2">
      <c r="B31" s="5" t="s">
        <v>18</v>
      </c>
      <c r="C31" s="6">
        <f>'CW losslG,losslA,interLD'!BB14</f>
        <v>1</v>
      </c>
      <c r="D31" s="6">
        <f>'CW losslG,losslA,interLD'!BC14</f>
        <v>1</v>
      </c>
      <c r="E31" s="6">
        <f>'CW losslG,losslA,interLD'!BD14</f>
        <v>1</v>
      </c>
    </row>
    <row r="32" spans="2:5" x14ac:dyDescent="0.2">
      <c r="B32" t="s">
        <v>19</v>
      </c>
      <c r="C32" s="126" t="e">
        <f>'CW losslG,losslA,interLD'!AW18</f>
        <v>#NUM!</v>
      </c>
      <c r="D32" s="127"/>
      <c r="E32" s="127"/>
    </row>
    <row r="33" spans="2:12" x14ac:dyDescent="0.2">
      <c r="B33" s="7" t="s">
        <v>20</v>
      </c>
      <c r="C33" s="128" t="e">
        <f>'CW losslG,losslA,interLD'!AY18</f>
        <v>#NUM!</v>
      </c>
      <c r="D33" s="129"/>
      <c r="E33" s="129"/>
    </row>
    <row r="35" spans="2:12" s="1" customFormat="1" x14ac:dyDescent="0.2">
      <c r="B35" s="1" t="s">
        <v>30</v>
      </c>
    </row>
    <row r="37" spans="2:12" x14ac:dyDescent="0.2">
      <c r="B37" s="130" t="s">
        <v>31</v>
      </c>
      <c r="C37" s="131" t="s">
        <v>32</v>
      </c>
      <c r="D37" s="132"/>
      <c r="E37" s="132"/>
      <c r="F37" s="132"/>
      <c r="G37" s="132"/>
      <c r="H37" s="132"/>
      <c r="I37" s="132"/>
      <c r="J37" s="132"/>
      <c r="K37" s="132"/>
      <c r="L37" s="132"/>
    </row>
    <row r="38" spans="2:12" x14ac:dyDescent="0.2">
      <c r="B38" s="127"/>
      <c r="C38" s="133" t="s">
        <v>7</v>
      </c>
      <c r="D38" s="127"/>
      <c r="E38" s="134" t="s">
        <v>8</v>
      </c>
      <c r="F38" s="127"/>
      <c r="G38" s="127"/>
      <c r="H38" s="133" t="s">
        <v>9</v>
      </c>
      <c r="I38" s="127"/>
      <c r="J38" s="134" t="s">
        <v>10</v>
      </c>
      <c r="K38" s="127"/>
      <c r="L38" s="127"/>
    </row>
    <row r="39" spans="2:12" ht="16" x14ac:dyDescent="0.2">
      <c r="B39" s="129"/>
      <c r="C39" s="2" t="s">
        <v>11</v>
      </c>
      <c r="D39" s="2" t="s">
        <v>12</v>
      </c>
      <c r="E39" s="3" t="s">
        <v>13</v>
      </c>
      <c r="F39" s="3" t="s">
        <v>14</v>
      </c>
      <c r="G39" s="3" t="s">
        <v>15</v>
      </c>
      <c r="H39" s="2" t="s">
        <v>11</v>
      </c>
      <c r="I39" s="2" t="s">
        <v>12</v>
      </c>
      <c r="J39" s="3" t="s">
        <v>13</v>
      </c>
      <c r="K39" s="3" t="s">
        <v>14</v>
      </c>
      <c r="L39" s="3" t="s">
        <v>15</v>
      </c>
    </row>
    <row r="40" spans="2:12" x14ac:dyDescent="0.2">
      <c r="B40" t="s">
        <v>16</v>
      </c>
      <c r="C40" s="98">
        <f>'C2 lossyG,lossyA,interRA'!$BI$40:$BI$40</f>
        <v>0</v>
      </c>
      <c r="D40" s="98">
        <f>'C2 lossyG,lossyA,interRA'!$BJ$40:$BJ$40</f>
        <v>0</v>
      </c>
      <c r="E40" s="98">
        <f>'C2 lossyG,lossyA,interRA'!$BK$40:$BK$40</f>
        <v>0</v>
      </c>
      <c r="F40" s="98">
        <f>'C2 lossyG,lossyA,interRA'!$BL$40:$BL$40</f>
        <v>0</v>
      </c>
      <c r="G40" s="98">
        <f>'C2 lossyG,lossyA,interRA'!$BM$40:$BM$40</f>
        <v>0</v>
      </c>
      <c r="H40" s="98">
        <f>'C2 lossyG,lossyA,interRA'!$BO$40:$BO$40</f>
        <v>0</v>
      </c>
      <c r="I40" s="98">
        <f>'C2 lossyG,lossyA,interRA'!$BP$40:$BP$40</f>
        <v>0</v>
      </c>
      <c r="J40" s="98">
        <f>'C2 lossyG,lossyA,interRA'!$BQ$40:$BQ$40</f>
        <v>0</v>
      </c>
      <c r="K40" s="98">
        <f>'C2 lossyG,lossyA,interRA'!$BR$40:$BR$40</f>
        <v>0</v>
      </c>
      <c r="L40" s="98">
        <f>'C2 lossyG,lossyA,interRA'!$BS$40:$BS$40</f>
        <v>0</v>
      </c>
    </row>
    <row r="41" spans="2:12" x14ac:dyDescent="0.2">
      <c r="B41" t="s">
        <v>17</v>
      </c>
      <c r="C41" s="98">
        <f>'C2 lossyG,lossyA,interRA'!$BI$41:$BI$41</f>
        <v>-1.2574825574596105E-5</v>
      </c>
      <c r="D41" s="98">
        <f>'C2 lossyG,lossyA,interRA'!$BJ$41:$BJ$41</f>
        <v>-1.8194097860524394E-5</v>
      </c>
      <c r="E41" s="98">
        <f>'C2 lossyG,lossyA,interRA'!$BK$41:$BK$41</f>
        <v>0</v>
      </c>
      <c r="F41" s="98">
        <f>'C2 lossyG,lossyA,interRA'!$BL$41:$BL$41</f>
        <v>0</v>
      </c>
      <c r="G41" s="98">
        <f>'C2 lossyG,lossyA,interRA'!$BM$41:$BM$41</f>
        <v>0</v>
      </c>
      <c r="H41" s="98">
        <f>'C2 lossyG,lossyA,interRA'!$BO$41:$BO$41</f>
        <v>-2.2890735148495267E-6</v>
      </c>
      <c r="I41" s="98">
        <f>'C2 lossyG,lossyA,interRA'!$BP$41:$BP$41</f>
        <v>-3.3734565092480295E-6</v>
      </c>
      <c r="J41" s="98">
        <f>'C2 lossyG,lossyA,interRA'!$BQ$41:$BQ$41</f>
        <v>-3.2957210988060481E-6</v>
      </c>
      <c r="K41" s="98">
        <f>'C2 lossyG,lossyA,interRA'!$BR$41:$BR$41</f>
        <v>-3.9295612243028799E-6</v>
      </c>
      <c r="L41" s="98">
        <f>'C2 lossyG,lossyA,interRA'!$BS$41:$BS$41</f>
        <v>-3.6955593213372495E-6</v>
      </c>
    </row>
    <row r="42" spans="2:12" x14ac:dyDescent="0.2">
      <c r="B42" s="5" t="s">
        <v>18</v>
      </c>
      <c r="C42" s="6">
        <f>'C2 lossyG,lossyA,interRA'!$BI$42:$BI$42</f>
        <v>-2.5149651149192208E-6</v>
      </c>
      <c r="D42" s="6">
        <f>'C2 lossyG,lossyA,interRA'!$BJ$42:$BJ$42</f>
        <v>-3.6388195721048788E-6</v>
      </c>
      <c r="E42" s="6">
        <f>'C2 lossyG,lossyA,interRA'!$BK$42:$BK$42</f>
        <v>0</v>
      </c>
      <c r="F42" s="6">
        <f>'C2 lossyG,lossyA,interRA'!$BL$42:$BL$42</f>
        <v>0</v>
      </c>
      <c r="G42" s="6">
        <f>'C2 lossyG,lossyA,interRA'!$BM$42:$BM$42</f>
        <v>0</v>
      </c>
      <c r="H42" s="6">
        <f>'C2 lossyG,lossyA,interRA'!$BO$42:$BO$42</f>
        <v>-4.5781470296990535E-7</v>
      </c>
      <c r="I42" s="6">
        <f>'C2 lossyG,lossyA,interRA'!$BP$42:$BP$42</f>
        <v>-6.7469130184960589E-7</v>
      </c>
      <c r="J42" s="6">
        <f>'C2 lossyG,lossyA,interRA'!$BQ$42:$BQ$42</f>
        <v>-6.5914421976120963E-7</v>
      </c>
      <c r="K42" s="6">
        <f>'C2 lossyG,lossyA,interRA'!$BR$42:$BR$42</f>
        <v>-7.8591224486057596E-7</v>
      </c>
      <c r="L42" s="6">
        <f>'C2 lossyG,lossyA,interRA'!$BS$42:$BS$42</f>
        <v>-7.391118642674499E-7</v>
      </c>
    </row>
    <row r="43" spans="2:12" x14ac:dyDescent="0.2">
      <c r="B43" t="s">
        <v>19</v>
      </c>
      <c r="C43" s="126">
        <f>'C2 lossyG,lossyA,interRA'!AZ46</f>
        <v>0.89969928548381473</v>
      </c>
      <c r="D43" s="127"/>
      <c r="E43" s="127"/>
      <c r="F43" s="127"/>
      <c r="G43" s="127"/>
      <c r="H43" s="127"/>
      <c r="I43" s="127"/>
      <c r="J43" s="127"/>
      <c r="K43" s="127"/>
      <c r="L43" s="127"/>
    </row>
    <row r="44" spans="2:12" x14ac:dyDescent="0.2">
      <c r="B44" s="7" t="s">
        <v>20</v>
      </c>
      <c r="C44" s="128">
        <f>'C2 lossyG,lossyA,interRA'!BB46</f>
        <v>0.95363667877487124</v>
      </c>
      <c r="D44" s="129"/>
      <c r="E44" s="129"/>
      <c r="F44" s="129"/>
      <c r="G44" s="129"/>
      <c r="H44" s="129"/>
      <c r="I44" s="129"/>
      <c r="J44" s="129"/>
      <c r="K44" s="129"/>
      <c r="L44" s="129"/>
    </row>
    <row r="50" spans="2:6" x14ac:dyDescent="0.2">
      <c r="B50" s="135"/>
      <c r="C50" s="137" t="s">
        <v>33</v>
      </c>
      <c r="D50" s="138"/>
      <c r="E50" s="139" t="s">
        <v>34</v>
      </c>
      <c r="F50" s="138"/>
    </row>
    <row r="51" spans="2:6" ht="16" x14ac:dyDescent="0.2">
      <c r="B51" s="136"/>
      <c r="C51" s="50" t="s">
        <v>35</v>
      </c>
      <c r="D51" s="51" t="s">
        <v>36</v>
      </c>
      <c r="E51" s="52" t="s">
        <v>35</v>
      </c>
      <c r="F51" s="53" t="s">
        <v>36</v>
      </c>
    </row>
    <row r="52" spans="2:6" ht="16" x14ac:dyDescent="0.2">
      <c r="B52" s="54" t="s">
        <v>21</v>
      </c>
      <c r="C52" s="55" t="e">
        <f>'CW losslG,losslA,intra'!AW18</f>
        <v>#NUM!</v>
      </c>
      <c r="D52" s="55" t="e">
        <f>'CW losslG,losslA,intra'!AX18</f>
        <v>#NUM!</v>
      </c>
      <c r="E52" s="56" t="e">
        <f>'CW losslG,losslA,intra'!AY18</f>
        <v>#NUM!</v>
      </c>
      <c r="F52" s="55" t="e">
        <f>'CW losslG,losslA,intra'!AZ18</f>
        <v>#NUM!</v>
      </c>
    </row>
    <row r="53" spans="2:6" ht="16" x14ac:dyDescent="0.2">
      <c r="B53" s="54" t="s">
        <v>28</v>
      </c>
      <c r="C53" s="55" t="e">
        <f>'CW losslG,losslA,interLD'!AW18</f>
        <v>#NUM!</v>
      </c>
      <c r="D53" s="55" t="e">
        <f>'CW losslG,losslA,interLD'!AX18</f>
        <v>#NUM!</v>
      </c>
      <c r="E53" s="56" t="e">
        <f>'CW losslG,losslA,interLD'!AY18</f>
        <v>#NUM!</v>
      </c>
      <c r="F53" s="55" t="e">
        <f>'CW losslG,losslA,interLD'!AZ18</f>
        <v>#NUM!</v>
      </c>
    </row>
    <row r="54" spans="2:6" ht="16" x14ac:dyDescent="0.2">
      <c r="B54" s="54" t="s">
        <v>5</v>
      </c>
      <c r="C54" s="55">
        <f>'C2 lossyG,lossyA,intra'!AZ46</f>
        <v>0.96552404780299583</v>
      </c>
      <c r="D54" s="55">
        <f>'C2 lossyG,lossyA,intra'!BA46</f>
        <v>0.97462916335975835</v>
      </c>
      <c r="E54" s="56">
        <f>'C2 lossyG,lossyA,intra'!BB46</f>
        <v>0.99866283809399503</v>
      </c>
      <c r="F54" s="55">
        <f>'C2 lossyG,lossyA,intra'!BC46</f>
        <v>0.97556865399369574</v>
      </c>
    </row>
    <row r="55" spans="2:6" ht="16" x14ac:dyDescent="0.2">
      <c r="B55" s="54" t="s">
        <v>31</v>
      </c>
      <c r="C55" s="55">
        <f>'C2 lossyG,lossyA,interRA'!AZ46</f>
        <v>0.89969928548381473</v>
      </c>
      <c r="D55" s="55">
        <f>'C2 lossyG,lossyA,interRA'!BA46</f>
        <v>0.93914363387270827</v>
      </c>
      <c r="E55" s="56">
        <f>'C2 lossyG,lossyA,interRA'!BB46</f>
        <v>0.95363667877487124</v>
      </c>
      <c r="F55" s="55">
        <f>'C2 lossyG,lossyA,interRA'!BC46</f>
        <v>0.95036976013976016</v>
      </c>
    </row>
  </sheetData>
  <mergeCells count="31">
    <mergeCell ref="B50:B51"/>
    <mergeCell ref="C50:D50"/>
    <mergeCell ref="E50:F50"/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91" priority="23" operator="greaterThanOrEqual">
      <formula>1.03</formula>
    </cfRule>
    <cfRule type="cellIs" dxfId="190" priority="24" operator="lessThanOrEqual">
      <formula>0.97</formula>
    </cfRule>
  </conditionalFormatting>
  <conditionalFormatting sqref="C29 C30 C31">
    <cfRule type="cellIs" dxfId="189" priority="29" operator="greaterThanOrEqual">
      <formula>1.03</formula>
    </cfRule>
    <cfRule type="cellIs" dxfId="188" priority="30" operator="lessThanOrEqual">
      <formula>0.97</formula>
    </cfRule>
  </conditionalFormatting>
  <conditionalFormatting sqref="C40 C41 C42">
    <cfRule type="cellIs" dxfId="187" priority="35" operator="greaterThanOrEqual">
      <formula>0.03</formula>
    </cfRule>
    <cfRule type="cellIs" dxfId="186" priority="36" operator="lessThanOrEqual">
      <formula>-0.03</formula>
    </cfRule>
  </conditionalFormatting>
  <conditionalFormatting sqref="C9 C10 C11">
    <cfRule type="cellIs" dxfId="185" priority="1" operator="greaterThanOrEqual">
      <formula>0.03</formula>
    </cfRule>
    <cfRule type="cellIs" dxfId="184" priority="2" operator="lessThanOrEqual">
      <formula>-0.03</formula>
    </cfRule>
  </conditionalFormatting>
  <conditionalFormatting sqref="D18 D19 D20">
    <cfRule type="cellIs" dxfId="183" priority="25" operator="greaterThanOrEqual">
      <formula>1.03</formula>
    </cfRule>
    <cfRule type="cellIs" dxfId="182" priority="26" operator="lessThanOrEqual">
      <formula>0.97</formula>
    </cfRule>
  </conditionalFormatting>
  <conditionalFormatting sqref="D29 D30 D31">
    <cfRule type="cellIs" dxfId="181" priority="31" operator="greaterThanOrEqual">
      <formula>1.03</formula>
    </cfRule>
    <cfRule type="cellIs" dxfId="180" priority="32" operator="lessThanOrEqual">
      <formula>0.97</formula>
    </cfRule>
  </conditionalFormatting>
  <conditionalFormatting sqref="D40 D41 D42">
    <cfRule type="cellIs" dxfId="179" priority="33" operator="greaterThanOrEqual">
      <formula>0.03</formula>
    </cfRule>
    <cfRule type="cellIs" dxfId="178" priority="34" operator="lessThanOrEqual">
      <formula>-0.03</formula>
    </cfRule>
  </conditionalFormatting>
  <conditionalFormatting sqref="D9 D10 D11">
    <cfRule type="cellIs" dxfId="177" priority="7" operator="greaterThanOrEqual">
      <formula>0.03</formula>
    </cfRule>
    <cfRule type="cellIs" dxfId="176" priority="8" operator="lessThanOrEqual">
      <formula>-0.03</formula>
    </cfRule>
  </conditionalFormatting>
  <conditionalFormatting sqref="E18 E19 E20">
    <cfRule type="cellIs" dxfId="175" priority="21" operator="greaterThanOrEqual">
      <formula>1.03</formula>
    </cfRule>
    <cfRule type="cellIs" dxfId="174" priority="22" operator="lessThanOrEqual">
      <formula>0.97</formula>
    </cfRule>
  </conditionalFormatting>
  <conditionalFormatting sqref="E29 E30 E31">
    <cfRule type="cellIs" dxfId="173" priority="27" operator="greaterThanOrEqual">
      <formula>1.03</formula>
    </cfRule>
    <cfRule type="cellIs" dxfId="172" priority="28" operator="lessThanOrEqual">
      <formula>0.97</formula>
    </cfRule>
  </conditionalFormatting>
  <conditionalFormatting sqref="E40 E41 E42">
    <cfRule type="cellIs" dxfId="171" priority="43" operator="greaterThanOrEqual">
      <formula>0.03</formula>
    </cfRule>
    <cfRule type="cellIs" dxfId="170" priority="44" operator="lessThanOrEqual">
      <formula>-0.03</formula>
    </cfRule>
  </conditionalFormatting>
  <conditionalFormatting sqref="E9 E10 E11">
    <cfRule type="cellIs" dxfId="169" priority="19" operator="greaterThanOrEqual">
      <formula>0.03</formula>
    </cfRule>
    <cfRule type="cellIs" dxfId="168" priority="20" operator="lessThanOrEqual">
      <formula>-0.03</formula>
    </cfRule>
  </conditionalFormatting>
  <conditionalFormatting sqref="F40 F41 F42">
    <cfRule type="cellIs" dxfId="167" priority="47" operator="greaterThanOrEqual">
      <formula>0.03</formula>
    </cfRule>
    <cfRule type="cellIs" dxfId="166" priority="48" operator="lessThanOrEqual">
      <formula>-0.03</formula>
    </cfRule>
  </conditionalFormatting>
  <conditionalFormatting sqref="F9 F10 F11">
    <cfRule type="cellIs" dxfId="165" priority="11" operator="greaterThanOrEqual">
      <formula>0.03</formula>
    </cfRule>
    <cfRule type="cellIs" dxfId="164" priority="12" operator="lessThanOrEqual">
      <formula>-0.03</formula>
    </cfRule>
  </conditionalFormatting>
  <conditionalFormatting sqref="G40 G41 G42">
    <cfRule type="cellIs" dxfId="163" priority="49" operator="greaterThanOrEqual">
      <formula>0.03</formula>
    </cfRule>
    <cfRule type="cellIs" dxfId="162" priority="50" operator="lessThanOrEqual">
      <formula>-0.03</formula>
    </cfRule>
  </conditionalFormatting>
  <conditionalFormatting sqref="G9 G10 G11">
    <cfRule type="cellIs" dxfId="161" priority="9" operator="greaterThanOrEqual">
      <formula>0.03</formula>
    </cfRule>
    <cfRule type="cellIs" dxfId="160" priority="10" operator="lessThanOrEqual">
      <formula>-0.03</formula>
    </cfRule>
  </conditionalFormatting>
  <conditionalFormatting sqref="H40 H41 H42">
    <cfRule type="cellIs" dxfId="159" priority="41" operator="greaterThanOrEqual">
      <formula>0.03</formula>
    </cfRule>
    <cfRule type="cellIs" dxfId="158" priority="42" operator="lessThanOrEqual">
      <formula>-0.03</formula>
    </cfRule>
  </conditionalFormatting>
  <conditionalFormatting sqref="H9 H10 H11">
    <cfRule type="cellIs" dxfId="157" priority="17" operator="greaterThanOrEqual">
      <formula>0.03</formula>
    </cfRule>
    <cfRule type="cellIs" dxfId="156" priority="18" operator="lessThanOrEqual">
      <formula>-0.03</formula>
    </cfRule>
  </conditionalFormatting>
  <conditionalFormatting sqref="I40 I41 I42">
    <cfRule type="cellIs" dxfId="155" priority="51" operator="greaterThanOrEqual">
      <formula>0.03</formula>
    </cfRule>
    <cfRule type="cellIs" dxfId="154" priority="52" operator="lessThanOrEqual">
      <formula>-0.03</formula>
    </cfRule>
  </conditionalFormatting>
  <conditionalFormatting sqref="I9 I10 I11">
    <cfRule type="cellIs" dxfId="153" priority="15" operator="greaterThanOrEqual">
      <formula>0.03</formula>
    </cfRule>
    <cfRule type="cellIs" dxfId="152" priority="16" operator="lessThanOrEqual">
      <formula>-0.03</formula>
    </cfRule>
  </conditionalFormatting>
  <conditionalFormatting sqref="J40 J41 J42">
    <cfRule type="cellIs" dxfId="151" priority="37" operator="greaterThanOrEqual">
      <formula>0.03</formula>
    </cfRule>
    <cfRule type="cellIs" dxfId="150" priority="38" operator="lessThanOrEqual">
      <formula>-0.03</formula>
    </cfRule>
  </conditionalFormatting>
  <conditionalFormatting sqref="J9 J10 J11">
    <cfRule type="cellIs" dxfId="149" priority="5" operator="greaterThanOrEqual">
      <formula>0.03</formula>
    </cfRule>
    <cfRule type="cellIs" dxfId="148" priority="6" operator="lessThanOrEqual">
      <formula>-0.03</formula>
    </cfRule>
  </conditionalFormatting>
  <conditionalFormatting sqref="K40 K41 K42">
    <cfRule type="cellIs" dxfId="147" priority="39" operator="greaterThanOrEqual">
      <formula>0.03</formula>
    </cfRule>
    <cfRule type="cellIs" dxfId="146" priority="40" operator="lessThanOrEqual">
      <formula>-0.03</formula>
    </cfRule>
  </conditionalFormatting>
  <conditionalFormatting sqref="K9 K10 K11">
    <cfRule type="cellIs" dxfId="145" priority="3" operator="greaterThanOrEqual">
      <formula>0.03</formula>
    </cfRule>
    <cfRule type="cellIs" dxfId="144" priority="4" operator="lessThanOrEqual">
      <formula>-0.03</formula>
    </cfRule>
  </conditionalFormatting>
  <conditionalFormatting sqref="L40 L41 L42">
    <cfRule type="cellIs" dxfId="143" priority="45" operator="greaterThanOrEqual">
      <formula>0.03</formula>
    </cfRule>
    <cfRule type="cellIs" dxfId="142" priority="46" operator="lessThanOrEqual">
      <formula>-0.03</formula>
    </cfRule>
  </conditionalFormatting>
  <conditionalFormatting sqref="L9 L10 L11">
    <cfRule type="cellIs" dxfId="141" priority="13" operator="greaterThanOrEqual">
      <formula>0.03</formula>
    </cfRule>
    <cfRule type="cellIs" dxfId="140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9"/>
  <sheetViews>
    <sheetView workbookViewId="0"/>
  </sheetViews>
  <sheetFormatPr baseColWidth="10" defaultColWidth="8.83203125" defaultRowHeight="15" x14ac:dyDescent="0.2"/>
  <cols>
    <col min="1" max="1" width="12.6640625" style="4" customWidth="1"/>
    <col min="2" max="2" width="24.6640625" style="4" customWidth="1"/>
    <col min="4" max="4" width="24.6640625" style="4" customWidth="1"/>
    <col min="9" max="9" width="16.6640625" style="4" customWidth="1"/>
  </cols>
  <sheetData>
    <row r="1" spans="1:16" x14ac:dyDescent="0.2">
      <c r="A1" t="s">
        <v>37</v>
      </c>
      <c r="B1" s="8" t="str">
        <f>M1</f>
        <v>C2 lossyG,lossyA,intra</v>
      </c>
      <c r="C1" t="s">
        <v>38</v>
      </c>
      <c r="I1" t="s">
        <v>39</v>
      </c>
      <c r="M1" t="s">
        <v>40</v>
      </c>
      <c r="N1" t="s">
        <v>41</v>
      </c>
      <c r="O1" t="s">
        <v>42</v>
      </c>
      <c r="P1" t="s">
        <v>43</v>
      </c>
    </row>
    <row r="2" spans="1:16" x14ac:dyDescent="0.2">
      <c r="A2" t="s">
        <v>44</v>
      </c>
      <c r="B2" s="8" t="str">
        <f>HLOOKUP(B1,M1:ZZ3,3,0)</f>
        <v>8ivfbv2_loot_vox10</v>
      </c>
      <c r="C2" t="s">
        <v>45</v>
      </c>
      <c r="I2" t="s">
        <v>46</v>
      </c>
      <c r="J2" t="s">
        <v>47</v>
      </c>
      <c r="M2" t="s">
        <v>48</v>
      </c>
      <c r="N2" t="s">
        <v>49</v>
      </c>
      <c r="O2" t="s">
        <v>50</v>
      </c>
      <c r="P2" t="s">
        <v>51</v>
      </c>
    </row>
    <row r="3" spans="1:16" x14ac:dyDescent="0.2">
      <c r="I3" t="s">
        <v>52</v>
      </c>
      <c r="J3" t="s">
        <v>53</v>
      </c>
      <c r="M3" t="s">
        <v>54</v>
      </c>
      <c r="N3" t="s">
        <v>54</v>
      </c>
      <c r="O3" t="s">
        <v>54</v>
      </c>
      <c r="P3" t="s">
        <v>54</v>
      </c>
    </row>
    <row r="4" spans="1:16" x14ac:dyDescent="0.2">
      <c r="A4" t="s">
        <v>55</v>
      </c>
      <c r="B4" s="8" t="s">
        <v>56</v>
      </c>
      <c r="C4" t="s">
        <v>57</v>
      </c>
      <c r="D4" s="8" t="s">
        <v>58</v>
      </c>
      <c r="E4" t="s">
        <v>59</v>
      </c>
      <c r="I4" t="s">
        <v>60</v>
      </c>
      <c r="J4" t="s">
        <v>61</v>
      </c>
      <c r="M4" t="s">
        <v>62</v>
      </c>
      <c r="N4" t="s">
        <v>62</v>
      </c>
      <c r="O4" t="s">
        <v>62</v>
      </c>
      <c r="P4" t="s">
        <v>62</v>
      </c>
    </row>
    <row r="5" spans="1:16" x14ac:dyDescent="0.2">
      <c r="A5" t="s">
        <v>55</v>
      </c>
      <c r="B5" s="8" t="s">
        <v>56</v>
      </c>
      <c r="C5" t="s">
        <v>57</v>
      </c>
      <c r="D5" s="8" t="s">
        <v>63</v>
      </c>
      <c r="E5" t="s">
        <v>64</v>
      </c>
      <c r="I5" t="s">
        <v>65</v>
      </c>
      <c r="J5" t="s">
        <v>66</v>
      </c>
      <c r="M5" t="s">
        <v>67</v>
      </c>
      <c r="N5" t="s">
        <v>67</v>
      </c>
      <c r="O5" t="s">
        <v>67</v>
      </c>
      <c r="P5" t="s">
        <v>67</v>
      </c>
    </row>
    <row r="6" spans="1:16" x14ac:dyDescent="0.2">
      <c r="A6" t="s">
        <v>55</v>
      </c>
      <c r="B6" s="8" t="s">
        <v>56</v>
      </c>
      <c r="C6" t="s">
        <v>57</v>
      </c>
      <c r="D6" s="8" t="s">
        <v>68</v>
      </c>
      <c r="E6" t="s">
        <v>69</v>
      </c>
      <c r="I6" t="s">
        <v>70</v>
      </c>
      <c r="J6" t="s">
        <v>71</v>
      </c>
      <c r="M6" t="s">
        <v>72</v>
      </c>
      <c r="N6" t="s">
        <v>72</v>
      </c>
      <c r="O6" t="s">
        <v>72</v>
      </c>
      <c r="P6" t="s">
        <v>72</v>
      </c>
    </row>
    <row r="7" spans="1:16" x14ac:dyDescent="0.2">
      <c r="A7" t="s">
        <v>55</v>
      </c>
      <c r="B7" s="8" t="s">
        <v>56</v>
      </c>
      <c r="C7" t="s">
        <v>57</v>
      </c>
      <c r="D7" s="8" t="s">
        <v>52</v>
      </c>
      <c r="E7" t="s">
        <v>73</v>
      </c>
      <c r="I7" t="s">
        <v>58</v>
      </c>
      <c r="J7" t="s">
        <v>74</v>
      </c>
      <c r="M7" t="s">
        <v>75</v>
      </c>
      <c r="N7" t="s">
        <v>75</v>
      </c>
      <c r="O7" t="s">
        <v>75</v>
      </c>
      <c r="P7" t="s">
        <v>75</v>
      </c>
    </row>
    <row r="8" spans="1:16" x14ac:dyDescent="0.2">
      <c r="A8" t="s">
        <v>55</v>
      </c>
      <c r="B8" s="8" t="s">
        <v>56</v>
      </c>
      <c r="C8" t="s">
        <v>57</v>
      </c>
      <c r="D8" s="8" t="s">
        <v>65</v>
      </c>
      <c r="E8" t="s">
        <v>76</v>
      </c>
      <c r="I8" t="s">
        <v>77</v>
      </c>
      <c r="J8" t="s">
        <v>78</v>
      </c>
    </row>
    <row r="9" spans="1:16" x14ac:dyDescent="0.2">
      <c r="A9" t="s">
        <v>55</v>
      </c>
      <c r="B9" s="8" t="s">
        <v>56</v>
      </c>
      <c r="C9" t="s">
        <v>57</v>
      </c>
      <c r="D9" s="8" t="s">
        <v>79</v>
      </c>
      <c r="E9" t="s">
        <v>80</v>
      </c>
      <c r="I9" t="s">
        <v>63</v>
      </c>
      <c r="J9" t="s">
        <v>81</v>
      </c>
    </row>
    <row r="10" spans="1:16" x14ac:dyDescent="0.2">
      <c r="I10" t="s">
        <v>82</v>
      </c>
      <c r="J10" t="s">
        <v>83</v>
      </c>
    </row>
    <row r="11" spans="1:16" x14ac:dyDescent="0.2">
      <c r="I11" t="s">
        <v>84</v>
      </c>
      <c r="J11" t="s">
        <v>85</v>
      </c>
    </row>
    <row r="12" spans="1:16" x14ac:dyDescent="0.2">
      <c r="I12" t="s">
        <v>86</v>
      </c>
      <c r="J12" t="s">
        <v>87</v>
      </c>
    </row>
    <row r="13" spans="1:16" x14ac:dyDescent="0.2">
      <c r="I13" t="s">
        <v>88</v>
      </c>
      <c r="J13" t="s">
        <v>89</v>
      </c>
    </row>
    <row r="14" spans="1:16" x14ac:dyDescent="0.2">
      <c r="I14" t="s">
        <v>90</v>
      </c>
      <c r="J14" t="s">
        <v>91</v>
      </c>
    </row>
    <row r="15" spans="1:16" x14ac:dyDescent="0.2">
      <c r="I15" t="s">
        <v>92</v>
      </c>
      <c r="J15" t="s">
        <v>93</v>
      </c>
    </row>
    <row r="16" spans="1:16" x14ac:dyDescent="0.2">
      <c r="I16" t="s">
        <v>94</v>
      </c>
      <c r="J16" t="s">
        <v>95</v>
      </c>
    </row>
    <row r="17" spans="9:10" x14ac:dyDescent="0.2">
      <c r="I17" t="s">
        <v>79</v>
      </c>
      <c r="J17" t="s">
        <v>96</v>
      </c>
    </row>
    <row r="18" spans="9:10" x14ac:dyDescent="0.2">
      <c r="I18" t="s">
        <v>97</v>
      </c>
      <c r="J18" t="s">
        <v>98</v>
      </c>
    </row>
    <row r="19" spans="9:10" x14ac:dyDescent="0.2">
      <c r="I19" t="s">
        <v>99</v>
      </c>
      <c r="J19" t="s">
        <v>100</v>
      </c>
    </row>
    <row r="20" spans="9:10" x14ac:dyDescent="0.2">
      <c r="I20" t="s">
        <v>101</v>
      </c>
      <c r="J20" t="s">
        <v>102</v>
      </c>
    </row>
    <row r="21" spans="9:10" x14ac:dyDescent="0.2">
      <c r="I21" t="s">
        <v>103</v>
      </c>
      <c r="J21" t="s">
        <v>104</v>
      </c>
    </row>
    <row r="22" spans="9:10" x14ac:dyDescent="0.2">
      <c r="I22" t="s">
        <v>68</v>
      </c>
      <c r="J22" t="s">
        <v>105</v>
      </c>
    </row>
    <row r="23" spans="9:10" x14ac:dyDescent="0.2">
      <c r="I23" t="s">
        <v>106</v>
      </c>
      <c r="J23" t="s">
        <v>107</v>
      </c>
    </row>
    <row r="24" spans="9:10" x14ac:dyDescent="0.2">
      <c r="I24" t="s">
        <v>108</v>
      </c>
      <c r="J24" t="s">
        <v>109</v>
      </c>
    </row>
    <row r="25" spans="9:10" x14ac:dyDescent="0.2">
      <c r="I25" t="s">
        <v>110</v>
      </c>
      <c r="J25" t="s">
        <v>111</v>
      </c>
    </row>
    <row r="26" spans="9:10" x14ac:dyDescent="0.2">
      <c r="I26" t="s">
        <v>112</v>
      </c>
      <c r="J26" t="s">
        <v>113</v>
      </c>
    </row>
    <row r="27" spans="9:10" x14ac:dyDescent="0.2">
      <c r="I27" t="s">
        <v>114</v>
      </c>
      <c r="J27" t="s">
        <v>115</v>
      </c>
    </row>
    <row r="28" spans="9:10" x14ac:dyDescent="0.2">
      <c r="I28" t="s">
        <v>116</v>
      </c>
      <c r="J28" t="s">
        <v>117</v>
      </c>
    </row>
    <row r="29" spans="9:10" x14ac:dyDescent="0.2">
      <c r="I29" t="s">
        <v>118</v>
      </c>
      <c r="J29" t="s">
        <v>119</v>
      </c>
    </row>
    <row r="30" spans="9:10" x14ac:dyDescent="0.2">
      <c r="I30" t="s">
        <v>120</v>
      </c>
      <c r="J30" t="s">
        <v>121</v>
      </c>
    </row>
    <row r="31" spans="9:10" x14ac:dyDescent="0.2">
      <c r="I31" t="s">
        <v>122</v>
      </c>
      <c r="J31" t="s">
        <v>123</v>
      </c>
    </row>
    <row r="32" spans="9:10" x14ac:dyDescent="0.2">
      <c r="I32" t="s">
        <v>124</v>
      </c>
      <c r="J32" t="s">
        <v>125</v>
      </c>
    </row>
    <row r="33" spans="9:10" x14ac:dyDescent="0.2">
      <c r="I33" t="s">
        <v>126</v>
      </c>
      <c r="J33" t="s">
        <v>127</v>
      </c>
    </row>
    <row r="34" spans="9:10" x14ac:dyDescent="0.2">
      <c r="I34" t="s">
        <v>56</v>
      </c>
      <c r="J34" t="s">
        <v>128</v>
      </c>
    </row>
    <row r="35" spans="9:10" x14ac:dyDescent="0.2">
      <c r="I35" t="s">
        <v>129</v>
      </c>
      <c r="J35" t="s">
        <v>130</v>
      </c>
    </row>
    <row r="36" spans="9:10" x14ac:dyDescent="0.2">
      <c r="I36" t="s">
        <v>131</v>
      </c>
      <c r="J36" t="s">
        <v>132</v>
      </c>
    </row>
    <row r="37" spans="9:10" x14ac:dyDescent="0.2">
      <c r="I37" t="s">
        <v>133</v>
      </c>
      <c r="J37" t="s">
        <v>134</v>
      </c>
    </row>
    <row r="38" spans="9:10" x14ac:dyDescent="0.2">
      <c r="I38" t="s">
        <v>135</v>
      </c>
      <c r="J38" t="s">
        <v>136</v>
      </c>
    </row>
    <row r="39" spans="9:10" x14ac:dyDescent="0.2">
      <c r="I39" t="s">
        <v>137</v>
      </c>
      <c r="J39" t="s">
        <v>138</v>
      </c>
    </row>
  </sheetData>
  <conditionalFormatting sqref="B2">
    <cfRule type="expression" dxfId="139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38" priority="2">
      <formula>ISNA(MATCH(B4,filter_cols,0))</formula>
    </cfRule>
  </conditionalFormatting>
  <dataValidations count="3">
    <dataValidation type="list" showInputMessage="1" showErrorMessage="1" sqref="B1" xr:uid="{00000000-0002-0000-0100-000000000000}">
      <formula1>OFFSET(1:1,0,COLUMN(M1)-1,1,COUNTA(M1:ZZ1))</formula1>
    </dataValidation>
    <dataValidation type="list" showInputMessage="1" showErrorMessage="1" sqref="B2" xr:uid="{00000000-0002-0000-0100-000001000000}">
      <formula1>OFFSET(M:M,2,MATCH(B1,M1:ZZ1,0)-1,COUNTA(INDEX(M:ZZ,,MATCH(B1,M1:ZZ1,0)))-2)</formula1>
    </dataValidation>
    <dataValidation type="list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/>
  </sheetPr>
  <dimension ref="A1:BT46"/>
  <sheetViews>
    <sheetView workbookViewId="0">
      <pane xSplit="2" topLeftCell="AQ1" activePane="topRight" state="frozen"/>
      <selection pane="topRight" activeCell="AU2" sqref="AU1:AW1048576"/>
    </sheetView>
  </sheetViews>
  <sheetFormatPr baseColWidth="10" defaultColWidth="8.83203125" defaultRowHeight="15" outlineLevelRow="2" x14ac:dyDescent="0.2"/>
  <cols>
    <col min="2" max="2" width="24.6640625" style="4" customWidth="1"/>
    <col min="4" max="5" width="10.6640625" style="4" customWidth="1"/>
    <col min="8" max="8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9" max="22" width="12.6640625" style="4" customWidth="1"/>
    <col min="23" max="27" width="11.6640625" style="4" customWidth="1"/>
    <col min="32" max="32" width="1.6640625" style="4" customWidth="1"/>
    <col min="34" max="37" width="10.6640625" style="4" customWidth="1"/>
    <col min="38" max="38" width="24.6640625" style="4" hidden="1" customWidth="1"/>
    <col min="39" max="39" width="12.6640625" style="4" customWidth="1"/>
    <col min="40" max="40" width="10.6640625" style="4" customWidth="1"/>
    <col min="43" max="46" width="12.6640625" style="4" customWidth="1"/>
    <col min="47" max="51" width="11.6640625" style="4" customWidth="1"/>
    <col min="56" max="56" width="1.6640625" style="4" customWidth="1"/>
    <col min="60" max="60" width="1.6640625" style="4" customWidth="1"/>
    <col min="63" max="65" width="11.6640625" style="4" customWidth="1"/>
    <col min="66" max="66" width="1.6640625" style="4" customWidth="1"/>
    <col min="69" max="71" width="11.6640625" style="4" customWidth="1"/>
    <col min="72" max="72" width="1.6640625" style="4" customWidth="1"/>
  </cols>
  <sheetData>
    <row r="1" spans="1:71" ht="14.5" customHeight="1" x14ac:dyDescent="0.2">
      <c r="A1" s="144" t="s">
        <v>139</v>
      </c>
      <c r="B1" s="127"/>
      <c r="C1" s="127"/>
      <c r="D1" s="127"/>
      <c r="E1" s="127"/>
      <c r="F1" s="127"/>
      <c r="G1" s="127"/>
      <c r="I1" s="140" t="s">
        <v>574</v>
      </c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G1" s="141" t="s">
        <v>576</v>
      </c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</row>
    <row r="2" spans="1:71" ht="30" customHeight="1" thickBot="1" x14ac:dyDescent="0.25">
      <c r="A2" s="146" t="s">
        <v>140</v>
      </c>
      <c r="B2" s="145" t="s">
        <v>141</v>
      </c>
      <c r="C2" s="146" t="s">
        <v>142</v>
      </c>
      <c r="D2" s="145" t="s">
        <v>143</v>
      </c>
      <c r="E2" s="146" t="s">
        <v>144</v>
      </c>
      <c r="F2" s="145" t="s">
        <v>145</v>
      </c>
      <c r="G2" s="146" t="s">
        <v>146</v>
      </c>
      <c r="I2" s="145" t="s">
        <v>147</v>
      </c>
      <c r="J2" s="143" t="s">
        <v>148</v>
      </c>
      <c r="K2" s="127"/>
      <c r="L2" s="127"/>
      <c r="M2" s="127"/>
      <c r="N2" s="146" t="s">
        <v>149</v>
      </c>
      <c r="O2" s="145" t="s">
        <v>150</v>
      </c>
      <c r="P2" s="146" t="s">
        <v>85</v>
      </c>
      <c r="Q2" s="145" t="s">
        <v>87</v>
      </c>
      <c r="R2" s="146" t="s">
        <v>83</v>
      </c>
      <c r="S2" s="142" t="s">
        <v>151</v>
      </c>
      <c r="T2" s="127"/>
      <c r="U2" s="127"/>
      <c r="V2" s="127"/>
      <c r="W2" s="143" t="s">
        <v>152</v>
      </c>
      <c r="X2" s="127"/>
      <c r="Y2" s="142" t="s">
        <v>153</v>
      </c>
      <c r="Z2" s="127"/>
      <c r="AA2" s="127"/>
      <c r="AB2" s="143" t="s">
        <v>154</v>
      </c>
      <c r="AC2" s="127"/>
      <c r="AD2" s="142" t="s">
        <v>155</v>
      </c>
      <c r="AE2" s="127"/>
      <c r="AG2" s="146" t="s">
        <v>147</v>
      </c>
      <c r="AH2" s="142" t="s">
        <v>148</v>
      </c>
      <c r="AI2" s="127"/>
      <c r="AJ2" s="127"/>
      <c r="AK2" s="127"/>
      <c r="AL2" s="145" t="s">
        <v>156</v>
      </c>
      <c r="AM2" s="146" t="s">
        <v>150</v>
      </c>
      <c r="AN2" s="145" t="s">
        <v>85</v>
      </c>
      <c r="AO2" s="146" t="s">
        <v>87</v>
      </c>
      <c r="AP2" s="145" t="s">
        <v>83</v>
      </c>
      <c r="AQ2" s="143" t="s">
        <v>151</v>
      </c>
      <c r="AR2" s="127"/>
      <c r="AS2" s="127"/>
      <c r="AT2" s="127"/>
      <c r="AU2" s="142" t="s">
        <v>152</v>
      </c>
      <c r="AV2" s="127"/>
      <c r="AW2" s="143" t="s">
        <v>153</v>
      </c>
      <c r="AX2" s="127"/>
      <c r="AY2" s="127"/>
      <c r="AZ2" s="142" t="s">
        <v>154</v>
      </c>
      <c r="BA2" s="127"/>
      <c r="BB2" s="143" t="s">
        <v>155</v>
      </c>
      <c r="BC2" s="127"/>
      <c r="BE2" s="145" t="s">
        <v>157</v>
      </c>
      <c r="BF2" s="146" t="s">
        <v>158</v>
      </c>
      <c r="BG2" s="145" t="s">
        <v>158</v>
      </c>
      <c r="BI2" s="143" t="s">
        <v>7</v>
      </c>
      <c r="BJ2" s="127"/>
      <c r="BK2" s="142" t="s">
        <v>8</v>
      </c>
      <c r="BL2" s="127"/>
      <c r="BM2" s="127"/>
      <c r="BO2" s="143" t="s">
        <v>9</v>
      </c>
      <c r="BP2" s="127"/>
      <c r="BQ2" s="142" t="s">
        <v>10</v>
      </c>
      <c r="BR2" s="127"/>
      <c r="BS2" s="127"/>
    </row>
    <row r="3" spans="1:71" ht="15" customHeight="1" thickBot="1" x14ac:dyDescent="0.25">
      <c r="A3" s="129"/>
      <c r="B3" s="129"/>
      <c r="C3" s="129"/>
      <c r="D3" s="129"/>
      <c r="E3" s="129"/>
      <c r="F3" s="129"/>
      <c r="G3" s="129"/>
      <c r="I3" s="129"/>
      <c r="J3" s="105" t="s">
        <v>25</v>
      </c>
      <c r="K3" s="105" t="s">
        <v>159</v>
      </c>
      <c r="L3" s="105" t="s">
        <v>24</v>
      </c>
      <c r="M3" s="105" t="s">
        <v>160</v>
      </c>
      <c r="N3" s="129"/>
      <c r="O3" s="129"/>
      <c r="P3" s="129"/>
      <c r="Q3" s="129"/>
      <c r="R3" s="129"/>
      <c r="S3" s="104" t="s">
        <v>25</v>
      </c>
      <c r="T3" s="104" t="s">
        <v>24</v>
      </c>
      <c r="U3" s="104" t="s">
        <v>161</v>
      </c>
      <c r="V3" s="104" t="s">
        <v>26</v>
      </c>
      <c r="W3" s="105" t="s">
        <v>11</v>
      </c>
      <c r="X3" s="105" t="s">
        <v>12</v>
      </c>
      <c r="Y3" s="104" t="s">
        <v>13</v>
      </c>
      <c r="Z3" s="104" t="s">
        <v>14</v>
      </c>
      <c r="AA3" s="104" t="s">
        <v>15</v>
      </c>
      <c r="AB3" s="105" t="s">
        <v>35</v>
      </c>
      <c r="AC3" s="105" t="s">
        <v>36</v>
      </c>
      <c r="AD3" s="104" t="s">
        <v>35</v>
      </c>
      <c r="AE3" s="104" t="s">
        <v>36</v>
      </c>
      <c r="AG3" s="129"/>
      <c r="AH3" s="104" t="s">
        <v>25</v>
      </c>
      <c r="AI3" s="104" t="s">
        <v>159</v>
      </c>
      <c r="AJ3" s="104" t="s">
        <v>24</v>
      </c>
      <c r="AK3" s="104" t="s">
        <v>160</v>
      </c>
      <c r="AL3" s="129"/>
      <c r="AM3" s="129"/>
      <c r="AN3" s="129"/>
      <c r="AO3" s="129"/>
      <c r="AP3" s="129"/>
      <c r="AQ3" s="105" t="s">
        <v>25</v>
      </c>
      <c r="AR3" s="105" t="s">
        <v>24</v>
      </c>
      <c r="AS3" s="105" t="s">
        <v>161</v>
      </c>
      <c r="AT3" s="105" t="s">
        <v>26</v>
      </c>
      <c r="AU3" s="104" t="s">
        <v>11</v>
      </c>
      <c r="AV3" s="104" t="s">
        <v>12</v>
      </c>
      <c r="AW3" s="105" t="s">
        <v>13</v>
      </c>
      <c r="AX3" s="105" t="s">
        <v>14</v>
      </c>
      <c r="AY3" s="105" t="s">
        <v>15</v>
      </c>
      <c r="AZ3" s="104" t="s">
        <v>35</v>
      </c>
      <c r="BA3" s="104" t="s">
        <v>36</v>
      </c>
      <c r="BB3" s="105" t="s">
        <v>35</v>
      </c>
      <c r="BC3" s="105" t="s">
        <v>36</v>
      </c>
      <c r="BE3" s="129"/>
      <c r="BF3" s="129"/>
      <c r="BG3" s="129"/>
      <c r="BI3" s="105" t="s">
        <v>11</v>
      </c>
      <c r="BJ3" s="105" t="s">
        <v>12</v>
      </c>
      <c r="BK3" s="104" t="s">
        <v>13</v>
      </c>
      <c r="BL3" s="104" t="s">
        <v>14</v>
      </c>
      <c r="BM3" s="104" t="s">
        <v>15</v>
      </c>
      <c r="BO3" s="105" t="s">
        <v>11</v>
      </c>
      <c r="BP3" s="105" t="s">
        <v>12</v>
      </c>
      <c r="BQ3" s="104" t="s">
        <v>13</v>
      </c>
      <c r="BR3" s="104" t="s">
        <v>14</v>
      </c>
      <c r="BS3" s="104" t="s">
        <v>15</v>
      </c>
    </row>
    <row r="4" spans="1:71" ht="123" hidden="1" customHeight="1" x14ac:dyDescent="0.25">
      <c r="A4" s="9" t="s">
        <v>162</v>
      </c>
      <c r="B4" s="10" t="s">
        <v>163</v>
      </c>
      <c r="C4" s="9" t="s">
        <v>164</v>
      </c>
      <c r="D4" s="10" t="s">
        <v>165</v>
      </c>
      <c r="E4" s="9" t="s">
        <v>166</v>
      </c>
      <c r="F4" s="10" t="s">
        <v>167</v>
      </c>
      <c r="G4" s="9" t="s">
        <v>168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177</v>
      </c>
      <c r="R4" s="9" t="s">
        <v>178</v>
      </c>
      <c r="S4" s="10" t="s">
        <v>179</v>
      </c>
      <c r="T4" s="10" t="s">
        <v>180</v>
      </c>
      <c r="U4" s="10" t="s">
        <v>181</v>
      </c>
      <c r="V4" s="10" t="s">
        <v>182</v>
      </c>
      <c r="W4" s="9" t="s">
        <v>183</v>
      </c>
      <c r="X4" s="9" t="s">
        <v>184</v>
      </c>
      <c r="Y4" s="10" t="s">
        <v>185</v>
      </c>
      <c r="Z4" s="10" t="s">
        <v>186</v>
      </c>
      <c r="AA4" s="10" t="s">
        <v>187</v>
      </c>
      <c r="AB4" s="9" t="s">
        <v>188</v>
      </c>
      <c r="AC4" s="9" t="s">
        <v>189</v>
      </c>
      <c r="AD4" s="10" t="s">
        <v>190</v>
      </c>
      <c r="AE4" s="10" t="s">
        <v>191</v>
      </c>
      <c r="AG4" s="9" t="s">
        <v>192</v>
      </c>
      <c r="AH4" s="10" t="s">
        <v>193</v>
      </c>
      <c r="AI4" s="10" t="s">
        <v>194</v>
      </c>
      <c r="AJ4" s="10" t="s">
        <v>195</v>
      </c>
      <c r="AK4" s="10" t="s">
        <v>196</v>
      </c>
      <c r="AL4" s="10" t="s">
        <v>197</v>
      </c>
      <c r="AM4" s="9" t="s">
        <v>198</v>
      </c>
      <c r="AN4" s="10" t="s">
        <v>199</v>
      </c>
      <c r="AO4" s="9" t="s">
        <v>200</v>
      </c>
      <c r="AP4" s="10" t="s">
        <v>201</v>
      </c>
      <c r="AQ4" s="9" t="s">
        <v>202</v>
      </c>
      <c r="AR4" s="9" t="s">
        <v>203</v>
      </c>
      <c r="AS4" s="9" t="s">
        <v>204</v>
      </c>
      <c r="AT4" s="9" t="s">
        <v>205</v>
      </c>
      <c r="AU4" s="10" t="s">
        <v>206</v>
      </c>
      <c r="AV4" s="10" t="s">
        <v>207</v>
      </c>
      <c r="AW4" s="9" t="s">
        <v>208</v>
      </c>
      <c r="AX4" s="9" t="s">
        <v>209</v>
      </c>
      <c r="AY4" s="9" t="s">
        <v>210</v>
      </c>
      <c r="AZ4" s="10" t="s">
        <v>211</v>
      </c>
      <c r="BA4" s="10" t="s">
        <v>212</v>
      </c>
      <c r="BB4" s="9" t="s">
        <v>213</v>
      </c>
      <c r="BC4" s="9" t="s">
        <v>214</v>
      </c>
      <c r="BE4" s="10" t="s">
        <v>215</v>
      </c>
      <c r="BF4" s="9" t="s">
        <v>216</v>
      </c>
      <c r="BG4" s="10" t="s">
        <v>217</v>
      </c>
      <c r="BI4" s="9" t="s">
        <v>218</v>
      </c>
      <c r="BJ4" s="9" t="s">
        <v>219</v>
      </c>
      <c r="BK4" s="10" t="s">
        <v>220</v>
      </c>
      <c r="BL4" s="10" t="s">
        <v>221</v>
      </c>
      <c r="BM4" s="10" t="s">
        <v>222</v>
      </c>
      <c r="BO4" s="9" t="s">
        <v>223</v>
      </c>
      <c r="BP4" s="9" t="s">
        <v>224</v>
      </c>
      <c r="BQ4" s="10" t="s">
        <v>225</v>
      </c>
      <c r="BR4" s="10" t="s">
        <v>226</v>
      </c>
      <c r="BS4" s="10" t="s">
        <v>227</v>
      </c>
    </row>
    <row r="5" spans="1:71" x14ac:dyDescent="0.2">
      <c r="A5" s="77" t="s">
        <v>228</v>
      </c>
      <c r="B5" s="77" t="s">
        <v>54</v>
      </c>
      <c r="C5" s="11" t="s">
        <v>229</v>
      </c>
      <c r="D5" s="77">
        <v>238146391</v>
      </c>
      <c r="E5" s="11">
        <v>10</v>
      </c>
      <c r="F5" s="11">
        <v>32</v>
      </c>
      <c r="G5" s="11">
        <v>30</v>
      </c>
      <c r="I5" s="12">
        <f t="shared" ref="I5:I29" si="0">IF(OR(ISBLANK(S5),ISBLANK(G5)),"·",S5*G5/F5/1000000)</f>
        <v>2.2492049999999999</v>
      </c>
      <c r="J5" s="13">
        <f t="shared" ref="J5:J29" si="1">IF(ISBLANK(S5),"·",S5/D5)</f>
        <v>1.0074274020805967E-2</v>
      </c>
      <c r="K5" s="13">
        <f t="shared" ref="K5:K29" si="2">IF(N5="","·",N5/D5)</f>
        <v>6.3974095664544421E-3</v>
      </c>
      <c r="L5" s="13">
        <f t="shared" ref="L5:L29" si="3">IF(T5="","·",T5/D5)</f>
        <v>3.5566358845219703E-3</v>
      </c>
      <c r="M5" s="13">
        <f t="shared" ref="M5:M29" si="4">IF(ISBLANK(V5),"·",V5/D5)</f>
        <v>3.674277810071873E-3</v>
      </c>
      <c r="N5" s="77">
        <f t="shared" ref="N5:N29" si="5">IF(OR(ISBLANK(T5),ISBLANK(U5)),"",T5+U5)</f>
        <v>1523520</v>
      </c>
      <c r="O5" s="13">
        <v>16</v>
      </c>
      <c r="P5" s="14">
        <v>21665561</v>
      </c>
      <c r="Q5" s="14">
        <v>677048.78125</v>
      </c>
      <c r="R5" s="14">
        <v>13554.6875</v>
      </c>
      <c r="S5" s="15">
        <v>2399152</v>
      </c>
      <c r="T5" s="15">
        <v>847000</v>
      </c>
      <c r="U5" s="15">
        <v>676520</v>
      </c>
      <c r="V5" s="15">
        <v>875016</v>
      </c>
      <c r="W5" s="16">
        <v>66.333168999999998</v>
      </c>
      <c r="X5" s="16">
        <v>68.402850000000001</v>
      </c>
      <c r="Y5" s="16">
        <v>32.165624999999999</v>
      </c>
      <c r="Z5" s="16">
        <v>44.153830999999997</v>
      </c>
      <c r="AA5" s="16">
        <v>43.731209</v>
      </c>
      <c r="AB5" s="17">
        <v>2458.15</v>
      </c>
      <c r="AC5" s="17">
        <v>746.63099999999997</v>
      </c>
      <c r="AD5" s="17">
        <v>9.0370000000000008</v>
      </c>
      <c r="AE5" s="17">
        <v>12.069000000000001</v>
      </c>
      <c r="AG5" s="12">
        <f t="shared" ref="AG5:AG29" si="6">IF(OR(ISBLANK(AQ5),ISBLANK(G5)),"·",AQ5*G5/F5/1000000)</f>
        <v>2.2492049999999999</v>
      </c>
      <c r="AH5" s="13">
        <f t="shared" ref="AH5:AH28" si="7">IF(ISBLANK(AQ5),"·",AQ5/D5)</f>
        <v>1.0074274020805967E-2</v>
      </c>
      <c r="AI5" s="13">
        <f t="shared" ref="AI5:AI29" si="8">IF(AL5="","·",AL5/D5)</f>
        <v>6.3974095664544421E-3</v>
      </c>
      <c r="AJ5" s="13">
        <f t="shared" ref="AJ5:AJ29" si="9">IF(AR5="","·",AR5/D5)</f>
        <v>3.5566358845219703E-3</v>
      </c>
      <c r="AK5" s="13">
        <f t="shared" ref="AK5:AK29" si="10">IF(ISBLANK(AT5),"·",AT5/D5)</f>
        <v>3.674277810071873E-3</v>
      </c>
      <c r="AL5" s="77">
        <f t="shared" ref="AL5:AL29" si="11">IF(OR(ISBLANK(AR5),ISBLANK(AS5)),"",AR5+AS5)</f>
        <v>1523520</v>
      </c>
      <c r="AM5" s="13">
        <v>16</v>
      </c>
      <c r="AN5" s="14">
        <v>21665561</v>
      </c>
      <c r="AO5" s="14">
        <v>677048.78125</v>
      </c>
      <c r="AP5" s="14">
        <v>13554.6875</v>
      </c>
      <c r="AQ5" s="15">
        <v>2399152</v>
      </c>
      <c r="AR5" s="15">
        <v>847000</v>
      </c>
      <c r="AS5" s="15">
        <v>676520</v>
      </c>
      <c r="AT5" s="15">
        <v>875016</v>
      </c>
      <c r="AU5" s="16">
        <v>66.333168999999998</v>
      </c>
      <c r="AV5" s="16">
        <v>68.402850000000001</v>
      </c>
      <c r="AW5" s="16">
        <v>32.165624999999999</v>
      </c>
      <c r="AX5" s="16">
        <v>44.153830999999997</v>
      </c>
      <c r="AY5" s="16">
        <v>43.731209</v>
      </c>
      <c r="AZ5" s="17">
        <v>2451.56</v>
      </c>
      <c r="BA5" s="17">
        <v>731.9</v>
      </c>
      <c r="BB5" s="17">
        <v>8.56</v>
      </c>
      <c r="BC5" s="17">
        <v>11.795999999999999</v>
      </c>
      <c r="BE5" s="18">
        <f>(AP5/AO5) - (R5/Q5)</f>
        <v>0</v>
      </c>
      <c r="BF5" s="18">
        <f t="shared" ref="BF5:BF29" si="12">(AL5/AQ5) - (N5/S5)</f>
        <v>0</v>
      </c>
      <c r="BG5" s="18">
        <f t="array" ref="BG5">AVERAGE(AL5:AL9/AQ5:AQ9) - AVERAGE(N5:N9/S5:S9)</f>
        <v>0</v>
      </c>
      <c r="BI5" s="120">
        <f>IF( OR(ISBLANK(N5:N9),ISBLANK(AL5:AL9), ISBLANK(W5:W9),ISBLANK(AU5:AU9)), "·", bdRateExtend( N5:N9,W5:W9, AL5:AL9,AU5:AU9))</f>
        <v>0</v>
      </c>
      <c r="BJ5" s="120">
        <f>IF( OR(ISBLANK(N5:N9),ISBLANK(AL5:AL9), ISBLANK(X5:X9),ISBLANK(AV5:AV9)), "·", bdRateExtend( N5:N9,X5:X9, AL5:AL9,AV5:AV9))</f>
        <v>0</v>
      </c>
      <c r="BK5" s="120">
        <f>IF( OR(ISBLANK(V5:V9),ISBLANK(AT5:AT9), ISBLANK(Y5:Y9),ISBLANK(AW5:AW9)), "·", bdRateExtend( V5:V9,Y5:Y9, AT5:AT9,AW5:AW9))</f>
        <v>0</v>
      </c>
      <c r="BL5" s="120">
        <f>IF( OR(ISBLANK(V5:V9),ISBLANK(AT5:AT9), ISBLANK(Z5:Z9),ISBLANK(AX5:AX9)), "·", bdRateExtend( V5:V9,Z5:Z9, AT5:AT9,AX5:AX9))</f>
        <v>0</v>
      </c>
      <c r="BM5" s="120">
        <f>IF( OR(ISBLANK(V5:V9),ISBLANK(AT5:AT9), ISBLANK(AA5:AA9),ISBLANK(AY5:AY9)), "·", bdRateExtend( V5:V9,AA5:AA9, AT5:AT9,AY5:AY9))</f>
        <v>0</v>
      </c>
      <c r="BN5" s="121"/>
      <c r="BO5" s="120">
        <f>IF( OR(ISBLANK(S5:S9),ISBLANK(AQ5:AQ9), ISBLANK(W5:W9),ISBLANK(AU5:AU9)), "·", bdRateExtend( S5:S9,W5:W9, AQ5:AQ9,AU5:AU9))</f>
        <v>0</v>
      </c>
      <c r="BP5" s="120">
        <f>IF( OR(ISBLANK(S5:S9),ISBLANK(AQ5:AQ9), ISBLANK(X5:X9),ISBLANK(AV5:AV9)), "·", bdRateExtend( S5:S9,X5:X9, AQ5:AQ9,AV5:AV9))</f>
        <v>0</v>
      </c>
      <c r="BQ5" s="120">
        <f>IF( OR(ISBLANK(S5:S9),ISBLANK(AQ5:AQ9), ISBLANK(Y5:Y9),ISBLANK(AW5:AW9)), "·", bdRateExtend( S5:S9,Y5:Y9, AQ5:AQ9,AW5:AW9))</f>
        <v>0</v>
      </c>
      <c r="BR5" s="120">
        <f>IF( OR(ISBLANK(S5:S9),ISBLANK(AQ5:AQ9), ISBLANK(Z5:Z9),ISBLANK(AX5:AX9)), "·", bdRateExtend( S5:S9,Z5:Z9, AQ5:AQ9,AX5:AX9))</f>
        <v>0</v>
      </c>
      <c r="BS5" s="120">
        <f>IF( OR(ISBLANK(S5:S9),ISBLANK(AQ5:AQ9), ISBLANK(AA5:AA9),ISBLANK(AY5:AY9)), "·", bdRateExtend( S5:S9,AA5:AA9, AQ5:AQ9,AY5:AY9))</f>
        <v>0</v>
      </c>
    </row>
    <row r="6" spans="1:71" outlineLevel="1" x14ac:dyDescent="0.2">
      <c r="A6" s="69"/>
      <c r="B6" s="69" t="s">
        <v>54</v>
      </c>
      <c r="C6" s="19" t="s">
        <v>230</v>
      </c>
      <c r="D6" s="69">
        <v>238146391</v>
      </c>
      <c r="E6" s="19">
        <v>10</v>
      </c>
      <c r="F6" s="19">
        <v>32</v>
      </c>
      <c r="G6" s="19">
        <v>30</v>
      </c>
      <c r="I6" s="20">
        <f t="shared" si="0"/>
        <v>3.4897499999999999</v>
      </c>
      <c r="J6" s="21">
        <f t="shared" si="1"/>
        <v>1.5630721861327725E-2</v>
      </c>
      <c r="K6" s="21">
        <f t="shared" si="2"/>
        <v>7.7252986798359673E-3</v>
      </c>
      <c r="L6" s="21">
        <f t="shared" si="3"/>
        <v>4.8845249979034954E-3</v>
      </c>
      <c r="M6" s="21">
        <f t="shared" si="4"/>
        <v>7.9028365372121046E-3</v>
      </c>
      <c r="N6" s="69">
        <f t="shared" si="5"/>
        <v>1839752</v>
      </c>
      <c r="O6" s="21">
        <v>16</v>
      </c>
      <c r="P6" s="22">
        <v>24161168</v>
      </c>
      <c r="Q6" s="22">
        <v>755036.5</v>
      </c>
      <c r="R6" s="22">
        <v>19192.28125</v>
      </c>
      <c r="S6" s="23">
        <v>3722400</v>
      </c>
      <c r="T6" s="23">
        <v>1163232</v>
      </c>
      <c r="U6" s="23">
        <v>676520</v>
      </c>
      <c r="V6" s="23">
        <v>1882032</v>
      </c>
      <c r="W6" s="24">
        <v>68.238112000000001</v>
      </c>
      <c r="X6" s="24">
        <v>70.356650000000002</v>
      </c>
      <c r="Y6" s="24">
        <v>34.445497000000003</v>
      </c>
      <c r="Z6" s="24">
        <v>45.472078000000003</v>
      </c>
      <c r="AA6" s="24">
        <v>45.189937</v>
      </c>
      <c r="AB6" s="25">
        <v>2602.9699999999998</v>
      </c>
      <c r="AC6" s="25">
        <v>823.33500000000004</v>
      </c>
      <c r="AD6" s="25">
        <v>9.4939999999999998</v>
      </c>
      <c r="AE6" s="25">
        <v>12.78</v>
      </c>
      <c r="AG6" s="20">
        <f t="shared" si="6"/>
        <v>3.4897499999999999</v>
      </c>
      <c r="AH6" s="21">
        <f t="shared" si="7"/>
        <v>1.5630721861327725E-2</v>
      </c>
      <c r="AI6" s="21">
        <f t="shared" si="8"/>
        <v>7.7252986798359673E-3</v>
      </c>
      <c r="AJ6" s="21">
        <f t="shared" si="9"/>
        <v>4.8845249979034954E-3</v>
      </c>
      <c r="AK6" s="21">
        <f t="shared" si="10"/>
        <v>7.9028365372121046E-3</v>
      </c>
      <c r="AL6" s="69">
        <f t="shared" si="11"/>
        <v>1839752</v>
      </c>
      <c r="AM6" s="21">
        <v>16</v>
      </c>
      <c r="AN6" s="22">
        <v>24161168</v>
      </c>
      <c r="AO6" s="22">
        <v>755036.5</v>
      </c>
      <c r="AP6" s="22">
        <v>19192.28125</v>
      </c>
      <c r="AQ6" s="23">
        <v>3722400</v>
      </c>
      <c r="AR6" s="23">
        <v>1163232</v>
      </c>
      <c r="AS6" s="23">
        <v>676520</v>
      </c>
      <c r="AT6" s="23">
        <v>1882032</v>
      </c>
      <c r="AU6" s="24">
        <v>68.238112000000001</v>
      </c>
      <c r="AV6" s="24">
        <v>70.356650000000002</v>
      </c>
      <c r="AW6" s="24">
        <v>34.445497000000003</v>
      </c>
      <c r="AX6" s="24">
        <v>45.472078000000003</v>
      </c>
      <c r="AY6" s="24">
        <v>45.189937</v>
      </c>
      <c r="AZ6" s="25">
        <v>2494.19</v>
      </c>
      <c r="BA6" s="25">
        <v>797.43100000000004</v>
      </c>
      <c r="BB6" s="25">
        <v>9.0739999999999998</v>
      </c>
      <c r="BC6" s="25">
        <v>12.323</v>
      </c>
      <c r="BE6" s="26">
        <f>(AP6/AO6) - (R6/Q6)</f>
        <v>0</v>
      </c>
      <c r="BF6" s="26">
        <f t="shared" si="12"/>
        <v>0</v>
      </c>
      <c r="BG6" s="26"/>
      <c r="BI6" s="122"/>
      <c r="BJ6" s="122"/>
      <c r="BK6" s="122"/>
      <c r="BL6" s="122"/>
      <c r="BM6" s="122"/>
      <c r="BN6" s="121"/>
      <c r="BO6" s="122"/>
      <c r="BP6" s="122"/>
      <c r="BQ6" s="122"/>
      <c r="BR6" s="122"/>
      <c r="BS6" s="122"/>
    </row>
    <row r="7" spans="1:71" outlineLevel="1" x14ac:dyDescent="0.2">
      <c r="A7" s="77"/>
      <c r="B7" s="77" t="s">
        <v>54</v>
      </c>
      <c r="C7" s="11" t="s">
        <v>231</v>
      </c>
      <c r="D7" s="77">
        <v>238146391</v>
      </c>
      <c r="E7" s="11">
        <v>10</v>
      </c>
      <c r="F7" s="11">
        <v>32</v>
      </c>
      <c r="G7" s="11">
        <v>30</v>
      </c>
      <c r="I7" s="12">
        <f t="shared" si="0"/>
        <v>5.7170325000000002</v>
      </c>
      <c r="J7" s="13">
        <f t="shared" si="1"/>
        <v>2.560680417785546E-2</v>
      </c>
      <c r="K7" s="13">
        <f t="shared" si="2"/>
        <v>9.6033367979949779E-3</v>
      </c>
      <c r="L7" s="13">
        <f t="shared" si="3"/>
        <v>6.762563116062506E-3</v>
      </c>
      <c r="M7" s="13">
        <f t="shared" si="4"/>
        <v>1.6000880735580831E-2</v>
      </c>
      <c r="N7" s="77">
        <f t="shared" si="5"/>
        <v>2287000</v>
      </c>
      <c r="O7" s="13">
        <v>16</v>
      </c>
      <c r="P7" s="14">
        <v>24851571</v>
      </c>
      <c r="Q7" s="14">
        <v>776611.59375</v>
      </c>
      <c r="R7" s="14">
        <v>21049.5</v>
      </c>
      <c r="S7" s="15">
        <v>6098168</v>
      </c>
      <c r="T7" s="15">
        <v>1610480</v>
      </c>
      <c r="U7" s="15">
        <v>676520</v>
      </c>
      <c r="V7" s="15">
        <v>3810552</v>
      </c>
      <c r="W7" s="16">
        <v>69.677408999999997</v>
      </c>
      <c r="X7" s="16">
        <v>72.041343999999995</v>
      </c>
      <c r="Y7" s="16">
        <v>36.986227999999997</v>
      </c>
      <c r="Z7" s="16">
        <v>46.565627999999997</v>
      </c>
      <c r="AA7" s="16">
        <v>46.444780999999999</v>
      </c>
      <c r="AB7" s="17">
        <v>2495.31</v>
      </c>
      <c r="AC7" s="17">
        <v>888.43700000000001</v>
      </c>
      <c r="AD7" s="17">
        <v>9.1539999999999999</v>
      </c>
      <c r="AE7" s="17">
        <v>13.045999999999999</v>
      </c>
      <c r="AG7" s="12">
        <f t="shared" si="6"/>
        <v>5.7170325000000002</v>
      </c>
      <c r="AH7" s="13">
        <f t="shared" si="7"/>
        <v>2.560680417785546E-2</v>
      </c>
      <c r="AI7" s="13">
        <f t="shared" si="8"/>
        <v>9.6033367979949779E-3</v>
      </c>
      <c r="AJ7" s="13">
        <f t="shared" si="9"/>
        <v>6.762563116062506E-3</v>
      </c>
      <c r="AK7" s="13">
        <f t="shared" si="10"/>
        <v>1.6000880735580831E-2</v>
      </c>
      <c r="AL7" s="77">
        <f t="shared" si="11"/>
        <v>2287000</v>
      </c>
      <c r="AM7" s="13">
        <v>16</v>
      </c>
      <c r="AN7" s="14">
        <v>24851571</v>
      </c>
      <c r="AO7" s="14">
        <v>776611.59375</v>
      </c>
      <c r="AP7" s="14">
        <v>21049.5</v>
      </c>
      <c r="AQ7" s="15">
        <v>6098168</v>
      </c>
      <c r="AR7" s="15">
        <v>1610480</v>
      </c>
      <c r="AS7" s="15">
        <v>676520</v>
      </c>
      <c r="AT7" s="15">
        <v>3810552</v>
      </c>
      <c r="AU7" s="16">
        <v>69.677408999999997</v>
      </c>
      <c r="AV7" s="16">
        <v>72.041343999999995</v>
      </c>
      <c r="AW7" s="16">
        <v>36.986227999999997</v>
      </c>
      <c r="AX7" s="16">
        <v>46.565627999999997</v>
      </c>
      <c r="AY7" s="16">
        <v>46.444780999999999</v>
      </c>
      <c r="AZ7" s="17">
        <v>2608.16</v>
      </c>
      <c r="BA7" s="17">
        <v>864.45799999999997</v>
      </c>
      <c r="BB7" s="17">
        <v>9.298</v>
      </c>
      <c r="BC7" s="17">
        <v>12.933999999999999</v>
      </c>
      <c r="BE7" s="18">
        <f>(AP7/AO7) - (R7/Q7)</f>
        <v>0</v>
      </c>
      <c r="BF7" s="18">
        <f t="shared" si="12"/>
        <v>0</v>
      </c>
      <c r="BG7" s="18"/>
      <c r="BI7" s="120"/>
      <c r="BJ7" s="120"/>
      <c r="BK7" s="120"/>
      <c r="BL7" s="120"/>
      <c r="BM7" s="120"/>
      <c r="BN7" s="121"/>
      <c r="BO7" s="120"/>
      <c r="BP7" s="120"/>
      <c r="BQ7" s="120"/>
      <c r="BR7" s="120"/>
      <c r="BS7" s="120"/>
    </row>
    <row r="8" spans="1:71" outlineLevel="1" x14ac:dyDescent="0.2">
      <c r="A8" s="69"/>
      <c r="B8" s="69" t="s">
        <v>54</v>
      </c>
      <c r="C8" s="19" t="s">
        <v>232</v>
      </c>
      <c r="D8" s="69">
        <v>238146391</v>
      </c>
      <c r="E8" s="19">
        <v>10</v>
      </c>
      <c r="F8" s="19">
        <v>32</v>
      </c>
      <c r="G8" s="19">
        <v>30</v>
      </c>
      <c r="I8" s="20">
        <f t="shared" si="0"/>
        <v>9.9385124999999999</v>
      </c>
      <c r="J8" s="21">
        <f t="shared" si="1"/>
        <v>4.4514972305416962E-2</v>
      </c>
      <c r="K8" s="21">
        <f t="shared" si="2"/>
        <v>1.2690412763802917E-2</v>
      </c>
      <c r="L8" s="21">
        <f t="shared" si="3"/>
        <v>9.8496390818704448E-3</v>
      </c>
      <c r="M8" s="21">
        <f t="shared" si="4"/>
        <v>3.1821972897334398E-2</v>
      </c>
      <c r="N8" s="69">
        <f t="shared" si="5"/>
        <v>3022176</v>
      </c>
      <c r="O8" s="21">
        <v>16</v>
      </c>
      <c r="P8" s="22">
        <v>25926308</v>
      </c>
      <c r="Q8" s="22">
        <v>810197.125</v>
      </c>
      <c r="R8" s="22">
        <v>24362.6875</v>
      </c>
      <c r="S8" s="23">
        <v>10601080</v>
      </c>
      <c r="T8" s="23">
        <v>2345656</v>
      </c>
      <c r="U8" s="23">
        <v>676520</v>
      </c>
      <c r="V8" s="23">
        <v>7578288</v>
      </c>
      <c r="W8" s="24">
        <v>70.749765999999994</v>
      </c>
      <c r="X8" s="24">
        <v>73.293744000000004</v>
      </c>
      <c r="Y8" s="24">
        <v>39.614122000000002</v>
      </c>
      <c r="Z8" s="24">
        <v>47.886353</v>
      </c>
      <c r="AA8" s="24">
        <v>47.917003000000001</v>
      </c>
      <c r="AB8" s="25">
        <v>2531.0500000000002</v>
      </c>
      <c r="AC8" s="25">
        <v>928.87</v>
      </c>
      <c r="AD8" s="25">
        <v>9.5289999999999999</v>
      </c>
      <c r="AE8" s="25">
        <v>13.702999999999999</v>
      </c>
      <c r="AG8" s="20">
        <f t="shared" si="6"/>
        <v>9.9385124999999999</v>
      </c>
      <c r="AH8" s="21">
        <f t="shared" si="7"/>
        <v>4.4514972305416962E-2</v>
      </c>
      <c r="AI8" s="21">
        <f t="shared" si="8"/>
        <v>1.2690412763802917E-2</v>
      </c>
      <c r="AJ8" s="21">
        <f t="shared" si="9"/>
        <v>9.8496390818704448E-3</v>
      </c>
      <c r="AK8" s="21">
        <f t="shared" si="10"/>
        <v>3.1821972897334398E-2</v>
      </c>
      <c r="AL8" s="69">
        <f t="shared" si="11"/>
        <v>3022176</v>
      </c>
      <c r="AM8" s="21">
        <v>16</v>
      </c>
      <c r="AN8" s="22">
        <v>25926308</v>
      </c>
      <c r="AO8" s="22">
        <v>810197.125</v>
      </c>
      <c r="AP8" s="22">
        <v>24362.6875</v>
      </c>
      <c r="AQ8" s="23">
        <v>10601080</v>
      </c>
      <c r="AR8" s="23">
        <v>2345656</v>
      </c>
      <c r="AS8" s="23">
        <v>676520</v>
      </c>
      <c r="AT8" s="23">
        <v>7578288</v>
      </c>
      <c r="AU8" s="24">
        <v>70.749765999999994</v>
      </c>
      <c r="AV8" s="24">
        <v>73.293744000000004</v>
      </c>
      <c r="AW8" s="24">
        <v>39.614122000000002</v>
      </c>
      <c r="AX8" s="24">
        <v>47.886353</v>
      </c>
      <c r="AY8" s="24">
        <v>47.917003000000001</v>
      </c>
      <c r="AZ8" s="25">
        <v>3224.01</v>
      </c>
      <c r="BA8" s="25">
        <v>1336.03</v>
      </c>
      <c r="BB8" s="25">
        <v>12.337</v>
      </c>
      <c r="BC8" s="25">
        <v>19.082000000000001</v>
      </c>
      <c r="BE8" s="26">
        <f>(AP8/AO8) - (R8/Q8)</f>
        <v>0</v>
      </c>
      <c r="BF8" s="26">
        <f t="shared" si="12"/>
        <v>0</v>
      </c>
      <c r="BG8" s="26"/>
      <c r="BI8" s="122"/>
      <c r="BJ8" s="122"/>
      <c r="BK8" s="122"/>
      <c r="BL8" s="122"/>
      <c r="BM8" s="122"/>
      <c r="BN8" s="121"/>
      <c r="BO8" s="122"/>
      <c r="BP8" s="122"/>
      <c r="BQ8" s="122"/>
      <c r="BR8" s="122"/>
      <c r="BS8" s="122"/>
    </row>
    <row r="9" spans="1:71" ht="16" outlineLevel="1" thickBot="1" x14ac:dyDescent="0.25">
      <c r="A9" s="77"/>
      <c r="B9" s="27" t="s">
        <v>54</v>
      </c>
      <c r="C9" s="28" t="s">
        <v>233</v>
      </c>
      <c r="D9" s="27">
        <v>238146391</v>
      </c>
      <c r="E9" s="28">
        <v>10</v>
      </c>
      <c r="F9" s="28">
        <v>32</v>
      </c>
      <c r="G9" s="28">
        <v>30</v>
      </c>
      <c r="I9" s="29">
        <f t="shared" si="0"/>
        <v>18.133215</v>
      </c>
      <c r="J9" s="30">
        <f t="shared" si="1"/>
        <v>8.1219353855335144E-2</v>
      </c>
      <c r="K9" s="30">
        <f t="shared" si="2"/>
        <v>2.0535436121725648E-2</v>
      </c>
      <c r="L9" s="30">
        <f t="shared" si="3"/>
        <v>1.5070293464997334E-2</v>
      </c>
      <c r="M9" s="30">
        <f t="shared" si="4"/>
        <v>6.068133108932984E-2</v>
      </c>
      <c r="N9" s="27">
        <f t="shared" si="5"/>
        <v>4890440</v>
      </c>
      <c r="O9" s="30">
        <v>16</v>
      </c>
      <c r="P9" s="31">
        <v>24992016</v>
      </c>
      <c r="Q9" s="31">
        <v>781000.5</v>
      </c>
      <c r="R9" s="31">
        <v>10306.34375</v>
      </c>
      <c r="S9" s="32">
        <v>19342096</v>
      </c>
      <c r="T9" s="32">
        <v>3588936</v>
      </c>
      <c r="U9" s="32">
        <v>1301504</v>
      </c>
      <c r="V9" s="32">
        <v>14451040</v>
      </c>
      <c r="W9" s="33">
        <v>72.062166000000005</v>
      </c>
      <c r="X9" s="33">
        <v>75.321166000000005</v>
      </c>
      <c r="Y9" s="33">
        <v>42.039611999999998</v>
      </c>
      <c r="Z9" s="33">
        <v>49.434652999999997</v>
      </c>
      <c r="AA9" s="33">
        <v>49.581252999999997</v>
      </c>
      <c r="AB9" s="34">
        <v>2489.0500000000002</v>
      </c>
      <c r="AC9" s="34">
        <v>1076.3499999999999</v>
      </c>
      <c r="AD9" s="34">
        <v>9.3160000000000007</v>
      </c>
      <c r="AE9" s="34">
        <v>15.353</v>
      </c>
      <c r="AG9" s="29">
        <f t="shared" si="6"/>
        <v>18.133215</v>
      </c>
      <c r="AH9" s="30">
        <f t="shared" si="7"/>
        <v>8.1219353855335144E-2</v>
      </c>
      <c r="AI9" s="30">
        <f t="shared" si="8"/>
        <v>2.0535436121725648E-2</v>
      </c>
      <c r="AJ9" s="30">
        <f t="shared" si="9"/>
        <v>1.5070293464997334E-2</v>
      </c>
      <c r="AK9" s="30">
        <f t="shared" si="10"/>
        <v>6.068133108932984E-2</v>
      </c>
      <c r="AL9" s="27">
        <f t="shared" si="11"/>
        <v>4890440</v>
      </c>
      <c r="AM9" s="30">
        <v>16</v>
      </c>
      <c r="AN9" s="31">
        <v>24992016</v>
      </c>
      <c r="AO9" s="31">
        <v>781000.5</v>
      </c>
      <c r="AP9" s="31">
        <v>10306.34375</v>
      </c>
      <c r="AQ9" s="32">
        <v>19342096</v>
      </c>
      <c r="AR9" s="32">
        <v>3588936</v>
      </c>
      <c r="AS9" s="32">
        <v>1301504</v>
      </c>
      <c r="AT9" s="32">
        <v>14451040</v>
      </c>
      <c r="AU9" s="33">
        <v>72.062166000000005</v>
      </c>
      <c r="AV9" s="33">
        <v>75.321166000000005</v>
      </c>
      <c r="AW9" s="33">
        <v>42.039611999999998</v>
      </c>
      <c r="AX9" s="33">
        <v>49.434652999999997</v>
      </c>
      <c r="AY9" s="33">
        <v>49.581252999999997</v>
      </c>
      <c r="AZ9" s="34">
        <v>2931.28</v>
      </c>
      <c r="BA9" s="34">
        <v>1421.38</v>
      </c>
      <c r="BB9" s="34">
        <v>12.749000000000001</v>
      </c>
      <c r="BC9" s="34">
        <v>20.763999999999999</v>
      </c>
      <c r="BE9" s="35">
        <f>(AP9/AO9) - (R9/Q9)</f>
        <v>0</v>
      </c>
      <c r="BF9" s="35">
        <f t="shared" si="12"/>
        <v>0</v>
      </c>
      <c r="BG9" s="35"/>
      <c r="BI9" s="123"/>
      <c r="BJ9" s="123"/>
      <c r="BK9" s="123"/>
      <c r="BL9" s="123"/>
      <c r="BM9" s="123"/>
      <c r="BN9" s="121"/>
      <c r="BO9" s="123"/>
      <c r="BP9" s="123"/>
      <c r="BQ9" s="123"/>
      <c r="BR9" s="123"/>
      <c r="BS9" s="123"/>
    </row>
    <row r="10" spans="1:71" x14ac:dyDescent="0.2">
      <c r="A10" s="69"/>
      <c r="B10" s="69" t="s">
        <v>62</v>
      </c>
      <c r="C10" s="19" t="s">
        <v>229</v>
      </c>
      <c r="D10" s="69">
        <v>218121242</v>
      </c>
      <c r="E10" s="19">
        <v>10</v>
      </c>
      <c r="F10" s="19">
        <v>32</v>
      </c>
      <c r="G10" s="19">
        <v>30</v>
      </c>
      <c r="I10" s="20">
        <f t="shared" si="0"/>
        <v>3.2639624999999999</v>
      </c>
      <c r="J10" s="21">
        <f t="shared" si="1"/>
        <v>1.596158158681308E-2</v>
      </c>
      <c r="K10" s="21">
        <f t="shared" si="2"/>
        <v>8.272023318114061E-3</v>
      </c>
      <c r="L10" s="21">
        <f t="shared" si="3"/>
        <v>4.1984356571745547E-3</v>
      </c>
      <c r="M10" s="21">
        <f t="shared" si="4"/>
        <v>7.6867341512753722E-3</v>
      </c>
      <c r="N10" s="69">
        <f t="shared" si="5"/>
        <v>1804304</v>
      </c>
      <c r="O10" s="21">
        <v>16</v>
      </c>
      <c r="P10" s="22">
        <v>20660922</v>
      </c>
      <c r="Q10" s="22">
        <v>645653.8125</v>
      </c>
      <c r="R10" s="22">
        <v>18447.71875</v>
      </c>
      <c r="S10" s="23">
        <v>3481560</v>
      </c>
      <c r="T10" s="23">
        <v>915768</v>
      </c>
      <c r="U10" s="23">
        <v>888536</v>
      </c>
      <c r="V10" s="23">
        <v>1676640</v>
      </c>
      <c r="W10" s="24">
        <v>65.910393999999997</v>
      </c>
      <c r="X10" s="24">
        <v>67.841155999999998</v>
      </c>
      <c r="Y10" s="24">
        <v>32.503644000000001</v>
      </c>
      <c r="Z10" s="24">
        <v>39.236006000000003</v>
      </c>
      <c r="AA10" s="24">
        <v>32.222727999999996</v>
      </c>
      <c r="AB10" s="25">
        <v>3317.29</v>
      </c>
      <c r="AC10" s="25">
        <v>1125.48</v>
      </c>
      <c r="AD10" s="25">
        <v>10.907</v>
      </c>
      <c r="AE10" s="25">
        <v>17.373000000000001</v>
      </c>
      <c r="AG10" s="20">
        <f t="shared" si="6"/>
        <v>3.2639624999999999</v>
      </c>
      <c r="AH10" s="21">
        <f t="shared" si="7"/>
        <v>1.596158158681308E-2</v>
      </c>
      <c r="AI10" s="21">
        <f t="shared" si="8"/>
        <v>8.272023318114061E-3</v>
      </c>
      <c r="AJ10" s="21">
        <f t="shared" si="9"/>
        <v>4.1984356571745547E-3</v>
      </c>
      <c r="AK10" s="21">
        <f t="shared" si="10"/>
        <v>7.6867341512753722E-3</v>
      </c>
      <c r="AL10" s="69">
        <f t="shared" si="11"/>
        <v>1804304</v>
      </c>
      <c r="AM10" s="21">
        <v>16</v>
      </c>
      <c r="AN10" s="22">
        <v>20660922</v>
      </c>
      <c r="AO10" s="22">
        <v>645653.8125</v>
      </c>
      <c r="AP10" s="22">
        <v>18447.71875</v>
      </c>
      <c r="AQ10" s="23">
        <v>3481560</v>
      </c>
      <c r="AR10" s="23">
        <v>915768</v>
      </c>
      <c r="AS10" s="23">
        <v>888536</v>
      </c>
      <c r="AT10" s="23">
        <v>1676640</v>
      </c>
      <c r="AU10" s="24">
        <v>65.910393999999997</v>
      </c>
      <c r="AV10" s="24">
        <v>67.841155999999998</v>
      </c>
      <c r="AW10" s="24">
        <v>32.503644000000001</v>
      </c>
      <c r="AX10" s="24">
        <v>39.236006000000003</v>
      </c>
      <c r="AY10" s="24">
        <v>32.222727999999996</v>
      </c>
      <c r="AZ10" s="25">
        <v>2220.0100000000002</v>
      </c>
      <c r="BA10" s="25">
        <v>735.18299999999999</v>
      </c>
      <c r="BB10" s="25">
        <v>7.9649999999999999</v>
      </c>
      <c r="BC10" s="25">
        <v>11.792999999999999</v>
      </c>
      <c r="BE10" s="26">
        <f>(AP10/AO10) - (R10/Q10)</f>
        <v>0</v>
      </c>
      <c r="BF10" s="26">
        <f t="shared" si="12"/>
        <v>0</v>
      </c>
      <c r="BG10" s="26">
        <f t="array" ref="BG10">AVERAGE(AL10:AL14/AQ10:AQ14) - AVERAGE(N10:N14/S10:S14)</f>
        <v>0</v>
      </c>
      <c r="BI10" s="122">
        <f>IF( OR(ISBLANK(N10:N14),ISBLANK(AL10:AL14), ISBLANK(W10:W14),ISBLANK(AU10:AU14)), "·", bdRateExtend( N10:N14,W10:W14, AL10:AL14,AU10:AU14))</f>
        <v>0</v>
      </c>
      <c r="BJ10" s="122">
        <f>IF( OR(ISBLANK(N10:N14),ISBLANK(AL10:AL14), ISBLANK(X10:X14),ISBLANK(AV10:AV14)), "·", bdRateExtend( N10:N14,X10:X14, AL10:AL14,AV10:AV14))</f>
        <v>0</v>
      </c>
      <c r="BK10" s="122">
        <f>IF( OR(ISBLANK(V10:V14),ISBLANK(AT10:AT14), ISBLANK(Y10:Y14),ISBLANK(AW10:AW14)), "·", bdRateExtend( V10:V14,Y10:Y14, AT10:AT14,AW10:AW14))</f>
        <v>0</v>
      </c>
      <c r="BL10" s="122">
        <f>IF( OR(ISBLANK(V10:V14),ISBLANK(AT10:AT14), ISBLANK(Z10:Z14),ISBLANK(AX10:AX14)), "·", bdRateExtend( V10:V14,Z10:Z14, AT10:AT14,AX10:AX14))</f>
        <v>0</v>
      </c>
      <c r="BM10" s="122">
        <f>IF( OR(ISBLANK(V10:V14),ISBLANK(AT10:AT14), ISBLANK(AA10:AA14),ISBLANK(AY10:AY14)), "·", bdRateExtend( V10:V14,AA10:AA14, AT10:AT14,AY10:AY14))</f>
        <v>0</v>
      </c>
      <c r="BN10" s="121"/>
      <c r="BO10" s="122">
        <f>IF( OR(ISBLANK(S10:S14),ISBLANK(AQ10:AQ14), ISBLANK(W10:W14),ISBLANK(AU10:AU14)), "·", bdRateExtend( S10:S14,W10:W14, AQ10:AQ14,AU10:AU14))</f>
        <v>0</v>
      </c>
      <c r="BP10" s="122">
        <f>IF( OR(ISBLANK(S10:S14),ISBLANK(AQ10:AQ14), ISBLANK(X10:X14),ISBLANK(AV10:AV14)), "·", bdRateExtend( S10:S14,X10:X14, AQ10:AQ14,AV10:AV14))</f>
        <v>0</v>
      </c>
      <c r="BQ10" s="122">
        <f>IF( OR(ISBLANK(S10:S14),ISBLANK(AQ10:AQ14), ISBLANK(Y10:Y14),ISBLANK(AW10:AW14)), "·", bdRateExtend( S10:S14,Y10:Y14, AQ10:AQ14,AW10:AW14))</f>
        <v>0</v>
      </c>
      <c r="BR10" s="122">
        <f>IF( OR(ISBLANK(S10:S14),ISBLANK(AQ10:AQ14), ISBLANK(Z10:Z14),ISBLANK(AX10:AX14)), "·", bdRateExtend( S10:S14,Z10:Z14, AQ10:AQ14,AX10:AX14))</f>
        <v>0</v>
      </c>
      <c r="BS10" s="122">
        <f>IF( OR(ISBLANK(S10:S14),ISBLANK(AQ10:AQ14), ISBLANK(AA10:AA14),ISBLANK(AY10:AY14)), "·", bdRateExtend( S10:S14,AA10:AA14, AQ10:AQ14,AY10:AY14))</f>
        <v>0</v>
      </c>
    </row>
    <row r="11" spans="1:71" outlineLevel="1" x14ac:dyDescent="0.2">
      <c r="A11" s="77"/>
      <c r="B11" s="77" t="s">
        <v>62</v>
      </c>
      <c r="C11" s="11" t="s">
        <v>230</v>
      </c>
      <c r="D11" s="77">
        <v>218121242</v>
      </c>
      <c r="E11" s="11">
        <v>10</v>
      </c>
      <c r="F11" s="11">
        <v>32</v>
      </c>
      <c r="G11" s="11">
        <v>30</v>
      </c>
      <c r="I11" s="12">
        <f t="shared" si="0"/>
        <v>4.7067975000000004</v>
      </c>
      <c r="J11" s="13">
        <f t="shared" si="1"/>
        <v>2.3017400570275497E-2</v>
      </c>
      <c r="K11" s="13">
        <f t="shared" si="2"/>
        <v>9.9361620176360455E-3</v>
      </c>
      <c r="L11" s="13">
        <f t="shared" si="3"/>
        <v>5.8625743566965384E-3</v>
      </c>
      <c r="M11" s="13">
        <f t="shared" si="4"/>
        <v>1.3078414435215806E-2</v>
      </c>
      <c r="N11" s="77">
        <f t="shared" si="5"/>
        <v>2167288</v>
      </c>
      <c r="O11" s="13">
        <v>16</v>
      </c>
      <c r="P11" s="14">
        <v>22209611</v>
      </c>
      <c r="Q11" s="14">
        <v>694050.34375</v>
      </c>
      <c r="R11" s="14">
        <v>23853.375</v>
      </c>
      <c r="S11" s="15">
        <v>5020584</v>
      </c>
      <c r="T11" s="15">
        <v>1278752</v>
      </c>
      <c r="U11" s="15">
        <v>888536</v>
      </c>
      <c r="V11" s="15">
        <v>2852680</v>
      </c>
      <c r="W11" s="16">
        <v>67.633172000000002</v>
      </c>
      <c r="X11" s="16">
        <v>69.747608999999997</v>
      </c>
      <c r="Y11" s="16">
        <v>34.396752999999997</v>
      </c>
      <c r="Z11" s="16">
        <v>40.080587000000001</v>
      </c>
      <c r="AA11" s="16">
        <v>33.994297000000003</v>
      </c>
      <c r="AB11" s="17">
        <v>2748.09</v>
      </c>
      <c r="AC11" s="17">
        <v>1116.8499999999999</v>
      </c>
      <c r="AD11" s="17">
        <v>10.757</v>
      </c>
      <c r="AE11" s="17">
        <v>17.038</v>
      </c>
      <c r="AG11" s="12">
        <f t="shared" si="6"/>
        <v>4.7067975000000004</v>
      </c>
      <c r="AH11" s="13">
        <f t="shared" si="7"/>
        <v>2.3017400570275497E-2</v>
      </c>
      <c r="AI11" s="13">
        <f t="shared" si="8"/>
        <v>9.9361620176360455E-3</v>
      </c>
      <c r="AJ11" s="13">
        <f t="shared" si="9"/>
        <v>5.8625743566965384E-3</v>
      </c>
      <c r="AK11" s="13">
        <f t="shared" si="10"/>
        <v>1.3078414435215806E-2</v>
      </c>
      <c r="AL11" s="77">
        <f t="shared" si="11"/>
        <v>2167288</v>
      </c>
      <c r="AM11" s="13">
        <v>16</v>
      </c>
      <c r="AN11" s="14">
        <v>22209611</v>
      </c>
      <c r="AO11" s="14">
        <v>694050.34375</v>
      </c>
      <c r="AP11" s="14">
        <v>23853.375</v>
      </c>
      <c r="AQ11" s="15">
        <v>5020584</v>
      </c>
      <c r="AR11" s="15">
        <v>1278752</v>
      </c>
      <c r="AS11" s="15">
        <v>888536</v>
      </c>
      <c r="AT11" s="15">
        <v>2852680</v>
      </c>
      <c r="AU11" s="16">
        <v>67.633172000000002</v>
      </c>
      <c r="AV11" s="16">
        <v>69.747608999999997</v>
      </c>
      <c r="AW11" s="16">
        <v>34.396752999999997</v>
      </c>
      <c r="AX11" s="16">
        <v>40.080587000000001</v>
      </c>
      <c r="AY11" s="16">
        <v>33.994297000000003</v>
      </c>
      <c r="AZ11" s="17">
        <v>2242.34</v>
      </c>
      <c r="BA11" s="17">
        <v>786.92399999999998</v>
      </c>
      <c r="BB11" s="17">
        <v>8.4429999999999996</v>
      </c>
      <c r="BC11" s="17">
        <v>12.372999999999999</v>
      </c>
      <c r="BE11" s="18">
        <f>(AP11/AO11) - (R11/Q11)</f>
        <v>0</v>
      </c>
      <c r="BF11" s="18">
        <f t="shared" si="12"/>
        <v>0</v>
      </c>
      <c r="BG11" s="18"/>
      <c r="BI11" s="120"/>
      <c r="BJ11" s="120"/>
      <c r="BK11" s="120"/>
      <c r="BL11" s="120"/>
      <c r="BM11" s="120"/>
      <c r="BN11" s="121"/>
      <c r="BO11" s="120"/>
      <c r="BP11" s="120"/>
      <c r="BQ11" s="120"/>
      <c r="BR11" s="120"/>
      <c r="BS11" s="120"/>
    </row>
    <row r="12" spans="1:71" outlineLevel="1" x14ac:dyDescent="0.2">
      <c r="A12" s="69"/>
      <c r="B12" s="69" t="s">
        <v>62</v>
      </c>
      <c r="C12" s="19" t="s">
        <v>231</v>
      </c>
      <c r="D12" s="69">
        <v>218121242</v>
      </c>
      <c r="E12" s="19">
        <v>10</v>
      </c>
      <c r="F12" s="19">
        <v>32</v>
      </c>
      <c r="G12" s="19">
        <v>30</v>
      </c>
      <c r="I12" s="20">
        <f t="shared" si="0"/>
        <v>7.3010624999999996</v>
      </c>
      <c r="J12" s="21">
        <f t="shared" si="1"/>
        <v>3.5703996220597348E-2</v>
      </c>
      <c r="K12" s="21">
        <f t="shared" si="2"/>
        <v>1.2420101660708498E-2</v>
      </c>
      <c r="L12" s="21">
        <f t="shared" si="3"/>
        <v>8.3465139997689914E-3</v>
      </c>
      <c r="M12" s="21">
        <f t="shared" si="4"/>
        <v>2.3281070442465204E-2</v>
      </c>
      <c r="N12" s="69">
        <f t="shared" si="5"/>
        <v>2709088</v>
      </c>
      <c r="O12" s="21">
        <v>16</v>
      </c>
      <c r="P12" s="22">
        <v>22718259</v>
      </c>
      <c r="Q12" s="22">
        <v>709945.59375</v>
      </c>
      <c r="R12" s="22">
        <v>25700.59375</v>
      </c>
      <c r="S12" s="23">
        <v>7787800</v>
      </c>
      <c r="T12" s="23">
        <v>1820552</v>
      </c>
      <c r="U12" s="23">
        <v>888536</v>
      </c>
      <c r="V12" s="23">
        <v>5078096</v>
      </c>
      <c r="W12" s="24">
        <v>69.019672</v>
      </c>
      <c r="X12" s="24">
        <v>71.363140999999999</v>
      </c>
      <c r="Y12" s="24">
        <v>36.512413000000002</v>
      </c>
      <c r="Z12" s="24">
        <v>41.018808999999997</v>
      </c>
      <c r="AA12" s="24">
        <v>35.786293999999998</v>
      </c>
      <c r="AB12" s="25">
        <v>2453.4299999999998</v>
      </c>
      <c r="AC12" s="25">
        <v>854.83600000000001</v>
      </c>
      <c r="AD12" s="25">
        <v>8.4049999999999994</v>
      </c>
      <c r="AE12" s="25">
        <v>13.612</v>
      </c>
      <c r="AG12" s="20">
        <f t="shared" si="6"/>
        <v>7.3010624999999996</v>
      </c>
      <c r="AH12" s="21">
        <f t="shared" si="7"/>
        <v>3.5703996220597348E-2</v>
      </c>
      <c r="AI12" s="21">
        <f t="shared" si="8"/>
        <v>1.2420101660708498E-2</v>
      </c>
      <c r="AJ12" s="21">
        <f t="shared" si="9"/>
        <v>8.3465139997689914E-3</v>
      </c>
      <c r="AK12" s="21">
        <f t="shared" si="10"/>
        <v>2.3281070442465204E-2</v>
      </c>
      <c r="AL12" s="69">
        <f t="shared" si="11"/>
        <v>2709088</v>
      </c>
      <c r="AM12" s="21">
        <v>16</v>
      </c>
      <c r="AN12" s="22">
        <v>22718259</v>
      </c>
      <c r="AO12" s="22">
        <v>709945.59375</v>
      </c>
      <c r="AP12" s="22">
        <v>25700.59375</v>
      </c>
      <c r="AQ12" s="23">
        <v>7787800</v>
      </c>
      <c r="AR12" s="23">
        <v>1820552</v>
      </c>
      <c r="AS12" s="23">
        <v>888536</v>
      </c>
      <c r="AT12" s="23">
        <v>5078096</v>
      </c>
      <c r="AU12" s="24">
        <v>69.019672</v>
      </c>
      <c r="AV12" s="24">
        <v>71.363140999999999</v>
      </c>
      <c r="AW12" s="24">
        <v>36.512413000000002</v>
      </c>
      <c r="AX12" s="24">
        <v>41.018808999999997</v>
      </c>
      <c r="AY12" s="24">
        <v>35.786293999999998</v>
      </c>
      <c r="AZ12" s="25">
        <v>2272.91</v>
      </c>
      <c r="BA12" s="25">
        <v>824.87</v>
      </c>
      <c r="BB12" s="25">
        <v>8.266</v>
      </c>
      <c r="BC12" s="25">
        <v>12.503</v>
      </c>
      <c r="BE12" s="26">
        <f>(AP12/AO12) - (R12/Q12)</f>
        <v>0</v>
      </c>
      <c r="BF12" s="26">
        <f t="shared" si="12"/>
        <v>0</v>
      </c>
      <c r="BG12" s="26"/>
      <c r="BI12" s="122"/>
      <c r="BJ12" s="122"/>
      <c r="BK12" s="122"/>
      <c r="BL12" s="122"/>
      <c r="BM12" s="122"/>
      <c r="BN12" s="121"/>
      <c r="BO12" s="122"/>
      <c r="BP12" s="122"/>
      <c r="BQ12" s="122"/>
      <c r="BR12" s="122"/>
      <c r="BS12" s="122"/>
    </row>
    <row r="13" spans="1:71" outlineLevel="1" x14ac:dyDescent="0.2">
      <c r="A13" s="77"/>
      <c r="B13" s="77" t="s">
        <v>62</v>
      </c>
      <c r="C13" s="11" t="s">
        <v>232</v>
      </c>
      <c r="D13" s="77">
        <v>218121242</v>
      </c>
      <c r="E13" s="11">
        <v>10</v>
      </c>
      <c r="F13" s="11">
        <v>32</v>
      </c>
      <c r="G13" s="11">
        <v>30</v>
      </c>
      <c r="I13" s="12">
        <f t="shared" si="0"/>
        <v>12.65085</v>
      </c>
      <c r="J13" s="13">
        <f t="shared" si="1"/>
        <v>6.1865776465732762E-2</v>
      </c>
      <c r="K13" s="13">
        <f t="shared" si="2"/>
        <v>1.6740267781897189E-2</v>
      </c>
      <c r="L13" s="13">
        <f t="shared" si="3"/>
        <v>1.2666680120957683E-2</v>
      </c>
      <c r="M13" s="13">
        <f t="shared" si="4"/>
        <v>4.5122684566411921E-2</v>
      </c>
      <c r="N13" s="77">
        <f t="shared" si="5"/>
        <v>3651408</v>
      </c>
      <c r="O13" s="13">
        <v>16</v>
      </c>
      <c r="P13" s="14">
        <v>23588475</v>
      </c>
      <c r="Q13" s="14">
        <v>737139.84375</v>
      </c>
      <c r="R13" s="14">
        <v>29305.53125</v>
      </c>
      <c r="S13" s="15">
        <v>13494240</v>
      </c>
      <c r="T13" s="15">
        <v>2762872</v>
      </c>
      <c r="U13" s="15">
        <v>888536</v>
      </c>
      <c r="V13" s="15">
        <v>9842216</v>
      </c>
      <c r="W13" s="16">
        <v>70.058049999999994</v>
      </c>
      <c r="X13" s="16">
        <v>72.60575</v>
      </c>
      <c r="Y13" s="16">
        <v>38.843421999999997</v>
      </c>
      <c r="Z13" s="16">
        <v>42.199858999999996</v>
      </c>
      <c r="AA13" s="16">
        <v>37.872881</v>
      </c>
      <c r="AB13" s="17">
        <v>2793.46</v>
      </c>
      <c r="AC13" s="17">
        <v>1052.8699999999999</v>
      </c>
      <c r="AD13" s="17">
        <v>9.3249999999999993</v>
      </c>
      <c r="AE13" s="17">
        <v>15.186999999999999</v>
      </c>
      <c r="AG13" s="12">
        <f t="shared" si="6"/>
        <v>12.65085</v>
      </c>
      <c r="AH13" s="13">
        <f t="shared" si="7"/>
        <v>6.1865776465732762E-2</v>
      </c>
      <c r="AI13" s="13">
        <f t="shared" si="8"/>
        <v>1.6740267781897189E-2</v>
      </c>
      <c r="AJ13" s="13">
        <f t="shared" si="9"/>
        <v>1.2666680120957683E-2</v>
      </c>
      <c r="AK13" s="13">
        <f t="shared" si="10"/>
        <v>4.5122684566411921E-2</v>
      </c>
      <c r="AL13" s="77">
        <f t="shared" si="11"/>
        <v>3651408</v>
      </c>
      <c r="AM13" s="13">
        <v>16</v>
      </c>
      <c r="AN13" s="14">
        <v>23588475</v>
      </c>
      <c r="AO13" s="14">
        <v>737139.84375</v>
      </c>
      <c r="AP13" s="14">
        <v>29305.53125</v>
      </c>
      <c r="AQ13" s="15">
        <v>13494240</v>
      </c>
      <c r="AR13" s="15">
        <v>2762872</v>
      </c>
      <c r="AS13" s="15">
        <v>888536</v>
      </c>
      <c r="AT13" s="15">
        <v>9842216</v>
      </c>
      <c r="AU13" s="16">
        <v>70.058049999999994</v>
      </c>
      <c r="AV13" s="16">
        <v>72.60575</v>
      </c>
      <c r="AW13" s="16">
        <v>38.843421999999997</v>
      </c>
      <c r="AX13" s="16">
        <v>42.199858999999996</v>
      </c>
      <c r="AY13" s="16">
        <v>37.872881</v>
      </c>
      <c r="AZ13" s="17">
        <v>2367</v>
      </c>
      <c r="BA13" s="17">
        <v>988.53</v>
      </c>
      <c r="BB13" s="17">
        <v>9.5190000000000001</v>
      </c>
      <c r="BC13" s="17">
        <v>14.009</v>
      </c>
      <c r="BE13" s="18">
        <f>(AP13/AO13) - (R13/Q13)</f>
        <v>0</v>
      </c>
      <c r="BF13" s="18">
        <f t="shared" si="12"/>
        <v>0</v>
      </c>
      <c r="BG13" s="18"/>
      <c r="BI13" s="120"/>
      <c r="BJ13" s="120"/>
      <c r="BK13" s="120"/>
      <c r="BL13" s="120"/>
      <c r="BM13" s="120"/>
      <c r="BN13" s="121"/>
      <c r="BO13" s="120"/>
      <c r="BP13" s="120"/>
      <c r="BQ13" s="120"/>
      <c r="BR13" s="120"/>
      <c r="BS13" s="120"/>
    </row>
    <row r="14" spans="1:71" ht="16" outlineLevel="1" thickBot="1" x14ac:dyDescent="0.25">
      <c r="A14" s="69"/>
      <c r="B14" s="37" t="s">
        <v>62</v>
      </c>
      <c r="C14" s="38" t="s">
        <v>233</v>
      </c>
      <c r="D14" s="37">
        <v>218121242</v>
      </c>
      <c r="E14" s="38">
        <v>10</v>
      </c>
      <c r="F14" s="38">
        <v>32</v>
      </c>
      <c r="G14" s="38">
        <v>30</v>
      </c>
      <c r="I14" s="39">
        <f t="shared" si="0"/>
        <v>22.876874999999998</v>
      </c>
      <c r="J14" s="40">
        <f t="shared" si="1"/>
        <v>0.111873560668612</v>
      </c>
      <c r="K14" s="40">
        <f t="shared" si="2"/>
        <v>2.7443892878622065E-2</v>
      </c>
      <c r="L14" s="40">
        <f t="shared" si="3"/>
        <v>1.989649407919656E-2</v>
      </c>
      <c r="M14" s="40">
        <f t="shared" si="4"/>
        <v>8.4426843672566282E-2</v>
      </c>
      <c r="N14" s="37">
        <f t="shared" si="5"/>
        <v>5986096</v>
      </c>
      <c r="O14" s="40">
        <v>16</v>
      </c>
      <c r="P14" s="41">
        <v>22389045</v>
      </c>
      <c r="Q14" s="41">
        <v>699657.65625</v>
      </c>
      <c r="R14" s="41">
        <v>13460.21875</v>
      </c>
      <c r="S14" s="42">
        <v>24402000</v>
      </c>
      <c r="T14" s="42">
        <v>4339848</v>
      </c>
      <c r="U14" s="42">
        <v>1646248</v>
      </c>
      <c r="V14" s="42">
        <v>18415288</v>
      </c>
      <c r="W14" s="43">
        <v>71.168830999999997</v>
      </c>
      <c r="X14" s="43">
        <v>74.761062999999993</v>
      </c>
      <c r="Y14" s="43">
        <v>41.099753</v>
      </c>
      <c r="Z14" s="43">
        <v>43.515152999999998</v>
      </c>
      <c r="AA14" s="43">
        <v>39.698256000000001</v>
      </c>
      <c r="AB14" s="44">
        <v>3102.56</v>
      </c>
      <c r="AC14" s="44">
        <v>1710.74</v>
      </c>
      <c r="AD14" s="44">
        <v>11.446999999999999</v>
      </c>
      <c r="AE14" s="44">
        <v>24.039000000000001</v>
      </c>
      <c r="AG14" s="39">
        <f t="shared" si="6"/>
        <v>22.876874999999998</v>
      </c>
      <c r="AH14" s="40">
        <f t="shared" si="7"/>
        <v>0.111873560668612</v>
      </c>
      <c r="AI14" s="40">
        <f t="shared" si="8"/>
        <v>2.7443892878622065E-2</v>
      </c>
      <c r="AJ14" s="40">
        <f t="shared" si="9"/>
        <v>1.989649407919656E-2</v>
      </c>
      <c r="AK14" s="40">
        <f t="shared" si="10"/>
        <v>8.4426843672566282E-2</v>
      </c>
      <c r="AL14" s="37">
        <f t="shared" si="11"/>
        <v>5986096</v>
      </c>
      <c r="AM14" s="40">
        <v>16</v>
      </c>
      <c r="AN14" s="41">
        <v>22389045</v>
      </c>
      <c r="AO14" s="41">
        <v>699657.65625</v>
      </c>
      <c r="AP14" s="41">
        <v>13460.21875</v>
      </c>
      <c r="AQ14" s="42">
        <v>24402000</v>
      </c>
      <c r="AR14" s="42">
        <v>4339848</v>
      </c>
      <c r="AS14" s="42">
        <v>1646248</v>
      </c>
      <c r="AT14" s="42">
        <v>18415288</v>
      </c>
      <c r="AU14" s="43">
        <v>71.168830999999997</v>
      </c>
      <c r="AV14" s="43">
        <v>74.761062999999993</v>
      </c>
      <c r="AW14" s="43">
        <v>41.099753</v>
      </c>
      <c r="AX14" s="43">
        <v>43.515152999999998</v>
      </c>
      <c r="AY14" s="43">
        <v>39.698256000000001</v>
      </c>
      <c r="AZ14" s="44">
        <v>2309.71</v>
      </c>
      <c r="BA14" s="44">
        <v>1120.55</v>
      </c>
      <c r="BB14" s="44">
        <v>7.9870000000000001</v>
      </c>
      <c r="BC14" s="44">
        <v>15.079000000000001</v>
      </c>
      <c r="BE14" s="45">
        <f>(AP14/AO14) - (R14/Q14)</f>
        <v>0</v>
      </c>
      <c r="BF14" s="45">
        <f t="shared" si="12"/>
        <v>0</v>
      </c>
      <c r="BG14" s="45"/>
      <c r="BI14" s="124"/>
      <c r="BJ14" s="124"/>
      <c r="BK14" s="124"/>
      <c r="BL14" s="124"/>
      <c r="BM14" s="124"/>
      <c r="BN14" s="121"/>
      <c r="BO14" s="124"/>
      <c r="BP14" s="124"/>
      <c r="BQ14" s="124"/>
      <c r="BR14" s="124"/>
      <c r="BS14" s="124"/>
    </row>
    <row r="15" spans="1:71" x14ac:dyDescent="0.2">
      <c r="A15" s="77"/>
      <c r="B15" s="77" t="s">
        <v>67</v>
      </c>
      <c r="C15" s="11" t="s">
        <v>229</v>
      </c>
      <c r="D15" s="77">
        <v>322589704</v>
      </c>
      <c r="E15" s="11">
        <v>10</v>
      </c>
      <c r="F15" s="11">
        <v>32</v>
      </c>
      <c r="G15" s="11">
        <v>30</v>
      </c>
      <c r="I15" s="12">
        <f t="shared" si="0"/>
        <v>4.539555</v>
      </c>
      <c r="J15" s="13">
        <f t="shared" si="1"/>
        <v>1.5010373672682374E-2</v>
      </c>
      <c r="K15" s="13">
        <f t="shared" si="2"/>
        <v>8.3804534567538461E-3</v>
      </c>
      <c r="L15" s="13">
        <f t="shared" si="3"/>
        <v>4.3579320188098748E-3</v>
      </c>
      <c r="M15" s="13">
        <f t="shared" si="4"/>
        <v>6.6280106695531735E-3</v>
      </c>
      <c r="N15" s="77">
        <f t="shared" si="5"/>
        <v>2703448</v>
      </c>
      <c r="O15" s="13">
        <v>16</v>
      </c>
      <c r="P15" s="14">
        <v>30895396</v>
      </c>
      <c r="Q15" s="14">
        <v>965481.125</v>
      </c>
      <c r="R15" s="14">
        <v>29621.5625</v>
      </c>
      <c r="S15" s="15">
        <v>4842192</v>
      </c>
      <c r="T15" s="15">
        <v>1405824</v>
      </c>
      <c r="U15" s="15">
        <v>1297624</v>
      </c>
      <c r="V15" s="15">
        <v>2138128</v>
      </c>
      <c r="W15" s="16">
        <v>65.996244000000004</v>
      </c>
      <c r="X15" s="16">
        <v>67.799565999999999</v>
      </c>
      <c r="Y15" s="16">
        <v>29.587181000000001</v>
      </c>
      <c r="Z15" s="16">
        <v>43.179969</v>
      </c>
      <c r="AA15" s="16">
        <v>43.414346999999999</v>
      </c>
      <c r="AB15" s="17">
        <v>3388.65</v>
      </c>
      <c r="AC15" s="17">
        <v>986.45899999999995</v>
      </c>
      <c r="AD15" s="17">
        <v>11.496</v>
      </c>
      <c r="AE15" s="17">
        <v>15.558</v>
      </c>
      <c r="AG15" s="12">
        <f t="shared" si="6"/>
        <v>4.539555</v>
      </c>
      <c r="AH15" s="13">
        <f t="shared" si="7"/>
        <v>1.5010373672682374E-2</v>
      </c>
      <c r="AI15" s="13">
        <f t="shared" si="8"/>
        <v>8.3804534567538461E-3</v>
      </c>
      <c r="AJ15" s="13">
        <f t="shared" si="9"/>
        <v>4.3579320188098748E-3</v>
      </c>
      <c r="AK15" s="13">
        <f t="shared" si="10"/>
        <v>6.6280106695531735E-3</v>
      </c>
      <c r="AL15" s="77">
        <f t="shared" si="11"/>
        <v>2703448</v>
      </c>
      <c r="AM15" s="13">
        <v>16</v>
      </c>
      <c r="AN15" s="14">
        <v>30895396</v>
      </c>
      <c r="AO15" s="14">
        <v>965481.125</v>
      </c>
      <c r="AP15" s="14">
        <v>29621.5625</v>
      </c>
      <c r="AQ15" s="15">
        <v>4842192</v>
      </c>
      <c r="AR15" s="15">
        <v>1405824</v>
      </c>
      <c r="AS15" s="15">
        <v>1297624</v>
      </c>
      <c r="AT15" s="15">
        <v>2138128</v>
      </c>
      <c r="AU15" s="16">
        <v>65.996244000000004</v>
      </c>
      <c r="AV15" s="16">
        <v>67.799565999999999</v>
      </c>
      <c r="AW15" s="16">
        <v>29.587181000000001</v>
      </c>
      <c r="AX15" s="16">
        <v>43.179969</v>
      </c>
      <c r="AY15" s="16">
        <v>43.414346999999999</v>
      </c>
      <c r="AZ15" s="17">
        <v>4244.13</v>
      </c>
      <c r="BA15" s="17">
        <v>1443.1</v>
      </c>
      <c r="BB15" s="17">
        <v>15.61</v>
      </c>
      <c r="BC15" s="17">
        <v>23.074999999999999</v>
      </c>
      <c r="BE15" s="18">
        <f>(AP15/AO15) - (R15/Q15)</f>
        <v>0</v>
      </c>
      <c r="BF15" s="18">
        <f t="shared" si="12"/>
        <v>0</v>
      </c>
      <c r="BG15" s="18">
        <f t="array" ref="BG15">AVERAGE(AL15:AL19/AQ15:AQ19) - AVERAGE(N15:N19/S15:S19)</f>
        <v>0</v>
      </c>
      <c r="BI15" s="120">
        <f>IF( OR(ISBLANK(N15:N19),ISBLANK(AL15:AL19), ISBLANK(W15:W19),ISBLANK(AU15:AU19)), "·", bdRateExtend( N15:N19,W15:W19, AL15:AL19,AU15:AU19))</f>
        <v>0</v>
      </c>
      <c r="BJ15" s="120">
        <f>IF( OR(ISBLANK(N15:N19),ISBLANK(AL15:AL19), ISBLANK(X15:X19),ISBLANK(AV15:AV19)), "·", bdRateExtend( N15:N19,X15:X19, AL15:AL19,AV15:AV19))</f>
        <v>0</v>
      </c>
      <c r="BK15" s="120">
        <f>IF( OR(ISBLANK(V15:V19),ISBLANK(AT15:AT19), ISBLANK(Y15:Y19),ISBLANK(AW15:AW19)), "·", bdRateExtend( V15:V19,Y15:Y19, AT15:AT19,AW15:AW19))</f>
        <v>0</v>
      </c>
      <c r="BL15" s="120">
        <f>IF( OR(ISBLANK(V15:V19),ISBLANK(AT15:AT19), ISBLANK(Z15:Z19),ISBLANK(AX15:AX19)), "·", bdRateExtend( V15:V19,Z15:Z19, AT15:AT19,AX15:AX19))</f>
        <v>0</v>
      </c>
      <c r="BM15" s="120">
        <f>IF( OR(ISBLANK(V15:V19),ISBLANK(AT15:AT19), ISBLANK(AA15:AA19),ISBLANK(AY15:AY19)), "·", bdRateExtend( V15:V19,AA15:AA19, AT15:AT19,AY15:AY19))</f>
        <v>0</v>
      </c>
      <c r="BN15" s="121"/>
      <c r="BO15" s="120">
        <f>IF( OR(ISBLANK(S15:S19),ISBLANK(AQ15:AQ19), ISBLANK(W15:W19),ISBLANK(AU15:AU19)), "·", bdRateExtend( S15:S19,W15:W19, AQ15:AQ19,AU15:AU19))</f>
        <v>0</v>
      </c>
      <c r="BP15" s="120">
        <f>IF( OR(ISBLANK(S15:S19),ISBLANK(AQ15:AQ19), ISBLANK(X15:X19),ISBLANK(AV15:AV19)), "·", bdRateExtend( S15:S19,X15:X19, AQ15:AQ19,AV15:AV19))</f>
        <v>0</v>
      </c>
      <c r="BQ15" s="120">
        <f>IF( OR(ISBLANK(S15:S19),ISBLANK(AQ15:AQ19), ISBLANK(Y15:Y19),ISBLANK(AW15:AW19)), "·", bdRateExtend( S15:S19,Y15:Y19, AQ15:AQ19,AW15:AW19))</f>
        <v>0</v>
      </c>
      <c r="BR15" s="120">
        <f>IF( OR(ISBLANK(S15:S19),ISBLANK(AQ15:AQ19), ISBLANK(Z15:Z19),ISBLANK(AX15:AX19)), "·", bdRateExtend( S15:S19,Z15:Z19, AQ15:AQ19,AX15:AX19))</f>
        <v>0</v>
      </c>
      <c r="BS15" s="120">
        <f>IF( OR(ISBLANK(S15:S19),ISBLANK(AQ15:AQ19), ISBLANK(AA15:AA19),ISBLANK(AY15:AY19)), "·", bdRateExtend( S15:S19,AA15:AA19, AQ15:AQ19,AY15:AY19))</f>
        <v>0</v>
      </c>
    </row>
    <row r="16" spans="1:71" outlineLevel="1" x14ac:dyDescent="0.2">
      <c r="A16" s="69"/>
      <c r="B16" s="69" t="s">
        <v>67</v>
      </c>
      <c r="C16" s="19" t="s">
        <v>230</v>
      </c>
      <c r="D16" s="69">
        <v>322589704</v>
      </c>
      <c r="E16" s="19">
        <v>10</v>
      </c>
      <c r="F16" s="19">
        <v>32</v>
      </c>
      <c r="G16" s="19">
        <v>30</v>
      </c>
      <c r="I16" s="20">
        <f t="shared" si="0"/>
        <v>7.2590174999999997</v>
      </c>
      <c r="J16" s="21">
        <f t="shared" si="1"/>
        <v>2.4002477152835603E-2</v>
      </c>
      <c r="K16" s="21">
        <f t="shared" si="2"/>
        <v>1.0085628771338591E-2</v>
      </c>
      <c r="L16" s="21">
        <f t="shared" si="3"/>
        <v>6.0631073333946208E-3</v>
      </c>
      <c r="M16" s="21">
        <f t="shared" si="4"/>
        <v>1.3914938835121656E-2</v>
      </c>
      <c r="N16" s="69">
        <f t="shared" si="5"/>
        <v>3253520</v>
      </c>
      <c r="O16" s="21">
        <v>16</v>
      </c>
      <c r="P16" s="22">
        <v>33521444</v>
      </c>
      <c r="Q16" s="22">
        <v>1047545.125</v>
      </c>
      <c r="R16" s="22">
        <v>37744.8125</v>
      </c>
      <c r="S16" s="23">
        <v>7742952</v>
      </c>
      <c r="T16" s="23">
        <v>1955896</v>
      </c>
      <c r="U16" s="23">
        <v>1297624</v>
      </c>
      <c r="V16" s="23">
        <v>4488816</v>
      </c>
      <c r="W16" s="24">
        <v>67.830736999999999</v>
      </c>
      <c r="X16" s="24">
        <v>69.850415999999996</v>
      </c>
      <c r="Y16" s="24">
        <v>32.045284000000002</v>
      </c>
      <c r="Z16" s="24">
        <v>43.979680999999999</v>
      </c>
      <c r="AA16" s="24">
        <v>44.391762</v>
      </c>
      <c r="AB16" s="25">
        <v>3219.54</v>
      </c>
      <c r="AC16" s="25">
        <v>1051.5999999999999</v>
      </c>
      <c r="AD16" s="25">
        <v>11.895</v>
      </c>
      <c r="AE16" s="25">
        <v>16.18</v>
      </c>
      <c r="AG16" s="20">
        <f t="shared" si="6"/>
        <v>7.2590174999999997</v>
      </c>
      <c r="AH16" s="21">
        <f t="shared" si="7"/>
        <v>2.4002477152835603E-2</v>
      </c>
      <c r="AI16" s="21">
        <f t="shared" si="8"/>
        <v>1.0085628771338591E-2</v>
      </c>
      <c r="AJ16" s="21">
        <f t="shared" si="9"/>
        <v>6.0631073333946208E-3</v>
      </c>
      <c r="AK16" s="21">
        <f t="shared" si="10"/>
        <v>1.3914938835121656E-2</v>
      </c>
      <c r="AL16" s="69">
        <f t="shared" si="11"/>
        <v>3253520</v>
      </c>
      <c r="AM16" s="21">
        <v>16</v>
      </c>
      <c r="AN16" s="22">
        <v>33521444</v>
      </c>
      <c r="AO16" s="22">
        <v>1047545.125</v>
      </c>
      <c r="AP16" s="22">
        <v>37744.8125</v>
      </c>
      <c r="AQ16" s="23">
        <v>7742952</v>
      </c>
      <c r="AR16" s="23">
        <v>1955896</v>
      </c>
      <c r="AS16" s="23">
        <v>1297624</v>
      </c>
      <c r="AT16" s="23">
        <v>4488816</v>
      </c>
      <c r="AU16" s="24">
        <v>67.830736999999999</v>
      </c>
      <c r="AV16" s="24">
        <v>69.850415999999996</v>
      </c>
      <c r="AW16" s="24">
        <v>32.045284000000002</v>
      </c>
      <c r="AX16" s="24">
        <v>43.979680999999999</v>
      </c>
      <c r="AY16" s="24">
        <v>44.391762</v>
      </c>
      <c r="AZ16" s="25">
        <v>3557.61</v>
      </c>
      <c r="BA16" s="25">
        <v>1107.54</v>
      </c>
      <c r="BB16" s="25">
        <v>14.375</v>
      </c>
      <c r="BC16" s="25">
        <v>18.605</v>
      </c>
      <c r="BE16" s="26">
        <f>(AP16/AO16) - (R16/Q16)</f>
        <v>0</v>
      </c>
      <c r="BF16" s="26">
        <f t="shared" si="12"/>
        <v>0</v>
      </c>
      <c r="BG16" s="26"/>
      <c r="BI16" s="122"/>
      <c r="BJ16" s="122"/>
      <c r="BK16" s="122"/>
      <c r="BL16" s="122"/>
      <c r="BM16" s="122"/>
      <c r="BN16" s="121"/>
      <c r="BO16" s="122"/>
      <c r="BP16" s="122"/>
      <c r="BQ16" s="122"/>
      <c r="BR16" s="122"/>
      <c r="BS16" s="122"/>
    </row>
    <row r="17" spans="1:71" outlineLevel="1" x14ac:dyDescent="0.2">
      <c r="A17" s="77"/>
      <c r="B17" s="77" t="s">
        <v>67</v>
      </c>
      <c r="C17" s="11" t="s">
        <v>231</v>
      </c>
      <c r="D17" s="77">
        <v>322589704</v>
      </c>
      <c r="E17" s="11">
        <v>10</v>
      </c>
      <c r="F17" s="11">
        <v>32</v>
      </c>
      <c r="G17" s="11">
        <v>30</v>
      </c>
      <c r="I17" s="12">
        <f t="shared" si="0"/>
        <v>12.220012499999999</v>
      </c>
      <c r="J17" s="13">
        <f t="shared" si="1"/>
        <v>4.0406373292062661E-2</v>
      </c>
      <c r="K17" s="13">
        <f t="shared" si="2"/>
        <v>1.2606725972878539E-2</v>
      </c>
      <c r="L17" s="13">
        <f t="shared" si="3"/>
        <v>8.5842045349345687E-3</v>
      </c>
      <c r="M17" s="13">
        <f t="shared" si="4"/>
        <v>2.7797737772808768E-2</v>
      </c>
      <c r="N17" s="77">
        <f t="shared" si="5"/>
        <v>4066800</v>
      </c>
      <c r="O17" s="13">
        <v>16</v>
      </c>
      <c r="P17" s="14">
        <v>33949459</v>
      </c>
      <c r="Q17" s="14">
        <v>1060920.59375</v>
      </c>
      <c r="R17" s="14">
        <v>39535.09375</v>
      </c>
      <c r="S17" s="15">
        <v>13034680</v>
      </c>
      <c r="T17" s="15">
        <v>2769176</v>
      </c>
      <c r="U17" s="15">
        <v>1297624</v>
      </c>
      <c r="V17" s="15">
        <v>8967264</v>
      </c>
      <c r="W17" s="16">
        <v>69.250596999999999</v>
      </c>
      <c r="X17" s="16">
        <v>71.669684000000004</v>
      </c>
      <c r="Y17" s="16">
        <v>34.602319000000001</v>
      </c>
      <c r="Z17" s="16">
        <v>44.831874999999997</v>
      </c>
      <c r="AA17" s="16">
        <v>45.299363</v>
      </c>
      <c r="AB17" s="17">
        <v>3674.19</v>
      </c>
      <c r="AC17" s="17">
        <v>1216.68</v>
      </c>
      <c r="AD17" s="17">
        <v>13.253</v>
      </c>
      <c r="AE17" s="17">
        <v>18.041</v>
      </c>
      <c r="AG17" s="12">
        <f t="shared" si="6"/>
        <v>12.220012499999999</v>
      </c>
      <c r="AH17" s="13">
        <f t="shared" si="7"/>
        <v>4.0406373292062661E-2</v>
      </c>
      <c r="AI17" s="13">
        <f t="shared" si="8"/>
        <v>1.2606725972878539E-2</v>
      </c>
      <c r="AJ17" s="13">
        <f t="shared" si="9"/>
        <v>8.5842045349345687E-3</v>
      </c>
      <c r="AK17" s="13">
        <f t="shared" si="10"/>
        <v>2.7797737772808768E-2</v>
      </c>
      <c r="AL17" s="77">
        <f t="shared" si="11"/>
        <v>4066800</v>
      </c>
      <c r="AM17" s="13">
        <v>16</v>
      </c>
      <c r="AN17" s="14">
        <v>33949459</v>
      </c>
      <c r="AO17" s="14">
        <v>1060920.59375</v>
      </c>
      <c r="AP17" s="14">
        <v>39535.09375</v>
      </c>
      <c r="AQ17" s="15">
        <v>13034680</v>
      </c>
      <c r="AR17" s="15">
        <v>2769176</v>
      </c>
      <c r="AS17" s="15">
        <v>1297624</v>
      </c>
      <c r="AT17" s="15">
        <v>8967264</v>
      </c>
      <c r="AU17" s="16">
        <v>69.250596999999999</v>
      </c>
      <c r="AV17" s="16">
        <v>71.669684000000004</v>
      </c>
      <c r="AW17" s="16">
        <v>34.602319000000001</v>
      </c>
      <c r="AX17" s="16">
        <v>44.831874999999997</v>
      </c>
      <c r="AY17" s="16">
        <v>45.299363</v>
      </c>
      <c r="AZ17" s="17">
        <v>3460.33</v>
      </c>
      <c r="BA17" s="17">
        <v>1167.69</v>
      </c>
      <c r="BB17" s="17">
        <v>12.416</v>
      </c>
      <c r="BC17" s="17">
        <v>17.228000000000002</v>
      </c>
      <c r="BE17" s="18">
        <f>(AP17/AO17) - (R17/Q17)</f>
        <v>0</v>
      </c>
      <c r="BF17" s="18">
        <f t="shared" si="12"/>
        <v>0</v>
      </c>
      <c r="BG17" s="18"/>
      <c r="BI17" s="120"/>
      <c r="BJ17" s="120"/>
      <c r="BK17" s="120"/>
      <c r="BL17" s="120"/>
      <c r="BM17" s="120"/>
      <c r="BN17" s="121"/>
      <c r="BO17" s="120"/>
      <c r="BP17" s="120"/>
      <c r="BQ17" s="120"/>
      <c r="BR17" s="120"/>
      <c r="BS17" s="120"/>
    </row>
    <row r="18" spans="1:71" outlineLevel="1" x14ac:dyDescent="0.2">
      <c r="A18" s="69"/>
      <c r="B18" s="69" t="s">
        <v>67</v>
      </c>
      <c r="C18" s="19" t="s">
        <v>232</v>
      </c>
      <c r="D18" s="69">
        <v>322589704</v>
      </c>
      <c r="E18" s="19">
        <v>10</v>
      </c>
      <c r="F18" s="19">
        <v>32</v>
      </c>
      <c r="G18" s="19">
        <v>30</v>
      </c>
      <c r="I18" s="20">
        <f t="shared" si="0"/>
        <v>22.059562499999998</v>
      </c>
      <c r="J18" s="21">
        <f t="shared" si="1"/>
        <v>7.2941571625608978E-2</v>
      </c>
      <c r="K18" s="21">
        <f t="shared" si="2"/>
        <v>1.67432002107544E-2</v>
      </c>
      <c r="L18" s="21">
        <f t="shared" si="3"/>
        <v>1.2720678772810431E-2</v>
      </c>
      <c r="M18" s="21">
        <f t="shared" si="4"/>
        <v>5.6196461868479222E-2</v>
      </c>
      <c r="N18" s="69">
        <f t="shared" si="5"/>
        <v>5401184</v>
      </c>
      <c r="O18" s="21">
        <v>16</v>
      </c>
      <c r="P18" s="22">
        <v>35406850</v>
      </c>
      <c r="Q18" s="22">
        <v>1106464.0625</v>
      </c>
      <c r="R18" s="22">
        <v>45080.28125</v>
      </c>
      <c r="S18" s="23">
        <v>23530200</v>
      </c>
      <c r="T18" s="23">
        <v>4103560</v>
      </c>
      <c r="U18" s="23">
        <v>1297624</v>
      </c>
      <c r="V18" s="23">
        <v>18128400</v>
      </c>
      <c r="W18" s="24">
        <v>70.379759000000007</v>
      </c>
      <c r="X18" s="24">
        <v>72.996672000000004</v>
      </c>
      <c r="Y18" s="24">
        <v>37.257086999999999</v>
      </c>
      <c r="Z18" s="24">
        <v>46.193544000000003</v>
      </c>
      <c r="AA18" s="24">
        <v>46.690233999999997</v>
      </c>
      <c r="AB18" s="25">
        <v>4215.32</v>
      </c>
      <c r="AC18" s="25">
        <v>1987.88</v>
      </c>
      <c r="AD18" s="25">
        <v>19.056000000000001</v>
      </c>
      <c r="AE18" s="25">
        <v>30.321000000000002</v>
      </c>
      <c r="AG18" s="20">
        <f t="shared" si="6"/>
        <v>22.059562499999998</v>
      </c>
      <c r="AH18" s="21">
        <f t="shared" si="7"/>
        <v>7.2941571625608978E-2</v>
      </c>
      <c r="AI18" s="21">
        <f t="shared" si="8"/>
        <v>1.67432002107544E-2</v>
      </c>
      <c r="AJ18" s="21">
        <f t="shared" si="9"/>
        <v>1.2720678772810431E-2</v>
      </c>
      <c r="AK18" s="21">
        <f t="shared" si="10"/>
        <v>5.6196461868479222E-2</v>
      </c>
      <c r="AL18" s="69">
        <f t="shared" si="11"/>
        <v>5401184</v>
      </c>
      <c r="AM18" s="21">
        <v>16</v>
      </c>
      <c r="AN18" s="22">
        <v>35406850</v>
      </c>
      <c r="AO18" s="22">
        <v>1106464.0625</v>
      </c>
      <c r="AP18" s="22">
        <v>45080.28125</v>
      </c>
      <c r="AQ18" s="23">
        <v>23530200</v>
      </c>
      <c r="AR18" s="23">
        <v>4103560</v>
      </c>
      <c r="AS18" s="23">
        <v>1297624</v>
      </c>
      <c r="AT18" s="23">
        <v>18128400</v>
      </c>
      <c r="AU18" s="24">
        <v>70.379759000000007</v>
      </c>
      <c r="AV18" s="24">
        <v>72.996672000000004</v>
      </c>
      <c r="AW18" s="24">
        <v>37.257086999999999</v>
      </c>
      <c r="AX18" s="24">
        <v>46.193544000000003</v>
      </c>
      <c r="AY18" s="24">
        <v>46.690233999999997</v>
      </c>
      <c r="AZ18" s="25">
        <v>4650.95</v>
      </c>
      <c r="BA18" s="25">
        <v>1960.83</v>
      </c>
      <c r="BB18" s="25">
        <v>16.806000000000001</v>
      </c>
      <c r="BC18" s="25">
        <v>26.33</v>
      </c>
      <c r="BE18" s="26">
        <f>(AP18/AO18) - (R18/Q18)</f>
        <v>0</v>
      </c>
      <c r="BF18" s="26">
        <f t="shared" si="12"/>
        <v>0</v>
      </c>
      <c r="BG18" s="26"/>
      <c r="BI18" s="122"/>
      <c r="BJ18" s="122"/>
      <c r="BK18" s="122"/>
      <c r="BL18" s="122"/>
      <c r="BM18" s="122"/>
      <c r="BN18" s="121"/>
      <c r="BO18" s="122"/>
      <c r="BP18" s="122"/>
      <c r="BQ18" s="122"/>
      <c r="BR18" s="122"/>
      <c r="BS18" s="122"/>
    </row>
    <row r="19" spans="1:71" ht="16" outlineLevel="1" thickBot="1" x14ac:dyDescent="0.25">
      <c r="A19" s="77"/>
      <c r="B19" s="27" t="s">
        <v>67</v>
      </c>
      <c r="C19" s="28" t="s">
        <v>233</v>
      </c>
      <c r="D19" s="27">
        <v>322589704</v>
      </c>
      <c r="E19" s="28">
        <v>10</v>
      </c>
      <c r="F19" s="28">
        <v>32</v>
      </c>
      <c r="G19" s="28">
        <v>30</v>
      </c>
      <c r="I19" s="29">
        <f t="shared" si="0"/>
        <v>39.950272499999997</v>
      </c>
      <c r="J19" s="30">
        <f t="shared" si="1"/>
        <v>0.13209852475638839</v>
      </c>
      <c r="K19" s="30">
        <f t="shared" si="2"/>
        <v>2.6833838441415354E-2</v>
      </c>
      <c r="L19" s="30">
        <f t="shared" si="3"/>
        <v>1.9379986163476564E-2</v>
      </c>
      <c r="M19" s="30">
        <f t="shared" si="4"/>
        <v>0.10526277676859767</v>
      </c>
      <c r="N19" s="27">
        <f t="shared" si="5"/>
        <v>8656320</v>
      </c>
      <c r="O19" s="30">
        <v>16</v>
      </c>
      <c r="P19" s="31">
        <v>33677529</v>
      </c>
      <c r="Q19" s="31">
        <v>1052422.78125</v>
      </c>
      <c r="R19" s="31">
        <v>20027.96875</v>
      </c>
      <c r="S19" s="32">
        <v>42613624</v>
      </c>
      <c r="T19" s="32">
        <v>6251784</v>
      </c>
      <c r="U19" s="32">
        <v>2404536</v>
      </c>
      <c r="V19" s="32">
        <v>33956688</v>
      </c>
      <c r="W19" s="33">
        <v>71.497066000000004</v>
      </c>
      <c r="X19" s="33">
        <v>75.069755999999998</v>
      </c>
      <c r="Y19" s="33">
        <v>39.335715999999998</v>
      </c>
      <c r="Z19" s="33">
        <v>47.947415999999997</v>
      </c>
      <c r="AA19" s="33">
        <v>48.551324999999999</v>
      </c>
      <c r="AB19" s="34">
        <v>4813.54</v>
      </c>
      <c r="AC19" s="34">
        <v>2515.36</v>
      </c>
      <c r="AD19" s="34">
        <v>16.844999999999999</v>
      </c>
      <c r="AE19" s="34">
        <v>31.753</v>
      </c>
      <c r="AG19" s="29">
        <f t="shared" si="6"/>
        <v>39.950272499999997</v>
      </c>
      <c r="AH19" s="30">
        <f t="shared" si="7"/>
        <v>0.13209852475638839</v>
      </c>
      <c r="AI19" s="30">
        <f t="shared" si="8"/>
        <v>2.6833838441415354E-2</v>
      </c>
      <c r="AJ19" s="30">
        <f t="shared" si="9"/>
        <v>1.9379986163476564E-2</v>
      </c>
      <c r="AK19" s="30">
        <f t="shared" si="10"/>
        <v>0.10526277676859767</v>
      </c>
      <c r="AL19" s="27">
        <f t="shared" si="11"/>
        <v>8656320</v>
      </c>
      <c r="AM19" s="30">
        <v>16</v>
      </c>
      <c r="AN19" s="31">
        <v>33677529</v>
      </c>
      <c r="AO19" s="31">
        <v>1052422.78125</v>
      </c>
      <c r="AP19" s="31">
        <v>20027.96875</v>
      </c>
      <c r="AQ19" s="32">
        <v>42613624</v>
      </c>
      <c r="AR19" s="32">
        <v>6251784</v>
      </c>
      <c r="AS19" s="32">
        <v>2404536</v>
      </c>
      <c r="AT19" s="32">
        <v>33956688</v>
      </c>
      <c r="AU19" s="33">
        <v>71.497066000000004</v>
      </c>
      <c r="AV19" s="33">
        <v>75.069755999999998</v>
      </c>
      <c r="AW19" s="33">
        <v>39.335715999999998</v>
      </c>
      <c r="AX19" s="33">
        <v>47.947415999999997</v>
      </c>
      <c r="AY19" s="33">
        <v>48.551324999999999</v>
      </c>
      <c r="AZ19" s="34">
        <v>3432.74</v>
      </c>
      <c r="BA19" s="34">
        <v>1636.96</v>
      </c>
      <c r="BB19" s="34">
        <v>12.391</v>
      </c>
      <c r="BC19" s="34">
        <v>21.120999999999999</v>
      </c>
      <c r="BE19" s="35">
        <f>(AP19/AO19) - (R19/Q19)</f>
        <v>0</v>
      </c>
      <c r="BF19" s="35">
        <f t="shared" si="12"/>
        <v>0</v>
      </c>
      <c r="BG19" s="35"/>
      <c r="BI19" s="123"/>
      <c r="BJ19" s="123"/>
      <c r="BK19" s="123"/>
      <c r="BL19" s="123"/>
      <c r="BM19" s="123"/>
      <c r="BN19" s="121"/>
      <c r="BO19" s="123"/>
      <c r="BP19" s="123"/>
      <c r="BQ19" s="123"/>
      <c r="BR19" s="123"/>
      <c r="BS19" s="123"/>
    </row>
    <row r="20" spans="1:71" x14ac:dyDescent="0.2">
      <c r="A20" s="69"/>
      <c r="B20" s="69" t="s">
        <v>72</v>
      </c>
      <c r="C20" s="19" t="s">
        <v>229</v>
      </c>
      <c r="D20" s="69">
        <v>250602891</v>
      </c>
      <c r="E20" s="19">
        <v>10</v>
      </c>
      <c r="F20" s="19">
        <v>32</v>
      </c>
      <c r="G20" s="19">
        <v>50</v>
      </c>
      <c r="I20" s="20">
        <f t="shared" si="0"/>
        <v>5.3437000000000001</v>
      </c>
      <c r="J20" s="21">
        <f t="shared" si="1"/>
        <v>1.3646961478987887E-2</v>
      </c>
      <c r="K20" s="21">
        <f t="shared" si="2"/>
        <v>7.6943725282083838E-3</v>
      </c>
      <c r="L20" s="21">
        <f t="shared" si="3"/>
        <v>3.759413932698805E-3</v>
      </c>
      <c r="M20" s="21">
        <f t="shared" si="4"/>
        <v>5.9501308785779332E-3</v>
      </c>
      <c r="N20" s="69">
        <f t="shared" si="5"/>
        <v>1928232</v>
      </c>
      <c r="O20" s="21">
        <v>16</v>
      </c>
      <c r="P20" s="22">
        <v>30230438</v>
      </c>
      <c r="Q20" s="22">
        <v>944701.1875</v>
      </c>
      <c r="R20" s="22">
        <v>27161</v>
      </c>
      <c r="S20" s="23">
        <v>3419968</v>
      </c>
      <c r="T20" s="23">
        <v>942120</v>
      </c>
      <c r="U20" s="23">
        <v>986112</v>
      </c>
      <c r="V20" s="23">
        <v>1491120</v>
      </c>
      <c r="W20" s="24">
        <v>67.065771999999996</v>
      </c>
      <c r="X20" s="24">
        <v>68.733975000000001</v>
      </c>
      <c r="Y20" s="24">
        <v>30.882369000000001</v>
      </c>
      <c r="Z20" s="24">
        <v>39.533853000000001</v>
      </c>
      <c r="AA20" s="24">
        <v>38.395637000000001</v>
      </c>
      <c r="AB20" s="25">
        <v>4467.46</v>
      </c>
      <c r="AC20" s="25">
        <v>1167.3699999999999</v>
      </c>
      <c r="AD20" s="25">
        <v>14.004</v>
      </c>
      <c r="AE20" s="25">
        <v>18.036000000000001</v>
      </c>
      <c r="AG20" s="20">
        <f t="shared" si="6"/>
        <v>5.3437000000000001</v>
      </c>
      <c r="AH20" s="21">
        <f t="shared" si="7"/>
        <v>1.3646961478987887E-2</v>
      </c>
      <c r="AI20" s="21">
        <f t="shared" si="8"/>
        <v>7.6943725282083838E-3</v>
      </c>
      <c r="AJ20" s="21">
        <f t="shared" si="9"/>
        <v>3.759413932698805E-3</v>
      </c>
      <c r="AK20" s="21">
        <f t="shared" si="10"/>
        <v>5.9501308785779332E-3</v>
      </c>
      <c r="AL20" s="69">
        <f t="shared" si="11"/>
        <v>1928232</v>
      </c>
      <c r="AM20" s="21">
        <v>16</v>
      </c>
      <c r="AN20" s="22">
        <v>30230438</v>
      </c>
      <c r="AO20" s="22">
        <v>944701.1875</v>
      </c>
      <c r="AP20" s="22">
        <v>27161</v>
      </c>
      <c r="AQ20" s="23">
        <v>3419968</v>
      </c>
      <c r="AR20" s="23">
        <v>942120</v>
      </c>
      <c r="AS20" s="23">
        <v>986112</v>
      </c>
      <c r="AT20" s="23">
        <v>1491120</v>
      </c>
      <c r="AU20" s="24">
        <v>67.065771999999996</v>
      </c>
      <c r="AV20" s="24">
        <v>68.733975000000001</v>
      </c>
      <c r="AW20" s="24">
        <v>30.882369000000001</v>
      </c>
      <c r="AX20" s="24">
        <v>39.533853000000001</v>
      </c>
      <c r="AY20" s="24">
        <v>38.395637000000001</v>
      </c>
      <c r="AZ20" s="25">
        <v>3266.91</v>
      </c>
      <c r="BA20" s="25">
        <v>747.78</v>
      </c>
      <c r="BB20" s="25">
        <v>9.7989999999999995</v>
      </c>
      <c r="BC20" s="25">
        <v>11.994999999999999</v>
      </c>
      <c r="BE20" s="26">
        <f>(AP20/AO20) - (R20/Q20)</f>
        <v>0</v>
      </c>
      <c r="BF20" s="26">
        <f t="shared" si="12"/>
        <v>0</v>
      </c>
      <c r="BG20" s="26">
        <f t="array" ref="BG20">AVERAGE(AL20:AL24/AQ20:AQ24) - AVERAGE(N20:N24/S20:S24)</f>
        <v>0</v>
      </c>
      <c r="BI20" s="122">
        <f>IF( OR(ISBLANK(N20:N24),ISBLANK(AL20:AL24), ISBLANK(W20:W24),ISBLANK(AU20:AU24)), "·", bdRateExtend( N20:N24,W20:W24, AL20:AL24,AU20:AU24))</f>
        <v>0</v>
      </c>
      <c r="BJ20" s="122">
        <f>IF( OR(ISBLANK(N20:N24),ISBLANK(AL20:AL24), ISBLANK(X20:X24),ISBLANK(AV20:AV24)), "·", bdRateExtend( N20:N24,X20:X24, AL20:AL24,AV20:AV24))</f>
        <v>0</v>
      </c>
      <c r="BK20" s="122">
        <f>IF( OR(ISBLANK(V20:V24),ISBLANK(AT20:AT24), ISBLANK(Y20:Y24),ISBLANK(AW20:AW24)), "·", bdRateExtend( V20:V24,Y20:Y24, AT20:AT24,AW20:AW24))</f>
        <v>0</v>
      </c>
      <c r="BL20" s="122">
        <f>IF( OR(ISBLANK(V20:V24),ISBLANK(AT20:AT24), ISBLANK(Z20:Z24),ISBLANK(AX20:AX24)), "·", bdRateExtend( V20:V24,Z20:Z24, AT20:AT24,AX20:AX24))</f>
        <v>0</v>
      </c>
      <c r="BM20" s="122">
        <f>IF( OR(ISBLANK(V20:V24),ISBLANK(AT20:AT24), ISBLANK(AA20:AA24),ISBLANK(AY20:AY24)), "·", bdRateExtend( V20:V24,AA20:AA24, AT20:AT24,AY20:AY24))</f>
        <v>0</v>
      </c>
      <c r="BN20" s="121"/>
      <c r="BO20" s="122">
        <f>IF( OR(ISBLANK(S20:S24),ISBLANK(AQ20:AQ24), ISBLANK(W20:W24),ISBLANK(AU20:AU24)), "·", bdRateExtend( S20:S24,W20:W24, AQ20:AQ24,AU20:AU24))</f>
        <v>0</v>
      </c>
      <c r="BP20" s="122">
        <f>IF( OR(ISBLANK(S20:S24),ISBLANK(AQ20:AQ24), ISBLANK(X20:X24),ISBLANK(AV20:AV24)), "·", bdRateExtend( S20:S24,X20:X24, AQ20:AQ24,AV20:AV24))</f>
        <v>0</v>
      </c>
      <c r="BQ20" s="122">
        <f>IF( OR(ISBLANK(S20:S24),ISBLANK(AQ20:AQ24), ISBLANK(Y20:Y24),ISBLANK(AW20:AW24)), "·", bdRateExtend( S20:S24,Y20:Y24, AQ20:AQ24,AW20:AW24))</f>
        <v>0</v>
      </c>
      <c r="BR20" s="122">
        <f>IF( OR(ISBLANK(S20:S24),ISBLANK(AQ20:AQ24), ISBLANK(Z20:Z24),ISBLANK(AX20:AX24)), "·", bdRateExtend( S20:S24,Z20:Z24, AQ20:AQ24,AX20:AX24))</f>
        <v>0</v>
      </c>
      <c r="BS20" s="122">
        <f>IF( OR(ISBLANK(S20:S24),ISBLANK(AQ20:AQ24), ISBLANK(AA20:AA24),ISBLANK(AY20:AY24)), "·", bdRateExtend( S20:S24,AA20:AA24, AQ20:AQ24,AY20:AY24))</f>
        <v>0</v>
      </c>
    </row>
    <row r="21" spans="1:71" outlineLevel="1" x14ac:dyDescent="0.2">
      <c r="A21" s="77"/>
      <c r="B21" s="77" t="s">
        <v>72</v>
      </c>
      <c r="C21" s="11" t="s">
        <v>230</v>
      </c>
      <c r="D21" s="77">
        <v>250602891</v>
      </c>
      <c r="E21" s="11">
        <v>10</v>
      </c>
      <c r="F21" s="11">
        <v>32</v>
      </c>
      <c r="G21" s="11">
        <v>50</v>
      </c>
      <c r="I21" s="12">
        <f t="shared" si="0"/>
        <v>8.4053125000000009</v>
      </c>
      <c r="J21" s="13">
        <f t="shared" si="1"/>
        <v>2.1465833768054974E-2</v>
      </c>
      <c r="K21" s="13">
        <f t="shared" si="2"/>
        <v>9.1048590496906924E-3</v>
      </c>
      <c r="L21" s="13">
        <f t="shared" si="3"/>
        <v>5.1699004541811136E-3</v>
      </c>
      <c r="M21" s="13">
        <f t="shared" si="4"/>
        <v>1.2358516646162714E-2</v>
      </c>
      <c r="N21" s="77">
        <f t="shared" si="5"/>
        <v>2281704</v>
      </c>
      <c r="O21" s="13">
        <v>16</v>
      </c>
      <c r="P21" s="14">
        <v>31582662</v>
      </c>
      <c r="Q21" s="14">
        <v>986958.1875</v>
      </c>
      <c r="R21" s="14">
        <v>32537.78125</v>
      </c>
      <c r="S21" s="15">
        <v>5379400</v>
      </c>
      <c r="T21" s="15">
        <v>1295592</v>
      </c>
      <c r="U21" s="15">
        <v>986112</v>
      </c>
      <c r="V21" s="15">
        <v>3097080</v>
      </c>
      <c r="W21" s="16">
        <v>68.659734</v>
      </c>
      <c r="X21" s="16">
        <v>70.740427999999994</v>
      </c>
      <c r="Y21" s="16">
        <v>32.778812000000002</v>
      </c>
      <c r="Z21" s="16">
        <v>40.701953000000003</v>
      </c>
      <c r="AA21" s="16">
        <v>39.685952999999998</v>
      </c>
      <c r="AB21" s="17">
        <v>3326.87</v>
      </c>
      <c r="AC21" s="17">
        <v>851.33500000000004</v>
      </c>
      <c r="AD21" s="17">
        <v>10.178000000000001</v>
      </c>
      <c r="AE21" s="17">
        <v>12.256</v>
      </c>
      <c r="AG21" s="12">
        <f t="shared" si="6"/>
        <v>8.4053125000000009</v>
      </c>
      <c r="AH21" s="13">
        <f t="shared" si="7"/>
        <v>2.1465833768054974E-2</v>
      </c>
      <c r="AI21" s="13">
        <f t="shared" si="8"/>
        <v>9.1048590496906924E-3</v>
      </c>
      <c r="AJ21" s="13">
        <f t="shared" si="9"/>
        <v>5.1699004541811136E-3</v>
      </c>
      <c r="AK21" s="13">
        <f t="shared" si="10"/>
        <v>1.2358516646162714E-2</v>
      </c>
      <c r="AL21" s="77">
        <f t="shared" si="11"/>
        <v>2281704</v>
      </c>
      <c r="AM21" s="13">
        <v>16</v>
      </c>
      <c r="AN21" s="14">
        <v>31582662</v>
      </c>
      <c r="AO21" s="14">
        <v>986958.1875</v>
      </c>
      <c r="AP21" s="14">
        <v>32537.78125</v>
      </c>
      <c r="AQ21" s="15">
        <v>5379400</v>
      </c>
      <c r="AR21" s="15">
        <v>1295592</v>
      </c>
      <c r="AS21" s="15">
        <v>986112</v>
      </c>
      <c r="AT21" s="15">
        <v>3097080</v>
      </c>
      <c r="AU21" s="16">
        <v>68.659734</v>
      </c>
      <c r="AV21" s="16">
        <v>70.740427999999994</v>
      </c>
      <c r="AW21" s="16">
        <v>32.778812000000002</v>
      </c>
      <c r="AX21" s="16">
        <v>40.701953000000003</v>
      </c>
      <c r="AY21" s="16">
        <v>39.685952999999998</v>
      </c>
      <c r="AZ21" s="17">
        <v>4285.9799999999996</v>
      </c>
      <c r="BA21" s="17">
        <v>1245.02</v>
      </c>
      <c r="BB21" s="17">
        <v>16.143999999999998</v>
      </c>
      <c r="BC21" s="17">
        <v>19.388000000000002</v>
      </c>
      <c r="BE21" s="18">
        <f>(AP21/AO21) - (R21/Q21)</f>
        <v>0</v>
      </c>
      <c r="BF21" s="18">
        <f t="shared" si="12"/>
        <v>0</v>
      </c>
      <c r="BG21" s="18"/>
      <c r="BI21" s="120"/>
      <c r="BJ21" s="120"/>
      <c r="BK21" s="120"/>
      <c r="BL21" s="120"/>
      <c r="BM21" s="120"/>
      <c r="BN21" s="121"/>
      <c r="BO21" s="120"/>
      <c r="BP21" s="120"/>
      <c r="BQ21" s="120"/>
      <c r="BR21" s="120"/>
      <c r="BS21" s="120"/>
    </row>
    <row r="22" spans="1:71" outlineLevel="1" x14ac:dyDescent="0.2">
      <c r="A22" s="69"/>
      <c r="B22" s="69" t="s">
        <v>72</v>
      </c>
      <c r="C22" s="19" t="s">
        <v>231</v>
      </c>
      <c r="D22" s="69">
        <v>250602891</v>
      </c>
      <c r="E22" s="19">
        <v>10</v>
      </c>
      <c r="F22" s="19">
        <v>32</v>
      </c>
      <c r="G22" s="19">
        <v>50</v>
      </c>
      <c r="I22" s="20">
        <f t="shared" si="0"/>
        <v>13.9326875</v>
      </c>
      <c r="J22" s="21">
        <f t="shared" si="1"/>
        <v>3.5581872038339735E-2</v>
      </c>
      <c r="K22" s="21">
        <f t="shared" si="2"/>
        <v>1.1225792283457735E-2</v>
      </c>
      <c r="L22" s="21">
        <f t="shared" si="3"/>
        <v>7.2908336879481568E-3</v>
      </c>
      <c r="M22" s="21">
        <f t="shared" si="4"/>
        <v>2.4353621682680428E-2</v>
      </c>
      <c r="N22" s="69">
        <f t="shared" si="5"/>
        <v>2813216</v>
      </c>
      <c r="O22" s="21">
        <v>16</v>
      </c>
      <c r="P22" s="22">
        <v>32910555</v>
      </c>
      <c r="Q22" s="22">
        <v>1028454.84375</v>
      </c>
      <c r="R22" s="22">
        <v>34769.59375</v>
      </c>
      <c r="S22" s="23">
        <v>8916920</v>
      </c>
      <c r="T22" s="23">
        <v>1827104</v>
      </c>
      <c r="U22" s="23">
        <v>986112</v>
      </c>
      <c r="V22" s="23">
        <v>6103088</v>
      </c>
      <c r="W22" s="24">
        <v>69.831643999999997</v>
      </c>
      <c r="X22" s="24">
        <v>72.240358999999998</v>
      </c>
      <c r="Y22" s="24">
        <v>34.624715999999999</v>
      </c>
      <c r="Z22" s="24">
        <v>41.744956000000002</v>
      </c>
      <c r="AA22" s="24">
        <v>40.748353000000002</v>
      </c>
      <c r="AB22" s="25">
        <v>4685.1499999999996</v>
      </c>
      <c r="AC22" s="25">
        <v>1367.16</v>
      </c>
      <c r="AD22" s="25">
        <v>15.108000000000001</v>
      </c>
      <c r="AE22" s="25">
        <v>19.154</v>
      </c>
      <c r="AG22" s="20">
        <f t="shared" si="6"/>
        <v>13.9326875</v>
      </c>
      <c r="AH22" s="21">
        <f t="shared" si="7"/>
        <v>3.5581872038339735E-2</v>
      </c>
      <c r="AI22" s="21">
        <f t="shared" si="8"/>
        <v>1.1225792283457735E-2</v>
      </c>
      <c r="AJ22" s="21">
        <f t="shared" si="9"/>
        <v>7.2908336879481568E-3</v>
      </c>
      <c r="AK22" s="21">
        <f t="shared" si="10"/>
        <v>2.4353621682680428E-2</v>
      </c>
      <c r="AL22" s="69">
        <f t="shared" si="11"/>
        <v>2813216</v>
      </c>
      <c r="AM22" s="21">
        <v>16</v>
      </c>
      <c r="AN22" s="22">
        <v>32910555</v>
      </c>
      <c r="AO22" s="22">
        <v>1028454.84375</v>
      </c>
      <c r="AP22" s="22">
        <v>34769.59375</v>
      </c>
      <c r="AQ22" s="23">
        <v>8916920</v>
      </c>
      <c r="AR22" s="23">
        <v>1827104</v>
      </c>
      <c r="AS22" s="23">
        <v>986112</v>
      </c>
      <c r="AT22" s="23">
        <v>6103088</v>
      </c>
      <c r="AU22" s="24">
        <v>69.831643999999997</v>
      </c>
      <c r="AV22" s="24">
        <v>72.240358999999998</v>
      </c>
      <c r="AW22" s="24">
        <v>34.624715999999999</v>
      </c>
      <c r="AX22" s="24">
        <v>41.744956000000002</v>
      </c>
      <c r="AY22" s="24">
        <v>40.748353000000002</v>
      </c>
      <c r="AZ22" s="25">
        <v>4530.91</v>
      </c>
      <c r="BA22" s="25">
        <v>1417.29</v>
      </c>
      <c r="BB22" s="25">
        <v>15.564</v>
      </c>
      <c r="BC22" s="25">
        <v>21.099</v>
      </c>
      <c r="BE22" s="26">
        <f>(AP22/AO22) - (R22/Q22)</f>
        <v>0</v>
      </c>
      <c r="BF22" s="26">
        <f t="shared" si="12"/>
        <v>0</v>
      </c>
      <c r="BG22" s="26"/>
      <c r="BI22" s="122"/>
      <c r="BJ22" s="122"/>
      <c r="BK22" s="122"/>
      <c r="BL22" s="122"/>
      <c r="BM22" s="122"/>
      <c r="BN22" s="121"/>
      <c r="BO22" s="122"/>
      <c r="BP22" s="122"/>
      <c r="BQ22" s="122"/>
      <c r="BR22" s="122"/>
      <c r="BS22" s="122"/>
    </row>
    <row r="23" spans="1:71" outlineLevel="1" x14ac:dyDescent="0.2">
      <c r="A23" s="77"/>
      <c r="B23" s="77" t="s">
        <v>72</v>
      </c>
      <c r="C23" s="11" t="s">
        <v>232</v>
      </c>
      <c r="D23" s="77">
        <v>250602891</v>
      </c>
      <c r="E23" s="11">
        <v>10</v>
      </c>
      <c r="F23" s="11">
        <v>32</v>
      </c>
      <c r="G23" s="11">
        <v>50</v>
      </c>
      <c r="I23" s="12">
        <f t="shared" si="0"/>
        <v>24.306687499999999</v>
      </c>
      <c r="J23" s="13">
        <f t="shared" si="1"/>
        <v>6.2075421149072059E-2</v>
      </c>
      <c r="K23" s="13">
        <f t="shared" si="2"/>
        <v>1.4881073339253696E-2</v>
      </c>
      <c r="L23" s="13">
        <f t="shared" si="3"/>
        <v>1.0946114743744118E-2</v>
      </c>
      <c r="M23" s="13">
        <f t="shared" si="4"/>
        <v>4.7191889737616795E-2</v>
      </c>
      <c r="N23" s="77">
        <f t="shared" si="5"/>
        <v>3729240</v>
      </c>
      <c r="O23" s="13">
        <v>16</v>
      </c>
      <c r="P23" s="14">
        <v>32954716</v>
      </c>
      <c r="Q23" s="14">
        <v>1029834.875</v>
      </c>
      <c r="R23" s="14">
        <v>36665.46875</v>
      </c>
      <c r="S23" s="15">
        <v>15556280</v>
      </c>
      <c r="T23" s="15">
        <v>2743128</v>
      </c>
      <c r="U23" s="15">
        <v>986112</v>
      </c>
      <c r="V23" s="15">
        <v>11826424</v>
      </c>
      <c r="W23" s="16">
        <v>70.837203000000002</v>
      </c>
      <c r="X23" s="16">
        <v>73.567969000000005</v>
      </c>
      <c r="Y23" s="16">
        <v>36.275565999999998</v>
      </c>
      <c r="Z23" s="16">
        <v>42.939684</v>
      </c>
      <c r="AA23" s="16">
        <v>41.844208999999999</v>
      </c>
      <c r="AB23" s="17">
        <v>3381.82</v>
      </c>
      <c r="AC23" s="17">
        <v>1068.1600000000001</v>
      </c>
      <c r="AD23" s="17">
        <v>10.621</v>
      </c>
      <c r="AE23" s="17">
        <v>14.03</v>
      </c>
      <c r="AG23" s="12">
        <f t="shared" si="6"/>
        <v>24.306687499999999</v>
      </c>
      <c r="AH23" s="13">
        <f t="shared" si="7"/>
        <v>6.2075421149072059E-2</v>
      </c>
      <c r="AI23" s="13">
        <f t="shared" si="8"/>
        <v>1.4881073339253696E-2</v>
      </c>
      <c r="AJ23" s="13">
        <f t="shared" si="9"/>
        <v>1.0946114743744118E-2</v>
      </c>
      <c r="AK23" s="13">
        <f t="shared" si="10"/>
        <v>4.7191889737616795E-2</v>
      </c>
      <c r="AL23" s="77">
        <f t="shared" si="11"/>
        <v>3729240</v>
      </c>
      <c r="AM23" s="13">
        <v>16</v>
      </c>
      <c r="AN23" s="14">
        <v>32954716</v>
      </c>
      <c r="AO23" s="14">
        <v>1029834.875</v>
      </c>
      <c r="AP23" s="14">
        <v>36665.46875</v>
      </c>
      <c r="AQ23" s="15">
        <v>15556280</v>
      </c>
      <c r="AR23" s="15">
        <v>2743128</v>
      </c>
      <c r="AS23" s="15">
        <v>986112</v>
      </c>
      <c r="AT23" s="15">
        <v>11826424</v>
      </c>
      <c r="AU23" s="16">
        <v>70.837203000000002</v>
      </c>
      <c r="AV23" s="16">
        <v>73.567969000000005</v>
      </c>
      <c r="AW23" s="16">
        <v>36.275565999999998</v>
      </c>
      <c r="AX23" s="16">
        <v>42.939684</v>
      </c>
      <c r="AY23" s="16">
        <v>41.844208999999999</v>
      </c>
      <c r="AZ23" s="17">
        <v>3653.01</v>
      </c>
      <c r="BA23" s="17">
        <v>1120.58</v>
      </c>
      <c r="BB23" s="17">
        <v>11.448</v>
      </c>
      <c r="BC23" s="17">
        <v>14.295999999999999</v>
      </c>
      <c r="BE23" s="18">
        <f>(AP23/AO23) - (R23/Q23)</f>
        <v>0</v>
      </c>
      <c r="BF23" s="18">
        <f t="shared" si="12"/>
        <v>0</v>
      </c>
      <c r="BG23" s="18"/>
      <c r="BI23" s="120"/>
      <c r="BJ23" s="120"/>
      <c r="BK23" s="120"/>
      <c r="BL23" s="120"/>
      <c r="BM23" s="120"/>
      <c r="BN23" s="121"/>
      <c r="BO23" s="120"/>
      <c r="BP23" s="120"/>
      <c r="BQ23" s="120"/>
      <c r="BR23" s="120"/>
      <c r="BS23" s="120"/>
    </row>
    <row r="24" spans="1:71" ht="16" outlineLevel="1" thickBot="1" x14ac:dyDescent="0.25">
      <c r="A24" s="37"/>
      <c r="B24" s="37" t="s">
        <v>72</v>
      </c>
      <c r="C24" s="38" t="s">
        <v>233</v>
      </c>
      <c r="D24" s="37">
        <v>250602891</v>
      </c>
      <c r="E24" s="38">
        <v>10</v>
      </c>
      <c r="F24" s="38">
        <v>32</v>
      </c>
      <c r="G24" s="38">
        <v>50</v>
      </c>
      <c r="I24" s="39">
        <f t="shared" si="0"/>
        <v>41.2526875</v>
      </c>
      <c r="J24" s="40">
        <f t="shared" si="1"/>
        <v>0.10535281494418194</v>
      </c>
      <c r="K24" s="40">
        <f t="shared" si="2"/>
        <v>2.4529006730413177E-2</v>
      </c>
      <c r="L24" s="40">
        <f t="shared" si="3"/>
        <v>1.6989460827888055E-2</v>
      </c>
      <c r="M24" s="40">
        <f t="shared" si="4"/>
        <v>8.0821350141567203E-2</v>
      </c>
      <c r="N24" s="37">
        <f t="shared" si="5"/>
        <v>6147040</v>
      </c>
      <c r="O24" s="40">
        <v>16</v>
      </c>
      <c r="P24" s="41">
        <v>31584915</v>
      </c>
      <c r="Q24" s="41">
        <v>987028.59375</v>
      </c>
      <c r="R24" s="41">
        <v>18072.71875</v>
      </c>
      <c r="S24" s="42">
        <v>26401720</v>
      </c>
      <c r="T24" s="42">
        <v>4257608</v>
      </c>
      <c r="U24" s="42">
        <v>1889432</v>
      </c>
      <c r="V24" s="42">
        <v>20254064</v>
      </c>
      <c r="W24" s="43">
        <v>71.893763000000007</v>
      </c>
      <c r="X24" s="43">
        <v>75.707471999999996</v>
      </c>
      <c r="Y24" s="43">
        <v>37.303736999999998</v>
      </c>
      <c r="Z24" s="43">
        <v>43.797080999999999</v>
      </c>
      <c r="AA24" s="43">
        <v>42.424002999999999</v>
      </c>
      <c r="AB24" s="44">
        <v>4364.6499999999996</v>
      </c>
      <c r="AC24" s="44">
        <v>1342.23</v>
      </c>
      <c r="AD24" s="44">
        <v>11.016999999999999</v>
      </c>
      <c r="AE24" s="44">
        <v>18.196000000000002</v>
      </c>
      <c r="AG24" s="39">
        <f t="shared" si="6"/>
        <v>41.2526875</v>
      </c>
      <c r="AH24" s="40">
        <f t="shared" si="7"/>
        <v>0.10535281494418194</v>
      </c>
      <c r="AI24" s="40">
        <f t="shared" si="8"/>
        <v>2.4529006730413177E-2</v>
      </c>
      <c r="AJ24" s="40">
        <f t="shared" si="9"/>
        <v>1.6989460827888055E-2</v>
      </c>
      <c r="AK24" s="40">
        <f t="shared" si="10"/>
        <v>8.0821350141567203E-2</v>
      </c>
      <c r="AL24" s="37">
        <f t="shared" si="11"/>
        <v>6147040</v>
      </c>
      <c r="AM24" s="40">
        <v>16</v>
      </c>
      <c r="AN24" s="41">
        <v>31584915</v>
      </c>
      <c r="AO24" s="41">
        <v>987028.59375</v>
      </c>
      <c r="AP24" s="41">
        <v>18072.71875</v>
      </c>
      <c r="AQ24" s="42">
        <v>26401720</v>
      </c>
      <c r="AR24" s="42">
        <v>4257608</v>
      </c>
      <c r="AS24" s="42">
        <v>1889432</v>
      </c>
      <c r="AT24" s="42">
        <v>20254064</v>
      </c>
      <c r="AU24" s="43">
        <v>71.893763000000007</v>
      </c>
      <c r="AV24" s="43">
        <v>75.707471999999996</v>
      </c>
      <c r="AW24" s="43">
        <v>37.303736999999998</v>
      </c>
      <c r="AX24" s="43">
        <v>43.797080999999999</v>
      </c>
      <c r="AY24" s="43">
        <v>42.424002999999999</v>
      </c>
      <c r="AZ24" s="44">
        <v>3140.77</v>
      </c>
      <c r="BA24" s="44">
        <v>1159.2</v>
      </c>
      <c r="BB24" s="44">
        <v>9.18</v>
      </c>
      <c r="BC24" s="44">
        <v>13.553000000000001</v>
      </c>
      <c r="BE24" s="45">
        <f>(AP24/AO24) - (R24/Q24)</f>
        <v>0</v>
      </c>
      <c r="BF24" s="45">
        <f t="shared" si="12"/>
        <v>0</v>
      </c>
      <c r="BG24" s="45"/>
      <c r="BI24" s="124"/>
      <c r="BJ24" s="124"/>
      <c r="BK24" s="124"/>
      <c r="BL24" s="124"/>
      <c r="BM24" s="124"/>
      <c r="BN24" s="121"/>
      <c r="BO24" s="124"/>
      <c r="BP24" s="124"/>
      <c r="BQ24" s="124"/>
      <c r="BR24" s="124"/>
      <c r="BS24" s="124"/>
    </row>
    <row r="25" spans="1:71" x14ac:dyDescent="0.2">
      <c r="A25" s="77" t="s">
        <v>234</v>
      </c>
      <c r="B25" s="77" t="s">
        <v>75</v>
      </c>
      <c r="C25" s="11" t="s">
        <v>229</v>
      </c>
      <c r="D25" s="77">
        <v>250294582</v>
      </c>
      <c r="E25" s="11">
        <v>10</v>
      </c>
      <c r="F25" s="11">
        <v>32</v>
      </c>
      <c r="G25" s="11">
        <v>30</v>
      </c>
      <c r="I25" s="12">
        <f>IF(OR(ISBLANK(S25),ISBLANK(G25)),"·",S25*G25/F25/1000000)</f>
        <v>4.70322</v>
      </c>
      <c r="J25" s="13">
        <f t="shared" si="1"/>
        <v>2.0043454236656228E-2</v>
      </c>
      <c r="K25" s="13">
        <f t="shared" si="2"/>
        <v>7.0415906965177535E-3</v>
      </c>
      <c r="L25" s="13">
        <f t="shared" si="3"/>
        <v>3.812947097672294E-3</v>
      </c>
      <c r="M25" s="13">
        <f t="shared" si="4"/>
        <v>1.2999402440121537E-2</v>
      </c>
      <c r="N25" s="77">
        <f t="shared" si="5"/>
        <v>1762472</v>
      </c>
      <c r="O25" s="13">
        <v>16</v>
      </c>
      <c r="P25" s="14">
        <v>22943589</v>
      </c>
      <c r="Q25" s="14">
        <v>716987.15625</v>
      </c>
      <c r="R25" s="14">
        <v>16957.03125</v>
      </c>
      <c r="S25" s="15">
        <v>5016768</v>
      </c>
      <c r="T25" s="15">
        <v>954360</v>
      </c>
      <c r="U25" s="15">
        <v>808112</v>
      </c>
      <c r="V25" s="15">
        <v>3253680</v>
      </c>
      <c r="W25" s="16">
        <v>66.188337000000004</v>
      </c>
      <c r="X25" s="16">
        <v>68.025690999999995</v>
      </c>
      <c r="Y25" s="16">
        <v>27.492266000000001</v>
      </c>
      <c r="Z25" s="16">
        <v>33.271619000000001</v>
      </c>
      <c r="AA25" s="16">
        <v>32.724563000000003</v>
      </c>
      <c r="AB25" s="17">
        <v>2573.19</v>
      </c>
      <c r="AC25" s="17">
        <v>997.05899999999997</v>
      </c>
      <c r="AD25" s="17">
        <v>9.3160000000000007</v>
      </c>
      <c r="AE25" s="17">
        <v>16.009</v>
      </c>
      <c r="AG25" s="12">
        <f t="shared" si="6"/>
        <v>4.70322</v>
      </c>
      <c r="AH25" s="13">
        <f t="shared" si="7"/>
        <v>2.0043454236656228E-2</v>
      </c>
      <c r="AI25" s="13">
        <f t="shared" si="8"/>
        <v>7.0415906965177535E-3</v>
      </c>
      <c r="AJ25" s="13">
        <f t="shared" si="9"/>
        <v>3.812947097672294E-3</v>
      </c>
      <c r="AK25" s="13">
        <f t="shared" si="10"/>
        <v>1.2999402440121537E-2</v>
      </c>
      <c r="AL25" s="77">
        <f t="shared" si="11"/>
        <v>1762472</v>
      </c>
      <c r="AM25" s="13">
        <v>16</v>
      </c>
      <c r="AN25" s="14">
        <v>22943589</v>
      </c>
      <c r="AO25" s="14">
        <v>716987.15625</v>
      </c>
      <c r="AP25" s="14">
        <v>16957.03125</v>
      </c>
      <c r="AQ25" s="15">
        <v>5016768</v>
      </c>
      <c r="AR25" s="15">
        <v>954360</v>
      </c>
      <c r="AS25" s="15">
        <v>808112</v>
      </c>
      <c r="AT25" s="15">
        <v>3253680</v>
      </c>
      <c r="AU25" s="16">
        <v>66.188337000000004</v>
      </c>
      <c r="AV25" s="16">
        <v>68.025690999999995</v>
      </c>
      <c r="AW25" s="16">
        <v>27.492266000000001</v>
      </c>
      <c r="AX25" s="16">
        <v>33.271619000000001</v>
      </c>
      <c r="AY25" s="16">
        <v>32.724563000000003</v>
      </c>
      <c r="AZ25" s="17">
        <v>2632.59</v>
      </c>
      <c r="BA25" s="17">
        <v>940.95500000000004</v>
      </c>
      <c r="BB25" s="17">
        <v>8.8940000000000001</v>
      </c>
      <c r="BC25" s="17">
        <v>14.849</v>
      </c>
      <c r="BE25" s="18">
        <f>(AP25/AO25) - (R25/Q25)</f>
        <v>0</v>
      </c>
      <c r="BF25" s="18">
        <f t="shared" si="12"/>
        <v>0</v>
      </c>
      <c r="BG25" s="18">
        <f t="array" ref="BG25">AVERAGE(AL25:AL29/AQ25:AQ29) - AVERAGE(N25:N29/S25:S29)</f>
        <v>0</v>
      </c>
      <c r="BI25" s="120">
        <f>IF( OR(ISBLANK(N25:N29),ISBLANK(AL25:AL29), ISBLANK(W25:W29),ISBLANK(AU25:AU29)), "·", bdRateExtend( N25:N29,W25:W29, AL25:AL29,AU25:AU29))</f>
        <v>0</v>
      </c>
      <c r="BJ25" s="120">
        <f>IF( OR(ISBLANK(N25:N29),ISBLANK(AL25:AL29), ISBLANK(X25:X29),ISBLANK(AV25:AV29)), "·", bdRateExtend( N25:N29,X25:X29, AL25:AL29,AV25:AV29))</f>
        <v>0</v>
      </c>
      <c r="BK25" s="120">
        <f>IF( OR(ISBLANK(V25:V29),ISBLANK(AT25:AT29), ISBLANK(Y25:Y29),ISBLANK(AW25:AW29)), "·", bdRateExtend( V25:V29,Y25:Y29, AT25:AT29,AW25:AW29))</f>
        <v>0</v>
      </c>
      <c r="BL25" s="120">
        <f>IF( OR(ISBLANK(V25:V29),ISBLANK(AT25:AT29), ISBLANK(Z25:Z29),ISBLANK(AX25:AX29)), "·", bdRateExtend( V25:V29,Z25:Z29, AT25:AT29,AX25:AX29))</f>
        <v>0</v>
      </c>
      <c r="BM25" s="120">
        <f>IF( OR(ISBLANK(V25:V29),ISBLANK(AT25:AT29), ISBLANK(AA25:AA29),ISBLANK(AY25:AY29)), "·", bdRateExtend( V25:V29,AA25:AA29, AT25:AT29,AY25:AY29))</f>
        <v>0</v>
      </c>
      <c r="BN25" s="121"/>
      <c r="BO25" s="120">
        <f>IF( OR(ISBLANK(S25:S29),ISBLANK(AQ25:AQ29), ISBLANK(W25:W29),ISBLANK(AU25:AU29)), "·", bdRateExtend( S25:S29,W25:W29, AQ25:AQ29,AU25:AU29))</f>
        <v>0</v>
      </c>
      <c r="BP25" s="120">
        <f>IF( OR(ISBLANK(S25:S29),ISBLANK(AQ25:AQ29), ISBLANK(X25:X29),ISBLANK(AV25:AV29)), "·", bdRateExtend( S25:S29,X25:X29, AQ25:AQ29,AV25:AV29))</f>
        <v>0</v>
      </c>
      <c r="BQ25" s="120">
        <f>IF( OR(ISBLANK(S25:S29),ISBLANK(AQ25:AQ29), ISBLANK(Y25:Y29),ISBLANK(AW25:AW29)), "·", bdRateExtend( S25:S29,Y25:Y29, AQ25:AQ29,AW25:AW29))</f>
        <v>0</v>
      </c>
      <c r="BR25" s="120">
        <f>IF( OR(ISBLANK(S25:S29),ISBLANK(AQ25:AQ29), ISBLANK(Z25:Z29),ISBLANK(AX25:AX29)), "·", bdRateExtend( S25:S29,Z25:Z29, AQ25:AQ29,AX25:AX29))</f>
        <v>0</v>
      </c>
      <c r="BS25" s="120">
        <f>IF( OR(ISBLANK(S25:S29),ISBLANK(AQ25:AQ29), ISBLANK(AA25:AA29),ISBLANK(AY25:AY29)), "·", bdRateExtend( S25:S29,AA25:AA29, AQ25:AQ29,AY25:AY29))</f>
        <v>0</v>
      </c>
    </row>
    <row r="26" spans="1:71" outlineLevel="1" x14ac:dyDescent="0.2">
      <c r="A26" s="69"/>
      <c r="B26" s="69" t="s">
        <v>75</v>
      </c>
      <c r="C26" s="19" t="s">
        <v>230</v>
      </c>
      <c r="D26" s="69">
        <v>250294582</v>
      </c>
      <c r="E26" s="19">
        <v>10</v>
      </c>
      <c r="F26" s="19">
        <v>32</v>
      </c>
      <c r="G26" s="19">
        <v>30</v>
      </c>
      <c r="I26" s="20">
        <f t="shared" si="0"/>
        <v>8.1060525000000005</v>
      </c>
      <c r="J26" s="21">
        <f t="shared" si="1"/>
        <v>3.4545118519585055E-2</v>
      </c>
      <c r="K26" s="21">
        <f t="shared" si="2"/>
        <v>8.5171000625175342E-3</v>
      </c>
      <c r="L26" s="21">
        <f t="shared" si="3"/>
        <v>5.2884564636720742E-3</v>
      </c>
      <c r="M26" s="21">
        <f t="shared" si="4"/>
        <v>2.6025557357050581E-2</v>
      </c>
      <c r="N26" s="69">
        <f t="shared" si="5"/>
        <v>2131784</v>
      </c>
      <c r="O26" s="21">
        <v>16</v>
      </c>
      <c r="P26" s="22">
        <v>24910322</v>
      </c>
      <c r="Q26" s="22">
        <v>778447.5625</v>
      </c>
      <c r="R26" s="22">
        <v>22364.375</v>
      </c>
      <c r="S26" s="23">
        <v>8646456</v>
      </c>
      <c r="T26" s="23">
        <v>1323672</v>
      </c>
      <c r="U26" s="23">
        <v>808112</v>
      </c>
      <c r="V26" s="23">
        <v>6514056</v>
      </c>
      <c r="W26" s="24">
        <v>68.016527999999994</v>
      </c>
      <c r="X26" s="24">
        <v>69.989902999999998</v>
      </c>
      <c r="Y26" s="24">
        <v>29.910231</v>
      </c>
      <c r="Z26" s="24">
        <v>34.460487000000001</v>
      </c>
      <c r="AA26" s="24">
        <v>34.047587</v>
      </c>
      <c r="AB26" s="25">
        <v>2513.86</v>
      </c>
      <c r="AC26" s="25">
        <v>1057.22</v>
      </c>
      <c r="AD26" s="25">
        <v>9.7859999999999996</v>
      </c>
      <c r="AE26" s="25">
        <v>16.606000000000002</v>
      </c>
      <c r="AG26" s="20">
        <f t="shared" si="6"/>
        <v>8.1060525000000005</v>
      </c>
      <c r="AH26" s="21">
        <f t="shared" si="7"/>
        <v>3.4545118519585055E-2</v>
      </c>
      <c r="AI26" s="21">
        <f t="shared" si="8"/>
        <v>8.5171000625175342E-3</v>
      </c>
      <c r="AJ26" s="21">
        <f t="shared" si="9"/>
        <v>5.2884564636720742E-3</v>
      </c>
      <c r="AK26" s="21">
        <f t="shared" si="10"/>
        <v>2.6025557357050581E-2</v>
      </c>
      <c r="AL26" s="69">
        <f t="shared" si="11"/>
        <v>2131784</v>
      </c>
      <c r="AM26" s="21">
        <v>16</v>
      </c>
      <c r="AN26" s="22">
        <v>24910322</v>
      </c>
      <c r="AO26" s="22">
        <v>778447.5625</v>
      </c>
      <c r="AP26" s="22">
        <v>22364.375</v>
      </c>
      <c r="AQ26" s="23">
        <v>8646456</v>
      </c>
      <c r="AR26" s="23">
        <v>1323672</v>
      </c>
      <c r="AS26" s="23">
        <v>808112</v>
      </c>
      <c r="AT26" s="23">
        <v>6514056</v>
      </c>
      <c r="AU26" s="24">
        <v>68.016527999999994</v>
      </c>
      <c r="AV26" s="24">
        <v>69.989902999999998</v>
      </c>
      <c r="AW26" s="24">
        <v>29.910231</v>
      </c>
      <c r="AX26" s="24">
        <v>34.460487000000001</v>
      </c>
      <c r="AY26" s="24">
        <v>34.047587</v>
      </c>
      <c r="AZ26" s="25">
        <v>2735.22</v>
      </c>
      <c r="BA26" s="25">
        <v>1046.48</v>
      </c>
      <c r="BB26" s="25">
        <v>10.246</v>
      </c>
      <c r="BC26" s="25">
        <v>17.542999999999999</v>
      </c>
      <c r="BE26" s="26">
        <f>(AP26/AO26) - (R26/Q26)</f>
        <v>0</v>
      </c>
      <c r="BF26" s="26">
        <f t="shared" si="12"/>
        <v>0</v>
      </c>
      <c r="BG26" s="26"/>
      <c r="BI26" s="122"/>
      <c r="BJ26" s="122"/>
      <c r="BK26" s="122"/>
      <c r="BL26" s="122"/>
      <c r="BM26" s="122"/>
      <c r="BN26" s="121"/>
      <c r="BO26" s="122"/>
      <c r="BP26" s="122"/>
      <c r="BQ26" s="122"/>
      <c r="BR26" s="122"/>
      <c r="BS26" s="122"/>
    </row>
    <row r="27" spans="1:71" outlineLevel="1" x14ac:dyDescent="0.2">
      <c r="A27" s="77"/>
      <c r="B27" s="77" t="s">
        <v>75</v>
      </c>
      <c r="C27" s="11" t="s">
        <v>231</v>
      </c>
      <c r="D27" s="77">
        <v>250294582</v>
      </c>
      <c r="E27" s="11">
        <v>10</v>
      </c>
      <c r="F27" s="11">
        <v>32</v>
      </c>
      <c r="G27" s="11">
        <v>30</v>
      </c>
      <c r="I27" s="12">
        <f t="shared" si="0"/>
        <v>14.654925</v>
      </c>
      <c r="J27" s="13">
        <f t="shared" si="1"/>
        <v>6.2454088598689686E-2</v>
      </c>
      <c r="K27" s="13">
        <f t="shared" si="2"/>
        <v>1.0667590079916313E-2</v>
      </c>
      <c r="L27" s="13">
        <f t="shared" si="3"/>
        <v>7.4389464810708525E-3</v>
      </c>
      <c r="M27" s="13">
        <f t="shared" si="4"/>
        <v>5.178403741875643E-2</v>
      </c>
      <c r="N27" s="77">
        <f t="shared" si="5"/>
        <v>2670040</v>
      </c>
      <c r="O27" s="13">
        <v>16</v>
      </c>
      <c r="P27" s="14">
        <v>25263730</v>
      </c>
      <c r="Q27" s="14">
        <v>789491.5625</v>
      </c>
      <c r="R27" s="14">
        <v>23753.8125</v>
      </c>
      <c r="S27" s="15">
        <v>15631920</v>
      </c>
      <c r="T27" s="15">
        <v>1861928</v>
      </c>
      <c r="U27" s="15">
        <v>808112</v>
      </c>
      <c r="V27" s="15">
        <v>12961264</v>
      </c>
      <c r="W27" s="16">
        <v>69.394447</v>
      </c>
      <c r="X27" s="16">
        <v>71.733012000000002</v>
      </c>
      <c r="Y27" s="16">
        <v>32.411194000000002</v>
      </c>
      <c r="Z27" s="16">
        <v>35.725225000000002</v>
      </c>
      <c r="AA27" s="16">
        <v>35.386656000000002</v>
      </c>
      <c r="AB27" s="17">
        <v>2623.67</v>
      </c>
      <c r="AC27" s="17">
        <v>1070.96</v>
      </c>
      <c r="AD27" s="17">
        <v>8.9380000000000006</v>
      </c>
      <c r="AE27" s="17">
        <v>16.306000000000001</v>
      </c>
      <c r="AG27" s="12">
        <f t="shared" si="6"/>
        <v>14.654925</v>
      </c>
      <c r="AH27" s="13">
        <f t="shared" si="7"/>
        <v>6.2454088598689686E-2</v>
      </c>
      <c r="AI27" s="13">
        <f t="shared" si="8"/>
        <v>1.0667590079916313E-2</v>
      </c>
      <c r="AJ27" s="13">
        <f t="shared" si="9"/>
        <v>7.4389464810708525E-3</v>
      </c>
      <c r="AK27" s="13">
        <f t="shared" si="10"/>
        <v>5.178403741875643E-2</v>
      </c>
      <c r="AL27" s="77">
        <f t="shared" si="11"/>
        <v>2670040</v>
      </c>
      <c r="AM27" s="13">
        <v>16</v>
      </c>
      <c r="AN27" s="14">
        <v>25263730</v>
      </c>
      <c r="AO27" s="14">
        <v>789491.5625</v>
      </c>
      <c r="AP27" s="14">
        <v>23753.8125</v>
      </c>
      <c r="AQ27" s="15">
        <v>15631920</v>
      </c>
      <c r="AR27" s="15">
        <v>1861928</v>
      </c>
      <c r="AS27" s="15">
        <v>808112</v>
      </c>
      <c r="AT27" s="15">
        <v>12961264</v>
      </c>
      <c r="AU27" s="16">
        <v>69.394447</v>
      </c>
      <c r="AV27" s="16">
        <v>71.733012000000002</v>
      </c>
      <c r="AW27" s="16">
        <v>32.411194000000002</v>
      </c>
      <c r="AX27" s="16">
        <v>35.725225000000002</v>
      </c>
      <c r="AY27" s="16">
        <v>35.386656000000002</v>
      </c>
      <c r="AZ27" s="17">
        <v>2418.7800000000002</v>
      </c>
      <c r="BA27" s="17">
        <v>1047.2</v>
      </c>
      <c r="BB27" s="17">
        <v>9.2449999999999992</v>
      </c>
      <c r="BC27" s="17">
        <v>16.449000000000002</v>
      </c>
      <c r="BE27" s="18">
        <f>(AP27/AO27) - (R27/Q27)</f>
        <v>0</v>
      </c>
      <c r="BF27" s="18">
        <f t="shared" si="12"/>
        <v>0</v>
      </c>
      <c r="BG27" s="18"/>
      <c r="BI27" s="120"/>
      <c r="BJ27" s="120"/>
      <c r="BK27" s="120"/>
      <c r="BL27" s="120"/>
      <c r="BM27" s="120"/>
      <c r="BN27" s="121"/>
      <c r="BO27" s="120"/>
      <c r="BP27" s="120"/>
      <c r="BQ27" s="120"/>
      <c r="BR27" s="120"/>
      <c r="BS27" s="120"/>
    </row>
    <row r="28" spans="1:71" outlineLevel="1" x14ac:dyDescent="0.2">
      <c r="A28" s="69"/>
      <c r="B28" s="69" t="s">
        <v>75</v>
      </c>
      <c r="C28" s="19" t="s">
        <v>232</v>
      </c>
      <c r="D28" s="69">
        <v>250294582</v>
      </c>
      <c r="E28" s="19">
        <v>10</v>
      </c>
      <c r="F28" s="19">
        <v>32</v>
      </c>
      <c r="G28" s="19">
        <v>30</v>
      </c>
      <c r="I28" s="20">
        <f t="shared" si="0"/>
        <v>27.819622500000001</v>
      </c>
      <c r="J28" s="21">
        <f t="shared" si="1"/>
        <v>0.11855735654717448</v>
      </c>
      <c r="K28" s="21">
        <f t="shared" si="2"/>
        <v>1.4234331288881035E-2</v>
      </c>
      <c r="L28" s="21">
        <f t="shared" si="3"/>
        <v>1.1005687690035576E-2</v>
      </c>
      <c r="M28" s="21">
        <f t="shared" si="4"/>
        <v>0.10432056415827651</v>
      </c>
      <c r="N28" s="69">
        <f t="shared" si="5"/>
        <v>3562776</v>
      </c>
      <c r="O28" s="21">
        <v>16</v>
      </c>
      <c r="P28" s="22">
        <v>26191008</v>
      </c>
      <c r="Q28" s="22">
        <v>818469</v>
      </c>
      <c r="R28" s="22">
        <v>27045</v>
      </c>
      <c r="S28" s="23">
        <v>29674264</v>
      </c>
      <c r="T28" s="23">
        <v>2754664</v>
      </c>
      <c r="U28" s="23">
        <v>808112</v>
      </c>
      <c r="V28" s="23">
        <v>26110872</v>
      </c>
      <c r="W28" s="24">
        <v>70.457109000000003</v>
      </c>
      <c r="X28" s="24">
        <v>73.018118999999999</v>
      </c>
      <c r="Y28" s="24">
        <v>34.880259000000002</v>
      </c>
      <c r="Z28" s="24">
        <v>37.548419000000003</v>
      </c>
      <c r="AA28" s="24">
        <v>37.157228000000003</v>
      </c>
      <c r="AB28" s="25">
        <v>2584.69</v>
      </c>
      <c r="AC28" s="25">
        <v>1250.58</v>
      </c>
      <c r="AD28" s="25">
        <v>9.516</v>
      </c>
      <c r="AE28" s="25">
        <v>17.759</v>
      </c>
      <c r="AG28" s="20">
        <f t="shared" si="6"/>
        <v>27.819622500000001</v>
      </c>
      <c r="AH28" s="21">
        <f t="shared" si="7"/>
        <v>0.11855735654717448</v>
      </c>
      <c r="AI28" s="21">
        <f t="shared" si="8"/>
        <v>1.4234331288881035E-2</v>
      </c>
      <c r="AJ28" s="21">
        <f t="shared" si="9"/>
        <v>1.1005687690035576E-2</v>
      </c>
      <c r="AK28" s="21">
        <f t="shared" si="10"/>
        <v>0.10432056415827651</v>
      </c>
      <c r="AL28" s="69">
        <f t="shared" si="11"/>
        <v>3562776</v>
      </c>
      <c r="AM28" s="21">
        <v>16</v>
      </c>
      <c r="AN28" s="22">
        <v>26191008</v>
      </c>
      <c r="AO28" s="22">
        <v>818469</v>
      </c>
      <c r="AP28" s="22">
        <v>27045</v>
      </c>
      <c r="AQ28" s="23">
        <v>29674264</v>
      </c>
      <c r="AR28" s="23">
        <v>2754664</v>
      </c>
      <c r="AS28" s="23">
        <v>808112</v>
      </c>
      <c r="AT28" s="23">
        <v>26110872</v>
      </c>
      <c r="AU28" s="24">
        <v>70.457109000000003</v>
      </c>
      <c r="AV28" s="24">
        <v>73.018118999999999</v>
      </c>
      <c r="AW28" s="24">
        <v>34.880259000000002</v>
      </c>
      <c r="AX28" s="24">
        <v>37.548419000000003</v>
      </c>
      <c r="AY28" s="24">
        <v>37.157228000000003</v>
      </c>
      <c r="AZ28" s="25">
        <v>2595.09</v>
      </c>
      <c r="BA28" s="25">
        <v>1255</v>
      </c>
      <c r="BB28" s="25">
        <v>9.5269999999999992</v>
      </c>
      <c r="BC28" s="25">
        <v>17.588999999999999</v>
      </c>
      <c r="BE28" s="26">
        <f>(AP28/AO28) - (R28/Q28)</f>
        <v>0</v>
      </c>
      <c r="BF28" s="26">
        <f t="shared" si="12"/>
        <v>0</v>
      </c>
      <c r="BG28" s="26"/>
      <c r="BI28" s="122"/>
      <c r="BJ28" s="122"/>
      <c r="BK28" s="122"/>
      <c r="BL28" s="122"/>
      <c r="BM28" s="122"/>
      <c r="BN28" s="121"/>
      <c r="BO28" s="122"/>
      <c r="BP28" s="122"/>
      <c r="BQ28" s="122"/>
      <c r="BR28" s="122"/>
      <c r="BS28" s="122"/>
    </row>
    <row r="29" spans="1:71" ht="16" outlineLevel="1" thickBot="1" x14ac:dyDescent="0.25">
      <c r="A29" s="27"/>
      <c r="B29" s="27" t="s">
        <v>75</v>
      </c>
      <c r="C29" s="28" t="s">
        <v>233</v>
      </c>
      <c r="D29" s="27">
        <v>250294582</v>
      </c>
      <c r="E29" s="28">
        <v>10</v>
      </c>
      <c r="F29" s="28">
        <v>32</v>
      </c>
      <c r="G29" s="28">
        <v>30</v>
      </c>
      <c r="I29" s="29">
        <f t="shared" si="0"/>
        <v>48.662970000000001</v>
      </c>
      <c r="J29" s="30">
        <f t="shared" si="1"/>
        <v>0.20738430526634413</v>
      </c>
      <c r="K29" s="30">
        <f t="shared" si="2"/>
        <v>2.2779686058086546E-2</v>
      </c>
      <c r="L29" s="30">
        <f t="shared" si="3"/>
        <v>1.6773834920645627E-2</v>
      </c>
      <c r="M29" s="30">
        <f t="shared" si="4"/>
        <v>0.18460215810824063</v>
      </c>
      <c r="N29" s="27">
        <f t="shared" si="5"/>
        <v>5701632</v>
      </c>
      <c r="O29" s="30">
        <v>16</v>
      </c>
      <c r="P29" s="31">
        <v>25065019</v>
      </c>
      <c r="Q29" s="31">
        <v>783281.84375</v>
      </c>
      <c r="R29" s="31">
        <v>12136.59375</v>
      </c>
      <c r="S29" s="32">
        <v>51907168</v>
      </c>
      <c r="T29" s="32">
        <v>4198400</v>
      </c>
      <c r="U29" s="32">
        <v>1503232</v>
      </c>
      <c r="V29" s="32">
        <v>46204920</v>
      </c>
      <c r="W29" s="33">
        <v>71.492812000000001</v>
      </c>
      <c r="X29" s="33">
        <v>74.934849999999997</v>
      </c>
      <c r="Y29" s="33">
        <v>36.557687999999999</v>
      </c>
      <c r="Z29" s="33">
        <v>39.620221999999998</v>
      </c>
      <c r="AA29" s="33">
        <v>39.018402999999999</v>
      </c>
      <c r="AB29" s="34">
        <v>2966.03</v>
      </c>
      <c r="AC29" s="34">
        <v>1637.06</v>
      </c>
      <c r="AD29" s="34">
        <v>9.9719999999999995</v>
      </c>
      <c r="AE29" s="34">
        <v>21.536999999999999</v>
      </c>
      <c r="AG29" s="29">
        <f t="shared" si="6"/>
        <v>48.662970000000001</v>
      </c>
      <c r="AH29" s="30">
        <f>IF(ISBLANK(AQ29),"·",AQ29/D29)</f>
        <v>0.20738430526634413</v>
      </c>
      <c r="AI29" s="30">
        <f t="shared" si="8"/>
        <v>2.2779686058086546E-2</v>
      </c>
      <c r="AJ29" s="30">
        <f t="shared" si="9"/>
        <v>1.6773834920645627E-2</v>
      </c>
      <c r="AK29" s="30">
        <f t="shared" si="10"/>
        <v>0.18460215810824063</v>
      </c>
      <c r="AL29" s="27">
        <f t="shared" si="11"/>
        <v>5701632</v>
      </c>
      <c r="AM29" s="30">
        <v>16</v>
      </c>
      <c r="AN29" s="31">
        <v>25065019</v>
      </c>
      <c r="AO29" s="31">
        <v>783281.84375</v>
      </c>
      <c r="AP29" s="31">
        <v>12136.59375</v>
      </c>
      <c r="AQ29" s="32">
        <v>51907168</v>
      </c>
      <c r="AR29" s="32">
        <v>4198400</v>
      </c>
      <c r="AS29" s="32">
        <v>1503232</v>
      </c>
      <c r="AT29" s="32">
        <v>46204920</v>
      </c>
      <c r="AU29" s="33">
        <v>71.492812000000001</v>
      </c>
      <c r="AV29" s="33">
        <v>74.934849999999997</v>
      </c>
      <c r="AW29" s="33">
        <v>36.557687999999999</v>
      </c>
      <c r="AX29" s="33">
        <v>39.620221999999998</v>
      </c>
      <c r="AY29" s="33">
        <v>39.018402999999999</v>
      </c>
      <c r="AZ29" s="34">
        <v>3448.12</v>
      </c>
      <c r="BA29" s="34">
        <v>2346.96</v>
      </c>
      <c r="BB29" s="34">
        <v>13.907</v>
      </c>
      <c r="BC29" s="34">
        <v>31.074999999999999</v>
      </c>
      <c r="BE29" s="35">
        <f>(AP29/AO29) - (R29/Q29)</f>
        <v>0</v>
      </c>
      <c r="BF29" s="35">
        <f t="shared" si="12"/>
        <v>0</v>
      </c>
      <c r="BG29" s="35"/>
      <c r="BI29" s="123"/>
      <c r="BJ29" s="123"/>
      <c r="BK29" s="123"/>
      <c r="BL29" s="123"/>
      <c r="BM29" s="123"/>
      <c r="BN29" s="121"/>
      <c r="BO29" s="123"/>
      <c r="BP29" s="123"/>
      <c r="BQ29" s="123"/>
      <c r="BR29" s="123"/>
      <c r="BS29" s="123"/>
    </row>
    <row r="30" spans="1:71" s="125" customFormat="1" x14ac:dyDescent="0.2">
      <c r="A30" s="77" t="s">
        <v>575</v>
      </c>
      <c r="B30" s="77" t="s">
        <v>572</v>
      </c>
      <c r="C30" s="11" t="s">
        <v>229</v>
      </c>
      <c r="D30" s="77"/>
      <c r="E30" s="11">
        <v>11</v>
      </c>
      <c r="F30" s="11">
        <v>32</v>
      </c>
      <c r="G30" s="11">
        <v>30</v>
      </c>
      <c r="I30" s="12" t="str">
        <f>IF(OR(ISBLANK(S30),ISBLANK(G30)),"·",S30*G30/F30/1000000)</f>
        <v>·</v>
      </c>
      <c r="J30" s="13" t="str">
        <f t="shared" ref="J30:J39" si="13">IF(ISBLANK(S30),"·",S30/D30)</f>
        <v>·</v>
      </c>
      <c r="K30" s="13" t="str">
        <f t="shared" ref="K30:K39" si="14">IF(N30="","·",N30/D30)</f>
        <v>·</v>
      </c>
      <c r="L30" s="13" t="str">
        <f t="shared" ref="L30:L39" si="15">IF(T30="","·",T30/D30)</f>
        <v>·</v>
      </c>
      <c r="M30" s="13" t="str">
        <f t="shared" ref="M30:M39" si="16">IF(ISBLANK(V30),"·",V30/D30)</f>
        <v>·</v>
      </c>
      <c r="N30" s="77" t="str">
        <f t="shared" ref="N30:N39" si="17">IF(OR(ISBLANK(T30),ISBLANK(U30)),"",T30+U30)</f>
        <v/>
      </c>
      <c r="O30" s="13">
        <v>16</v>
      </c>
      <c r="P30" s="14"/>
      <c r="Q30" s="14"/>
      <c r="R30" s="14"/>
      <c r="S30" s="15"/>
      <c r="T30" s="15"/>
      <c r="U30" s="15"/>
      <c r="V30" s="15"/>
      <c r="W30" s="16"/>
      <c r="X30" s="16"/>
      <c r="Y30" s="16"/>
      <c r="Z30" s="16"/>
      <c r="AA30" s="16"/>
      <c r="AB30" s="17"/>
      <c r="AC30" s="17"/>
      <c r="AD30" s="17"/>
      <c r="AE30" s="17"/>
      <c r="AG30" s="12">
        <f t="shared" ref="AG30:AG39" si="18">IF(OR(ISBLANK(AQ30),ISBLANK(G30)),"·",AQ30*G30/F30/1000000)</f>
        <v>5.8629375000000001</v>
      </c>
      <c r="AH30" s="13" t="e">
        <f>IF(ISBLANK(AQ30),"·",AQ30/D30)</f>
        <v>#DIV/0!</v>
      </c>
      <c r="AI30" s="13" t="e">
        <f t="shared" ref="AI30:AI39" si="19">IF(AL30="","·",AL30/D30)</f>
        <v>#DIV/0!</v>
      </c>
      <c r="AJ30" s="13" t="e">
        <f t="shared" ref="AJ30:AJ39" si="20">IF(AR30="","·",AR30/D30)</f>
        <v>#DIV/0!</v>
      </c>
      <c r="AK30" s="13" t="e">
        <f t="shared" ref="AK30:AK39" si="21">IF(ISBLANK(AT30),"·",AT30/D30)</f>
        <v>#DIV/0!</v>
      </c>
      <c r="AL30" s="77">
        <f t="shared" ref="AL30:AL39" si="22">IF(OR(ISBLANK(AR30),ISBLANK(AS30)),"",AR30+AS30)</f>
        <v>3811104</v>
      </c>
      <c r="AM30" s="13">
        <v>16</v>
      </c>
      <c r="AN30" s="14">
        <v>84199027</v>
      </c>
      <c r="AO30" s="14">
        <v>2631219.59375</v>
      </c>
      <c r="AP30" s="14">
        <v>35545.40625</v>
      </c>
      <c r="AQ30" s="15">
        <v>6253800</v>
      </c>
      <c r="AR30" s="15">
        <v>2338368</v>
      </c>
      <c r="AS30" s="15">
        <v>1472736</v>
      </c>
      <c r="AT30" s="15">
        <v>2442080</v>
      </c>
      <c r="AU30" s="16">
        <v>73.447609</v>
      </c>
      <c r="AV30" s="16">
        <v>75.668796999999998</v>
      </c>
      <c r="AW30" s="16">
        <v>34.827413</v>
      </c>
      <c r="AX30" s="16">
        <v>42.144772000000003</v>
      </c>
      <c r="AY30" s="16">
        <v>43.786388000000002</v>
      </c>
      <c r="AZ30" s="17">
        <v>9487.7999999999993</v>
      </c>
      <c r="BA30" s="17">
        <v>3067.93</v>
      </c>
      <c r="BB30" s="17">
        <v>32.036000000000001</v>
      </c>
      <c r="BC30" s="17">
        <v>48.451000000000001</v>
      </c>
      <c r="BE30" s="18" t="e">
        <f>(AP30/AO30) - (R30/Q30)</f>
        <v>#DIV/0!</v>
      </c>
      <c r="BF30" s="18" t="e">
        <f t="shared" ref="BF30:BF39" si="23">(AL30/AQ30) - (N30/S30)</f>
        <v>#VALUE!</v>
      </c>
      <c r="BG30" s="18" t="e">
        <f t="array" ref="BG30">AVERAGE(AL30:AL34/AQ30:AQ34) - AVERAGE(N30:N34/S30:S34)</f>
        <v>#VALUE!</v>
      </c>
      <c r="BI30" s="120" t="str">
        <f>IF( OR(ISBLANK(N30:N34),ISBLANK(AL30:AL34), ISBLANK(W30:W34),ISBLANK(AU30:AU34)), "·", bdRateExtend( N30:N34,W30:W34, AL30:AL34,AU30:AU34))</f>
        <v>·</v>
      </c>
      <c r="BJ30" s="120" t="str">
        <f>IF( OR(ISBLANK(N30:N34),ISBLANK(AL30:AL34), ISBLANK(X30:X34),ISBLANK(AV30:AV34)), "·", bdRateExtend( N30:N34,X30:X34, AL30:AL34,AV30:AV34))</f>
        <v>·</v>
      </c>
      <c r="BK30" s="120" t="str">
        <f>IF( OR(ISBLANK(V30:V34),ISBLANK(AT30:AT34), ISBLANK(Y30:Y34),ISBLANK(AW30:AW34)), "·", bdRateExtend( V30:V34,Y30:Y34, AT30:AT34,AW30:AW34))</f>
        <v>·</v>
      </c>
      <c r="BL30" s="120" t="str">
        <f>IF( OR(ISBLANK(V30:V34),ISBLANK(AT30:AT34), ISBLANK(Z30:Z34),ISBLANK(AX30:AX34)), "·", bdRateExtend( V30:V34,Z30:Z34, AT30:AT34,AX30:AX34))</f>
        <v>·</v>
      </c>
      <c r="BM30" s="120" t="str">
        <f>IF( OR(ISBLANK(V30:V34),ISBLANK(AT30:AT34), ISBLANK(AA30:AA34),ISBLANK(AY30:AY34)), "·", bdRateExtend( V30:V34,AA30:AA34, AT30:AT34,AY30:AY34))</f>
        <v>·</v>
      </c>
      <c r="BN30" s="121"/>
      <c r="BO30" s="120" t="str">
        <f>IF( OR(ISBLANK(S30:S34),ISBLANK(AQ30:AQ34), ISBLANK(W30:W34),ISBLANK(AU30:AU34)), "·", bdRateExtend( S30:S34,W30:W34, AQ30:AQ34,AU30:AU34))</f>
        <v>·</v>
      </c>
      <c r="BP30" s="120" t="str">
        <f>IF( OR(ISBLANK(S30:S34),ISBLANK(AQ30:AQ34), ISBLANK(X30:X34),ISBLANK(AV30:AV34)), "·", bdRateExtend( S30:S34,X30:X34, AQ30:AQ34,AV30:AV34))</f>
        <v>·</v>
      </c>
      <c r="BQ30" s="120" t="str">
        <f>IF( OR(ISBLANK(S30:S34),ISBLANK(AQ30:AQ34), ISBLANK(Y30:Y34),ISBLANK(AW30:AW34)), "·", bdRateExtend( S30:S34,Y30:Y34, AQ30:AQ34,AW30:AW34))</f>
        <v>·</v>
      </c>
      <c r="BR30" s="120" t="str">
        <f>IF( OR(ISBLANK(S30:S34),ISBLANK(AQ30:AQ34), ISBLANK(Z30:Z34),ISBLANK(AX30:AX34)), "·", bdRateExtend( S30:S34,Z30:Z34, AQ30:AQ34,AX30:AX34))</f>
        <v>·</v>
      </c>
      <c r="BS30" s="120" t="str">
        <f>IF( OR(ISBLANK(S30:S34),ISBLANK(AQ30:AQ34), ISBLANK(AA30:AA34),ISBLANK(AY30:AY34)), "·", bdRateExtend( S30:S34,AA30:AA34, AQ30:AQ34,AY30:AY34))</f>
        <v>·</v>
      </c>
    </row>
    <row r="31" spans="1:71" s="125" customFormat="1" outlineLevel="1" x14ac:dyDescent="0.2">
      <c r="A31" s="69"/>
      <c r="B31" s="69" t="s">
        <v>572</v>
      </c>
      <c r="C31" s="19" t="s">
        <v>230</v>
      </c>
      <c r="D31" s="69"/>
      <c r="E31" s="19">
        <v>11</v>
      </c>
      <c r="F31" s="19">
        <v>32</v>
      </c>
      <c r="G31" s="19">
        <v>30</v>
      </c>
      <c r="I31" s="20" t="str">
        <f t="shared" ref="I31:I34" si="24">IF(OR(ISBLANK(S31),ISBLANK(G31)),"·",S31*G31/F31/1000000)</f>
        <v>·</v>
      </c>
      <c r="J31" s="21" t="str">
        <f t="shared" si="13"/>
        <v>·</v>
      </c>
      <c r="K31" s="21" t="str">
        <f t="shared" si="14"/>
        <v>·</v>
      </c>
      <c r="L31" s="21" t="str">
        <f t="shared" si="15"/>
        <v>·</v>
      </c>
      <c r="M31" s="21" t="str">
        <f t="shared" si="16"/>
        <v>·</v>
      </c>
      <c r="N31" s="69" t="str">
        <f t="shared" si="17"/>
        <v/>
      </c>
      <c r="O31" s="21">
        <v>16</v>
      </c>
      <c r="P31" s="22"/>
      <c r="Q31" s="22"/>
      <c r="R31" s="22"/>
      <c r="S31" s="23"/>
      <c r="T31" s="23"/>
      <c r="U31" s="23"/>
      <c r="V31" s="23"/>
      <c r="W31" s="24"/>
      <c r="X31" s="24"/>
      <c r="Y31" s="24"/>
      <c r="Z31" s="24"/>
      <c r="AA31" s="24"/>
      <c r="AB31" s="25"/>
      <c r="AC31" s="25"/>
      <c r="AD31" s="25"/>
      <c r="AE31" s="25"/>
      <c r="AG31" s="20">
        <f t="shared" si="18"/>
        <v>8.3723399999999994</v>
      </c>
      <c r="AH31" s="21" t="e">
        <f t="shared" ref="AH31:AH39" si="25">IF(ISBLANK(AQ31),"·",AQ31/D31)</f>
        <v>#DIV/0!</v>
      </c>
      <c r="AI31" s="21" t="e">
        <f t="shared" si="19"/>
        <v>#DIV/0!</v>
      </c>
      <c r="AJ31" s="21" t="e">
        <f t="shared" si="20"/>
        <v>#DIV/0!</v>
      </c>
      <c r="AK31" s="21" t="e">
        <f t="shared" si="21"/>
        <v>#DIV/0!</v>
      </c>
      <c r="AL31" s="69">
        <f t="shared" si="22"/>
        <v>4632208</v>
      </c>
      <c r="AM31" s="21">
        <v>16</v>
      </c>
      <c r="AN31" s="22">
        <v>90330471</v>
      </c>
      <c r="AO31" s="22">
        <v>2822827.21875</v>
      </c>
      <c r="AP31" s="22">
        <v>45947.375</v>
      </c>
      <c r="AQ31" s="23">
        <v>8930496</v>
      </c>
      <c r="AR31" s="23">
        <v>3159472</v>
      </c>
      <c r="AS31" s="23">
        <v>1472736</v>
      </c>
      <c r="AT31" s="23">
        <v>4297672</v>
      </c>
      <c r="AU31" s="24">
        <v>75.190721999999994</v>
      </c>
      <c r="AV31" s="24">
        <v>77.541256000000004</v>
      </c>
      <c r="AW31" s="24">
        <v>36.749122</v>
      </c>
      <c r="AX31" s="24">
        <v>42.692816000000001</v>
      </c>
      <c r="AY31" s="24">
        <v>45.011127999999999</v>
      </c>
      <c r="AZ31" s="25">
        <v>9881.6200000000008</v>
      </c>
      <c r="BA31" s="25">
        <v>3480.65</v>
      </c>
      <c r="BB31" s="25">
        <v>34.82</v>
      </c>
      <c r="BC31" s="25">
        <v>53.801000000000002</v>
      </c>
      <c r="BE31" s="26" t="e">
        <f>(AP31/AO31) - (R31/Q31)</f>
        <v>#DIV/0!</v>
      </c>
      <c r="BF31" s="26" t="e">
        <f t="shared" si="23"/>
        <v>#VALUE!</v>
      </c>
      <c r="BG31" s="26"/>
      <c r="BI31" s="122"/>
      <c r="BJ31" s="122"/>
      <c r="BK31" s="122"/>
      <c r="BL31" s="122"/>
      <c r="BM31" s="122"/>
      <c r="BN31" s="121"/>
      <c r="BO31" s="122"/>
      <c r="BP31" s="122"/>
      <c r="BQ31" s="122"/>
      <c r="BR31" s="122"/>
      <c r="BS31" s="122"/>
    </row>
    <row r="32" spans="1:71" s="125" customFormat="1" outlineLevel="1" x14ac:dyDescent="0.2">
      <c r="A32" s="77"/>
      <c r="B32" s="77" t="s">
        <v>572</v>
      </c>
      <c r="C32" s="11" t="s">
        <v>231</v>
      </c>
      <c r="D32" s="77"/>
      <c r="E32" s="11">
        <v>11</v>
      </c>
      <c r="F32" s="11">
        <v>32</v>
      </c>
      <c r="G32" s="11">
        <v>30</v>
      </c>
      <c r="I32" s="12" t="str">
        <f t="shared" si="24"/>
        <v>·</v>
      </c>
      <c r="J32" s="13" t="str">
        <f t="shared" si="13"/>
        <v>·</v>
      </c>
      <c r="K32" s="13" t="str">
        <f t="shared" si="14"/>
        <v>·</v>
      </c>
      <c r="L32" s="13" t="str">
        <f t="shared" si="15"/>
        <v>·</v>
      </c>
      <c r="M32" s="13" t="str">
        <f t="shared" si="16"/>
        <v>·</v>
      </c>
      <c r="N32" s="77" t="str">
        <f t="shared" si="17"/>
        <v/>
      </c>
      <c r="O32" s="13">
        <v>16</v>
      </c>
      <c r="P32" s="14"/>
      <c r="Q32" s="14"/>
      <c r="R32" s="14"/>
      <c r="S32" s="15"/>
      <c r="T32" s="15"/>
      <c r="U32" s="15"/>
      <c r="V32" s="15"/>
      <c r="W32" s="16"/>
      <c r="X32" s="16"/>
      <c r="Y32" s="16"/>
      <c r="Z32" s="16"/>
      <c r="AA32" s="16"/>
      <c r="AB32" s="17"/>
      <c r="AC32" s="17"/>
      <c r="AD32" s="17"/>
      <c r="AE32" s="17"/>
      <c r="AG32" s="12">
        <f t="shared" si="18"/>
        <v>13.032667500000001</v>
      </c>
      <c r="AH32" s="13" t="e">
        <f t="shared" si="25"/>
        <v>#DIV/0!</v>
      </c>
      <c r="AI32" s="13" t="e">
        <f t="shared" si="19"/>
        <v>#DIV/0!</v>
      </c>
      <c r="AJ32" s="13" t="e">
        <f t="shared" si="20"/>
        <v>#DIV/0!</v>
      </c>
      <c r="AK32" s="13" t="e">
        <f t="shared" si="21"/>
        <v>#DIV/0!</v>
      </c>
      <c r="AL32" s="77">
        <f t="shared" si="22"/>
        <v>5783088</v>
      </c>
      <c r="AM32" s="13">
        <v>16</v>
      </c>
      <c r="AN32" s="14">
        <v>92258465</v>
      </c>
      <c r="AO32" s="14">
        <v>2883077.03125</v>
      </c>
      <c r="AP32" s="14">
        <v>50161.59375</v>
      </c>
      <c r="AQ32" s="15">
        <v>13901512</v>
      </c>
      <c r="AR32" s="15">
        <v>4310352</v>
      </c>
      <c r="AS32" s="15">
        <v>1472736</v>
      </c>
      <c r="AT32" s="15">
        <v>8117808</v>
      </c>
      <c r="AU32" s="16">
        <v>76.504436999999996</v>
      </c>
      <c r="AV32" s="16">
        <v>79.117133999999993</v>
      </c>
      <c r="AW32" s="16">
        <v>38.505194000000003</v>
      </c>
      <c r="AX32" s="16">
        <v>43.219571999999999</v>
      </c>
      <c r="AY32" s="16">
        <v>46.244771999999998</v>
      </c>
      <c r="AZ32" s="17">
        <v>10021.6</v>
      </c>
      <c r="BA32" s="17">
        <v>3542.38</v>
      </c>
      <c r="BB32" s="17">
        <v>36.280999999999999</v>
      </c>
      <c r="BC32" s="17">
        <v>55.863</v>
      </c>
      <c r="BE32" s="18" t="e">
        <f>(AP32/AO32) - (R32/Q32)</f>
        <v>#DIV/0!</v>
      </c>
      <c r="BF32" s="18" t="e">
        <f t="shared" si="23"/>
        <v>#VALUE!</v>
      </c>
      <c r="BG32" s="18"/>
      <c r="BI32" s="120"/>
      <c r="BJ32" s="120"/>
      <c r="BK32" s="120"/>
      <c r="BL32" s="120"/>
      <c r="BM32" s="120"/>
      <c r="BN32" s="121"/>
      <c r="BO32" s="120"/>
      <c r="BP32" s="120"/>
      <c r="BQ32" s="120"/>
      <c r="BR32" s="120"/>
      <c r="BS32" s="120"/>
    </row>
    <row r="33" spans="1:71" s="125" customFormat="1" outlineLevel="1" x14ac:dyDescent="0.2">
      <c r="A33" s="69"/>
      <c r="B33" s="69" t="s">
        <v>572</v>
      </c>
      <c r="C33" s="19" t="s">
        <v>232</v>
      </c>
      <c r="D33" s="69"/>
      <c r="E33" s="19">
        <v>11</v>
      </c>
      <c r="F33" s="19">
        <v>32</v>
      </c>
      <c r="G33" s="19">
        <v>30</v>
      </c>
      <c r="I33" s="20" t="str">
        <f t="shared" si="24"/>
        <v>·</v>
      </c>
      <c r="J33" s="21" t="str">
        <f t="shared" si="13"/>
        <v>·</v>
      </c>
      <c r="K33" s="21" t="str">
        <f t="shared" si="14"/>
        <v>·</v>
      </c>
      <c r="L33" s="21" t="str">
        <f t="shared" si="15"/>
        <v>·</v>
      </c>
      <c r="M33" s="21" t="str">
        <f t="shared" si="16"/>
        <v>·</v>
      </c>
      <c r="N33" s="69" t="str">
        <f t="shared" si="17"/>
        <v/>
      </c>
      <c r="O33" s="21">
        <v>16</v>
      </c>
      <c r="P33" s="22"/>
      <c r="Q33" s="22"/>
      <c r="R33" s="22"/>
      <c r="S33" s="23"/>
      <c r="T33" s="23"/>
      <c r="U33" s="23"/>
      <c r="V33" s="23"/>
      <c r="W33" s="24"/>
      <c r="X33" s="24"/>
      <c r="Y33" s="24"/>
      <c r="Z33" s="24"/>
      <c r="AA33" s="24"/>
      <c r="AB33" s="25"/>
      <c r="AC33" s="25"/>
      <c r="AD33" s="25"/>
      <c r="AE33" s="25"/>
      <c r="AG33" s="20">
        <f t="shared" si="18"/>
        <v>21.725032500000001</v>
      </c>
      <c r="AH33" s="21" t="e">
        <f t="shared" si="25"/>
        <v>#DIV/0!</v>
      </c>
      <c r="AI33" s="21" t="e">
        <f t="shared" si="19"/>
        <v>#DIV/0!</v>
      </c>
      <c r="AJ33" s="21" t="e">
        <f t="shared" si="20"/>
        <v>#DIV/0!</v>
      </c>
      <c r="AK33" s="21" t="e">
        <f t="shared" si="21"/>
        <v>#DIV/0!</v>
      </c>
      <c r="AL33" s="69">
        <f t="shared" si="22"/>
        <v>7644344</v>
      </c>
      <c r="AM33" s="21">
        <v>16</v>
      </c>
      <c r="AN33" s="22">
        <v>94748976</v>
      </c>
      <c r="AO33" s="22">
        <v>2960905.5</v>
      </c>
      <c r="AP33" s="22">
        <v>56219.34375</v>
      </c>
      <c r="AQ33" s="23">
        <v>23173368</v>
      </c>
      <c r="AR33" s="23">
        <v>6171608</v>
      </c>
      <c r="AS33" s="23">
        <v>1472736</v>
      </c>
      <c r="AT33" s="23">
        <v>15528408</v>
      </c>
      <c r="AU33" s="24">
        <v>77.562618999999998</v>
      </c>
      <c r="AV33" s="24">
        <v>80.286987999999994</v>
      </c>
      <c r="AW33" s="24">
        <v>40.083578000000003</v>
      </c>
      <c r="AX33" s="24">
        <v>43.922131</v>
      </c>
      <c r="AY33" s="24">
        <v>47.870775000000002</v>
      </c>
      <c r="AZ33" s="25">
        <v>9198.1299999999992</v>
      </c>
      <c r="BA33" s="25">
        <v>3473.07</v>
      </c>
      <c r="BB33" s="25">
        <v>34.378</v>
      </c>
      <c r="BC33" s="25">
        <v>53.112000000000002</v>
      </c>
      <c r="BE33" s="26" t="e">
        <f>(AP33/AO33) - (R33/Q33)</f>
        <v>#DIV/0!</v>
      </c>
      <c r="BF33" s="26" t="e">
        <f t="shared" si="23"/>
        <v>#VALUE!</v>
      </c>
      <c r="BG33" s="26"/>
      <c r="BI33" s="122"/>
      <c r="BJ33" s="122"/>
      <c r="BK33" s="122"/>
      <c r="BL33" s="122"/>
      <c r="BM33" s="122"/>
      <c r="BN33" s="121"/>
      <c r="BO33" s="122"/>
      <c r="BP33" s="122"/>
      <c r="BQ33" s="122"/>
      <c r="BR33" s="122"/>
      <c r="BS33" s="122"/>
    </row>
    <row r="34" spans="1:71" s="125" customFormat="1" ht="16" outlineLevel="1" thickBot="1" x14ac:dyDescent="0.25">
      <c r="A34" s="110"/>
      <c r="B34" s="27" t="s">
        <v>572</v>
      </c>
      <c r="C34" s="28" t="s">
        <v>233</v>
      </c>
      <c r="D34" s="27"/>
      <c r="E34" s="28">
        <v>11</v>
      </c>
      <c r="F34" s="28">
        <v>32</v>
      </c>
      <c r="G34" s="28">
        <v>30</v>
      </c>
      <c r="I34" s="29" t="str">
        <f t="shared" si="24"/>
        <v>·</v>
      </c>
      <c r="J34" s="30" t="str">
        <f t="shared" si="13"/>
        <v>·</v>
      </c>
      <c r="K34" s="30" t="str">
        <f t="shared" si="14"/>
        <v>·</v>
      </c>
      <c r="L34" s="30" t="str">
        <f t="shared" si="15"/>
        <v>·</v>
      </c>
      <c r="M34" s="30" t="str">
        <f t="shared" si="16"/>
        <v>·</v>
      </c>
      <c r="N34" s="27" t="str">
        <f t="shared" si="17"/>
        <v/>
      </c>
      <c r="O34" s="30">
        <v>16</v>
      </c>
      <c r="P34" s="31"/>
      <c r="Q34" s="31"/>
      <c r="R34" s="31"/>
      <c r="S34" s="32"/>
      <c r="T34" s="32"/>
      <c r="U34" s="32"/>
      <c r="V34" s="32"/>
      <c r="W34" s="33"/>
      <c r="X34" s="33"/>
      <c r="Y34" s="33"/>
      <c r="Z34" s="33"/>
      <c r="AA34" s="33"/>
      <c r="AB34" s="34"/>
      <c r="AC34" s="34"/>
      <c r="AD34" s="34"/>
      <c r="AE34" s="34"/>
      <c r="AG34" s="29">
        <f t="shared" si="18"/>
        <v>40.825597500000001</v>
      </c>
      <c r="AH34" s="30" t="e">
        <f t="shared" si="25"/>
        <v>#DIV/0!</v>
      </c>
      <c r="AI34" s="30" t="e">
        <f t="shared" si="19"/>
        <v>#DIV/0!</v>
      </c>
      <c r="AJ34" s="30" t="e">
        <f t="shared" si="20"/>
        <v>#DIV/0!</v>
      </c>
      <c r="AK34" s="30" t="e">
        <f t="shared" si="21"/>
        <v>#DIV/0!</v>
      </c>
      <c r="AL34" s="27">
        <f t="shared" si="22"/>
        <v>12173400</v>
      </c>
      <c r="AM34" s="30">
        <v>16</v>
      </c>
      <c r="AN34" s="31">
        <v>92721623</v>
      </c>
      <c r="AO34" s="31">
        <v>2897550.71875</v>
      </c>
      <c r="AP34" s="31">
        <v>22220</v>
      </c>
      <c r="AQ34" s="32">
        <v>43547304</v>
      </c>
      <c r="AR34" s="32">
        <v>9357448</v>
      </c>
      <c r="AS34" s="32">
        <v>2815952</v>
      </c>
      <c r="AT34" s="32">
        <v>31373288</v>
      </c>
      <c r="AU34" s="33">
        <v>78.693702999999999</v>
      </c>
      <c r="AV34" s="33">
        <v>82.001738000000003</v>
      </c>
      <c r="AW34" s="33">
        <v>41.579346999999999</v>
      </c>
      <c r="AX34" s="33">
        <v>44.723913000000003</v>
      </c>
      <c r="AY34" s="33">
        <v>49.275975000000003</v>
      </c>
      <c r="AZ34" s="34">
        <v>9626.82</v>
      </c>
      <c r="BA34" s="34">
        <v>3905.59</v>
      </c>
      <c r="BB34" s="34">
        <v>34.746000000000002</v>
      </c>
      <c r="BC34" s="34">
        <v>58.615000000000002</v>
      </c>
      <c r="BE34" s="35" t="e">
        <f>(AP34/AO34) - (R34/Q34)</f>
        <v>#DIV/0!</v>
      </c>
      <c r="BF34" s="35" t="e">
        <f t="shared" si="23"/>
        <v>#VALUE!</v>
      </c>
      <c r="BG34" s="35"/>
      <c r="BI34" s="123"/>
      <c r="BJ34" s="123"/>
      <c r="BK34" s="123"/>
      <c r="BL34" s="123"/>
      <c r="BM34" s="123"/>
      <c r="BN34" s="121"/>
      <c r="BO34" s="123"/>
      <c r="BP34" s="123"/>
      <c r="BQ34" s="123"/>
      <c r="BR34" s="123"/>
      <c r="BS34" s="123"/>
    </row>
    <row r="35" spans="1:71" s="125" customFormat="1" x14ac:dyDescent="0.2">
      <c r="A35" s="77"/>
      <c r="B35" s="77" t="s">
        <v>573</v>
      </c>
      <c r="C35" s="11" t="s">
        <v>229</v>
      </c>
      <c r="D35" s="77"/>
      <c r="E35" s="11">
        <v>11</v>
      </c>
      <c r="F35" s="11">
        <v>32</v>
      </c>
      <c r="G35" s="11">
        <v>30</v>
      </c>
      <c r="I35" s="12" t="str">
        <f>IF(OR(ISBLANK(S35),ISBLANK(G35)),"·",S35*G35/F35/1000000)</f>
        <v>·</v>
      </c>
      <c r="J35" s="13" t="str">
        <f t="shared" si="13"/>
        <v>·</v>
      </c>
      <c r="K35" s="13" t="str">
        <f t="shared" si="14"/>
        <v>·</v>
      </c>
      <c r="L35" s="13" t="str">
        <f t="shared" si="15"/>
        <v>·</v>
      </c>
      <c r="M35" s="13" t="str">
        <f t="shared" si="16"/>
        <v>·</v>
      </c>
      <c r="N35" s="77" t="str">
        <f t="shared" si="17"/>
        <v/>
      </c>
      <c r="O35" s="13">
        <v>16</v>
      </c>
      <c r="P35" s="14"/>
      <c r="Q35" s="14"/>
      <c r="R35" s="14"/>
      <c r="S35" s="15"/>
      <c r="T35" s="15"/>
      <c r="U35" s="15"/>
      <c r="V35" s="15"/>
      <c r="W35" s="16"/>
      <c r="X35" s="16"/>
      <c r="Y35" s="16"/>
      <c r="Z35" s="16"/>
      <c r="AA35" s="16"/>
      <c r="AB35" s="17"/>
      <c r="AC35" s="17"/>
      <c r="AD35" s="17"/>
      <c r="AE35" s="17"/>
      <c r="AG35" s="12">
        <f t="shared" si="18"/>
        <v>6.4690725000000002</v>
      </c>
      <c r="AH35" s="13" t="e">
        <f t="shared" si="25"/>
        <v>#DIV/0!</v>
      </c>
      <c r="AI35" s="13" t="e">
        <f t="shared" si="19"/>
        <v>#DIV/0!</v>
      </c>
      <c r="AJ35" s="13" t="e">
        <f t="shared" si="20"/>
        <v>#DIV/0!</v>
      </c>
      <c r="AK35" s="13" t="e">
        <f t="shared" si="21"/>
        <v>#DIV/0!</v>
      </c>
      <c r="AL35" s="77">
        <f t="shared" si="22"/>
        <v>3981888</v>
      </c>
      <c r="AM35" s="13">
        <v>16</v>
      </c>
      <c r="AN35" s="14">
        <v>74755012</v>
      </c>
      <c r="AO35" s="14">
        <v>2336094.125</v>
      </c>
      <c r="AP35" s="14">
        <v>35605.4375</v>
      </c>
      <c r="AQ35" s="15">
        <v>6900344</v>
      </c>
      <c r="AR35" s="15">
        <v>2378504</v>
      </c>
      <c r="AS35" s="15">
        <v>1603384</v>
      </c>
      <c r="AT35" s="15">
        <v>2917840</v>
      </c>
      <c r="AU35" s="16">
        <v>73.185828000000001</v>
      </c>
      <c r="AV35" s="16">
        <v>75.352541000000002</v>
      </c>
      <c r="AW35" s="16">
        <v>34.059821999999997</v>
      </c>
      <c r="AX35" s="16">
        <v>42.524487999999998</v>
      </c>
      <c r="AY35" s="16">
        <v>44.100712999999999</v>
      </c>
      <c r="AZ35" s="17">
        <v>10556.3</v>
      </c>
      <c r="BA35" s="17">
        <v>5650.04</v>
      </c>
      <c r="BB35" s="17">
        <v>42.234000000000002</v>
      </c>
      <c r="BC35" s="17">
        <v>88.457999999999998</v>
      </c>
      <c r="BE35" s="18" t="e">
        <f>(AP35/AO35) - (R35/Q35)</f>
        <v>#DIV/0!</v>
      </c>
      <c r="BF35" s="18" t="e">
        <f t="shared" si="23"/>
        <v>#VALUE!</v>
      </c>
      <c r="BG35" s="18" t="e">
        <f t="array" ref="BG35">AVERAGE(AL35:AL39/AQ35:AQ39) - AVERAGE(N35:N39/S35:S39)</f>
        <v>#VALUE!</v>
      </c>
      <c r="BI35" s="120" t="str">
        <f>IF( OR(ISBLANK(N35:N39),ISBLANK(AL35:AL39), ISBLANK(W35:W39),ISBLANK(AU35:AU39)), "·", bdRateExtend( N35:N39,W35:W39, AL35:AL39,AU35:AU39))</f>
        <v>·</v>
      </c>
      <c r="BJ35" s="120" t="str">
        <f>IF( OR(ISBLANK(N35:N39),ISBLANK(AL35:AL39), ISBLANK(X35:X39),ISBLANK(AV35:AV39)), "·", bdRateExtend( N35:N39,X35:X39, AL35:AL39,AV35:AV39))</f>
        <v>·</v>
      </c>
      <c r="BK35" s="120" t="str">
        <f>IF( OR(ISBLANK(V35:V39),ISBLANK(AT35:AT39), ISBLANK(Y35:Y39),ISBLANK(AW35:AW39)), "·", bdRateExtend( V35:V39,Y35:Y39, AT35:AT39,AW35:AW39))</f>
        <v>·</v>
      </c>
      <c r="BL35" s="120" t="str">
        <f>IF( OR(ISBLANK(V35:V39),ISBLANK(AT35:AT39), ISBLANK(Z35:Z39),ISBLANK(AX35:AX39)), "·", bdRateExtend( V35:V39,Z35:Z39, AT35:AT39,AX35:AX39))</f>
        <v>·</v>
      </c>
      <c r="BM35" s="120" t="str">
        <f>IF( OR(ISBLANK(V35:V39),ISBLANK(AT35:AT39), ISBLANK(AA35:AA39),ISBLANK(AY35:AY39)), "·", bdRateExtend( V35:V39,AA35:AA39, AT35:AT39,AY35:AY39))</f>
        <v>·</v>
      </c>
      <c r="BN35" s="121"/>
      <c r="BO35" s="120" t="str">
        <f>IF( OR(ISBLANK(S35:S39),ISBLANK(AQ35:AQ39), ISBLANK(W35:W39),ISBLANK(AU35:AU39)), "·", bdRateExtend( S35:S39,W35:W39, AQ35:AQ39,AU35:AU39))</f>
        <v>·</v>
      </c>
      <c r="BP35" s="120" t="str">
        <f>IF( OR(ISBLANK(S35:S39),ISBLANK(AQ35:AQ39), ISBLANK(X35:X39),ISBLANK(AV35:AV39)), "·", bdRateExtend( S35:S39,X35:X39, AQ35:AQ39,AV35:AV39))</f>
        <v>·</v>
      </c>
      <c r="BQ35" s="120" t="str">
        <f>IF( OR(ISBLANK(S35:S39),ISBLANK(AQ35:AQ39), ISBLANK(Y35:Y39),ISBLANK(AW35:AW39)), "·", bdRateExtend( S35:S39,Y35:Y39, AQ35:AQ39,AW35:AW39))</f>
        <v>·</v>
      </c>
      <c r="BR35" s="120" t="str">
        <f>IF( OR(ISBLANK(S35:S39),ISBLANK(AQ35:AQ39), ISBLANK(Z35:Z39),ISBLANK(AX35:AX39)), "·", bdRateExtend( S35:S39,Z35:Z39, AQ35:AQ39,AX35:AX39))</f>
        <v>·</v>
      </c>
      <c r="BS35" s="120" t="str">
        <f>IF( OR(ISBLANK(S35:S39),ISBLANK(AQ35:AQ39), ISBLANK(AA35:AA39),ISBLANK(AY35:AY39)), "·", bdRateExtend( S35:S39,AA35:AA39, AQ35:AQ39,AY35:AY39))</f>
        <v>·</v>
      </c>
    </row>
    <row r="36" spans="1:71" s="125" customFormat="1" outlineLevel="1" x14ac:dyDescent="0.2">
      <c r="A36" s="69"/>
      <c r="B36" s="69" t="s">
        <v>573</v>
      </c>
      <c r="C36" s="19" t="s">
        <v>230</v>
      </c>
      <c r="D36" s="69"/>
      <c r="E36" s="19">
        <v>11</v>
      </c>
      <c r="F36" s="19">
        <v>32</v>
      </c>
      <c r="G36" s="19">
        <v>30</v>
      </c>
      <c r="I36" s="20" t="str">
        <f t="shared" ref="I36:I39" si="26">IF(OR(ISBLANK(S36),ISBLANK(G36)),"·",S36*G36/F36/1000000)</f>
        <v>·</v>
      </c>
      <c r="J36" s="21" t="str">
        <f t="shared" si="13"/>
        <v>·</v>
      </c>
      <c r="K36" s="21" t="str">
        <f t="shared" si="14"/>
        <v>·</v>
      </c>
      <c r="L36" s="21" t="str">
        <f t="shared" si="15"/>
        <v>·</v>
      </c>
      <c r="M36" s="21" t="str">
        <f t="shared" si="16"/>
        <v>·</v>
      </c>
      <c r="N36" s="69" t="str">
        <f t="shared" si="17"/>
        <v/>
      </c>
      <c r="O36" s="21">
        <v>16</v>
      </c>
      <c r="P36" s="22"/>
      <c r="Q36" s="22"/>
      <c r="R36" s="22"/>
      <c r="S36" s="23"/>
      <c r="T36" s="23"/>
      <c r="U36" s="23"/>
      <c r="V36" s="23"/>
      <c r="W36" s="24"/>
      <c r="X36" s="24"/>
      <c r="Y36" s="24"/>
      <c r="Z36" s="24"/>
      <c r="AA36" s="24"/>
      <c r="AB36" s="25"/>
      <c r="AC36" s="25"/>
      <c r="AD36" s="25"/>
      <c r="AE36" s="25"/>
      <c r="AG36" s="20">
        <f t="shared" si="18"/>
        <v>9.2004374999999996</v>
      </c>
      <c r="AH36" s="21" t="e">
        <f t="shared" si="25"/>
        <v>#DIV/0!</v>
      </c>
      <c r="AI36" s="21" t="e">
        <f t="shared" si="19"/>
        <v>#DIV/0!</v>
      </c>
      <c r="AJ36" s="21" t="e">
        <f t="shared" si="20"/>
        <v>#DIV/0!</v>
      </c>
      <c r="AK36" s="21" t="e">
        <f t="shared" si="21"/>
        <v>#DIV/0!</v>
      </c>
      <c r="AL36" s="69">
        <f t="shared" si="22"/>
        <v>4805968</v>
      </c>
      <c r="AM36" s="21">
        <v>16</v>
      </c>
      <c r="AN36" s="22">
        <v>80535586</v>
      </c>
      <c r="AO36" s="22">
        <v>2516737.0625</v>
      </c>
      <c r="AP36" s="22">
        <v>46240.84375</v>
      </c>
      <c r="AQ36" s="23">
        <v>9813800</v>
      </c>
      <c r="AR36" s="23">
        <v>3202584</v>
      </c>
      <c r="AS36" s="23">
        <v>1603384</v>
      </c>
      <c r="AT36" s="23">
        <v>5007216</v>
      </c>
      <c r="AU36" s="24">
        <v>74.959205999999995</v>
      </c>
      <c r="AV36" s="24">
        <v>77.288494</v>
      </c>
      <c r="AW36" s="24">
        <v>36.168219000000001</v>
      </c>
      <c r="AX36" s="24">
        <v>43.175646999999998</v>
      </c>
      <c r="AY36" s="24">
        <v>45.344952999999997</v>
      </c>
      <c r="AZ36" s="25">
        <v>10385.5</v>
      </c>
      <c r="BA36" s="25">
        <v>5971.54</v>
      </c>
      <c r="BB36" s="25">
        <v>40.292999999999999</v>
      </c>
      <c r="BC36" s="25">
        <v>89.838999999999999</v>
      </c>
      <c r="BE36" s="26" t="e">
        <f>(AP36/AO36) - (R36/Q36)</f>
        <v>#DIV/0!</v>
      </c>
      <c r="BF36" s="26" t="e">
        <f t="shared" si="23"/>
        <v>#VALUE!</v>
      </c>
      <c r="BG36" s="26"/>
      <c r="BI36" s="122"/>
      <c r="BJ36" s="122"/>
      <c r="BK36" s="122"/>
      <c r="BL36" s="122"/>
      <c r="BM36" s="122"/>
      <c r="BN36" s="121"/>
      <c r="BO36" s="122"/>
      <c r="BP36" s="122"/>
      <c r="BQ36" s="122"/>
      <c r="BR36" s="122"/>
      <c r="BS36" s="122"/>
    </row>
    <row r="37" spans="1:71" s="125" customFormat="1" outlineLevel="1" x14ac:dyDescent="0.2">
      <c r="A37" s="77"/>
      <c r="B37" s="77" t="s">
        <v>573</v>
      </c>
      <c r="C37" s="11" t="s">
        <v>231</v>
      </c>
      <c r="D37" s="77"/>
      <c r="E37" s="11">
        <v>11</v>
      </c>
      <c r="F37" s="11">
        <v>32</v>
      </c>
      <c r="G37" s="11">
        <v>30</v>
      </c>
      <c r="I37" s="12" t="str">
        <f t="shared" si="26"/>
        <v>·</v>
      </c>
      <c r="J37" s="13" t="str">
        <f t="shared" si="13"/>
        <v>·</v>
      </c>
      <c r="K37" s="13" t="str">
        <f t="shared" si="14"/>
        <v>·</v>
      </c>
      <c r="L37" s="13" t="str">
        <f t="shared" si="15"/>
        <v>·</v>
      </c>
      <c r="M37" s="13" t="str">
        <f t="shared" si="16"/>
        <v>·</v>
      </c>
      <c r="N37" s="77" t="str">
        <f t="shared" si="17"/>
        <v/>
      </c>
      <c r="O37" s="13">
        <v>16</v>
      </c>
      <c r="P37" s="14"/>
      <c r="Q37" s="14"/>
      <c r="R37" s="14"/>
      <c r="S37" s="15"/>
      <c r="T37" s="15"/>
      <c r="U37" s="15"/>
      <c r="V37" s="15"/>
      <c r="W37" s="16"/>
      <c r="X37" s="16"/>
      <c r="Y37" s="16"/>
      <c r="Z37" s="16"/>
      <c r="AA37" s="16"/>
      <c r="AB37" s="17"/>
      <c r="AC37" s="17"/>
      <c r="AD37" s="17"/>
      <c r="AE37" s="17"/>
      <c r="AG37" s="12">
        <f t="shared" si="18"/>
        <v>14.1904725</v>
      </c>
      <c r="AH37" s="13" t="e">
        <f t="shared" si="25"/>
        <v>#DIV/0!</v>
      </c>
      <c r="AI37" s="13" t="e">
        <f t="shared" si="19"/>
        <v>#DIV/0!</v>
      </c>
      <c r="AJ37" s="13" t="e">
        <f t="shared" si="20"/>
        <v>#DIV/0!</v>
      </c>
      <c r="AK37" s="13" t="e">
        <f t="shared" si="21"/>
        <v>#DIV/0!</v>
      </c>
      <c r="AL37" s="77">
        <f t="shared" si="22"/>
        <v>5949232</v>
      </c>
      <c r="AM37" s="13">
        <v>16</v>
      </c>
      <c r="AN37" s="14">
        <v>82426133</v>
      </c>
      <c r="AO37" s="14">
        <v>2575816.65625</v>
      </c>
      <c r="AP37" s="14">
        <v>50676.5625</v>
      </c>
      <c r="AQ37" s="15">
        <v>15136504</v>
      </c>
      <c r="AR37" s="15">
        <v>4345848</v>
      </c>
      <c r="AS37" s="15">
        <v>1603384</v>
      </c>
      <c r="AT37" s="15">
        <v>9186656</v>
      </c>
      <c r="AU37" s="16">
        <v>76.291528</v>
      </c>
      <c r="AV37" s="16">
        <v>78.897255999999999</v>
      </c>
      <c r="AW37" s="16">
        <v>38.028447</v>
      </c>
      <c r="AX37" s="16">
        <v>43.743000000000002</v>
      </c>
      <c r="AY37" s="16">
        <v>46.502144000000001</v>
      </c>
      <c r="AZ37" s="17">
        <v>12154.7</v>
      </c>
      <c r="BA37" s="17">
        <v>6566.02</v>
      </c>
      <c r="BB37" s="17">
        <v>48.243000000000002</v>
      </c>
      <c r="BC37" s="17">
        <v>99.710999999999999</v>
      </c>
      <c r="BE37" s="18" t="e">
        <f>(AP37/AO37) - (R37/Q37)</f>
        <v>#DIV/0!</v>
      </c>
      <c r="BF37" s="18" t="e">
        <f t="shared" si="23"/>
        <v>#VALUE!</v>
      </c>
      <c r="BG37" s="18"/>
      <c r="BI37" s="120"/>
      <c r="BJ37" s="120"/>
      <c r="BK37" s="120"/>
      <c r="BL37" s="120"/>
      <c r="BM37" s="120"/>
      <c r="BN37" s="121"/>
      <c r="BO37" s="120"/>
      <c r="BP37" s="120"/>
      <c r="BQ37" s="120"/>
      <c r="BR37" s="120"/>
      <c r="BS37" s="120"/>
    </row>
    <row r="38" spans="1:71" s="125" customFormat="1" outlineLevel="1" x14ac:dyDescent="0.2">
      <c r="A38" s="69"/>
      <c r="B38" s="69" t="s">
        <v>573</v>
      </c>
      <c r="C38" s="19" t="s">
        <v>232</v>
      </c>
      <c r="D38" s="69"/>
      <c r="E38" s="19">
        <v>11</v>
      </c>
      <c r="F38" s="19">
        <v>32</v>
      </c>
      <c r="G38" s="19">
        <v>30</v>
      </c>
      <c r="I38" s="20" t="str">
        <f t="shared" si="26"/>
        <v>·</v>
      </c>
      <c r="J38" s="21" t="str">
        <f t="shared" si="13"/>
        <v>·</v>
      </c>
      <c r="K38" s="21" t="str">
        <f t="shared" si="14"/>
        <v>·</v>
      </c>
      <c r="L38" s="21" t="str">
        <f t="shared" si="15"/>
        <v>·</v>
      </c>
      <c r="M38" s="21" t="str">
        <f t="shared" si="16"/>
        <v>·</v>
      </c>
      <c r="N38" s="69" t="str">
        <f t="shared" si="17"/>
        <v/>
      </c>
      <c r="O38" s="21">
        <v>16</v>
      </c>
      <c r="P38" s="22"/>
      <c r="Q38" s="22"/>
      <c r="R38" s="22"/>
      <c r="S38" s="23"/>
      <c r="T38" s="23"/>
      <c r="U38" s="23"/>
      <c r="V38" s="23"/>
      <c r="W38" s="24"/>
      <c r="X38" s="24"/>
      <c r="Y38" s="24"/>
      <c r="Z38" s="24"/>
      <c r="AA38" s="24"/>
      <c r="AB38" s="25"/>
      <c r="AC38" s="25"/>
      <c r="AD38" s="25"/>
      <c r="AE38" s="25"/>
      <c r="AG38" s="20">
        <f t="shared" si="18"/>
        <v>23.803672500000001</v>
      </c>
      <c r="AH38" s="21" t="e">
        <f t="shared" si="25"/>
        <v>#DIV/0!</v>
      </c>
      <c r="AI38" s="21" t="e">
        <f t="shared" si="19"/>
        <v>#DIV/0!</v>
      </c>
      <c r="AJ38" s="21" t="e">
        <f t="shared" si="20"/>
        <v>#DIV/0!</v>
      </c>
      <c r="AK38" s="21" t="e">
        <f t="shared" si="21"/>
        <v>#DIV/0!</v>
      </c>
      <c r="AL38" s="69">
        <f t="shared" si="22"/>
        <v>7810952</v>
      </c>
      <c r="AM38" s="21">
        <v>16</v>
      </c>
      <c r="AN38" s="22">
        <v>84876081</v>
      </c>
      <c r="AO38" s="22">
        <v>2652377.53125</v>
      </c>
      <c r="AP38" s="22">
        <v>57153.6875</v>
      </c>
      <c r="AQ38" s="23">
        <v>25390584</v>
      </c>
      <c r="AR38" s="23">
        <v>6207568</v>
      </c>
      <c r="AS38" s="23">
        <v>1603384</v>
      </c>
      <c r="AT38" s="23">
        <v>17579016</v>
      </c>
      <c r="AU38" s="24">
        <v>77.383875000000003</v>
      </c>
      <c r="AV38" s="24">
        <v>80.096621999999996</v>
      </c>
      <c r="AW38" s="24">
        <v>39.757013000000001</v>
      </c>
      <c r="AX38" s="24">
        <v>44.555427999999999</v>
      </c>
      <c r="AY38" s="24">
        <v>47.844084000000002</v>
      </c>
      <c r="AZ38" s="25">
        <v>8037.02</v>
      </c>
      <c r="BA38" s="25">
        <v>4199.12</v>
      </c>
      <c r="BB38" s="25">
        <v>31.329000000000001</v>
      </c>
      <c r="BC38" s="25">
        <v>62.841999999999999</v>
      </c>
      <c r="BE38" s="26" t="e">
        <f>(AP38/AO38) - (R38/Q38)</f>
        <v>#DIV/0!</v>
      </c>
      <c r="BF38" s="26" t="e">
        <f t="shared" si="23"/>
        <v>#VALUE!</v>
      </c>
      <c r="BG38" s="26"/>
      <c r="BI38" s="122"/>
      <c r="BJ38" s="122"/>
      <c r="BK38" s="122"/>
      <c r="BL38" s="122"/>
      <c r="BM38" s="122"/>
      <c r="BN38" s="121"/>
      <c r="BO38" s="122"/>
      <c r="BP38" s="122"/>
      <c r="BQ38" s="122"/>
      <c r="BR38" s="122"/>
      <c r="BS38" s="122"/>
    </row>
    <row r="39" spans="1:71" s="125" customFormat="1" ht="16" outlineLevel="1" thickBot="1" x14ac:dyDescent="0.25">
      <c r="A39" s="27"/>
      <c r="B39" s="27" t="s">
        <v>573</v>
      </c>
      <c r="C39" s="28" t="s">
        <v>233</v>
      </c>
      <c r="D39" s="27"/>
      <c r="E39" s="28">
        <v>11</v>
      </c>
      <c r="F39" s="28">
        <v>32</v>
      </c>
      <c r="G39" s="28">
        <v>30</v>
      </c>
      <c r="I39" s="29" t="str">
        <f t="shared" si="26"/>
        <v>·</v>
      </c>
      <c r="J39" s="30" t="str">
        <f t="shared" si="13"/>
        <v>·</v>
      </c>
      <c r="K39" s="30" t="str">
        <f t="shared" si="14"/>
        <v>·</v>
      </c>
      <c r="L39" s="30" t="str">
        <f t="shared" si="15"/>
        <v>·</v>
      </c>
      <c r="M39" s="30" t="str">
        <f t="shared" si="16"/>
        <v>·</v>
      </c>
      <c r="N39" s="27" t="str">
        <f t="shared" si="17"/>
        <v/>
      </c>
      <c r="O39" s="30">
        <v>16</v>
      </c>
      <c r="P39" s="31"/>
      <c r="Q39" s="31"/>
      <c r="R39" s="31"/>
      <c r="S39" s="32"/>
      <c r="T39" s="32"/>
      <c r="U39" s="32"/>
      <c r="V39" s="32"/>
      <c r="W39" s="33"/>
      <c r="X39" s="33"/>
      <c r="Y39" s="33"/>
      <c r="Z39" s="33"/>
      <c r="AA39" s="33"/>
      <c r="AB39" s="34"/>
      <c r="AC39" s="34"/>
      <c r="AD39" s="34"/>
      <c r="AE39" s="34"/>
      <c r="AG39" s="29">
        <f t="shared" si="18"/>
        <v>43.4471925</v>
      </c>
      <c r="AH39" s="30" t="e">
        <f t="shared" si="25"/>
        <v>#DIV/0!</v>
      </c>
      <c r="AI39" s="30" t="e">
        <f t="shared" si="19"/>
        <v>#DIV/0!</v>
      </c>
      <c r="AJ39" s="30" t="e">
        <f t="shared" si="20"/>
        <v>#DIV/0!</v>
      </c>
      <c r="AK39" s="30" t="e">
        <f t="shared" si="21"/>
        <v>#DIV/0!</v>
      </c>
      <c r="AL39" s="27">
        <f t="shared" si="22"/>
        <v>12469048</v>
      </c>
      <c r="AM39" s="30">
        <v>16</v>
      </c>
      <c r="AN39" s="31">
        <v>82699206</v>
      </c>
      <c r="AO39" s="31">
        <v>2584350.1875</v>
      </c>
      <c r="AP39" s="31">
        <v>21424.875</v>
      </c>
      <c r="AQ39" s="32">
        <v>46343672</v>
      </c>
      <c r="AR39" s="32">
        <v>9408528</v>
      </c>
      <c r="AS39" s="32">
        <v>3060520</v>
      </c>
      <c r="AT39" s="32">
        <v>33874008</v>
      </c>
      <c r="AU39" s="33">
        <v>78.482669000000001</v>
      </c>
      <c r="AV39" s="33">
        <v>81.871775</v>
      </c>
      <c r="AW39" s="33">
        <v>41.316094</v>
      </c>
      <c r="AX39" s="33">
        <v>45.556887000000003</v>
      </c>
      <c r="AY39" s="33">
        <v>49.170971999999999</v>
      </c>
      <c r="AZ39" s="34">
        <v>8291.5300000000007</v>
      </c>
      <c r="BA39" s="34">
        <v>4752.97</v>
      </c>
      <c r="BB39" s="34">
        <v>33.575000000000003</v>
      </c>
      <c r="BC39" s="34">
        <v>75.555999999999997</v>
      </c>
      <c r="BE39" s="35" t="e">
        <f>(AP39/AO39) - (R39/Q39)</f>
        <v>#DIV/0!</v>
      </c>
      <c r="BF39" s="35" t="e">
        <f t="shared" si="23"/>
        <v>#VALUE!</v>
      </c>
      <c r="BG39" s="35"/>
      <c r="BI39" s="123"/>
      <c r="BJ39" s="123"/>
      <c r="BK39" s="123"/>
      <c r="BL39" s="123"/>
      <c r="BM39" s="123"/>
      <c r="BN39" s="121"/>
      <c r="BO39" s="123"/>
      <c r="BP39" s="123"/>
      <c r="BQ39" s="123"/>
      <c r="BR39" s="123"/>
      <c r="BS39" s="123"/>
    </row>
    <row r="40" spans="1:71" ht="16" x14ac:dyDescent="0.2">
      <c r="B40" s="47" t="s">
        <v>16</v>
      </c>
      <c r="J40" s="48">
        <f>AVERAGE(J5:J24)</f>
        <v>4.740253328054933E-2</v>
      </c>
      <c r="K40" s="48">
        <f>AVERAGE(K5:K24)</f>
        <v>1.3692464618547812E-2</v>
      </c>
      <c r="L40" s="48">
        <f>AVERAGE(L5:L24)</f>
        <v>9.317799361451818E-3</v>
      </c>
      <c r="M40" s="48">
        <f>AVERAGE(M5:M24)</f>
        <v>3.3707624066931466E-2</v>
      </c>
      <c r="AH40" s="48">
        <f>AVERAGE(AH5:AH24)</f>
        <v>4.740253328054933E-2</v>
      </c>
      <c r="AI40" s="48">
        <f>AVERAGE(AI5:AI24)</f>
        <v>1.3692464618547812E-2</v>
      </c>
      <c r="AJ40" s="48">
        <f>AVERAGE(AJ5:AJ24)</f>
        <v>9.317799361451818E-3</v>
      </c>
      <c r="AK40" s="48">
        <f>AVERAGE(AK5:AK24)</f>
        <v>3.3707624066931466E-2</v>
      </c>
      <c r="BG40" s="103">
        <f>AVERAGE(BG5:BG24)</f>
        <v>0</v>
      </c>
      <c r="BI40" s="98">
        <f>AVERAGE(BI5:BI24)</f>
        <v>0</v>
      </c>
      <c r="BJ40" s="98">
        <f>AVERAGE(BJ5:BJ24)</f>
        <v>0</v>
      </c>
      <c r="BK40" s="98">
        <f>AVERAGE(BK5:BK24)</f>
        <v>0</v>
      </c>
      <c r="BL40" s="98">
        <f>AVERAGE(BL5:BL24)</f>
        <v>0</v>
      </c>
      <c r="BM40" s="98">
        <f>AVERAGE(BM5:BM24)</f>
        <v>0</v>
      </c>
      <c r="BO40" s="98">
        <f>AVERAGE(BO5:BO24)</f>
        <v>0</v>
      </c>
      <c r="BP40" s="98">
        <f>AVERAGE(BP5:BP24)</f>
        <v>0</v>
      </c>
      <c r="BQ40" s="98">
        <f>AVERAGE(BQ5:BQ24)</f>
        <v>0</v>
      </c>
      <c r="BR40" s="98">
        <f>AVERAGE(BR5:BR24)</f>
        <v>0</v>
      </c>
      <c r="BS40" s="98">
        <f>AVERAGE(BS5:BS24)</f>
        <v>0</v>
      </c>
    </row>
    <row r="41" spans="1:71" ht="16" x14ac:dyDescent="0.2">
      <c r="B41" s="47" t="s">
        <v>17</v>
      </c>
      <c r="J41" s="48">
        <f>AVERAGE(J25:J29)</f>
        <v>8.8596864633689917E-2</v>
      </c>
      <c r="K41" s="48">
        <f>AVERAGE(K25:K29)</f>
        <v>1.2648059637183837E-2</v>
      </c>
      <c r="L41" s="48">
        <f>AVERAGE(L25:L29)</f>
        <v>8.8639745306192848E-3</v>
      </c>
      <c r="M41" s="48">
        <f>AVERAGE(M25:M29)</f>
        <v>7.5946343896489132E-2</v>
      </c>
      <c r="AH41" s="48">
        <f>AVERAGE(AH25:AH29)</f>
        <v>8.8596864633689917E-2</v>
      </c>
      <c r="AI41" s="48">
        <f>AVERAGE(AI25:AI29)</f>
        <v>1.2648059637183837E-2</v>
      </c>
      <c r="AJ41" s="48">
        <f>AVERAGE(AJ25:AJ29)</f>
        <v>8.8639745306192848E-3</v>
      </c>
      <c r="AK41" s="48">
        <f>AVERAGE(AK25:AK29)</f>
        <v>7.5946343896489132E-2</v>
      </c>
      <c r="BG41" s="103">
        <f>AVERAGE(BG25:BG29)</f>
        <v>0</v>
      </c>
      <c r="BI41" s="98">
        <f>AVERAGE(BI25:BI29)</f>
        <v>0</v>
      </c>
      <c r="BJ41" s="98">
        <f>AVERAGE(BJ25:BJ29)</f>
        <v>0</v>
      </c>
      <c r="BK41" s="98">
        <f>AVERAGE(BK25:BK29)</f>
        <v>0</v>
      </c>
      <c r="BL41" s="98">
        <f>AVERAGE(BL25:BL29)</f>
        <v>0</v>
      </c>
      <c r="BM41" s="98">
        <f>AVERAGE(BM25:BM29)</f>
        <v>0</v>
      </c>
      <c r="BO41" s="98">
        <f>AVERAGE(BO25:BO29)</f>
        <v>0</v>
      </c>
      <c r="BP41" s="98">
        <f>AVERAGE(BP25:BP29)</f>
        <v>0</v>
      </c>
      <c r="BQ41" s="98">
        <f>AVERAGE(BQ25:BQ29)</f>
        <v>0</v>
      </c>
      <c r="BR41" s="98">
        <f>AVERAGE(BR25:BR29)</f>
        <v>0</v>
      </c>
      <c r="BS41" s="98">
        <f>AVERAGE(BS25:BS29)</f>
        <v>0</v>
      </c>
    </row>
    <row r="42" spans="1:71" ht="16" x14ac:dyDescent="0.2">
      <c r="B42" s="47" t="s">
        <v>18</v>
      </c>
      <c r="J42" s="48">
        <f>AVERAGE(J5:J29)</f>
        <v>5.5641399551177445E-2</v>
      </c>
      <c r="K42" s="48">
        <f>AVERAGE(K5:K29)</f>
        <v>1.3483583622275017E-2</v>
      </c>
      <c r="L42" s="48">
        <f>AVERAGE(L5:L29)</f>
        <v>9.2270343952853117E-3</v>
      </c>
      <c r="M42" s="48">
        <f>AVERAGE(M5:M29)</f>
        <v>4.2155368032842998E-2</v>
      </c>
      <c r="AH42" s="48">
        <f>AVERAGE(AH5:AH29)</f>
        <v>5.5641399551177445E-2</v>
      </c>
      <c r="AI42" s="48">
        <f>AVERAGE(AI5:AI29)</f>
        <v>1.3483583622275017E-2</v>
      </c>
      <c r="AJ42" s="48">
        <f>AVERAGE(AJ5:AJ29)</f>
        <v>9.2270343952853117E-3</v>
      </c>
      <c r="AK42" s="48">
        <f>AVERAGE(AK5:AK29)</f>
        <v>4.2155368032842998E-2</v>
      </c>
      <c r="BG42" s="103">
        <f>AVERAGE(BG5:BG29)</f>
        <v>0</v>
      </c>
      <c r="BI42" s="98">
        <f>AVERAGE(BI5:BI29)</f>
        <v>0</v>
      </c>
      <c r="BJ42" s="98">
        <f>AVERAGE(BJ5:BJ29)</f>
        <v>0</v>
      </c>
      <c r="BK42" s="98">
        <f>AVERAGE(BK5:BK29)</f>
        <v>0</v>
      </c>
      <c r="BL42" s="98">
        <f>AVERAGE(BL5:BL29)</f>
        <v>0</v>
      </c>
      <c r="BM42" s="98">
        <f>AVERAGE(BM5:BM29)</f>
        <v>0</v>
      </c>
      <c r="BO42" s="98">
        <f>AVERAGE(BO5:BO29)</f>
        <v>0</v>
      </c>
      <c r="BP42" s="98">
        <f>AVERAGE(BP5:BP29)</f>
        <v>0</v>
      </c>
      <c r="BQ42" s="98">
        <f>AVERAGE(BQ5:BQ29)</f>
        <v>0</v>
      </c>
      <c r="BR42" s="98">
        <f>AVERAGE(BR5:BR29)</f>
        <v>0</v>
      </c>
      <c r="BS42" s="98">
        <f>AVERAGE(BS5:BS29)</f>
        <v>0</v>
      </c>
    </row>
    <row r="43" spans="1:71" ht="16" outlineLevel="2" x14ac:dyDescent="0.2">
      <c r="A43" s="47" t="s">
        <v>235</v>
      </c>
      <c r="B43" s="47" t="s">
        <v>236</v>
      </c>
      <c r="AB43" s="49">
        <f>SUM(AB5:AB24,AB25:AB29)</f>
        <v>79789.990000000005</v>
      </c>
      <c r="AC43" s="49">
        <f>SUM(AC5:AC24,AC25:AC29)</f>
        <v>29891.511999999999</v>
      </c>
      <c r="AD43" s="49">
        <f>SUM(AD5:AD24,AD25:AD29)</f>
        <v>278.37200000000001</v>
      </c>
      <c r="AE43" s="49">
        <f>SUM(AE5:AE24,AE25:AE29)</f>
        <v>435.94200000000001</v>
      </c>
      <c r="AZ43" s="49">
        <f>SUM(AZ5:AZ24,AZ25:AZ29)</f>
        <v>77174.309999999983</v>
      </c>
      <c r="BA43" s="49">
        <f>SUM(BA5:BA24,BA25:BA29)</f>
        <v>29249.841000000004</v>
      </c>
      <c r="BB43" s="49">
        <f>SUM(BB5:BB24,BB25:BB29)</f>
        <v>279.75</v>
      </c>
      <c r="BC43" s="49">
        <f>SUM(BC5:BC24,BC25:BC29)</f>
        <v>426.85099999999994</v>
      </c>
    </row>
    <row r="44" spans="1:71" ht="16" outlineLevel="2" x14ac:dyDescent="0.2">
      <c r="B44" s="47" t="s">
        <v>237</v>
      </c>
      <c r="AZ44" s="103">
        <f>AZ43/AB43</f>
        <v>0.96721794300262454</v>
      </c>
      <c r="BA44" s="103">
        <f>BA43/AC43</f>
        <v>0.97853333749058946</v>
      </c>
      <c r="BB44" s="103">
        <f>BB43/AD43</f>
        <v>1.0049502105096777</v>
      </c>
      <c r="BC44" s="103">
        <f>BC43/AE43</f>
        <v>0.97914630845387673</v>
      </c>
    </row>
    <row r="45" spans="1:71" ht="16" outlineLevel="2" x14ac:dyDescent="0.2">
      <c r="B45" s="47" t="s">
        <v>238</v>
      </c>
      <c r="AB45" s="49">
        <f>GEOMEAN(AB5:AB24,AB25:AB29)</f>
        <v>3112.1435313192396</v>
      </c>
      <c r="AC45" s="49">
        <f>GEOMEAN(AC5:AC24,AC25:AC29)</f>
        <v>1145.7783554857463</v>
      </c>
      <c r="AD45" s="49">
        <f>GEOMEAN(AD5:AD24,AD25:AD29)</f>
        <v>10.884313578468207</v>
      </c>
      <c r="AE45" s="49">
        <f>GEOMEAN(AE5:AE24,AE25:AE29)</f>
        <v>16.886320683788139</v>
      </c>
      <c r="AZ45" s="49">
        <f>GEOMEAN(AZ5:AZ24,AZ25:AZ29)</f>
        <v>3004.8494197032619</v>
      </c>
      <c r="BA45" s="49">
        <f>GEOMEAN(BA5:BA24,BA25:BA29)</f>
        <v>1116.7090000027927</v>
      </c>
      <c r="BB45" s="49">
        <f>GEOMEAN(BB5:BB24,BB25:BB29)</f>
        <v>10.869759488978067</v>
      </c>
      <c r="BC45" s="49">
        <f>GEOMEAN(BC5:BC24,BC25:BC29)</f>
        <v>16.473765140389098</v>
      </c>
    </row>
    <row r="46" spans="1:71" ht="16" outlineLevel="2" collapsed="1" x14ac:dyDescent="0.2">
      <c r="B46" s="47" t="s">
        <v>239</v>
      </c>
      <c r="AZ46" s="103">
        <f>AZ45/AB45</f>
        <v>0.96552404780299583</v>
      </c>
      <c r="BA46" s="103">
        <f>BA45/AC45</f>
        <v>0.97462916335975835</v>
      </c>
      <c r="BB46" s="103">
        <f>BB45/AD45</f>
        <v>0.99866283809399503</v>
      </c>
      <c r="BC46" s="103">
        <f>BC45/AE45</f>
        <v>0.97556865399369574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:BI29 BI40:BI42">
    <cfRule type="cellIs" dxfId="137" priority="57" operator="greaterThanOrEqual">
      <formula>0.03</formula>
    </cfRule>
    <cfRule type="cellIs" dxfId="136" priority="58" operator="lessThanOrEqual">
      <formula>-0.03</formula>
    </cfRule>
  </conditionalFormatting>
  <conditionalFormatting sqref="BJ5:BJ29 BJ40:BJ42">
    <cfRule type="cellIs" dxfId="135" priority="55" operator="greaterThanOrEqual">
      <formula>0.03</formula>
    </cfRule>
    <cfRule type="cellIs" dxfId="134" priority="56" operator="lessThanOrEqual">
      <formula>-0.03</formula>
    </cfRule>
  </conditionalFormatting>
  <conditionalFormatting sqref="BK5:BK29 BK40:BK42">
    <cfRule type="cellIs" dxfId="133" priority="61" operator="greaterThanOrEqual">
      <formula>0.03</formula>
    </cfRule>
    <cfRule type="cellIs" dxfId="132" priority="62" operator="lessThanOrEqual">
      <formula>-0.03</formula>
    </cfRule>
  </conditionalFormatting>
  <conditionalFormatting sqref="BL5:BL29 BL40:BL42">
    <cfRule type="cellIs" dxfId="131" priority="53" operator="greaterThanOrEqual">
      <formula>0.03</formula>
    </cfRule>
    <cfRule type="cellIs" dxfId="130" priority="54" operator="lessThanOrEqual">
      <formula>-0.03</formula>
    </cfRule>
  </conditionalFormatting>
  <conditionalFormatting sqref="BM5:BM29 BM40:BM42">
    <cfRule type="cellIs" dxfId="129" priority="49" operator="greaterThanOrEqual">
      <formula>0.03</formula>
    </cfRule>
    <cfRule type="cellIs" dxfId="128" priority="50" operator="lessThanOrEqual">
      <formula>-0.03</formula>
    </cfRule>
  </conditionalFormatting>
  <conditionalFormatting sqref="BO5:BO29 BO40:BO42">
    <cfRule type="cellIs" dxfId="127" priority="47" operator="greaterThanOrEqual">
      <formula>0.03</formula>
    </cfRule>
    <cfRule type="cellIs" dxfId="126" priority="48" operator="lessThanOrEqual">
      <formula>-0.03</formula>
    </cfRule>
  </conditionalFormatting>
  <conditionalFormatting sqref="BP5:BP29 BP40:BP42">
    <cfRule type="cellIs" dxfId="125" priority="63" operator="greaterThanOrEqual">
      <formula>0.03</formula>
    </cfRule>
    <cfRule type="cellIs" dxfId="124" priority="64" operator="lessThanOrEqual">
      <formula>-0.03</formula>
    </cfRule>
  </conditionalFormatting>
  <conditionalFormatting sqref="BQ5:BQ29 BQ40:BQ42">
    <cfRule type="cellIs" dxfId="123" priority="59" operator="greaterThanOrEqual">
      <formula>0.03</formula>
    </cfRule>
    <cfRule type="cellIs" dxfId="122" priority="60" operator="lessThanOrEqual">
      <formula>-0.03</formula>
    </cfRule>
  </conditionalFormatting>
  <conditionalFormatting sqref="BR5:BR29 BR40:BR42">
    <cfRule type="cellIs" dxfId="121" priority="45" operator="greaterThanOrEqual">
      <formula>0.03</formula>
    </cfRule>
    <cfRule type="cellIs" dxfId="120" priority="46" operator="lessThanOrEqual">
      <formula>-0.03</formula>
    </cfRule>
  </conditionalFormatting>
  <conditionalFormatting sqref="BS5:BS29 BS40:BS42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O35:BO39">
    <cfRule type="cellIs" dxfId="117" priority="3" operator="greaterThanOrEqual">
      <formula>0.03</formula>
    </cfRule>
    <cfRule type="cellIs" dxfId="116" priority="4" operator="lessThanOrEqual">
      <formula>-0.03</formula>
    </cfRule>
  </conditionalFormatting>
  <conditionalFormatting sqref="BR30:BR34">
    <cfRule type="cellIs" dxfId="115" priority="21" operator="greaterThanOrEqual">
      <formula>0.03</formula>
    </cfRule>
    <cfRule type="cellIs" dxfId="114" priority="22" operator="lessThanOrEqual">
      <formula>-0.03</formula>
    </cfRule>
  </conditionalFormatting>
  <conditionalFormatting sqref="BI30:BI34">
    <cfRule type="cellIs" dxfId="113" priority="33" operator="greaterThanOrEqual">
      <formula>0.03</formula>
    </cfRule>
    <cfRule type="cellIs" dxfId="112" priority="34" operator="lessThanOrEqual">
      <formula>-0.03</formula>
    </cfRule>
  </conditionalFormatting>
  <conditionalFormatting sqref="BJ30:BJ34">
    <cfRule type="cellIs" dxfId="111" priority="31" operator="greaterThanOrEqual">
      <formula>0.03</formula>
    </cfRule>
    <cfRule type="cellIs" dxfId="110" priority="32" operator="lessThanOrEqual">
      <formula>-0.03</formula>
    </cfRule>
  </conditionalFormatting>
  <conditionalFormatting sqref="BK30:BK34">
    <cfRule type="cellIs" dxfId="109" priority="37" operator="greaterThanOrEqual">
      <formula>0.03</formula>
    </cfRule>
    <cfRule type="cellIs" dxfId="108" priority="38" operator="lessThanOrEqual">
      <formula>-0.03</formula>
    </cfRule>
  </conditionalFormatting>
  <conditionalFormatting sqref="BL30:BL34">
    <cfRule type="cellIs" dxfId="107" priority="29" operator="greaterThanOrEqual">
      <formula>0.03</formula>
    </cfRule>
    <cfRule type="cellIs" dxfId="106" priority="30" operator="lessThanOrEqual">
      <formula>-0.03</formula>
    </cfRule>
  </conditionalFormatting>
  <conditionalFormatting sqref="BM30:BM34">
    <cfRule type="cellIs" dxfId="105" priority="25" operator="greaterThanOrEqual">
      <formula>0.03</formula>
    </cfRule>
    <cfRule type="cellIs" dxfId="104" priority="26" operator="lessThanOrEqual">
      <formula>-0.03</formula>
    </cfRule>
  </conditionalFormatting>
  <conditionalFormatting sqref="BO30:BO34">
    <cfRule type="cellIs" dxfId="103" priority="23" operator="greaterThanOrEqual">
      <formula>0.03</formula>
    </cfRule>
    <cfRule type="cellIs" dxfId="102" priority="24" operator="lessThanOrEqual">
      <formula>-0.03</formula>
    </cfRule>
  </conditionalFormatting>
  <conditionalFormatting sqref="BP30:BP34">
    <cfRule type="cellIs" dxfId="101" priority="39" operator="greaterThanOrEqual">
      <formula>0.03</formula>
    </cfRule>
    <cfRule type="cellIs" dxfId="100" priority="40" operator="lessThanOrEqual">
      <formula>-0.03</formula>
    </cfRule>
  </conditionalFormatting>
  <conditionalFormatting sqref="BQ30:BQ34">
    <cfRule type="cellIs" dxfId="99" priority="35" operator="greaterThanOrEqual">
      <formula>0.03</formula>
    </cfRule>
    <cfRule type="cellIs" dxfId="98" priority="36" operator="lessThanOrEqual">
      <formula>-0.03</formula>
    </cfRule>
  </conditionalFormatting>
  <conditionalFormatting sqref="BS30:BS34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I35:BI39">
    <cfRule type="cellIs" dxfId="93" priority="13" operator="greaterThanOrEqual">
      <formula>0.03</formula>
    </cfRule>
    <cfRule type="cellIs" dxfId="92" priority="14" operator="lessThanOrEqual">
      <formula>-0.03</formula>
    </cfRule>
  </conditionalFormatting>
  <conditionalFormatting sqref="BJ35:BJ39">
    <cfRule type="cellIs" dxfId="91" priority="11" operator="greaterThanOrEqual">
      <formula>0.03</formula>
    </cfRule>
    <cfRule type="cellIs" dxfId="90" priority="12" operator="lessThanOrEqual">
      <formula>-0.03</formula>
    </cfRule>
  </conditionalFormatting>
  <conditionalFormatting sqref="BK35:BK39">
    <cfRule type="cellIs" dxfId="89" priority="17" operator="greaterThanOrEqual">
      <formula>0.03</formula>
    </cfRule>
    <cfRule type="cellIs" dxfId="88" priority="18" operator="lessThanOrEqual">
      <formula>-0.03</formula>
    </cfRule>
  </conditionalFormatting>
  <conditionalFormatting sqref="BL35:BL39">
    <cfRule type="cellIs" dxfId="87" priority="9" operator="greaterThanOrEqual">
      <formula>0.03</formula>
    </cfRule>
    <cfRule type="cellIs" dxfId="86" priority="10" operator="lessThanOrEqual">
      <formula>-0.03</formula>
    </cfRule>
  </conditionalFormatting>
  <conditionalFormatting sqref="BM35:BM39">
    <cfRule type="cellIs" dxfId="85" priority="5" operator="greaterThanOrEqual">
      <formula>0.03</formula>
    </cfRule>
    <cfRule type="cellIs" dxfId="84" priority="6" operator="lessThanOrEqual">
      <formula>-0.03</formula>
    </cfRule>
  </conditionalFormatting>
  <conditionalFormatting sqref="BP35:BP39">
    <cfRule type="cellIs" dxfId="81" priority="19" operator="greaterThanOrEqual">
      <formula>0.03</formula>
    </cfRule>
    <cfRule type="cellIs" dxfId="80" priority="20" operator="lessThanOrEqual">
      <formula>-0.03</formula>
    </cfRule>
  </conditionalFormatting>
  <conditionalFormatting sqref="BQ35:BQ39">
    <cfRule type="cellIs" dxfId="79" priority="15" operator="greaterThanOrEqual">
      <formula>0.03</formula>
    </cfRule>
    <cfRule type="cellIs" dxfId="78" priority="16" operator="lessThanOrEqual">
      <formula>-0.03</formula>
    </cfRule>
  </conditionalFormatting>
  <conditionalFormatting sqref="BR35:BR39">
    <cfRule type="cellIs" dxfId="77" priority="1" operator="greaterThanOrEqual">
      <formula>0.03</formula>
    </cfRule>
    <cfRule type="cellIs" dxfId="76" priority="2" operator="lessThanOrEqual">
      <formula>-0.03</formula>
    </cfRule>
  </conditionalFormatting>
  <conditionalFormatting sqref="BS35:BS39">
    <cfRule type="cellIs" dxfId="75" priority="7" operator="greaterThanOrEqual">
      <formula>0.03</formula>
    </cfRule>
    <cfRule type="cellIs" dxfId="74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27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240</v>
      </c>
      <c r="B1">
        <v>1</v>
      </c>
    </row>
    <row r="2" spans="1:2" x14ac:dyDescent="0.2">
      <c r="A2" t="s">
        <v>241</v>
      </c>
      <c r="B2">
        <v>2</v>
      </c>
    </row>
    <row r="3" spans="1:2" x14ac:dyDescent="0.2">
      <c r="A3" t="s">
        <v>242</v>
      </c>
      <c r="B3">
        <v>3</v>
      </c>
    </row>
    <row r="4" spans="1:2" x14ac:dyDescent="0.2">
      <c r="A4" t="s">
        <v>243</v>
      </c>
      <c r="B4">
        <v>4</v>
      </c>
    </row>
    <row r="5" spans="1:2" x14ac:dyDescent="0.2">
      <c r="A5" t="s">
        <v>244</v>
      </c>
      <c r="B5">
        <v>5</v>
      </c>
    </row>
    <row r="6" spans="1:2" x14ac:dyDescent="0.2">
      <c r="A6" t="s">
        <v>245</v>
      </c>
      <c r="B6">
        <v>6</v>
      </c>
    </row>
    <row r="7" spans="1:2" x14ac:dyDescent="0.2">
      <c r="A7" t="s">
        <v>246</v>
      </c>
      <c r="B7">
        <v>7</v>
      </c>
    </row>
    <row r="8" spans="1:2" x14ac:dyDescent="0.2">
      <c r="A8" t="s">
        <v>247</v>
      </c>
      <c r="B8">
        <v>9</v>
      </c>
    </row>
    <row r="9" spans="1:2" x14ac:dyDescent="0.2">
      <c r="A9" t="s">
        <v>248</v>
      </c>
      <c r="B9">
        <v>10</v>
      </c>
    </row>
    <row r="10" spans="1:2" x14ac:dyDescent="0.2">
      <c r="A10" t="s">
        <v>249</v>
      </c>
      <c r="B10">
        <v>11</v>
      </c>
    </row>
    <row r="11" spans="1:2" x14ac:dyDescent="0.2">
      <c r="A11" t="s">
        <v>250</v>
      </c>
      <c r="B11">
        <v>12</v>
      </c>
    </row>
    <row r="12" spans="1:2" x14ac:dyDescent="0.2">
      <c r="A12" t="s">
        <v>251</v>
      </c>
      <c r="B12">
        <v>13</v>
      </c>
    </row>
    <row r="13" spans="1:2" x14ac:dyDescent="0.2">
      <c r="A13" t="s">
        <v>252</v>
      </c>
      <c r="B13">
        <v>14</v>
      </c>
    </row>
    <row r="14" spans="1:2" x14ac:dyDescent="0.2">
      <c r="A14" t="s">
        <v>253</v>
      </c>
      <c r="B14">
        <v>15</v>
      </c>
    </row>
    <row r="15" spans="1:2" x14ac:dyDescent="0.2">
      <c r="A15" t="s">
        <v>254</v>
      </c>
      <c r="B15">
        <v>16</v>
      </c>
    </row>
    <row r="16" spans="1:2" x14ac:dyDescent="0.2">
      <c r="A16" t="s">
        <v>255</v>
      </c>
      <c r="B16">
        <v>17</v>
      </c>
    </row>
    <row r="17" spans="1:2" x14ac:dyDescent="0.2">
      <c r="A17" t="s">
        <v>256</v>
      </c>
      <c r="B17">
        <v>18</v>
      </c>
    </row>
    <row r="18" spans="1:2" x14ac:dyDescent="0.2">
      <c r="A18" t="s">
        <v>257</v>
      </c>
      <c r="B18">
        <v>19</v>
      </c>
    </row>
    <row r="19" spans="1:2" x14ac:dyDescent="0.2">
      <c r="A19" t="s">
        <v>258</v>
      </c>
      <c r="B19">
        <v>20</v>
      </c>
    </row>
    <row r="20" spans="1:2" x14ac:dyDescent="0.2">
      <c r="A20" t="s">
        <v>259</v>
      </c>
      <c r="B20">
        <v>21</v>
      </c>
    </row>
    <row r="21" spans="1:2" x14ac:dyDescent="0.2">
      <c r="A21" t="s">
        <v>260</v>
      </c>
      <c r="B21">
        <v>22</v>
      </c>
    </row>
    <row r="22" spans="1:2" x14ac:dyDescent="0.2">
      <c r="A22" t="s">
        <v>261</v>
      </c>
      <c r="B22">
        <v>23</v>
      </c>
    </row>
    <row r="23" spans="1:2" x14ac:dyDescent="0.2">
      <c r="A23" t="s">
        <v>262</v>
      </c>
      <c r="B23">
        <v>24</v>
      </c>
    </row>
    <row r="24" spans="1:2" x14ac:dyDescent="0.2">
      <c r="A24" t="s">
        <v>263</v>
      </c>
      <c r="B24">
        <v>25</v>
      </c>
    </row>
    <row r="25" spans="1:2" x14ac:dyDescent="0.2">
      <c r="A25" t="s">
        <v>264</v>
      </c>
      <c r="B25">
        <v>26</v>
      </c>
    </row>
    <row r="26" spans="1:2" x14ac:dyDescent="0.2">
      <c r="A26" t="s">
        <v>265</v>
      </c>
      <c r="B26">
        <v>27</v>
      </c>
    </row>
    <row r="27" spans="1:2" x14ac:dyDescent="0.2">
      <c r="A27" t="s">
        <v>266</v>
      </c>
      <c r="B27">
        <v>28</v>
      </c>
    </row>
    <row r="28" spans="1:2" x14ac:dyDescent="0.2">
      <c r="A28" t="s">
        <v>267</v>
      </c>
      <c r="B28">
        <v>29</v>
      </c>
    </row>
    <row r="29" spans="1:2" x14ac:dyDescent="0.2">
      <c r="A29" t="s">
        <v>268</v>
      </c>
      <c r="B29">
        <v>30</v>
      </c>
    </row>
    <row r="30" spans="1:2" x14ac:dyDescent="0.2">
      <c r="A30" t="s">
        <v>269</v>
      </c>
      <c r="B30">
        <v>31</v>
      </c>
    </row>
    <row r="31" spans="1:2" x14ac:dyDescent="0.2">
      <c r="A31" t="s">
        <v>270</v>
      </c>
      <c r="B31">
        <v>33</v>
      </c>
    </row>
    <row r="32" spans="1:2" x14ac:dyDescent="0.2">
      <c r="A32" t="s">
        <v>271</v>
      </c>
      <c r="B32">
        <v>34</v>
      </c>
    </row>
    <row r="33" spans="1:2" x14ac:dyDescent="0.2">
      <c r="A33" t="s">
        <v>272</v>
      </c>
      <c r="B33">
        <v>35</v>
      </c>
    </row>
    <row r="34" spans="1:2" x14ac:dyDescent="0.2">
      <c r="A34" t="s">
        <v>273</v>
      </c>
      <c r="B34">
        <v>36</v>
      </c>
    </row>
    <row r="35" spans="1:2" x14ac:dyDescent="0.2">
      <c r="A35" t="s">
        <v>274</v>
      </c>
      <c r="B35">
        <v>37</v>
      </c>
    </row>
    <row r="36" spans="1:2" x14ac:dyDescent="0.2">
      <c r="A36" t="s">
        <v>275</v>
      </c>
      <c r="B36">
        <v>38</v>
      </c>
    </row>
    <row r="37" spans="1:2" x14ac:dyDescent="0.2">
      <c r="A37" t="s">
        <v>276</v>
      </c>
      <c r="B37">
        <v>39</v>
      </c>
    </row>
    <row r="38" spans="1:2" x14ac:dyDescent="0.2">
      <c r="A38" t="s">
        <v>277</v>
      </c>
      <c r="B38">
        <v>40</v>
      </c>
    </row>
    <row r="39" spans="1:2" x14ac:dyDescent="0.2">
      <c r="A39" t="s">
        <v>278</v>
      </c>
      <c r="B39">
        <v>41</v>
      </c>
    </row>
    <row r="40" spans="1:2" x14ac:dyDescent="0.2">
      <c r="A40" t="s">
        <v>279</v>
      </c>
      <c r="B40">
        <v>42</v>
      </c>
    </row>
    <row r="41" spans="1:2" x14ac:dyDescent="0.2">
      <c r="A41" t="s">
        <v>280</v>
      </c>
      <c r="B41">
        <v>43</v>
      </c>
    </row>
    <row r="42" spans="1:2" x14ac:dyDescent="0.2">
      <c r="A42" t="s">
        <v>281</v>
      </c>
      <c r="B42">
        <v>44</v>
      </c>
    </row>
    <row r="43" spans="1:2" x14ac:dyDescent="0.2">
      <c r="A43" t="s">
        <v>282</v>
      </c>
      <c r="B43">
        <v>45</v>
      </c>
    </row>
    <row r="44" spans="1:2" x14ac:dyDescent="0.2">
      <c r="A44" t="s">
        <v>283</v>
      </c>
      <c r="B44">
        <v>46</v>
      </c>
    </row>
    <row r="45" spans="1:2" x14ac:dyDescent="0.2">
      <c r="A45" t="s">
        <v>284</v>
      </c>
      <c r="B45">
        <v>47</v>
      </c>
    </row>
    <row r="46" spans="1:2" x14ac:dyDescent="0.2">
      <c r="A46" t="s">
        <v>285</v>
      </c>
      <c r="B46">
        <v>48</v>
      </c>
    </row>
    <row r="47" spans="1:2" x14ac:dyDescent="0.2">
      <c r="A47" t="s">
        <v>286</v>
      </c>
      <c r="B47">
        <v>49</v>
      </c>
    </row>
    <row r="48" spans="1:2" x14ac:dyDescent="0.2">
      <c r="A48" t="s">
        <v>287</v>
      </c>
      <c r="B48">
        <v>50</v>
      </c>
    </row>
    <row r="49" spans="1:2" x14ac:dyDescent="0.2">
      <c r="A49" t="s">
        <v>288</v>
      </c>
      <c r="B49">
        <v>51</v>
      </c>
    </row>
    <row r="50" spans="1:2" x14ac:dyDescent="0.2">
      <c r="A50" t="s">
        <v>289</v>
      </c>
      <c r="B50">
        <v>52</v>
      </c>
    </row>
    <row r="51" spans="1:2" x14ac:dyDescent="0.2">
      <c r="A51" t="s">
        <v>290</v>
      </c>
      <c r="B51">
        <v>53</v>
      </c>
    </row>
    <row r="52" spans="1:2" x14ac:dyDescent="0.2">
      <c r="A52" t="s">
        <v>291</v>
      </c>
      <c r="B52">
        <v>54</v>
      </c>
    </row>
    <row r="53" spans="1:2" x14ac:dyDescent="0.2">
      <c r="A53" t="s">
        <v>292</v>
      </c>
      <c r="B53">
        <v>55</v>
      </c>
    </row>
    <row r="54" spans="1:2" x14ac:dyDescent="0.2">
      <c r="A54" t="s">
        <v>293</v>
      </c>
      <c r="B54">
        <v>57</v>
      </c>
    </row>
    <row r="55" spans="1:2" x14ac:dyDescent="0.2">
      <c r="A55" t="s">
        <v>294</v>
      </c>
      <c r="B55">
        <v>58</v>
      </c>
    </row>
    <row r="56" spans="1:2" x14ac:dyDescent="0.2">
      <c r="A56" t="s">
        <v>295</v>
      </c>
      <c r="B56">
        <v>59</v>
      </c>
    </row>
    <row r="57" spans="1:2" x14ac:dyDescent="0.2">
      <c r="A57" t="s">
        <v>296</v>
      </c>
      <c r="B57">
        <v>61</v>
      </c>
    </row>
    <row r="58" spans="1:2" x14ac:dyDescent="0.2">
      <c r="A58" t="s">
        <v>297</v>
      </c>
      <c r="B58">
        <v>62</v>
      </c>
    </row>
    <row r="59" spans="1:2" x14ac:dyDescent="0.2">
      <c r="A59" t="s">
        <v>298</v>
      </c>
      <c r="B59">
        <v>63</v>
      </c>
    </row>
    <row r="60" spans="1:2" x14ac:dyDescent="0.2">
      <c r="A60" t="s">
        <v>299</v>
      </c>
      <c r="B60">
        <v>64</v>
      </c>
    </row>
    <row r="61" spans="1:2" x14ac:dyDescent="0.2">
      <c r="A61" t="s">
        <v>300</v>
      </c>
      <c r="B61">
        <v>65</v>
      </c>
    </row>
    <row r="62" spans="1:2" x14ac:dyDescent="0.2">
      <c r="A62" t="s">
        <v>301</v>
      </c>
      <c r="B62">
        <v>67</v>
      </c>
    </row>
    <row r="63" spans="1:2" x14ac:dyDescent="0.2">
      <c r="A63" t="s">
        <v>302</v>
      </c>
      <c r="B63">
        <v>68</v>
      </c>
    </row>
    <row r="64" spans="1:2" x14ac:dyDescent="0.2">
      <c r="A64" t="s">
        <v>303</v>
      </c>
      <c r="B64">
        <v>69</v>
      </c>
    </row>
    <row r="65" spans="1:24" x14ac:dyDescent="0.2">
      <c r="A65" t="s">
        <v>304</v>
      </c>
      <c r="B65">
        <v>70</v>
      </c>
    </row>
    <row r="66" spans="1:24" x14ac:dyDescent="0.2">
      <c r="A66" t="s">
        <v>305</v>
      </c>
      <c r="B66">
        <v>71</v>
      </c>
    </row>
    <row r="67" spans="1:24" x14ac:dyDescent="0.2">
      <c r="A67" t="s">
        <v>306</v>
      </c>
      <c r="B67" t="s">
        <v>307</v>
      </c>
    </row>
    <row r="68" spans="1:24" x14ac:dyDescent="0.2">
      <c r="A68" t="s">
        <v>308</v>
      </c>
      <c r="B68" t="s">
        <v>309</v>
      </c>
    </row>
    <row r="69" spans="1:24" x14ac:dyDescent="0.2">
      <c r="A69" t="s">
        <v>310</v>
      </c>
      <c r="B69" t="s">
        <v>311</v>
      </c>
    </row>
    <row r="70" spans="1:24" x14ac:dyDescent="0.2">
      <c r="A70" t="s">
        <v>312</v>
      </c>
      <c r="B70" t="s">
        <v>313</v>
      </c>
    </row>
    <row r="71" spans="1:24" x14ac:dyDescent="0.2">
      <c r="A71" t="s">
        <v>314</v>
      </c>
      <c r="B71" t="s">
        <v>315</v>
      </c>
    </row>
    <row r="72" spans="1:24" x14ac:dyDescent="0.2">
      <c r="A72" t="s">
        <v>316</v>
      </c>
      <c r="B72" t="s">
        <v>317</v>
      </c>
    </row>
    <row r="73" spans="1:24" x14ac:dyDescent="0.2">
      <c r="A73" t="s">
        <v>318</v>
      </c>
      <c r="B73" t="s">
        <v>319</v>
      </c>
    </row>
    <row r="74" spans="1:24" x14ac:dyDescent="0.2">
      <c r="A74" t="s">
        <v>320</v>
      </c>
      <c r="B74" t="s">
        <v>120</v>
      </c>
      <c r="C74" t="s">
        <v>68</v>
      </c>
      <c r="D74" t="s">
        <v>124</v>
      </c>
      <c r="E74" t="s">
        <v>106</v>
      </c>
      <c r="F74" t="s">
        <v>126</v>
      </c>
      <c r="G74" t="s">
        <v>129</v>
      </c>
      <c r="H74" t="s">
        <v>82</v>
      </c>
      <c r="I74" t="s">
        <v>99</v>
      </c>
      <c r="J74" t="s">
        <v>110</v>
      </c>
      <c r="K74" t="s">
        <v>108</v>
      </c>
      <c r="L74" t="s">
        <v>86</v>
      </c>
      <c r="M74" t="s">
        <v>101</v>
      </c>
      <c r="N74" t="s">
        <v>56</v>
      </c>
      <c r="O74" t="s">
        <v>122</v>
      </c>
      <c r="P74" t="s">
        <v>52</v>
      </c>
      <c r="Q74" t="s">
        <v>63</v>
      </c>
      <c r="R74" t="s">
        <v>65</v>
      </c>
      <c r="S74" t="s">
        <v>131</v>
      </c>
      <c r="T74" t="s">
        <v>118</v>
      </c>
      <c r="U74" t="s">
        <v>133</v>
      </c>
      <c r="V74" t="s">
        <v>84</v>
      </c>
      <c r="W74" t="s">
        <v>58</v>
      </c>
      <c r="X74" t="s">
        <v>114</v>
      </c>
    </row>
    <row r="75" spans="1:24" x14ac:dyDescent="0.2">
      <c r="A75" t="s">
        <v>321</v>
      </c>
      <c r="B75">
        <v>1</v>
      </c>
    </row>
    <row r="76" spans="1:24" x14ac:dyDescent="0.2">
      <c r="A76" t="s">
        <v>322</v>
      </c>
      <c r="B76">
        <v>2</v>
      </c>
    </row>
    <row r="77" spans="1:24" x14ac:dyDescent="0.2">
      <c r="A77" t="s">
        <v>323</v>
      </c>
      <c r="B77">
        <v>3</v>
      </c>
    </row>
    <row r="78" spans="1:24" x14ac:dyDescent="0.2">
      <c r="A78" t="s">
        <v>324</v>
      </c>
      <c r="B78">
        <v>4</v>
      </c>
    </row>
    <row r="79" spans="1:24" x14ac:dyDescent="0.2">
      <c r="A79" t="s">
        <v>325</v>
      </c>
      <c r="B79">
        <v>5</v>
      </c>
    </row>
    <row r="80" spans="1:24" x14ac:dyDescent="0.2">
      <c r="A80" t="s">
        <v>326</v>
      </c>
      <c r="B80">
        <v>6</v>
      </c>
    </row>
    <row r="81" spans="1:2" x14ac:dyDescent="0.2">
      <c r="A81" t="s">
        <v>327</v>
      </c>
      <c r="B81">
        <v>8</v>
      </c>
    </row>
    <row r="82" spans="1:2" x14ac:dyDescent="0.2">
      <c r="A82" t="s">
        <v>328</v>
      </c>
      <c r="B82">
        <v>9</v>
      </c>
    </row>
    <row r="83" spans="1:2" x14ac:dyDescent="0.2">
      <c r="A83" t="s">
        <v>329</v>
      </c>
      <c r="B83">
        <v>10</v>
      </c>
    </row>
    <row r="84" spans="1:2" x14ac:dyDescent="0.2">
      <c r="A84" t="s">
        <v>330</v>
      </c>
      <c r="B84">
        <v>11</v>
      </c>
    </row>
    <row r="85" spans="1:2" x14ac:dyDescent="0.2">
      <c r="A85" t="s">
        <v>331</v>
      </c>
      <c r="B85">
        <v>12</v>
      </c>
    </row>
    <row r="86" spans="1:2" x14ac:dyDescent="0.2">
      <c r="A86" t="s">
        <v>332</v>
      </c>
      <c r="B86">
        <v>13</v>
      </c>
    </row>
    <row r="87" spans="1:2" x14ac:dyDescent="0.2">
      <c r="A87" t="s">
        <v>333</v>
      </c>
      <c r="B87">
        <v>14</v>
      </c>
    </row>
    <row r="88" spans="1:2" x14ac:dyDescent="0.2">
      <c r="A88" t="s">
        <v>334</v>
      </c>
      <c r="B88">
        <v>15</v>
      </c>
    </row>
    <row r="89" spans="1:2" x14ac:dyDescent="0.2">
      <c r="A89" t="s">
        <v>335</v>
      </c>
      <c r="B89">
        <v>16</v>
      </c>
    </row>
    <row r="90" spans="1:2" x14ac:dyDescent="0.2">
      <c r="A90" t="s">
        <v>336</v>
      </c>
      <c r="B90">
        <v>17</v>
      </c>
    </row>
    <row r="91" spans="1:2" x14ac:dyDescent="0.2">
      <c r="A91" t="s">
        <v>337</v>
      </c>
      <c r="B91">
        <v>18</v>
      </c>
    </row>
    <row r="92" spans="1:2" x14ac:dyDescent="0.2">
      <c r="A92" t="s">
        <v>338</v>
      </c>
      <c r="B92">
        <v>19</v>
      </c>
    </row>
    <row r="93" spans="1:2" x14ac:dyDescent="0.2">
      <c r="A93" t="s">
        <v>339</v>
      </c>
      <c r="B93">
        <v>20</v>
      </c>
    </row>
    <row r="94" spans="1:2" x14ac:dyDescent="0.2">
      <c r="A94" t="s">
        <v>340</v>
      </c>
      <c r="B94">
        <v>21</v>
      </c>
    </row>
    <row r="95" spans="1:2" x14ac:dyDescent="0.2">
      <c r="A95" t="s">
        <v>341</v>
      </c>
      <c r="B95">
        <v>22</v>
      </c>
    </row>
    <row r="96" spans="1:2" x14ac:dyDescent="0.2">
      <c r="A96" t="s">
        <v>342</v>
      </c>
      <c r="B96">
        <v>23</v>
      </c>
    </row>
    <row r="97" spans="1:2" x14ac:dyDescent="0.2">
      <c r="A97" t="s">
        <v>343</v>
      </c>
      <c r="B97">
        <v>24</v>
      </c>
    </row>
    <row r="98" spans="1:2" x14ac:dyDescent="0.2">
      <c r="A98" t="s">
        <v>344</v>
      </c>
      <c r="B98">
        <v>25</v>
      </c>
    </row>
    <row r="99" spans="1:2" x14ac:dyDescent="0.2">
      <c r="A99" t="s">
        <v>345</v>
      </c>
      <c r="B99">
        <v>26</v>
      </c>
    </row>
    <row r="100" spans="1:2" x14ac:dyDescent="0.2">
      <c r="A100" t="s">
        <v>346</v>
      </c>
      <c r="B100">
        <v>27</v>
      </c>
    </row>
    <row r="101" spans="1:2" x14ac:dyDescent="0.2">
      <c r="A101" t="s">
        <v>347</v>
      </c>
      <c r="B101">
        <v>28</v>
      </c>
    </row>
    <row r="102" spans="1:2" x14ac:dyDescent="0.2">
      <c r="A102" t="s">
        <v>348</v>
      </c>
      <c r="B102">
        <v>29</v>
      </c>
    </row>
    <row r="103" spans="1:2" x14ac:dyDescent="0.2">
      <c r="A103" t="s">
        <v>349</v>
      </c>
      <c r="B103">
        <v>31</v>
      </c>
    </row>
    <row r="104" spans="1:2" x14ac:dyDescent="0.2">
      <c r="A104" t="s">
        <v>350</v>
      </c>
      <c r="B104">
        <v>32</v>
      </c>
    </row>
    <row r="105" spans="1:2" x14ac:dyDescent="0.2">
      <c r="A105" t="s">
        <v>351</v>
      </c>
      <c r="B105">
        <v>33</v>
      </c>
    </row>
    <row r="106" spans="1:2" x14ac:dyDescent="0.2">
      <c r="A106" t="s">
        <v>352</v>
      </c>
      <c r="B106">
        <v>34</v>
      </c>
    </row>
    <row r="107" spans="1:2" x14ac:dyDescent="0.2">
      <c r="A107" t="s">
        <v>353</v>
      </c>
      <c r="B107">
        <v>35</v>
      </c>
    </row>
    <row r="108" spans="1:2" x14ac:dyDescent="0.2">
      <c r="A108" t="s">
        <v>354</v>
      </c>
      <c r="B108">
        <v>36</v>
      </c>
    </row>
    <row r="109" spans="1:2" x14ac:dyDescent="0.2">
      <c r="A109" t="s">
        <v>355</v>
      </c>
      <c r="B109">
        <v>37</v>
      </c>
    </row>
    <row r="110" spans="1:2" x14ac:dyDescent="0.2">
      <c r="A110" t="s">
        <v>356</v>
      </c>
      <c r="B110">
        <v>38</v>
      </c>
    </row>
    <row r="111" spans="1:2" x14ac:dyDescent="0.2">
      <c r="A111" t="s">
        <v>357</v>
      </c>
      <c r="B111">
        <v>39</v>
      </c>
    </row>
    <row r="112" spans="1:2" x14ac:dyDescent="0.2">
      <c r="A112" t="s">
        <v>358</v>
      </c>
      <c r="B112">
        <v>40</v>
      </c>
    </row>
    <row r="113" spans="1:2" x14ac:dyDescent="0.2">
      <c r="A113" t="s">
        <v>359</v>
      </c>
      <c r="B113">
        <v>41</v>
      </c>
    </row>
    <row r="114" spans="1:2" x14ac:dyDescent="0.2">
      <c r="A114" t="s">
        <v>360</v>
      </c>
      <c r="B114">
        <v>42</v>
      </c>
    </row>
    <row r="115" spans="1:2" x14ac:dyDescent="0.2">
      <c r="A115" t="s">
        <v>361</v>
      </c>
      <c r="B115">
        <v>43</v>
      </c>
    </row>
    <row r="116" spans="1:2" x14ac:dyDescent="0.2">
      <c r="A116" t="s">
        <v>362</v>
      </c>
      <c r="B116">
        <v>44</v>
      </c>
    </row>
    <row r="117" spans="1:2" x14ac:dyDescent="0.2">
      <c r="A117" t="s">
        <v>363</v>
      </c>
      <c r="B117">
        <v>45</v>
      </c>
    </row>
    <row r="118" spans="1:2" x14ac:dyDescent="0.2">
      <c r="A118" t="s">
        <v>364</v>
      </c>
      <c r="B118">
        <v>46</v>
      </c>
    </row>
    <row r="119" spans="1:2" x14ac:dyDescent="0.2">
      <c r="A119" t="s">
        <v>365</v>
      </c>
      <c r="B119">
        <v>47</v>
      </c>
    </row>
    <row r="120" spans="1:2" x14ac:dyDescent="0.2">
      <c r="A120" t="s">
        <v>366</v>
      </c>
      <c r="B120">
        <v>48</v>
      </c>
    </row>
    <row r="121" spans="1:2" x14ac:dyDescent="0.2">
      <c r="A121" t="s">
        <v>367</v>
      </c>
      <c r="B121">
        <v>49</v>
      </c>
    </row>
    <row r="122" spans="1:2" x14ac:dyDescent="0.2">
      <c r="A122" t="s">
        <v>368</v>
      </c>
      <c r="B122">
        <v>50</v>
      </c>
    </row>
    <row r="123" spans="1:2" x14ac:dyDescent="0.2">
      <c r="A123" t="s">
        <v>369</v>
      </c>
      <c r="B123">
        <v>51</v>
      </c>
    </row>
    <row r="124" spans="1:2" x14ac:dyDescent="0.2">
      <c r="A124" t="s">
        <v>370</v>
      </c>
      <c r="B124">
        <v>52</v>
      </c>
    </row>
    <row r="125" spans="1:2" x14ac:dyDescent="0.2">
      <c r="A125" t="s">
        <v>371</v>
      </c>
      <c r="B125">
        <v>54</v>
      </c>
    </row>
    <row r="126" spans="1:2" x14ac:dyDescent="0.2">
      <c r="A126" t="s">
        <v>372</v>
      </c>
      <c r="B126">
        <v>55</v>
      </c>
    </row>
    <row r="127" spans="1:2" x14ac:dyDescent="0.2">
      <c r="A127" t="s">
        <v>373</v>
      </c>
      <c r="B127">
        <v>56</v>
      </c>
    </row>
    <row r="128" spans="1:2" x14ac:dyDescent="0.2">
      <c r="A128" t="s">
        <v>374</v>
      </c>
      <c r="B128">
        <v>57</v>
      </c>
    </row>
    <row r="129" spans="1:23" x14ac:dyDescent="0.2">
      <c r="A129" t="s">
        <v>375</v>
      </c>
      <c r="B129">
        <v>58</v>
      </c>
    </row>
    <row r="130" spans="1:23" x14ac:dyDescent="0.2">
      <c r="A130" t="s">
        <v>376</v>
      </c>
      <c r="B130" t="s">
        <v>377</v>
      </c>
    </row>
    <row r="131" spans="1:23" x14ac:dyDescent="0.2">
      <c r="A131" t="s">
        <v>378</v>
      </c>
      <c r="B131" t="s">
        <v>379</v>
      </c>
    </row>
    <row r="132" spans="1:23" x14ac:dyDescent="0.2">
      <c r="A132" t="s">
        <v>380</v>
      </c>
      <c r="B132" t="s">
        <v>381</v>
      </c>
    </row>
    <row r="133" spans="1:23" x14ac:dyDescent="0.2">
      <c r="A133" t="s">
        <v>382</v>
      </c>
      <c r="B133" t="s">
        <v>383</v>
      </c>
    </row>
    <row r="134" spans="1:23" x14ac:dyDescent="0.2">
      <c r="A134" t="s">
        <v>384</v>
      </c>
      <c r="B134" t="s">
        <v>385</v>
      </c>
    </row>
    <row r="135" spans="1:23" x14ac:dyDescent="0.2">
      <c r="A135" t="s">
        <v>386</v>
      </c>
      <c r="B135" t="s">
        <v>387</v>
      </c>
    </row>
    <row r="136" spans="1:23" x14ac:dyDescent="0.2">
      <c r="A136" t="s">
        <v>388</v>
      </c>
      <c r="B136" t="s">
        <v>389</v>
      </c>
    </row>
    <row r="137" spans="1:23" x14ac:dyDescent="0.2">
      <c r="A137" t="s">
        <v>390</v>
      </c>
      <c r="B137" t="s">
        <v>131</v>
      </c>
      <c r="C137" t="s">
        <v>65</v>
      </c>
      <c r="D137" t="s">
        <v>68</v>
      </c>
      <c r="E137" t="s">
        <v>120</v>
      </c>
      <c r="F137" t="s">
        <v>56</v>
      </c>
      <c r="G137" t="s">
        <v>129</v>
      </c>
      <c r="H137" t="s">
        <v>108</v>
      </c>
      <c r="I137" t="s">
        <v>126</v>
      </c>
      <c r="J137" t="s">
        <v>106</v>
      </c>
      <c r="K137" t="s">
        <v>118</v>
      </c>
      <c r="L137" t="s">
        <v>124</v>
      </c>
      <c r="M137" t="s">
        <v>63</v>
      </c>
      <c r="N137" t="s">
        <v>137</v>
      </c>
      <c r="O137" t="s">
        <v>101</v>
      </c>
      <c r="P137" t="s">
        <v>110</v>
      </c>
      <c r="Q137" t="s">
        <v>133</v>
      </c>
      <c r="R137" t="s">
        <v>99</v>
      </c>
      <c r="S137" t="s">
        <v>58</v>
      </c>
      <c r="T137" t="s">
        <v>84</v>
      </c>
      <c r="U137" t="s">
        <v>122</v>
      </c>
      <c r="V137" t="s">
        <v>52</v>
      </c>
      <c r="W137" t="s">
        <v>114</v>
      </c>
    </row>
    <row r="138" spans="1:23" x14ac:dyDescent="0.2">
      <c r="A138" t="s">
        <v>391</v>
      </c>
      <c r="B138">
        <v>1</v>
      </c>
    </row>
    <row r="139" spans="1:23" x14ac:dyDescent="0.2">
      <c r="A139" t="s">
        <v>392</v>
      </c>
      <c r="B139">
        <v>2</v>
      </c>
    </row>
    <row r="140" spans="1:23" x14ac:dyDescent="0.2">
      <c r="A140" t="s">
        <v>393</v>
      </c>
      <c r="B140">
        <v>3</v>
      </c>
    </row>
    <row r="141" spans="1:23" x14ac:dyDescent="0.2">
      <c r="A141" t="s">
        <v>394</v>
      </c>
      <c r="B141">
        <v>4</v>
      </c>
    </row>
    <row r="142" spans="1:23" x14ac:dyDescent="0.2">
      <c r="A142" t="s">
        <v>395</v>
      </c>
      <c r="B142">
        <v>5</v>
      </c>
    </row>
    <row r="143" spans="1:23" x14ac:dyDescent="0.2">
      <c r="A143" t="s">
        <v>396</v>
      </c>
      <c r="B143">
        <v>6</v>
      </c>
    </row>
    <row r="144" spans="1:23" x14ac:dyDescent="0.2">
      <c r="A144" t="s">
        <v>397</v>
      </c>
      <c r="B144">
        <v>8</v>
      </c>
    </row>
    <row r="145" spans="1:2" x14ac:dyDescent="0.2">
      <c r="A145" t="s">
        <v>398</v>
      </c>
      <c r="B145">
        <v>9</v>
      </c>
    </row>
    <row r="146" spans="1:2" x14ac:dyDescent="0.2">
      <c r="A146" t="s">
        <v>399</v>
      </c>
      <c r="B146">
        <v>10</v>
      </c>
    </row>
    <row r="147" spans="1:2" x14ac:dyDescent="0.2">
      <c r="A147" t="s">
        <v>400</v>
      </c>
      <c r="B147">
        <v>11</v>
      </c>
    </row>
    <row r="148" spans="1:2" x14ac:dyDescent="0.2">
      <c r="A148" t="s">
        <v>401</v>
      </c>
      <c r="B148">
        <v>12</v>
      </c>
    </row>
    <row r="149" spans="1:2" x14ac:dyDescent="0.2">
      <c r="A149" t="s">
        <v>402</v>
      </c>
      <c r="B149">
        <v>13</v>
      </c>
    </row>
    <row r="150" spans="1:2" x14ac:dyDescent="0.2">
      <c r="A150" t="s">
        <v>403</v>
      </c>
      <c r="B150">
        <v>14</v>
      </c>
    </row>
    <row r="151" spans="1:2" x14ac:dyDescent="0.2">
      <c r="A151" t="s">
        <v>404</v>
      </c>
      <c r="B151">
        <v>15</v>
      </c>
    </row>
    <row r="152" spans="1:2" x14ac:dyDescent="0.2">
      <c r="A152" t="s">
        <v>405</v>
      </c>
      <c r="B152">
        <v>16</v>
      </c>
    </row>
    <row r="153" spans="1:2" x14ac:dyDescent="0.2">
      <c r="A153" t="s">
        <v>406</v>
      </c>
      <c r="B153">
        <v>17</v>
      </c>
    </row>
    <row r="154" spans="1:2" x14ac:dyDescent="0.2">
      <c r="A154" t="s">
        <v>407</v>
      </c>
      <c r="B154">
        <v>18</v>
      </c>
    </row>
    <row r="155" spans="1:2" x14ac:dyDescent="0.2">
      <c r="A155" t="s">
        <v>408</v>
      </c>
      <c r="B155">
        <v>19</v>
      </c>
    </row>
    <row r="156" spans="1:2" x14ac:dyDescent="0.2">
      <c r="A156" t="s">
        <v>409</v>
      </c>
      <c r="B156">
        <v>20</v>
      </c>
    </row>
    <row r="157" spans="1:2" x14ac:dyDescent="0.2">
      <c r="A157" t="s">
        <v>410</v>
      </c>
      <c r="B157">
        <v>21</v>
      </c>
    </row>
    <row r="158" spans="1:2" x14ac:dyDescent="0.2">
      <c r="A158" t="s">
        <v>411</v>
      </c>
      <c r="B158">
        <v>22</v>
      </c>
    </row>
    <row r="159" spans="1:2" x14ac:dyDescent="0.2">
      <c r="A159" t="s">
        <v>412</v>
      </c>
      <c r="B159">
        <v>23</v>
      </c>
    </row>
    <row r="160" spans="1:2" x14ac:dyDescent="0.2">
      <c r="A160" t="s">
        <v>413</v>
      </c>
      <c r="B160">
        <v>24</v>
      </c>
    </row>
    <row r="161" spans="1:2" x14ac:dyDescent="0.2">
      <c r="A161" t="s">
        <v>414</v>
      </c>
      <c r="B161">
        <v>25</v>
      </c>
    </row>
    <row r="162" spans="1:2" x14ac:dyDescent="0.2">
      <c r="A162" t="s">
        <v>415</v>
      </c>
      <c r="B162">
        <v>26</v>
      </c>
    </row>
    <row r="163" spans="1:2" x14ac:dyDescent="0.2">
      <c r="A163" t="s">
        <v>416</v>
      </c>
      <c r="B163">
        <v>27</v>
      </c>
    </row>
    <row r="164" spans="1:2" x14ac:dyDescent="0.2">
      <c r="A164" t="s">
        <v>417</v>
      </c>
      <c r="B164">
        <v>28</v>
      </c>
    </row>
    <row r="165" spans="1:2" x14ac:dyDescent="0.2">
      <c r="A165" t="s">
        <v>418</v>
      </c>
      <c r="B165">
        <v>29</v>
      </c>
    </row>
    <row r="166" spans="1:2" x14ac:dyDescent="0.2">
      <c r="A166" t="s">
        <v>419</v>
      </c>
      <c r="B166">
        <v>31</v>
      </c>
    </row>
    <row r="167" spans="1:2" x14ac:dyDescent="0.2">
      <c r="A167" t="s">
        <v>420</v>
      </c>
      <c r="B167">
        <v>32</v>
      </c>
    </row>
    <row r="168" spans="1:2" x14ac:dyDescent="0.2">
      <c r="A168" t="s">
        <v>421</v>
      </c>
      <c r="B168">
        <v>33</v>
      </c>
    </row>
    <row r="169" spans="1:2" x14ac:dyDescent="0.2">
      <c r="A169" t="s">
        <v>422</v>
      </c>
      <c r="B169">
        <v>34</v>
      </c>
    </row>
    <row r="170" spans="1:2" x14ac:dyDescent="0.2">
      <c r="A170" t="s">
        <v>423</v>
      </c>
      <c r="B170">
        <v>35</v>
      </c>
    </row>
    <row r="171" spans="1:2" x14ac:dyDescent="0.2">
      <c r="A171" t="s">
        <v>424</v>
      </c>
      <c r="B171">
        <v>36</v>
      </c>
    </row>
    <row r="172" spans="1:2" x14ac:dyDescent="0.2">
      <c r="A172" t="s">
        <v>425</v>
      </c>
      <c r="B172">
        <v>37</v>
      </c>
    </row>
    <row r="173" spans="1:2" x14ac:dyDescent="0.2">
      <c r="A173" t="s">
        <v>426</v>
      </c>
      <c r="B173">
        <v>38</v>
      </c>
    </row>
    <row r="174" spans="1:2" x14ac:dyDescent="0.2">
      <c r="A174" t="s">
        <v>427</v>
      </c>
      <c r="B174">
        <v>39</v>
      </c>
    </row>
    <row r="175" spans="1:2" x14ac:dyDescent="0.2">
      <c r="A175" t="s">
        <v>428</v>
      </c>
      <c r="B175">
        <v>40</v>
      </c>
    </row>
    <row r="176" spans="1:2" x14ac:dyDescent="0.2">
      <c r="A176" t="s">
        <v>429</v>
      </c>
      <c r="B176">
        <v>41</v>
      </c>
    </row>
    <row r="177" spans="1:2" x14ac:dyDescent="0.2">
      <c r="A177" t="s">
        <v>430</v>
      </c>
      <c r="B177">
        <v>42</v>
      </c>
    </row>
    <row r="178" spans="1:2" x14ac:dyDescent="0.2">
      <c r="A178" t="s">
        <v>431</v>
      </c>
      <c r="B178">
        <v>43</v>
      </c>
    </row>
    <row r="179" spans="1:2" x14ac:dyDescent="0.2">
      <c r="A179" t="s">
        <v>432</v>
      </c>
      <c r="B179">
        <v>44</v>
      </c>
    </row>
    <row r="180" spans="1:2" x14ac:dyDescent="0.2">
      <c r="A180" t="s">
        <v>433</v>
      </c>
      <c r="B180">
        <v>45</v>
      </c>
    </row>
    <row r="181" spans="1:2" x14ac:dyDescent="0.2">
      <c r="A181" t="s">
        <v>434</v>
      </c>
      <c r="B181">
        <v>46</v>
      </c>
    </row>
    <row r="182" spans="1:2" x14ac:dyDescent="0.2">
      <c r="A182" t="s">
        <v>435</v>
      </c>
      <c r="B182">
        <v>47</v>
      </c>
    </row>
    <row r="183" spans="1:2" x14ac:dyDescent="0.2">
      <c r="A183" t="s">
        <v>436</v>
      </c>
      <c r="B183">
        <v>48</v>
      </c>
    </row>
    <row r="184" spans="1:2" x14ac:dyDescent="0.2">
      <c r="A184" t="s">
        <v>437</v>
      </c>
      <c r="B184">
        <v>49</v>
      </c>
    </row>
    <row r="185" spans="1:2" x14ac:dyDescent="0.2">
      <c r="A185" t="s">
        <v>438</v>
      </c>
      <c r="B185">
        <v>50</v>
      </c>
    </row>
    <row r="186" spans="1:2" x14ac:dyDescent="0.2">
      <c r="A186" t="s">
        <v>439</v>
      </c>
      <c r="B186">
        <v>51</v>
      </c>
    </row>
    <row r="187" spans="1:2" x14ac:dyDescent="0.2">
      <c r="A187" t="s">
        <v>440</v>
      </c>
      <c r="B187">
        <v>52</v>
      </c>
    </row>
    <row r="188" spans="1:2" x14ac:dyDescent="0.2">
      <c r="A188" t="s">
        <v>441</v>
      </c>
      <c r="B188">
        <v>54</v>
      </c>
    </row>
    <row r="189" spans="1:2" x14ac:dyDescent="0.2">
      <c r="A189" t="s">
        <v>442</v>
      </c>
      <c r="B189">
        <v>55</v>
      </c>
    </row>
    <row r="190" spans="1:2" x14ac:dyDescent="0.2">
      <c r="A190" t="s">
        <v>443</v>
      </c>
      <c r="B190">
        <v>56</v>
      </c>
    </row>
    <row r="191" spans="1:2" x14ac:dyDescent="0.2">
      <c r="A191" t="s">
        <v>444</v>
      </c>
      <c r="B191">
        <v>57</v>
      </c>
    </row>
    <row r="192" spans="1:2" x14ac:dyDescent="0.2">
      <c r="A192" t="s">
        <v>445</v>
      </c>
      <c r="B192">
        <v>58</v>
      </c>
    </row>
    <row r="193" spans="1:23" x14ac:dyDescent="0.2">
      <c r="A193" t="s">
        <v>446</v>
      </c>
      <c r="B193" t="s">
        <v>447</v>
      </c>
    </row>
    <row r="194" spans="1:23" x14ac:dyDescent="0.2">
      <c r="A194" t="s">
        <v>448</v>
      </c>
      <c r="B194" t="s">
        <v>449</v>
      </c>
    </row>
    <row r="195" spans="1:23" x14ac:dyDescent="0.2">
      <c r="A195" t="s">
        <v>450</v>
      </c>
      <c r="B195" t="s">
        <v>451</v>
      </c>
    </row>
    <row r="196" spans="1:23" x14ac:dyDescent="0.2">
      <c r="A196" t="s">
        <v>452</v>
      </c>
      <c r="B196" t="s">
        <v>453</v>
      </c>
    </row>
    <row r="197" spans="1:23" x14ac:dyDescent="0.2">
      <c r="A197" t="s">
        <v>454</v>
      </c>
      <c r="B197" t="s">
        <v>455</v>
      </c>
    </row>
    <row r="198" spans="1:23" x14ac:dyDescent="0.2">
      <c r="A198" t="s">
        <v>456</v>
      </c>
      <c r="B198" t="s">
        <v>457</v>
      </c>
    </row>
    <row r="199" spans="1:23" x14ac:dyDescent="0.2">
      <c r="A199" t="s">
        <v>458</v>
      </c>
      <c r="B199" t="s">
        <v>459</v>
      </c>
    </row>
    <row r="200" spans="1:23" x14ac:dyDescent="0.2">
      <c r="A200" t="s">
        <v>460</v>
      </c>
      <c r="B200" t="s">
        <v>63</v>
      </c>
      <c r="C200" t="s">
        <v>68</v>
      </c>
      <c r="D200" t="s">
        <v>120</v>
      </c>
      <c r="E200" t="s">
        <v>126</v>
      </c>
      <c r="F200" t="s">
        <v>137</v>
      </c>
      <c r="G200" t="s">
        <v>101</v>
      </c>
      <c r="H200" t="s">
        <v>124</v>
      </c>
      <c r="I200" t="s">
        <v>65</v>
      </c>
      <c r="J200" t="s">
        <v>131</v>
      </c>
      <c r="K200" t="s">
        <v>56</v>
      </c>
      <c r="L200" t="s">
        <v>108</v>
      </c>
      <c r="M200" t="s">
        <v>129</v>
      </c>
      <c r="N200" t="s">
        <v>118</v>
      </c>
      <c r="O200" t="s">
        <v>106</v>
      </c>
      <c r="P200" t="s">
        <v>84</v>
      </c>
      <c r="Q200" t="s">
        <v>99</v>
      </c>
      <c r="R200" t="s">
        <v>114</v>
      </c>
      <c r="S200" t="s">
        <v>133</v>
      </c>
      <c r="T200" t="s">
        <v>122</v>
      </c>
      <c r="U200" t="s">
        <v>52</v>
      </c>
      <c r="V200" t="s">
        <v>58</v>
      </c>
      <c r="W200" t="s">
        <v>110</v>
      </c>
    </row>
    <row r="201" spans="1:23" x14ac:dyDescent="0.2">
      <c r="A201" t="s">
        <v>461</v>
      </c>
      <c r="B201">
        <v>1</v>
      </c>
    </row>
    <row r="202" spans="1:23" x14ac:dyDescent="0.2">
      <c r="A202" t="s">
        <v>462</v>
      </c>
      <c r="B202">
        <v>2</v>
      </c>
    </row>
    <row r="203" spans="1:23" x14ac:dyDescent="0.2">
      <c r="A203" t="s">
        <v>463</v>
      </c>
      <c r="B203">
        <v>3</v>
      </c>
    </row>
    <row r="204" spans="1:23" x14ac:dyDescent="0.2">
      <c r="A204" t="s">
        <v>464</v>
      </c>
      <c r="B204">
        <v>4</v>
      </c>
    </row>
    <row r="205" spans="1:23" x14ac:dyDescent="0.2">
      <c r="A205" t="s">
        <v>465</v>
      </c>
      <c r="B205">
        <v>5</v>
      </c>
    </row>
    <row r="206" spans="1:23" x14ac:dyDescent="0.2">
      <c r="A206" t="s">
        <v>466</v>
      </c>
      <c r="B206">
        <v>6</v>
      </c>
    </row>
    <row r="207" spans="1:23" x14ac:dyDescent="0.2">
      <c r="A207" t="s">
        <v>467</v>
      </c>
      <c r="B207">
        <v>7</v>
      </c>
    </row>
    <row r="208" spans="1:23" x14ac:dyDescent="0.2">
      <c r="A208" t="s">
        <v>468</v>
      </c>
      <c r="B208">
        <v>9</v>
      </c>
    </row>
    <row r="209" spans="1:2" x14ac:dyDescent="0.2">
      <c r="A209" t="s">
        <v>469</v>
      </c>
      <c r="B209">
        <v>10</v>
      </c>
    </row>
    <row r="210" spans="1:2" x14ac:dyDescent="0.2">
      <c r="A210" t="s">
        <v>470</v>
      </c>
      <c r="B210">
        <v>11</v>
      </c>
    </row>
    <row r="211" spans="1:2" x14ac:dyDescent="0.2">
      <c r="A211" t="s">
        <v>471</v>
      </c>
      <c r="B211">
        <v>12</v>
      </c>
    </row>
    <row r="212" spans="1:2" x14ac:dyDescent="0.2">
      <c r="A212" t="s">
        <v>472</v>
      </c>
      <c r="B212">
        <v>13</v>
      </c>
    </row>
    <row r="213" spans="1:2" x14ac:dyDescent="0.2">
      <c r="A213" t="s">
        <v>473</v>
      </c>
      <c r="B213">
        <v>14</v>
      </c>
    </row>
    <row r="214" spans="1:2" x14ac:dyDescent="0.2">
      <c r="A214" t="s">
        <v>474</v>
      </c>
      <c r="B214">
        <v>15</v>
      </c>
    </row>
    <row r="215" spans="1:2" x14ac:dyDescent="0.2">
      <c r="A215" t="s">
        <v>475</v>
      </c>
      <c r="B215">
        <v>16</v>
      </c>
    </row>
    <row r="216" spans="1:2" x14ac:dyDescent="0.2">
      <c r="A216" t="s">
        <v>476</v>
      </c>
      <c r="B216">
        <v>17</v>
      </c>
    </row>
    <row r="217" spans="1:2" x14ac:dyDescent="0.2">
      <c r="A217" t="s">
        <v>477</v>
      </c>
      <c r="B217">
        <v>18</v>
      </c>
    </row>
    <row r="218" spans="1:2" x14ac:dyDescent="0.2">
      <c r="A218" t="s">
        <v>478</v>
      </c>
      <c r="B218">
        <v>19</v>
      </c>
    </row>
    <row r="219" spans="1:2" x14ac:dyDescent="0.2">
      <c r="A219" t="s">
        <v>479</v>
      </c>
      <c r="B219">
        <v>20</v>
      </c>
    </row>
    <row r="220" spans="1:2" x14ac:dyDescent="0.2">
      <c r="A220" t="s">
        <v>480</v>
      </c>
      <c r="B220">
        <v>21</v>
      </c>
    </row>
    <row r="221" spans="1:2" x14ac:dyDescent="0.2">
      <c r="A221" t="s">
        <v>481</v>
      </c>
      <c r="B221">
        <v>22</v>
      </c>
    </row>
    <row r="222" spans="1:2" x14ac:dyDescent="0.2">
      <c r="A222" t="s">
        <v>482</v>
      </c>
      <c r="B222">
        <v>23</v>
      </c>
    </row>
    <row r="223" spans="1:2" x14ac:dyDescent="0.2">
      <c r="A223" t="s">
        <v>483</v>
      </c>
      <c r="B223">
        <v>24</v>
      </c>
    </row>
    <row r="224" spans="1:2" x14ac:dyDescent="0.2">
      <c r="A224" t="s">
        <v>484</v>
      </c>
      <c r="B224">
        <v>25</v>
      </c>
    </row>
    <row r="225" spans="1:2" x14ac:dyDescent="0.2">
      <c r="A225" t="s">
        <v>485</v>
      </c>
      <c r="B225">
        <v>26</v>
      </c>
    </row>
    <row r="226" spans="1:2" x14ac:dyDescent="0.2">
      <c r="A226" t="s">
        <v>486</v>
      </c>
      <c r="B226">
        <v>27</v>
      </c>
    </row>
    <row r="227" spans="1:2" x14ac:dyDescent="0.2">
      <c r="A227" t="s">
        <v>487</v>
      </c>
      <c r="B227">
        <v>28</v>
      </c>
    </row>
    <row r="228" spans="1:2" x14ac:dyDescent="0.2">
      <c r="A228" t="s">
        <v>488</v>
      </c>
      <c r="B228">
        <v>29</v>
      </c>
    </row>
    <row r="229" spans="1:2" x14ac:dyDescent="0.2">
      <c r="A229" t="s">
        <v>489</v>
      </c>
      <c r="B229">
        <v>30</v>
      </c>
    </row>
    <row r="230" spans="1:2" x14ac:dyDescent="0.2">
      <c r="A230" t="s">
        <v>490</v>
      </c>
      <c r="B230">
        <v>31</v>
      </c>
    </row>
    <row r="231" spans="1:2" x14ac:dyDescent="0.2">
      <c r="A231" t="s">
        <v>491</v>
      </c>
      <c r="B231">
        <v>33</v>
      </c>
    </row>
    <row r="232" spans="1:2" x14ac:dyDescent="0.2">
      <c r="A232" t="s">
        <v>492</v>
      </c>
      <c r="B232">
        <v>34</v>
      </c>
    </row>
    <row r="233" spans="1:2" x14ac:dyDescent="0.2">
      <c r="A233" t="s">
        <v>493</v>
      </c>
      <c r="B233">
        <v>35</v>
      </c>
    </row>
    <row r="234" spans="1:2" x14ac:dyDescent="0.2">
      <c r="A234" t="s">
        <v>494</v>
      </c>
      <c r="B234">
        <v>36</v>
      </c>
    </row>
    <row r="235" spans="1:2" x14ac:dyDescent="0.2">
      <c r="A235" t="s">
        <v>495</v>
      </c>
      <c r="B235">
        <v>37</v>
      </c>
    </row>
    <row r="236" spans="1:2" x14ac:dyDescent="0.2">
      <c r="A236" t="s">
        <v>496</v>
      </c>
      <c r="B236">
        <v>38</v>
      </c>
    </row>
    <row r="237" spans="1:2" x14ac:dyDescent="0.2">
      <c r="A237" t="s">
        <v>497</v>
      </c>
      <c r="B237">
        <v>39</v>
      </c>
    </row>
    <row r="238" spans="1:2" x14ac:dyDescent="0.2">
      <c r="A238" t="s">
        <v>498</v>
      </c>
      <c r="B238">
        <v>40</v>
      </c>
    </row>
    <row r="239" spans="1:2" x14ac:dyDescent="0.2">
      <c r="A239" t="s">
        <v>499</v>
      </c>
      <c r="B239">
        <v>41</v>
      </c>
    </row>
    <row r="240" spans="1:2" x14ac:dyDescent="0.2">
      <c r="A240" t="s">
        <v>500</v>
      </c>
      <c r="B240">
        <v>42</v>
      </c>
    </row>
    <row r="241" spans="1:2" x14ac:dyDescent="0.2">
      <c r="A241" t="s">
        <v>501</v>
      </c>
      <c r="B241">
        <v>43</v>
      </c>
    </row>
    <row r="242" spans="1:2" x14ac:dyDescent="0.2">
      <c r="A242" t="s">
        <v>502</v>
      </c>
      <c r="B242">
        <v>44</v>
      </c>
    </row>
    <row r="243" spans="1:2" x14ac:dyDescent="0.2">
      <c r="A243" t="s">
        <v>503</v>
      </c>
      <c r="B243">
        <v>45</v>
      </c>
    </row>
    <row r="244" spans="1:2" x14ac:dyDescent="0.2">
      <c r="A244" t="s">
        <v>504</v>
      </c>
      <c r="B244">
        <v>46</v>
      </c>
    </row>
    <row r="245" spans="1:2" x14ac:dyDescent="0.2">
      <c r="A245" t="s">
        <v>505</v>
      </c>
      <c r="B245">
        <v>47</v>
      </c>
    </row>
    <row r="246" spans="1:2" x14ac:dyDescent="0.2">
      <c r="A246" t="s">
        <v>506</v>
      </c>
      <c r="B246">
        <v>48</v>
      </c>
    </row>
    <row r="247" spans="1:2" x14ac:dyDescent="0.2">
      <c r="A247" t="s">
        <v>507</v>
      </c>
      <c r="B247">
        <v>49</v>
      </c>
    </row>
    <row r="248" spans="1:2" x14ac:dyDescent="0.2">
      <c r="A248" t="s">
        <v>508</v>
      </c>
      <c r="B248">
        <v>50</v>
      </c>
    </row>
    <row r="249" spans="1:2" x14ac:dyDescent="0.2">
      <c r="A249" t="s">
        <v>509</v>
      </c>
      <c r="B249">
        <v>51</v>
      </c>
    </row>
    <row r="250" spans="1:2" x14ac:dyDescent="0.2">
      <c r="A250" t="s">
        <v>510</v>
      </c>
      <c r="B250">
        <v>52</v>
      </c>
    </row>
    <row r="251" spans="1:2" x14ac:dyDescent="0.2">
      <c r="A251" t="s">
        <v>511</v>
      </c>
      <c r="B251">
        <v>53</v>
      </c>
    </row>
    <row r="252" spans="1:2" x14ac:dyDescent="0.2">
      <c r="A252" t="s">
        <v>512</v>
      </c>
      <c r="B252">
        <v>54</v>
      </c>
    </row>
    <row r="253" spans="1:2" x14ac:dyDescent="0.2">
      <c r="A253" t="s">
        <v>513</v>
      </c>
      <c r="B253">
        <v>55</v>
      </c>
    </row>
    <row r="254" spans="1:2" x14ac:dyDescent="0.2">
      <c r="A254" t="s">
        <v>514</v>
      </c>
      <c r="B254">
        <v>57</v>
      </c>
    </row>
    <row r="255" spans="1:2" x14ac:dyDescent="0.2">
      <c r="A255" t="s">
        <v>515</v>
      </c>
      <c r="B255">
        <v>58</v>
      </c>
    </row>
    <row r="256" spans="1:2" x14ac:dyDescent="0.2">
      <c r="A256" t="s">
        <v>516</v>
      </c>
      <c r="B256">
        <v>59</v>
      </c>
    </row>
    <row r="257" spans="1:2" x14ac:dyDescent="0.2">
      <c r="A257" t="s">
        <v>517</v>
      </c>
      <c r="B257">
        <v>61</v>
      </c>
    </row>
    <row r="258" spans="1:2" x14ac:dyDescent="0.2">
      <c r="A258" t="s">
        <v>518</v>
      </c>
      <c r="B258">
        <v>62</v>
      </c>
    </row>
    <row r="259" spans="1:2" x14ac:dyDescent="0.2">
      <c r="A259" t="s">
        <v>519</v>
      </c>
      <c r="B259">
        <v>63</v>
      </c>
    </row>
    <row r="260" spans="1:2" x14ac:dyDescent="0.2">
      <c r="A260" t="s">
        <v>520</v>
      </c>
      <c r="B260">
        <v>64</v>
      </c>
    </row>
    <row r="261" spans="1:2" x14ac:dyDescent="0.2">
      <c r="A261" t="s">
        <v>521</v>
      </c>
      <c r="B261">
        <v>65</v>
      </c>
    </row>
    <row r="262" spans="1:2" x14ac:dyDescent="0.2">
      <c r="A262" t="s">
        <v>522</v>
      </c>
      <c r="B262">
        <v>67</v>
      </c>
    </row>
    <row r="263" spans="1:2" x14ac:dyDescent="0.2">
      <c r="A263" t="s">
        <v>523</v>
      </c>
      <c r="B263">
        <v>68</v>
      </c>
    </row>
    <row r="264" spans="1:2" x14ac:dyDescent="0.2">
      <c r="A264" t="s">
        <v>524</v>
      </c>
      <c r="B264">
        <v>69</v>
      </c>
    </row>
    <row r="265" spans="1:2" x14ac:dyDescent="0.2">
      <c r="A265" t="s">
        <v>525</v>
      </c>
      <c r="B265">
        <v>70</v>
      </c>
    </row>
    <row r="266" spans="1:2" x14ac:dyDescent="0.2">
      <c r="A266" t="s">
        <v>526</v>
      </c>
      <c r="B266">
        <v>71</v>
      </c>
    </row>
    <row r="267" spans="1:2" x14ac:dyDescent="0.2">
      <c r="A267" t="s">
        <v>527</v>
      </c>
      <c r="B267" t="s">
        <v>528</v>
      </c>
    </row>
    <row r="268" spans="1:2" x14ac:dyDescent="0.2">
      <c r="A268" t="s">
        <v>529</v>
      </c>
      <c r="B268" t="s">
        <v>530</v>
      </c>
    </row>
    <row r="269" spans="1:2" x14ac:dyDescent="0.2">
      <c r="A269" t="s">
        <v>531</v>
      </c>
      <c r="B269" t="s">
        <v>532</v>
      </c>
    </row>
    <row r="270" spans="1:2" x14ac:dyDescent="0.2">
      <c r="A270" t="s">
        <v>533</v>
      </c>
      <c r="B270" t="s">
        <v>534</v>
      </c>
    </row>
    <row r="271" spans="1:2" x14ac:dyDescent="0.2">
      <c r="A271" t="s">
        <v>535</v>
      </c>
      <c r="B271" t="s">
        <v>536</v>
      </c>
    </row>
    <row r="272" spans="1:2" x14ac:dyDescent="0.2">
      <c r="A272" t="s">
        <v>537</v>
      </c>
      <c r="B272" t="s">
        <v>538</v>
      </c>
    </row>
    <row r="273" spans="1:24" x14ac:dyDescent="0.2">
      <c r="A273" t="s">
        <v>539</v>
      </c>
      <c r="B273" t="s">
        <v>540</v>
      </c>
    </row>
    <row r="274" spans="1:24" x14ac:dyDescent="0.2">
      <c r="A274" t="s">
        <v>541</v>
      </c>
      <c r="B274" t="s">
        <v>124</v>
      </c>
      <c r="C274" t="s">
        <v>68</v>
      </c>
      <c r="D274" t="s">
        <v>82</v>
      </c>
      <c r="E274" t="s">
        <v>126</v>
      </c>
      <c r="F274" t="s">
        <v>129</v>
      </c>
      <c r="G274" t="s">
        <v>106</v>
      </c>
      <c r="H274" t="s">
        <v>120</v>
      </c>
      <c r="I274" t="s">
        <v>63</v>
      </c>
      <c r="J274" t="s">
        <v>99</v>
      </c>
      <c r="K274" t="s">
        <v>122</v>
      </c>
      <c r="L274" t="s">
        <v>52</v>
      </c>
      <c r="M274" t="s">
        <v>86</v>
      </c>
      <c r="N274" t="s">
        <v>101</v>
      </c>
      <c r="O274" t="s">
        <v>56</v>
      </c>
      <c r="P274" t="s">
        <v>110</v>
      </c>
      <c r="Q274" t="s">
        <v>108</v>
      </c>
      <c r="R274" t="s">
        <v>118</v>
      </c>
      <c r="S274" t="s">
        <v>65</v>
      </c>
      <c r="T274" t="s">
        <v>131</v>
      </c>
      <c r="U274" t="s">
        <v>58</v>
      </c>
      <c r="V274" t="s">
        <v>84</v>
      </c>
      <c r="W274" t="s">
        <v>114</v>
      </c>
      <c r="X274" t="s">
        <v>133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/>
  </sheetPr>
  <dimension ref="A1:BG18"/>
  <sheetViews>
    <sheetView tabSelected="1" workbookViewId="0">
      <pane xSplit="2" topLeftCell="AM1" activePane="topRight" state="frozen"/>
      <selection pane="topRight" activeCell="AN10" sqref="AN10"/>
    </sheetView>
  </sheetViews>
  <sheetFormatPr baseColWidth="10" defaultColWidth="8.83203125" defaultRowHeight="15" outlineLevelRow="2" x14ac:dyDescent="0.2"/>
  <cols>
    <col min="2" max="2" width="24.6640625" style="4" customWidth="1"/>
    <col min="3" max="4" width="10.6640625" style="4" customWidth="1"/>
    <col min="7" max="7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7" max="20" width="12.6640625" style="4" customWidth="1"/>
    <col min="21" max="25" width="11.6640625" style="4" customWidth="1"/>
    <col min="26" max="29" width="8.83203125" customWidth="1"/>
    <col min="30" max="30" width="1.6640625" style="4" customWidth="1"/>
    <col min="31" max="32" width="8.83203125" customWidth="1"/>
    <col min="33" max="36" width="10.6640625" style="4" customWidth="1"/>
    <col min="37" max="37" width="24.6640625" style="4" customWidth="1"/>
    <col min="38" max="38" width="12.6640625" style="4" customWidth="1"/>
    <col min="39" max="39" width="10.6640625" style="4" customWidth="1"/>
    <col min="40" max="43" width="12.6640625" style="4" customWidth="1"/>
    <col min="44" max="48" width="11.6640625" style="4" customWidth="1"/>
    <col min="53" max="53" width="1.6640625" style="4" customWidth="1"/>
    <col min="59" max="59" width="1.6640625" style="4" customWidth="1"/>
  </cols>
  <sheetData>
    <row r="1" spans="1:58" x14ac:dyDescent="0.2">
      <c r="A1" s="144" t="s">
        <v>542</v>
      </c>
      <c r="B1" s="127"/>
      <c r="C1" s="127"/>
      <c r="D1" s="127"/>
      <c r="E1" s="127"/>
      <c r="F1" s="127"/>
      <c r="H1" s="140" t="s">
        <v>574</v>
      </c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E1" s="141" t="s">
        <v>576</v>
      </c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</row>
    <row r="2" spans="1:58" ht="30" customHeight="1" x14ac:dyDescent="0.2">
      <c r="A2" s="146" t="s">
        <v>140</v>
      </c>
      <c r="B2" s="145" t="s">
        <v>141</v>
      </c>
      <c r="C2" s="146" t="s">
        <v>143</v>
      </c>
      <c r="D2" s="145" t="s">
        <v>144</v>
      </c>
      <c r="E2" s="146" t="s">
        <v>145</v>
      </c>
      <c r="F2" s="145" t="s">
        <v>146</v>
      </c>
      <c r="H2" s="146" t="s">
        <v>543</v>
      </c>
      <c r="I2" s="145" t="s">
        <v>147</v>
      </c>
      <c r="J2" s="143" t="s">
        <v>148</v>
      </c>
      <c r="K2" s="127"/>
      <c r="L2" s="127"/>
      <c r="M2" s="127"/>
      <c r="N2" s="146" t="s">
        <v>149</v>
      </c>
      <c r="O2" s="145" t="s">
        <v>150</v>
      </c>
      <c r="P2" s="146" t="s">
        <v>85</v>
      </c>
      <c r="Q2" s="142" t="s">
        <v>151</v>
      </c>
      <c r="R2" s="127"/>
      <c r="S2" s="127"/>
      <c r="T2" s="127"/>
      <c r="U2" s="143" t="s">
        <v>152</v>
      </c>
      <c r="V2" s="127"/>
      <c r="W2" s="142" t="s">
        <v>153</v>
      </c>
      <c r="X2" s="127"/>
      <c r="Y2" s="127"/>
      <c r="Z2" s="143" t="s">
        <v>154</v>
      </c>
      <c r="AA2" s="127"/>
      <c r="AB2" s="142" t="s">
        <v>155</v>
      </c>
      <c r="AC2" s="127"/>
      <c r="AE2" s="146" t="s">
        <v>543</v>
      </c>
      <c r="AF2" s="145" t="s">
        <v>147</v>
      </c>
      <c r="AG2" s="143" t="s">
        <v>148</v>
      </c>
      <c r="AH2" s="127"/>
      <c r="AI2" s="127"/>
      <c r="AJ2" s="127"/>
      <c r="AK2" s="146" t="s">
        <v>156</v>
      </c>
      <c r="AL2" s="145" t="s">
        <v>150</v>
      </c>
      <c r="AM2" s="146" t="s">
        <v>85</v>
      </c>
      <c r="AN2" s="142" t="s">
        <v>151</v>
      </c>
      <c r="AO2" s="127"/>
      <c r="AP2" s="127"/>
      <c r="AQ2" s="127"/>
      <c r="AR2" s="143" t="s">
        <v>152</v>
      </c>
      <c r="AS2" s="127"/>
      <c r="AT2" s="142" t="s">
        <v>153</v>
      </c>
      <c r="AU2" s="127"/>
      <c r="AV2" s="127"/>
      <c r="AW2" s="143" t="s">
        <v>154</v>
      </c>
      <c r="AX2" s="127"/>
      <c r="AY2" s="142" t="s">
        <v>155</v>
      </c>
      <c r="AZ2" s="127"/>
      <c r="BB2" s="143" t="s">
        <v>23</v>
      </c>
      <c r="BC2" s="127"/>
      <c r="BD2" s="127"/>
      <c r="BE2" s="145" t="s">
        <v>158</v>
      </c>
      <c r="BF2" s="146" t="s">
        <v>158</v>
      </c>
    </row>
    <row r="3" spans="1:58" ht="28.75" customHeight="1" x14ac:dyDescent="0.2">
      <c r="A3" s="129"/>
      <c r="B3" s="129"/>
      <c r="C3" s="129"/>
      <c r="D3" s="129"/>
      <c r="E3" s="129"/>
      <c r="F3" s="129"/>
      <c r="H3" s="129"/>
      <c r="I3" s="129"/>
      <c r="J3" s="105" t="s">
        <v>25</v>
      </c>
      <c r="K3" s="105" t="s">
        <v>159</v>
      </c>
      <c r="L3" s="105" t="s">
        <v>24</v>
      </c>
      <c r="M3" s="105" t="s">
        <v>160</v>
      </c>
      <c r="N3" s="129"/>
      <c r="O3" s="129"/>
      <c r="P3" s="129"/>
      <c r="Q3" s="104" t="s">
        <v>25</v>
      </c>
      <c r="R3" s="104" t="s">
        <v>24</v>
      </c>
      <c r="S3" s="104" t="s">
        <v>161</v>
      </c>
      <c r="T3" s="104" t="s">
        <v>26</v>
      </c>
      <c r="U3" s="105" t="s">
        <v>11</v>
      </c>
      <c r="V3" s="105" t="s">
        <v>12</v>
      </c>
      <c r="W3" s="104" t="s">
        <v>13</v>
      </c>
      <c r="X3" s="104" t="s">
        <v>14</v>
      </c>
      <c r="Y3" s="104" t="s">
        <v>15</v>
      </c>
      <c r="Z3" s="105" t="s">
        <v>35</v>
      </c>
      <c r="AA3" s="105" t="s">
        <v>36</v>
      </c>
      <c r="AB3" s="104" t="s">
        <v>35</v>
      </c>
      <c r="AC3" s="104" t="s">
        <v>36</v>
      </c>
      <c r="AE3" s="129"/>
      <c r="AF3" s="129"/>
      <c r="AG3" s="105" t="s">
        <v>25</v>
      </c>
      <c r="AH3" s="105" t="s">
        <v>159</v>
      </c>
      <c r="AI3" s="105" t="s">
        <v>24</v>
      </c>
      <c r="AJ3" s="105" t="s">
        <v>160</v>
      </c>
      <c r="AK3" s="129"/>
      <c r="AL3" s="129"/>
      <c r="AM3" s="129"/>
      <c r="AN3" s="104" t="s">
        <v>25</v>
      </c>
      <c r="AO3" s="104" t="s">
        <v>24</v>
      </c>
      <c r="AP3" s="104" t="s">
        <v>161</v>
      </c>
      <c r="AQ3" s="104" t="s">
        <v>26</v>
      </c>
      <c r="AR3" s="105" t="s">
        <v>11</v>
      </c>
      <c r="AS3" s="105" t="s">
        <v>12</v>
      </c>
      <c r="AT3" s="104" t="s">
        <v>13</v>
      </c>
      <c r="AU3" s="104" t="s">
        <v>14</v>
      </c>
      <c r="AV3" s="104" t="s">
        <v>15</v>
      </c>
      <c r="AW3" s="105" t="s">
        <v>35</v>
      </c>
      <c r="AX3" s="105" t="s">
        <v>36</v>
      </c>
      <c r="AY3" s="104" t="s">
        <v>35</v>
      </c>
      <c r="AZ3" s="104" t="s">
        <v>36</v>
      </c>
      <c r="BB3" s="105" t="s">
        <v>25</v>
      </c>
      <c r="BC3" s="105" t="s">
        <v>24</v>
      </c>
      <c r="BD3" s="105" t="s">
        <v>26</v>
      </c>
      <c r="BE3" s="129"/>
      <c r="BF3" s="129"/>
    </row>
    <row r="4" spans="1:58" ht="123" hidden="1" customHeight="1" x14ac:dyDescent="0.2">
      <c r="A4" s="9" t="s">
        <v>162</v>
      </c>
      <c r="B4" s="10" t="s">
        <v>163</v>
      </c>
      <c r="C4" s="9" t="s">
        <v>165</v>
      </c>
      <c r="D4" s="10" t="s">
        <v>166</v>
      </c>
      <c r="E4" s="9" t="s">
        <v>167</v>
      </c>
      <c r="F4" s="10" t="s">
        <v>168</v>
      </c>
      <c r="H4" s="9" t="s">
        <v>544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179</v>
      </c>
      <c r="R4" s="10" t="s">
        <v>180</v>
      </c>
      <c r="S4" s="10" t="s">
        <v>181</v>
      </c>
      <c r="T4" s="10" t="s">
        <v>182</v>
      </c>
      <c r="U4" s="9" t="s">
        <v>183</v>
      </c>
      <c r="V4" s="9" t="s">
        <v>184</v>
      </c>
      <c r="W4" s="10" t="s">
        <v>185</v>
      </c>
      <c r="X4" s="10" t="s">
        <v>186</v>
      </c>
      <c r="Y4" s="10" t="s">
        <v>187</v>
      </c>
      <c r="Z4" s="9" t="s">
        <v>188</v>
      </c>
      <c r="AA4" s="9" t="s">
        <v>189</v>
      </c>
      <c r="AB4" s="10" t="s">
        <v>190</v>
      </c>
      <c r="AC4" s="10" t="s">
        <v>191</v>
      </c>
      <c r="AE4" s="9" t="s">
        <v>545</v>
      </c>
      <c r="AF4" s="10" t="s">
        <v>192</v>
      </c>
      <c r="AG4" s="9" t="s">
        <v>193</v>
      </c>
      <c r="AH4" s="9" t="s">
        <v>194</v>
      </c>
      <c r="AI4" s="9" t="s">
        <v>195</v>
      </c>
      <c r="AJ4" s="9" t="s">
        <v>196</v>
      </c>
      <c r="AK4" s="9" t="s">
        <v>197</v>
      </c>
      <c r="AL4" s="10" t="s">
        <v>198</v>
      </c>
      <c r="AM4" s="9" t="s">
        <v>199</v>
      </c>
      <c r="AN4" s="10" t="s">
        <v>202</v>
      </c>
      <c r="AO4" s="10" t="s">
        <v>203</v>
      </c>
      <c r="AP4" s="10" t="s">
        <v>204</v>
      </c>
      <c r="AQ4" s="10" t="s">
        <v>205</v>
      </c>
      <c r="AR4" s="9" t="s">
        <v>206</v>
      </c>
      <c r="AS4" s="9" t="s">
        <v>207</v>
      </c>
      <c r="AT4" s="10" t="s">
        <v>208</v>
      </c>
      <c r="AU4" s="10" t="s">
        <v>209</v>
      </c>
      <c r="AV4" s="10" t="s">
        <v>210</v>
      </c>
      <c r="AW4" s="9" t="s">
        <v>211</v>
      </c>
      <c r="AX4" s="9" t="s">
        <v>212</v>
      </c>
      <c r="AY4" s="10" t="s">
        <v>213</v>
      </c>
      <c r="AZ4" s="10" t="s">
        <v>214</v>
      </c>
      <c r="BB4" s="9" t="s">
        <v>546</v>
      </c>
      <c r="BC4" s="9" t="s">
        <v>547</v>
      </c>
      <c r="BD4" s="9" t="s">
        <v>548</v>
      </c>
      <c r="BE4" s="10" t="s">
        <v>216</v>
      </c>
      <c r="BF4" s="9" t="s">
        <v>217</v>
      </c>
    </row>
    <row r="5" spans="1:58" collapsed="1" x14ac:dyDescent="0.2">
      <c r="A5" s="77" t="s">
        <v>228</v>
      </c>
      <c r="B5" s="77" t="s">
        <v>54</v>
      </c>
      <c r="C5" s="77">
        <v>238146391</v>
      </c>
      <c r="D5" s="11">
        <v>10</v>
      </c>
      <c r="E5" s="11">
        <v>32</v>
      </c>
      <c r="F5" s="11">
        <v>30</v>
      </c>
      <c r="H5" s="18">
        <f>IF(ISBLANK(Q5),"·",Q5/(C5*D5*3))</f>
        <v>3.0931766391258615E-2</v>
      </c>
      <c r="I5" s="12">
        <f>IF(OR(ISBLANK(Q5),ISBLANK(F5)),"·",Q5*F5/E5/1000000)</f>
        <v>207.17686499999999</v>
      </c>
      <c r="J5" s="13">
        <f>IF(ISBLANK(Q5),"·",Q5/C5)</f>
        <v>0.92795299173775847</v>
      </c>
      <c r="K5" s="13">
        <f>IF(N5="","·",N5/C5)</f>
        <v>0.14368076650802572</v>
      </c>
      <c r="L5" s="13">
        <f>IF(R5="","·",R5/C5)</f>
        <v>0.13532906320633681</v>
      </c>
      <c r="M5" s="13">
        <f>IF(ISBLANK(T5),"·",T5/C5)</f>
        <v>0.78426973936380162</v>
      </c>
      <c r="N5" s="77">
        <f>IF(OR(ISBLANK(R5),ISBLANK(S5)),"",R5+S5)</f>
        <v>34217056</v>
      </c>
      <c r="O5" s="13">
        <v>16</v>
      </c>
      <c r="P5" s="14">
        <v>24964341</v>
      </c>
      <c r="Q5" s="15">
        <v>220988656</v>
      </c>
      <c r="R5" s="15">
        <v>32228128</v>
      </c>
      <c r="S5" s="15">
        <v>1988928</v>
      </c>
      <c r="T5" s="15">
        <v>186771008</v>
      </c>
      <c r="U5" s="16" t="s">
        <v>549</v>
      </c>
      <c r="V5" s="16" t="s">
        <v>549</v>
      </c>
      <c r="W5" s="16" t="s">
        <v>549</v>
      </c>
      <c r="X5" s="16" t="s">
        <v>549</v>
      </c>
      <c r="Y5" s="16" t="s">
        <v>549</v>
      </c>
      <c r="Z5" s="17"/>
      <c r="AA5" s="17"/>
      <c r="AB5" s="17"/>
      <c r="AC5" s="17"/>
      <c r="AE5" s="18">
        <f>IF(ISBLANK(AN5),"·",AN5/(C5*D5*3))</f>
        <v>3.0931766391258615E-2</v>
      </c>
      <c r="AF5" s="12">
        <f>IF(OR(ISBLANK(AN5),ISBLANK(F5)),"·",AN5*F5/E5/1000000)</f>
        <v>207.17686499999999</v>
      </c>
      <c r="AG5" s="13">
        <f>IF(ISBLANK(AN5),"·",AN5/C5)</f>
        <v>0.92795299173775847</v>
      </c>
      <c r="AH5" s="13">
        <f>IF(AK5="","·",AK5/C5)</f>
        <v>0.14368076650802572</v>
      </c>
      <c r="AI5" s="13">
        <f>IF(AO5="","·",AO5/C5)</f>
        <v>0.13532906320633681</v>
      </c>
      <c r="AJ5" s="13">
        <f>IF(ISBLANK(AQ5),"·",AQ5/C5)</f>
        <v>0.78426973936380162</v>
      </c>
      <c r="AK5" s="77">
        <f>IF(OR(ISBLANK(AO5),ISBLANK(AP5)),"",AO5+AP5)</f>
        <v>34217056</v>
      </c>
      <c r="AL5" s="13">
        <v>16</v>
      </c>
      <c r="AM5" s="14">
        <v>24964341</v>
      </c>
      <c r="AN5" s="15">
        <v>220988656</v>
      </c>
      <c r="AO5" s="15">
        <v>32228128</v>
      </c>
      <c r="AP5" s="15">
        <v>1988928</v>
      </c>
      <c r="AQ5" s="15">
        <v>186771008</v>
      </c>
      <c r="AR5" s="16"/>
      <c r="AS5" s="16"/>
      <c r="AT5" s="16"/>
      <c r="AU5" s="16"/>
      <c r="AV5" s="16"/>
      <c r="AW5" s="17"/>
      <c r="AX5" s="17"/>
      <c r="AY5" s="17"/>
      <c r="AZ5" s="17"/>
      <c r="BB5" s="79">
        <f t="shared" ref="BB5:BB14" si="0">AG5/J5</f>
        <v>1</v>
      </c>
      <c r="BC5" s="79">
        <f t="shared" ref="BC5:BD14" si="1">AI5/L5</f>
        <v>1</v>
      </c>
      <c r="BD5" s="79">
        <f t="shared" si="1"/>
        <v>1</v>
      </c>
      <c r="BE5" s="18">
        <f>(AK5/AN5) - (N5/Q5)</f>
        <v>0</v>
      </c>
      <c r="BF5" s="18">
        <f t="array" ref="BF5">AVERAGE(AK5:AK5/AN5:AN5) - AVERAGE(N5:N5/Q5:Q5)</f>
        <v>0</v>
      </c>
    </row>
    <row r="6" spans="1:58" collapsed="1" x14ac:dyDescent="0.2">
      <c r="A6" s="69"/>
      <c r="B6" s="69" t="s">
        <v>62</v>
      </c>
      <c r="C6" s="69">
        <v>218121242</v>
      </c>
      <c r="D6" s="19">
        <v>10</v>
      </c>
      <c r="E6" s="19">
        <v>32</v>
      </c>
      <c r="F6" s="19">
        <v>30</v>
      </c>
      <c r="H6" s="26">
        <f>IF(ISBLANK(Q6),"·",Q6/(C6*D6*3))</f>
        <v>4.4071480820438998E-2</v>
      </c>
      <c r="I6" s="20">
        <f>IF(OR(ISBLANK(Q6),ISBLANK(F6)),"·",Q6*F6/E6/1000000)</f>
        <v>270.36354749999998</v>
      </c>
      <c r="J6" s="21">
        <f>IF(ISBLANK(Q6),"·",Q6/C6)</f>
        <v>1.3221444246131699</v>
      </c>
      <c r="K6" s="21">
        <f>IF(N6="","·",N6/C6)</f>
        <v>0.17337550278573968</v>
      </c>
      <c r="L6" s="21">
        <f>IF(R6="","·",R6/C6)</f>
        <v>0.15905455003781796</v>
      </c>
      <c r="M6" s="21">
        <f>IF(ISBLANK(T6),"·",T6/C6)</f>
        <v>1.1487662077405556</v>
      </c>
      <c r="N6" s="69">
        <f>IF(OR(ISBLANK(R6),ISBLANK(S6)),"",R6+S6)</f>
        <v>37816880</v>
      </c>
      <c r="O6" s="21">
        <v>16</v>
      </c>
      <c r="P6" s="22">
        <v>22654789</v>
      </c>
      <c r="Q6" s="23">
        <v>288387784</v>
      </c>
      <c r="R6" s="23">
        <v>34693176</v>
      </c>
      <c r="S6" s="23">
        <v>3123704</v>
      </c>
      <c r="T6" s="23">
        <v>250570312</v>
      </c>
      <c r="U6" s="24" t="s">
        <v>549</v>
      </c>
      <c r="V6" s="24" t="s">
        <v>549</v>
      </c>
      <c r="W6" s="24" t="s">
        <v>549</v>
      </c>
      <c r="X6" s="24" t="s">
        <v>549</v>
      </c>
      <c r="Y6" s="24" t="s">
        <v>549</v>
      </c>
      <c r="Z6" s="25"/>
      <c r="AA6" s="25"/>
      <c r="AB6" s="25"/>
      <c r="AC6" s="25"/>
      <c r="AE6" s="26">
        <f>IF(ISBLANK(AN6),"·",AN6/(C6*D6*3))</f>
        <v>4.4071480820438998E-2</v>
      </c>
      <c r="AF6" s="20">
        <f>IF(OR(ISBLANK(AN6),ISBLANK(F6)),"·",AN6*F6/E6/1000000)</f>
        <v>270.36354749999998</v>
      </c>
      <c r="AG6" s="21">
        <f>IF(ISBLANK(AN6),"·",AN6/C6)</f>
        <v>1.3221444246131699</v>
      </c>
      <c r="AH6" s="21">
        <f>IF(AK6="","·",AK6/C6)</f>
        <v>0.17337550278573968</v>
      </c>
      <c r="AI6" s="21">
        <f>IF(AO6="","·",AO6/C6)</f>
        <v>0.15905455003781796</v>
      </c>
      <c r="AJ6" s="21">
        <f>IF(ISBLANK(AQ6),"·",AQ6/C6)</f>
        <v>1.1487662077405556</v>
      </c>
      <c r="AK6" s="69">
        <f>IF(OR(ISBLANK(AO6),ISBLANK(AP6)),"",AO6+AP6)</f>
        <v>37816880</v>
      </c>
      <c r="AL6" s="21">
        <v>16</v>
      </c>
      <c r="AM6" s="22">
        <v>22654789</v>
      </c>
      <c r="AN6" s="23">
        <v>288387784</v>
      </c>
      <c r="AO6" s="23">
        <v>34693176</v>
      </c>
      <c r="AP6" s="23">
        <v>3123704</v>
      </c>
      <c r="AQ6" s="23">
        <v>250570312</v>
      </c>
      <c r="AR6" s="24"/>
      <c r="AS6" s="24"/>
      <c r="AT6" s="24"/>
      <c r="AU6" s="24"/>
      <c r="AV6" s="24"/>
      <c r="AW6" s="25"/>
      <c r="AX6" s="25"/>
      <c r="AY6" s="25"/>
      <c r="AZ6" s="25"/>
      <c r="BB6" s="71">
        <f t="shared" si="0"/>
        <v>1</v>
      </c>
      <c r="BC6" s="71">
        <f t="shared" si="1"/>
        <v>1</v>
      </c>
      <c r="BD6" s="71">
        <f t="shared" si="1"/>
        <v>1</v>
      </c>
      <c r="BE6" s="26">
        <f>(AK6/AN6) - (N6/Q6)</f>
        <v>0</v>
      </c>
      <c r="BF6" s="26">
        <f t="array" ref="BF6">AVERAGE(AK6:AK6/AN6:AN6) - AVERAGE(N6:N6/Q6:Q6)</f>
        <v>0</v>
      </c>
    </row>
    <row r="7" spans="1:58" collapsed="1" x14ac:dyDescent="0.2">
      <c r="A7" s="77"/>
      <c r="B7" s="77" t="s">
        <v>67</v>
      </c>
      <c r="C7" s="77">
        <v>322589704</v>
      </c>
      <c r="D7" s="11">
        <v>10</v>
      </c>
      <c r="E7" s="11">
        <v>32</v>
      </c>
      <c r="F7" s="11">
        <v>30</v>
      </c>
      <c r="H7" s="18">
        <f>IF(ISBLANK(Q7),"·",Q7/(C7*D7*3))</f>
        <v>3.4570865700454388E-2</v>
      </c>
      <c r="I7" s="12">
        <f>IF(OR(ISBLANK(Q7),ISBLANK(F7)),"·",Q7*F7/E7/1000000)</f>
        <v>313.65577500000001</v>
      </c>
      <c r="J7" s="13">
        <f>IF(ISBLANK(Q7),"·",Q7/C7)</f>
        <v>1.0371259710136316</v>
      </c>
      <c r="K7" s="13">
        <f>IF(N7="","·",N7/C7)</f>
        <v>0.16992678724798979</v>
      </c>
      <c r="L7" s="13">
        <f>IF(R7="","·",R7/C7)</f>
        <v>0.15794845082842446</v>
      </c>
      <c r="M7" s="13">
        <f>IF(ISBLANK(T7),"·",T7/C7)</f>
        <v>0.86719734861717723</v>
      </c>
      <c r="N7" s="77">
        <f>IF(OR(ISBLANK(R7),ISBLANK(S7)),"",R7+S7)</f>
        <v>54816632</v>
      </c>
      <c r="O7" s="13">
        <v>16</v>
      </c>
      <c r="P7" s="14">
        <v>33947718</v>
      </c>
      <c r="Q7" s="15">
        <v>334566160</v>
      </c>
      <c r="R7" s="15">
        <v>50952544</v>
      </c>
      <c r="S7" s="15">
        <v>3864088</v>
      </c>
      <c r="T7" s="15">
        <v>279748936</v>
      </c>
      <c r="U7" s="16" t="s">
        <v>549</v>
      </c>
      <c r="V7" s="16" t="s">
        <v>549</v>
      </c>
      <c r="W7" s="16" t="s">
        <v>549</v>
      </c>
      <c r="X7" s="16" t="s">
        <v>549</v>
      </c>
      <c r="Y7" s="16" t="s">
        <v>549</v>
      </c>
      <c r="Z7" s="17"/>
      <c r="AA7" s="17"/>
      <c r="AB7" s="17"/>
      <c r="AC7" s="17"/>
      <c r="AE7" s="18">
        <f>IF(ISBLANK(AN7),"·",AN7/(C7*D7*3))</f>
        <v>3.4570865700454388E-2</v>
      </c>
      <c r="AF7" s="12">
        <f>IF(OR(ISBLANK(AN7),ISBLANK(F7)),"·",AN7*F7/E7/1000000)</f>
        <v>313.65577500000001</v>
      </c>
      <c r="AG7" s="13">
        <f>IF(ISBLANK(AN7),"·",AN7/C7)</f>
        <v>1.0371259710136316</v>
      </c>
      <c r="AH7" s="13">
        <f>IF(AK7="","·",AK7/C7)</f>
        <v>0.16992678724798979</v>
      </c>
      <c r="AI7" s="13">
        <f>IF(AO7="","·",AO7/C7)</f>
        <v>0.15794845082842446</v>
      </c>
      <c r="AJ7" s="13">
        <f>IF(ISBLANK(AQ7),"·",AQ7/C7)</f>
        <v>0.86719734861717723</v>
      </c>
      <c r="AK7" s="77">
        <f>IF(OR(ISBLANK(AO7),ISBLANK(AP7)),"",AO7+AP7)</f>
        <v>54816632</v>
      </c>
      <c r="AL7" s="13">
        <v>16</v>
      </c>
      <c r="AM7" s="14">
        <v>33947718</v>
      </c>
      <c r="AN7" s="15">
        <v>334566160</v>
      </c>
      <c r="AO7" s="15">
        <v>50952544</v>
      </c>
      <c r="AP7" s="15">
        <v>3864088</v>
      </c>
      <c r="AQ7" s="15">
        <v>279748936</v>
      </c>
      <c r="AR7" s="16"/>
      <c r="AS7" s="16"/>
      <c r="AT7" s="16"/>
      <c r="AU7" s="16"/>
      <c r="AV7" s="16"/>
      <c r="AW7" s="17"/>
      <c r="AX7" s="17"/>
      <c r="AY7" s="17"/>
      <c r="AZ7" s="17"/>
      <c r="BB7" s="79">
        <f t="shared" si="0"/>
        <v>1</v>
      </c>
      <c r="BC7" s="79">
        <f t="shared" si="1"/>
        <v>1</v>
      </c>
      <c r="BD7" s="79">
        <f t="shared" si="1"/>
        <v>1</v>
      </c>
      <c r="BE7" s="18">
        <f>(AK7/AN7) - (N7/Q7)</f>
        <v>0</v>
      </c>
      <c r="BF7" s="18">
        <f t="array" ref="BF7">AVERAGE(AK7:AK7/AN7:AN7) - AVERAGE(N7:N7/Q7:Q7)</f>
        <v>0</v>
      </c>
    </row>
    <row r="8" spans="1:58" collapsed="1" x14ac:dyDescent="0.2">
      <c r="A8" s="37"/>
      <c r="B8" s="37" t="s">
        <v>72</v>
      </c>
      <c r="C8" s="37">
        <v>250602891</v>
      </c>
      <c r="D8" s="38">
        <v>10</v>
      </c>
      <c r="E8" s="38">
        <v>32</v>
      </c>
      <c r="F8" s="38">
        <v>50</v>
      </c>
      <c r="H8" s="45">
        <f>IF(ISBLANK(Q8),"·",Q8/(C8*D8*3))</f>
        <v>3.3827532074772966E-2</v>
      </c>
      <c r="I8" s="39">
        <f>IF(OR(ISBLANK(Q8),ISBLANK(F8)),"·",Q8*F8/E8/1000000)</f>
        <v>397.37237499999998</v>
      </c>
      <c r="J8" s="40">
        <f>IF(ISBLANK(Q8),"·",Q8/C8)</f>
        <v>1.014825962243189</v>
      </c>
      <c r="K8" s="40">
        <f>IF(N8="","·",N8/C8)</f>
        <v>0.1591619308174701</v>
      </c>
      <c r="L8" s="40">
        <f>IF(R8="","·",R8/C8)</f>
        <v>0.1397726253684759</v>
      </c>
      <c r="M8" s="40">
        <f>IF(ISBLANK(T8),"·",T8/C8)</f>
        <v>0.85566166912256414</v>
      </c>
      <c r="N8" s="37">
        <f>IF(OR(ISBLANK(R8),ISBLANK(S8)),"",R8+S8)</f>
        <v>39886440</v>
      </c>
      <c r="O8" s="40">
        <v>16</v>
      </c>
      <c r="P8" s="41">
        <v>32209643</v>
      </c>
      <c r="Q8" s="42">
        <v>254318320</v>
      </c>
      <c r="R8" s="42">
        <v>35027424</v>
      </c>
      <c r="S8" s="42">
        <v>4859016</v>
      </c>
      <c r="T8" s="42">
        <v>214431288</v>
      </c>
      <c r="U8" s="43" t="s">
        <v>549</v>
      </c>
      <c r="V8" s="43" t="s">
        <v>549</v>
      </c>
      <c r="W8" s="43" t="s">
        <v>549</v>
      </c>
      <c r="X8" s="43" t="s">
        <v>549</v>
      </c>
      <c r="Y8" s="43" t="s">
        <v>549</v>
      </c>
      <c r="Z8" s="44"/>
      <c r="AA8" s="44"/>
      <c r="AB8" s="44"/>
      <c r="AC8" s="44"/>
      <c r="AE8" s="45">
        <f>IF(ISBLANK(AN8),"·",AN8/(C8*D8*3))</f>
        <v>3.3827532074772966E-2</v>
      </c>
      <c r="AF8" s="39">
        <f>IF(OR(ISBLANK(AN8),ISBLANK(F8)),"·",AN8*F8/E8/1000000)</f>
        <v>397.37237499999998</v>
      </c>
      <c r="AG8" s="40">
        <f>IF(ISBLANK(AN8),"·",AN8/C8)</f>
        <v>1.014825962243189</v>
      </c>
      <c r="AH8" s="40">
        <f>IF(AK8="","·",AK8/C8)</f>
        <v>0.1591619308174701</v>
      </c>
      <c r="AI8" s="40">
        <f>IF(AO8="","·",AO8/C8)</f>
        <v>0.1397726253684759</v>
      </c>
      <c r="AJ8" s="40">
        <f>IF(ISBLANK(AQ8),"·",AQ8/C8)</f>
        <v>0.85566166912256414</v>
      </c>
      <c r="AK8" s="37">
        <f>IF(OR(ISBLANK(AO8),ISBLANK(AP8)),"",AO8+AP8)</f>
        <v>39886440</v>
      </c>
      <c r="AL8" s="40">
        <v>16</v>
      </c>
      <c r="AM8" s="41">
        <v>32209643</v>
      </c>
      <c r="AN8" s="42">
        <v>254318320</v>
      </c>
      <c r="AO8" s="42">
        <v>35027424</v>
      </c>
      <c r="AP8" s="42">
        <v>4859016</v>
      </c>
      <c r="AQ8" s="42">
        <v>214431288</v>
      </c>
      <c r="AR8" s="43"/>
      <c r="AS8" s="43"/>
      <c r="AT8" s="43"/>
      <c r="AU8" s="43"/>
      <c r="AV8" s="43"/>
      <c r="AW8" s="44"/>
      <c r="AX8" s="44"/>
      <c r="AY8" s="44"/>
      <c r="AZ8" s="44"/>
      <c r="BB8" s="46">
        <f t="shared" si="0"/>
        <v>1</v>
      </c>
      <c r="BC8" s="46">
        <f t="shared" si="1"/>
        <v>1</v>
      </c>
      <c r="BD8" s="46">
        <f t="shared" si="1"/>
        <v>1</v>
      </c>
      <c r="BE8" s="45">
        <f>(AK8/AN8) - (N8/Q8)</f>
        <v>0</v>
      </c>
      <c r="BF8" s="45">
        <f t="array" ref="BF8">AVERAGE(AK8:AK8/AN8:AN8) - AVERAGE(N8:N8/Q8:Q8)</f>
        <v>0</v>
      </c>
    </row>
    <row r="9" spans="1:58" collapsed="1" x14ac:dyDescent="0.2">
      <c r="A9" s="27" t="s">
        <v>234</v>
      </c>
      <c r="B9" s="27" t="s">
        <v>75</v>
      </c>
      <c r="C9" s="27">
        <v>250294582</v>
      </c>
      <c r="D9" s="28">
        <v>10</v>
      </c>
      <c r="E9" s="28">
        <v>32</v>
      </c>
      <c r="F9" s="28">
        <v>30</v>
      </c>
      <c r="H9" s="35">
        <f>IF(ISBLANK(Q9),"·",Q9/(C9*D9*3))</f>
        <v>5.0666778982321983E-2</v>
      </c>
      <c r="I9" s="29">
        <f>IF(OR(ISBLANK(Q9),ISBLANK(F9)),"·",Q9*F9/E9/1000000)</f>
        <v>356.67057</v>
      </c>
      <c r="J9" s="30">
        <f>IF(ISBLANK(Q9),"·",Q9/C9)</f>
        <v>1.5200033694696595</v>
      </c>
      <c r="K9" s="30">
        <f>IF(N9="","·",N9/C9)</f>
        <v>0.1527165937615062</v>
      </c>
      <c r="L9" s="30">
        <f>IF(R9="","·",R9/C9)</f>
        <v>0.14275559508515451</v>
      </c>
      <c r="M9" s="30">
        <f>IF(ISBLANK(T9),"·",T9/C9)</f>
        <v>1.36728441049515</v>
      </c>
      <c r="N9" s="27">
        <f>IF(OR(ISBLANK(R9),ISBLANK(S9)),"",R9+S9)</f>
        <v>38224136</v>
      </c>
      <c r="O9" s="30">
        <v>16</v>
      </c>
      <c r="P9" s="31">
        <v>25312408</v>
      </c>
      <c r="Q9" s="32">
        <v>380448608</v>
      </c>
      <c r="R9" s="32">
        <v>35730952</v>
      </c>
      <c r="S9" s="32">
        <v>2493184</v>
      </c>
      <c r="T9" s="32">
        <v>342223880</v>
      </c>
      <c r="U9" s="33" t="s">
        <v>549</v>
      </c>
      <c r="V9" s="33" t="s">
        <v>549</v>
      </c>
      <c r="W9" s="33" t="s">
        <v>549</v>
      </c>
      <c r="X9" s="33" t="s">
        <v>549</v>
      </c>
      <c r="Y9" s="33" t="s">
        <v>549</v>
      </c>
      <c r="Z9" s="34"/>
      <c r="AA9" s="34"/>
      <c r="AB9" s="34"/>
      <c r="AC9" s="34"/>
      <c r="AE9" s="35">
        <f>IF(ISBLANK(AN9),"·",AN9/(C9*D9*3))</f>
        <v>5.0666778982321983E-2</v>
      </c>
      <c r="AF9" s="29">
        <f>IF(OR(ISBLANK(AN9),ISBLANK(F9)),"·",AN9*F9/E9/1000000)</f>
        <v>356.67057</v>
      </c>
      <c r="AG9" s="30">
        <f>IF(ISBLANK(AN9),"·",AN9/C9)</f>
        <v>1.5200033694696595</v>
      </c>
      <c r="AH9" s="30">
        <f>IF(AK9="","·",AK9/C9)</f>
        <v>0.1527165937615062</v>
      </c>
      <c r="AI9" s="30">
        <f>IF(AO9="","·",AO9/C9)</f>
        <v>0.14275559508515451</v>
      </c>
      <c r="AJ9" s="30">
        <f>IF(ISBLANK(AQ9),"·",AQ9/C9)</f>
        <v>1.36728441049515</v>
      </c>
      <c r="AK9" s="27">
        <f>IF(OR(ISBLANK(AO9),ISBLANK(AP9)),"",AO9+AP9)</f>
        <v>38224136</v>
      </c>
      <c r="AL9" s="30">
        <v>16</v>
      </c>
      <c r="AM9" s="31">
        <v>25312408</v>
      </c>
      <c r="AN9" s="32">
        <v>380448608</v>
      </c>
      <c r="AO9" s="32">
        <v>35730952</v>
      </c>
      <c r="AP9" s="32">
        <v>2493184</v>
      </c>
      <c r="AQ9" s="32">
        <v>342223880</v>
      </c>
      <c r="AR9" s="33"/>
      <c r="AS9" s="33"/>
      <c r="AT9" s="33"/>
      <c r="AU9" s="33"/>
      <c r="AV9" s="33"/>
      <c r="AW9" s="34"/>
      <c r="AX9" s="34"/>
      <c r="AY9" s="34"/>
      <c r="AZ9" s="34"/>
      <c r="BB9" s="36">
        <f t="shared" si="0"/>
        <v>1</v>
      </c>
      <c r="BC9" s="36">
        <f t="shared" si="1"/>
        <v>1</v>
      </c>
      <c r="BD9" s="36">
        <f t="shared" si="1"/>
        <v>1</v>
      </c>
      <c r="BE9" s="35">
        <f>(AK9/AN9) - (N9/Q9)</f>
        <v>0</v>
      </c>
      <c r="BF9" s="35">
        <f t="array" ref="BF9">AVERAGE(AK9:AK9/AN9:AN9) - AVERAGE(N9:N9/Q9:Q9)</f>
        <v>0</v>
      </c>
    </row>
    <row r="10" spans="1:58" s="109" customFormat="1" x14ac:dyDescent="0.2">
      <c r="A10" s="110"/>
      <c r="B10" s="110" t="s">
        <v>572</v>
      </c>
      <c r="C10" s="110"/>
      <c r="D10" s="111"/>
      <c r="E10" s="111"/>
      <c r="F10" s="111"/>
      <c r="H10" s="112"/>
      <c r="I10" s="113"/>
      <c r="J10" s="114"/>
      <c r="K10" s="114"/>
      <c r="L10" s="114"/>
      <c r="M10" s="114"/>
      <c r="N10" s="110"/>
      <c r="O10" s="114"/>
      <c r="P10" s="115"/>
      <c r="Q10" s="116">
        <v>907617904</v>
      </c>
      <c r="R10" s="116">
        <v>98010784</v>
      </c>
      <c r="S10" s="116">
        <v>4377104</v>
      </c>
      <c r="T10" s="116">
        <v>805229424</v>
      </c>
      <c r="U10" s="117"/>
      <c r="V10" s="117"/>
      <c r="W10" s="117"/>
      <c r="X10" s="117"/>
      <c r="Y10" s="117"/>
      <c r="Z10" s="118"/>
      <c r="AA10" s="118"/>
      <c r="AB10" s="118"/>
      <c r="AC10" s="118"/>
      <c r="AE10" s="112"/>
      <c r="AF10" s="113"/>
      <c r="AG10" s="114"/>
      <c r="AH10" s="114"/>
      <c r="AI10" s="114"/>
      <c r="AJ10" s="114"/>
      <c r="AK10" s="110"/>
      <c r="AL10" s="114"/>
      <c r="AM10" s="115"/>
      <c r="AN10" s="116">
        <v>907617904</v>
      </c>
      <c r="AO10" s="116">
        <v>98010784</v>
      </c>
      <c r="AP10" s="116">
        <v>4377104</v>
      </c>
      <c r="AQ10" s="116">
        <v>805229424</v>
      </c>
      <c r="AR10" s="117"/>
      <c r="AS10" s="117"/>
      <c r="AT10" s="117"/>
      <c r="AU10" s="117"/>
      <c r="AV10" s="117"/>
      <c r="AW10" s="118"/>
      <c r="AX10" s="118"/>
      <c r="AY10" s="118"/>
      <c r="AZ10" s="118"/>
      <c r="BB10" s="119"/>
      <c r="BC10" s="119"/>
      <c r="BD10" s="119"/>
      <c r="BE10" s="112"/>
      <c r="BF10" s="112"/>
    </row>
    <row r="11" spans="1:58" s="109" customFormat="1" x14ac:dyDescent="0.2">
      <c r="A11" s="110"/>
      <c r="B11" s="110" t="s">
        <v>573</v>
      </c>
      <c r="C11" s="110"/>
      <c r="D11" s="111"/>
      <c r="E11" s="111"/>
      <c r="F11" s="111"/>
      <c r="H11" s="112"/>
      <c r="I11" s="113"/>
      <c r="J11" s="114"/>
      <c r="K11" s="114"/>
      <c r="L11" s="114"/>
      <c r="M11" s="114"/>
      <c r="N11" s="110"/>
      <c r="O11" s="114"/>
      <c r="P11" s="115"/>
      <c r="Q11" s="116">
        <v>829691608</v>
      </c>
      <c r="R11" s="116">
        <v>93032312</v>
      </c>
      <c r="S11" s="116">
        <v>4743896</v>
      </c>
      <c r="T11" s="116">
        <v>731914808</v>
      </c>
      <c r="U11" s="117"/>
      <c r="V11" s="117"/>
      <c r="W11" s="117"/>
      <c r="X11" s="117"/>
      <c r="Y11" s="117"/>
      <c r="Z11" s="118"/>
      <c r="AA11" s="118"/>
      <c r="AB11" s="118"/>
      <c r="AC11" s="118"/>
      <c r="AE11" s="112"/>
      <c r="AF11" s="113"/>
      <c r="AG11" s="114"/>
      <c r="AH11" s="114"/>
      <c r="AI11" s="114"/>
      <c r="AJ11" s="114"/>
      <c r="AK11" s="110"/>
      <c r="AL11" s="114"/>
      <c r="AM11" s="115"/>
      <c r="AN11" s="116">
        <v>829691608</v>
      </c>
      <c r="AO11" s="116">
        <v>93032312</v>
      </c>
      <c r="AP11" s="116">
        <v>4743896</v>
      </c>
      <c r="AQ11" s="116">
        <v>731914808</v>
      </c>
      <c r="AR11" s="117"/>
      <c r="AS11" s="117"/>
      <c r="AT11" s="117"/>
      <c r="AU11" s="117"/>
      <c r="AV11" s="117"/>
      <c r="AW11" s="118"/>
      <c r="AX11" s="118"/>
      <c r="AY11" s="118"/>
      <c r="AZ11" s="118"/>
      <c r="BB11" s="119"/>
      <c r="BC11" s="119"/>
      <c r="BD11" s="119"/>
      <c r="BE11" s="112"/>
      <c r="BF11" s="112"/>
    </row>
    <row r="12" spans="1:58" ht="16" x14ac:dyDescent="0.2">
      <c r="B12" s="47" t="s">
        <v>16</v>
      </c>
      <c r="J12" s="48">
        <f>AVERAGE(J5:J8)</f>
        <v>1.0755123374019373</v>
      </c>
      <c r="K12" s="48">
        <f>AVERAGE(K5:K8)</f>
        <v>0.16153624683980633</v>
      </c>
      <c r="L12" s="48">
        <f>AVERAGE(L5:L8)</f>
        <v>0.14802617236026377</v>
      </c>
      <c r="M12" s="48">
        <f>AVERAGE(M5:M8)</f>
        <v>0.91397374121102459</v>
      </c>
      <c r="AG12" s="48">
        <f>AVERAGE(AG5:AG8)</f>
        <v>1.0755123374019373</v>
      </c>
      <c r="AH12" s="48">
        <f>AVERAGE(AH5:AH8)</f>
        <v>0.16153624683980633</v>
      </c>
      <c r="AI12" s="48">
        <f>AVERAGE(AI5:AI8)</f>
        <v>0.14802617236026377</v>
      </c>
      <c r="AJ12" s="48">
        <f>AVERAGE(AJ5:AJ8)</f>
        <v>0.91397374121102459</v>
      </c>
      <c r="BB12" s="98">
        <f t="shared" si="0"/>
        <v>1</v>
      </c>
      <c r="BC12" s="98">
        <f t="shared" si="1"/>
        <v>1</v>
      </c>
      <c r="BD12" s="98">
        <f t="shared" si="1"/>
        <v>1</v>
      </c>
      <c r="BF12" s="103">
        <f>AVERAGE(BF5:BF8)</f>
        <v>0</v>
      </c>
    </row>
    <row r="13" spans="1:58" ht="16" x14ac:dyDescent="0.2">
      <c r="B13" s="47" t="s">
        <v>17</v>
      </c>
      <c r="J13" s="48">
        <f>AVERAGE(J9:J9)</f>
        <v>1.5200033694696595</v>
      </c>
      <c r="K13" s="48">
        <f>AVERAGE(K9:K9)</f>
        <v>0.1527165937615062</v>
      </c>
      <c r="L13" s="48">
        <f>AVERAGE(L9:L9)</f>
        <v>0.14275559508515451</v>
      </c>
      <c r="M13" s="48">
        <f>AVERAGE(M9:M9)</f>
        <v>1.36728441049515</v>
      </c>
      <c r="AG13" s="48">
        <f>AVERAGE(AG9:AG9)</f>
        <v>1.5200033694696595</v>
      </c>
      <c r="AH13" s="48">
        <f>AVERAGE(AH9:AH9)</f>
        <v>0.1527165937615062</v>
      </c>
      <c r="AI13" s="48">
        <f>AVERAGE(AI9:AI9)</f>
        <v>0.14275559508515451</v>
      </c>
      <c r="AJ13" s="48">
        <f>AVERAGE(AJ9:AJ9)</f>
        <v>1.36728441049515</v>
      </c>
      <c r="BB13" s="98">
        <f t="shared" si="0"/>
        <v>1</v>
      </c>
      <c r="BC13" s="98">
        <f t="shared" si="1"/>
        <v>1</v>
      </c>
      <c r="BD13" s="98">
        <f t="shared" si="1"/>
        <v>1</v>
      </c>
      <c r="BF13" s="103">
        <f>AVERAGE(BF9:BF9)</f>
        <v>0</v>
      </c>
    </row>
    <row r="14" spans="1:58" ht="16" x14ac:dyDescent="0.2">
      <c r="B14" s="47" t="s">
        <v>18</v>
      </c>
      <c r="J14" s="48">
        <f>AVERAGE(J5:J9)</f>
        <v>1.1644105438154817</v>
      </c>
      <c r="K14" s="48">
        <f>AVERAGE(K5:K9)</f>
        <v>0.15977231622414631</v>
      </c>
      <c r="L14" s="48">
        <f>AVERAGE(L5:L9)</f>
        <v>0.1469720569052419</v>
      </c>
      <c r="M14" s="48">
        <f>AVERAGE(M5:M9)</f>
        <v>1.0046358750678497</v>
      </c>
      <c r="AG14" s="48">
        <f>AVERAGE(AG5:AG9)</f>
        <v>1.1644105438154817</v>
      </c>
      <c r="AH14" s="48">
        <f>AVERAGE(AH5:AH9)</f>
        <v>0.15977231622414631</v>
      </c>
      <c r="AI14" s="48">
        <f>AVERAGE(AI5:AI9)</f>
        <v>0.1469720569052419</v>
      </c>
      <c r="AJ14" s="48">
        <f>AVERAGE(AJ5:AJ9)</f>
        <v>1.0046358750678497</v>
      </c>
      <c r="BB14" s="98">
        <f t="shared" si="0"/>
        <v>1</v>
      </c>
      <c r="BC14" s="98">
        <f t="shared" si="1"/>
        <v>1</v>
      </c>
      <c r="BD14" s="98">
        <f t="shared" si="1"/>
        <v>1</v>
      </c>
      <c r="BF14" s="103">
        <f>AVERAGE(BF5:BF9)</f>
        <v>0</v>
      </c>
    </row>
    <row r="15" spans="1:58" ht="16" hidden="1" outlineLevel="2" x14ac:dyDescent="0.2">
      <c r="A15" s="47" t="s">
        <v>235</v>
      </c>
      <c r="B15" s="47" t="s">
        <v>236</v>
      </c>
      <c r="Z15" s="49">
        <f>SUM(Z5:Z8,Z9:Z9)</f>
        <v>0</v>
      </c>
      <c r="AA15" s="49">
        <f>SUM(AA5:AA8,AA9:AA9)</f>
        <v>0</v>
      </c>
      <c r="AB15" s="49">
        <f>SUM(AB5:AB8,AB9:AB9)</f>
        <v>0</v>
      </c>
      <c r="AC15" s="49">
        <f>SUM(AC5:AC8,AC9:AC9)</f>
        <v>0</v>
      </c>
      <c r="AW15" s="49">
        <f>SUM(AW5:AW8,AW9:AW9)</f>
        <v>0</v>
      </c>
      <c r="AX15" s="49">
        <f>SUM(AX5:AX8,AX9:AX9)</f>
        <v>0</v>
      </c>
      <c r="AY15" s="49">
        <f>SUM(AY5:AY8,AY9:AY9)</f>
        <v>0</v>
      </c>
      <c r="AZ15" s="49">
        <f>SUM(AZ5:AZ8,AZ9:AZ9)</f>
        <v>0</v>
      </c>
    </row>
    <row r="16" spans="1:58" ht="16" hidden="1" outlineLevel="2" x14ac:dyDescent="0.2">
      <c r="B16" s="47" t="s">
        <v>237</v>
      </c>
      <c r="AW16" s="103" t="e">
        <f>AW15/Z15</f>
        <v>#DIV/0!</v>
      </c>
      <c r="AX16" s="103" t="e">
        <f>AX15/AA15</f>
        <v>#DIV/0!</v>
      </c>
      <c r="AY16" s="103" t="e">
        <f>AY15/AB15</f>
        <v>#DIV/0!</v>
      </c>
      <c r="AZ16" s="103" t="e">
        <f>AZ15/AC15</f>
        <v>#DIV/0!</v>
      </c>
    </row>
    <row r="17" spans="2:52" ht="16" hidden="1" outlineLevel="2" x14ac:dyDescent="0.2">
      <c r="B17" s="47" t="s">
        <v>238</v>
      </c>
      <c r="Z17" s="49" t="e">
        <f>GEOMEAN(Z5:Z8,Z9:Z9)</f>
        <v>#NUM!</v>
      </c>
      <c r="AA17" s="49" t="e">
        <f>GEOMEAN(AA5:AA8,AA9:AA9)</f>
        <v>#NUM!</v>
      </c>
      <c r="AB17" s="49" t="e">
        <f>GEOMEAN(AB5:AB8,AB9:AB9)</f>
        <v>#NUM!</v>
      </c>
      <c r="AC17" s="49" t="e">
        <f>GEOMEAN(AC5:AC8,AC9:AC9)</f>
        <v>#NUM!</v>
      </c>
      <c r="AW17" s="49" t="e">
        <f>GEOMEAN(AW5:AW8,AW9:AW9)</f>
        <v>#NUM!</v>
      </c>
      <c r="AX17" s="49" t="e">
        <f>GEOMEAN(AX5:AX8,AX9:AX9)</f>
        <v>#NUM!</v>
      </c>
      <c r="AY17" s="49" t="e">
        <f>GEOMEAN(AY5:AY8,AY9:AY9)</f>
        <v>#NUM!</v>
      </c>
      <c r="AZ17" s="49" t="e">
        <f>GEOMEAN(AZ5:AZ8,AZ9:AZ9)</f>
        <v>#NUM!</v>
      </c>
    </row>
    <row r="18" spans="2:52" ht="16" outlineLevel="2" collapsed="1" x14ac:dyDescent="0.2">
      <c r="B18" s="47" t="s">
        <v>239</v>
      </c>
      <c r="AW18" s="103" t="e">
        <f>AW17/Z17</f>
        <v>#NUM!</v>
      </c>
      <c r="AX18" s="103" t="e">
        <f>AX17/AA17</f>
        <v>#NUM!</v>
      </c>
      <c r="AY18" s="103" t="e">
        <f>AY17/AB17</f>
        <v>#NUM!</v>
      </c>
      <c r="AZ18" s="103" t="e">
        <f>AZ17/AC17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2:BB14">
    <cfRule type="cellIs" dxfId="73" priority="3" operator="greaterThanOrEqual">
      <formula>1.03</formula>
    </cfRule>
    <cfRule type="cellIs" dxfId="72" priority="4" operator="lessThanOrEqual">
      <formula>0.97</formula>
    </cfRule>
  </conditionalFormatting>
  <conditionalFormatting sqref="BC12:BC14">
    <cfRule type="cellIs" dxfId="71" priority="5" operator="greaterThanOrEqual">
      <formula>1.03</formula>
    </cfRule>
    <cfRule type="cellIs" dxfId="70" priority="6" operator="lessThanOrEqual">
      <formula>0.97</formula>
    </cfRule>
  </conditionalFormatting>
  <conditionalFormatting sqref="BD12:BD14">
    <cfRule type="cellIs" dxfId="69" priority="1" operator="greaterThanOrEqual">
      <formula>1.03</formula>
    </cfRule>
    <cfRule type="cellIs" dxfId="68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outlinePr summaryBelow="0"/>
  </sheetPr>
  <dimension ref="A1:BG18"/>
  <sheetViews>
    <sheetView workbookViewId="0">
      <pane xSplit="2" topLeftCell="AC1" activePane="topRight" state="frozen"/>
      <selection pane="topRight" activeCell="AP14" sqref="AP14"/>
    </sheetView>
  </sheetViews>
  <sheetFormatPr baseColWidth="10" defaultColWidth="8.83203125" defaultRowHeight="15" outlineLevelRow="2" x14ac:dyDescent="0.2"/>
  <cols>
    <col min="2" max="2" width="24.6640625" style="4" customWidth="1"/>
    <col min="3" max="4" width="10.6640625" style="4" customWidth="1"/>
    <col min="7" max="7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7" max="20" width="12.6640625" style="4" customWidth="1"/>
    <col min="21" max="25" width="11.6640625" style="4" customWidth="1"/>
    <col min="30" max="30" width="1.6640625" style="4" customWidth="1"/>
    <col min="33" max="36" width="10.6640625" style="4" customWidth="1"/>
    <col min="37" max="37" width="24.6640625" style="4" hidden="1" customWidth="1"/>
    <col min="38" max="38" width="12.6640625" style="4" customWidth="1"/>
    <col min="39" max="39" width="10.6640625" style="4" customWidth="1"/>
    <col min="40" max="43" width="12.6640625" style="4" customWidth="1"/>
    <col min="44" max="48" width="11.6640625" style="4" customWidth="1"/>
    <col min="53" max="53" width="1.6640625" style="4" customWidth="1"/>
    <col min="59" max="59" width="1.6640625" style="4" customWidth="1"/>
  </cols>
  <sheetData>
    <row r="1" spans="1:58" ht="15" customHeight="1" x14ac:dyDescent="0.2">
      <c r="A1" s="144" t="s">
        <v>550</v>
      </c>
      <c r="B1" s="127"/>
      <c r="C1" s="127"/>
      <c r="D1" s="127"/>
      <c r="E1" s="127"/>
      <c r="F1" s="127"/>
      <c r="H1" s="140" t="s">
        <v>574</v>
      </c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E1" s="141" t="s">
        <v>576</v>
      </c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</row>
    <row r="2" spans="1:58" ht="30" customHeight="1" x14ac:dyDescent="0.2">
      <c r="A2" s="146" t="s">
        <v>140</v>
      </c>
      <c r="B2" s="145" t="s">
        <v>141</v>
      </c>
      <c r="C2" s="146" t="s">
        <v>143</v>
      </c>
      <c r="D2" s="145" t="s">
        <v>144</v>
      </c>
      <c r="E2" s="146" t="s">
        <v>145</v>
      </c>
      <c r="F2" s="145" t="s">
        <v>146</v>
      </c>
      <c r="H2" s="146" t="s">
        <v>543</v>
      </c>
      <c r="I2" s="145" t="s">
        <v>147</v>
      </c>
      <c r="J2" s="143" t="s">
        <v>148</v>
      </c>
      <c r="K2" s="127"/>
      <c r="L2" s="127"/>
      <c r="M2" s="127"/>
      <c r="N2" s="146" t="s">
        <v>149</v>
      </c>
      <c r="O2" s="145" t="s">
        <v>150</v>
      </c>
      <c r="P2" s="146" t="s">
        <v>85</v>
      </c>
      <c r="Q2" s="142" t="s">
        <v>151</v>
      </c>
      <c r="R2" s="127"/>
      <c r="S2" s="127"/>
      <c r="T2" s="127"/>
      <c r="U2" s="143" t="s">
        <v>152</v>
      </c>
      <c r="V2" s="127"/>
      <c r="W2" s="142" t="s">
        <v>153</v>
      </c>
      <c r="X2" s="127"/>
      <c r="Y2" s="127"/>
      <c r="Z2" s="143" t="s">
        <v>154</v>
      </c>
      <c r="AA2" s="127"/>
      <c r="AB2" s="142" t="s">
        <v>155</v>
      </c>
      <c r="AC2" s="127"/>
      <c r="AE2" s="146" t="s">
        <v>543</v>
      </c>
      <c r="AF2" s="145" t="s">
        <v>147</v>
      </c>
      <c r="AG2" s="143" t="s">
        <v>148</v>
      </c>
      <c r="AH2" s="127"/>
      <c r="AI2" s="127"/>
      <c r="AJ2" s="127"/>
      <c r="AK2" s="146" t="s">
        <v>156</v>
      </c>
      <c r="AL2" s="145" t="s">
        <v>150</v>
      </c>
      <c r="AM2" s="146" t="s">
        <v>85</v>
      </c>
      <c r="AN2" s="142" t="s">
        <v>151</v>
      </c>
      <c r="AO2" s="127"/>
      <c r="AP2" s="127"/>
      <c r="AQ2" s="127"/>
      <c r="AR2" s="143" t="s">
        <v>152</v>
      </c>
      <c r="AS2" s="127"/>
      <c r="AT2" s="142" t="s">
        <v>153</v>
      </c>
      <c r="AU2" s="127"/>
      <c r="AV2" s="127"/>
      <c r="AW2" s="143" t="s">
        <v>154</v>
      </c>
      <c r="AX2" s="127"/>
      <c r="AY2" s="142" t="s">
        <v>155</v>
      </c>
      <c r="AZ2" s="127"/>
      <c r="BB2" s="143" t="s">
        <v>23</v>
      </c>
      <c r="BC2" s="127"/>
      <c r="BD2" s="127"/>
      <c r="BE2" s="145" t="s">
        <v>158</v>
      </c>
      <c r="BF2" s="146" t="s">
        <v>158</v>
      </c>
    </row>
    <row r="3" spans="1:58" ht="28.75" customHeight="1" x14ac:dyDescent="0.2">
      <c r="A3" s="129"/>
      <c r="B3" s="129"/>
      <c r="C3" s="129"/>
      <c r="D3" s="129"/>
      <c r="E3" s="129"/>
      <c r="F3" s="129"/>
      <c r="H3" s="129"/>
      <c r="I3" s="129"/>
      <c r="J3" s="105" t="s">
        <v>25</v>
      </c>
      <c r="K3" s="105" t="s">
        <v>159</v>
      </c>
      <c r="L3" s="105" t="s">
        <v>24</v>
      </c>
      <c r="M3" s="105" t="s">
        <v>160</v>
      </c>
      <c r="N3" s="129"/>
      <c r="O3" s="129"/>
      <c r="P3" s="129"/>
      <c r="Q3" s="104" t="s">
        <v>25</v>
      </c>
      <c r="R3" s="104" t="s">
        <v>24</v>
      </c>
      <c r="S3" s="104" t="s">
        <v>161</v>
      </c>
      <c r="T3" s="104" t="s">
        <v>26</v>
      </c>
      <c r="U3" s="105" t="s">
        <v>11</v>
      </c>
      <c r="V3" s="105" t="s">
        <v>12</v>
      </c>
      <c r="W3" s="104" t="s">
        <v>13</v>
      </c>
      <c r="X3" s="104" t="s">
        <v>14</v>
      </c>
      <c r="Y3" s="104" t="s">
        <v>15</v>
      </c>
      <c r="Z3" s="105" t="s">
        <v>35</v>
      </c>
      <c r="AA3" s="105" t="s">
        <v>36</v>
      </c>
      <c r="AB3" s="104" t="s">
        <v>35</v>
      </c>
      <c r="AC3" s="104" t="s">
        <v>36</v>
      </c>
      <c r="AE3" s="129"/>
      <c r="AF3" s="129"/>
      <c r="AG3" s="105" t="s">
        <v>25</v>
      </c>
      <c r="AH3" s="105" t="s">
        <v>159</v>
      </c>
      <c r="AI3" s="105" t="s">
        <v>24</v>
      </c>
      <c r="AJ3" s="105" t="s">
        <v>160</v>
      </c>
      <c r="AK3" s="129"/>
      <c r="AL3" s="129"/>
      <c r="AM3" s="129"/>
      <c r="AN3" s="104" t="s">
        <v>25</v>
      </c>
      <c r="AO3" s="104" t="s">
        <v>24</v>
      </c>
      <c r="AP3" s="104" t="s">
        <v>161</v>
      </c>
      <c r="AQ3" s="104" t="s">
        <v>26</v>
      </c>
      <c r="AR3" s="105" t="s">
        <v>11</v>
      </c>
      <c r="AS3" s="105" t="s">
        <v>12</v>
      </c>
      <c r="AT3" s="104" t="s">
        <v>13</v>
      </c>
      <c r="AU3" s="104" t="s">
        <v>14</v>
      </c>
      <c r="AV3" s="104" t="s">
        <v>15</v>
      </c>
      <c r="AW3" s="105" t="s">
        <v>35</v>
      </c>
      <c r="AX3" s="105" t="s">
        <v>36</v>
      </c>
      <c r="AY3" s="104" t="s">
        <v>35</v>
      </c>
      <c r="AZ3" s="104" t="s">
        <v>36</v>
      </c>
      <c r="BB3" s="105" t="s">
        <v>25</v>
      </c>
      <c r="BC3" s="105" t="s">
        <v>24</v>
      </c>
      <c r="BD3" s="105" t="s">
        <v>26</v>
      </c>
      <c r="BE3" s="129"/>
      <c r="BF3" s="129"/>
    </row>
    <row r="4" spans="1:58" ht="123" hidden="1" customHeight="1" x14ac:dyDescent="0.2">
      <c r="A4" s="9" t="s">
        <v>162</v>
      </c>
      <c r="B4" s="10" t="s">
        <v>163</v>
      </c>
      <c r="C4" s="9" t="s">
        <v>165</v>
      </c>
      <c r="D4" s="10" t="s">
        <v>166</v>
      </c>
      <c r="E4" s="9" t="s">
        <v>167</v>
      </c>
      <c r="F4" s="10" t="s">
        <v>168</v>
      </c>
      <c r="H4" s="9" t="s">
        <v>544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179</v>
      </c>
      <c r="R4" s="10" t="s">
        <v>180</v>
      </c>
      <c r="S4" s="10" t="s">
        <v>181</v>
      </c>
      <c r="T4" s="10" t="s">
        <v>182</v>
      </c>
      <c r="U4" s="9" t="s">
        <v>183</v>
      </c>
      <c r="V4" s="9" t="s">
        <v>184</v>
      </c>
      <c r="W4" s="10" t="s">
        <v>185</v>
      </c>
      <c r="X4" s="10" t="s">
        <v>186</v>
      </c>
      <c r="Y4" s="10" t="s">
        <v>187</v>
      </c>
      <c r="Z4" s="9" t="s">
        <v>188</v>
      </c>
      <c r="AA4" s="9" t="s">
        <v>189</v>
      </c>
      <c r="AB4" s="10" t="s">
        <v>190</v>
      </c>
      <c r="AC4" s="10" t="s">
        <v>191</v>
      </c>
      <c r="AE4" s="9" t="s">
        <v>545</v>
      </c>
      <c r="AF4" s="10" t="s">
        <v>192</v>
      </c>
      <c r="AG4" s="9" t="s">
        <v>193</v>
      </c>
      <c r="AH4" s="9" t="s">
        <v>194</v>
      </c>
      <c r="AI4" s="9" t="s">
        <v>195</v>
      </c>
      <c r="AJ4" s="9" t="s">
        <v>196</v>
      </c>
      <c r="AK4" s="9" t="s">
        <v>197</v>
      </c>
      <c r="AL4" s="10" t="s">
        <v>198</v>
      </c>
      <c r="AM4" s="9" t="s">
        <v>199</v>
      </c>
      <c r="AN4" s="10" t="s">
        <v>202</v>
      </c>
      <c r="AO4" s="10" t="s">
        <v>203</v>
      </c>
      <c r="AP4" s="10" t="s">
        <v>204</v>
      </c>
      <c r="AQ4" s="10" t="s">
        <v>205</v>
      </c>
      <c r="AR4" s="9" t="s">
        <v>206</v>
      </c>
      <c r="AS4" s="9" t="s">
        <v>207</v>
      </c>
      <c r="AT4" s="10" t="s">
        <v>208</v>
      </c>
      <c r="AU4" s="10" t="s">
        <v>209</v>
      </c>
      <c r="AV4" s="10" t="s">
        <v>210</v>
      </c>
      <c r="AW4" s="9" t="s">
        <v>211</v>
      </c>
      <c r="AX4" s="9" t="s">
        <v>212</v>
      </c>
      <c r="AY4" s="10" t="s">
        <v>213</v>
      </c>
      <c r="AZ4" s="10" t="s">
        <v>214</v>
      </c>
      <c r="BB4" s="9" t="s">
        <v>546</v>
      </c>
      <c r="BC4" s="9" t="s">
        <v>547</v>
      </c>
      <c r="BD4" s="9" t="s">
        <v>548</v>
      </c>
      <c r="BE4" s="10" t="s">
        <v>216</v>
      </c>
      <c r="BF4" s="9" t="s">
        <v>217</v>
      </c>
    </row>
    <row r="5" spans="1:58" collapsed="1" x14ac:dyDescent="0.2">
      <c r="A5" s="77" t="s">
        <v>228</v>
      </c>
      <c r="B5" s="77" t="s">
        <v>54</v>
      </c>
      <c r="C5" s="77">
        <v>238146391</v>
      </c>
      <c r="D5" s="11">
        <v>10</v>
      </c>
      <c r="E5" s="11">
        <v>32</v>
      </c>
      <c r="F5" s="11">
        <v>30</v>
      </c>
      <c r="H5" s="18">
        <f>IF(ISBLANK(Q5),"·",Q5/(C5*D5*3))</f>
        <v>3.0664129330993446E-2</v>
      </c>
      <c r="I5" s="12">
        <f>IF(OR(ISBLANK(Q5),ISBLANK(F5)),"·",Q5*F5/E5/1000000)</f>
        <v>205.38426749999999</v>
      </c>
      <c r="J5" s="13">
        <f>IF(ISBLANK(Q5),"·",Q5/C5)</f>
        <v>0.91992387992980329</v>
      </c>
      <c r="K5" s="13">
        <f>IF(N5="","·",N5/C5)</f>
        <v>0.14113416482553373</v>
      </c>
      <c r="L5" s="13">
        <f>IF(R5="","·",R5/C5)</f>
        <v>0.13272656313317802</v>
      </c>
      <c r="M5" s="13">
        <f>IF(ISBLANK(T5),"·",T5/C5)</f>
        <v>0.77878722923833854</v>
      </c>
      <c r="N5" s="77">
        <f>IF(OR(ISBLANK(R5),ISBLANK(S5)),"",R5+S5)</f>
        <v>33610592</v>
      </c>
      <c r="O5" s="13">
        <v>16</v>
      </c>
      <c r="P5" s="14">
        <v>24964341</v>
      </c>
      <c r="Q5" s="15">
        <v>219076552</v>
      </c>
      <c r="R5" s="15">
        <v>31608352</v>
      </c>
      <c r="S5" s="15">
        <v>2002240</v>
      </c>
      <c r="T5" s="15">
        <v>185465368</v>
      </c>
      <c r="U5" s="16" t="s">
        <v>549</v>
      </c>
      <c r="V5" s="16" t="s">
        <v>549</v>
      </c>
      <c r="W5" s="16" t="s">
        <v>549</v>
      </c>
      <c r="X5" s="16" t="s">
        <v>549</v>
      </c>
      <c r="Y5" s="16" t="s">
        <v>549</v>
      </c>
      <c r="Z5" s="17"/>
      <c r="AA5" s="17"/>
      <c r="AB5" s="17"/>
      <c r="AC5" s="17"/>
      <c r="AE5" s="18">
        <f>IF(ISBLANK(AN5),"·",AN5/(C5*D5*3))</f>
        <v>3.0664129330993446E-2</v>
      </c>
      <c r="AF5" s="12">
        <f>IF(OR(ISBLANK(AN5),ISBLANK(F5)),"·",AN5*F5/E5/1000000)</f>
        <v>205.38426749999999</v>
      </c>
      <c r="AG5" s="13">
        <f>IF(ISBLANK(AN5),"·",AN5/C5)</f>
        <v>0.91992387992980329</v>
      </c>
      <c r="AH5" s="13">
        <f>IF(AK5="","·",AK5/C5)</f>
        <v>0.14113416482553373</v>
      </c>
      <c r="AI5" s="13">
        <f>IF(AO5="","·",AO5/C5)</f>
        <v>0.13272656313317802</v>
      </c>
      <c r="AJ5" s="13">
        <f>IF(ISBLANK(AQ5),"·",AQ5/C5)</f>
        <v>0.77878722923833854</v>
      </c>
      <c r="AK5" s="77">
        <f>IF(OR(ISBLANK(AO5),ISBLANK(AP5)),"",AO5+AP5)</f>
        <v>33610592</v>
      </c>
      <c r="AL5" s="13">
        <v>16</v>
      </c>
      <c r="AM5" s="14">
        <v>24964341</v>
      </c>
      <c r="AN5" s="15">
        <v>219076552</v>
      </c>
      <c r="AO5" s="15">
        <v>31608352</v>
      </c>
      <c r="AP5" s="15">
        <v>2002240</v>
      </c>
      <c r="AQ5" s="15">
        <v>185465368</v>
      </c>
      <c r="AR5" s="16"/>
      <c r="AS5" s="16"/>
      <c r="AT5" s="16"/>
      <c r="AU5" s="16"/>
      <c r="AV5" s="16"/>
      <c r="AW5" s="17"/>
      <c r="AX5" s="17"/>
      <c r="AY5" s="17"/>
      <c r="AZ5" s="17"/>
      <c r="BB5" s="79">
        <f t="shared" ref="BB5:BB14" si="0">AG5/J5</f>
        <v>1</v>
      </c>
      <c r="BC5" s="79">
        <f t="shared" ref="BC5:BD14" si="1">AI5/L5</f>
        <v>1</v>
      </c>
      <c r="BD5" s="79">
        <f t="shared" si="1"/>
        <v>1</v>
      </c>
      <c r="BE5" s="18">
        <f>(AK5/AN5) - (N5/Q5)</f>
        <v>0</v>
      </c>
      <c r="BF5" s="18">
        <f t="array" ref="BF5">AVERAGE(AK5:AK5/AN5:AN5) - AVERAGE(N5:N5/Q5:Q5)</f>
        <v>0</v>
      </c>
    </row>
    <row r="6" spans="1:58" collapsed="1" x14ac:dyDescent="0.2">
      <c r="A6" s="69"/>
      <c r="B6" s="69" t="s">
        <v>62</v>
      </c>
      <c r="C6" s="69">
        <v>218121242</v>
      </c>
      <c r="D6" s="19">
        <v>10</v>
      </c>
      <c r="E6" s="19">
        <v>32</v>
      </c>
      <c r="F6" s="19">
        <v>30</v>
      </c>
      <c r="H6" s="26">
        <f>IF(ISBLANK(Q6),"·",Q6/(C6*D6*3))</f>
        <v>4.3812411447758035E-2</v>
      </c>
      <c r="I6" s="20">
        <f>IF(OR(ISBLANK(Q6),ISBLANK(F6)),"·",Q6*F6/E6/1000000)</f>
        <v>268.77424500000001</v>
      </c>
      <c r="J6" s="21">
        <f>IF(ISBLANK(Q6),"·",Q6/C6)</f>
        <v>1.314372343432741</v>
      </c>
      <c r="K6" s="21">
        <f>IF(N6="","·",N6/C6)</f>
        <v>0.1733533499685464</v>
      </c>
      <c r="L6" s="21">
        <f>IF(R6="","·",R6/C6)</f>
        <v>0.15828899415491132</v>
      </c>
      <c r="M6" s="21">
        <f>IF(ISBLANK(T6),"·",T6/C6)</f>
        <v>1.14101627937732</v>
      </c>
      <c r="N6" s="69">
        <f>IF(OR(ISBLANK(R6),ISBLANK(S6)),"",R6+S6)</f>
        <v>37812048</v>
      </c>
      <c r="O6" s="21">
        <v>16</v>
      </c>
      <c r="P6" s="22">
        <v>22654789</v>
      </c>
      <c r="Q6" s="23">
        <v>286692528</v>
      </c>
      <c r="R6" s="23">
        <v>34526192</v>
      </c>
      <c r="S6" s="23">
        <v>3285856</v>
      </c>
      <c r="T6" s="23">
        <v>248879888</v>
      </c>
      <c r="U6" s="24" t="s">
        <v>549</v>
      </c>
      <c r="V6" s="24" t="s">
        <v>549</v>
      </c>
      <c r="W6" s="24" t="s">
        <v>549</v>
      </c>
      <c r="X6" s="24" t="s">
        <v>549</v>
      </c>
      <c r="Y6" s="24" t="s">
        <v>549</v>
      </c>
      <c r="Z6" s="25"/>
      <c r="AA6" s="25"/>
      <c r="AB6" s="25"/>
      <c r="AC6" s="25"/>
      <c r="AE6" s="26">
        <f>IF(ISBLANK(AN6),"·",AN6/(C6*D6*3))</f>
        <v>4.3812411447758035E-2</v>
      </c>
      <c r="AF6" s="20">
        <f>IF(OR(ISBLANK(AN6),ISBLANK(F6)),"·",AN6*F6/E6/1000000)</f>
        <v>268.77424500000001</v>
      </c>
      <c r="AG6" s="21">
        <f>IF(ISBLANK(AN6),"·",AN6/C6)</f>
        <v>1.314372343432741</v>
      </c>
      <c r="AH6" s="21">
        <f>IF(AK6="","·",AK6/C6)</f>
        <v>0.1733533499685464</v>
      </c>
      <c r="AI6" s="21">
        <f>IF(AO6="","·",AO6/C6)</f>
        <v>0.15828899415491132</v>
      </c>
      <c r="AJ6" s="21">
        <f>IF(ISBLANK(AQ6),"·",AQ6/C6)</f>
        <v>1.14101627937732</v>
      </c>
      <c r="AK6" s="69">
        <f>IF(OR(ISBLANK(AO6),ISBLANK(AP6)),"",AO6+AP6)</f>
        <v>37812048</v>
      </c>
      <c r="AL6" s="21">
        <v>16</v>
      </c>
      <c r="AM6" s="22">
        <v>22654789</v>
      </c>
      <c r="AN6" s="23">
        <v>286692528</v>
      </c>
      <c r="AO6" s="23">
        <v>34526192</v>
      </c>
      <c r="AP6" s="23">
        <v>3285856</v>
      </c>
      <c r="AQ6" s="23">
        <v>248879888</v>
      </c>
      <c r="AR6" s="24"/>
      <c r="AS6" s="24"/>
      <c r="AT6" s="24"/>
      <c r="AU6" s="24"/>
      <c r="AV6" s="24"/>
      <c r="AW6" s="25"/>
      <c r="AX6" s="25"/>
      <c r="AY6" s="25"/>
      <c r="AZ6" s="25"/>
      <c r="BB6" s="71">
        <f t="shared" si="0"/>
        <v>1</v>
      </c>
      <c r="BC6" s="71">
        <f t="shared" si="1"/>
        <v>1</v>
      </c>
      <c r="BD6" s="71">
        <f t="shared" si="1"/>
        <v>1</v>
      </c>
      <c r="BE6" s="26">
        <f>(AK6/AN6) - (N6/Q6)</f>
        <v>0</v>
      </c>
      <c r="BF6" s="26">
        <f t="array" ref="BF6">AVERAGE(AK6:AK6/AN6:AN6) - AVERAGE(N6:N6/Q6:Q6)</f>
        <v>0</v>
      </c>
    </row>
    <row r="7" spans="1:58" collapsed="1" x14ac:dyDescent="0.2">
      <c r="A7" s="77"/>
      <c r="B7" s="77" t="s">
        <v>67</v>
      </c>
      <c r="C7" s="77">
        <v>322589704</v>
      </c>
      <c r="D7" s="11">
        <v>10</v>
      </c>
      <c r="E7" s="11">
        <v>32</v>
      </c>
      <c r="F7" s="11">
        <v>30</v>
      </c>
      <c r="H7" s="18">
        <f>IF(ISBLANK(Q7),"·",Q7/(C7*D7*3))</f>
        <v>3.3776856478138974E-2</v>
      </c>
      <c r="I7" s="12">
        <f>IF(OR(ISBLANK(Q7),ISBLANK(F7)),"·",Q7*F7/E7/1000000)</f>
        <v>306.45186000000001</v>
      </c>
      <c r="J7" s="13">
        <f>IF(ISBLANK(Q7),"·",Q7/C7)</f>
        <v>1.0133056943441692</v>
      </c>
      <c r="K7" s="13">
        <f>IF(N7="","·",N7/C7)</f>
        <v>0.15575599399787415</v>
      </c>
      <c r="L7" s="13">
        <f>IF(R7="","·",R7/C7)</f>
        <v>0.14393436437760579</v>
      </c>
      <c r="M7" s="13">
        <f>IF(ISBLANK(T7),"·",T7/C7)</f>
        <v>0.85754786519783033</v>
      </c>
      <c r="N7" s="77">
        <f>IF(OR(ISBLANK(R7),ISBLANK(S7)),"",R7+S7)</f>
        <v>50245280</v>
      </c>
      <c r="O7" s="13">
        <v>16</v>
      </c>
      <c r="P7" s="14">
        <v>33947718</v>
      </c>
      <c r="Q7" s="15">
        <v>326881984</v>
      </c>
      <c r="R7" s="15">
        <v>46431744</v>
      </c>
      <c r="S7" s="15">
        <v>3813536</v>
      </c>
      <c r="T7" s="15">
        <v>276636112</v>
      </c>
      <c r="U7" s="16" t="s">
        <v>549</v>
      </c>
      <c r="V7" s="16" t="s">
        <v>549</v>
      </c>
      <c r="W7" s="16" t="s">
        <v>549</v>
      </c>
      <c r="X7" s="16" t="s">
        <v>549</v>
      </c>
      <c r="Y7" s="16" t="s">
        <v>549</v>
      </c>
      <c r="Z7" s="17"/>
      <c r="AA7" s="17"/>
      <c r="AB7" s="17"/>
      <c r="AC7" s="17"/>
      <c r="AE7" s="18">
        <f>IF(ISBLANK(AN7),"·",AN7/(C7*D7*3))</f>
        <v>3.3776856478138974E-2</v>
      </c>
      <c r="AF7" s="12">
        <f>IF(OR(ISBLANK(AN7),ISBLANK(F7)),"·",AN7*F7/E7/1000000)</f>
        <v>306.45186000000001</v>
      </c>
      <c r="AG7" s="13">
        <f>IF(ISBLANK(AN7),"·",AN7/C7)</f>
        <v>1.0133056943441692</v>
      </c>
      <c r="AH7" s="13">
        <f>IF(AK7="","·",AK7/C7)</f>
        <v>0.15575599399787415</v>
      </c>
      <c r="AI7" s="13">
        <f>IF(AO7="","·",AO7/C7)</f>
        <v>0.14393436437760579</v>
      </c>
      <c r="AJ7" s="13">
        <f>IF(ISBLANK(AQ7),"·",AQ7/C7)</f>
        <v>0.85754786519783033</v>
      </c>
      <c r="AK7" s="77">
        <f>IF(OR(ISBLANK(AO7),ISBLANK(AP7)),"",AO7+AP7)</f>
        <v>50245280</v>
      </c>
      <c r="AL7" s="13">
        <v>16</v>
      </c>
      <c r="AM7" s="14">
        <v>33947718</v>
      </c>
      <c r="AN7" s="15">
        <v>326881984</v>
      </c>
      <c r="AO7" s="15">
        <v>46431744</v>
      </c>
      <c r="AP7" s="15">
        <v>3813536</v>
      </c>
      <c r="AQ7" s="15">
        <v>276636112</v>
      </c>
      <c r="AR7" s="16"/>
      <c r="AS7" s="16"/>
      <c r="AT7" s="16"/>
      <c r="AU7" s="16"/>
      <c r="AV7" s="16"/>
      <c r="AW7" s="17"/>
      <c r="AX7" s="17"/>
      <c r="AY7" s="17"/>
      <c r="AZ7" s="17"/>
      <c r="BB7" s="79">
        <f t="shared" si="0"/>
        <v>1</v>
      </c>
      <c r="BC7" s="79">
        <f t="shared" si="1"/>
        <v>1</v>
      </c>
      <c r="BD7" s="79">
        <f t="shared" si="1"/>
        <v>1</v>
      </c>
      <c r="BE7" s="18">
        <f>(AK7/AN7) - (N7/Q7)</f>
        <v>0</v>
      </c>
      <c r="BF7" s="18">
        <f t="array" ref="BF7">AVERAGE(AK7:AK7/AN7:AN7) - AVERAGE(N7:N7/Q7:Q7)</f>
        <v>0</v>
      </c>
    </row>
    <row r="8" spans="1:58" collapsed="1" x14ac:dyDescent="0.2">
      <c r="A8" s="37"/>
      <c r="B8" s="37" t="s">
        <v>72</v>
      </c>
      <c r="C8" s="37">
        <v>250602891</v>
      </c>
      <c r="D8" s="38">
        <v>10</v>
      </c>
      <c r="E8" s="38">
        <v>32</v>
      </c>
      <c r="F8" s="38">
        <v>50</v>
      </c>
      <c r="H8" s="45">
        <f>IF(ISBLANK(Q8),"·",Q8/(C8*D8*3))</f>
        <v>3.1044058998239303E-2</v>
      </c>
      <c r="I8" s="39">
        <f>IF(OR(ISBLANK(Q8),ISBLANK(F8)),"·",Q8*F8/E8/1000000)</f>
        <v>364.67488750000001</v>
      </c>
      <c r="J8" s="40">
        <f>IF(ISBLANK(Q8),"·",Q8/C8)</f>
        <v>0.93132176994717908</v>
      </c>
      <c r="K8" s="40">
        <f>IF(N8="","·",N8/C8)</f>
        <v>0.11467589972854703</v>
      </c>
      <c r="L8" s="40">
        <f>IF(R8="","·",R8/C8)</f>
        <v>0.10162739902310225</v>
      </c>
      <c r="M8" s="40">
        <f>IF(ISBLANK(T8),"·",T8/C8)</f>
        <v>0.81664350791547735</v>
      </c>
      <c r="N8" s="37">
        <f>IF(OR(ISBLANK(R8),ISBLANK(S8)),"",R8+S8)</f>
        <v>28738112</v>
      </c>
      <c r="O8" s="40">
        <v>16</v>
      </c>
      <c r="P8" s="41">
        <v>32209643</v>
      </c>
      <c r="Q8" s="42">
        <v>233391928</v>
      </c>
      <c r="R8" s="42">
        <v>25468120</v>
      </c>
      <c r="S8" s="42">
        <v>3269992</v>
      </c>
      <c r="T8" s="42">
        <v>204653224</v>
      </c>
      <c r="U8" s="43" t="s">
        <v>549</v>
      </c>
      <c r="V8" s="43" t="s">
        <v>549</v>
      </c>
      <c r="W8" s="43" t="s">
        <v>549</v>
      </c>
      <c r="X8" s="43" t="s">
        <v>549</v>
      </c>
      <c r="Y8" s="43" t="s">
        <v>549</v>
      </c>
      <c r="Z8" s="44"/>
      <c r="AA8" s="44"/>
      <c r="AB8" s="44"/>
      <c r="AC8" s="44"/>
      <c r="AE8" s="45">
        <f>IF(ISBLANK(AN8),"·",AN8/(C8*D8*3))</f>
        <v>3.1044058998239303E-2</v>
      </c>
      <c r="AF8" s="39">
        <f>IF(OR(ISBLANK(AN8),ISBLANK(F8)),"·",AN8*F8/E8/1000000)</f>
        <v>364.67488750000001</v>
      </c>
      <c r="AG8" s="40">
        <f>IF(ISBLANK(AN8),"·",AN8/C8)</f>
        <v>0.93132176994717908</v>
      </c>
      <c r="AH8" s="40">
        <f>IF(AK8="","·",AK8/C8)</f>
        <v>0.11467589972854703</v>
      </c>
      <c r="AI8" s="40">
        <f>IF(AO8="","·",AO8/C8)</f>
        <v>0.10162739902310225</v>
      </c>
      <c r="AJ8" s="40">
        <f>IF(ISBLANK(AQ8),"·",AQ8/C8)</f>
        <v>0.81664350791547735</v>
      </c>
      <c r="AK8" s="37">
        <f>IF(OR(ISBLANK(AO8),ISBLANK(AP8)),"",AO8+AP8)</f>
        <v>28738112</v>
      </c>
      <c r="AL8" s="40">
        <v>16</v>
      </c>
      <c r="AM8" s="41">
        <v>32209643</v>
      </c>
      <c r="AN8" s="42">
        <v>233391928</v>
      </c>
      <c r="AO8" s="42">
        <v>25468120</v>
      </c>
      <c r="AP8" s="42">
        <v>3269992</v>
      </c>
      <c r="AQ8" s="42">
        <v>204653224</v>
      </c>
      <c r="AR8" s="43"/>
      <c r="AS8" s="43"/>
      <c r="AT8" s="43"/>
      <c r="AU8" s="43"/>
      <c r="AV8" s="43"/>
      <c r="AW8" s="44"/>
      <c r="AX8" s="44"/>
      <c r="AY8" s="44"/>
      <c r="AZ8" s="44"/>
      <c r="BB8" s="46">
        <f t="shared" si="0"/>
        <v>1</v>
      </c>
      <c r="BC8" s="46">
        <f t="shared" si="1"/>
        <v>1</v>
      </c>
      <c r="BD8" s="46">
        <f t="shared" si="1"/>
        <v>1</v>
      </c>
      <c r="BE8" s="45">
        <f>(AK8/AN8) - (N8/Q8)</f>
        <v>0</v>
      </c>
      <c r="BF8" s="45">
        <f t="array" ref="BF8">AVERAGE(AK8:AK8/AN8:AN8) - AVERAGE(N8:N8/Q8:Q8)</f>
        <v>0</v>
      </c>
    </row>
    <row r="9" spans="1:58" collapsed="1" x14ac:dyDescent="0.2">
      <c r="A9" s="27" t="s">
        <v>234</v>
      </c>
      <c r="B9" s="27" t="s">
        <v>75</v>
      </c>
      <c r="C9" s="27">
        <v>250294582</v>
      </c>
      <c r="D9" s="28">
        <v>10</v>
      </c>
      <c r="E9" s="28">
        <v>32</v>
      </c>
      <c r="F9" s="28">
        <v>30</v>
      </c>
      <c r="H9" s="35">
        <f>IF(ISBLANK(Q9),"·",Q9/(C9*D9*3))</f>
        <v>5.0217466286718637E-2</v>
      </c>
      <c r="I9" s="29">
        <f>IF(OR(ISBLANK(Q9),ISBLANK(F9)),"·",Q9*F9/E9/1000000)</f>
        <v>353.50761749999998</v>
      </c>
      <c r="J9" s="30">
        <f>IF(ISBLANK(Q9),"·",Q9/C9)</f>
        <v>1.5065239886015591</v>
      </c>
      <c r="K9" s="30">
        <f>IF(N9="","·",N9/C9)</f>
        <v>0.15285352041699407</v>
      </c>
      <c r="L9" s="30">
        <f>IF(R9="","·",R9/C9)</f>
        <v>0.14233589762642165</v>
      </c>
      <c r="M9" s="30">
        <f>IF(ISBLANK(T9),"·",T9/C9)</f>
        <v>1.3536681029715618</v>
      </c>
      <c r="N9" s="27">
        <f>IF(OR(ISBLANK(R9),ISBLANK(S9)),"",R9+S9)</f>
        <v>38258408</v>
      </c>
      <c r="O9" s="30">
        <v>16</v>
      </c>
      <c r="P9" s="31">
        <v>25312408</v>
      </c>
      <c r="Q9" s="32">
        <v>377074792</v>
      </c>
      <c r="R9" s="32">
        <v>35625904</v>
      </c>
      <c r="S9" s="32">
        <v>2632504</v>
      </c>
      <c r="T9" s="32">
        <v>338815792</v>
      </c>
      <c r="U9" s="33" t="s">
        <v>549</v>
      </c>
      <c r="V9" s="33" t="s">
        <v>549</v>
      </c>
      <c r="W9" s="33" t="s">
        <v>549</v>
      </c>
      <c r="X9" s="33" t="s">
        <v>549</v>
      </c>
      <c r="Y9" s="33" t="s">
        <v>549</v>
      </c>
      <c r="Z9" s="34"/>
      <c r="AA9" s="34"/>
      <c r="AB9" s="34"/>
      <c r="AC9" s="34"/>
      <c r="AE9" s="35">
        <f>IF(ISBLANK(AN9),"·",AN9/(C9*D9*3))</f>
        <v>5.0217466286718637E-2</v>
      </c>
      <c r="AF9" s="29">
        <f>IF(OR(ISBLANK(AN9),ISBLANK(F9)),"·",AN9*F9/E9/1000000)</f>
        <v>353.50761749999998</v>
      </c>
      <c r="AG9" s="30">
        <f>IF(ISBLANK(AN9),"·",AN9/C9)</f>
        <v>1.5065239886015591</v>
      </c>
      <c r="AH9" s="30">
        <f>IF(AK9="","·",AK9/C9)</f>
        <v>0.15285352041699407</v>
      </c>
      <c r="AI9" s="30">
        <f>IF(AO9="","·",AO9/C9)</f>
        <v>0.14233589762642165</v>
      </c>
      <c r="AJ9" s="30">
        <f>IF(ISBLANK(AQ9),"·",AQ9/C9)</f>
        <v>1.3536681029715618</v>
      </c>
      <c r="AK9" s="27">
        <f>IF(OR(ISBLANK(AO9),ISBLANK(AP9)),"",AO9+AP9)</f>
        <v>38258408</v>
      </c>
      <c r="AL9" s="30">
        <v>16</v>
      </c>
      <c r="AM9" s="31">
        <v>25312408</v>
      </c>
      <c r="AN9" s="32">
        <v>377074792</v>
      </c>
      <c r="AO9" s="32">
        <v>35625904</v>
      </c>
      <c r="AP9" s="32">
        <v>2632504</v>
      </c>
      <c r="AQ9" s="32">
        <v>338815792</v>
      </c>
      <c r="AR9" s="33"/>
      <c r="AS9" s="33"/>
      <c r="AT9" s="33"/>
      <c r="AU9" s="33"/>
      <c r="AV9" s="33"/>
      <c r="AW9" s="34"/>
      <c r="AX9" s="34"/>
      <c r="AY9" s="34"/>
      <c r="AZ9" s="34"/>
      <c r="BB9" s="36">
        <f t="shared" si="0"/>
        <v>1</v>
      </c>
      <c r="BC9" s="36">
        <f t="shared" si="1"/>
        <v>1</v>
      </c>
      <c r="BD9" s="36">
        <f t="shared" si="1"/>
        <v>1</v>
      </c>
      <c r="BE9" s="35">
        <f>(AK9/AN9) - (N9/Q9)</f>
        <v>0</v>
      </c>
      <c r="BF9" s="35">
        <f t="array" ref="BF9">AVERAGE(AK9:AK9/AN9:AN9) - AVERAGE(N9:N9/Q9:Q9)</f>
        <v>0</v>
      </c>
    </row>
    <row r="10" spans="1:58" s="109" customFormat="1" x14ac:dyDescent="0.2">
      <c r="A10" s="110"/>
      <c r="B10" s="110" t="s">
        <v>572</v>
      </c>
      <c r="C10" s="110"/>
      <c r="D10" s="111"/>
      <c r="E10" s="111"/>
      <c r="F10" s="111"/>
      <c r="H10" s="112"/>
      <c r="I10" s="113"/>
      <c r="J10" s="114"/>
      <c r="K10" s="114"/>
      <c r="L10" s="114"/>
      <c r="M10" s="114"/>
      <c r="N10" s="110"/>
      <c r="O10" s="114"/>
      <c r="P10" s="115">
        <v>92854683</v>
      </c>
      <c r="Q10" s="116">
        <v>907292256</v>
      </c>
      <c r="R10" s="116">
        <v>97603184</v>
      </c>
      <c r="S10" s="116">
        <v>4667576</v>
      </c>
      <c r="T10" s="116">
        <v>805020904</v>
      </c>
      <c r="U10" s="117"/>
      <c r="V10" s="117"/>
      <c r="W10" s="117"/>
      <c r="X10" s="117"/>
      <c r="Y10" s="117"/>
      <c r="Z10" s="118"/>
      <c r="AA10" s="118"/>
      <c r="AB10" s="118"/>
      <c r="AC10" s="118"/>
      <c r="AE10" s="112"/>
      <c r="AF10" s="113"/>
      <c r="AG10" s="114"/>
      <c r="AH10" s="114"/>
      <c r="AI10" s="114"/>
      <c r="AJ10" s="114"/>
      <c r="AK10" s="110"/>
      <c r="AL10" s="114"/>
      <c r="AM10" s="115"/>
      <c r="AN10" s="116"/>
      <c r="AO10" s="116"/>
      <c r="AP10" s="116"/>
      <c r="AQ10" s="116"/>
      <c r="AR10" s="117"/>
      <c r="AS10" s="117"/>
      <c r="AT10" s="117"/>
      <c r="AU10" s="117"/>
      <c r="AV10" s="117"/>
      <c r="AW10" s="118"/>
      <c r="AX10" s="118"/>
      <c r="AY10" s="118"/>
      <c r="AZ10" s="118"/>
      <c r="BB10" s="119"/>
      <c r="BC10" s="119"/>
      <c r="BD10" s="119"/>
      <c r="BE10" s="112"/>
      <c r="BF10" s="112"/>
    </row>
    <row r="11" spans="1:58" s="109" customFormat="1" x14ac:dyDescent="0.2">
      <c r="A11" s="110"/>
      <c r="B11" s="110" t="s">
        <v>573</v>
      </c>
      <c r="C11" s="110"/>
      <c r="D11" s="111"/>
      <c r="E11" s="111"/>
      <c r="F11" s="111"/>
      <c r="H11" s="112"/>
      <c r="I11" s="113"/>
      <c r="J11" s="114"/>
      <c r="K11" s="114"/>
      <c r="L11" s="114"/>
      <c r="M11" s="114"/>
      <c r="N11" s="110"/>
      <c r="O11" s="114"/>
      <c r="P11" s="115">
        <v>83104648</v>
      </c>
      <c r="Q11" s="116">
        <v>829937480</v>
      </c>
      <c r="R11" s="116">
        <v>92977752</v>
      </c>
      <c r="S11" s="116">
        <v>5137424</v>
      </c>
      <c r="T11" s="116">
        <v>731821712</v>
      </c>
      <c r="U11" s="117"/>
      <c r="V11" s="117"/>
      <c r="W11" s="117"/>
      <c r="X11" s="117"/>
      <c r="Y11" s="117"/>
      <c r="Z11" s="118"/>
      <c r="AA11" s="118"/>
      <c r="AB11" s="118"/>
      <c r="AC11" s="118"/>
      <c r="AE11" s="112"/>
      <c r="AF11" s="113"/>
      <c r="AG11" s="114"/>
      <c r="AH11" s="114"/>
      <c r="AI11" s="114"/>
      <c r="AJ11" s="114"/>
      <c r="AK11" s="110"/>
      <c r="AL11" s="114"/>
      <c r="AM11" s="115"/>
      <c r="AN11" s="116"/>
      <c r="AO11" s="116"/>
      <c r="AP11" s="116"/>
      <c r="AQ11" s="116"/>
      <c r="AR11" s="117"/>
      <c r="AS11" s="117"/>
      <c r="AT11" s="117"/>
      <c r="AU11" s="117"/>
      <c r="AV11" s="117"/>
      <c r="AW11" s="118"/>
      <c r="AX11" s="118"/>
      <c r="AY11" s="118"/>
      <c r="AZ11" s="118"/>
      <c r="BB11" s="119"/>
      <c r="BC11" s="119"/>
      <c r="BD11" s="119"/>
      <c r="BE11" s="112"/>
      <c r="BF11" s="112"/>
    </row>
    <row r="12" spans="1:58" ht="16" x14ac:dyDescent="0.2">
      <c r="B12" s="47" t="s">
        <v>16</v>
      </c>
      <c r="J12" s="48">
        <f>AVERAGE(J5:J8)</f>
        <v>1.0447309219134731</v>
      </c>
      <c r="K12" s="48">
        <f>AVERAGE(K5:K8)</f>
        <v>0.14622985213012532</v>
      </c>
      <c r="L12" s="48">
        <f>AVERAGE(L5:L8)</f>
        <v>0.13414433017219934</v>
      </c>
      <c r="M12" s="48">
        <f>AVERAGE(M5:M8)</f>
        <v>0.89849872043224155</v>
      </c>
      <c r="AG12" s="48">
        <f>AVERAGE(AG5:AG8)</f>
        <v>1.0447309219134731</v>
      </c>
      <c r="AH12" s="48">
        <f>AVERAGE(AH5:AH8)</f>
        <v>0.14622985213012532</v>
      </c>
      <c r="AI12" s="48">
        <f>AVERAGE(AI5:AI8)</f>
        <v>0.13414433017219934</v>
      </c>
      <c r="AJ12" s="48">
        <f>AVERAGE(AJ5:AJ8)</f>
        <v>0.89849872043224155</v>
      </c>
      <c r="BB12" s="98">
        <f t="shared" si="0"/>
        <v>1</v>
      </c>
      <c r="BC12" s="98">
        <f t="shared" si="1"/>
        <v>1</v>
      </c>
      <c r="BD12" s="98">
        <f t="shared" si="1"/>
        <v>1</v>
      </c>
      <c r="BF12" s="103">
        <f>AVERAGE(BF5:BF8)</f>
        <v>0</v>
      </c>
    </row>
    <row r="13" spans="1:58" ht="16" x14ac:dyDescent="0.2">
      <c r="B13" s="47" t="s">
        <v>17</v>
      </c>
      <c r="J13" s="48">
        <f>AVERAGE(J9:J9)</f>
        <v>1.5065239886015591</v>
      </c>
      <c r="K13" s="48">
        <f>AVERAGE(K9:K9)</f>
        <v>0.15285352041699407</v>
      </c>
      <c r="L13" s="48">
        <f>AVERAGE(L9:L9)</f>
        <v>0.14233589762642165</v>
      </c>
      <c r="M13" s="48">
        <f>AVERAGE(M9:M9)</f>
        <v>1.3536681029715618</v>
      </c>
      <c r="AG13" s="48">
        <f>AVERAGE(AG9:AG9)</f>
        <v>1.5065239886015591</v>
      </c>
      <c r="AH13" s="48">
        <f>AVERAGE(AH9:AH9)</f>
        <v>0.15285352041699407</v>
      </c>
      <c r="AI13" s="48">
        <f>AVERAGE(AI9:AI9)</f>
        <v>0.14233589762642165</v>
      </c>
      <c r="AJ13" s="48">
        <f>AVERAGE(AJ9:AJ9)</f>
        <v>1.3536681029715618</v>
      </c>
      <c r="BB13" s="98">
        <f t="shared" si="0"/>
        <v>1</v>
      </c>
      <c r="BC13" s="98">
        <f t="shared" si="1"/>
        <v>1</v>
      </c>
      <c r="BD13" s="98">
        <f t="shared" si="1"/>
        <v>1</v>
      </c>
      <c r="BF13" s="103">
        <f>AVERAGE(BF9:BF9)</f>
        <v>0</v>
      </c>
    </row>
    <row r="14" spans="1:58" ht="16" x14ac:dyDescent="0.2">
      <c r="B14" s="47" t="s">
        <v>18</v>
      </c>
      <c r="J14" s="48">
        <f>AVERAGE(J5:J9)</f>
        <v>1.1370895352510904</v>
      </c>
      <c r="K14" s="48">
        <f>AVERAGE(K5:K9)</f>
        <v>0.14755458578749908</v>
      </c>
      <c r="L14" s="48">
        <f>AVERAGE(L5:L9)</f>
        <v>0.13578264366304379</v>
      </c>
      <c r="M14" s="48">
        <f>AVERAGE(M5:M9)</f>
        <v>0.98953259694010565</v>
      </c>
      <c r="AG14" s="48">
        <f>AVERAGE(AG5:AG9)</f>
        <v>1.1370895352510904</v>
      </c>
      <c r="AH14" s="48">
        <f>AVERAGE(AH5:AH9)</f>
        <v>0.14755458578749908</v>
      </c>
      <c r="AI14" s="48">
        <f>AVERAGE(AI5:AI9)</f>
        <v>0.13578264366304379</v>
      </c>
      <c r="AJ14" s="48">
        <f>AVERAGE(AJ5:AJ9)</f>
        <v>0.98953259694010565</v>
      </c>
      <c r="BB14" s="98">
        <f t="shared" si="0"/>
        <v>1</v>
      </c>
      <c r="BC14" s="98">
        <f t="shared" si="1"/>
        <v>1</v>
      </c>
      <c r="BD14" s="98">
        <f t="shared" si="1"/>
        <v>1</v>
      </c>
      <c r="BF14" s="103">
        <f>AVERAGE(BF5:BF9)</f>
        <v>0</v>
      </c>
    </row>
    <row r="15" spans="1:58" ht="16" hidden="1" outlineLevel="2" x14ac:dyDescent="0.2">
      <c r="A15" s="47" t="s">
        <v>235</v>
      </c>
      <c r="B15" s="47" t="s">
        <v>236</v>
      </c>
      <c r="Z15" s="49">
        <f>SUM(Z5:Z8,Z9:Z9)</f>
        <v>0</v>
      </c>
      <c r="AA15" s="49">
        <f>SUM(AA5:AA8,AA9:AA9)</f>
        <v>0</v>
      </c>
      <c r="AB15" s="49">
        <f>SUM(AB5:AB8,AB9:AB9)</f>
        <v>0</v>
      </c>
      <c r="AC15" s="49">
        <f>SUM(AC5:AC8,AC9:AC9)</f>
        <v>0</v>
      </c>
      <c r="AW15" s="49">
        <f>SUM(AW5:AW8,AW9:AW9)</f>
        <v>0</v>
      </c>
      <c r="AX15" s="49">
        <f>SUM(AX5:AX8,AX9:AX9)</f>
        <v>0</v>
      </c>
      <c r="AY15" s="49">
        <f>SUM(AY5:AY8,AY9:AY9)</f>
        <v>0</v>
      </c>
      <c r="AZ15" s="49">
        <f>SUM(AZ5:AZ8,AZ9:AZ9)</f>
        <v>0</v>
      </c>
    </row>
    <row r="16" spans="1:58" ht="16" hidden="1" outlineLevel="2" x14ac:dyDescent="0.2">
      <c r="B16" s="47" t="s">
        <v>237</v>
      </c>
      <c r="AW16" s="103" t="e">
        <f>AW15/Z15</f>
        <v>#DIV/0!</v>
      </c>
      <c r="AX16" s="103" t="e">
        <f>AX15/AA15</f>
        <v>#DIV/0!</v>
      </c>
      <c r="AY16" s="103" t="e">
        <f>AY15/AB15</f>
        <v>#DIV/0!</v>
      </c>
      <c r="AZ16" s="103" t="e">
        <f>AZ15/AC15</f>
        <v>#DIV/0!</v>
      </c>
    </row>
    <row r="17" spans="2:52" ht="16" hidden="1" outlineLevel="2" x14ac:dyDescent="0.2">
      <c r="B17" s="47" t="s">
        <v>238</v>
      </c>
      <c r="Z17" s="49" t="e">
        <f>GEOMEAN(Z5:Z8,Z9:Z9)</f>
        <v>#NUM!</v>
      </c>
      <c r="AA17" s="49" t="e">
        <f>GEOMEAN(AA5:AA8,AA9:AA9)</f>
        <v>#NUM!</v>
      </c>
      <c r="AB17" s="49" t="e">
        <f>GEOMEAN(AB5:AB8,AB9:AB9)</f>
        <v>#NUM!</v>
      </c>
      <c r="AC17" s="49" t="e">
        <f>GEOMEAN(AC5:AC8,AC9:AC9)</f>
        <v>#NUM!</v>
      </c>
      <c r="AW17" s="49" t="e">
        <f>GEOMEAN(AW5:AW8,AW9:AW9)</f>
        <v>#NUM!</v>
      </c>
      <c r="AX17" s="49" t="e">
        <f>GEOMEAN(AX5:AX8,AX9:AX9)</f>
        <v>#NUM!</v>
      </c>
      <c r="AY17" s="49" t="e">
        <f>GEOMEAN(AY5:AY8,AY9:AY9)</f>
        <v>#NUM!</v>
      </c>
      <c r="AZ17" s="49" t="e">
        <f>GEOMEAN(AZ5:AZ8,AZ9:AZ9)</f>
        <v>#NUM!</v>
      </c>
    </row>
    <row r="18" spans="2:52" ht="16" outlineLevel="2" collapsed="1" x14ac:dyDescent="0.2">
      <c r="B18" s="47" t="s">
        <v>239</v>
      </c>
      <c r="AW18" s="103" t="e">
        <f>AW17/Z17</f>
        <v>#NUM!</v>
      </c>
      <c r="AX18" s="103" t="e">
        <f>AX17/AA17</f>
        <v>#NUM!</v>
      </c>
      <c r="AY18" s="103" t="e">
        <f>AY17/AB17</f>
        <v>#NUM!</v>
      </c>
      <c r="AZ18" s="103" t="e">
        <f>AZ17/AC17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2:BB14">
    <cfRule type="cellIs" dxfId="67" priority="3" operator="greaterThanOrEqual">
      <formula>1.03</formula>
    </cfRule>
    <cfRule type="cellIs" dxfId="66" priority="4" operator="lessThanOrEqual">
      <formula>0.97</formula>
    </cfRule>
  </conditionalFormatting>
  <conditionalFormatting sqref="BC12:BC14">
    <cfRule type="cellIs" dxfId="65" priority="5" operator="greaterThanOrEqual">
      <formula>1.03</formula>
    </cfRule>
    <cfRule type="cellIs" dxfId="64" priority="6" operator="lessThanOrEqual">
      <formula>0.97</formula>
    </cfRule>
  </conditionalFormatting>
  <conditionalFormatting sqref="BD12:BD14">
    <cfRule type="cellIs" dxfId="63" priority="1" operator="greaterThanOrEqual">
      <formula>1.03</formula>
    </cfRule>
    <cfRule type="cellIs" dxfId="62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/>
  </sheetPr>
  <dimension ref="A1:BT46"/>
  <sheetViews>
    <sheetView workbookViewId="0">
      <pane xSplit="2" topLeftCell="AN1" activePane="topRight" state="frozen"/>
      <selection pane="topRight" activeCell="AX26" sqref="AX26"/>
    </sheetView>
  </sheetViews>
  <sheetFormatPr baseColWidth="10" defaultColWidth="8.83203125" defaultRowHeight="15" outlineLevelRow="2" x14ac:dyDescent="0.2"/>
  <cols>
    <col min="2" max="2" width="24.6640625" style="4" customWidth="1"/>
    <col min="4" max="5" width="10.6640625" style="4" customWidth="1"/>
    <col min="8" max="8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9" max="22" width="12.6640625" style="4" customWidth="1"/>
    <col min="23" max="27" width="11.6640625" style="4" customWidth="1"/>
    <col min="32" max="32" width="1.6640625" style="4" customWidth="1"/>
    <col min="34" max="37" width="10.6640625" style="4" customWidth="1"/>
    <col min="38" max="38" width="24.6640625" style="4" hidden="1" customWidth="1"/>
    <col min="39" max="39" width="12.6640625" style="4" customWidth="1"/>
    <col min="40" max="40" width="10.6640625" style="4" customWidth="1"/>
    <col min="43" max="46" width="12.6640625" style="4" customWidth="1"/>
    <col min="47" max="51" width="11.6640625" style="4" customWidth="1"/>
    <col min="56" max="56" width="1.6640625" style="4" customWidth="1"/>
    <col min="60" max="60" width="1.6640625" style="4" customWidth="1"/>
    <col min="63" max="65" width="11.6640625" style="4" customWidth="1"/>
    <col min="66" max="66" width="1.6640625" style="4" customWidth="1"/>
    <col min="69" max="71" width="11.6640625" style="4" customWidth="1"/>
    <col min="72" max="72" width="1.6640625" style="4" customWidth="1"/>
  </cols>
  <sheetData>
    <row r="1" spans="1:71" x14ac:dyDescent="0.2">
      <c r="A1" s="144" t="s">
        <v>551</v>
      </c>
      <c r="B1" s="127"/>
      <c r="C1" s="127"/>
      <c r="D1" s="127"/>
      <c r="E1" s="127"/>
      <c r="F1" s="127"/>
      <c r="G1" s="127"/>
      <c r="I1" s="140" t="s">
        <v>574</v>
      </c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G1" s="141" t="s">
        <v>576</v>
      </c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</row>
    <row r="2" spans="1:71" ht="30" customHeight="1" x14ac:dyDescent="0.2">
      <c r="A2" s="146" t="s">
        <v>140</v>
      </c>
      <c r="B2" s="145" t="s">
        <v>141</v>
      </c>
      <c r="C2" s="146" t="s">
        <v>142</v>
      </c>
      <c r="D2" s="145" t="s">
        <v>143</v>
      </c>
      <c r="E2" s="146" t="s">
        <v>144</v>
      </c>
      <c r="F2" s="145" t="s">
        <v>145</v>
      </c>
      <c r="G2" s="146" t="s">
        <v>146</v>
      </c>
      <c r="I2" s="145" t="s">
        <v>147</v>
      </c>
      <c r="J2" s="143" t="s">
        <v>148</v>
      </c>
      <c r="K2" s="127"/>
      <c r="L2" s="127"/>
      <c r="M2" s="127"/>
      <c r="N2" s="146" t="s">
        <v>149</v>
      </c>
      <c r="O2" s="145" t="s">
        <v>150</v>
      </c>
      <c r="P2" s="146" t="s">
        <v>85</v>
      </c>
      <c r="Q2" s="145" t="s">
        <v>87</v>
      </c>
      <c r="R2" s="146" t="s">
        <v>83</v>
      </c>
      <c r="S2" s="142" t="s">
        <v>151</v>
      </c>
      <c r="T2" s="127"/>
      <c r="U2" s="127"/>
      <c r="V2" s="127"/>
      <c r="W2" s="143" t="s">
        <v>152</v>
      </c>
      <c r="X2" s="127"/>
      <c r="Y2" s="142" t="s">
        <v>153</v>
      </c>
      <c r="Z2" s="127"/>
      <c r="AA2" s="127"/>
      <c r="AB2" s="143" t="s">
        <v>154</v>
      </c>
      <c r="AC2" s="127"/>
      <c r="AD2" s="142" t="s">
        <v>155</v>
      </c>
      <c r="AE2" s="127"/>
      <c r="AG2" s="146" t="s">
        <v>147</v>
      </c>
      <c r="AH2" s="142" t="s">
        <v>148</v>
      </c>
      <c r="AI2" s="127"/>
      <c r="AJ2" s="127"/>
      <c r="AK2" s="127"/>
      <c r="AL2" s="145" t="s">
        <v>156</v>
      </c>
      <c r="AM2" s="146" t="s">
        <v>150</v>
      </c>
      <c r="AN2" s="145" t="s">
        <v>85</v>
      </c>
      <c r="AO2" s="146" t="s">
        <v>87</v>
      </c>
      <c r="AP2" s="145" t="s">
        <v>83</v>
      </c>
      <c r="AQ2" s="143" t="s">
        <v>151</v>
      </c>
      <c r="AR2" s="127"/>
      <c r="AS2" s="127"/>
      <c r="AT2" s="127"/>
      <c r="AU2" s="142" t="s">
        <v>152</v>
      </c>
      <c r="AV2" s="127"/>
      <c r="AW2" s="143" t="s">
        <v>153</v>
      </c>
      <c r="AX2" s="127"/>
      <c r="AY2" s="127"/>
      <c r="AZ2" s="142" t="s">
        <v>154</v>
      </c>
      <c r="BA2" s="127"/>
      <c r="BB2" s="143" t="s">
        <v>155</v>
      </c>
      <c r="BC2" s="127"/>
      <c r="BE2" s="145" t="s">
        <v>157</v>
      </c>
      <c r="BF2" s="146" t="s">
        <v>158</v>
      </c>
      <c r="BG2" s="145" t="s">
        <v>158</v>
      </c>
      <c r="BI2" s="143" t="s">
        <v>7</v>
      </c>
      <c r="BJ2" s="127"/>
      <c r="BK2" s="142" t="s">
        <v>8</v>
      </c>
      <c r="BL2" s="127"/>
      <c r="BM2" s="127"/>
      <c r="BO2" s="143" t="s">
        <v>9</v>
      </c>
      <c r="BP2" s="127"/>
      <c r="BQ2" s="142" t="s">
        <v>10</v>
      </c>
      <c r="BR2" s="127"/>
      <c r="BS2" s="127"/>
    </row>
    <row r="3" spans="1:71" ht="16" x14ac:dyDescent="0.2">
      <c r="A3" s="129"/>
      <c r="B3" s="129"/>
      <c r="C3" s="129"/>
      <c r="D3" s="129"/>
      <c r="E3" s="129"/>
      <c r="F3" s="129"/>
      <c r="G3" s="129"/>
      <c r="I3" s="129"/>
      <c r="J3" s="105" t="s">
        <v>25</v>
      </c>
      <c r="K3" s="105" t="s">
        <v>159</v>
      </c>
      <c r="L3" s="105" t="s">
        <v>24</v>
      </c>
      <c r="M3" s="105" t="s">
        <v>160</v>
      </c>
      <c r="N3" s="129"/>
      <c r="O3" s="129"/>
      <c r="P3" s="129"/>
      <c r="Q3" s="129"/>
      <c r="R3" s="129"/>
      <c r="S3" s="104" t="s">
        <v>25</v>
      </c>
      <c r="T3" s="104" t="s">
        <v>24</v>
      </c>
      <c r="U3" s="104" t="s">
        <v>161</v>
      </c>
      <c r="V3" s="104" t="s">
        <v>26</v>
      </c>
      <c r="W3" s="105" t="s">
        <v>11</v>
      </c>
      <c r="X3" s="105" t="s">
        <v>12</v>
      </c>
      <c r="Y3" s="104" t="s">
        <v>13</v>
      </c>
      <c r="Z3" s="104" t="s">
        <v>14</v>
      </c>
      <c r="AA3" s="104" t="s">
        <v>15</v>
      </c>
      <c r="AB3" s="105" t="s">
        <v>35</v>
      </c>
      <c r="AC3" s="105" t="s">
        <v>36</v>
      </c>
      <c r="AD3" s="104" t="s">
        <v>35</v>
      </c>
      <c r="AE3" s="104" t="s">
        <v>36</v>
      </c>
      <c r="AG3" s="129"/>
      <c r="AH3" s="104" t="s">
        <v>25</v>
      </c>
      <c r="AI3" s="104" t="s">
        <v>159</v>
      </c>
      <c r="AJ3" s="104" t="s">
        <v>24</v>
      </c>
      <c r="AK3" s="104" t="s">
        <v>160</v>
      </c>
      <c r="AL3" s="129"/>
      <c r="AM3" s="129"/>
      <c r="AN3" s="129"/>
      <c r="AO3" s="129"/>
      <c r="AP3" s="129"/>
      <c r="AQ3" s="105" t="s">
        <v>25</v>
      </c>
      <c r="AR3" s="105" t="s">
        <v>24</v>
      </c>
      <c r="AS3" s="105" t="s">
        <v>161</v>
      </c>
      <c r="AT3" s="105" t="s">
        <v>26</v>
      </c>
      <c r="AU3" s="104" t="s">
        <v>11</v>
      </c>
      <c r="AV3" s="104" t="s">
        <v>12</v>
      </c>
      <c r="AW3" s="105" t="s">
        <v>13</v>
      </c>
      <c r="AX3" s="105" t="s">
        <v>14</v>
      </c>
      <c r="AY3" s="105" t="s">
        <v>15</v>
      </c>
      <c r="AZ3" s="104" t="s">
        <v>35</v>
      </c>
      <c r="BA3" s="104" t="s">
        <v>36</v>
      </c>
      <c r="BB3" s="105" t="s">
        <v>35</v>
      </c>
      <c r="BC3" s="105" t="s">
        <v>36</v>
      </c>
      <c r="BE3" s="129"/>
      <c r="BF3" s="129"/>
      <c r="BG3" s="129"/>
      <c r="BI3" s="105" t="s">
        <v>11</v>
      </c>
      <c r="BJ3" s="105" t="s">
        <v>12</v>
      </c>
      <c r="BK3" s="104" t="s">
        <v>13</v>
      </c>
      <c r="BL3" s="104" t="s">
        <v>14</v>
      </c>
      <c r="BM3" s="104" t="s">
        <v>15</v>
      </c>
      <c r="BO3" s="105" t="s">
        <v>11</v>
      </c>
      <c r="BP3" s="105" t="s">
        <v>12</v>
      </c>
      <c r="BQ3" s="104" t="s">
        <v>13</v>
      </c>
      <c r="BR3" s="104" t="s">
        <v>14</v>
      </c>
      <c r="BS3" s="104" t="s">
        <v>15</v>
      </c>
    </row>
    <row r="4" spans="1:71" ht="123" hidden="1" customHeight="1" x14ac:dyDescent="0.2">
      <c r="A4" s="9" t="s">
        <v>162</v>
      </c>
      <c r="B4" s="10" t="s">
        <v>163</v>
      </c>
      <c r="C4" s="9" t="s">
        <v>164</v>
      </c>
      <c r="D4" s="10" t="s">
        <v>165</v>
      </c>
      <c r="E4" s="9" t="s">
        <v>166</v>
      </c>
      <c r="F4" s="10" t="s">
        <v>167</v>
      </c>
      <c r="G4" s="9" t="s">
        <v>168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177</v>
      </c>
      <c r="R4" s="9" t="s">
        <v>178</v>
      </c>
      <c r="S4" s="10" t="s">
        <v>179</v>
      </c>
      <c r="T4" s="10" t="s">
        <v>180</v>
      </c>
      <c r="U4" s="10" t="s">
        <v>181</v>
      </c>
      <c r="V4" s="10" t="s">
        <v>182</v>
      </c>
      <c r="W4" s="9" t="s">
        <v>183</v>
      </c>
      <c r="X4" s="9" t="s">
        <v>184</v>
      </c>
      <c r="Y4" s="10" t="s">
        <v>185</v>
      </c>
      <c r="Z4" s="10" t="s">
        <v>186</v>
      </c>
      <c r="AA4" s="10" t="s">
        <v>187</v>
      </c>
      <c r="AB4" s="9" t="s">
        <v>188</v>
      </c>
      <c r="AC4" s="9" t="s">
        <v>189</v>
      </c>
      <c r="AD4" s="10" t="s">
        <v>190</v>
      </c>
      <c r="AE4" s="10" t="s">
        <v>191</v>
      </c>
      <c r="AG4" s="9" t="s">
        <v>192</v>
      </c>
      <c r="AH4" s="10" t="s">
        <v>193</v>
      </c>
      <c r="AI4" s="10" t="s">
        <v>194</v>
      </c>
      <c r="AJ4" s="10" t="s">
        <v>195</v>
      </c>
      <c r="AK4" s="10" t="s">
        <v>196</v>
      </c>
      <c r="AL4" s="10" t="s">
        <v>197</v>
      </c>
      <c r="AM4" s="9" t="s">
        <v>198</v>
      </c>
      <c r="AN4" s="10" t="s">
        <v>199</v>
      </c>
      <c r="AO4" s="9" t="s">
        <v>200</v>
      </c>
      <c r="AP4" s="10" t="s">
        <v>201</v>
      </c>
      <c r="AQ4" s="9" t="s">
        <v>202</v>
      </c>
      <c r="AR4" s="9" t="s">
        <v>203</v>
      </c>
      <c r="AS4" s="9" t="s">
        <v>204</v>
      </c>
      <c r="AT4" s="9" t="s">
        <v>205</v>
      </c>
      <c r="AU4" s="10" t="s">
        <v>206</v>
      </c>
      <c r="AV4" s="10" t="s">
        <v>207</v>
      </c>
      <c r="AW4" s="9" t="s">
        <v>208</v>
      </c>
      <c r="AX4" s="9" t="s">
        <v>209</v>
      </c>
      <c r="AY4" s="9" t="s">
        <v>210</v>
      </c>
      <c r="AZ4" s="10" t="s">
        <v>211</v>
      </c>
      <c r="BA4" s="10" t="s">
        <v>212</v>
      </c>
      <c r="BB4" s="9" t="s">
        <v>213</v>
      </c>
      <c r="BC4" s="9" t="s">
        <v>214</v>
      </c>
      <c r="BE4" s="10" t="s">
        <v>215</v>
      </c>
      <c r="BF4" s="9" t="s">
        <v>216</v>
      </c>
      <c r="BG4" s="10" t="s">
        <v>217</v>
      </c>
      <c r="BI4" s="9" t="s">
        <v>218</v>
      </c>
      <c r="BJ4" s="9" t="s">
        <v>219</v>
      </c>
      <c r="BK4" s="10" t="s">
        <v>220</v>
      </c>
      <c r="BL4" s="10" t="s">
        <v>221</v>
      </c>
      <c r="BM4" s="10" t="s">
        <v>222</v>
      </c>
      <c r="BO4" s="9" t="s">
        <v>223</v>
      </c>
      <c r="BP4" s="9" t="s">
        <v>224</v>
      </c>
      <c r="BQ4" s="10" t="s">
        <v>225</v>
      </c>
      <c r="BR4" s="10" t="s">
        <v>226</v>
      </c>
      <c r="BS4" s="10" t="s">
        <v>227</v>
      </c>
    </row>
    <row r="5" spans="1:71" x14ac:dyDescent="0.2">
      <c r="A5" s="77" t="s">
        <v>228</v>
      </c>
      <c r="B5" s="77" t="s">
        <v>54</v>
      </c>
      <c r="C5" s="11" t="s">
        <v>229</v>
      </c>
      <c r="D5" s="77">
        <v>238146391</v>
      </c>
      <c r="E5" s="11">
        <v>10</v>
      </c>
      <c r="F5" s="11">
        <v>32</v>
      </c>
      <c r="G5" s="11">
        <v>30</v>
      </c>
      <c r="I5" s="12">
        <f t="shared" ref="I5:I29" si="0">IF(OR(ISBLANK(S5),ISBLANK(G5)),"·",S5*G5/F5/1000000)</f>
        <v>1.207665</v>
      </c>
      <c r="J5" s="13">
        <f t="shared" ref="J5:J39" si="1">IF(ISBLANK(S5),"·",S5/D5)</f>
        <v>5.4091770804958368E-3</v>
      </c>
      <c r="K5" s="13">
        <f t="shared" ref="K5:K39" si="2">IF(N5="","·",N5/D5)</f>
        <v>4.5464136384917968E-3</v>
      </c>
      <c r="L5" s="13">
        <f t="shared" ref="L5:L39" si="3">IF(T5="","·",T5/D5)</f>
        <v>2.7255840295308106E-3</v>
      </c>
      <c r="M5" s="13">
        <f t="shared" ref="M5:M39" si="4">IF(ISBLANK(V5),"·",V5/D5)</f>
        <v>8.6017679772438789E-4</v>
      </c>
      <c r="N5" s="77">
        <f t="shared" ref="N5:N39" si="5">IF(OR(ISBLANK(T5),ISBLANK(U5)),"",T5+U5)</f>
        <v>1082712</v>
      </c>
      <c r="O5" s="13">
        <v>16</v>
      </c>
      <c r="P5" s="14">
        <v>23302404</v>
      </c>
      <c r="Q5" s="14">
        <v>728200.125</v>
      </c>
      <c r="R5" s="14">
        <v>16212.03125</v>
      </c>
      <c r="S5" s="15">
        <v>1288176</v>
      </c>
      <c r="T5" s="15">
        <v>649088</v>
      </c>
      <c r="U5" s="15">
        <v>433624</v>
      </c>
      <c r="V5" s="15">
        <v>204848</v>
      </c>
      <c r="W5" s="16">
        <v>66.750615999999994</v>
      </c>
      <c r="X5" s="16">
        <v>68.466491000000005</v>
      </c>
      <c r="Y5" s="16">
        <v>31.668503000000001</v>
      </c>
      <c r="Z5" s="16">
        <v>44.340691</v>
      </c>
      <c r="AA5" s="16">
        <v>43.451672000000002</v>
      </c>
      <c r="AB5" s="17">
        <v>3316.48</v>
      </c>
      <c r="AC5" s="17">
        <v>3037.64</v>
      </c>
      <c r="AD5" s="17">
        <v>12.288</v>
      </c>
      <c r="AE5" s="17">
        <v>16.59</v>
      </c>
      <c r="AG5" s="12">
        <f t="shared" ref="AG5:AG29" si="6">IF(OR(ISBLANK(AQ5),ISBLANK(G5)),"·",AQ5*G5/F5/1000000)</f>
        <v>1.207665</v>
      </c>
      <c r="AH5" s="13">
        <f t="shared" ref="AH5:AH29" si="7">IF(ISBLANK(AQ5),"·",AQ5/D5)</f>
        <v>5.4091770804958368E-3</v>
      </c>
      <c r="AI5" s="13">
        <f t="shared" ref="AI5:AI29" si="8">IF(AL5="","·",AL5/D5)</f>
        <v>4.5464136384917968E-3</v>
      </c>
      <c r="AJ5" s="13">
        <f t="shared" ref="AJ5:AJ29" si="9">IF(AR5="","·",AR5/D5)</f>
        <v>2.7255840295308106E-3</v>
      </c>
      <c r="AK5" s="13">
        <f t="shared" ref="AK5:AK29" si="10">IF(ISBLANK(AT5),"·",AT5/D5)</f>
        <v>8.6017679772438789E-4</v>
      </c>
      <c r="AL5" s="77">
        <f t="shared" ref="AL5:AL29" si="11">IF(OR(ISBLANK(AR5),ISBLANK(AS5)),"",AR5+AS5)</f>
        <v>1082712</v>
      </c>
      <c r="AM5" s="13">
        <v>16</v>
      </c>
      <c r="AN5" s="14">
        <v>23302404</v>
      </c>
      <c r="AO5" s="14">
        <v>728200.125</v>
      </c>
      <c r="AP5" s="14">
        <v>16212.03125</v>
      </c>
      <c r="AQ5" s="15">
        <v>1288176</v>
      </c>
      <c r="AR5" s="15">
        <v>649088</v>
      </c>
      <c r="AS5" s="15">
        <v>433624</v>
      </c>
      <c r="AT5" s="15">
        <v>204848</v>
      </c>
      <c r="AU5" s="16">
        <v>66.750615999999994</v>
      </c>
      <c r="AV5" s="16">
        <v>68.466491000000005</v>
      </c>
      <c r="AW5" s="16">
        <v>31.668503000000001</v>
      </c>
      <c r="AX5" s="16">
        <v>44.340691</v>
      </c>
      <c r="AY5" s="16">
        <v>43.451672000000002</v>
      </c>
      <c r="AZ5" s="17">
        <v>3200.83</v>
      </c>
      <c r="BA5" s="17">
        <v>2951.93</v>
      </c>
      <c r="BB5" s="17">
        <v>11.782</v>
      </c>
      <c r="BC5" s="17">
        <v>17.457000000000001</v>
      </c>
      <c r="BE5" s="18">
        <f t="shared" ref="BE5:BE29" si="12">(AP5/AO5) - (R5/Q5)</f>
        <v>0</v>
      </c>
      <c r="BF5" s="18">
        <f t="shared" ref="BF5:BF39" si="13">(AL5/AQ5) - (N5/S5)</f>
        <v>0</v>
      </c>
      <c r="BG5" s="18">
        <f t="array" ref="BG5">AVERAGE(AL5:AL9/AQ5:AQ9) - AVERAGE(N5:N9/S5:S9)</f>
        <v>0</v>
      </c>
      <c r="BI5" s="79">
        <f>IF( OR(ISBLANK(N5:N9),ISBLANK(AL5:AL9), ISBLANK(W5:W9),ISBLANK(AU5:AU9)), "·", bdRateExtend( N5:N9,W5:W9, AL5:AL9,AU5:AU9))</f>
        <v>0</v>
      </c>
      <c r="BJ5" s="79">
        <f>IF( OR(ISBLANK(N5:N9),ISBLANK(AL5:AL9), ISBLANK(X5:X9),ISBLANK(AV5:AV9)), "·", bdRateExtend( N5:N9,X5:X9, AL5:AL9,AV5:AV9))</f>
        <v>0</v>
      </c>
      <c r="BK5" s="79">
        <f>IF( OR(ISBLANK(V5:V9),ISBLANK(AT5:AT9), ISBLANK(Y5:Y9),ISBLANK(AW5:AW9)), "·", bdRateExtend( V5:V9,Y5:Y9, AT5:AT9,AW5:AW9))</f>
        <v>0</v>
      </c>
      <c r="BL5" s="79">
        <f>IF( OR(ISBLANK(V5:V9),ISBLANK(AT5:AT9), ISBLANK(Z5:Z9),ISBLANK(AX5:AX9)), "·", bdRateExtend( V5:V9,Z5:Z9, AT5:AT9,AX5:AX9))</f>
        <v>0</v>
      </c>
      <c r="BM5" s="79">
        <f>IF( OR(ISBLANK(V5:V9),ISBLANK(AT5:AT9), ISBLANK(AA5:AA9),ISBLANK(AY5:AY9)), "·", bdRateExtend( V5:V9,AA5:AA9, AT5:AT9,AY5:AY9))</f>
        <v>0</v>
      </c>
      <c r="BO5" s="79">
        <f>IF( OR(ISBLANK(S5:S9),ISBLANK(AQ5:AQ9), ISBLANK(W5:W9),ISBLANK(AU5:AU9)), "·", bdRateExtend( S5:S9,W5:W9, AQ5:AQ9,AU5:AU9))</f>
        <v>0</v>
      </c>
      <c r="BP5" s="79">
        <f>IF( OR(ISBLANK(S5:S9),ISBLANK(AQ5:AQ9), ISBLANK(X5:X9),ISBLANK(AV5:AV9)), "·", bdRateExtend( S5:S9,X5:X9, AQ5:AQ9,AV5:AV9))</f>
        <v>0</v>
      </c>
      <c r="BQ5" s="79">
        <f>IF( OR(ISBLANK(S5:S9),ISBLANK(AQ5:AQ9), ISBLANK(Y5:Y9),ISBLANK(AW5:AW9)), "·", bdRateExtend( S5:S9,Y5:Y9, AQ5:AQ9,AW5:AW9))</f>
        <v>0</v>
      </c>
      <c r="BR5" s="79">
        <f>IF( OR(ISBLANK(S5:S9),ISBLANK(AQ5:AQ9), ISBLANK(Z5:Z9),ISBLANK(AX5:AX9)), "·", bdRateExtend( S5:S9,Z5:Z9, AQ5:AQ9,AX5:AX9))</f>
        <v>0</v>
      </c>
      <c r="BS5" s="79">
        <f>IF( OR(ISBLANK(S5:S9),ISBLANK(AQ5:AQ9), ISBLANK(AA5:AA9),ISBLANK(AY5:AY9)), "·", bdRateExtend( S5:S9,AA5:AA9, AQ5:AQ9,AY5:AY9))</f>
        <v>0</v>
      </c>
    </row>
    <row r="6" spans="1:71" outlineLevel="1" x14ac:dyDescent="0.2">
      <c r="A6" s="69"/>
      <c r="B6" s="69" t="s">
        <v>54</v>
      </c>
      <c r="C6" s="19" t="s">
        <v>230</v>
      </c>
      <c r="D6" s="69">
        <v>238146391</v>
      </c>
      <c r="E6" s="19">
        <v>10</v>
      </c>
      <c r="F6" s="19">
        <v>32</v>
      </c>
      <c r="G6" s="19">
        <v>30</v>
      </c>
      <c r="I6" s="20">
        <f t="shared" si="0"/>
        <v>1.55115</v>
      </c>
      <c r="J6" s="21">
        <f t="shared" si="1"/>
        <v>6.9476593495804853E-3</v>
      </c>
      <c r="K6" s="21">
        <f t="shared" si="2"/>
        <v>5.4336326264125502E-3</v>
      </c>
      <c r="L6" s="21">
        <f t="shared" si="3"/>
        <v>3.612803017451564E-3</v>
      </c>
      <c r="M6" s="21">
        <f t="shared" si="4"/>
        <v>1.5114400788882835E-3</v>
      </c>
      <c r="N6" s="69">
        <f t="shared" si="5"/>
        <v>1294000</v>
      </c>
      <c r="O6" s="21">
        <v>16</v>
      </c>
      <c r="P6" s="22">
        <v>24630072</v>
      </c>
      <c r="Q6" s="22">
        <v>769689.75</v>
      </c>
      <c r="R6" s="22">
        <v>19807.3125</v>
      </c>
      <c r="S6" s="23">
        <v>1654560</v>
      </c>
      <c r="T6" s="23">
        <v>860376</v>
      </c>
      <c r="U6" s="23">
        <v>433624</v>
      </c>
      <c r="V6" s="23">
        <v>359944</v>
      </c>
      <c r="W6" s="24">
        <v>68.474655999999996</v>
      </c>
      <c r="X6" s="24">
        <v>70.500003000000007</v>
      </c>
      <c r="Y6" s="24">
        <v>33.831905999999996</v>
      </c>
      <c r="Z6" s="24">
        <v>45.376818999999998</v>
      </c>
      <c r="AA6" s="24">
        <v>44.926994000000001</v>
      </c>
      <c r="AB6" s="25">
        <v>2779.31</v>
      </c>
      <c r="AC6" s="25">
        <v>2304.86</v>
      </c>
      <c r="AD6" s="25">
        <v>9.1159999999999997</v>
      </c>
      <c r="AE6" s="25">
        <v>11.813000000000001</v>
      </c>
      <c r="AG6" s="20">
        <f t="shared" si="6"/>
        <v>1.55115</v>
      </c>
      <c r="AH6" s="21">
        <f t="shared" si="7"/>
        <v>6.9476593495804853E-3</v>
      </c>
      <c r="AI6" s="21">
        <f t="shared" si="8"/>
        <v>5.4336326264125502E-3</v>
      </c>
      <c r="AJ6" s="21">
        <f t="shared" si="9"/>
        <v>3.612803017451564E-3</v>
      </c>
      <c r="AK6" s="21">
        <f t="shared" si="10"/>
        <v>1.5114400788882835E-3</v>
      </c>
      <c r="AL6" s="69">
        <f t="shared" si="11"/>
        <v>1294000</v>
      </c>
      <c r="AM6" s="21">
        <v>16</v>
      </c>
      <c r="AN6" s="22">
        <v>24630072</v>
      </c>
      <c r="AO6" s="22">
        <v>769689.75</v>
      </c>
      <c r="AP6" s="22">
        <v>19807.3125</v>
      </c>
      <c r="AQ6" s="23">
        <v>1654560</v>
      </c>
      <c r="AR6" s="23">
        <v>860376</v>
      </c>
      <c r="AS6" s="23">
        <v>433624</v>
      </c>
      <c r="AT6" s="23">
        <v>359944</v>
      </c>
      <c r="AU6" s="24">
        <v>68.474655999999996</v>
      </c>
      <c r="AV6" s="24">
        <v>70.500003000000007</v>
      </c>
      <c r="AW6" s="24">
        <v>33.831905999999996</v>
      </c>
      <c r="AX6" s="24">
        <v>45.376818999999998</v>
      </c>
      <c r="AY6" s="24">
        <v>44.926994000000001</v>
      </c>
      <c r="AZ6" s="25">
        <v>2356.9299999999998</v>
      </c>
      <c r="BA6" s="25">
        <v>2122.3200000000002</v>
      </c>
      <c r="BB6" s="25">
        <v>8.9779999999999998</v>
      </c>
      <c r="BC6" s="25">
        <v>11.548</v>
      </c>
      <c r="BE6" s="26">
        <f t="shared" si="12"/>
        <v>0</v>
      </c>
      <c r="BF6" s="26">
        <f t="shared" si="13"/>
        <v>0</v>
      </c>
      <c r="BG6" s="26"/>
      <c r="BI6" s="71"/>
      <c r="BJ6" s="71"/>
      <c r="BK6" s="71"/>
      <c r="BL6" s="71"/>
      <c r="BM6" s="71"/>
      <c r="BO6" s="71"/>
      <c r="BP6" s="71"/>
      <c r="BQ6" s="71"/>
      <c r="BR6" s="71"/>
      <c r="BS6" s="71"/>
    </row>
    <row r="7" spans="1:71" outlineLevel="1" x14ac:dyDescent="0.2">
      <c r="A7" s="77"/>
      <c r="B7" s="77" t="s">
        <v>54</v>
      </c>
      <c r="C7" s="11" t="s">
        <v>231</v>
      </c>
      <c r="D7" s="77">
        <v>238146391</v>
      </c>
      <c r="E7" s="11">
        <v>10</v>
      </c>
      <c r="F7" s="11">
        <v>32</v>
      </c>
      <c r="G7" s="11">
        <v>30</v>
      </c>
      <c r="I7" s="12">
        <f t="shared" si="0"/>
        <v>2.131275</v>
      </c>
      <c r="J7" s="13">
        <f t="shared" si="1"/>
        <v>9.546061103231248E-3</v>
      </c>
      <c r="K7" s="13">
        <f t="shared" si="2"/>
        <v>6.6395799380390358E-3</v>
      </c>
      <c r="L7" s="13">
        <f t="shared" si="3"/>
        <v>4.8187503290780505E-3</v>
      </c>
      <c r="M7" s="13">
        <f t="shared" si="4"/>
        <v>2.9038945209125594E-3</v>
      </c>
      <c r="N7" s="77">
        <f t="shared" si="5"/>
        <v>1581192</v>
      </c>
      <c r="O7" s="13">
        <v>16</v>
      </c>
      <c r="P7" s="14">
        <v>24919072</v>
      </c>
      <c r="Q7" s="14">
        <v>778721</v>
      </c>
      <c r="R7" s="14">
        <v>21072.28125</v>
      </c>
      <c r="S7" s="15">
        <v>2273360</v>
      </c>
      <c r="T7" s="15">
        <v>1147568</v>
      </c>
      <c r="U7" s="15">
        <v>433624</v>
      </c>
      <c r="V7" s="15">
        <v>691552</v>
      </c>
      <c r="W7" s="16">
        <v>69.796599999999998</v>
      </c>
      <c r="X7" s="16">
        <v>72.151678000000004</v>
      </c>
      <c r="Y7" s="16">
        <v>36.257322000000002</v>
      </c>
      <c r="Z7" s="16">
        <v>46.796908999999999</v>
      </c>
      <c r="AA7" s="16">
        <v>46.487650000000002</v>
      </c>
      <c r="AB7" s="17">
        <v>3582.84</v>
      </c>
      <c r="AC7" s="17">
        <v>3634.15</v>
      </c>
      <c r="AD7" s="17">
        <v>13.587</v>
      </c>
      <c r="AE7" s="17">
        <v>19.239999999999998</v>
      </c>
      <c r="AG7" s="12">
        <f t="shared" si="6"/>
        <v>2.131275</v>
      </c>
      <c r="AH7" s="13">
        <f t="shared" si="7"/>
        <v>9.546061103231248E-3</v>
      </c>
      <c r="AI7" s="13">
        <f t="shared" si="8"/>
        <v>6.6395799380390358E-3</v>
      </c>
      <c r="AJ7" s="13">
        <f t="shared" si="9"/>
        <v>4.8187503290780505E-3</v>
      </c>
      <c r="AK7" s="13">
        <f t="shared" si="10"/>
        <v>2.9038945209125594E-3</v>
      </c>
      <c r="AL7" s="77">
        <f t="shared" si="11"/>
        <v>1581192</v>
      </c>
      <c r="AM7" s="13">
        <v>16</v>
      </c>
      <c r="AN7" s="14">
        <v>24919072</v>
      </c>
      <c r="AO7" s="14">
        <v>778721</v>
      </c>
      <c r="AP7" s="14">
        <v>21072.28125</v>
      </c>
      <c r="AQ7" s="15">
        <v>2273360</v>
      </c>
      <c r="AR7" s="15">
        <v>1147568</v>
      </c>
      <c r="AS7" s="15">
        <v>433624</v>
      </c>
      <c r="AT7" s="15">
        <v>691552</v>
      </c>
      <c r="AU7" s="16">
        <v>69.796599999999998</v>
      </c>
      <c r="AV7" s="16">
        <v>72.151678000000004</v>
      </c>
      <c r="AW7" s="16">
        <v>36.257322000000002</v>
      </c>
      <c r="AX7" s="16">
        <v>46.796908999999999</v>
      </c>
      <c r="AY7" s="16">
        <v>46.487650000000002</v>
      </c>
      <c r="AZ7" s="17">
        <v>2330.96</v>
      </c>
      <c r="BA7" s="17">
        <v>2377.16</v>
      </c>
      <c r="BB7" s="17">
        <v>9.0310000000000006</v>
      </c>
      <c r="BC7" s="17">
        <v>12.31</v>
      </c>
      <c r="BE7" s="18">
        <f t="shared" si="12"/>
        <v>0</v>
      </c>
      <c r="BF7" s="18">
        <f t="shared" si="13"/>
        <v>0</v>
      </c>
      <c r="BG7" s="18"/>
      <c r="BI7" s="79"/>
      <c r="BJ7" s="79"/>
      <c r="BK7" s="79"/>
      <c r="BL7" s="79"/>
      <c r="BM7" s="79"/>
      <c r="BO7" s="79"/>
      <c r="BP7" s="79"/>
      <c r="BQ7" s="79"/>
      <c r="BR7" s="79"/>
      <c r="BS7" s="79"/>
    </row>
    <row r="8" spans="1:71" outlineLevel="1" x14ac:dyDescent="0.2">
      <c r="A8" s="69"/>
      <c r="B8" s="69" t="s">
        <v>54</v>
      </c>
      <c r="C8" s="19" t="s">
        <v>232</v>
      </c>
      <c r="D8" s="69">
        <v>238146391</v>
      </c>
      <c r="E8" s="19">
        <v>10</v>
      </c>
      <c r="F8" s="19">
        <v>32</v>
      </c>
      <c r="G8" s="19">
        <v>30</v>
      </c>
      <c r="I8" s="20">
        <f t="shared" si="0"/>
        <v>3.5131424999999998</v>
      </c>
      <c r="J8" s="21">
        <f t="shared" si="1"/>
        <v>1.5735497751045071E-2</v>
      </c>
      <c r="K8" s="21">
        <f t="shared" si="2"/>
        <v>9.2733212992507624E-3</v>
      </c>
      <c r="L8" s="21">
        <f t="shared" si="3"/>
        <v>7.4524916902897762E-3</v>
      </c>
      <c r="M8" s="21">
        <f t="shared" si="4"/>
        <v>6.4595898075146558E-3</v>
      </c>
      <c r="N8" s="69">
        <f t="shared" si="5"/>
        <v>2208408</v>
      </c>
      <c r="O8" s="21">
        <v>16</v>
      </c>
      <c r="P8" s="22">
        <v>26004104</v>
      </c>
      <c r="Q8" s="22">
        <v>812628.25</v>
      </c>
      <c r="R8" s="22">
        <v>24474.75</v>
      </c>
      <c r="S8" s="23">
        <v>3747352</v>
      </c>
      <c r="T8" s="23">
        <v>1774784</v>
      </c>
      <c r="U8" s="23">
        <v>433624</v>
      </c>
      <c r="V8" s="23">
        <v>1538328</v>
      </c>
      <c r="W8" s="24">
        <v>70.793119000000004</v>
      </c>
      <c r="X8" s="24">
        <v>73.333333999999994</v>
      </c>
      <c r="Y8" s="24">
        <v>38.702150000000003</v>
      </c>
      <c r="Z8" s="24">
        <v>48.108049999999999</v>
      </c>
      <c r="AA8" s="24">
        <v>47.962969000000001</v>
      </c>
      <c r="AB8" s="25">
        <v>2691.87</v>
      </c>
      <c r="AC8" s="25">
        <v>2612.6999999999998</v>
      </c>
      <c r="AD8" s="25">
        <v>8.9540000000000006</v>
      </c>
      <c r="AE8" s="25">
        <v>12.263999999999999</v>
      </c>
      <c r="AG8" s="20">
        <f t="shared" si="6"/>
        <v>3.5131424999999998</v>
      </c>
      <c r="AH8" s="21">
        <f t="shared" si="7"/>
        <v>1.5735497751045071E-2</v>
      </c>
      <c r="AI8" s="21">
        <f t="shared" si="8"/>
        <v>9.2733212992507624E-3</v>
      </c>
      <c r="AJ8" s="21">
        <f t="shared" si="9"/>
        <v>7.4524916902897762E-3</v>
      </c>
      <c r="AK8" s="21">
        <f t="shared" si="10"/>
        <v>6.4595898075146558E-3</v>
      </c>
      <c r="AL8" s="69">
        <f t="shared" si="11"/>
        <v>2208408</v>
      </c>
      <c r="AM8" s="21">
        <v>16</v>
      </c>
      <c r="AN8" s="22">
        <v>26004104</v>
      </c>
      <c r="AO8" s="22">
        <v>812628.25</v>
      </c>
      <c r="AP8" s="22">
        <v>24474.75</v>
      </c>
      <c r="AQ8" s="23">
        <v>3747352</v>
      </c>
      <c r="AR8" s="23">
        <v>1774784</v>
      </c>
      <c r="AS8" s="23">
        <v>433624</v>
      </c>
      <c r="AT8" s="23">
        <v>1538328</v>
      </c>
      <c r="AU8" s="24">
        <v>70.793119000000004</v>
      </c>
      <c r="AV8" s="24">
        <v>73.333333999999994</v>
      </c>
      <c r="AW8" s="24">
        <v>38.702150000000003</v>
      </c>
      <c r="AX8" s="24">
        <v>48.108049999999999</v>
      </c>
      <c r="AY8" s="24">
        <v>47.962969000000001</v>
      </c>
      <c r="AZ8" s="25">
        <v>2366.73</v>
      </c>
      <c r="BA8" s="25">
        <v>2502.2399999999998</v>
      </c>
      <c r="BB8" s="25">
        <v>8.9359999999999999</v>
      </c>
      <c r="BC8" s="25">
        <v>11.619</v>
      </c>
      <c r="BE8" s="26">
        <f t="shared" si="12"/>
        <v>0</v>
      </c>
      <c r="BF8" s="26">
        <f t="shared" si="13"/>
        <v>0</v>
      </c>
      <c r="BG8" s="26"/>
      <c r="BI8" s="71"/>
      <c r="BJ8" s="71"/>
      <c r="BK8" s="71"/>
      <c r="BL8" s="71"/>
      <c r="BM8" s="71"/>
      <c r="BO8" s="71"/>
      <c r="BP8" s="71"/>
      <c r="BQ8" s="71"/>
      <c r="BR8" s="71"/>
      <c r="BS8" s="71"/>
    </row>
    <row r="9" spans="1:71" outlineLevel="1" x14ac:dyDescent="0.2">
      <c r="A9" s="77"/>
      <c r="B9" s="27" t="s">
        <v>54</v>
      </c>
      <c r="C9" s="28" t="s">
        <v>233</v>
      </c>
      <c r="D9" s="27">
        <v>238146391</v>
      </c>
      <c r="E9" s="28">
        <v>10</v>
      </c>
      <c r="F9" s="28">
        <v>32</v>
      </c>
      <c r="G9" s="28">
        <v>30</v>
      </c>
      <c r="I9" s="29">
        <f t="shared" si="0"/>
        <v>7.4972775</v>
      </c>
      <c r="J9" s="30">
        <f t="shared" si="1"/>
        <v>3.3580588672452318E-2</v>
      </c>
      <c r="K9" s="30">
        <f t="shared" si="2"/>
        <v>1.5794352306602873E-2</v>
      </c>
      <c r="L9" s="30">
        <f t="shared" si="3"/>
        <v>1.1993732040222268E-2</v>
      </c>
      <c r="M9" s="30">
        <f t="shared" si="4"/>
        <v>1.7783649721569789E-2</v>
      </c>
      <c r="N9" s="27">
        <f t="shared" si="5"/>
        <v>3761368</v>
      </c>
      <c r="O9" s="30">
        <v>16</v>
      </c>
      <c r="P9" s="31">
        <v>25025745</v>
      </c>
      <c r="Q9" s="31">
        <v>782054.53125</v>
      </c>
      <c r="R9" s="31">
        <v>10275.84375</v>
      </c>
      <c r="S9" s="32">
        <v>7997096</v>
      </c>
      <c r="T9" s="32">
        <v>2856264</v>
      </c>
      <c r="U9" s="32">
        <v>905104</v>
      </c>
      <c r="V9" s="32">
        <v>4235112</v>
      </c>
      <c r="W9" s="33">
        <v>72.048100000000005</v>
      </c>
      <c r="X9" s="33">
        <v>75.254450000000006</v>
      </c>
      <c r="Y9" s="33">
        <v>41.140931000000002</v>
      </c>
      <c r="Z9" s="33">
        <v>49.543940999999997</v>
      </c>
      <c r="AA9" s="33">
        <v>49.608297</v>
      </c>
      <c r="AB9" s="34">
        <v>2394.9499999999998</v>
      </c>
      <c r="AC9" s="34">
        <v>2955.49</v>
      </c>
      <c r="AD9" s="34">
        <v>8.9060000000000006</v>
      </c>
      <c r="AE9" s="34">
        <v>14.256</v>
      </c>
      <c r="AG9" s="29">
        <f t="shared" si="6"/>
        <v>7.4972775</v>
      </c>
      <c r="AH9" s="30">
        <f t="shared" si="7"/>
        <v>3.3580588672452318E-2</v>
      </c>
      <c r="AI9" s="30">
        <f t="shared" si="8"/>
        <v>1.5794352306602873E-2</v>
      </c>
      <c r="AJ9" s="30">
        <f t="shared" si="9"/>
        <v>1.1993732040222268E-2</v>
      </c>
      <c r="AK9" s="30">
        <f t="shared" si="10"/>
        <v>1.7783649721569789E-2</v>
      </c>
      <c r="AL9" s="27">
        <f t="shared" si="11"/>
        <v>3761368</v>
      </c>
      <c r="AM9" s="30">
        <v>16</v>
      </c>
      <c r="AN9" s="31">
        <v>25025745</v>
      </c>
      <c r="AO9" s="31">
        <v>782054.53125</v>
      </c>
      <c r="AP9" s="31">
        <v>10275.84375</v>
      </c>
      <c r="AQ9" s="32">
        <v>7997096</v>
      </c>
      <c r="AR9" s="32">
        <v>2856264</v>
      </c>
      <c r="AS9" s="32">
        <v>905104</v>
      </c>
      <c r="AT9" s="32">
        <v>4235112</v>
      </c>
      <c r="AU9" s="33">
        <v>72.048100000000005</v>
      </c>
      <c r="AV9" s="33">
        <v>75.254450000000006</v>
      </c>
      <c r="AW9" s="33">
        <v>41.140931000000002</v>
      </c>
      <c r="AX9" s="33">
        <v>49.543940999999997</v>
      </c>
      <c r="AY9" s="33">
        <v>49.608297</v>
      </c>
      <c r="AZ9" s="34">
        <v>2346.3000000000002</v>
      </c>
      <c r="BA9" s="34">
        <v>2930.67</v>
      </c>
      <c r="BB9" s="34">
        <v>8.657</v>
      </c>
      <c r="BC9" s="34">
        <v>13.500999999999999</v>
      </c>
      <c r="BE9" s="35">
        <f t="shared" si="12"/>
        <v>0</v>
      </c>
      <c r="BF9" s="35">
        <f t="shared" si="13"/>
        <v>0</v>
      </c>
      <c r="BG9" s="35"/>
      <c r="BI9" s="36"/>
      <c r="BJ9" s="36"/>
      <c r="BK9" s="36"/>
      <c r="BL9" s="36"/>
      <c r="BM9" s="36"/>
      <c r="BO9" s="36"/>
      <c r="BP9" s="36"/>
      <c r="BQ9" s="36"/>
      <c r="BR9" s="36"/>
      <c r="BS9" s="36"/>
    </row>
    <row r="10" spans="1:71" x14ac:dyDescent="0.2">
      <c r="A10" s="69"/>
      <c r="B10" s="69" t="s">
        <v>62</v>
      </c>
      <c r="C10" s="19" t="s">
        <v>229</v>
      </c>
      <c r="D10" s="69">
        <v>218121242</v>
      </c>
      <c r="E10" s="19">
        <v>10</v>
      </c>
      <c r="F10" s="19">
        <v>32</v>
      </c>
      <c r="G10" s="19">
        <v>30</v>
      </c>
      <c r="I10" s="20">
        <f t="shared" si="0"/>
        <v>2.0542500000000001</v>
      </c>
      <c r="J10" s="21">
        <f t="shared" si="1"/>
        <v>1.0045789121263119E-2</v>
      </c>
      <c r="K10" s="21">
        <f t="shared" si="2"/>
        <v>7.390862005086144E-3</v>
      </c>
      <c r="L10" s="21">
        <f t="shared" si="3"/>
        <v>4.0634648504339621E-3</v>
      </c>
      <c r="M10" s="21">
        <f t="shared" si="4"/>
        <v>2.6521029987533265E-3</v>
      </c>
      <c r="N10" s="69">
        <f t="shared" si="5"/>
        <v>1612104</v>
      </c>
      <c r="O10" s="21">
        <v>16</v>
      </c>
      <c r="P10" s="22">
        <v>20871071</v>
      </c>
      <c r="Q10" s="22">
        <v>652220.96875</v>
      </c>
      <c r="R10" s="22">
        <v>18933.5625</v>
      </c>
      <c r="S10" s="23">
        <v>2191200</v>
      </c>
      <c r="T10" s="23">
        <v>886328</v>
      </c>
      <c r="U10" s="23">
        <v>725776</v>
      </c>
      <c r="V10" s="23">
        <v>578480</v>
      </c>
      <c r="W10" s="24">
        <v>65.969919000000004</v>
      </c>
      <c r="X10" s="24">
        <v>67.878563</v>
      </c>
      <c r="Y10" s="24">
        <v>31.036003000000001</v>
      </c>
      <c r="Z10" s="24">
        <v>38.622875000000001</v>
      </c>
      <c r="AA10" s="24">
        <v>30.111211999999998</v>
      </c>
      <c r="AB10" s="25">
        <v>2463.04</v>
      </c>
      <c r="AC10" s="25">
        <v>3094.63</v>
      </c>
      <c r="AD10" s="25">
        <v>9.4209999999999994</v>
      </c>
      <c r="AE10" s="25">
        <v>15.98</v>
      </c>
      <c r="AG10" s="20">
        <f t="shared" si="6"/>
        <v>2.0542500000000001</v>
      </c>
      <c r="AH10" s="21">
        <f t="shared" si="7"/>
        <v>1.0045789121263119E-2</v>
      </c>
      <c r="AI10" s="21">
        <f t="shared" si="8"/>
        <v>7.390862005086144E-3</v>
      </c>
      <c r="AJ10" s="21">
        <f t="shared" si="9"/>
        <v>4.0634648504339621E-3</v>
      </c>
      <c r="AK10" s="21">
        <f t="shared" si="10"/>
        <v>2.6521029987533265E-3</v>
      </c>
      <c r="AL10" s="69">
        <f t="shared" si="11"/>
        <v>1612104</v>
      </c>
      <c r="AM10" s="21">
        <v>16</v>
      </c>
      <c r="AN10" s="22">
        <v>20871071</v>
      </c>
      <c r="AO10" s="22">
        <v>652220.96875</v>
      </c>
      <c r="AP10" s="22">
        <v>18933.5625</v>
      </c>
      <c r="AQ10" s="23">
        <v>2191200</v>
      </c>
      <c r="AR10" s="23">
        <v>886328</v>
      </c>
      <c r="AS10" s="23">
        <v>725776</v>
      </c>
      <c r="AT10" s="23">
        <v>578480</v>
      </c>
      <c r="AU10" s="24">
        <v>65.969919000000004</v>
      </c>
      <c r="AV10" s="24">
        <v>67.878563</v>
      </c>
      <c r="AW10" s="24">
        <v>31.036003000000001</v>
      </c>
      <c r="AX10" s="24">
        <v>38.622875000000001</v>
      </c>
      <c r="AY10" s="24">
        <v>30.111211999999998</v>
      </c>
      <c r="AZ10" s="25">
        <v>2176.17</v>
      </c>
      <c r="BA10" s="25">
        <v>2749.3</v>
      </c>
      <c r="BB10" s="25">
        <v>8.3960000000000008</v>
      </c>
      <c r="BC10" s="25">
        <v>13.522</v>
      </c>
      <c r="BE10" s="26">
        <f t="shared" si="12"/>
        <v>0</v>
      </c>
      <c r="BF10" s="26">
        <f t="shared" si="13"/>
        <v>0</v>
      </c>
      <c r="BG10" s="26">
        <f t="array" ref="BG10">AVERAGE(AL10:AL14/AQ10:AQ14) - AVERAGE(N10:N14/S10:S14)</f>
        <v>0</v>
      </c>
      <c r="BI10" s="71">
        <f>IF( OR(ISBLANK(N10:N14),ISBLANK(AL10:AL14), ISBLANK(W10:W14),ISBLANK(AU10:AU14)), "·", bdRateExtend( N10:N14,W10:W14, AL10:AL14,AU10:AU14))</f>
        <v>0</v>
      </c>
      <c r="BJ10" s="71">
        <f>IF( OR(ISBLANK(N10:N14),ISBLANK(AL10:AL14), ISBLANK(X10:X14),ISBLANK(AV10:AV14)), "·", bdRateExtend( N10:N14,X10:X14, AL10:AL14,AV10:AV14))</f>
        <v>0</v>
      </c>
      <c r="BK10" s="71">
        <f>IF( OR(ISBLANK(V10:V14),ISBLANK(AT10:AT14), ISBLANK(Y10:Y14),ISBLANK(AW10:AW14)), "·", bdRateExtend( V10:V14,Y10:Y14, AT10:AT14,AW10:AW14))</f>
        <v>0</v>
      </c>
      <c r="BL10" s="71">
        <f>IF( OR(ISBLANK(V10:V14),ISBLANK(AT10:AT14), ISBLANK(Z10:Z14),ISBLANK(AX10:AX14)), "·", bdRateExtend( V10:V14,Z10:Z14, AT10:AT14,AX10:AX14))</f>
        <v>0</v>
      </c>
      <c r="BM10" s="71">
        <f>IF( OR(ISBLANK(V10:V14),ISBLANK(AT10:AT14), ISBLANK(AA10:AA14),ISBLANK(AY10:AY14)), "·", bdRateExtend( V10:V14,AA10:AA14, AT10:AT14,AY10:AY14))</f>
        <v>0</v>
      </c>
      <c r="BO10" s="71">
        <f>IF( OR(ISBLANK(S10:S14),ISBLANK(AQ10:AQ14), ISBLANK(W10:W14),ISBLANK(AU10:AU14)), "·", bdRateExtend( S10:S14,W10:W14, AQ10:AQ14,AU10:AU14))</f>
        <v>0</v>
      </c>
      <c r="BP10" s="71">
        <f>IF( OR(ISBLANK(S10:S14),ISBLANK(AQ10:AQ14), ISBLANK(X10:X14),ISBLANK(AV10:AV14)), "·", bdRateExtend( S10:S14,X10:X14, AQ10:AQ14,AV10:AV14))</f>
        <v>0</v>
      </c>
      <c r="BQ10" s="71">
        <f>IF( OR(ISBLANK(S10:S14),ISBLANK(AQ10:AQ14), ISBLANK(Y10:Y14),ISBLANK(AW10:AW14)), "·", bdRateExtend( S10:S14,Y10:Y14, AQ10:AQ14,AW10:AW14))</f>
        <v>0</v>
      </c>
      <c r="BR10" s="71">
        <f>IF( OR(ISBLANK(S10:S14),ISBLANK(AQ10:AQ14), ISBLANK(Z10:Z14),ISBLANK(AX10:AX14)), "·", bdRateExtend( S10:S14,Z10:Z14, AQ10:AQ14,AX10:AX14))</f>
        <v>0</v>
      </c>
      <c r="BS10" s="71">
        <f>IF( OR(ISBLANK(S10:S14),ISBLANK(AQ10:AQ14), ISBLANK(AA10:AA14),ISBLANK(AY10:AY14)), "·", bdRateExtend( S10:S14,AA10:AA14, AQ10:AQ14,AY10:AY14))</f>
        <v>0</v>
      </c>
    </row>
    <row r="11" spans="1:71" outlineLevel="1" x14ac:dyDescent="0.2">
      <c r="A11" s="77"/>
      <c r="B11" s="77" t="s">
        <v>62</v>
      </c>
      <c r="C11" s="11" t="s">
        <v>230</v>
      </c>
      <c r="D11" s="77">
        <v>218121242</v>
      </c>
      <c r="E11" s="11">
        <v>10</v>
      </c>
      <c r="F11" s="11">
        <v>32</v>
      </c>
      <c r="G11" s="11">
        <v>30</v>
      </c>
      <c r="I11" s="12">
        <f t="shared" si="0"/>
        <v>2.7917174999999999</v>
      </c>
      <c r="J11" s="13">
        <f t="shared" si="1"/>
        <v>1.3652187071261954E-2</v>
      </c>
      <c r="K11" s="13">
        <f t="shared" si="2"/>
        <v>8.9527089709126092E-3</v>
      </c>
      <c r="L11" s="13">
        <f t="shared" si="3"/>
        <v>5.6253118162604265E-3</v>
      </c>
      <c r="M11" s="13">
        <f t="shared" si="4"/>
        <v>4.6966539829256977E-3</v>
      </c>
      <c r="N11" s="77">
        <f t="shared" si="5"/>
        <v>1952776</v>
      </c>
      <c r="O11" s="13">
        <v>16</v>
      </c>
      <c r="P11" s="14">
        <v>22379230</v>
      </c>
      <c r="Q11" s="14">
        <v>699350.9375</v>
      </c>
      <c r="R11" s="14">
        <v>24081.75</v>
      </c>
      <c r="S11" s="15">
        <v>2977832</v>
      </c>
      <c r="T11" s="15">
        <v>1227000</v>
      </c>
      <c r="U11" s="15">
        <v>725776</v>
      </c>
      <c r="V11" s="15">
        <v>1024440</v>
      </c>
      <c r="W11" s="16">
        <v>67.698618999999994</v>
      </c>
      <c r="X11" s="16">
        <v>69.777518999999998</v>
      </c>
      <c r="Y11" s="16">
        <v>32.909609000000003</v>
      </c>
      <c r="Z11" s="16">
        <v>39.656315999999997</v>
      </c>
      <c r="AA11" s="16">
        <v>32.299137000000002</v>
      </c>
      <c r="AB11" s="17">
        <v>2741.82</v>
      </c>
      <c r="AC11" s="17">
        <v>3364.01</v>
      </c>
      <c r="AD11" s="17">
        <v>9.407</v>
      </c>
      <c r="AE11" s="17">
        <v>15.576000000000001</v>
      </c>
      <c r="AG11" s="12">
        <f t="shared" si="6"/>
        <v>2.7917174999999999</v>
      </c>
      <c r="AH11" s="13">
        <f t="shared" si="7"/>
        <v>1.3652187071261954E-2</v>
      </c>
      <c r="AI11" s="13">
        <f t="shared" si="8"/>
        <v>8.9527089709126092E-3</v>
      </c>
      <c r="AJ11" s="13">
        <f t="shared" si="9"/>
        <v>5.6253118162604265E-3</v>
      </c>
      <c r="AK11" s="13">
        <f t="shared" si="10"/>
        <v>4.6966539829256977E-3</v>
      </c>
      <c r="AL11" s="77">
        <f t="shared" si="11"/>
        <v>1952776</v>
      </c>
      <c r="AM11" s="13">
        <v>16</v>
      </c>
      <c r="AN11" s="14">
        <v>22379230</v>
      </c>
      <c r="AO11" s="14">
        <v>699350.9375</v>
      </c>
      <c r="AP11" s="14">
        <v>24081.75</v>
      </c>
      <c r="AQ11" s="15">
        <v>2977832</v>
      </c>
      <c r="AR11" s="15">
        <v>1227000</v>
      </c>
      <c r="AS11" s="15">
        <v>725776</v>
      </c>
      <c r="AT11" s="15">
        <v>1024440</v>
      </c>
      <c r="AU11" s="16">
        <v>67.698618999999994</v>
      </c>
      <c r="AV11" s="16">
        <v>69.777518999999998</v>
      </c>
      <c r="AW11" s="16">
        <v>32.909609000000003</v>
      </c>
      <c r="AX11" s="16">
        <v>39.656315999999997</v>
      </c>
      <c r="AY11" s="16">
        <v>32.299137000000002</v>
      </c>
      <c r="AZ11" s="17">
        <v>2940.39</v>
      </c>
      <c r="BA11" s="17">
        <v>4579.38</v>
      </c>
      <c r="BB11" s="17">
        <v>12.199</v>
      </c>
      <c r="BC11" s="17">
        <v>22.765000000000001</v>
      </c>
      <c r="BE11" s="18">
        <f t="shared" si="12"/>
        <v>0</v>
      </c>
      <c r="BF11" s="18">
        <f t="shared" si="13"/>
        <v>0</v>
      </c>
      <c r="BG11" s="18"/>
      <c r="BI11" s="79"/>
      <c r="BJ11" s="79"/>
      <c r="BK11" s="79"/>
      <c r="BL11" s="79"/>
      <c r="BM11" s="79"/>
      <c r="BO11" s="79"/>
      <c r="BP11" s="79"/>
      <c r="BQ11" s="79"/>
      <c r="BR11" s="79"/>
      <c r="BS11" s="79"/>
    </row>
    <row r="12" spans="1:71" outlineLevel="1" x14ac:dyDescent="0.2">
      <c r="A12" s="69"/>
      <c r="B12" s="69" t="s">
        <v>62</v>
      </c>
      <c r="C12" s="19" t="s">
        <v>231</v>
      </c>
      <c r="D12" s="69">
        <v>218121242</v>
      </c>
      <c r="E12" s="19">
        <v>10</v>
      </c>
      <c r="F12" s="19">
        <v>32</v>
      </c>
      <c r="G12" s="19">
        <v>30</v>
      </c>
      <c r="I12" s="20">
        <f t="shared" si="0"/>
        <v>3.955695</v>
      </c>
      <c r="J12" s="21">
        <f t="shared" si="1"/>
        <v>1.9344324107598836E-2</v>
      </c>
      <c r="K12" s="21">
        <f t="shared" si="2"/>
        <v>1.1230781456856E-2</v>
      </c>
      <c r="L12" s="21">
        <f t="shared" si="3"/>
        <v>7.9033843022038169E-3</v>
      </c>
      <c r="M12" s="21">
        <f t="shared" si="4"/>
        <v>8.1107185333191903E-3</v>
      </c>
      <c r="N12" s="69">
        <f t="shared" si="5"/>
        <v>2449672</v>
      </c>
      <c r="O12" s="21">
        <v>16</v>
      </c>
      <c r="P12" s="22">
        <v>22716912</v>
      </c>
      <c r="Q12" s="22">
        <v>709903.5</v>
      </c>
      <c r="R12" s="22">
        <v>25579.28125</v>
      </c>
      <c r="S12" s="23">
        <v>4219408</v>
      </c>
      <c r="T12" s="23">
        <v>1723896</v>
      </c>
      <c r="U12" s="23">
        <v>725776</v>
      </c>
      <c r="V12" s="23">
        <v>1769120</v>
      </c>
      <c r="W12" s="24">
        <v>69.047799999999995</v>
      </c>
      <c r="X12" s="24">
        <v>71.398094</v>
      </c>
      <c r="Y12" s="24">
        <v>34.942528000000003</v>
      </c>
      <c r="Z12" s="24">
        <v>40.653208999999997</v>
      </c>
      <c r="AA12" s="24">
        <v>34.211897</v>
      </c>
      <c r="AB12" s="25">
        <v>2337.2600000000002</v>
      </c>
      <c r="AC12" s="25">
        <v>3294.45</v>
      </c>
      <c r="AD12" s="25">
        <v>8.6449999999999996</v>
      </c>
      <c r="AE12" s="25">
        <v>14.704000000000001</v>
      </c>
      <c r="AG12" s="20">
        <f t="shared" si="6"/>
        <v>3.955695</v>
      </c>
      <c r="AH12" s="21">
        <f t="shared" si="7"/>
        <v>1.9344324107598836E-2</v>
      </c>
      <c r="AI12" s="21">
        <f t="shared" si="8"/>
        <v>1.1230781456856E-2</v>
      </c>
      <c r="AJ12" s="21">
        <f t="shared" si="9"/>
        <v>7.9033843022038169E-3</v>
      </c>
      <c r="AK12" s="21">
        <f t="shared" si="10"/>
        <v>8.1107185333191903E-3</v>
      </c>
      <c r="AL12" s="69">
        <f t="shared" si="11"/>
        <v>2449672</v>
      </c>
      <c r="AM12" s="21">
        <v>16</v>
      </c>
      <c r="AN12" s="22">
        <v>22716912</v>
      </c>
      <c r="AO12" s="22">
        <v>709903.5</v>
      </c>
      <c r="AP12" s="22">
        <v>25579.28125</v>
      </c>
      <c r="AQ12" s="23">
        <v>4219408</v>
      </c>
      <c r="AR12" s="23">
        <v>1723896</v>
      </c>
      <c r="AS12" s="23">
        <v>725776</v>
      </c>
      <c r="AT12" s="23">
        <v>1769120</v>
      </c>
      <c r="AU12" s="24">
        <v>69.047799999999995</v>
      </c>
      <c r="AV12" s="24">
        <v>71.398094</v>
      </c>
      <c r="AW12" s="24">
        <v>34.942528000000003</v>
      </c>
      <c r="AX12" s="24">
        <v>40.653208999999997</v>
      </c>
      <c r="AY12" s="24">
        <v>34.211897</v>
      </c>
      <c r="AZ12" s="25">
        <v>2135.6</v>
      </c>
      <c r="BA12" s="25">
        <v>3208.7</v>
      </c>
      <c r="BB12" s="25">
        <v>8.5630000000000006</v>
      </c>
      <c r="BC12" s="25">
        <v>14.010999999999999</v>
      </c>
      <c r="BE12" s="26">
        <f t="shared" si="12"/>
        <v>0</v>
      </c>
      <c r="BF12" s="26">
        <f t="shared" si="13"/>
        <v>0</v>
      </c>
      <c r="BG12" s="26"/>
      <c r="BI12" s="71"/>
      <c r="BJ12" s="71"/>
      <c r="BK12" s="71"/>
      <c r="BL12" s="71"/>
      <c r="BM12" s="71"/>
      <c r="BO12" s="71"/>
      <c r="BP12" s="71"/>
      <c r="BQ12" s="71"/>
      <c r="BR12" s="71"/>
      <c r="BS12" s="71"/>
    </row>
    <row r="13" spans="1:71" outlineLevel="1" x14ac:dyDescent="0.2">
      <c r="A13" s="77"/>
      <c r="B13" s="77" t="s">
        <v>62</v>
      </c>
      <c r="C13" s="11" t="s">
        <v>232</v>
      </c>
      <c r="D13" s="77">
        <v>218121242</v>
      </c>
      <c r="E13" s="11">
        <v>10</v>
      </c>
      <c r="F13" s="11">
        <v>32</v>
      </c>
      <c r="G13" s="11">
        <v>30</v>
      </c>
      <c r="I13" s="12">
        <f t="shared" si="0"/>
        <v>6.4477124999999997</v>
      </c>
      <c r="J13" s="13">
        <f t="shared" si="1"/>
        <v>3.1530904266536312E-2</v>
      </c>
      <c r="K13" s="13">
        <f t="shared" si="2"/>
        <v>1.5404680301609505E-2</v>
      </c>
      <c r="L13" s="13">
        <f t="shared" si="3"/>
        <v>1.2077283146957324E-2</v>
      </c>
      <c r="M13" s="13">
        <f t="shared" si="4"/>
        <v>1.6123399847503161E-2</v>
      </c>
      <c r="N13" s="77">
        <f t="shared" si="5"/>
        <v>3360088</v>
      </c>
      <c r="O13" s="13">
        <v>16</v>
      </c>
      <c r="P13" s="14">
        <v>23633814</v>
      </c>
      <c r="Q13" s="14">
        <v>738556.6875</v>
      </c>
      <c r="R13" s="14">
        <v>29497.75</v>
      </c>
      <c r="S13" s="15">
        <v>6877560</v>
      </c>
      <c r="T13" s="15">
        <v>2634312</v>
      </c>
      <c r="U13" s="15">
        <v>725776</v>
      </c>
      <c r="V13" s="15">
        <v>3516856</v>
      </c>
      <c r="W13" s="16">
        <v>70.054338000000001</v>
      </c>
      <c r="X13" s="16">
        <v>72.592016000000001</v>
      </c>
      <c r="Y13" s="16">
        <v>37.139622000000003</v>
      </c>
      <c r="Z13" s="16">
        <v>41.702190999999999</v>
      </c>
      <c r="AA13" s="16">
        <v>36.228109000000003</v>
      </c>
      <c r="AB13" s="17">
        <v>2934.01</v>
      </c>
      <c r="AC13" s="17">
        <v>5742.09</v>
      </c>
      <c r="AD13" s="17">
        <v>13.018000000000001</v>
      </c>
      <c r="AE13" s="17">
        <v>24.233000000000001</v>
      </c>
      <c r="AG13" s="12">
        <f t="shared" si="6"/>
        <v>6.4477124999999997</v>
      </c>
      <c r="AH13" s="13">
        <f t="shared" si="7"/>
        <v>3.1530904266536312E-2</v>
      </c>
      <c r="AI13" s="13">
        <f t="shared" si="8"/>
        <v>1.5404680301609505E-2</v>
      </c>
      <c r="AJ13" s="13">
        <f t="shared" si="9"/>
        <v>1.2077283146957324E-2</v>
      </c>
      <c r="AK13" s="13">
        <f t="shared" si="10"/>
        <v>1.6123399847503161E-2</v>
      </c>
      <c r="AL13" s="77">
        <f t="shared" si="11"/>
        <v>3360088</v>
      </c>
      <c r="AM13" s="13">
        <v>16</v>
      </c>
      <c r="AN13" s="14">
        <v>23633814</v>
      </c>
      <c r="AO13" s="14">
        <v>738556.6875</v>
      </c>
      <c r="AP13" s="14">
        <v>29497.75</v>
      </c>
      <c r="AQ13" s="15">
        <v>6877560</v>
      </c>
      <c r="AR13" s="15">
        <v>2634312</v>
      </c>
      <c r="AS13" s="15">
        <v>725776</v>
      </c>
      <c r="AT13" s="15">
        <v>3516856</v>
      </c>
      <c r="AU13" s="16">
        <v>70.054338000000001</v>
      </c>
      <c r="AV13" s="16">
        <v>72.592016000000001</v>
      </c>
      <c r="AW13" s="16">
        <v>37.139622000000003</v>
      </c>
      <c r="AX13" s="16">
        <v>41.702190999999999</v>
      </c>
      <c r="AY13" s="16">
        <v>36.228109000000003</v>
      </c>
      <c r="AZ13" s="17">
        <v>2148.94</v>
      </c>
      <c r="BA13" s="17">
        <v>3398.72</v>
      </c>
      <c r="BB13" s="17">
        <v>8.827</v>
      </c>
      <c r="BC13" s="17">
        <v>14.912000000000001</v>
      </c>
      <c r="BE13" s="18">
        <f t="shared" si="12"/>
        <v>0</v>
      </c>
      <c r="BF13" s="18">
        <f t="shared" si="13"/>
        <v>0</v>
      </c>
      <c r="BG13" s="18"/>
      <c r="BI13" s="79"/>
      <c r="BJ13" s="79"/>
      <c r="BK13" s="79"/>
      <c r="BL13" s="79"/>
      <c r="BM13" s="79"/>
      <c r="BO13" s="79"/>
      <c r="BP13" s="79"/>
      <c r="BQ13" s="79"/>
      <c r="BR13" s="79"/>
      <c r="BS13" s="79"/>
    </row>
    <row r="14" spans="1:71" outlineLevel="1" x14ac:dyDescent="0.2">
      <c r="A14" s="69"/>
      <c r="B14" s="37" t="s">
        <v>62</v>
      </c>
      <c r="C14" s="38" t="s">
        <v>233</v>
      </c>
      <c r="D14" s="37">
        <v>218121242</v>
      </c>
      <c r="E14" s="38">
        <v>10</v>
      </c>
      <c r="F14" s="38">
        <v>32</v>
      </c>
      <c r="G14" s="38">
        <v>30</v>
      </c>
      <c r="I14" s="39">
        <f t="shared" si="0"/>
        <v>13.089157500000001</v>
      </c>
      <c r="J14" s="40">
        <f t="shared" si="1"/>
        <v>6.4009208236582474E-2</v>
      </c>
      <c r="K14" s="40">
        <f t="shared" si="2"/>
        <v>2.5792297661683037E-2</v>
      </c>
      <c r="L14" s="40">
        <f t="shared" si="3"/>
        <v>1.9354006795908488E-2</v>
      </c>
      <c r="M14" s="40">
        <f t="shared" si="4"/>
        <v>3.8214086457475795E-2</v>
      </c>
      <c r="N14" s="37">
        <f t="shared" si="5"/>
        <v>5625848</v>
      </c>
      <c r="O14" s="40">
        <v>16</v>
      </c>
      <c r="P14" s="41">
        <v>22406420</v>
      </c>
      <c r="Q14" s="41">
        <v>700200.625</v>
      </c>
      <c r="R14" s="41">
        <v>13452.625</v>
      </c>
      <c r="S14" s="42">
        <v>13961768</v>
      </c>
      <c r="T14" s="42">
        <v>4221520</v>
      </c>
      <c r="U14" s="42">
        <v>1404328</v>
      </c>
      <c r="V14" s="42">
        <v>8335304</v>
      </c>
      <c r="W14" s="43">
        <v>71.156053</v>
      </c>
      <c r="X14" s="43">
        <v>74.731656000000001</v>
      </c>
      <c r="Y14" s="43">
        <v>39.604944000000003</v>
      </c>
      <c r="Z14" s="43">
        <v>43.019550000000002</v>
      </c>
      <c r="AA14" s="43">
        <v>38.466506000000003</v>
      </c>
      <c r="AB14" s="44">
        <v>2842.34</v>
      </c>
      <c r="AC14" s="44">
        <v>5560.3</v>
      </c>
      <c r="AD14" s="44">
        <v>11.462999999999999</v>
      </c>
      <c r="AE14" s="44">
        <v>25.536999999999999</v>
      </c>
      <c r="AG14" s="39">
        <f t="shared" si="6"/>
        <v>13.089157500000001</v>
      </c>
      <c r="AH14" s="40">
        <f t="shared" si="7"/>
        <v>6.4009208236582474E-2</v>
      </c>
      <c r="AI14" s="40">
        <f t="shared" si="8"/>
        <v>2.5792297661683037E-2</v>
      </c>
      <c r="AJ14" s="40">
        <f t="shared" si="9"/>
        <v>1.9354006795908488E-2</v>
      </c>
      <c r="AK14" s="40">
        <f t="shared" si="10"/>
        <v>3.8214086457475795E-2</v>
      </c>
      <c r="AL14" s="37">
        <f t="shared" si="11"/>
        <v>5625848</v>
      </c>
      <c r="AM14" s="40">
        <v>16</v>
      </c>
      <c r="AN14" s="41">
        <v>22406420</v>
      </c>
      <c r="AO14" s="41">
        <v>700200.625</v>
      </c>
      <c r="AP14" s="41">
        <v>13452.625</v>
      </c>
      <c r="AQ14" s="42">
        <v>13961768</v>
      </c>
      <c r="AR14" s="42">
        <v>4221520</v>
      </c>
      <c r="AS14" s="42">
        <v>1404328</v>
      </c>
      <c r="AT14" s="42">
        <v>8335304</v>
      </c>
      <c r="AU14" s="43">
        <v>71.156053</v>
      </c>
      <c r="AV14" s="43">
        <v>74.731656000000001</v>
      </c>
      <c r="AW14" s="43">
        <v>39.604944000000003</v>
      </c>
      <c r="AX14" s="43">
        <v>43.019550000000002</v>
      </c>
      <c r="AY14" s="43">
        <v>38.466506000000003</v>
      </c>
      <c r="AZ14" s="44">
        <v>2232.92</v>
      </c>
      <c r="BA14" s="44">
        <v>3950.6</v>
      </c>
      <c r="BB14" s="44">
        <v>8.3529999999999998</v>
      </c>
      <c r="BC14" s="44">
        <v>17.190999999999999</v>
      </c>
      <c r="BE14" s="45">
        <f t="shared" si="12"/>
        <v>0</v>
      </c>
      <c r="BF14" s="45">
        <f t="shared" si="13"/>
        <v>0</v>
      </c>
      <c r="BG14" s="45"/>
      <c r="BI14" s="46"/>
      <c r="BJ14" s="46"/>
      <c r="BK14" s="46"/>
      <c r="BL14" s="46"/>
      <c r="BM14" s="46"/>
      <c r="BO14" s="46"/>
      <c r="BP14" s="46"/>
      <c r="BQ14" s="46"/>
      <c r="BR14" s="46"/>
      <c r="BS14" s="46"/>
    </row>
    <row r="15" spans="1:71" x14ac:dyDescent="0.2">
      <c r="A15" s="77"/>
      <c r="B15" s="77" t="s">
        <v>67</v>
      </c>
      <c r="C15" s="11" t="s">
        <v>229</v>
      </c>
      <c r="D15" s="77">
        <v>322589704</v>
      </c>
      <c r="E15" s="11">
        <v>10</v>
      </c>
      <c r="F15" s="11">
        <v>32</v>
      </c>
      <c r="G15" s="11">
        <v>30</v>
      </c>
      <c r="I15" s="12">
        <f t="shared" si="0"/>
        <v>1.89957</v>
      </c>
      <c r="J15" s="13">
        <f t="shared" si="1"/>
        <v>6.2810684125244121E-3</v>
      </c>
      <c r="K15" s="13">
        <f t="shared" si="2"/>
        <v>5.1692412352999338E-3</v>
      </c>
      <c r="L15" s="13">
        <f t="shared" si="3"/>
        <v>2.7158213332189921E-3</v>
      </c>
      <c r="M15" s="13">
        <f t="shared" si="4"/>
        <v>1.1099176308491234E-3</v>
      </c>
      <c r="N15" s="77">
        <f t="shared" si="5"/>
        <v>1667544</v>
      </c>
      <c r="O15" s="13">
        <v>16</v>
      </c>
      <c r="P15" s="14">
        <v>32608655</v>
      </c>
      <c r="Q15" s="14">
        <v>1019020.46875</v>
      </c>
      <c r="R15" s="14">
        <v>33932.375</v>
      </c>
      <c r="S15" s="15">
        <v>2026208</v>
      </c>
      <c r="T15" s="15">
        <v>876096</v>
      </c>
      <c r="U15" s="15">
        <v>791448</v>
      </c>
      <c r="V15" s="15">
        <v>358048</v>
      </c>
      <c r="W15" s="16">
        <v>66.342974999999996</v>
      </c>
      <c r="X15" s="16">
        <v>67.898152999999994</v>
      </c>
      <c r="Y15" s="16">
        <v>29.318605999999999</v>
      </c>
      <c r="Z15" s="16">
        <v>43.358424999999997</v>
      </c>
      <c r="AA15" s="16">
        <v>43.505355999999999</v>
      </c>
      <c r="AB15" s="17">
        <v>4395.3500000000004</v>
      </c>
      <c r="AC15" s="17">
        <v>4158.95</v>
      </c>
      <c r="AD15" s="17">
        <v>16.074000000000002</v>
      </c>
      <c r="AE15" s="17">
        <v>24.029</v>
      </c>
      <c r="AG15" s="12">
        <f t="shared" si="6"/>
        <v>1.89957</v>
      </c>
      <c r="AH15" s="13">
        <f t="shared" si="7"/>
        <v>6.2810684125244121E-3</v>
      </c>
      <c r="AI15" s="13">
        <f t="shared" si="8"/>
        <v>5.1692412352999338E-3</v>
      </c>
      <c r="AJ15" s="13">
        <f t="shared" si="9"/>
        <v>2.7158213332189921E-3</v>
      </c>
      <c r="AK15" s="13">
        <f t="shared" si="10"/>
        <v>1.1099176308491234E-3</v>
      </c>
      <c r="AL15" s="77">
        <f t="shared" si="11"/>
        <v>1667544</v>
      </c>
      <c r="AM15" s="13">
        <v>16</v>
      </c>
      <c r="AN15" s="14">
        <v>32608655</v>
      </c>
      <c r="AO15" s="14">
        <v>1019020.46875</v>
      </c>
      <c r="AP15" s="14">
        <v>33932.375</v>
      </c>
      <c r="AQ15" s="15">
        <v>2026208</v>
      </c>
      <c r="AR15" s="15">
        <v>876096</v>
      </c>
      <c r="AS15" s="15">
        <v>791448</v>
      </c>
      <c r="AT15" s="15">
        <v>358048</v>
      </c>
      <c r="AU15" s="16">
        <v>66.342974999999996</v>
      </c>
      <c r="AV15" s="16">
        <v>67.898152999999994</v>
      </c>
      <c r="AW15" s="16">
        <v>29.318605999999999</v>
      </c>
      <c r="AX15" s="16">
        <v>43.358424999999997</v>
      </c>
      <c r="AY15" s="16">
        <v>43.505355999999999</v>
      </c>
      <c r="AZ15" s="17">
        <v>3477.78</v>
      </c>
      <c r="BA15" s="17">
        <v>2711.98</v>
      </c>
      <c r="BB15" s="17">
        <v>11.664999999999999</v>
      </c>
      <c r="BC15" s="17">
        <v>15.05</v>
      </c>
      <c r="BE15" s="18">
        <f t="shared" si="12"/>
        <v>0</v>
      </c>
      <c r="BF15" s="18">
        <f t="shared" si="13"/>
        <v>0</v>
      </c>
      <c r="BG15" s="18">
        <f t="array" ref="BG15">AVERAGE(AL15:AL19/AQ15:AQ19) - AVERAGE(N15:N19/S15:S19)</f>
        <v>0</v>
      </c>
      <c r="BI15" s="79">
        <f>IF( OR(ISBLANK(N15:N19),ISBLANK(AL15:AL19), ISBLANK(W15:W19),ISBLANK(AU15:AU19)), "·", bdRateExtend( N15:N19,W15:W19, AL15:AL19,AU15:AU19))</f>
        <v>0</v>
      </c>
      <c r="BJ15" s="79">
        <f>IF( OR(ISBLANK(N15:N19),ISBLANK(AL15:AL19), ISBLANK(X15:X19),ISBLANK(AV15:AV19)), "·", bdRateExtend( N15:N19,X15:X19, AL15:AL19,AV15:AV19))</f>
        <v>0</v>
      </c>
      <c r="BK15" s="79">
        <f>IF( OR(ISBLANK(V15:V19),ISBLANK(AT15:AT19), ISBLANK(Y15:Y19),ISBLANK(AW15:AW19)), "·", bdRateExtend( V15:V19,Y15:Y19, AT15:AT19,AW15:AW19))</f>
        <v>0</v>
      </c>
      <c r="BL15" s="79">
        <f>IF( OR(ISBLANK(V15:V19),ISBLANK(AT15:AT19), ISBLANK(Z15:Z19),ISBLANK(AX15:AX19)), "·", bdRateExtend( V15:V19,Z15:Z19, AT15:AT19,AX15:AX19))</f>
        <v>0</v>
      </c>
      <c r="BM15" s="79">
        <f>IF( OR(ISBLANK(V15:V19),ISBLANK(AT15:AT19), ISBLANK(AA15:AA19),ISBLANK(AY15:AY19)), "·", bdRateExtend( V15:V19,AA15:AA19, AT15:AT19,AY15:AY19))</f>
        <v>0</v>
      </c>
      <c r="BO15" s="79">
        <f>IF( OR(ISBLANK(S15:S19),ISBLANK(AQ15:AQ19), ISBLANK(W15:W19),ISBLANK(AU15:AU19)), "·", bdRateExtend( S15:S19,W15:W19, AQ15:AQ19,AU15:AU19))</f>
        <v>0</v>
      </c>
      <c r="BP15" s="79">
        <f>IF( OR(ISBLANK(S15:S19),ISBLANK(AQ15:AQ19), ISBLANK(X15:X19),ISBLANK(AV15:AV19)), "·", bdRateExtend( S15:S19,X15:X19, AQ15:AQ19,AV15:AV19))</f>
        <v>0</v>
      </c>
      <c r="BQ15" s="79">
        <f>IF( OR(ISBLANK(S15:S19),ISBLANK(AQ15:AQ19), ISBLANK(Y15:Y19),ISBLANK(AW15:AW19)), "·", bdRateExtend( S15:S19,Y15:Y19, AQ15:AQ19,AW15:AW19))</f>
        <v>0</v>
      </c>
      <c r="BR15" s="79">
        <f>IF( OR(ISBLANK(S15:S19),ISBLANK(AQ15:AQ19), ISBLANK(Z15:Z19),ISBLANK(AX15:AX19)), "·", bdRateExtend( S15:S19,Z15:Z19, AQ15:AQ19,AX15:AX19))</f>
        <v>0</v>
      </c>
      <c r="BS15" s="79">
        <f>IF( OR(ISBLANK(S15:S19),ISBLANK(AQ15:AQ19), ISBLANK(AA15:AA19),ISBLANK(AY15:AY19)), "·", bdRateExtend( S15:S19,AA15:AA19, AQ15:AQ19,AY15:AY19))</f>
        <v>0</v>
      </c>
    </row>
    <row r="16" spans="1:71" outlineLevel="1" x14ac:dyDescent="0.2">
      <c r="A16" s="69"/>
      <c r="B16" s="69" t="s">
        <v>67</v>
      </c>
      <c r="C16" s="19" t="s">
        <v>230</v>
      </c>
      <c r="D16" s="69">
        <v>322589704</v>
      </c>
      <c r="E16" s="19">
        <v>10</v>
      </c>
      <c r="F16" s="19">
        <v>32</v>
      </c>
      <c r="G16" s="19">
        <v>30</v>
      </c>
      <c r="I16" s="20">
        <f t="shared" si="0"/>
        <v>2.4397500000000001</v>
      </c>
      <c r="J16" s="21">
        <f t="shared" si="1"/>
        <v>8.0672134532849202E-3</v>
      </c>
      <c r="K16" s="21">
        <f t="shared" si="2"/>
        <v>6.0338689544784723E-3</v>
      </c>
      <c r="L16" s="21">
        <f t="shared" si="3"/>
        <v>3.5804490523975311E-3</v>
      </c>
      <c r="M16" s="21">
        <f t="shared" si="4"/>
        <v>2.0314349524310918E-3</v>
      </c>
      <c r="N16" s="69">
        <f t="shared" si="5"/>
        <v>1946464</v>
      </c>
      <c r="O16" s="21">
        <v>16</v>
      </c>
      <c r="P16" s="22">
        <v>34104554</v>
      </c>
      <c r="Q16" s="22">
        <v>1065767.3125</v>
      </c>
      <c r="R16" s="22">
        <v>39391.28125</v>
      </c>
      <c r="S16" s="23">
        <v>2602400</v>
      </c>
      <c r="T16" s="23">
        <v>1155016</v>
      </c>
      <c r="U16" s="23">
        <v>791448</v>
      </c>
      <c r="V16" s="23">
        <v>655320</v>
      </c>
      <c r="W16" s="24">
        <v>68.094181000000006</v>
      </c>
      <c r="X16" s="24">
        <v>70.090277999999998</v>
      </c>
      <c r="Y16" s="24">
        <v>31.732818999999999</v>
      </c>
      <c r="Z16" s="24">
        <v>43.915613</v>
      </c>
      <c r="AA16" s="24">
        <v>44.425891</v>
      </c>
      <c r="AB16" s="25">
        <v>6142.62</v>
      </c>
      <c r="AC16" s="25">
        <v>4788.5200000000004</v>
      </c>
      <c r="AD16" s="25">
        <v>18.344999999999999</v>
      </c>
      <c r="AE16" s="25">
        <v>25.039000000000001</v>
      </c>
      <c r="AG16" s="20">
        <f t="shared" si="6"/>
        <v>2.4397500000000001</v>
      </c>
      <c r="AH16" s="21">
        <f t="shared" si="7"/>
        <v>8.0672134532849202E-3</v>
      </c>
      <c r="AI16" s="21">
        <f t="shared" si="8"/>
        <v>6.0338689544784723E-3</v>
      </c>
      <c r="AJ16" s="21">
        <f t="shared" si="9"/>
        <v>3.5804490523975311E-3</v>
      </c>
      <c r="AK16" s="21">
        <f t="shared" si="10"/>
        <v>2.0314349524310918E-3</v>
      </c>
      <c r="AL16" s="69">
        <f t="shared" si="11"/>
        <v>1946464</v>
      </c>
      <c r="AM16" s="21">
        <v>16</v>
      </c>
      <c r="AN16" s="22">
        <v>34104554</v>
      </c>
      <c r="AO16" s="22">
        <v>1065767.3125</v>
      </c>
      <c r="AP16" s="22">
        <v>39391.28125</v>
      </c>
      <c r="AQ16" s="23">
        <v>2602400</v>
      </c>
      <c r="AR16" s="23">
        <v>1155016</v>
      </c>
      <c r="AS16" s="23">
        <v>791448</v>
      </c>
      <c r="AT16" s="23">
        <v>655320</v>
      </c>
      <c r="AU16" s="24">
        <v>68.094181000000006</v>
      </c>
      <c r="AV16" s="24">
        <v>70.090277999999998</v>
      </c>
      <c r="AW16" s="24">
        <v>31.732818999999999</v>
      </c>
      <c r="AX16" s="24">
        <v>43.915613</v>
      </c>
      <c r="AY16" s="24">
        <v>44.425891</v>
      </c>
      <c r="AZ16" s="25">
        <v>4825.8100000000004</v>
      </c>
      <c r="BA16" s="25">
        <v>4813.07</v>
      </c>
      <c r="BB16" s="25">
        <v>18.687000000000001</v>
      </c>
      <c r="BC16" s="25">
        <v>26.594999999999999</v>
      </c>
      <c r="BE16" s="26">
        <f t="shared" si="12"/>
        <v>0</v>
      </c>
      <c r="BF16" s="26">
        <f t="shared" si="13"/>
        <v>0</v>
      </c>
      <c r="BG16" s="26"/>
      <c r="BI16" s="71"/>
      <c r="BJ16" s="71"/>
      <c r="BK16" s="71"/>
      <c r="BL16" s="71"/>
      <c r="BM16" s="71"/>
      <c r="BO16" s="71"/>
      <c r="BP16" s="71"/>
      <c r="BQ16" s="71"/>
      <c r="BR16" s="71"/>
      <c r="BS16" s="71"/>
    </row>
    <row r="17" spans="1:71" outlineLevel="1" x14ac:dyDescent="0.2">
      <c r="A17" s="77"/>
      <c r="B17" s="77" t="s">
        <v>67</v>
      </c>
      <c r="C17" s="11" t="s">
        <v>231</v>
      </c>
      <c r="D17" s="77">
        <v>322589704</v>
      </c>
      <c r="E17" s="11">
        <v>10</v>
      </c>
      <c r="F17" s="11">
        <v>32</v>
      </c>
      <c r="G17" s="11">
        <v>30</v>
      </c>
      <c r="I17" s="12">
        <f t="shared" si="0"/>
        <v>3.399645</v>
      </c>
      <c r="J17" s="13">
        <f t="shared" si="1"/>
        <v>1.1241177120767623E-2</v>
      </c>
      <c r="K17" s="13">
        <f t="shared" si="2"/>
        <v>7.0765308740293829E-3</v>
      </c>
      <c r="L17" s="13">
        <f t="shared" si="3"/>
        <v>4.6231109719484416E-3</v>
      </c>
      <c r="M17" s="13">
        <f t="shared" si="4"/>
        <v>4.162736700362886E-3</v>
      </c>
      <c r="N17" s="77">
        <f t="shared" si="5"/>
        <v>2282816</v>
      </c>
      <c r="O17" s="13">
        <v>16</v>
      </c>
      <c r="P17" s="14">
        <v>34239842</v>
      </c>
      <c r="Q17" s="14">
        <v>1069995.0625</v>
      </c>
      <c r="R17" s="14">
        <v>40498.25</v>
      </c>
      <c r="S17" s="15">
        <v>3626288</v>
      </c>
      <c r="T17" s="15">
        <v>1491368</v>
      </c>
      <c r="U17" s="15">
        <v>791448</v>
      </c>
      <c r="V17" s="15">
        <v>1342856</v>
      </c>
      <c r="W17" s="16">
        <v>69.468378000000001</v>
      </c>
      <c r="X17" s="16">
        <v>71.867181000000002</v>
      </c>
      <c r="Y17" s="16">
        <v>34.163891</v>
      </c>
      <c r="Z17" s="16">
        <v>45.253208999999998</v>
      </c>
      <c r="AA17" s="16">
        <v>45.705962999999997</v>
      </c>
      <c r="AB17" s="17">
        <v>3360.51</v>
      </c>
      <c r="AC17" s="17">
        <v>3163.29</v>
      </c>
      <c r="AD17" s="17">
        <v>12.632</v>
      </c>
      <c r="AE17" s="17">
        <v>16.210999999999999</v>
      </c>
      <c r="AG17" s="12">
        <f t="shared" si="6"/>
        <v>3.399645</v>
      </c>
      <c r="AH17" s="13">
        <f t="shared" si="7"/>
        <v>1.1241177120767623E-2</v>
      </c>
      <c r="AI17" s="13">
        <f t="shared" si="8"/>
        <v>7.0765308740293829E-3</v>
      </c>
      <c r="AJ17" s="13">
        <f t="shared" si="9"/>
        <v>4.6231109719484416E-3</v>
      </c>
      <c r="AK17" s="13">
        <f t="shared" si="10"/>
        <v>4.162736700362886E-3</v>
      </c>
      <c r="AL17" s="77">
        <f t="shared" si="11"/>
        <v>2282816</v>
      </c>
      <c r="AM17" s="13">
        <v>16</v>
      </c>
      <c r="AN17" s="14">
        <v>34239842</v>
      </c>
      <c r="AO17" s="14">
        <v>1069995.0625</v>
      </c>
      <c r="AP17" s="14">
        <v>40498.25</v>
      </c>
      <c r="AQ17" s="15">
        <v>3626288</v>
      </c>
      <c r="AR17" s="15">
        <v>1491368</v>
      </c>
      <c r="AS17" s="15">
        <v>791448</v>
      </c>
      <c r="AT17" s="15">
        <v>1342856</v>
      </c>
      <c r="AU17" s="16">
        <v>69.468378000000001</v>
      </c>
      <c r="AV17" s="16">
        <v>71.867181000000002</v>
      </c>
      <c r="AW17" s="16">
        <v>34.163891</v>
      </c>
      <c r="AX17" s="16">
        <v>45.253208999999998</v>
      </c>
      <c r="AY17" s="16">
        <v>45.705962999999997</v>
      </c>
      <c r="AZ17" s="17">
        <v>3340.37</v>
      </c>
      <c r="BA17" s="17">
        <v>3099.83</v>
      </c>
      <c r="BB17" s="17">
        <v>12.672000000000001</v>
      </c>
      <c r="BC17" s="17">
        <v>16.036000000000001</v>
      </c>
      <c r="BE17" s="18">
        <f t="shared" si="12"/>
        <v>0</v>
      </c>
      <c r="BF17" s="18">
        <f t="shared" si="13"/>
        <v>0</v>
      </c>
      <c r="BG17" s="18"/>
      <c r="BI17" s="79"/>
      <c r="BJ17" s="79"/>
      <c r="BK17" s="79"/>
      <c r="BL17" s="79"/>
      <c r="BM17" s="79"/>
      <c r="BO17" s="79"/>
      <c r="BP17" s="79"/>
      <c r="BQ17" s="79"/>
      <c r="BR17" s="79"/>
      <c r="BS17" s="79"/>
    </row>
    <row r="18" spans="1:71" outlineLevel="1" x14ac:dyDescent="0.2">
      <c r="A18" s="69"/>
      <c r="B18" s="69" t="s">
        <v>67</v>
      </c>
      <c r="C18" s="19" t="s">
        <v>232</v>
      </c>
      <c r="D18" s="69">
        <v>322589704</v>
      </c>
      <c r="E18" s="19">
        <v>10</v>
      </c>
      <c r="F18" s="19">
        <v>32</v>
      </c>
      <c r="G18" s="19">
        <v>30</v>
      </c>
      <c r="I18" s="20">
        <f t="shared" si="0"/>
        <v>6.1844099999999997</v>
      </c>
      <c r="J18" s="21">
        <f t="shared" si="1"/>
        <v>2.044920813715741E-2</v>
      </c>
      <c r="K18" s="21">
        <f t="shared" si="2"/>
        <v>1.0009420511449429E-2</v>
      </c>
      <c r="L18" s="21">
        <f t="shared" si="3"/>
        <v>7.5560006093684873E-3</v>
      </c>
      <c r="M18" s="21">
        <f t="shared" si="4"/>
        <v>1.0437878079332625E-2</v>
      </c>
      <c r="N18" s="69">
        <f t="shared" si="5"/>
        <v>3228936</v>
      </c>
      <c r="O18" s="21">
        <v>16</v>
      </c>
      <c r="P18" s="22">
        <v>35560118</v>
      </c>
      <c r="Q18" s="22">
        <v>1111253.6875</v>
      </c>
      <c r="R18" s="22">
        <v>45639.40625</v>
      </c>
      <c r="S18" s="23">
        <v>6596704</v>
      </c>
      <c r="T18" s="23">
        <v>2437488</v>
      </c>
      <c r="U18" s="23">
        <v>791448</v>
      </c>
      <c r="V18" s="23">
        <v>3367152</v>
      </c>
      <c r="W18" s="24">
        <v>70.493262999999999</v>
      </c>
      <c r="X18" s="24">
        <v>73.121421999999995</v>
      </c>
      <c r="Y18" s="24">
        <v>36.525137000000001</v>
      </c>
      <c r="Z18" s="24">
        <v>46.468597000000003</v>
      </c>
      <c r="AA18" s="24">
        <v>46.962015999999998</v>
      </c>
      <c r="AB18" s="25">
        <v>3304.7</v>
      </c>
      <c r="AC18" s="25">
        <v>3435.59</v>
      </c>
      <c r="AD18" s="25">
        <v>12.882999999999999</v>
      </c>
      <c r="AE18" s="25">
        <v>17.323</v>
      </c>
      <c r="AG18" s="20">
        <f t="shared" si="6"/>
        <v>6.1844099999999997</v>
      </c>
      <c r="AH18" s="21">
        <f t="shared" si="7"/>
        <v>2.044920813715741E-2</v>
      </c>
      <c r="AI18" s="21">
        <f t="shared" si="8"/>
        <v>1.0009420511449429E-2</v>
      </c>
      <c r="AJ18" s="21">
        <f t="shared" si="9"/>
        <v>7.5560006093684873E-3</v>
      </c>
      <c r="AK18" s="21">
        <f t="shared" si="10"/>
        <v>1.0437878079332625E-2</v>
      </c>
      <c r="AL18" s="69">
        <f t="shared" si="11"/>
        <v>3228936</v>
      </c>
      <c r="AM18" s="21">
        <v>16</v>
      </c>
      <c r="AN18" s="22">
        <v>35560118</v>
      </c>
      <c r="AO18" s="22">
        <v>1111253.6875</v>
      </c>
      <c r="AP18" s="22">
        <v>45639.40625</v>
      </c>
      <c r="AQ18" s="23">
        <v>6596704</v>
      </c>
      <c r="AR18" s="23">
        <v>2437488</v>
      </c>
      <c r="AS18" s="23">
        <v>791448</v>
      </c>
      <c r="AT18" s="23">
        <v>3367152</v>
      </c>
      <c r="AU18" s="24">
        <v>70.493262999999999</v>
      </c>
      <c r="AV18" s="24">
        <v>73.121421999999995</v>
      </c>
      <c r="AW18" s="24">
        <v>36.525137000000001</v>
      </c>
      <c r="AX18" s="24">
        <v>46.468597000000003</v>
      </c>
      <c r="AY18" s="24">
        <v>46.962015999999998</v>
      </c>
      <c r="AZ18" s="25">
        <v>4556.05</v>
      </c>
      <c r="BA18" s="25">
        <v>5571.03</v>
      </c>
      <c r="BB18" s="25">
        <v>18.763999999999999</v>
      </c>
      <c r="BC18" s="25">
        <v>28.370999999999999</v>
      </c>
      <c r="BE18" s="26">
        <f t="shared" si="12"/>
        <v>0</v>
      </c>
      <c r="BF18" s="26">
        <f t="shared" si="13"/>
        <v>0</v>
      </c>
      <c r="BG18" s="26"/>
      <c r="BI18" s="71"/>
      <c r="BJ18" s="71"/>
      <c r="BK18" s="71"/>
      <c r="BL18" s="71"/>
      <c r="BM18" s="71"/>
      <c r="BO18" s="71"/>
      <c r="BP18" s="71"/>
      <c r="BQ18" s="71"/>
      <c r="BR18" s="71"/>
      <c r="BS18" s="71"/>
    </row>
    <row r="19" spans="1:71" outlineLevel="1" x14ac:dyDescent="0.2">
      <c r="A19" s="77"/>
      <c r="B19" s="27" t="s">
        <v>67</v>
      </c>
      <c r="C19" s="28" t="s">
        <v>233</v>
      </c>
      <c r="D19" s="27">
        <v>322589704</v>
      </c>
      <c r="E19" s="28">
        <v>10</v>
      </c>
      <c r="F19" s="28">
        <v>32</v>
      </c>
      <c r="G19" s="28">
        <v>30</v>
      </c>
      <c r="I19" s="29">
        <f t="shared" si="0"/>
        <v>14.537955</v>
      </c>
      <c r="J19" s="30">
        <f t="shared" si="1"/>
        <v>4.8070821255969162E-2</v>
      </c>
      <c r="K19" s="30">
        <f t="shared" si="2"/>
        <v>1.7389618857767387E-2</v>
      </c>
      <c r="L19" s="30">
        <f t="shared" si="3"/>
        <v>1.2281086317621594E-2</v>
      </c>
      <c r="M19" s="30">
        <f t="shared" si="4"/>
        <v>3.0679292851826419E-2</v>
      </c>
      <c r="N19" s="27">
        <f t="shared" si="5"/>
        <v>5609712</v>
      </c>
      <c r="O19" s="30">
        <v>16</v>
      </c>
      <c r="P19" s="31">
        <v>33617581</v>
      </c>
      <c r="Q19" s="31">
        <v>1050549.40625</v>
      </c>
      <c r="R19" s="31">
        <v>19923.5625</v>
      </c>
      <c r="S19" s="32">
        <v>15507152</v>
      </c>
      <c r="T19" s="32">
        <v>3961752</v>
      </c>
      <c r="U19" s="32">
        <v>1647960</v>
      </c>
      <c r="V19" s="32">
        <v>9896824</v>
      </c>
      <c r="W19" s="33">
        <v>71.522969000000003</v>
      </c>
      <c r="X19" s="33">
        <v>75.136296999999999</v>
      </c>
      <c r="Y19" s="33">
        <v>38.812966000000003</v>
      </c>
      <c r="Z19" s="33">
        <v>48.258625000000002</v>
      </c>
      <c r="AA19" s="33">
        <v>48.851872</v>
      </c>
      <c r="AB19" s="34">
        <v>4156.8599999999997</v>
      </c>
      <c r="AC19" s="34">
        <v>4375.8999999999996</v>
      </c>
      <c r="AD19" s="34">
        <v>12.757999999999999</v>
      </c>
      <c r="AE19" s="34">
        <v>20.783000000000001</v>
      </c>
      <c r="AG19" s="29">
        <f t="shared" si="6"/>
        <v>14.537955</v>
      </c>
      <c r="AH19" s="30">
        <f t="shared" si="7"/>
        <v>4.8070821255969162E-2</v>
      </c>
      <c r="AI19" s="30">
        <f t="shared" si="8"/>
        <v>1.7389618857767387E-2</v>
      </c>
      <c r="AJ19" s="30">
        <f t="shared" si="9"/>
        <v>1.2281086317621594E-2</v>
      </c>
      <c r="AK19" s="30">
        <f t="shared" si="10"/>
        <v>3.0679292851826419E-2</v>
      </c>
      <c r="AL19" s="27">
        <f t="shared" si="11"/>
        <v>5609712</v>
      </c>
      <c r="AM19" s="30">
        <v>16</v>
      </c>
      <c r="AN19" s="31">
        <v>33617581</v>
      </c>
      <c r="AO19" s="31">
        <v>1050549.40625</v>
      </c>
      <c r="AP19" s="31">
        <v>19923.5625</v>
      </c>
      <c r="AQ19" s="32">
        <v>15507152</v>
      </c>
      <c r="AR19" s="32">
        <v>3961752</v>
      </c>
      <c r="AS19" s="32">
        <v>1647960</v>
      </c>
      <c r="AT19" s="32">
        <v>9896824</v>
      </c>
      <c r="AU19" s="33">
        <v>71.522969000000003</v>
      </c>
      <c r="AV19" s="33">
        <v>75.136296999999999</v>
      </c>
      <c r="AW19" s="33">
        <v>38.812966000000003</v>
      </c>
      <c r="AX19" s="33">
        <v>48.258625000000002</v>
      </c>
      <c r="AY19" s="33">
        <v>48.851872</v>
      </c>
      <c r="AZ19" s="34">
        <v>4780.53</v>
      </c>
      <c r="BA19" s="34">
        <v>5955.06</v>
      </c>
      <c r="BB19" s="34">
        <v>16.497</v>
      </c>
      <c r="BC19" s="34">
        <v>28.992000000000001</v>
      </c>
      <c r="BE19" s="35">
        <f t="shared" si="12"/>
        <v>0</v>
      </c>
      <c r="BF19" s="35">
        <f t="shared" si="13"/>
        <v>0</v>
      </c>
      <c r="BG19" s="35"/>
      <c r="BI19" s="36"/>
      <c r="BJ19" s="36"/>
      <c r="BK19" s="36"/>
      <c r="BL19" s="36"/>
      <c r="BM19" s="36"/>
      <c r="BO19" s="36"/>
      <c r="BP19" s="36"/>
      <c r="BQ19" s="36"/>
      <c r="BR19" s="36"/>
      <c r="BS19" s="36"/>
    </row>
    <row r="20" spans="1:71" x14ac:dyDescent="0.2">
      <c r="A20" s="69"/>
      <c r="B20" s="69" t="s">
        <v>72</v>
      </c>
      <c r="C20" s="19" t="s">
        <v>229</v>
      </c>
      <c r="D20" s="69">
        <v>250602891</v>
      </c>
      <c r="E20" s="19">
        <v>10</v>
      </c>
      <c r="F20" s="19">
        <v>32</v>
      </c>
      <c r="G20" s="19">
        <v>50</v>
      </c>
      <c r="I20" s="20">
        <f t="shared" si="0"/>
        <v>2.2777625000000001</v>
      </c>
      <c r="J20" s="21">
        <f t="shared" si="1"/>
        <v>5.8170438265215388E-3</v>
      </c>
      <c r="K20" s="21">
        <f t="shared" si="2"/>
        <v>4.3555124030871615E-3</v>
      </c>
      <c r="L20" s="21">
        <f t="shared" si="3"/>
        <v>2.4252234185119597E-3</v>
      </c>
      <c r="M20" s="21">
        <f t="shared" si="4"/>
        <v>1.4590733512328076E-3</v>
      </c>
      <c r="N20" s="69">
        <f t="shared" si="5"/>
        <v>1091504</v>
      </c>
      <c r="O20" s="21">
        <v>16</v>
      </c>
      <c r="P20" s="22">
        <v>30801806</v>
      </c>
      <c r="Q20" s="22">
        <v>962556.4375</v>
      </c>
      <c r="R20" s="22">
        <v>28246.0625</v>
      </c>
      <c r="S20" s="23">
        <v>1457768</v>
      </c>
      <c r="T20" s="23">
        <v>607768</v>
      </c>
      <c r="U20" s="23">
        <v>483736</v>
      </c>
      <c r="V20" s="23">
        <v>365648</v>
      </c>
      <c r="W20" s="24">
        <v>67.130622000000002</v>
      </c>
      <c r="X20" s="24">
        <v>68.790569000000005</v>
      </c>
      <c r="Y20" s="24">
        <v>30.041069</v>
      </c>
      <c r="Z20" s="24">
        <v>39.297615999999998</v>
      </c>
      <c r="AA20" s="24">
        <v>37.967503000000001</v>
      </c>
      <c r="AB20" s="25">
        <v>3587.93</v>
      </c>
      <c r="AC20" s="25">
        <v>2293.21</v>
      </c>
      <c r="AD20" s="25">
        <v>11.227</v>
      </c>
      <c r="AE20" s="25">
        <v>13.323</v>
      </c>
      <c r="AG20" s="20">
        <f t="shared" si="6"/>
        <v>2.2777625000000001</v>
      </c>
      <c r="AH20" s="21">
        <f t="shared" si="7"/>
        <v>5.8170438265215388E-3</v>
      </c>
      <c r="AI20" s="21">
        <f t="shared" si="8"/>
        <v>4.3555124030871615E-3</v>
      </c>
      <c r="AJ20" s="21">
        <f t="shared" si="9"/>
        <v>2.4252234185119597E-3</v>
      </c>
      <c r="AK20" s="21">
        <f t="shared" si="10"/>
        <v>1.4590733512328076E-3</v>
      </c>
      <c r="AL20" s="69">
        <f t="shared" si="11"/>
        <v>1091504</v>
      </c>
      <c r="AM20" s="21">
        <v>16</v>
      </c>
      <c r="AN20" s="22">
        <v>30801806</v>
      </c>
      <c r="AO20" s="22">
        <v>962556.4375</v>
      </c>
      <c r="AP20" s="22">
        <v>28246.0625</v>
      </c>
      <c r="AQ20" s="23">
        <v>1457768</v>
      </c>
      <c r="AR20" s="23">
        <v>607768</v>
      </c>
      <c r="AS20" s="23">
        <v>483736</v>
      </c>
      <c r="AT20" s="23">
        <v>365648</v>
      </c>
      <c r="AU20" s="24">
        <v>67.130622000000002</v>
      </c>
      <c r="AV20" s="24">
        <v>68.790569000000005</v>
      </c>
      <c r="AW20" s="24">
        <v>30.041069</v>
      </c>
      <c r="AX20" s="24">
        <v>39.297615999999998</v>
      </c>
      <c r="AY20" s="24">
        <v>37.967503000000001</v>
      </c>
      <c r="AZ20" s="25">
        <v>3424.37</v>
      </c>
      <c r="BA20" s="25">
        <v>2139.23</v>
      </c>
      <c r="BB20" s="25">
        <v>10.558999999999999</v>
      </c>
      <c r="BC20" s="25">
        <v>12.5</v>
      </c>
      <c r="BE20" s="26">
        <f t="shared" si="12"/>
        <v>0</v>
      </c>
      <c r="BF20" s="26">
        <f t="shared" si="13"/>
        <v>0</v>
      </c>
      <c r="BG20" s="26">
        <f t="array" ref="BG20">AVERAGE(AL20:AL24/AQ20:AQ24) - AVERAGE(N20:N24/S20:S24)</f>
        <v>0</v>
      </c>
      <c r="BI20" s="71">
        <f>IF( OR(ISBLANK(N20:N24),ISBLANK(AL20:AL24), ISBLANK(W20:W24),ISBLANK(AU20:AU24)), "·", bdRateExtend( N20:N24,W20:W24, AL20:AL24,AU20:AU24))</f>
        <v>0</v>
      </c>
      <c r="BJ20" s="71">
        <f>IF( OR(ISBLANK(N20:N24),ISBLANK(AL20:AL24), ISBLANK(X20:X24),ISBLANK(AV20:AV24)), "·", bdRateExtend( N20:N24,X20:X24, AL20:AL24,AV20:AV24))</f>
        <v>0</v>
      </c>
      <c r="BK20" s="71">
        <f>IF( OR(ISBLANK(V20:V24),ISBLANK(AT20:AT24), ISBLANK(Y20:Y24),ISBLANK(AW20:AW24)), "·", bdRateExtend( V20:V24,Y20:Y24, AT20:AT24,AW20:AW24))</f>
        <v>0</v>
      </c>
      <c r="BL20" s="71">
        <f>IF( OR(ISBLANK(V20:V24),ISBLANK(AT20:AT24), ISBLANK(Z20:Z24),ISBLANK(AX20:AX24)), "·", bdRateExtend( V20:V24,Z20:Z24, AT20:AT24,AX20:AX24))</f>
        <v>0</v>
      </c>
      <c r="BM20" s="71">
        <f>IF( OR(ISBLANK(V20:V24),ISBLANK(AT20:AT24), ISBLANK(AA20:AA24),ISBLANK(AY20:AY24)), "·", bdRateExtend( V20:V24,AA20:AA24, AT20:AT24,AY20:AY24))</f>
        <v>0</v>
      </c>
      <c r="BO20" s="71">
        <f>IF( OR(ISBLANK(S20:S24),ISBLANK(AQ20:AQ24), ISBLANK(W20:W24),ISBLANK(AU20:AU24)), "·", bdRateExtend( S20:S24,W20:W24, AQ20:AQ24,AU20:AU24))</f>
        <v>0</v>
      </c>
      <c r="BP20" s="71">
        <f>IF( OR(ISBLANK(S20:S24),ISBLANK(AQ20:AQ24), ISBLANK(X20:X24),ISBLANK(AV20:AV24)), "·", bdRateExtend( S20:S24,X20:X24, AQ20:AQ24,AV20:AV24))</f>
        <v>0</v>
      </c>
      <c r="BQ20" s="71">
        <f>IF( OR(ISBLANK(S20:S24),ISBLANK(AQ20:AQ24), ISBLANK(Y20:Y24),ISBLANK(AW20:AW24)), "·", bdRateExtend( S20:S24,Y20:Y24, AQ20:AQ24,AW20:AW24))</f>
        <v>0</v>
      </c>
      <c r="BR20" s="71">
        <f>IF( OR(ISBLANK(S20:S24),ISBLANK(AQ20:AQ24), ISBLANK(Z20:Z24),ISBLANK(AX20:AX24)), "·", bdRateExtend( S20:S24,Z20:Z24, AQ20:AQ24,AX20:AX24))</f>
        <v>0</v>
      </c>
      <c r="BS20" s="71">
        <f>IF( OR(ISBLANK(S20:S24),ISBLANK(AQ20:AQ24), ISBLANK(AA20:AA24),ISBLANK(AY20:AY24)), "·", bdRateExtend( S20:S24,AA20:AA24, AQ20:AQ24,AY20:AY24))</f>
        <v>0</v>
      </c>
    </row>
    <row r="21" spans="1:71" outlineLevel="1" x14ac:dyDescent="0.2">
      <c r="A21" s="77"/>
      <c r="B21" s="77" t="s">
        <v>72</v>
      </c>
      <c r="C21" s="11" t="s">
        <v>230</v>
      </c>
      <c r="D21" s="77">
        <v>250602891</v>
      </c>
      <c r="E21" s="11">
        <v>10</v>
      </c>
      <c r="F21" s="11">
        <v>32</v>
      </c>
      <c r="G21" s="11">
        <v>50</v>
      </c>
      <c r="I21" s="12">
        <f t="shared" si="0"/>
        <v>3.1166874999999998</v>
      </c>
      <c r="J21" s="13">
        <f t="shared" si="1"/>
        <v>7.9595250958218195E-3</v>
      </c>
      <c r="K21" s="13">
        <f t="shared" si="2"/>
        <v>5.0709071827906406E-3</v>
      </c>
      <c r="L21" s="13">
        <f t="shared" si="3"/>
        <v>3.1406181982154388E-3</v>
      </c>
      <c r="M21" s="13">
        <f t="shared" si="4"/>
        <v>2.8861598408296096E-3</v>
      </c>
      <c r="N21" s="77">
        <f t="shared" si="5"/>
        <v>1270784</v>
      </c>
      <c r="O21" s="13">
        <v>16</v>
      </c>
      <c r="P21" s="14">
        <v>31627623</v>
      </c>
      <c r="Q21" s="14">
        <v>988363.21875</v>
      </c>
      <c r="R21" s="14">
        <v>32272.96875</v>
      </c>
      <c r="S21" s="15">
        <v>1994680</v>
      </c>
      <c r="T21" s="15">
        <v>787048</v>
      </c>
      <c r="U21" s="15">
        <v>483736</v>
      </c>
      <c r="V21" s="15">
        <v>723280</v>
      </c>
      <c r="W21" s="16">
        <v>68.791021999999998</v>
      </c>
      <c r="X21" s="16">
        <v>70.898105999999999</v>
      </c>
      <c r="Y21" s="16">
        <v>31.547461999999999</v>
      </c>
      <c r="Z21" s="16">
        <v>40.477544000000002</v>
      </c>
      <c r="AA21" s="16">
        <v>39.232833999999997</v>
      </c>
      <c r="AB21" s="17">
        <v>3693.26</v>
      </c>
      <c r="AC21" s="17">
        <v>2384.92</v>
      </c>
      <c r="AD21" s="17">
        <v>10.577</v>
      </c>
      <c r="AE21" s="17">
        <v>13.323</v>
      </c>
      <c r="AG21" s="12">
        <f t="shared" si="6"/>
        <v>3.1166874999999998</v>
      </c>
      <c r="AH21" s="13">
        <f t="shared" si="7"/>
        <v>7.9595250958218195E-3</v>
      </c>
      <c r="AI21" s="13">
        <f t="shared" si="8"/>
        <v>5.0709071827906406E-3</v>
      </c>
      <c r="AJ21" s="13">
        <f t="shared" si="9"/>
        <v>3.1406181982154388E-3</v>
      </c>
      <c r="AK21" s="13">
        <f t="shared" si="10"/>
        <v>2.8861598408296096E-3</v>
      </c>
      <c r="AL21" s="77">
        <f t="shared" si="11"/>
        <v>1270784</v>
      </c>
      <c r="AM21" s="13">
        <v>16</v>
      </c>
      <c r="AN21" s="14">
        <v>31627623</v>
      </c>
      <c r="AO21" s="14">
        <v>988363.21875</v>
      </c>
      <c r="AP21" s="14">
        <v>32272.96875</v>
      </c>
      <c r="AQ21" s="15">
        <v>1994680</v>
      </c>
      <c r="AR21" s="15">
        <v>787048</v>
      </c>
      <c r="AS21" s="15">
        <v>483736</v>
      </c>
      <c r="AT21" s="15">
        <v>723280</v>
      </c>
      <c r="AU21" s="16">
        <v>68.791021999999998</v>
      </c>
      <c r="AV21" s="16">
        <v>70.898105999999999</v>
      </c>
      <c r="AW21" s="16">
        <v>31.547461999999999</v>
      </c>
      <c r="AX21" s="16">
        <v>40.477544000000002</v>
      </c>
      <c r="AY21" s="16">
        <v>39.232833999999997</v>
      </c>
      <c r="AZ21" s="17">
        <v>3159.58</v>
      </c>
      <c r="BA21" s="17">
        <v>2145.12</v>
      </c>
      <c r="BB21" s="17">
        <v>9.9269999999999996</v>
      </c>
      <c r="BC21" s="17">
        <v>12.407999999999999</v>
      </c>
      <c r="BE21" s="18">
        <f t="shared" si="12"/>
        <v>0</v>
      </c>
      <c r="BF21" s="18">
        <f t="shared" si="13"/>
        <v>0</v>
      </c>
      <c r="BG21" s="18"/>
      <c r="BI21" s="79"/>
      <c r="BJ21" s="79"/>
      <c r="BK21" s="79"/>
      <c r="BL21" s="79"/>
      <c r="BM21" s="79"/>
      <c r="BO21" s="79"/>
      <c r="BP21" s="79"/>
      <c r="BQ21" s="79"/>
      <c r="BR21" s="79"/>
      <c r="BS21" s="79"/>
    </row>
    <row r="22" spans="1:71" outlineLevel="1" x14ac:dyDescent="0.2">
      <c r="A22" s="69"/>
      <c r="B22" s="69" t="s">
        <v>72</v>
      </c>
      <c r="C22" s="19" t="s">
        <v>231</v>
      </c>
      <c r="D22" s="69">
        <v>250602891</v>
      </c>
      <c r="E22" s="19">
        <v>10</v>
      </c>
      <c r="F22" s="19">
        <v>32</v>
      </c>
      <c r="G22" s="19">
        <v>50</v>
      </c>
      <c r="I22" s="20">
        <f t="shared" si="0"/>
        <v>5.0992499999999996</v>
      </c>
      <c r="J22" s="21">
        <f t="shared" si="1"/>
        <v>1.3022674985820494E-2</v>
      </c>
      <c r="K22" s="21">
        <f t="shared" si="2"/>
        <v>5.9705616085650023E-3</v>
      </c>
      <c r="L22" s="21">
        <f t="shared" si="3"/>
        <v>4.0402726239898009E-3</v>
      </c>
      <c r="M22" s="21">
        <f t="shared" si="4"/>
        <v>7.0496553050539233E-3</v>
      </c>
      <c r="N22" s="69">
        <f t="shared" si="5"/>
        <v>1496240</v>
      </c>
      <c r="O22" s="21">
        <v>16</v>
      </c>
      <c r="P22" s="22">
        <v>32746620</v>
      </c>
      <c r="Q22" s="22">
        <v>1023331.875</v>
      </c>
      <c r="R22" s="22">
        <v>34640.1875</v>
      </c>
      <c r="S22" s="23">
        <v>3263520</v>
      </c>
      <c r="T22" s="23">
        <v>1012504</v>
      </c>
      <c r="U22" s="23">
        <v>483736</v>
      </c>
      <c r="V22" s="23">
        <v>1766664</v>
      </c>
      <c r="W22" s="24">
        <v>70.003466000000003</v>
      </c>
      <c r="X22" s="24">
        <v>72.449924999999993</v>
      </c>
      <c r="Y22" s="24">
        <v>33.569619000000003</v>
      </c>
      <c r="Z22" s="24">
        <v>41.681911999999997</v>
      </c>
      <c r="AA22" s="24">
        <v>40.571950000000001</v>
      </c>
      <c r="AB22" s="25">
        <v>3308.78</v>
      </c>
      <c r="AC22" s="25">
        <v>2348.92</v>
      </c>
      <c r="AD22" s="25">
        <v>10.518000000000001</v>
      </c>
      <c r="AE22" s="25">
        <v>12.557</v>
      </c>
      <c r="AG22" s="20">
        <f t="shared" si="6"/>
        <v>5.0992499999999996</v>
      </c>
      <c r="AH22" s="21">
        <f t="shared" si="7"/>
        <v>1.3022674985820494E-2</v>
      </c>
      <c r="AI22" s="21">
        <f t="shared" si="8"/>
        <v>5.9705616085650023E-3</v>
      </c>
      <c r="AJ22" s="21">
        <f t="shared" si="9"/>
        <v>4.0402726239898009E-3</v>
      </c>
      <c r="AK22" s="21">
        <f t="shared" si="10"/>
        <v>7.0496553050539233E-3</v>
      </c>
      <c r="AL22" s="69">
        <f t="shared" si="11"/>
        <v>1496240</v>
      </c>
      <c r="AM22" s="21">
        <v>16</v>
      </c>
      <c r="AN22" s="22">
        <v>32746620</v>
      </c>
      <c r="AO22" s="22">
        <v>1023331.875</v>
      </c>
      <c r="AP22" s="22">
        <v>34640.1875</v>
      </c>
      <c r="AQ22" s="23">
        <v>3263520</v>
      </c>
      <c r="AR22" s="23">
        <v>1012504</v>
      </c>
      <c r="AS22" s="23">
        <v>483736</v>
      </c>
      <c r="AT22" s="23">
        <v>1766664</v>
      </c>
      <c r="AU22" s="24">
        <v>70.003466000000003</v>
      </c>
      <c r="AV22" s="24">
        <v>72.449924999999993</v>
      </c>
      <c r="AW22" s="24">
        <v>33.569619000000003</v>
      </c>
      <c r="AX22" s="24">
        <v>41.681911999999997</v>
      </c>
      <c r="AY22" s="24">
        <v>40.571950000000001</v>
      </c>
      <c r="AZ22" s="25">
        <v>3196.61</v>
      </c>
      <c r="BA22" s="25">
        <v>2301.1799999999998</v>
      </c>
      <c r="BB22" s="25">
        <v>9.9209999999999994</v>
      </c>
      <c r="BC22" s="25">
        <v>12.510999999999999</v>
      </c>
      <c r="BE22" s="26">
        <f t="shared" si="12"/>
        <v>0</v>
      </c>
      <c r="BF22" s="26">
        <f t="shared" si="13"/>
        <v>0</v>
      </c>
      <c r="BG22" s="26"/>
      <c r="BI22" s="71"/>
      <c r="BJ22" s="71"/>
      <c r="BK22" s="71"/>
      <c r="BL22" s="71"/>
      <c r="BM22" s="71"/>
      <c r="BO22" s="71"/>
      <c r="BP22" s="71"/>
      <c r="BQ22" s="71"/>
      <c r="BR22" s="71"/>
      <c r="BS22" s="71"/>
    </row>
    <row r="23" spans="1:71" outlineLevel="1" x14ac:dyDescent="0.2">
      <c r="A23" s="77"/>
      <c r="B23" s="77" t="s">
        <v>72</v>
      </c>
      <c r="C23" s="11" t="s">
        <v>232</v>
      </c>
      <c r="D23" s="77">
        <v>250602891</v>
      </c>
      <c r="E23" s="11">
        <v>10</v>
      </c>
      <c r="F23" s="11">
        <v>32</v>
      </c>
      <c r="G23" s="11">
        <v>50</v>
      </c>
      <c r="I23" s="12">
        <f t="shared" si="0"/>
        <v>9.4670874999999999</v>
      </c>
      <c r="J23" s="13">
        <f t="shared" si="1"/>
        <v>2.4177438559557559E-2</v>
      </c>
      <c r="K23" s="13">
        <f t="shared" si="2"/>
        <v>8.4805406335076959E-3</v>
      </c>
      <c r="L23" s="13">
        <f t="shared" si="3"/>
        <v>6.5502516489324937E-3</v>
      </c>
      <c r="M23" s="13">
        <f t="shared" si="4"/>
        <v>1.5694439853848295E-2</v>
      </c>
      <c r="N23" s="77">
        <f t="shared" si="5"/>
        <v>2125248</v>
      </c>
      <c r="O23" s="13">
        <v>16</v>
      </c>
      <c r="P23" s="14">
        <v>33050216</v>
      </c>
      <c r="Q23" s="14">
        <v>1032819.25</v>
      </c>
      <c r="R23" s="14">
        <v>36820.71875</v>
      </c>
      <c r="S23" s="15">
        <v>6058936</v>
      </c>
      <c r="T23" s="15">
        <v>1641512</v>
      </c>
      <c r="U23" s="15">
        <v>483736</v>
      </c>
      <c r="V23" s="15">
        <v>3933072</v>
      </c>
      <c r="W23" s="16">
        <v>70.935637999999997</v>
      </c>
      <c r="X23" s="16">
        <v>73.669265999999993</v>
      </c>
      <c r="Y23" s="16">
        <v>35.486553000000001</v>
      </c>
      <c r="Z23" s="16">
        <v>42.753943999999997</v>
      </c>
      <c r="AA23" s="16">
        <v>41.608880999999997</v>
      </c>
      <c r="AB23" s="17">
        <v>3264.97</v>
      </c>
      <c r="AC23" s="17">
        <v>2606.2399999999998</v>
      </c>
      <c r="AD23" s="17">
        <v>10.135</v>
      </c>
      <c r="AE23" s="17">
        <v>13.073</v>
      </c>
      <c r="AG23" s="12">
        <f t="shared" si="6"/>
        <v>9.4670874999999999</v>
      </c>
      <c r="AH23" s="13">
        <f t="shared" si="7"/>
        <v>2.4177438559557559E-2</v>
      </c>
      <c r="AI23" s="13">
        <f t="shared" si="8"/>
        <v>8.4805406335076959E-3</v>
      </c>
      <c r="AJ23" s="13">
        <f t="shared" si="9"/>
        <v>6.5502516489324937E-3</v>
      </c>
      <c r="AK23" s="13">
        <f t="shared" si="10"/>
        <v>1.5694439853848295E-2</v>
      </c>
      <c r="AL23" s="77">
        <f t="shared" si="11"/>
        <v>2125248</v>
      </c>
      <c r="AM23" s="13">
        <v>16</v>
      </c>
      <c r="AN23" s="14">
        <v>33050216</v>
      </c>
      <c r="AO23" s="14">
        <v>1032819.25</v>
      </c>
      <c r="AP23" s="14">
        <v>36820.71875</v>
      </c>
      <c r="AQ23" s="15">
        <v>6058936</v>
      </c>
      <c r="AR23" s="15">
        <v>1641512</v>
      </c>
      <c r="AS23" s="15">
        <v>483736</v>
      </c>
      <c r="AT23" s="15">
        <v>3933072</v>
      </c>
      <c r="AU23" s="16">
        <v>70.935637999999997</v>
      </c>
      <c r="AV23" s="16">
        <v>73.669265999999993</v>
      </c>
      <c r="AW23" s="16">
        <v>35.486553000000001</v>
      </c>
      <c r="AX23" s="16">
        <v>42.753943999999997</v>
      </c>
      <c r="AY23" s="16">
        <v>41.608880999999997</v>
      </c>
      <c r="AZ23" s="17">
        <v>3325.89</v>
      </c>
      <c r="BA23" s="17">
        <v>2623.55</v>
      </c>
      <c r="BB23" s="17">
        <v>10.441000000000001</v>
      </c>
      <c r="BC23" s="17">
        <v>12.824999999999999</v>
      </c>
      <c r="BE23" s="18">
        <f t="shared" si="12"/>
        <v>0</v>
      </c>
      <c r="BF23" s="18">
        <f t="shared" si="13"/>
        <v>0</v>
      </c>
      <c r="BG23" s="18"/>
      <c r="BI23" s="79"/>
      <c r="BJ23" s="79"/>
      <c r="BK23" s="79"/>
      <c r="BL23" s="79"/>
      <c r="BM23" s="79"/>
      <c r="BO23" s="79"/>
      <c r="BP23" s="79"/>
      <c r="BQ23" s="79"/>
      <c r="BR23" s="79"/>
      <c r="BS23" s="79"/>
    </row>
    <row r="24" spans="1:71" outlineLevel="1" x14ac:dyDescent="0.2">
      <c r="A24" s="37"/>
      <c r="B24" s="37" t="s">
        <v>72</v>
      </c>
      <c r="C24" s="38" t="s">
        <v>233</v>
      </c>
      <c r="D24" s="37">
        <v>250602891</v>
      </c>
      <c r="E24" s="38">
        <v>10</v>
      </c>
      <c r="F24" s="38">
        <v>32</v>
      </c>
      <c r="G24" s="38">
        <v>50</v>
      </c>
      <c r="I24" s="39">
        <f t="shared" si="0"/>
        <v>18.399650000000001</v>
      </c>
      <c r="J24" s="40">
        <f t="shared" si="1"/>
        <v>4.6989785125822831E-2</v>
      </c>
      <c r="K24" s="40">
        <f t="shared" si="2"/>
        <v>1.4427958055759221E-2</v>
      </c>
      <c r="L24" s="40">
        <f t="shared" si="3"/>
        <v>1.0395889646779854E-2</v>
      </c>
      <c r="M24" s="40">
        <f t="shared" si="4"/>
        <v>3.2559368997862041E-2</v>
      </c>
      <c r="N24" s="37">
        <f t="shared" si="5"/>
        <v>3615688</v>
      </c>
      <c r="O24" s="40">
        <v>16</v>
      </c>
      <c r="P24" s="41">
        <v>31492561</v>
      </c>
      <c r="Q24" s="41">
        <v>984142.53125</v>
      </c>
      <c r="R24" s="41">
        <v>17732.5</v>
      </c>
      <c r="S24" s="42">
        <v>11775776</v>
      </c>
      <c r="T24" s="42">
        <v>2605240</v>
      </c>
      <c r="U24" s="42">
        <v>1010448</v>
      </c>
      <c r="V24" s="42">
        <v>8159472</v>
      </c>
      <c r="W24" s="43">
        <v>71.941288</v>
      </c>
      <c r="X24" s="43">
        <v>75.855563000000004</v>
      </c>
      <c r="Y24" s="43">
        <v>36.955393999999998</v>
      </c>
      <c r="Z24" s="43">
        <v>43.62135</v>
      </c>
      <c r="AA24" s="43">
        <v>42.239159000000001</v>
      </c>
      <c r="AB24" s="44">
        <v>3754.82</v>
      </c>
      <c r="AC24" s="44">
        <v>3225.47</v>
      </c>
      <c r="AD24" s="44">
        <v>10.439</v>
      </c>
      <c r="AE24" s="44">
        <v>15.114000000000001</v>
      </c>
      <c r="AG24" s="39">
        <f t="shared" si="6"/>
        <v>18.399650000000001</v>
      </c>
      <c r="AH24" s="40">
        <f t="shared" si="7"/>
        <v>4.6989785125822831E-2</v>
      </c>
      <c r="AI24" s="40">
        <f t="shared" si="8"/>
        <v>1.4427958055759221E-2</v>
      </c>
      <c r="AJ24" s="40">
        <f t="shared" si="9"/>
        <v>1.0395889646779854E-2</v>
      </c>
      <c r="AK24" s="40">
        <f t="shared" si="10"/>
        <v>3.2559368997862041E-2</v>
      </c>
      <c r="AL24" s="37">
        <f t="shared" si="11"/>
        <v>3615688</v>
      </c>
      <c r="AM24" s="40">
        <v>16</v>
      </c>
      <c r="AN24" s="41">
        <v>31492561</v>
      </c>
      <c r="AO24" s="41">
        <v>984142.53125</v>
      </c>
      <c r="AP24" s="41">
        <v>17732.5</v>
      </c>
      <c r="AQ24" s="42">
        <v>11775776</v>
      </c>
      <c r="AR24" s="42">
        <v>2605240</v>
      </c>
      <c r="AS24" s="42">
        <v>1010448</v>
      </c>
      <c r="AT24" s="42">
        <v>8159472</v>
      </c>
      <c r="AU24" s="43">
        <v>71.941288</v>
      </c>
      <c r="AV24" s="43">
        <v>75.855563000000004</v>
      </c>
      <c r="AW24" s="43">
        <v>36.955393999999998</v>
      </c>
      <c r="AX24" s="43">
        <v>43.62135</v>
      </c>
      <c r="AY24" s="43">
        <v>42.239159000000001</v>
      </c>
      <c r="AZ24" s="44">
        <v>3020.02</v>
      </c>
      <c r="BA24" s="44">
        <v>2830.8</v>
      </c>
      <c r="BB24" s="44">
        <v>10.178000000000001</v>
      </c>
      <c r="BC24" s="44">
        <v>14.670999999999999</v>
      </c>
      <c r="BE24" s="45">
        <f t="shared" si="12"/>
        <v>0</v>
      </c>
      <c r="BF24" s="45">
        <f t="shared" si="13"/>
        <v>0</v>
      </c>
      <c r="BG24" s="45"/>
      <c r="BI24" s="46"/>
      <c r="BJ24" s="46"/>
      <c r="BK24" s="46"/>
      <c r="BL24" s="46"/>
      <c r="BM24" s="46"/>
      <c r="BO24" s="46"/>
      <c r="BP24" s="46"/>
      <c r="BQ24" s="46"/>
      <c r="BR24" s="46"/>
      <c r="BS24" s="46"/>
    </row>
    <row r="25" spans="1:71" x14ac:dyDescent="0.2">
      <c r="A25" s="77" t="s">
        <v>234</v>
      </c>
      <c r="B25" s="77" t="s">
        <v>75</v>
      </c>
      <c r="C25" s="11" t="s">
        <v>229</v>
      </c>
      <c r="D25" s="77">
        <v>250294582</v>
      </c>
      <c r="E25" s="11">
        <v>10</v>
      </c>
      <c r="F25" s="11">
        <v>32</v>
      </c>
      <c r="G25" s="11">
        <v>30</v>
      </c>
      <c r="I25" s="12">
        <f t="shared" si="0"/>
        <v>2.2611750000000002</v>
      </c>
      <c r="J25" s="13">
        <f t="shared" si="1"/>
        <v>9.6363252481430055E-3</v>
      </c>
      <c r="K25" s="13">
        <f t="shared" si="2"/>
        <v>6.1818996944967832E-3</v>
      </c>
      <c r="L25" s="13">
        <f t="shared" si="3"/>
        <v>3.6402226237561945E-3</v>
      </c>
      <c r="M25" s="13">
        <f t="shared" si="4"/>
        <v>3.4519644536292839E-3</v>
      </c>
      <c r="N25" s="77">
        <f t="shared" si="5"/>
        <v>1547296</v>
      </c>
      <c r="O25" s="13">
        <v>16</v>
      </c>
      <c r="P25" s="14">
        <v>23293217</v>
      </c>
      <c r="Q25" s="14">
        <v>727913.03125</v>
      </c>
      <c r="R25" s="14">
        <v>18037.96875</v>
      </c>
      <c r="S25" s="15">
        <v>2411920</v>
      </c>
      <c r="T25" s="15">
        <v>911128</v>
      </c>
      <c r="U25" s="15">
        <v>636168</v>
      </c>
      <c r="V25" s="15">
        <v>864008</v>
      </c>
      <c r="W25" s="16">
        <v>66.258609000000007</v>
      </c>
      <c r="X25" s="16">
        <v>68.024615999999995</v>
      </c>
      <c r="Y25" s="16">
        <v>26.005562000000001</v>
      </c>
      <c r="Z25" s="16">
        <v>32.538881000000003</v>
      </c>
      <c r="AA25" s="16">
        <v>31.726472000000001</v>
      </c>
      <c r="AB25" s="17">
        <v>2695.25</v>
      </c>
      <c r="AC25" s="17">
        <v>3540.05</v>
      </c>
      <c r="AD25" s="17">
        <v>9.8010000000000002</v>
      </c>
      <c r="AE25" s="17">
        <v>17.488</v>
      </c>
      <c r="AG25" s="12">
        <f t="shared" si="6"/>
        <v>2.2611750000000002</v>
      </c>
      <c r="AH25" s="13">
        <f t="shared" si="7"/>
        <v>9.6363252481430055E-3</v>
      </c>
      <c r="AI25" s="13">
        <f t="shared" si="8"/>
        <v>6.1818996944967832E-3</v>
      </c>
      <c r="AJ25" s="13">
        <f t="shared" si="9"/>
        <v>3.6402226237561945E-3</v>
      </c>
      <c r="AK25" s="13">
        <f t="shared" si="10"/>
        <v>3.4519644536292839E-3</v>
      </c>
      <c r="AL25" s="77">
        <f t="shared" si="11"/>
        <v>1547296</v>
      </c>
      <c r="AM25" s="13">
        <v>16</v>
      </c>
      <c r="AN25" s="14">
        <v>23293217</v>
      </c>
      <c r="AO25" s="14">
        <v>727913.03125</v>
      </c>
      <c r="AP25" s="14">
        <v>18037.96875</v>
      </c>
      <c r="AQ25" s="15">
        <v>2411920</v>
      </c>
      <c r="AR25" s="15">
        <v>911128</v>
      </c>
      <c r="AS25" s="15">
        <v>636168</v>
      </c>
      <c r="AT25" s="15">
        <v>864008</v>
      </c>
      <c r="AU25" s="16">
        <v>66.258609000000007</v>
      </c>
      <c r="AV25" s="16">
        <v>68.024615999999995</v>
      </c>
      <c r="AW25" s="16">
        <v>26.005562000000001</v>
      </c>
      <c r="AX25" s="16">
        <v>32.538881000000003</v>
      </c>
      <c r="AY25" s="16">
        <v>31.726472000000001</v>
      </c>
      <c r="AZ25" s="17">
        <v>2526.06</v>
      </c>
      <c r="BA25" s="17">
        <v>3538.41</v>
      </c>
      <c r="BB25" s="17">
        <v>10.223000000000001</v>
      </c>
      <c r="BC25" s="17">
        <v>18.393999999999998</v>
      </c>
      <c r="BE25" s="18">
        <f t="shared" si="12"/>
        <v>0</v>
      </c>
      <c r="BF25" s="18">
        <f t="shared" si="13"/>
        <v>0</v>
      </c>
      <c r="BG25" s="18">
        <f t="array" ref="BG25">AVERAGE(AL25:AL29/AQ25:AQ29) - AVERAGE(N25:N29/S25:S29)</f>
        <v>-5.0323063932045109E-6</v>
      </c>
      <c r="BI25" s="79">
        <f>IF( OR(ISBLANK(N25:N29),ISBLANK(AL25:AL29), ISBLANK(W25:W29),ISBLANK(AU25:AU29)), "·", bdRateExtend( N25:N29,W25:W29, AL25:AL29,AU25:AU29))</f>
        <v>-1.2574825574596105E-5</v>
      </c>
      <c r="BJ25" s="79">
        <f>IF( OR(ISBLANK(N25:N29),ISBLANK(AL25:AL29), ISBLANK(X25:X29),ISBLANK(AV25:AV29)), "·", bdRateExtend( N25:N29,X25:X29, AL25:AL29,AV25:AV29))</f>
        <v>-1.8194097860524394E-5</v>
      </c>
      <c r="BK25" s="79">
        <f>IF( OR(ISBLANK(V25:V29),ISBLANK(AT25:AT29), ISBLANK(Y25:Y29),ISBLANK(AW25:AW29)), "·", bdRateExtend( V25:V29,Y25:Y29, AT25:AT29,AW25:AW29))</f>
        <v>0</v>
      </c>
      <c r="BL25" s="79">
        <f>IF( OR(ISBLANK(V25:V29),ISBLANK(AT25:AT29), ISBLANK(Z25:Z29),ISBLANK(AX25:AX29)), "·", bdRateExtend( V25:V29,Z25:Z29, AT25:AT29,AX25:AX29))</f>
        <v>0</v>
      </c>
      <c r="BM25" s="79">
        <f>IF( OR(ISBLANK(V25:V29),ISBLANK(AT25:AT29), ISBLANK(AA25:AA29),ISBLANK(AY25:AY29)), "·", bdRateExtend( V25:V29,AA25:AA29, AT25:AT29,AY25:AY29))</f>
        <v>0</v>
      </c>
      <c r="BO25" s="79">
        <f>IF( OR(ISBLANK(S25:S29),ISBLANK(AQ25:AQ29), ISBLANK(W25:W29),ISBLANK(AU25:AU29)), "·", bdRateExtend( S25:S29,W25:W29, AQ25:AQ29,AU25:AU29))</f>
        <v>-2.2890735148495267E-6</v>
      </c>
      <c r="BP25" s="79">
        <f>IF( OR(ISBLANK(S25:S29),ISBLANK(AQ25:AQ29), ISBLANK(X25:X29),ISBLANK(AV25:AV29)), "·", bdRateExtend( S25:S29,X25:X29, AQ25:AQ29,AV25:AV29))</f>
        <v>-3.3734565092480295E-6</v>
      </c>
      <c r="BQ25" s="79">
        <f>IF( OR(ISBLANK(S25:S29),ISBLANK(AQ25:AQ29), ISBLANK(Y25:Y29),ISBLANK(AW25:AW29)), "·", bdRateExtend( S25:S29,Y25:Y29, AQ25:AQ29,AW25:AW29))</f>
        <v>-3.2957210988060481E-6</v>
      </c>
      <c r="BR25" s="79">
        <f>IF( OR(ISBLANK(S25:S29),ISBLANK(AQ25:AQ29), ISBLANK(Z25:Z29),ISBLANK(AX25:AX29)), "·", bdRateExtend( S25:S29,Z25:Z29, AQ25:AQ29,AX25:AX29))</f>
        <v>-3.9295612243028799E-6</v>
      </c>
      <c r="BS25" s="79">
        <f>IF( OR(ISBLANK(S25:S29),ISBLANK(AQ25:AQ29), ISBLANK(AA25:AA29),ISBLANK(AY25:AY29)), "·", bdRateExtend( S25:S29,AA25:AA29, AQ25:AQ29,AY25:AY29))</f>
        <v>-3.6955593213372495E-6</v>
      </c>
    </row>
    <row r="26" spans="1:71" outlineLevel="1" x14ac:dyDescent="0.2">
      <c r="A26" s="69"/>
      <c r="B26" s="69" t="s">
        <v>75</v>
      </c>
      <c r="C26" s="19" t="s">
        <v>230</v>
      </c>
      <c r="D26" s="69">
        <v>250294582</v>
      </c>
      <c r="E26" s="19">
        <v>10</v>
      </c>
      <c r="F26" s="19">
        <v>32</v>
      </c>
      <c r="G26" s="19">
        <v>30</v>
      </c>
      <c r="I26" s="20">
        <f t="shared" si="0"/>
        <v>3.4625849999999998</v>
      </c>
      <c r="J26" s="21">
        <f t="shared" si="1"/>
        <v>1.475630822883733E-2</v>
      </c>
      <c r="K26" s="21">
        <f t="shared" si="2"/>
        <v>7.5744028690161577E-3</v>
      </c>
      <c r="L26" s="21">
        <f t="shared" si="3"/>
        <v>5.0327257982755698E-3</v>
      </c>
      <c r="M26" s="21">
        <f t="shared" si="4"/>
        <v>7.1794442598042338E-3</v>
      </c>
      <c r="N26" s="69">
        <f t="shared" si="5"/>
        <v>1895832</v>
      </c>
      <c r="O26" s="21">
        <v>16</v>
      </c>
      <c r="P26" s="22">
        <v>24957397</v>
      </c>
      <c r="Q26" s="22">
        <v>779918.65625</v>
      </c>
      <c r="R26" s="22">
        <v>22437.59375</v>
      </c>
      <c r="S26" s="23">
        <v>3693424</v>
      </c>
      <c r="T26" s="23">
        <v>1259664</v>
      </c>
      <c r="U26" s="23">
        <v>636168</v>
      </c>
      <c r="V26" s="23">
        <v>1796976</v>
      </c>
      <c r="W26" s="24">
        <v>68.062038000000001</v>
      </c>
      <c r="X26" s="24">
        <v>70.048766000000001</v>
      </c>
      <c r="Y26" s="24">
        <v>28.064584</v>
      </c>
      <c r="Z26" s="24">
        <v>33.763143999999997</v>
      </c>
      <c r="AA26" s="24">
        <v>33.161641000000003</v>
      </c>
      <c r="AB26" s="25">
        <v>3227.88</v>
      </c>
      <c r="AC26" s="25">
        <v>4191.43</v>
      </c>
      <c r="AD26" s="25">
        <v>10.282</v>
      </c>
      <c r="AE26" s="25">
        <v>19.423999999999999</v>
      </c>
      <c r="AG26" s="20">
        <f t="shared" si="6"/>
        <v>3.4625849999999998</v>
      </c>
      <c r="AH26" s="21">
        <f t="shared" si="7"/>
        <v>1.475630822883733E-2</v>
      </c>
      <c r="AI26" s="21">
        <f t="shared" si="8"/>
        <v>7.5744028690161577E-3</v>
      </c>
      <c r="AJ26" s="21">
        <f t="shared" si="9"/>
        <v>5.0327257982755698E-3</v>
      </c>
      <c r="AK26" s="21">
        <f t="shared" si="10"/>
        <v>7.1794442598042338E-3</v>
      </c>
      <c r="AL26" s="69">
        <f t="shared" si="11"/>
        <v>1895832</v>
      </c>
      <c r="AM26" s="21">
        <v>16</v>
      </c>
      <c r="AN26" s="22">
        <v>24957397</v>
      </c>
      <c r="AO26" s="22">
        <v>779918.65625</v>
      </c>
      <c r="AP26" s="22">
        <v>22437.59375</v>
      </c>
      <c r="AQ26" s="23">
        <v>3693424</v>
      </c>
      <c r="AR26" s="23">
        <v>1259664</v>
      </c>
      <c r="AS26" s="23">
        <v>636168</v>
      </c>
      <c r="AT26" s="23">
        <v>1796976</v>
      </c>
      <c r="AU26" s="24">
        <v>68.062038000000001</v>
      </c>
      <c r="AV26" s="24">
        <v>70.048766000000001</v>
      </c>
      <c r="AW26" s="24">
        <v>28.064584</v>
      </c>
      <c r="AX26" s="24">
        <v>33.763143999999997</v>
      </c>
      <c r="AY26" s="24">
        <v>33.161641000000003</v>
      </c>
      <c r="AZ26" s="25">
        <v>2684.79</v>
      </c>
      <c r="BA26" s="25">
        <v>3973.88</v>
      </c>
      <c r="BB26" s="25">
        <v>10.363</v>
      </c>
      <c r="BC26" s="25">
        <v>20.172999999999998</v>
      </c>
      <c r="BE26" s="26">
        <f t="shared" si="12"/>
        <v>0</v>
      </c>
      <c r="BF26" s="26">
        <f t="shared" si="13"/>
        <v>0</v>
      </c>
      <c r="BG26" s="26"/>
      <c r="BI26" s="71"/>
      <c r="BJ26" s="71"/>
      <c r="BK26" s="71"/>
      <c r="BL26" s="71"/>
      <c r="BM26" s="71"/>
      <c r="BO26" s="71"/>
      <c r="BP26" s="71"/>
      <c r="BQ26" s="71"/>
      <c r="BR26" s="71"/>
      <c r="BS26" s="71"/>
    </row>
    <row r="27" spans="1:71" outlineLevel="1" x14ac:dyDescent="0.2">
      <c r="A27" s="77"/>
      <c r="B27" s="77" t="s">
        <v>75</v>
      </c>
      <c r="C27" s="11" t="s">
        <v>231</v>
      </c>
      <c r="D27" s="77">
        <v>250294582</v>
      </c>
      <c r="E27" s="11">
        <v>10</v>
      </c>
      <c r="F27" s="11">
        <v>32</v>
      </c>
      <c r="G27" s="11">
        <v>30</v>
      </c>
      <c r="I27" s="12">
        <f t="shared" si="0"/>
        <v>5.8887225000000001</v>
      </c>
      <c r="J27" s="13">
        <f t="shared" si="1"/>
        <v>2.5095645098702136E-2</v>
      </c>
      <c r="K27" s="13">
        <f t="shared" si="2"/>
        <v>9.5744781243407018E-3</v>
      </c>
      <c r="L27" s="13">
        <f t="shared" si="3"/>
        <v>7.0328010536001139E-3</v>
      </c>
      <c r="M27" s="13">
        <f t="shared" si="4"/>
        <v>1.5518705874344495E-2</v>
      </c>
      <c r="N27" s="77">
        <f t="shared" si="5"/>
        <v>2396440</v>
      </c>
      <c r="O27" s="13">
        <v>16</v>
      </c>
      <c r="P27" s="14">
        <v>25264011</v>
      </c>
      <c r="Q27" s="14">
        <v>789500.34375</v>
      </c>
      <c r="R27" s="14">
        <v>23649.9375</v>
      </c>
      <c r="S27" s="15">
        <v>6281304</v>
      </c>
      <c r="T27" s="15">
        <v>1760272</v>
      </c>
      <c r="U27" s="15">
        <v>636168</v>
      </c>
      <c r="V27" s="15">
        <v>3884248</v>
      </c>
      <c r="W27" s="16">
        <v>69.418368999999998</v>
      </c>
      <c r="X27" s="16">
        <v>71.767525000000006</v>
      </c>
      <c r="Y27" s="16">
        <v>30.349297</v>
      </c>
      <c r="Z27" s="16">
        <v>35.025328000000002</v>
      </c>
      <c r="AA27" s="16">
        <v>34.500487</v>
      </c>
      <c r="AB27" s="17">
        <v>3007.43</v>
      </c>
      <c r="AC27" s="17">
        <v>4593.8599999999997</v>
      </c>
      <c r="AD27" s="17">
        <v>10.673999999999999</v>
      </c>
      <c r="AE27" s="17">
        <v>21.388000000000002</v>
      </c>
      <c r="AG27" s="12">
        <f t="shared" si="6"/>
        <v>5.8887225000000001</v>
      </c>
      <c r="AH27" s="13">
        <f t="shared" si="7"/>
        <v>2.5095645098702136E-2</v>
      </c>
      <c r="AI27" s="13">
        <f t="shared" si="8"/>
        <v>9.5744781243407018E-3</v>
      </c>
      <c r="AJ27" s="13">
        <f t="shared" si="9"/>
        <v>7.0328010536001139E-3</v>
      </c>
      <c r="AK27" s="13">
        <f t="shared" si="10"/>
        <v>1.5518705874344495E-2</v>
      </c>
      <c r="AL27" s="77">
        <f t="shared" si="11"/>
        <v>2396440</v>
      </c>
      <c r="AM27" s="13">
        <v>16</v>
      </c>
      <c r="AN27" s="14">
        <v>25264011</v>
      </c>
      <c r="AO27" s="14">
        <v>789500.34375</v>
      </c>
      <c r="AP27" s="14">
        <v>23649.9375</v>
      </c>
      <c r="AQ27" s="15">
        <v>6281304</v>
      </c>
      <c r="AR27" s="15">
        <v>1760272</v>
      </c>
      <c r="AS27" s="15">
        <v>636168</v>
      </c>
      <c r="AT27" s="15">
        <v>3884248</v>
      </c>
      <c r="AU27" s="16">
        <v>69.418368999999998</v>
      </c>
      <c r="AV27" s="16">
        <v>71.767525000000006</v>
      </c>
      <c r="AW27" s="16">
        <v>30.349297</v>
      </c>
      <c r="AX27" s="16">
        <v>35.025328000000002</v>
      </c>
      <c r="AY27" s="16">
        <v>34.500487</v>
      </c>
      <c r="AZ27" s="17">
        <v>2953.02</v>
      </c>
      <c r="BA27" s="17">
        <v>5731.63</v>
      </c>
      <c r="BB27" s="17">
        <v>10.451000000000001</v>
      </c>
      <c r="BC27" s="17">
        <v>24.861000000000001</v>
      </c>
      <c r="BE27" s="18">
        <f t="shared" si="12"/>
        <v>0</v>
      </c>
      <c r="BF27" s="18">
        <f t="shared" si="13"/>
        <v>0</v>
      </c>
      <c r="BG27" s="18"/>
      <c r="BI27" s="79"/>
      <c r="BJ27" s="79"/>
      <c r="BK27" s="79"/>
      <c r="BL27" s="79"/>
      <c r="BM27" s="79"/>
      <c r="BO27" s="79"/>
      <c r="BP27" s="79"/>
      <c r="BQ27" s="79"/>
      <c r="BR27" s="79"/>
      <c r="BS27" s="79"/>
    </row>
    <row r="28" spans="1:71" outlineLevel="1" x14ac:dyDescent="0.2">
      <c r="A28" s="69"/>
      <c r="B28" s="69" t="s">
        <v>75</v>
      </c>
      <c r="C28" s="19" t="s">
        <v>232</v>
      </c>
      <c r="D28" s="69">
        <v>250294582</v>
      </c>
      <c r="E28" s="19">
        <v>10</v>
      </c>
      <c r="F28" s="19">
        <v>32</v>
      </c>
      <c r="G28" s="19">
        <v>30</v>
      </c>
      <c r="I28" s="20">
        <f t="shared" si="0"/>
        <v>11.873279999999999</v>
      </c>
      <c r="J28" s="21">
        <f t="shared" si="1"/>
        <v>5.059970495086466E-2</v>
      </c>
      <c r="K28" s="21">
        <f t="shared" si="2"/>
        <v>1.3045556056023618E-2</v>
      </c>
      <c r="L28" s="21">
        <f t="shared" si="3"/>
        <v>1.050387898528303E-2</v>
      </c>
      <c r="M28" s="21">
        <f t="shared" si="4"/>
        <v>3.7551687794824103E-2</v>
      </c>
      <c r="N28" s="69">
        <f t="shared" si="5"/>
        <v>3265232</v>
      </c>
      <c r="O28" s="21">
        <v>16</v>
      </c>
      <c r="P28" s="22">
        <v>26231181</v>
      </c>
      <c r="Q28" s="22">
        <v>819724.40625</v>
      </c>
      <c r="R28" s="22">
        <v>27138.5625</v>
      </c>
      <c r="S28" s="23">
        <v>12664832</v>
      </c>
      <c r="T28" s="23">
        <v>2629064</v>
      </c>
      <c r="U28" s="23">
        <v>636168</v>
      </c>
      <c r="V28" s="23">
        <v>9398984</v>
      </c>
      <c r="W28" s="24">
        <v>70.446950000000001</v>
      </c>
      <c r="X28" s="24">
        <v>72.997608999999997</v>
      </c>
      <c r="Y28" s="24">
        <v>32.832219000000002</v>
      </c>
      <c r="Z28" s="24">
        <v>36.566724999999998</v>
      </c>
      <c r="AA28" s="24">
        <v>36.046300000000002</v>
      </c>
      <c r="AB28" s="25">
        <v>2982.19</v>
      </c>
      <c r="AC28" s="25">
        <v>4718.68</v>
      </c>
      <c r="AD28" s="25">
        <v>9.9450000000000003</v>
      </c>
      <c r="AE28" s="25">
        <v>20.641999999999999</v>
      </c>
      <c r="AG28" s="20">
        <f t="shared" si="6"/>
        <v>11.873279999999999</v>
      </c>
      <c r="AH28" s="21">
        <f t="shared" si="7"/>
        <v>5.059970495086466E-2</v>
      </c>
      <c r="AI28" s="21">
        <f t="shared" si="8"/>
        <v>1.3045556056023618E-2</v>
      </c>
      <c r="AJ28" s="21">
        <f t="shared" si="9"/>
        <v>1.050387898528303E-2</v>
      </c>
      <c r="AK28" s="21">
        <f t="shared" si="10"/>
        <v>3.7551687794824103E-2</v>
      </c>
      <c r="AL28" s="69">
        <f t="shared" si="11"/>
        <v>3265232</v>
      </c>
      <c r="AM28" s="21">
        <v>16</v>
      </c>
      <c r="AN28" s="22">
        <v>26231181</v>
      </c>
      <c r="AO28" s="22">
        <v>819724.40625</v>
      </c>
      <c r="AP28" s="22">
        <v>27138.5625</v>
      </c>
      <c r="AQ28" s="23">
        <v>12664832</v>
      </c>
      <c r="AR28" s="23">
        <v>2629064</v>
      </c>
      <c r="AS28" s="23">
        <v>636168</v>
      </c>
      <c r="AT28" s="23">
        <v>9398984</v>
      </c>
      <c r="AU28" s="24">
        <v>70.446950000000001</v>
      </c>
      <c r="AV28" s="24">
        <v>72.997608999999997</v>
      </c>
      <c r="AW28" s="24">
        <v>32.832219000000002</v>
      </c>
      <c r="AX28" s="24">
        <v>36.566724999999998</v>
      </c>
      <c r="AY28" s="24">
        <v>36.046300000000002</v>
      </c>
      <c r="AZ28" s="25">
        <v>2431.25</v>
      </c>
      <c r="BA28" s="25">
        <v>4406.32</v>
      </c>
      <c r="BB28" s="25">
        <v>10.098000000000001</v>
      </c>
      <c r="BC28" s="25">
        <v>19.952999999999999</v>
      </c>
      <c r="BE28" s="26">
        <f t="shared" si="12"/>
        <v>0</v>
      </c>
      <c r="BF28" s="26">
        <f t="shared" si="13"/>
        <v>0</v>
      </c>
      <c r="BG28" s="26"/>
      <c r="BI28" s="71"/>
      <c r="BJ28" s="71"/>
      <c r="BK28" s="71"/>
      <c r="BL28" s="71"/>
      <c r="BM28" s="71"/>
      <c r="BO28" s="71"/>
      <c r="BP28" s="71"/>
      <c r="BQ28" s="71"/>
      <c r="BR28" s="71"/>
      <c r="BS28" s="71"/>
    </row>
    <row r="29" spans="1:71" ht="16" outlineLevel="1" thickBot="1" x14ac:dyDescent="0.25">
      <c r="A29" s="27"/>
      <c r="B29" s="27" t="s">
        <v>75</v>
      </c>
      <c r="C29" s="28" t="s">
        <v>233</v>
      </c>
      <c r="D29" s="27">
        <v>250294582</v>
      </c>
      <c r="E29" s="28">
        <v>10</v>
      </c>
      <c r="F29" s="28">
        <v>32</v>
      </c>
      <c r="G29" s="28">
        <v>30</v>
      </c>
      <c r="I29" s="29">
        <f t="shared" si="0"/>
        <v>27.553627500000001</v>
      </c>
      <c r="J29" s="30">
        <f t="shared" si="1"/>
        <v>0.11742378027183985</v>
      </c>
      <c r="K29" s="30">
        <f t="shared" si="2"/>
        <v>2.1369028275650011E-2</v>
      </c>
      <c r="L29" s="30">
        <f t="shared" si="3"/>
        <v>1.6373378789317942E-2</v>
      </c>
      <c r="M29" s="30">
        <f t="shared" si="4"/>
        <v>9.6052290896172898E-2</v>
      </c>
      <c r="N29" s="27">
        <f t="shared" si="5"/>
        <v>5348552</v>
      </c>
      <c r="O29" s="30">
        <v>16</v>
      </c>
      <c r="P29" s="31">
        <v>25071135</v>
      </c>
      <c r="Q29" s="31">
        <v>783472.96875</v>
      </c>
      <c r="R29" s="31">
        <v>12108.53125</v>
      </c>
      <c r="S29" s="32">
        <v>29390536</v>
      </c>
      <c r="T29" s="32">
        <v>4098168</v>
      </c>
      <c r="U29" s="32">
        <v>1250384</v>
      </c>
      <c r="V29" s="32">
        <v>24041368</v>
      </c>
      <c r="W29" s="33">
        <v>71.482781000000003</v>
      </c>
      <c r="X29" s="33">
        <v>74.907206000000002</v>
      </c>
      <c r="Y29" s="33">
        <v>35.524450000000002</v>
      </c>
      <c r="Z29" s="33">
        <v>38.553016</v>
      </c>
      <c r="AA29" s="33">
        <v>37.999200000000002</v>
      </c>
      <c r="AB29" s="34">
        <v>3194.4</v>
      </c>
      <c r="AC29" s="34">
        <v>7717</v>
      </c>
      <c r="AD29" s="34">
        <v>13.167999999999999</v>
      </c>
      <c r="AE29" s="34">
        <v>35.56</v>
      </c>
      <c r="AG29" s="29">
        <f t="shared" si="6"/>
        <v>27.552779999999998</v>
      </c>
      <c r="AH29" s="30">
        <f t="shared" si="7"/>
        <v>0.11742016852765914</v>
      </c>
      <c r="AI29" s="30">
        <f t="shared" si="8"/>
        <v>2.1365416531469308E-2</v>
      </c>
      <c r="AJ29" s="30">
        <f t="shared" si="9"/>
        <v>1.6373378789317942E-2</v>
      </c>
      <c r="AK29" s="30">
        <f t="shared" si="10"/>
        <v>9.6052290896172898E-2</v>
      </c>
      <c r="AL29" s="27">
        <f t="shared" si="11"/>
        <v>5347648</v>
      </c>
      <c r="AM29" s="30">
        <v>16</v>
      </c>
      <c r="AN29" s="31">
        <v>25071135</v>
      </c>
      <c r="AO29" s="31">
        <v>783472.96875</v>
      </c>
      <c r="AP29" s="31">
        <v>12108.53125</v>
      </c>
      <c r="AQ29" s="32">
        <v>29389632</v>
      </c>
      <c r="AR29" s="32">
        <v>4098168</v>
      </c>
      <c r="AS29" s="32">
        <v>1249480</v>
      </c>
      <c r="AT29" s="32">
        <v>24041368</v>
      </c>
      <c r="AU29" s="33">
        <v>71.482781000000003</v>
      </c>
      <c r="AV29" s="33">
        <v>74.907206000000002</v>
      </c>
      <c r="AW29" s="33">
        <v>35.524450000000002</v>
      </c>
      <c r="AX29" s="33">
        <v>38.553016</v>
      </c>
      <c r="AY29" s="33">
        <v>37.999200000000002</v>
      </c>
      <c r="AZ29" s="34">
        <v>2519.23</v>
      </c>
      <c r="BA29" s="34">
        <v>5132.32</v>
      </c>
      <c r="BB29" s="34">
        <v>9.5589999999999993</v>
      </c>
      <c r="BC29" s="34">
        <v>22.585999999999999</v>
      </c>
      <c r="BE29" s="35">
        <f t="shared" si="12"/>
        <v>0</v>
      </c>
      <c r="BF29" s="35">
        <f t="shared" si="13"/>
        <v>-2.5161531965883777E-5</v>
      </c>
      <c r="BG29" s="35"/>
      <c r="BI29" s="36"/>
      <c r="BJ29" s="36"/>
      <c r="BK29" s="36"/>
      <c r="BL29" s="36"/>
      <c r="BM29" s="36"/>
      <c r="BO29" s="36"/>
      <c r="BP29" s="36"/>
      <c r="BQ29" s="36"/>
      <c r="BR29" s="36"/>
      <c r="BS29" s="36"/>
    </row>
    <row r="30" spans="1:71" s="125" customFormat="1" x14ac:dyDescent="0.2">
      <c r="A30" s="77" t="s">
        <v>575</v>
      </c>
      <c r="B30" s="77" t="s">
        <v>572</v>
      </c>
      <c r="C30" s="11" t="s">
        <v>229</v>
      </c>
      <c r="D30" s="77"/>
      <c r="E30" s="11">
        <v>11</v>
      </c>
      <c r="F30" s="11">
        <v>32</v>
      </c>
      <c r="G30" s="11">
        <v>30</v>
      </c>
      <c r="I30" s="12" t="str">
        <f>IF(OR(ISBLANK(S30),ISBLANK(G30)),"·",S30*G30/F30/1000000)</f>
        <v>·</v>
      </c>
      <c r="J30" s="13" t="str">
        <f t="shared" si="1"/>
        <v>·</v>
      </c>
      <c r="K30" s="13" t="str">
        <f t="shared" si="2"/>
        <v>·</v>
      </c>
      <c r="L30" s="13" t="str">
        <f t="shared" si="3"/>
        <v>·</v>
      </c>
      <c r="M30" s="13" t="str">
        <f t="shared" si="4"/>
        <v>·</v>
      </c>
      <c r="N30" s="77" t="str">
        <f t="shared" si="5"/>
        <v/>
      </c>
      <c r="O30" s="13">
        <v>16</v>
      </c>
      <c r="P30" s="14"/>
      <c r="Q30" s="14"/>
      <c r="R30" s="14"/>
      <c r="S30" s="15"/>
      <c r="T30" s="15"/>
      <c r="U30" s="15"/>
      <c r="V30" s="15"/>
      <c r="W30" s="16"/>
      <c r="X30" s="16"/>
      <c r="Y30" s="16"/>
      <c r="Z30" s="16"/>
      <c r="AA30" s="16"/>
      <c r="AB30" s="17"/>
      <c r="AC30" s="17"/>
      <c r="AD30" s="17"/>
      <c r="AE30" s="17"/>
      <c r="AG30" s="12" t="str">
        <f t="shared" ref="AG30:AG39" si="14">IF(OR(ISBLANK(AQ30),ISBLANK(G30)),"·",AQ30*G30/F30/1000000)</f>
        <v>·</v>
      </c>
      <c r="AH30" s="13" t="str">
        <f t="shared" ref="AH30:AH39" si="15">IF(ISBLANK(AQ30),"·",AQ30/D30)</f>
        <v>·</v>
      </c>
      <c r="AI30" s="13" t="str">
        <f t="shared" ref="AI30:AI39" si="16">IF(AL30="","·",AL30/D30)</f>
        <v>·</v>
      </c>
      <c r="AJ30" s="13" t="str">
        <f t="shared" ref="AJ30:AJ39" si="17">IF(AR30="","·",AR30/D30)</f>
        <v>·</v>
      </c>
      <c r="AK30" s="13" t="str">
        <f t="shared" ref="AK30:AK39" si="18">IF(ISBLANK(AT30),"·",AT30/D30)</f>
        <v>·</v>
      </c>
      <c r="AL30" s="77" t="str">
        <f t="shared" ref="AL30:AL39" si="19">IF(OR(ISBLANK(AR30),ISBLANK(AS30)),"",AR30+AS30)</f>
        <v/>
      </c>
      <c r="AM30" s="13">
        <v>16</v>
      </c>
      <c r="AN30" s="14"/>
      <c r="AO30" s="14"/>
      <c r="AP30" s="14"/>
      <c r="AQ30" s="15"/>
      <c r="AR30" s="15"/>
      <c r="AS30" s="15"/>
      <c r="AT30" s="15"/>
      <c r="AU30" s="16"/>
      <c r="AV30" s="16"/>
      <c r="AW30" s="16"/>
      <c r="AX30" s="16"/>
      <c r="AY30" s="16"/>
      <c r="AZ30" s="17"/>
      <c r="BA30" s="17"/>
      <c r="BB30" s="17"/>
      <c r="BC30" s="17"/>
      <c r="BE30" s="18" t="e">
        <f>(AP30/AO30) - (R30/Q30)</f>
        <v>#DIV/0!</v>
      </c>
      <c r="BF30" s="18" t="e">
        <f t="shared" si="13"/>
        <v>#VALUE!</v>
      </c>
      <c r="BG30" s="18" t="e">
        <f t="array" ref="BG30">AVERAGE(AL30:AL34/AQ30:AQ34) - AVERAGE(N30:N34/S30:S34)</f>
        <v>#VALUE!</v>
      </c>
      <c r="BI30" s="120" t="str">
        <f>IF( OR(ISBLANK(N30:N34),ISBLANK(AL30:AL34), ISBLANK(W30:W34),ISBLANK(AU30:AU34)), "·", bdRateExtend( N30:N34,W30:W34, AL30:AL34,AU30:AU34))</f>
        <v>·</v>
      </c>
      <c r="BJ30" s="120" t="str">
        <f>IF( OR(ISBLANK(N30:N34),ISBLANK(AL30:AL34), ISBLANK(X30:X34),ISBLANK(AV30:AV34)), "·", bdRateExtend( N30:N34,X30:X34, AL30:AL34,AV30:AV34))</f>
        <v>·</v>
      </c>
      <c r="BK30" s="120" t="str">
        <f>IF( OR(ISBLANK(V30:V34),ISBLANK(AT30:AT34), ISBLANK(Y30:Y34),ISBLANK(AW30:AW34)), "·", bdRateExtend( V30:V34,Y30:Y34, AT30:AT34,AW30:AW34))</f>
        <v>·</v>
      </c>
      <c r="BL30" s="120" t="str">
        <f>IF( OR(ISBLANK(V30:V34),ISBLANK(AT30:AT34), ISBLANK(Z30:Z34),ISBLANK(AX30:AX34)), "·", bdRateExtend( V30:V34,Z30:Z34, AT30:AT34,AX30:AX34))</f>
        <v>·</v>
      </c>
      <c r="BM30" s="120" t="str">
        <f>IF( OR(ISBLANK(V30:V34),ISBLANK(AT30:AT34), ISBLANK(AA30:AA34),ISBLANK(AY30:AY34)), "·", bdRateExtend( V30:V34,AA30:AA34, AT30:AT34,AY30:AY34))</f>
        <v>·</v>
      </c>
      <c r="BN30" s="121"/>
      <c r="BO30" s="120" t="str">
        <f>IF( OR(ISBLANK(S30:S34),ISBLANK(AQ30:AQ34), ISBLANK(W30:W34),ISBLANK(AU30:AU34)), "·", bdRateExtend( S30:S34,W30:W34, AQ30:AQ34,AU30:AU34))</f>
        <v>·</v>
      </c>
      <c r="BP30" s="120" t="str">
        <f>IF( OR(ISBLANK(S30:S34),ISBLANK(AQ30:AQ34), ISBLANK(X30:X34),ISBLANK(AV30:AV34)), "·", bdRateExtend( S30:S34,X30:X34, AQ30:AQ34,AV30:AV34))</f>
        <v>·</v>
      </c>
      <c r="BQ30" s="120" t="str">
        <f>IF( OR(ISBLANK(S30:S34),ISBLANK(AQ30:AQ34), ISBLANK(Y30:Y34),ISBLANK(AW30:AW34)), "·", bdRateExtend( S30:S34,Y30:Y34, AQ30:AQ34,AW30:AW34))</f>
        <v>·</v>
      </c>
      <c r="BR30" s="120" t="str">
        <f>IF( OR(ISBLANK(S30:S34),ISBLANK(AQ30:AQ34), ISBLANK(Z30:Z34),ISBLANK(AX30:AX34)), "·", bdRateExtend( S30:S34,Z30:Z34, AQ30:AQ34,AX30:AX34))</f>
        <v>·</v>
      </c>
      <c r="BS30" s="120" t="str">
        <f>IF( OR(ISBLANK(S30:S34),ISBLANK(AQ30:AQ34), ISBLANK(AA30:AA34),ISBLANK(AY30:AY34)), "·", bdRateExtend( S30:S34,AA30:AA34, AQ30:AQ34,AY30:AY34))</f>
        <v>·</v>
      </c>
    </row>
    <row r="31" spans="1:71" s="125" customFormat="1" outlineLevel="1" x14ac:dyDescent="0.2">
      <c r="A31" s="69"/>
      <c r="B31" s="69" t="s">
        <v>572</v>
      </c>
      <c r="C31" s="19" t="s">
        <v>230</v>
      </c>
      <c r="D31" s="69"/>
      <c r="E31" s="19">
        <v>11</v>
      </c>
      <c r="F31" s="19">
        <v>32</v>
      </c>
      <c r="G31" s="19">
        <v>30</v>
      </c>
      <c r="I31" s="20" t="str">
        <f t="shared" ref="I31:I34" si="20">IF(OR(ISBLANK(S31),ISBLANK(G31)),"·",S31*G31/F31/1000000)</f>
        <v>·</v>
      </c>
      <c r="J31" s="21" t="str">
        <f t="shared" si="1"/>
        <v>·</v>
      </c>
      <c r="K31" s="21" t="str">
        <f>IF(N31="","·",N31/D31)</f>
        <v>·</v>
      </c>
      <c r="L31" s="21" t="str">
        <f t="shared" si="3"/>
        <v>·</v>
      </c>
      <c r="M31" s="21" t="str">
        <f t="shared" si="4"/>
        <v>·</v>
      </c>
      <c r="N31" s="69" t="str">
        <f t="shared" si="5"/>
        <v/>
      </c>
      <c r="O31" s="21">
        <v>16</v>
      </c>
      <c r="P31" s="22"/>
      <c r="Q31" s="22"/>
      <c r="R31" s="22"/>
      <c r="S31" s="23"/>
      <c r="T31" s="23"/>
      <c r="U31" s="23"/>
      <c r="V31" s="23"/>
      <c r="W31" s="24"/>
      <c r="X31" s="24"/>
      <c r="Y31" s="24"/>
      <c r="Z31" s="24"/>
      <c r="AA31" s="24"/>
      <c r="AB31" s="25"/>
      <c r="AC31" s="25"/>
      <c r="AD31" s="25"/>
      <c r="AE31" s="25"/>
      <c r="AG31" s="20" t="str">
        <f t="shared" si="14"/>
        <v>·</v>
      </c>
      <c r="AH31" s="21" t="str">
        <f t="shared" si="15"/>
        <v>·</v>
      </c>
      <c r="AI31" s="21" t="str">
        <f t="shared" si="16"/>
        <v>·</v>
      </c>
      <c r="AJ31" s="21" t="str">
        <f t="shared" si="17"/>
        <v>·</v>
      </c>
      <c r="AK31" s="21" t="str">
        <f t="shared" si="18"/>
        <v>·</v>
      </c>
      <c r="AL31" s="69" t="str">
        <f t="shared" si="19"/>
        <v/>
      </c>
      <c r="AM31" s="21">
        <v>16</v>
      </c>
      <c r="AN31" s="22"/>
      <c r="AO31" s="22"/>
      <c r="AP31" s="22"/>
      <c r="AQ31" s="23"/>
      <c r="AR31" s="23"/>
      <c r="AS31" s="23"/>
      <c r="AT31" s="23"/>
      <c r="AU31" s="24"/>
      <c r="AV31" s="24"/>
      <c r="AW31" s="24"/>
      <c r="AX31" s="24"/>
      <c r="AY31" s="24"/>
      <c r="AZ31" s="25"/>
      <c r="BA31" s="25"/>
      <c r="BB31" s="25"/>
      <c r="BC31" s="25"/>
      <c r="BE31" s="26" t="e">
        <f t="shared" ref="BE31:BE39" si="21">(AP31/AO31) - (R31/Q31)</f>
        <v>#DIV/0!</v>
      </c>
      <c r="BF31" s="26" t="e">
        <f t="shared" si="13"/>
        <v>#VALUE!</v>
      </c>
      <c r="BG31" s="26"/>
      <c r="BI31" s="122"/>
      <c r="BJ31" s="122"/>
      <c r="BK31" s="122"/>
      <c r="BL31" s="122"/>
      <c r="BM31" s="122"/>
      <c r="BN31" s="121"/>
      <c r="BO31" s="122"/>
      <c r="BP31" s="122"/>
      <c r="BQ31" s="122"/>
      <c r="BR31" s="122"/>
      <c r="BS31" s="122"/>
    </row>
    <row r="32" spans="1:71" s="125" customFormat="1" outlineLevel="1" x14ac:dyDescent="0.2">
      <c r="A32" s="77"/>
      <c r="B32" s="77" t="s">
        <v>572</v>
      </c>
      <c r="C32" s="11" t="s">
        <v>231</v>
      </c>
      <c r="D32" s="77"/>
      <c r="E32" s="11">
        <v>11</v>
      </c>
      <c r="F32" s="11">
        <v>32</v>
      </c>
      <c r="G32" s="11">
        <v>30</v>
      </c>
      <c r="I32" s="12" t="str">
        <f t="shared" si="20"/>
        <v>·</v>
      </c>
      <c r="J32" s="13" t="str">
        <f t="shared" si="1"/>
        <v>·</v>
      </c>
      <c r="K32" s="13" t="str">
        <f t="shared" si="2"/>
        <v>·</v>
      </c>
      <c r="L32" s="13" t="str">
        <f t="shared" si="3"/>
        <v>·</v>
      </c>
      <c r="M32" s="13" t="str">
        <f t="shared" si="4"/>
        <v>·</v>
      </c>
      <c r="N32" s="77" t="str">
        <f t="shared" si="5"/>
        <v/>
      </c>
      <c r="O32" s="13">
        <v>16</v>
      </c>
      <c r="P32" s="14"/>
      <c r="Q32" s="14"/>
      <c r="R32" s="14"/>
      <c r="S32" s="15"/>
      <c r="T32" s="15"/>
      <c r="U32" s="15"/>
      <c r="V32" s="15"/>
      <c r="W32" s="16"/>
      <c r="X32" s="16"/>
      <c r="Y32" s="16"/>
      <c r="Z32" s="16"/>
      <c r="AA32" s="16"/>
      <c r="AB32" s="17"/>
      <c r="AC32" s="17"/>
      <c r="AD32" s="17"/>
      <c r="AE32" s="17"/>
      <c r="AG32" s="12" t="str">
        <f t="shared" si="14"/>
        <v>·</v>
      </c>
      <c r="AH32" s="13" t="str">
        <f t="shared" si="15"/>
        <v>·</v>
      </c>
      <c r="AI32" s="13" t="str">
        <f t="shared" si="16"/>
        <v>·</v>
      </c>
      <c r="AJ32" s="13" t="str">
        <f t="shared" si="17"/>
        <v>·</v>
      </c>
      <c r="AK32" s="13" t="str">
        <f t="shared" si="18"/>
        <v>·</v>
      </c>
      <c r="AL32" s="77" t="str">
        <f t="shared" si="19"/>
        <v/>
      </c>
      <c r="AM32" s="13">
        <v>16</v>
      </c>
      <c r="AN32" s="14"/>
      <c r="AO32" s="14"/>
      <c r="AP32" s="14"/>
      <c r="AQ32" s="15"/>
      <c r="AR32" s="15"/>
      <c r="AS32" s="15"/>
      <c r="AT32" s="15"/>
      <c r="AU32" s="16"/>
      <c r="AV32" s="16"/>
      <c r="AW32" s="16"/>
      <c r="AX32" s="16"/>
      <c r="AY32" s="16"/>
      <c r="AZ32" s="17"/>
      <c r="BA32" s="17"/>
      <c r="BB32" s="17"/>
      <c r="BC32" s="17"/>
      <c r="BE32" s="18" t="e">
        <f t="shared" si="21"/>
        <v>#DIV/0!</v>
      </c>
      <c r="BF32" s="18" t="e">
        <f t="shared" si="13"/>
        <v>#VALUE!</v>
      </c>
      <c r="BG32" s="18"/>
      <c r="BI32" s="120"/>
      <c r="BJ32" s="120"/>
      <c r="BK32" s="120"/>
      <c r="BL32" s="120"/>
      <c r="BM32" s="120"/>
      <c r="BN32" s="121"/>
      <c r="BO32" s="120"/>
      <c r="BP32" s="120"/>
      <c r="BQ32" s="120"/>
      <c r="BR32" s="120"/>
      <c r="BS32" s="120"/>
    </row>
    <row r="33" spans="1:71" s="125" customFormat="1" outlineLevel="1" x14ac:dyDescent="0.2">
      <c r="A33" s="69"/>
      <c r="B33" s="69" t="s">
        <v>572</v>
      </c>
      <c r="C33" s="19" t="s">
        <v>232</v>
      </c>
      <c r="D33" s="69"/>
      <c r="E33" s="19">
        <v>11</v>
      </c>
      <c r="F33" s="19">
        <v>32</v>
      </c>
      <c r="G33" s="19">
        <v>30</v>
      </c>
      <c r="I33" s="20" t="str">
        <f t="shared" si="20"/>
        <v>·</v>
      </c>
      <c r="J33" s="21" t="str">
        <f t="shared" si="1"/>
        <v>·</v>
      </c>
      <c r="K33" s="21" t="str">
        <f t="shared" si="2"/>
        <v>·</v>
      </c>
      <c r="L33" s="21" t="str">
        <f t="shared" si="3"/>
        <v>·</v>
      </c>
      <c r="M33" s="21" t="str">
        <f t="shared" si="4"/>
        <v>·</v>
      </c>
      <c r="N33" s="69" t="str">
        <f t="shared" si="5"/>
        <v/>
      </c>
      <c r="O33" s="21">
        <v>16</v>
      </c>
      <c r="P33" s="22"/>
      <c r="Q33" s="22"/>
      <c r="R33" s="22"/>
      <c r="S33" s="23"/>
      <c r="T33" s="23"/>
      <c r="U33" s="23"/>
      <c r="V33" s="23"/>
      <c r="W33" s="24"/>
      <c r="X33" s="24"/>
      <c r="Y33" s="24"/>
      <c r="Z33" s="24"/>
      <c r="AA33" s="24"/>
      <c r="AB33" s="25"/>
      <c r="AC33" s="25"/>
      <c r="AD33" s="25"/>
      <c r="AE33" s="25"/>
      <c r="AG33" s="20" t="str">
        <f t="shared" si="14"/>
        <v>·</v>
      </c>
      <c r="AH33" s="21" t="str">
        <f t="shared" si="15"/>
        <v>·</v>
      </c>
      <c r="AI33" s="21" t="str">
        <f t="shared" si="16"/>
        <v>·</v>
      </c>
      <c r="AJ33" s="21" t="str">
        <f t="shared" si="17"/>
        <v>·</v>
      </c>
      <c r="AK33" s="21" t="str">
        <f t="shared" si="18"/>
        <v>·</v>
      </c>
      <c r="AL33" s="69" t="str">
        <f t="shared" si="19"/>
        <v/>
      </c>
      <c r="AM33" s="21">
        <v>16</v>
      </c>
      <c r="AN33" s="22"/>
      <c r="AO33" s="22"/>
      <c r="AP33" s="22"/>
      <c r="AQ33" s="23"/>
      <c r="AR33" s="23"/>
      <c r="AS33" s="23"/>
      <c r="AT33" s="23"/>
      <c r="AU33" s="24"/>
      <c r="AV33" s="24"/>
      <c r="AW33" s="24"/>
      <c r="AX33" s="24"/>
      <c r="AY33" s="24"/>
      <c r="AZ33" s="25"/>
      <c r="BA33" s="25"/>
      <c r="BB33" s="25"/>
      <c r="BC33" s="25"/>
      <c r="BE33" s="26" t="e">
        <f t="shared" si="21"/>
        <v>#DIV/0!</v>
      </c>
      <c r="BF33" s="26" t="e">
        <f t="shared" si="13"/>
        <v>#VALUE!</v>
      </c>
      <c r="BG33" s="26"/>
      <c r="BI33" s="122"/>
      <c r="BJ33" s="122"/>
      <c r="BK33" s="122"/>
      <c r="BL33" s="122"/>
      <c r="BM33" s="122"/>
      <c r="BN33" s="121"/>
      <c r="BO33" s="122"/>
      <c r="BP33" s="122"/>
      <c r="BQ33" s="122"/>
      <c r="BR33" s="122"/>
      <c r="BS33" s="122"/>
    </row>
    <row r="34" spans="1:71" s="125" customFormat="1" ht="16" outlineLevel="1" thickBot="1" x14ac:dyDescent="0.25">
      <c r="A34" s="110"/>
      <c r="B34" s="27" t="s">
        <v>572</v>
      </c>
      <c r="C34" s="28" t="s">
        <v>233</v>
      </c>
      <c r="D34" s="27"/>
      <c r="E34" s="28">
        <v>11</v>
      </c>
      <c r="F34" s="28">
        <v>32</v>
      </c>
      <c r="G34" s="28">
        <v>30</v>
      </c>
      <c r="I34" s="29" t="str">
        <f t="shared" si="20"/>
        <v>·</v>
      </c>
      <c r="J34" s="30" t="str">
        <f t="shared" si="1"/>
        <v>·</v>
      </c>
      <c r="K34" s="30" t="str">
        <f t="shared" si="2"/>
        <v>·</v>
      </c>
      <c r="L34" s="30" t="str">
        <f t="shared" si="3"/>
        <v>·</v>
      </c>
      <c r="M34" s="30" t="str">
        <f t="shared" si="4"/>
        <v>·</v>
      </c>
      <c r="N34" s="27" t="str">
        <f t="shared" si="5"/>
        <v/>
      </c>
      <c r="O34" s="30">
        <v>16</v>
      </c>
      <c r="P34" s="31"/>
      <c r="Q34" s="31"/>
      <c r="R34" s="31"/>
      <c r="S34" s="32"/>
      <c r="T34" s="32"/>
      <c r="U34" s="32"/>
      <c r="V34" s="32"/>
      <c r="W34" s="33"/>
      <c r="X34" s="33"/>
      <c r="Y34" s="33"/>
      <c r="Z34" s="33"/>
      <c r="AA34" s="33"/>
      <c r="AB34" s="34"/>
      <c r="AC34" s="34"/>
      <c r="AD34" s="34"/>
      <c r="AE34" s="34"/>
      <c r="AG34" s="29" t="str">
        <f t="shared" si="14"/>
        <v>·</v>
      </c>
      <c r="AH34" s="30" t="str">
        <f t="shared" si="15"/>
        <v>·</v>
      </c>
      <c r="AI34" s="30" t="str">
        <f t="shared" si="16"/>
        <v>·</v>
      </c>
      <c r="AJ34" s="30" t="str">
        <f t="shared" si="17"/>
        <v>·</v>
      </c>
      <c r="AK34" s="30" t="str">
        <f t="shared" si="18"/>
        <v>·</v>
      </c>
      <c r="AL34" s="27" t="str">
        <f t="shared" si="19"/>
        <v/>
      </c>
      <c r="AM34" s="30">
        <v>16</v>
      </c>
      <c r="AN34" s="31"/>
      <c r="AO34" s="31"/>
      <c r="AP34" s="31"/>
      <c r="AQ34" s="32"/>
      <c r="AR34" s="32"/>
      <c r="AS34" s="32"/>
      <c r="AT34" s="32"/>
      <c r="AU34" s="33"/>
      <c r="AV34" s="33"/>
      <c r="AW34" s="33"/>
      <c r="AX34" s="33"/>
      <c r="AY34" s="33"/>
      <c r="AZ34" s="34"/>
      <c r="BA34" s="34"/>
      <c r="BB34" s="34"/>
      <c r="BC34" s="34"/>
      <c r="BE34" s="35" t="e">
        <f t="shared" si="21"/>
        <v>#DIV/0!</v>
      </c>
      <c r="BF34" s="35" t="e">
        <f t="shared" si="13"/>
        <v>#VALUE!</v>
      </c>
      <c r="BG34" s="35"/>
      <c r="BI34" s="123"/>
      <c r="BJ34" s="123"/>
      <c r="BK34" s="123"/>
      <c r="BL34" s="123"/>
      <c r="BM34" s="123"/>
      <c r="BN34" s="121"/>
      <c r="BO34" s="123"/>
      <c r="BP34" s="123"/>
      <c r="BQ34" s="123"/>
      <c r="BR34" s="123"/>
      <c r="BS34" s="123"/>
    </row>
    <row r="35" spans="1:71" s="125" customFormat="1" x14ac:dyDescent="0.2">
      <c r="A35" s="77"/>
      <c r="B35" s="77" t="s">
        <v>573</v>
      </c>
      <c r="C35" s="11" t="s">
        <v>229</v>
      </c>
      <c r="D35" s="77"/>
      <c r="E35" s="11">
        <v>11</v>
      </c>
      <c r="F35" s="11">
        <v>32</v>
      </c>
      <c r="G35" s="11">
        <v>30</v>
      </c>
      <c r="I35" s="12" t="str">
        <f>IF(OR(ISBLANK(S35),ISBLANK(G35)),"·",S35*G35/F35/1000000)</f>
        <v>·</v>
      </c>
      <c r="J35" s="13" t="str">
        <f t="shared" si="1"/>
        <v>·</v>
      </c>
      <c r="K35" s="13" t="str">
        <f t="shared" si="2"/>
        <v>·</v>
      </c>
      <c r="L35" s="13" t="str">
        <f t="shared" si="3"/>
        <v>·</v>
      </c>
      <c r="M35" s="13" t="str">
        <f t="shared" si="4"/>
        <v>·</v>
      </c>
      <c r="N35" s="77" t="str">
        <f t="shared" si="5"/>
        <v/>
      </c>
      <c r="O35" s="13">
        <v>16</v>
      </c>
      <c r="P35" s="14"/>
      <c r="Q35" s="14"/>
      <c r="R35" s="14"/>
      <c r="S35" s="15"/>
      <c r="T35" s="15"/>
      <c r="U35" s="15"/>
      <c r="V35" s="15"/>
      <c r="W35" s="16"/>
      <c r="X35" s="16"/>
      <c r="Y35" s="16"/>
      <c r="Z35" s="16"/>
      <c r="AA35" s="16"/>
      <c r="AB35" s="17"/>
      <c r="AC35" s="17"/>
      <c r="AD35" s="17"/>
      <c r="AE35" s="17"/>
      <c r="AG35" s="12" t="str">
        <f t="shared" si="14"/>
        <v>·</v>
      </c>
      <c r="AH35" s="13" t="str">
        <f t="shared" si="15"/>
        <v>·</v>
      </c>
      <c r="AI35" s="13" t="str">
        <f t="shared" si="16"/>
        <v>·</v>
      </c>
      <c r="AJ35" s="13" t="str">
        <f t="shared" si="17"/>
        <v>·</v>
      </c>
      <c r="AK35" s="13" t="str">
        <f t="shared" si="18"/>
        <v>·</v>
      </c>
      <c r="AL35" s="77" t="str">
        <f t="shared" si="19"/>
        <v/>
      </c>
      <c r="AM35" s="13">
        <v>16</v>
      </c>
      <c r="AN35" s="14"/>
      <c r="AO35" s="14"/>
      <c r="AP35" s="14"/>
      <c r="AQ35" s="15"/>
      <c r="AR35" s="15"/>
      <c r="AS35" s="15"/>
      <c r="AT35" s="15"/>
      <c r="AU35" s="16"/>
      <c r="AV35" s="16"/>
      <c r="AW35" s="16"/>
      <c r="AX35" s="16"/>
      <c r="AY35" s="16"/>
      <c r="AZ35" s="17"/>
      <c r="BA35" s="17"/>
      <c r="BB35" s="17"/>
      <c r="BC35" s="17"/>
      <c r="BE35" s="18" t="e">
        <f t="shared" si="21"/>
        <v>#DIV/0!</v>
      </c>
      <c r="BF35" s="18" t="e">
        <f t="shared" si="13"/>
        <v>#VALUE!</v>
      </c>
      <c r="BG35" s="18" t="e">
        <f t="array" ref="BG35">AVERAGE(AL35:AL39/AQ35:AQ39) - AVERAGE(N35:N39/S35:S39)</f>
        <v>#VALUE!</v>
      </c>
      <c r="BI35" s="120" t="str">
        <f>IF( OR(ISBLANK(N35:N39),ISBLANK(AL35:AL39), ISBLANK(W35:W39),ISBLANK(AU35:AU39)), "·", bdRateExtend( N35:N39,W35:W39, AL35:AL39,AU35:AU39))</f>
        <v>·</v>
      </c>
      <c r="BJ35" s="120" t="str">
        <f>IF( OR(ISBLANK(N35:N39),ISBLANK(AL35:AL39), ISBLANK(X35:X39),ISBLANK(AV35:AV39)), "·", bdRateExtend( N35:N39,X35:X39, AL35:AL39,AV35:AV39))</f>
        <v>·</v>
      </c>
      <c r="BK35" s="120" t="str">
        <f>IF( OR(ISBLANK(V35:V39),ISBLANK(AT35:AT39), ISBLANK(Y35:Y39),ISBLANK(AW35:AW39)), "·", bdRateExtend( V35:V39,Y35:Y39, AT35:AT39,AW35:AW39))</f>
        <v>·</v>
      </c>
      <c r="BL35" s="120" t="str">
        <f>IF( OR(ISBLANK(V35:V39),ISBLANK(AT35:AT39), ISBLANK(Z35:Z39),ISBLANK(AX35:AX39)), "·", bdRateExtend( V35:V39,Z35:Z39, AT35:AT39,AX35:AX39))</f>
        <v>·</v>
      </c>
      <c r="BM35" s="120" t="str">
        <f>IF( OR(ISBLANK(V35:V39),ISBLANK(AT35:AT39), ISBLANK(AA35:AA39),ISBLANK(AY35:AY39)), "·", bdRateExtend( V35:V39,AA35:AA39, AT35:AT39,AY35:AY39))</f>
        <v>·</v>
      </c>
      <c r="BN35" s="121"/>
      <c r="BO35" s="120" t="str">
        <f>IF( OR(ISBLANK(S35:S39),ISBLANK(AQ35:AQ39), ISBLANK(W35:W39),ISBLANK(AU35:AU39)), "·", bdRateExtend( S35:S39,W35:W39, AQ35:AQ39,AU35:AU39))</f>
        <v>·</v>
      </c>
      <c r="BP35" s="120" t="str">
        <f>IF( OR(ISBLANK(S35:S39),ISBLANK(AQ35:AQ39), ISBLANK(X35:X39),ISBLANK(AV35:AV39)), "·", bdRateExtend( S35:S39,X35:X39, AQ35:AQ39,AV35:AV39))</f>
        <v>·</v>
      </c>
      <c r="BQ35" s="120" t="str">
        <f>IF( OR(ISBLANK(S35:S39),ISBLANK(AQ35:AQ39), ISBLANK(Y35:Y39),ISBLANK(AW35:AW39)), "·", bdRateExtend( S35:S39,Y35:Y39, AQ35:AQ39,AW35:AW39))</f>
        <v>·</v>
      </c>
      <c r="BR35" s="120" t="str">
        <f>IF( OR(ISBLANK(S35:S39),ISBLANK(AQ35:AQ39), ISBLANK(Z35:Z39),ISBLANK(AX35:AX39)), "·", bdRateExtend( S35:S39,Z35:Z39, AQ35:AQ39,AX35:AX39))</f>
        <v>·</v>
      </c>
      <c r="BS35" s="120" t="str">
        <f>IF( OR(ISBLANK(S35:S39),ISBLANK(AQ35:AQ39), ISBLANK(AA35:AA39),ISBLANK(AY35:AY39)), "·", bdRateExtend( S35:S39,AA35:AA39, AQ35:AQ39,AY35:AY39))</f>
        <v>·</v>
      </c>
    </row>
    <row r="36" spans="1:71" s="125" customFormat="1" outlineLevel="1" x14ac:dyDescent="0.2">
      <c r="A36" s="69"/>
      <c r="B36" s="69" t="s">
        <v>573</v>
      </c>
      <c r="C36" s="19" t="s">
        <v>230</v>
      </c>
      <c r="D36" s="69"/>
      <c r="E36" s="19">
        <v>11</v>
      </c>
      <c r="F36" s="19">
        <v>32</v>
      </c>
      <c r="G36" s="19">
        <v>30</v>
      </c>
      <c r="I36" s="20" t="str">
        <f t="shared" ref="I36:I39" si="22">IF(OR(ISBLANK(S36),ISBLANK(G36)),"·",S36*G36/F36/1000000)</f>
        <v>·</v>
      </c>
      <c r="J36" s="21" t="str">
        <f t="shared" si="1"/>
        <v>·</v>
      </c>
      <c r="K36" s="21" t="str">
        <f t="shared" si="2"/>
        <v>·</v>
      </c>
      <c r="L36" s="21" t="str">
        <f t="shared" si="3"/>
        <v>·</v>
      </c>
      <c r="M36" s="21" t="str">
        <f t="shared" si="4"/>
        <v>·</v>
      </c>
      <c r="N36" s="69" t="str">
        <f t="shared" si="5"/>
        <v/>
      </c>
      <c r="O36" s="21">
        <v>16</v>
      </c>
      <c r="P36" s="22"/>
      <c r="Q36" s="22"/>
      <c r="R36" s="22"/>
      <c r="S36" s="23"/>
      <c r="T36" s="23"/>
      <c r="U36" s="23"/>
      <c r="V36" s="23"/>
      <c r="W36" s="24"/>
      <c r="X36" s="24"/>
      <c r="Y36" s="24"/>
      <c r="Z36" s="24"/>
      <c r="AA36" s="24"/>
      <c r="AB36" s="25"/>
      <c r="AC36" s="25"/>
      <c r="AD36" s="25"/>
      <c r="AE36" s="25"/>
      <c r="AG36" s="20" t="str">
        <f t="shared" si="14"/>
        <v>·</v>
      </c>
      <c r="AH36" s="21" t="str">
        <f t="shared" si="15"/>
        <v>·</v>
      </c>
      <c r="AI36" s="21" t="str">
        <f t="shared" si="16"/>
        <v>·</v>
      </c>
      <c r="AJ36" s="21" t="str">
        <f t="shared" si="17"/>
        <v>·</v>
      </c>
      <c r="AK36" s="21" t="str">
        <f t="shared" si="18"/>
        <v>·</v>
      </c>
      <c r="AL36" s="69" t="str">
        <f t="shared" si="19"/>
        <v/>
      </c>
      <c r="AM36" s="21">
        <v>16</v>
      </c>
      <c r="AN36" s="22"/>
      <c r="AO36" s="22"/>
      <c r="AP36" s="22"/>
      <c r="AQ36" s="23"/>
      <c r="AR36" s="23"/>
      <c r="AS36" s="23"/>
      <c r="AT36" s="23"/>
      <c r="AU36" s="24"/>
      <c r="AV36" s="24"/>
      <c r="AW36" s="24"/>
      <c r="AX36" s="24"/>
      <c r="AY36" s="24"/>
      <c r="AZ36" s="25"/>
      <c r="BA36" s="25"/>
      <c r="BB36" s="25"/>
      <c r="BC36" s="25"/>
      <c r="BE36" s="26" t="e">
        <f t="shared" si="21"/>
        <v>#DIV/0!</v>
      </c>
      <c r="BF36" s="26" t="e">
        <f t="shared" si="13"/>
        <v>#VALUE!</v>
      </c>
      <c r="BG36" s="26"/>
      <c r="BI36" s="122"/>
      <c r="BJ36" s="122"/>
      <c r="BK36" s="122"/>
      <c r="BL36" s="122"/>
      <c r="BM36" s="122"/>
      <c r="BN36" s="121"/>
      <c r="BO36" s="122"/>
      <c r="BP36" s="122"/>
      <c r="BQ36" s="122"/>
      <c r="BR36" s="122"/>
      <c r="BS36" s="122"/>
    </row>
    <row r="37" spans="1:71" s="125" customFormat="1" outlineLevel="1" x14ac:dyDescent="0.2">
      <c r="A37" s="77"/>
      <c r="B37" s="77" t="s">
        <v>573</v>
      </c>
      <c r="C37" s="11" t="s">
        <v>231</v>
      </c>
      <c r="D37" s="77"/>
      <c r="E37" s="11">
        <v>11</v>
      </c>
      <c r="F37" s="11">
        <v>32</v>
      </c>
      <c r="G37" s="11">
        <v>30</v>
      </c>
      <c r="I37" s="12" t="str">
        <f t="shared" si="22"/>
        <v>·</v>
      </c>
      <c r="J37" s="13" t="str">
        <f t="shared" si="1"/>
        <v>·</v>
      </c>
      <c r="K37" s="13" t="str">
        <f t="shared" si="2"/>
        <v>·</v>
      </c>
      <c r="L37" s="13" t="str">
        <f t="shared" si="3"/>
        <v>·</v>
      </c>
      <c r="M37" s="13" t="str">
        <f t="shared" si="4"/>
        <v>·</v>
      </c>
      <c r="N37" s="77" t="str">
        <f t="shared" si="5"/>
        <v/>
      </c>
      <c r="O37" s="13">
        <v>16</v>
      </c>
      <c r="P37" s="14"/>
      <c r="Q37" s="14"/>
      <c r="R37" s="14"/>
      <c r="S37" s="15"/>
      <c r="T37" s="15"/>
      <c r="U37" s="15"/>
      <c r="V37" s="15"/>
      <c r="W37" s="16"/>
      <c r="X37" s="16"/>
      <c r="Y37" s="16"/>
      <c r="Z37" s="16"/>
      <c r="AA37" s="16"/>
      <c r="AB37" s="17"/>
      <c r="AC37" s="17"/>
      <c r="AD37" s="17"/>
      <c r="AE37" s="17"/>
      <c r="AG37" s="12" t="str">
        <f t="shared" si="14"/>
        <v>·</v>
      </c>
      <c r="AH37" s="13" t="str">
        <f t="shared" si="15"/>
        <v>·</v>
      </c>
      <c r="AI37" s="13" t="str">
        <f t="shared" si="16"/>
        <v>·</v>
      </c>
      <c r="AJ37" s="13" t="str">
        <f t="shared" si="17"/>
        <v>·</v>
      </c>
      <c r="AK37" s="13" t="str">
        <f t="shared" si="18"/>
        <v>·</v>
      </c>
      <c r="AL37" s="77" t="str">
        <f t="shared" si="19"/>
        <v/>
      </c>
      <c r="AM37" s="13">
        <v>16</v>
      </c>
      <c r="AN37" s="14"/>
      <c r="AO37" s="14"/>
      <c r="AP37" s="14"/>
      <c r="AQ37" s="15"/>
      <c r="AR37" s="15"/>
      <c r="AS37" s="15"/>
      <c r="AT37" s="15"/>
      <c r="AU37" s="16"/>
      <c r="AV37" s="16"/>
      <c r="AW37" s="16"/>
      <c r="AX37" s="16"/>
      <c r="AY37" s="16"/>
      <c r="AZ37" s="17"/>
      <c r="BA37" s="17"/>
      <c r="BB37" s="17"/>
      <c r="BC37" s="17"/>
      <c r="BE37" s="18" t="e">
        <f t="shared" si="21"/>
        <v>#DIV/0!</v>
      </c>
      <c r="BF37" s="18" t="e">
        <f t="shared" si="13"/>
        <v>#VALUE!</v>
      </c>
      <c r="BG37" s="18"/>
      <c r="BI37" s="120"/>
      <c r="BJ37" s="120"/>
      <c r="BK37" s="120"/>
      <c r="BL37" s="120"/>
      <c r="BM37" s="120"/>
      <c r="BN37" s="121"/>
      <c r="BO37" s="120"/>
      <c r="BP37" s="120"/>
      <c r="BQ37" s="120"/>
      <c r="BR37" s="120"/>
      <c r="BS37" s="120"/>
    </row>
    <row r="38" spans="1:71" s="125" customFormat="1" outlineLevel="1" x14ac:dyDescent="0.2">
      <c r="A38" s="69"/>
      <c r="B38" s="69" t="s">
        <v>573</v>
      </c>
      <c r="C38" s="19" t="s">
        <v>232</v>
      </c>
      <c r="D38" s="69"/>
      <c r="E38" s="19">
        <v>11</v>
      </c>
      <c r="F38" s="19">
        <v>32</v>
      </c>
      <c r="G38" s="19">
        <v>30</v>
      </c>
      <c r="I38" s="20" t="str">
        <f t="shared" si="22"/>
        <v>·</v>
      </c>
      <c r="J38" s="21" t="str">
        <f t="shared" si="1"/>
        <v>·</v>
      </c>
      <c r="K38" s="21" t="str">
        <f t="shared" si="2"/>
        <v>·</v>
      </c>
      <c r="L38" s="21" t="str">
        <f t="shared" si="3"/>
        <v>·</v>
      </c>
      <c r="M38" s="21" t="str">
        <f t="shared" si="4"/>
        <v>·</v>
      </c>
      <c r="N38" s="69" t="str">
        <f t="shared" si="5"/>
        <v/>
      </c>
      <c r="O38" s="21">
        <v>16</v>
      </c>
      <c r="P38" s="22"/>
      <c r="Q38" s="22"/>
      <c r="R38" s="22"/>
      <c r="S38" s="23"/>
      <c r="T38" s="23"/>
      <c r="U38" s="23"/>
      <c r="V38" s="23"/>
      <c r="W38" s="24"/>
      <c r="X38" s="24"/>
      <c r="Y38" s="24"/>
      <c r="Z38" s="24"/>
      <c r="AA38" s="24"/>
      <c r="AB38" s="25"/>
      <c r="AC38" s="25"/>
      <c r="AD38" s="25"/>
      <c r="AE38" s="25"/>
      <c r="AG38" s="20" t="str">
        <f t="shared" si="14"/>
        <v>·</v>
      </c>
      <c r="AH38" s="21" t="str">
        <f t="shared" si="15"/>
        <v>·</v>
      </c>
      <c r="AI38" s="21" t="str">
        <f t="shared" si="16"/>
        <v>·</v>
      </c>
      <c r="AJ38" s="21" t="str">
        <f t="shared" si="17"/>
        <v>·</v>
      </c>
      <c r="AK38" s="21" t="str">
        <f t="shared" si="18"/>
        <v>·</v>
      </c>
      <c r="AL38" s="69" t="str">
        <f t="shared" si="19"/>
        <v/>
      </c>
      <c r="AM38" s="21">
        <v>16</v>
      </c>
      <c r="AN38" s="22"/>
      <c r="AO38" s="22"/>
      <c r="AP38" s="22"/>
      <c r="AQ38" s="23"/>
      <c r="AR38" s="23"/>
      <c r="AS38" s="23"/>
      <c r="AT38" s="23"/>
      <c r="AU38" s="24"/>
      <c r="AV38" s="24"/>
      <c r="AW38" s="24"/>
      <c r="AX38" s="24"/>
      <c r="AY38" s="24"/>
      <c r="AZ38" s="25"/>
      <c r="BA38" s="25"/>
      <c r="BB38" s="25"/>
      <c r="BC38" s="25"/>
      <c r="BE38" s="26" t="e">
        <f t="shared" si="21"/>
        <v>#DIV/0!</v>
      </c>
      <c r="BF38" s="26" t="e">
        <f t="shared" si="13"/>
        <v>#VALUE!</v>
      </c>
      <c r="BG38" s="26"/>
      <c r="BI38" s="122"/>
      <c r="BJ38" s="122"/>
      <c r="BK38" s="122"/>
      <c r="BL38" s="122"/>
      <c r="BM38" s="122"/>
      <c r="BN38" s="121"/>
      <c r="BO38" s="122"/>
      <c r="BP38" s="122"/>
      <c r="BQ38" s="122"/>
      <c r="BR38" s="122"/>
      <c r="BS38" s="122"/>
    </row>
    <row r="39" spans="1:71" s="125" customFormat="1" ht="16" outlineLevel="1" thickBot="1" x14ac:dyDescent="0.25">
      <c r="A39" s="27"/>
      <c r="B39" s="27" t="s">
        <v>573</v>
      </c>
      <c r="C39" s="28" t="s">
        <v>233</v>
      </c>
      <c r="D39" s="27"/>
      <c r="E39" s="28">
        <v>11</v>
      </c>
      <c r="F39" s="28">
        <v>32</v>
      </c>
      <c r="G39" s="28">
        <v>30</v>
      </c>
      <c r="I39" s="29" t="str">
        <f t="shared" si="22"/>
        <v>·</v>
      </c>
      <c r="J39" s="30" t="str">
        <f t="shared" si="1"/>
        <v>·</v>
      </c>
      <c r="K39" s="30" t="str">
        <f t="shared" si="2"/>
        <v>·</v>
      </c>
      <c r="L39" s="30" t="str">
        <f t="shared" si="3"/>
        <v>·</v>
      </c>
      <c r="M39" s="30" t="str">
        <f t="shared" si="4"/>
        <v>·</v>
      </c>
      <c r="N39" s="27" t="str">
        <f t="shared" si="5"/>
        <v/>
      </c>
      <c r="O39" s="30">
        <v>16</v>
      </c>
      <c r="P39" s="31"/>
      <c r="Q39" s="31"/>
      <c r="R39" s="31"/>
      <c r="S39" s="32"/>
      <c r="T39" s="32"/>
      <c r="U39" s="32"/>
      <c r="V39" s="32"/>
      <c r="W39" s="33"/>
      <c r="X39" s="33"/>
      <c r="Y39" s="33"/>
      <c r="Z39" s="33"/>
      <c r="AA39" s="33"/>
      <c r="AB39" s="34"/>
      <c r="AC39" s="34"/>
      <c r="AD39" s="34"/>
      <c r="AE39" s="34"/>
      <c r="AG39" s="29" t="str">
        <f t="shared" si="14"/>
        <v>·</v>
      </c>
      <c r="AH39" s="30" t="str">
        <f t="shared" si="15"/>
        <v>·</v>
      </c>
      <c r="AI39" s="30" t="str">
        <f t="shared" si="16"/>
        <v>·</v>
      </c>
      <c r="AJ39" s="30" t="str">
        <f t="shared" si="17"/>
        <v>·</v>
      </c>
      <c r="AK39" s="30" t="str">
        <f t="shared" si="18"/>
        <v>·</v>
      </c>
      <c r="AL39" s="27" t="str">
        <f t="shared" si="19"/>
        <v/>
      </c>
      <c r="AM39" s="30">
        <v>16</v>
      </c>
      <c r="AN39" s="31"/>
      <c r="AO39" s="31"/>
      <c r="AP39" s="31"/>
      <c r="AQ39" s="32"/>
      <c r="AR39" s="32"/>
      <c r="AS39" s="32"/>
      <c r="AT39" s="32"/>
      <c r="AU39" s="33"/>
      <c r="AV39" s="33"/>
      <c r="AW39" s="33"/>
      <c r="AX39" s="33"/>
      <c r="AY39" s="33"/>
      <c r="AZ39" s="34"/>
      <c r="BA39" s="34"/>
      <c r="BB39" s="34"/>
      <c r="BC39" s="34"/>
      <c r="BE39" s="35" t="e">
        <f t="shared" si="21"/>
        <v>#DIV/0!</v>
      </c>
      <c r="BF39" s="35" t="e">
        <f t="shared" si="13"/>
        <v>#VALUE!</v>
      </c>
      <c r="BG39" s="35"/>
      <c r="BI39" s="123"/>
      <c r="BJ39" s="123"/>
      <c r="BK39" s="123"/>
      <c r="BL39" s="123"/>
      <c r="BM39" s="123"/>
      <c r="BN39" s="121"/>
      <c r="BO39" s="123"/>
      <c r="BP39" s="123"/>
      <c r="BQ39" s="123"/>
      <c r="BR39" s="123"/>
      <c r="BS39" s="123"/>
    </row>
    <row r="40" spans="1:71" ht="16" x14ac:dyDescent="0.2">
      <c r="B40" s="47" t="s">
        <v>16</v>
      </c>
      <c r="J40" s="48">
        <f>AVERAGE(J5:J24)</f>
        <v>2.0093867636664771E-2</v>
      </c>
      <c r="K40" s="48">
        <f>AVERAGE(K5:K24)</f>
        <v>9.7221395260839293E-3</v>
      </c>
      <c r="L40" s="48">
        <f>AVERAGE(L5:L24)</f>
        <v>6.8467767919660541E-3</v>
      </c>
      <c r="M40" s="48">
        <f>AVERAGE(M5:M24)</f>
        <v>1.0369283515510783E-2</v>
      </c>
      <c r="AH40" s="48">
        <f>AVERAGE(AH5:AH24)</f>
        <v>2.0093867636664771E-2</v>
      </c>
      <c r="AI40" s="48">
        <f>AVERAGE(AI5:AI24)</f>
        <v>9.7221395260839293E-3</v>
      </c>
      <c r="AJ40" s="48">
        <f>AVERAGE(AJ5:AJ24)</f>
        <v>6.8467767919660541E-3</v>
      </c>
      <c r="AK40" s="48">
        <f>AVERAGE(AK5:AK24)</f>
        <v>1.0369283515510783E-2</v>
      </c>
      <c r="BG40" s="103">
        <f>AVERAGE(BG5:BG24)</f>
        <v>0</v>
      </c>
      <c r="BI40" s="98">
        <f>AVERAGE(BI5:BI24)</f>
        <v>0</v>
      </c>
      <c r="BJ40" s="98">
        <f>AVERAGE(BJ5:BJ24)</f>
        <v>0</v>
      </c>
      <c r="BK40" s="98">
        <f>AVERAGE(BK5:BK24)</f>
        <v>0</v>
      </c>
      <c r="BL40" s="98">
        <f>AVERAGE(BL5:BL24)</f>
        <v>0</v>
      </c>
      <c r="BM40" s="98">
        <f>AVERAGE(BM5:BM24)</f>
        <v>0</v>
      </c>
      <c r="BO40" s="98">
        <f>AVERAGE(BO5:BO24)</f>
        <v>0</v>
      </c>
      <c r="BP40" s="98">
        <f>AVERAGE(BP5:BP24)</f>
        <v>0</v>
      </c>
      <c r="BQ40" s="98">
        <f>AVERAGE(BQ5:BQ24)</f>
        <v>0</v>
      </c>
      <c r="BR40" s="98">
        <f>AVERAGE(BR5:BR24)</f>
        <v>0</v>
      </c>
      <c r="BS40" s="98">
        <f>AVERAGE(BS5:BS24)</f>
        <v>0</v>
      </c>
    </row>
    <row r="41" spans="1:71" ht="16" x14ac:dyDescent="0.2">
      <c r="B41" s="47" t="s">
        <v>17</v>
      </c>
      <c r="J41" s="48">
        <f>AVERAGE(J25:J29)</f>
        <v>4.3502352759677398E-2</v>
      </c>
      <c r="K41" s="48">
        <f>AVERAGE(K25:K29)</f>
        <v>1.1549073003905456E-2</v>
      </c>
      <c r="L41" s="48">
        <f>AVERAGE(L25:L29)</f>
        <v>8.5166014500465716E-3</v>
      </c>
      <c r="M41" s="48">
        <f>AVERAGE(M25:M29)</f>
        <v>3.1950818655755005E-2</v>
      </c>
      <c r="AH41" s="48">
        <f>AVERAGE(AH25:AH29)</f>
        <v>4.3501630410841249E-2</v>
      </c>
      <c r="AI41" s="48">
        <f>AVERAGE(AI25:AI29)</f>
        <v>1.1548350655069314E-2</v>
      </c>
      <c r="AJ41" s="48">
        <f>AVERAGE(AJ25:AJ29)</f>
        <v>8.5166014500465716E-3</v>
      </c>
      <c r="AK41" s="48">
        <f>AVERAGE(AK25:AK29)</f>
        <v>3.1950818655755005E-2</v>
      </c>
      <c r="BG41" s="103">
        <f>AVERAGE(BG25:BG29)</f>
        <v>-5.0323063932045109E-6</v>
      </c>
      <c r="BI41" s="98">
        <f>AVERAGE(BI25:BI29)</f>
        <v>-1.2574825574596105E-5</v>
      </c>
      <c r="BJ41" s="98">
        <f>AVERAGE(BJ25:BJ29)</f>
        <v>-1.8194097860524394E-5</v>
      </c>
      <c r="BK41" s="98">
        <f>AVERAGE(BK25:BK29)</f>
        <v>0</v>
      </c>
      <c r="BL41" s="98">
        <f>AVERAGE(BL25:BL29)</f>
        <v>0</v>
      </c>
      <c r="BM41" s="98">
        <f>AVERAGE(BM25:BM29)</f>
        <v>0</v>
      </c>
      <c r="BO41" s="98">
        <f>AVERAGE(BO25:BO29)</f>
        <v>-2.2890735148495267E-6</v>
      </c>
      <c r="BP41" s="98">
        <f>AVERAGE(BP25:BP29)</f>
        <v>-3.3734565092480295E-6</v>
      </c>
      <c r="BQ41" s="98">
        <f>AVERAGE(BQ25:BQ29)</f>
        <v>-3.2957210988060481E-6</v>
      </c>
      <c r="BR41" s="98">
        <f>AVERAGE(BR25:BR29)</f>
        <v>-3.9295612243028799E-6</v>
      </c>
      <c r="BS41" s="98">
        <f>AVERAGE(BS25:BS29)</f>
        <v>-3.6955593213372495E-6</v>
      </c>
    </row>
    <row r="42" spans="1:71" ht="16" x14ac:dyDescent="0.2">
      <c r="B42" s="47" t="s">
        <v>18</v>
      </c>
      <c r="J42" s="48">
        <f>AVERAGE(J5:J29)</f>
        <v>2.4775564661267294E-2</v>
      </c>
      <c r="K42" s="48">
        <f>AVERAGE(K5:K29)</f>
        <v>1.0087526221648234E-2</v>
      </c>
      <c r="L42" s="48">
        <f>AVERAGE(L5:L29)</f>
        <v>7.180741723582156E-3</v>
      </c>
      <c r="M42" s="48">
        <f>AVERAGE(M5:M29)</f>
        <v>1.4685590543559628E-2</v>
      </c>
      <c r="AH42" s="48">
        <f>AVERAGE(AH5:AH29)</f>
        <v>2.4775420191500065E-2</v>
      </c>
      <c r="AI42" s="48">
        <f>AVERAGE(AI5:AI29)</f>
        <v>1.0087381751881007E-2</v>
      </c>
      <c r="AJ42" s="48">
        <f>AVERAGE(AJ5:AJ29)</f>
        <v>7.180741723582156E-3</v>
      </c>
      <c r="AK42" s="48">
        <f>AVERAGE(AK5:AK29)</f>
        <v>1.4685590543559628E-2</v>
      </c>
      <c r="BG42" s="103">
        <f>AVERAGE(BG5:BG29)</f>
        <v>-1.0064612786409021E-6</v>
      </c>
      <c r="BI42" s="98">
        <f>AVERAGE(BI5:BI29)</f>
        <v>-2.5149651149192208E-6</v>
      </c>
      <c r="BJ42" s="98">
        <f>AVERAGE(BJ5:BJ29)</f>
        <v>-3.6388195721048788E-6</v>
      </c>
      <c r="BK42" s="98">
        <f>AVERAGE(BK5:BK29)</f>
        <v>0</v>
      </c>
      <c r="BL42" s="98">
        <f>AVERAGE(BL5:BL29)</f>
        <v>0</v>
      </c>
      <c r="BM42" s="98">
        <f>AVERAGE(BM5:BM29)</f>
        <v>0</v>
      </c>
      <c r="BO42" s="98">
        <f>AVERAGE(BO5:BO29)</f>
        <v>-4.5781470296990535E-7</v>
      </c>
      <c r="BP42" s="98">
        <f>AVERAGE(BP5:BP29)</f>
        <v>-6.7469130184960589E-7</v>
      </c>
      <c r="BQ42" s="98">
        <f>AVERAGE(BQ5:BQ29)</f>
        <v>-6.5914421976120963E-7</v>
      </c>
      <c r="BR42" s="98">
        <f>AVERAGE(BR5:BR29)</f>
        <v>-7.8591224486057596E-7</v>
      </c>
      <c r="BS42" s="98">
        <f>AVERAGE(BS5:BS29)</f>
        <v>-7.391118642674499E-7</v>
      </c>
    </row>
    <row r="43" spans="1:71" ht="16" outlineLevel="2" x14ac:dyDescent="0.2">
      <c r="A43" s="47" t="s">
        <v>235</v>
      </c>
      <c r="B43" s="47" t="s">
        <v>236</v>
      </c>
      <c r="AB43" s="49">
        <f>SUM(AB5:AB24,AB25:AB29)</f>
        <v>82160.87000000001</v>
      </c>
      <c r="AC43" s="49">
        <f>SUM(AC5:AC24,AC25:AC29)</f>
        <v>93142.35</v>
      </c>
      <c r="AD43" s="49">
        <f>SUM(AD5:AD24,AD25:AD29)</f>
        <v>284.26299999999998</v>
      </c>
      <c r="AE43" s="49">
        <f>SUM(AE5:AE24,AE25:AE29)</f>
        <v>455.46999999999991</v>
      </c>
      <c r="AZ43" s="49">
        <f>SUM(AZ5:AZ24,AZ25:AZ29)</f>
        <v>74457.12999999999</v>
      </c>
      <c r="BA43" s="49">
        <f>SUM(BA5:BA24,BA25:BA29)</f>
        <v>87744.430000000022</v>
      </c>
      <c r="BB43" s="49">
        <f>SUM(BB5:BB24,BB25:BB29)</f>
        <v>273.72700000000003</v>
      </c>
      <c r="BC43" s="49">
        <f>SUM(BC5:BC24,BC25:BC29)</f>
        <v>434.76200000000006</v>
      </c>
    </row>
    <row r="44" spans="1:71" ht="16" outlineLevel="2" x14ac:dyDescent="0.2">
      <c r="B44" s="47" t="s">
        <v>237</v>
      </c>
      <c r="AZ44" s="103">
        <f>AZ43/AB43</f>
        <v>0.90623590037447244</v>
      </c>
      <c r="BA44" s="103">
        <f>BA43/AC43</f>
        <v>0.94204655562158368</v>
      </c>
      <c r="BB44" s="103">
        <f>BB43/AD43</f>
        <v>0.96293573205095295</v>
      </c>
      <c r="BC44" s="103">
        <f>BC43/AE43</f>
        <v>0.95453487606208998</v>
      </c>
    </row>
    <row r="45" spans="1:71" ht="16" outlineLevel="2" x14ac:dyDescent="0.2">
      <c r="B45" s="47" t="s">
        <v>238</v>
      </c>
      <c r="AB45" s="49">
        <f>GEOMEAN(AB5:AB24,AB25:AB29)</f>
        <v>3212.2471274013305</v>
      </c>
      <c r="AC45" s="49">
        <f>GEOMEAN(AC5:AC24,AC25:AC29)</f>
        <v>3543.9939517308121</v>
      </c>
      <c r="AD45" s="49">
        <f>GEOMEAN(AD5:AD24,AD25:AD29)</f>
        <v>11.167624241225115</v>
      </c>
      <c r="AE45" s="49">
        <f>GEOMEAN(AE5:AE24,AE25:AE29)</f>
        <v>17.523284375558326</v>
      </c>
      <c r="AZ45" s="49">
        <f>GEOMEAN(AZ5:AZ24,AZ25:AZ29)</f>
        <v>2890.0564453204133</v>
      </c>
      <c r="BA45" s="49">
        <f>GEOMEAN(BA5:BA24,BA25:BA29)</f>
        <v>3328.3193582513745</v>
      </c>
      <c r="BB45" s="49">
        <f>GEOMEAN(BB5:BB24,BB25:BB29)</f>
        <v>10.64985609120766</v>
      </c>
      <c r="BC45" s="49">
        <f>GEOMEAN(BC5:BC24,BC25:BC29)</f>
        <v>16.653599568860173</v>
      </c>
    </row>
    <row r="46" spans="1:71" ht="16" outlineLevel="2" collapsed="1" x14ac:dyDescent="0.2">
      <c r="B46" s="47" t="s">
        <v>239</v>
      </c>
      <c r="AZ46" s="103">
        <f>AZ45/AB45</f>
        <v>0.89969928548381473</v>
      </c>
      <c r="BA46" s="103">
        <f>BA45/AC45</f>
        <v>0.93914363387270827</v>
      </c>
      <c r="BB46" s="103">
        <f>BB45/AD45</f>
        <v>0.95363667877487124</v>
      </c>
      <c r="BC46" s="103">
        <f>BC45/AE45</f>
        <v>0.95036976013976016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:BM29 BO5:BS29 BO40:BS42 BI40:BM42">
    <cfRule type="cellIs" dxfId="61" priority="61" operator="greaterThanOrEqual">
      <formula>0.03</formula>
    </cfRule>
    <cfRule type="cellIs" dxfId="60" priority="62" operator="lessThanOrEqual">
      <formula>-0.03</formula>
    </cfRule>
  </conditionalFormatting>
  <conditionalFormatting sqref="BO35:BO39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BR35:BR39">
    <cfRule type="cellIs" dxfId="57" priority="1" operator="greaterThanOrEqual">
      <formula>0.03</formula>
    </cfRule>
    <cfRule type="cellIs" dxfId="56" priority="2" operator="lessThanOrEqual">
      <formula>-0.03</formula>
    </cfRule>
  </conditionalFormatting>
  <conditionalFormatting sqref="BI30:BI34">
    <cfRule type="cellIs" dxfId="55" priority="33" operator="greaterThanOrEqual">
      <formula>0.03</formula>
    </cfRule>
    <cfRule type="cellIs" dxfId="54" priority="34" operator="lessThanOrEqual">
      <formula>-0.03</formula>
    </cfRule>
  </conditionalFormatting>
  <conditionalFormatting sqref="BJ30:BJ34">
    <cfRule type="cellIs" dxfId="53" priority="31" operator="greaterThanOrEqual">
      <formula>0.03</formula>
    </cfRule>
    <cfRule type="cellIs" dxfId="52" priority="32" operator="lessThanOrEqual">
      <formula>-0.03</formula>
    </cfRule>
  </conditionalFormatting>
  <conditionalFormatting sqref="BK30:BK34">
    <cfRule type="cellIs" dxfId="51" priority="37" operator="greaterThanOrEqual">
      <formula>0.03</formula>
    </cfRule>
    <cfRule type="cellIs" dxfId="50" priority="38" operator="lessThanOrEqual">
      <formula>-0.03</formula>
    </cfRule>
  </conditionalFormatting>
  <conditionalFormatting sqref="BL30:BL34">
    <cfRule type="cellIs" dxfId="49" priority="29" operator="greaterThanOrEqual">
      <formula>0.03</formula>
    </cfRule>
    <cfRule type="cellIs" dxfId="48" priority="30" operator="lessThanOrEqual">
      <formula>-0.03</formula>
    </cfRule>
  </conditionalFormatting>
  <conditionalFormatting sqref="BM30:BM34">
    <cfRule type="cellIs" dxfId="47" priority="25" operator="greaterThanOrEqual">
      <formula>0.03</formula>
    </cfRule>
    <cfRule type="cellIs" dxfId="46" priority="26" operator="lessThanOrEqual">
      <formula>-0.03</formula>
    </cfRule>
  </conditionalFormatting>
  <conditionalFormatting sqref="BO30:BO34">
    <cfRule type="cellIs" dxfId="45" priority="23" operator="greaterThanOrEqual">
      <formula>0.03</formula>
    </cfRule>
    <cfRule type="cellIs" dxfId="44" priority="24" operator="lessThanOrEqual">
      <formula>-0.03</formula>
    </cfRule>
  </conditionalFormatting>
  <conditionalFormatting sqref="BP30:BP34">
    <cfRule type="cellIs" dxfId="43" priority="39" operator="greaterThanOrEqual">
      <formula>0.03</formula>
    </cfRule>
    <cfRule type="cellIs" dxfId="42" priority="40" operator="lessThanOrEqual">
      <formula>-0.03</formula>
    </cfRule>
  </conditionalFormatting>
  <conditionalFormatting sqref="BQ30:BQ34">
    <cfRule type="cellIs" dxfId="41" priority="35" operator="greaterThanOrEqual">
      <formula>0.03</formula>
    </cfRule>
    <cfRule type="cellIs" dxfId="40" priority="36" operator="lessThanOrEqual">
      <formula>-0.03</formula>
    </cfRule>
  </conditionalFormatting>
  <conditionalFormatting sqref="BR30:BR34">
    <cfRule type="cellIs" dxfId="39" priority="21" operator="greaterThanOrEqual">
      <formula>0.03</formula>
    </cfRule>
    <cfRule type="cellIs" dxfId="38" priority="22" operator="lessThanOrEqual">
      <formula>-0.03</formula>
    </cfRule>
  </conditionalFormatting>
  <conditionalFormatting sqref="BS30:BS34">
    <cfRule type="cellIs" dxfId="37" priority="27" operator="greaterThanOrEqual">
      <formula>0.03</formula>
    </cfRule>
    <cfRule type="cellIs" dxfId="36" priority="28" operator="lessThanOrEqual">
      <formula>-0.03</formula>
    </cfRule>
  </conditionalFormatting>
  <conditionalFormatting sqref="BI35:BI39">
    <cfRule type="cellIs" dxfId="35" priority="13" operator="greaterThanOrEqual">
      <formula>0.03</formula>
    </cfRule>
    <cfRule type="cellIs" dxfId="34" priority="14" operator="lessThanOrEqual">
      <formula>-0.03</formula>
    </cfRule>
  </conditionalFormatting>
  <conditionalFormatting sqref="BJ35:BJ39">
    <cfRule type="cellIs" dxfId="33" priority="11" operator="greaterThanOrEqual">
      <formula>0.03</formula>
    </cfRule>
    <cfRule type="cellIs" dxfId="32" priority="12" operator="lessThanOrEqual">
      <formula>-0.03</formula>
    </cfRule>
  </conditionalFormatting>
  <conditionalFormatting sqref="BK35:BK39">
    <cfRule type="cellIs" dxfId="31" priority="17" operator="greaterThanOrEqual">
      <formula>0.03</formula>
    </cfRule>
    <cfRule type="cellIs" dxfId="30" priority="18" operator="lessThanOrEqual">
      <formula>-0.03</formula>
    </cfRule>
  </conditionalFormatting>
  <conditionalFormatting sqref="BL35:BL39">
    <cfRule type="cellIs" dxfId="29" priority="9" operator="greaterThanOrEqual">
      <formula>0.03</formula>
    </cfRule>
    <cfRule type="cellIs" dxfId="28" priority="10" operator="lessThanOrEqual">
      <formula>-0.03</formula>
    </cfRule>
  </conditionalFormatting>
  <conditionalFormatting sqref="BM35:BM39">
    <cfRule type="cellIs" dxfId="27" priority="5" operator="greaterThanOrEqual">
      <formula>0.03</formula>
    </cfRule>
    <cfRule type="cellIs" dxfId="26" priority="6" operator="lessThanOrEqual">
      <formula>-0.03</formula>
    </cfRule>
  </conditionalFormatting>
  <conditionalFormatting sqref="BP35:BP39">
    <cfRule type="cellIs" dxfId="23" priority="19" operator="greaterThanOrEqual">
      <formula>0.03</formula>
    </cfRule>
    <cfRule type="cellIs" dxfId="22" priority="20" operator="lessThanOrEqual">
      <formula>-0.03</formula>
    </cfRule>
  </conditionalFormatting>
  <conditionalFormatting sqref="BQ35:BQ39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BS35:BS39">
    <cfRule type="cellIs" dxfId="17" priority="7" operator="greaterThanOrEqual">
      <formula>0.03</formula>
    </cfRule>
    <cfRule type="cellIs" dxfId="16" priority="8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2E08A-B25A-EC4A-B74E-F85122E36061}">
  <dimension ref="A1:X12"/>
  <sheetViews>
    <sheetView workbookViewId="0">
      <selection activeCell="S21" sqref="S21"/>
    </sheetView>
  </sheetViews>
  <sheetFormatPr baseColWidth="10" defaultColWidth="8.83203125" defaultRowHeight="15" x14ac:dyDescent="0.2"/>
  <cols>
    <col min="1" max="1" width="2.5" style="4" customWidth="1"/>
    <col min="2" max="2" width="6.1640625" style="4" customWidth="1"/>
    <col min="3" max="18" width="6.83203125" style="4" customWidth="1"/>
    <col min="19" max="16384" width="8.83203125" style="4"/>
  </cols>
  <sheetData>
    <row r="1" spans="1:24" ht="16" thickBot="1" x14ac:dyDescent="0.25"/>
    <row r="2" spans="1:24" ht="16" thickBot="1" x14ac:dyDescent="0.25">
      <c r="A2" s="158" t="s">
        <v>140</v>
      </c>
      <c r="B2" s="161" t="s">
        <v>552</v>
      </c>
      <c r="C2" s="162" t="s">
        <v>553</v>
      </c>
      <c r="D2" s="163"/>
      <c r="E2" s="164"/>
      <c r="F2" s="162" t="s">
        <v>554</v>
      </c>
      <c r="G2" s="163"/>
      <c r="H2" s="164"/>
      <c r="I2" s="162" t="s">
        <v>555</v>
      </c>
      <c r="J2" s="163"/>
      <c r="K2" s="163"/>
      <c r="L2" s="163"/>
      <c r="M2" s="164"/>
      <c r="N2" s="162" t="s">
        <v>556</v>
      </c>
      <c r="O2" s="163"/>
      <c r="P2" s="163"/>
      <c r="Q2" s="163"/>
      <c r="R2" s="164"/>
    </row>
    <row r="3" spans="1:24" ht="14.5" customHeight="1" x14ac:dyDescent="0.2">
      <c r="A3" s="159"/>
      <c r="B3" s="148"/>
      <c r="C3" s="165" t="s">
        <v>23</v>
      </c>
      <c r="D3" s="152"/>
      <c r="E3" s="154"/>
      <c r="F3" s="165" t="s">
        <v>23</v>
      </c>
      <c r="G3" s="152"/>
      <c r="H3" s="154"/>
      <c r="I3" s="151" t="s">
        <v>9</v>
      </c>
      <c r="J3" s="152"/>
      <c r="K3" s="153" t="s">
        <v>10</v>
      </c>
      <c r="L3" s="152"/>
      <c r="M3" s="154"/>
      <c r="N3" s="151" t="s">
        <v>9</v>
      </c>
      <c r="O3" s="152"/>
      <c r="P3" s="153" t="s">
        <v>10</v>
      </c>
      <c r="Q3" s="152"/>
      <c r="R3" s="154"/>
      <c r="T3" s="155" t="s">
        <v>557</v>
      </c>
      <c r="U3" s="156" t="s">
        <v>33</v>
      </c>
      <c r="V3" s="138"/>
      <c r="W3" s="156" t="s">
        <v>34</v>
      </c>
      <c r="X3" s="138"/>
    </row>
    <row r="4" spans="1:24" ht="17" thickBot="1" x14ac:dyDescent="0.25">
      <c r="A4" s="160"/>
      <c r="B4" s="150"/>
      <c r="C4" s="57" t="s">
        <v>25</v>
      </c>
      <c r="D4" s="58" t="s">
        <v>558</v>
      </c>
      <c r="E4" s="59" t="s">
        <v>26</v>
      </c>
      <c r="F4" s="57" t="s">
        <v>25</v>
      </c>
      <c r="G4" s="58" t="s">
        <v>558</v>
      </c>
      <c r="H4" s="59" t="s">
        <v>26</v>
      </c>
      <c r="I4" s="57" t="s">
        <v>11</v>
      </c>
      <c r="J4" s="58" t="s">
        <v>12</v>
      </c>
      <c r="K4" s="58" t="s">
        <v>13</v>
      </c>
      <c r="L4" s="58" t="s">
        <v>559</v>
      </c>
      <c r="M4" s="59" t="s">
        <v>560</v>
      </c>
      <c r="N4" s="57" t="s">
        <v>11</v>
      </c>
      <c r="O4" s="58" t="s">
        <v>12</v>
      </c>
      <c r="P4" s="58" t="s">
        <v>13</v>
      </c>
      <c r="Q4" s="58" t="s">
        <v>561</v>
      </c>
      <c r="R4" s="59" t="s">
        <v>560</v>
      </c>
      <c r="T4" s="136"/>
      <c r="U4" s="60" t="s">
        <v>35</v>
      </c>
      <c r="V4" s="61" t="s">
        <v>36</v>
      </c>
      <c r="W4" s="62" t="s">
        <v>35</v>
      </c>
      <c r="X4" s="61" t="s">
        <v>36</v>
      </c>
    </row>
    <row r="5" spans="1:24" x14ac:dyDescent="0.2">
      <c r="A5" s="63" t="s">
        <v>562</v>
      </c>
      <c r="B5" s="106" t="s">
        <v>563</v>
      </c>
      <c r="C5" s="64">
        <f>'CW losslG,losslA,intra'!BB5</f>
        <v>1</v>
      </c>
      <c r="D5" s="107">
        <f>'CW losslG,losslA,intra'!BC5</f>
        <v>1</v>
      </c>
      <c r="E5" s="108">
        <f>'CW losslG,losslA,intra'!BD5</f>
        <v>1</v>
      </c>
      <c r="F5" s="64">
        <f>'CW losslG,losslA,interLD'!BB5</f>
        <v>1</v>
      </c>
      <c r="G5" s="107">
        <f>'CW losslG,losslA,interLD'!BC5</f>
        <v>1</v>
      </c>
      <c r="H5" s="108">
        <f>'CW losslG,losslA,interLD'!BD5</f>
        <v>1</v>
      </c>
      <c r="I5" s="64">
        <f>'C2 lossyG,lossyA,intra'!BO5</f>
        <v>0</v>
      </c>
      <c r="J5" s="107">
        <f>'C2 lossyG,lossyA,intra'!BP5</f>
        <v>0</v>
      </c>
      <c r="K5" s="107">
        <f>'C2 lossyG,lossyA,intra'!BQ5</f>
        <v>0</v>
      </c>
      <c r="L5" s="107">
        <f>'C2 lossyG,lossyA,intra'!BR5</f>
        <v>0</v>
      </c>
      <c r="M5" s="108">
        <f>'C2 lossyG,lossyA,intra'!BS5</f>
        <v>0</v>
      </c>
      <c r="N5" s="64">
        <f>'C2 lossyG,lossyA,interRA'!BO5</f>
        <v>0</v>
      </c>
      <c r="O5" s="107">
        <f>'C2 lossyG,lossyA,interRA'!BP5</f>
        <v>0</v>
      </c>
      <c r="P5" s="107">
        <f>'C2 lossyG,lossyA,interRA'!BQ5</f>
        <v>0</v>
      </c>
      <c r="Q5" s="107">
        <f>'C2 lossyG,lossyA,interRA'!BR5</f>
        <v>0</v>
      </c>
      <c r="R5" s="108">
        <f>'C2 lossyG,lossyA,interRA'!BS5</f>
        <v>0</v>
      </c>
      <c r="T5" s="65" t="s">
        <v>553</v>
      </c>
      <c r="U5" s="66" t="e">
        <f>'CW losslG,losslA,intra'!AW18</f>
        <v>#NUM!</v>
      </c>
      <c r="V5" s="67" t="e">
        <f>'CW losslG,losslA,intra'!AX18</f>
        <v>#NUM!</v>
      </c>
      <c r="W5" s="66" t="e">
        <f>'CW losslG,losslA,intra'!AY18</f>
        <v>#NUM!</v>
      </c>
      <c r="X5" s="67" t="e">
        <f>'CW losslG,losslA,intra'!AZ18</f>
        <v>#NUM!</v>
      </c>
    </row>
    <row r="6" spans="1:24" x14ac:dyDescent="0.2">
      <c r="A6" s="68"/>
      <c r="B6" s="69" t="s">
        <v>564</v>
      </c>
      <c r="C6" s="70">
        <f>'CW losslG,losslA,intra'!BB6</f>
        <v>1</v>
      </c>
      <c r="D6" s="71">
        <f>'CW losslG,losslA,intra'!BC6</f>
        <v>1</v>
      </c>
      <c r="E6" s="72">
        <f>'CW losslG,losslA,intra'!BD6</f>
        <v>1</v>
      </c>
      <c r="F6" s="70">
        <f>'CW losslG,losslA,interLD'!BB6</f>
        <v>1</v>
      </c>
      <c r="G6" s="71">
        <f>'CW losslG,losslA,interLD'!BC6</f>
        <v>1</v>
      </c>
      <c r="H6" s="72">
        <f>'CW losslG,losslA,interLD'!BD6</f>
        <v>1</v>
      </c>
      <c r="I6" s="70">
        <f>'C2 lossyG,lossyA,intra'!BO10</f>
        <v>0</v>
      </c>
      <c r="J6" s="71">
        <f>'C2 lossyG,lossyA,intra'!BP10</f>
        <v>0</v>
      </c>
      <c r="K6" s="71">
        <f>'C2 lossyG,lossyA,intra'!BQ10</f>
        <v>0</v>
      </c>
      <c r="L6" s="71">
        <f>'C2 lossyG,lossyA,intra'!BR10</f>
        <v>0</v>
      </c>
      <c r="M6" s="72">
        <f>'C2 lossyG,lossyA,intra'!BS10</f>
        <v>0</v>
      </c>
      <c r="N6" s="70">
        <f>'C2 lossyG,lossyA,interRA'!BO10</f>
        <v>0</v>
      </c>
      <c r="O6" s="71">
        <f>'C2 lossyG,lossyA,interRA'!BP10</f>
        <v>0</v>
      </c>
      <c r="P6" s="71">
        <f>'C2 lossyG,lossyA,interRA'!BQ10</f>
        <v>0</v>
      </c>
      <c r="Q6" s="71">
        <f>'C2 lossyG,lossyA,interRA'!BR10</f>
        <v>0</v>
      </c>
      <c r="R6" s="72">
        <f>'C2 lossyG,lossyA,interRA'!BS10</f>
        <v>0</v>
      </c>
      <c r="T6" s="73" t="s">
        <v>554</v>
      </c>
      <c r="U6" s="74" t="e">
        <f>'CW losslG,losslA,interLD'!AW18</f>
        <v>#NUM!</v>
      </c>
      <c r="V6" s="75" t="e">
        <f>'CW losslG,losslA,interLD'!AX18</f>
        <v>#NUM!</v>
      </c>
      <c r="W6" s="74" t="e">
        <f>'CW losslG,losslA,interLD'!AY18</f>
        <v>#NUM!</v>
      </c>
      <c r="X6" s="75" t="e">
        <f>'CW losslG,losslA,interLD'!AZ18</f>
        <v>#NUM!</v>
      </c>
    </row>
    <row r="7" spans="1:24" x14ac:dyDescent="0.2">
      <c r="A7" s="76"/>
      <c r="B7" s="77" t="s">
        <v>565</v>
      </c>
      <c r="C7" s="78">
        <f>'CW losslG,losslA,intra'!BB7</f>
        <v>1</v>
      </c>
      <c r="D7" s="79">
        <f>'CW losslG,losslA,intra'!BC7</f>
        <v>1</v>
      </c>
      <c r="E7" s="80">
        <f>'CW losslG,losslA,intra'!BD7</f>
        <v>1</v>
      </c>
      <c r="F7" s="78">
        <f>'CW losslG,losslA,interLD'!BB7</f>
        <v>1</v>
      </c>
      <c r="G7" s="79">
        <f>'CW losslG,losslA,interLD'!BC7</f>
        <v>1</v>
      </c>
      <c r="H7" s="80">
        <f>'CW losslG,losslA,interLD'!BD7</f>
        <v>1</v>
      </c>
      <c r="I7" s="78">
        <f>'C2 lossyG,lossyA,intra'!BO15</f>
        <v>0</v>
      </c>
      <c r="J7" s="79">
        <f>'C2 lossyG,lossyA,intra'!BP15</f>
        <v>0</v>
      </c>
      <c r="K7" s="79">
        <f>'C2 lossyG,lossyA,intra'!BQ15</f>
        <v>0</v>
      </c>
      <c r="L7" s="79">
        <f>'C2 lossyG,lossyA,intra'!BR15</f>
        <v>0</v>
      </c>
      <c r="M7" s="80">
        <f>'C2 lossyG,lossyA,intra'!BS15</f>
        <v>0</v>
      </c>
      <c r="N7" s="78">
        <f>'C2 lossyG,lossyA,interRA'!BO15</f>
        <v>0</v>
      </c>
      <c r="O7" s="79">
        <f>'C2 lossyG,lossyA,interRA'!BP15</f>
        <v>0</v>
      </c>
      <c r="P7" s="79">
        <f>'C2 lossyG,lossyA,interRA'!BQ15</f>
        <v>0</v>
      </c>
      <c r="Q7" s="79">
        <f>'C2 lossyG,lossyA,interRA'!BR15</f>
        <v>0</v>
      </c>
      <c r="R7" s="80">
        <f>'C2 lossyG,lossyA,interRA'!BS15</f>
        <v>0</v>
      </c>
      <c r="T7" s="81" t="s">
        <v>555</v>
      </c>
      <c r="U7" s="82">
        <f>'C2 lossyG,lossyA,intra'!AZ46</f>
        <v>0.96552404780299583</v>
      </c>
      <c r="V7" s="83">
        <f>'C2 lossyG,lossyA,intra'!BA46</f>
        <v>0.97462916335975835</v>
      </c>
      <c r="W7" s="82">
        <f>'C2 lossyG,lossyA,intra'!BB46</f>
        <v>0.99866283809399503</v>
      </c>
      <c r="X7" s="83">
        <f>'C2 lossyG,lossyA,intra'!BC46</f>
        <v>0.97556865399369574</v>
      </c>
    </row>
    <row r="8" spans="1:24" ht="16" thickBot="1" x14ac:dyDescent="0.25">
      <c r="A8" s="84"/>
      <c r="B8" s="37" t="s">
        <v>566</v>
      </c>
      <c r="C8" s="85">
        <f>'CW losslG,losslA,intra'!BB8</f>
        <v>1</v>
      </c>
      <c r="D8" s="46">
        <f>'CW losslG,losslA,intra'!BC8</f>
        <v>1</v>
      </c>
      <c r="E8" s="86">
        <f>'CW losslG,losslA,intra'!BD8</f>
        <v>1</v>
      </c>
      <c r="F8" s="85">
        <f>'CW losslG,losslA,interLD'!BB8</f>
        <v>1</v>
      </c>
      <c r="G8" s="46">
        <f>'CW losslG,losslA,interLD'!BC8</f>
        <v>1</v>
      </c>
      <c r="H8" s="86">
        <f>'CW losslG,losslA,interLD'!BD8</f>
        <v>1</v>
      </c>
      <c r="I8" s="85">
        <f>'C2 lossyG,lossyA,intra'!BO20</f>
        <v>0</v>
      </c>
      <c r="J8" s="46">
        <f>'C2 lossyG,lossyA,intra'!BP20</f>
        <v>0</v>
      </c>
      <c r="K8" s="46">
        <f>'C2 lossyG,lossyA,intra'!BQ20</f>
        <v>0</v>
      </c>
      <c r="L8" s="46">
        <f>'C2 lossyG,lossyA,intra'!BR20</f>
        <v>0</v>
      </c>
      <c r="M8" s="86">
        <f>'C2 lossyG,lossyA,intra'!BS20</f>
        <v>0</v>
      </c>
      <c r="N8" s="85">
        <f>'C2 lossyG,lossyA,interRA'!BO20</f>
        <v>0</v>
      </c>
      <c r="O8" s="46">
        <f>'C2 lossyG,lossyA,interRA'!BP20</f>
        <v>0</v>
      </c>
      <c r="P8" s="46">
        <f>'C2 lossyG,lossyA,interRA'!BQ20</f>
        <v>0</v>
      </c>
      <c r="Q8" s="46">
        <f>'C2 lossyG,lossyA,interRA'!BR20</f>
        <v>0</v>
      </c>
      <c r="R8" s="86">
        <f>'C2 lossyG,lossyA,interRA'!BS20</f>
        <v>0</v>
      </c>
      <c r="T8" s="87" t="s">
        <v>556</v>
      </c>
      <c r="U8" s="88">
        <f>'C2 lossyG,lossyA,interRA'!AZ46</f>
        <v>0.89969928548381473</v>
      </c>
      <c r="V8" s="89">
        <f>'C2 lossyG,lossyA,interRA'!BA46</f>
        <v>0.93914363387270827</v>
      </c>
      <c r="W8" s="88">
        <f>'C2 lossyG,lossyA,interRA'!BB46</f>
        <v>0.95363667877487124</v>
      </c>
      <c r="X8" s="89">
        <f>'C2 lossyG,lossyA,interRA'!BC46</f>
        <v>0.95036976013976016</v>
      </c>
    </row>
    <row r="9" spans="1:24" ht="16" thickBot="1" x14ac:dyDescent="0.25">
      <c r="A9" s="90" t="s">
        <v>567</v>
      </c>
      <c r="B9" s="27" t="s">
        <v>568</v>
      </c>
      <c r="C9" s="91">
        <f>'CW losslG,losslA,intra'!BB9</f>
        <v>1</v>
      </c>
      <c r="D9" s="36">
        <f>'CW losslG,losslA,intra'!BC9</f>
        <v>1</v>
      </c>
      <c r="E9" s="92">
        <f>'CW losslG,losslA,intra'!BD9</f>
        <v>1</v>
      </c>
      <c r="F9" s="91">
        <f>'CW losslG,losslA,interLD'!BB9</f>
        <v>1</v>
      </c>
      <c r="G9" s="36">
        <f>'CW losslG,losslA,interLD'!BC9</f>
        <v>1</v>
      </c>
      <c r="H9" s="92">
        <f>'CW losslG,losslA,interLD'!BD9</f>
        <v>1</v>
      </c>
      <c r="I9" s="91">
        <f>'C2 lossyG,lossyA,intra'!BO25</f>
        <v>0</v>
      </c>
      <c r="J9" s="36">
        <f>'C2 lossyG,lossyA,intra'!BP25</f>
        <v>0</v>
      </c>
      <c r="K9" s="36">
        <f>'C2 lossyG,lossyA,intra'!BQ25</f>
        <v>0</v>
      </c>
      <c r="L9" s="36">
        <f>'C2 lossyG,lossyA,intra'!BR25</f>
        <v>0</v>
      </c>
      <c r="M9" s="92">
        <f>'C2 lossyG,lossyA,intra'!BS25</f>
        <v>0</v>
      </c>
      <c r="N9" s="91">
        <f>'C2 lossyG,lossyA,interRA'!BO25</f>
        <v>-2.2890735148495267E-6</v>
      </c>
      <c r="O9" s="36">
        <f>'C2 lossyG,lossyA,interRA'!BP25</f>
        <v>-3.3734565092480295E-6</v>
      </c>
      <c r="P9" s="36">
        <f>'C2 lossyG,lossyA,interRA'!BQ25</f>
        <v>-3.2957210988060481E-6</v>
      </c>
      <c r="Q9" s="36">
        <f>'C2 lossyG,lossyA,interRA'!BR25</f>
        <v>-3.9295612243028799E-6</v>
      </c>
      <c r="R9" s="92">
        <f>'C2 lossyG,lossyA,interRA'!BS25</f>
        <v>-3.6955593213372495E-6</v>
      </c>
      <c r="T9" s="93" t="s">
        <v>569</v>
      </c>
      <c r="U9" s="94" t="e">
        <f>AVERAGE(U5:U8)</f>
        <v>#NUM!</v>
      </c>
      <c r="V9" s="95" t="e">
        <f>AVERAGE(V5:V8)</f>
        <v>#NUM!</v>
      </c>
      <c r="W9" s="96" t="e">
        <f>AVERAGE(W5:W8)</f>
        <v>#NUM!</v>
      </c>
      <c r="X9" s="95" t="e">
        <f>AVERAGE(X5:X8)</f>
        <v>#NUM!</v>
      </c>
    </row>
    <row r="10" spans="1:24" x14ac:dyDescent="0.2">
      <c r="A10" s="157" t="s">
        <v>570</v>
      </c>
      <c r="B10" s="154"/>
      <c r="C10" s="97">
        <f>'CW losslG,losslA,intra'!BB12</f>
        <v>1</v>
      </c>
      <c r="D10" s="98">
        <f>'CW losslG,losslA,intra'!BC12</f>
        <v>1</v>
      </c>
      <c r="E10" s="99">
        <f>'CW losslG,losslA,intra'!BD12</f>
        <v>1</v>
      </c>
      <c r="F10" s="97">
        <f>'CW losslG,losslA,interLD'!BB12</f>
        <v>1</v>
      </c>
      <c r="G10" s="98">
        <f>'CW losslG,losslA,interLD'!BC12</f>
        <v>1</v>
      </c>
      <c r="H10" s="99">
        <f>'CW losslG,losslA,interLD'!BD12</f>
        <v>1</v>
      </c>
      <c r="I10" s="97">
        <f>'C2 lossyG,lossyA,intra'!BO40</f>
        <v>0</v>
      </c>
      <c r="J10" s="98">
        <f>'C2 lossyG,lossyA,intra'!BP40</f>
        <v>0</v>
      </c>
      <c r="K10" s="98">
        <f>'C2 lossyG,lossyA,intra'!BQ40</f>
        <v>0</v>
      </c>
      <c r="L10" s="98">
        <f>'C2 lossyG,lossyA,intra'!BR40</f>
        <v>0</v>
      </c>
      <c r="M10" s="99">
        <f>'C2 lossyG,lossyA,intra'!BS40</f>
        <v>0</v>
      </c>
      <c r="N10" s="97">
        <f>'C2 lossyG,lossyA,interRA'!BO40</f>
        <v>0</v>
      </c>
      <c r="O10" s="98">
        <f>'C2 lossyG,lossyA,interRA'!BP40</f>
        <v>0</v>
      </c>
      <c r="P10" s="98">
        <f>'C2 lossyG,lossyA,interRA'!BQ40</f>
        <v>0</v>
      </c>
      <c r="Q10" s="98">
        <f>'C2 lossyG,lossyA,interRA'!BR40</f>
        <v>0</v>
      </c>
      <c r="R10" s="99">
        <f>'C2 lossyG,lossyA,interRA'!BS40</f>
        <v>0</v>
      </c>
    </row>
    <row r="11" spans="1:24" x14ac:dyDescent="0.2">
      <c r="A11" s="147" t="s">
        <v>571</v>
      </c>
      <c r="B11" s="148"/>
      <c r="C11" s="97">
        <f>'CW losslG,losslA,intra'!BB13</f>
        <v>1</v>
      </c>
      <c r="D11" s="98">
        <f>'CW losslG,losslA,intra'!BC13</f>
        <v>1</v>
      </c>
      <c r="E11" s="99">
        <f>'CW losslG,losslA,intra'!BD13</f>
        <v>1</v>
      </c>
      <c r="F11" s="97">
        <f>'CW losslG,losslA,interLD'!BB13</f>
        <v>1</v>
      </c>
      <c r="G11" s="98">
        <f>'CW losslG,losslA,interLD'!BC13</f>
        <v>1</v>
      </c>
      <c r="H11" s="99">
        <f>'CW losslG,losslA,interLD'!BD13</f>
        <v>1</v>
      </c>
      <c r="I11" s="97">
        <f>'C2 lossyG,lossyA,intra'!BO41</f>
        <v>0</v>
      </c>
      <c r="J11" s="98">
        <f>'C2 lossyG,lossyA,intra'!BP41</f>
        <v>0</v>
      </c>
      <c r="K11" s="98">
        <f>'C2 lossyG,lossyA,intra'!BQ41</f>
        <v>0</v>
      </c>
      <c r="L11" s="98">
        <f>'C2 lossyG,lossyA,intra'!BR41</f>
        <v>0</v>
      </c>
      <c r="M11" s="99">
        <f>'C2 lossyG,lossyA,intra'!BS41</f>
        <v>0</v>
      </c>
      <c r="N11" s="97">
        <f>'C2 lossyG,lossyA,interRA'!BO41</f>
        <v>-2.2890735148495267E-6</v>
      </c>
      <c r="O11" s="98">
        <f>'C2 lossyG,lossyA,interRA'!BP41</f>
        <v>-3.3734565092480295E-6</v>
      </c>
      <c r="P11" s="98">
        <f>'C2 lossyG,lossyA,interRA'!BQ41</f>
        <v>-3.2957210988060481E-6</v>
      </c>
      <c r="Q11" s="98">
        <f>'C2 lossyG,lossyA,interRA'!BR41</f>
        <v>-3.9295612243028799E-6</v>
      </c>
      <c r="R11" s="99">
        <f>'C2 lossyG,lossyA,interRA'!BS41</f>
        <v>-3.6955593213372495E-6</v>
      </c>
    </row>
    <row r="12" spans="1:24" ht="16" thickBot="1" x14ac:dyDescent="0.25">
      <c r="A12" s="149" t="s">
        <v>18</v>
      </c>
      <c r="B12" s="150"/>
      <c r="C12" s="100">
        <f>'CW losslG,losslA,intra'!BB14</f>
        <v>1</v>
      </c>
      <c r="D12" s="101">
        <f>'CW losslG,losslA,intra'!BC14</f>
        <v>1</v>
      </c>
      <c r="E12" s="102">
        <f>'CW losslG,losslA,intra'!BD14</f>
        <v>1</v>
      </c>
      <c r="F12" s="100">
        <f>'CW losslG,losslA,interLD'!BB14</f>
        <v>1</v>
      </c>
      <c r="G12" s="101">
        <f>'CW losslG,losslA,interLD'!BC14</f>
        <v>1</v>
      </c>
      <c r="H12" s="102">
        <f>'CW losslG,losslA,interLD'!BD14</f>
        <v>1</v>
      </c>
      <c r="I12" s="100">
        <f>'C2 lossyG,lossyA,intra'!BO42</f>
        <v>0</v>
      </c>
      <c r="J12" s="101">
        <f>'C2 lossyG,lossyA,intra'!BP42</f>
        <v>0</v>
      </c>
      <c r="K12" s="101">
        <f>'C2 lossyG,lossyA,intra'!BQ42</f>
        <v>0</v>
      </c>
      <c r="L12" s="101">
        <f>'C2 lossyG,lossyA,intra'!BR42</f>
        <v>0</v>
      </c>
      <c r="M12" s="102">
        <f>'C2 lossyG,lossyA,intra'!BS42</f>
        <v>0</v>
      </c>
      <c r="N12" s="100">
        <f>'C2 lossyG,lossyA,interRA'!BO42</f>
        <v>-4.5781470296990535E-7</v>
      </c>
      <c r="O12" s="101">
        <f>'C2 lossyG,lossyA,interRA'!BP42</f>
        <v>-6.7469130184960589E-7</v>
      </c>
      <c r="P12" s="101">
        <f>'C2 lossyG,lossyA,interRA'!BQ42</f>
        <v>-6.5914421976120963E-7</v>
      </c>
      <c r="Q12" s="101">
        <f>'C2 lossyG,lossyA,interRA'!BR42</f>
        <v>-7.8591224486057596E-7</v>
      </c>
      <c r="R12" s="102">
        <f>'C2 lossyG,lossyA,interRA'!BS42</f>
        <v>-7.391118642674499E-7</v>
      </c>
    </row>
  </sheetData>
  <mergeCells count="18">
    <mergeCell ref="U3:V3"/>
    <mergeCell ref="W3:X3"/>
    <mergeCell ref="A10:B10"/>
    <mergeCell ref="A2:A4"/>
    <mergeCell ref="B2:B4"/>
    <mergeCell ref="C2:E2"/>
    <mergeCell ref="F2:H2"/>
    <mergeCell ref="I2:M2"/>
    <mergeCell ref="N2:R2"/>
    <mergeCell ref="C3:E3"/>
    <mergeCell ref="F3:H3"/>
    <mergeCell ref="I3:J3"/>
    <mergeCell ref="K3:M3"/>
    <mergeCell ref="A11:B11"/>
    <mergeCell ref="A12:B12"/>
    <mergeCell ref="N3:O3"/>
    <mergeCell ref="P3:R3"/>
    <mergeCell ref="T3:T4"/>
  </mergeCells>
  <conditionalFormatting sqref="C10:C12">
    <cfRule type="cellIs" dxfId="15" priority="15" operator="greaterThanOrEqual">
      <formula>1.03</formula>
    </cfRule>
    <cfRule type="cellIs" dxfId="14" priority="16" operator="lessThanOrEqual">
      <formula>0.97</formula>
    </cfRule>
  </conditionalFormatting>
  <conditionalFormatting sqref="D10:D12">
    <cfRule type="cellIs" dxfId="13" priority="13" operator="greaterThanOrEqual">
      <formula>1.03</formula>
    </cfRule>
    <cfRule type="cellIs" dxfId="12" priority="14" operator="lessThanOrEqual">
      <formula>0.97</formula>
    </cfRule>
  </conditionalFormatting>
  <conditionalFormatting sqref="E10:E12">
    <cfRule type="cellIs" dxfId="11" priority="11" operator="greaterThanOrEqual">
      <formula>1.03</formula>
    </cfRule>
    <cfRule type="cellIs" dxfId="10" priority="12" operator="lessThanOrEqual">
      <formula>0.97</formula>
    </cfRule>
  </conditionalFormatting>
  <conditionalFormatting sqref="F10:F12">
    <cfRule type="cellIs" dxfId="9" priority="9" operator="greaterThanOrEqual">
      <formula>1.03</formula>
    </cfRule>
    <cfRule type="cellIs" dxfId="8" priority="10" operator="lessThanOrEqual">
      <formula>0.97</formula>
    </cfRule>
  </conditionalFormatting>
  <conditionalFormatting sqref="G10:G12">
    <cfRule type="cellIs" dxfId="7" priority="7" operator="greaterThanOrEqual">
      <formula>1.03</formula>
    </cfRule>
    <cfRule type="cellIs" dxfId="6" priority="8" operator="lessThanOrEqual">
      <formula>0.97</formula>
    </cfRule>
  </conditionalFormatting>
  <conditionalFormatting sqref="H10:H12">
    <cfRule type="cellIs" dxfId="5" priority="5" operator="greaterThanOrEqual">
      <formula>1.03</formula>
    </cfRule>
    <cfRule type="cellIs" dxfId="4" priority="6" operator="lessThanOrEqual">
      <formula>0.97</formula>
    </cfRule>
  </conditionalFormatting>
  <conditionalFormatting sqref="N5:R9 I5:M12">
    <cfRule type="cellIs" dxfId="3" priority="3" operator="greaterThanOrEqual">
      <formula>0.03</formula>
    </cfRule>
    <cfRule type="cellIs" dxfId="2" priority="4" operator="lessThanOrEqual">
      <formula>-0.03</formula>
    </cfRule>
  </conditionalFormatting>
  <conditionalFormatting sqref="N10:R12">
    <cfRule type="cellIs" dxfId="1" priority="1" operator="greaterThanOrEqual">
      <formula>0.03</formula>
    </cfRule>
    <cfRule type="cellIs" dxfId="0" priority="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cp:lastModifiedBy>Jungsun Kim</cp:lastModifiedBy>
  <dcterms:created xsi:type="dcterms:W3CDTF">2018-08-31T19:13:00Z</dcterms:created>
  <dcterms:modified xsi:type="dcterms:W3CDTF">2019-05-14T18:55:49Z</dcterms:modified>
</cp:coreProperties>
</file>