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Z:\PCC\ricardj\gitclones_mpeg\tm2_r5.0\test\"/>
    </mc:Choice>
  </mc:AlternateContent>
  <xr:revisionPtr revIDLastSave="0" documentId="13_ncr:1_{541E8C53-23D7-4173-9F1E-E450729193D4}" xr6:coauthVersionLast="40" xr6:coauthVersionMax="40" xr10:uidLastSave="{00000000-0000-0000-0000-000000000000}"/>
  <bookViews>
    <workbookView xWindow="-108" yWindow="-108" windowWidth="23256" windowHeight="12768" activeTab="2" xr2:uid="{00000000-000D-0000-FFFF-FFFF00000000}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G1" i="7" l="1"/>
  <c r="AE1" i="6"/>
  <c r="AE1" i="5"/>
  <c r="AG1" i="3"/>
  <c r="I1" i="7"/>
  <c r="H1" i="6"/>
  <c r="H1" i="5"/>
  <c r="I1" i="3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BC34" i="7" s="1"/>
  <c r="AD33" i="7"/>
  <c r="BB34" i="7" s="1"/>
  <c r="AC33" i="7"/>
  <c r="AB33" i="7"/>
  <c r="AZ34" i="7" s="1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I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BF25" i="7" s="1"/>
  <c r="AK25" i="7"/>
  <c r="AK31" i="7" s="1"/>
  <c r="AJ25" i="7"/>
  <c r="AH25" i="7"/>
  <c r="AH31" i="7" s="1"/>
  <c r="AG25" i="7"/>
  <c r="O25" i="7"/>
  <c r="N25" i="7"/>
  <c r="M25" i="7"/>
  <c r="L25" i="7"/>
  <c r="J25" i="7"/>
  <c r="I25" i="7"/>
  <c r="BE24" i="7"/>
  <c r="AM24" i="7"/>
  <c r="AL24" i="7"/>
  <c r="AI24" i="7" s="1"/>
  <c r="AK24" i="7"/>
  <c r="AJ24" i="7"/>
  <c r="AH24" i="7"/>
  <c r="AG24" i="7"/>
  <c r="O24" i="7"/>
  <c r="N24" i="7"/>
  <c r="M24" i="7"/>
  <c r="L24" i="7"/>
  <c r="J24" i="7"/>
  <c r="I24" i="7"/>
  <c r="BE23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BE22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BE21" i="7"/>
  <c r="AM21" i="7"/>
  <c r="AL21" i="7"/>
  <c r="AK21" i="7"/>
  <c r="AJ21" i="7"/>
  <c r="AI21" i="7"/>
  <c r="AH21" i="7"/>
  <c r="AG21" i="7"/>
  <c r="O21" i="7"/>
  <c r="N21" i="7"/>
  <c r="K21" i="7" s="1"/>
  <c r="M21" i="7"/>
  <c r="L21" i="7"/>
  <c r="J21" i="7"/>
  <c r="I21" i="7"/>
  <c r="BG20" i="7" a="1"/>
  <c r="BE20" i="7"/>
  <c r="AM20" i="7"/>
  <c r="AL20" i="7"/>
  <c r="AK20" i="7"/>
  <c r="AJ20" i="7"/>
  <c r="AH20" i="7"/>
  <c r="AG20" i="7"/>
  <c r="O20" i="7"/>
  <c r="N20" i="7"/>
  <c r="K20" i="7" s="1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M19" i="7"/>
  <c r="L19" i="7"/>
  <c r="K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I13" i="7" s="1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M12" i="7"/>
  <c r="L12" i="7"/>
  <c r="J12" i="7"/>
  <c r="I12" i="7"/>
  <c r="BE11" i="7"/>
  <c r="AM11" i="7"/>
  <c r="AL11" i="7"/>
  <c r="AI11" i="7" s="1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BF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K6" i="7"/>
  <c r="AJ6" i="7"/>
  <c r="AH6" i="7"/>
  <c r="AG6" i="7"/>
  <c r="O6" i="7"/>
  <c r="N6" i="7"/>
  <c r="K6" i="7" s="1"/>
  <c r="M6" i="7"/>
  <c r="L6" i="7"/>
  <c r="J6" i="7"/>
  <c r="I6" i="7"/>
  <c r="BE5" i="7"/>
  <c r="AM5" i="7"/>
  <c r="AL5" i="7"/>
  <c r="AI5" i="7" s="1"/>
  <c r="AK5" i="7"/>
  <c r="AJ5" i="7"/>
  <c r="AH5" i="7"/>
  <c r="AG5" i="7"/>
  <c r="O5" i="7"/>
  <c r="N5" i="7"/>
  <c r="M5" i="7"/>
  <c r="L5" i="7"/>
  <c r="L30" i="7" s="1"/>
  <c r="J5" i="7"/>
  <c r="I5" i="7"/>
  <c r="AZ15" i="6"/>
  <c r="AY15" i="6"/>
  <c r="AX15" i="6"/>
  <c r="AW15" i="6"/>
  <c r="AC15" i="6"/>
  <c r="AB15" i="6"/>
  <c r="AY16" i="6" s="1"/>
  <c r="AA15" i="6"/>
  <c r="AX16" i="6" s="1"/>
  <c r="Z15" i="6"/>
  <c r="AZ13" i="6"/>
  <c r="AY13" i="6"/>
  <c r="AX13" i="6"/>
  <c r="AW13" i="6"/>
  <c r="AC13" i="6"/>
  <c r="AB13" i="6"/>
  <c r="AA13" i="6"/>
  <c r="Z13" i="6"/>
  <c r="BF9" i="6" a="1"/>
  <c r="AL9" i="6"/>
  <c r="AK9" i="6"/>
  <c r="AH9" i="6" s="1"/>
  <c r="AH11" i="6" s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K9" i="6"/>
  <c r="K11" i="6" s="1"/>
  <c r="J9" i="6"/>
  <c r="J11" i="6" s="1"/>
  <c r="I9" i="6"/>
  <c r="H9" i="6"/>
  <c r="BF8" i="6" a="1"/>
  <c r="AL8" i="6"/>
  <c r="AK8" i="6"/>
  <c r="AJ8" i="6"/>
  <c r="AI8" i="6"/>
  <c r="AG8" i="6"/>
  <c r="AF8" i="6"/>
  <c r="AE8" i="6"/>
  <c r="O8" i="6"/>
  <c r="N8" i="6"/>
  <c r="K8" i="6" s="1"/>
  <c r="M8" i="6"/>
  <c r="L8" i="6"/>
  <c r="J8" i="6"/>
  <c r="I8" i="6"/>
  <c r="H8" i="6"/>
  <c r="BF7" i="6" a="1"/>
  <c r="AL7" i="6"/>
  <c r="AK7" i="6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BD6" i="6"/>
  <c r="AL6" i="6"/>
  <c r="AK6" i="6"/>
  <c r="AH6" i="6" s="1"/>
  <c r="AJ6" i="6"/>
  <c r="AI6" i="6"/>
  <c r="AG6" i="6"/>
  <c r="AF6" i="6"/>
  <c r="AE6" i="6"/>
  <c r="O6" i="6"/>
  <c r="N6" i="6"/>
  <c r="K6" i="6" s="1"/>
  <c r="M6" i="6"/>
  <c r="L6" i="6"/>
  <c r="J6" i="6"/>
  <c r="I6" i="6"/>
  <c r="H6" i="6"/>
  <c r="BF5" i="6" a="1"/>
  <c r="AL5" i="6"/>
  <c r="AK5" i="6"/>
  <c r="AH5" i="6" s="1"/>
  <c r="AJ5" i="6"/>
  <c r="AI5" i="6"/>
  <c r="AG5" i="6"/>
  <c r="AF5" i="6"/>
  <c r="AE5" i="6"/>
  <c r="O5" i="6"/>
  <c r="N5" i="6"/>
  <c r="M5" i="6"/>
  <c r="BD5" i="6" s="1"/>
  <c r="L5" i="6"/>
  <c r="J5" i="6"/>
  <c r="I5" i="6"/>
  <c r="H5" i="6"/>
  <c r="AZ15" i="5"/>
  <c r="AY15" i="5"/>
  <c r="AX15" i="5"/>
  <c r="AW15" i="5"/>
  <c r="AC15" i="5"/>
  <c r="AZ16" i="5" s="1"/>
  <c r="AB15" i="5"/>
  <c r="AA15" i="5"/>
  <c r="Z15" i="5"/>
  <c r="AZ13" i="5"/>
  <c r="AY13" i="5"/>
  <c r="AX13" i="5"/>
  <c r="AW13" i="5"/>
  <c r="AC13" i="5"/>
  <c r="AB13" i="5"/>
  <c r="AY14" i="5" s="1"/>
  <c r="AA13" i="5"/>
  <c r="AX14" i="5" s="1"/>
  <c r="Z13" i="5"/>
  <c r="AW14" i="5" s="1"/>
  <c r="BF9" i="5" a="1"/>
  <c r="AL9" i="5"/>
  <c r="AK9" i="5"/>
  <c r="AH9" i="5" s="1"/>
  <c r="AH11" i="5" s="1"/>
  <c r="AJ9" i="5"/>
  <c r="AJ11" i="5" s="1"/>
  <c r="AI9" i="5"/>
  <c r="AI11" i="5" s="1"/>
  <c r="AG9" i="5"/>
  <c r="AF9" i="5"/>
  <c r="AE9" i="5"/>
  <c r="O9" i="5"/>
  <c r="N9" i="5"/>
  <c r="M9" i="5"/>
  <c r="M11" i="5" s="1"/>
  <c r="L9" i="5"/>
  <c r="L11" i="5" s="1"/>
  <c r="BC11" i="5" s="1"/>
  <c r="J9" i="5"/>
  <c r="J11" i="5" s="1"/>
  <c r="I9" i="5"/>
  <c r="H9" i="5"/>
  <c r="BF8" i="5" a="1"/>
  <c r="AL8" i="5"/>
  <c r="AK8" i="5"/>
  <c r="AH8" i="5" s="1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AL7" i="5"/>
  <c r="AK7" i="5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AL6" i="5"/>
  <c r="AK6" i="5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H5" i="5" s="1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BC34" i="3" s="1"/>
  <c r="AD33" i="3"/>
  <c r="AC33" i="3"/>
  <c r="AB33" i="3"/>
  <c r="BE29" i="3"/>
  <c r="AM29" i="3"/>
  <c r="AL29" i="3"/>
  <c r="AK29" i="3"/>
  <c r="AJ29" i="3"/>
  <c r="AH29" i="3"/>
  <c r="AG29" i="3"/>
  <c r="O29" i="3"/>
  <c r="N29" i="3"/>
  <c r="K29" i="3" s="1"/>
  <c r="M29" i="3"/>
  <c r="L29" i="3"/>
  <c r="J29" i="3"/>
  <c r="I29" i="3"/>
  <c r="BE28" i="3"/>
  <c r="AM28" i="3"/>
  <c r="AL28" i="3"/>
  <c r="AK28" i="3"/>
  <c r="AJ28" i="3"/>
  <c r="AH28" i="3"/>
  <c r="AG28" i="3"/>
  <c r="O28" i="3"/>
  <c r="N28" i="3"/>
  <c r="K28" i="3" s="1"/>
  <c r="M28" i="3"/>
  <c r="L28" i="3"/>
  <c r="J28" i="3"/>
  <c r="I28" i="3"/>
  <c r="BE27" i="3"/>
  <c r="AM27" i="3"/>
  <c r="AL27" i="3"/>
  <c r="AK27" i="3"/>
  <c r="AJ27" i="3"/>
  <c r="AH27" i="3"/>
  <c r="AG27" i="3"/>
  <c r="O27" i="3"/>
  <c r="N27" i="3"/>
  <c r="K27" i="3" s="1"/>
  <c r="M27" i="3"/>
  <c r="L27" i="3"/>
  <c r="J27" i="3"/>
  <c r="I27" i="3"/>
  <c r="BE26" i="3"/>
  <c r="AM26" i="3"/>
  <c r="AL26" i="3"/>
  <c r="AK26" i="3"/>
  <c r="AJ26" i="3"/>
  <c r="AH26" i="3"/>
  <c r="AG26" i="3"/>
  <c r="O26" i="3"/>
  <c r="N26" i="3"/>
  <c r="K26" i="3" s="1"/>
  <c r="M26" i="3"/>
  <c r="L26" i="3"/>
  <c r="J26" i="3"/>
  <c r="I26" i="3"/>
  <c r="BG25" i="3" a="1"/>
  <c r="BE25" i="3"/>
  <c r="AM25" i="3"/>
  <c r="AL25" i="3"/>
  <c r="AI25" i="3" s="1"/>
  <c r="AK25" i="3"/>
  <c r="AJ25" i="3"/>
  <c r="AH25" i="3"/>
  <c r="AG25" i="3"/>
  <c r="O25" i="3"/>
  <c r="N25" i="3"/>
  <c r="K25" i="3" s="1"/>
  <c r="M25" i="3"/>
  <c r="L25" i="3"/>
  <c r="J25" i="3"/>
  <c r="I25" i="3"/>
  <c r="BE24" i="3"/>
  <c r="AM24" i="3"/>
  <c r="AL24" i="3"/>
  <c r="BF24" i="3" s="1"/>
  <c r="AK24" i="3"/>
  <c r="AJ24" i="3"/>
  <c r="AH24" i="3"/>
  <c r="AG24" i="3"/>
  <c r="O24" i="3"/>
  <c r="N24" i="3"/>
  <c r="K24" i="3" s="1"/>
  <c r="M24" i="3"/>
  <c r="L24" i="3"/>
  <c r="J24" i="3"/>
  <c r="I24" i="3"/>
  <c r="BE23" i="3"/>
  <c r="AM23" i="3"/>
  <c r="AL23" i="3"/>
  <c r="BF23" i="3" s="1"/>
  <c r="AK23" i="3"/>
  <c r="AJ23" i="3"/>
  <c r="AH23" i="3"/>
  <c r="AG23" i="3"/>
  <c r="O23" i="3"/>
  <c r="N23" i="3"/>
  <c r="M23" i="3"/>
  <c r="L23" i="3"/>
  <c r="K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K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K21" i="3" s="1"/>
  <c r="M21" i="3"/>
  <c r="L21" i="3"/>
  <c r="J21" i="3"/>
  <c r="I21" i="3"/>
  <c r="BE20" i="3"/>
  <c r="AM20" i="3"/>
  <c r="AL20" i="3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K19" i="3"/>
  <c r="AJ19" i="3"/>
  <c r="AH19" i="3"/>
  <c r="AG19" i="3"/>
  <c r="O19" i="3"/>
  <c r="N19" i="3"/>
  <c r="K19" i="3" s="1"/>
  <c r="M19" i="3"/>
  <c r="L19" i="3"/>
  <c r="J19" i="3"/>
  <c r="I19" i="3"/>
  <c r="BE18" i="3"/>
  <c r="AM18" i="3"/>
  <c r="AL18" i="3"/>
  <c r="AK18" i="3"/>
  <c r="AJ18" i="3"/>
  <c r="AH18" i="3"/>
  <c r="AG18" i="3"/>
  <c r="O18" i="3"/>
  <c r="N18" i="3"/>
  <c r="K18" i="3" s="1"/>
  <c r="M18" i="3"/>
  <c r="L18" i="3"/>
  <c r="J18" i="3"/>
  <c r="I18" i="3"/>
  <c r="BE17" i="3"/>
  <c r="AM17" i="3"/>
  <c r="AL17" i="3"/>
  <c r="AK17" i="3"/>
  <c r="AJ17" i="3"/>
  <c r="AH17" i="3"/>
  <c r="AG17" i="3"/>
  <c r="O17" i="3"/>
  <c r="N17" i="3"/>
  <c r="M17" i="3"/>
  <c r="L17" i="3"/>
  <c r="K17" i="3"/>
  <c r="J17" i="3"/>
  <c r="I17" i="3"/>
  <c r="BE16" i="3"/>
  <c r="AM16" i="3"/>
  <c r="AL16" i="3"/>
  <c r="AK16" i="3"/>
  <c r="AJ16" i="3"/>
  <c r="AH16" i="3"/>
  <c r="AG16" i="3"/>
  <c r="O16" i="3"/>
  <c r="N16" i="3"/>
  <c r="K16" i="3" s="1"/>
  <c r="M16" i="3"/>
  <c r="L16" i="3"/>
  <c r="J16" i="3"/>
  <c r="I16" i="3"/>
  <c r="BG15" i="3" a="1"/>
  <c r="BE15" i="3"/>
  <c r="AM15" i="3"/>
  <c r="AL15" i="3"/>
  <c r="AI15" i="3" s="1"/>
  <c r="AK15" i="3"/>
  <c r="AJ15" i="3"/>
  <c r="AH15" i="3"/>
  <c r="AG15" i="3"/>
  <c r="O15" i="3"/>
  <c r="N15" i="3"/>
  <c r="K15" i="3" s="1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K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K11" i="3"/>
  <c r="J11" i="3"/>
  <c r="I11" i="3"/>
  <c r="BE10" i="3"/>
  <c r="AM10" i="3"/>
  <c r="AL10" i="3"/>
  <c r="AK10" i="3"/>
  <c r="AJ10" i="3"/>
  <c r="AH10" i="3"/>
  <c r="AG10" i="3"/>
  <c r="O10" i="3"/>
  <c r="N10" i="3"/>
  <c r="K10" i="3" s="1"/>
  <c r="M10" i="3"/>
  <c r="L10" i="3"/>
  <c r="J10" i="3"/>
  <c r="I10" i="3"/>
  <c r="BE9" i="3"/>
  <c r="AM9" i="3"/>
  <c r="AL9" i="3"/>
  <c r="AK9" i="3"/>
  <c r="AJ9" i="3"/>
  <c r="AH9" i="3"/>
  <c r="AG9" i="3"/>
  <c r="O9" i="3"/>
  <c r="N9" i="3"/>
  <c r="M9" i="3"/>
  <c r="L9" i="3"/>
  <c r="K9" i="3"/>
  <c r="J9" i="3"/>
  <c r="I9" i="3"/>
  <c r="BE8" i="3"/>
  <c r="AM8" i="3"/>
  <c r="AL8" i="3"/>
  <c r="AK8" i="3"/>
  <c r="AJ8" i="3"/>
  <c r="AH8" i="3"/>
  <c r="AG8" i="3"/>
  <c r="O8" i="3"/>
  <c r="N8" i="3"/>
  <c r="K8" i="3" s="1"/>
  <c r="M8" i="3"/>
  <c r="L8" i="3"/>
  <c r="J8" i="3"/>
  <c r="I8" i="3"/>
  <c r="BE7" i="3"/>
  <c r="AM7" i="3"/>
  <c r="AL7" i="3"/>
  <c r="AK7" i="3"/>
  <c r="AJ7" i="3"/>
  <c r="AH7" i="3"/>
  <c r="AG7" i="3"/>
  <c r="O7" i="3"/>
  <c r="N7" i="3"/>
  <c r="K7" i="3" s="1"/>
  <c r="M7" i="3"/>
  <c r="L7" i="3"/>
  <c r="J7" i="3"/>
  <c r="I7" i="3"/>
  <c r="BE6" i="3"/>
  <c r="AM6" i="3"/>
  <c r="AL6" i="3"/>
  <c r="AK6" i="3"/>
  <c r="AJ6" i="3"/>
  <c r="AH6" i="3"/>
  <c r="AG6" i="3"/>
  <c r="O6" i="3"/>
  <c r="N6" i="3"/>
  <c r="K6" i="3" s="1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K5" i="3" s="1"/>
  <c r="M5" i="3"/>
  <c r="L5" i="3"/>
  <c r="J5" i="3"/>
  <c r="I5" i="3"/>
  <c r="B2" i="2"/>
  <c r="B1" i="2"/>
  <c r="BS5" i="7"/>
  <c r="BQ10" i="7"/>
  <c r="BO10" i="7"/>
  <c r="BO5" i="7"/>
  <c r="BL10" i="7"/>
  <c r="BS25" i="7"/>
  <c r="BM25" i="7"/>
  <c r="BL15" i="7"/>
  <c r="BI10" i="7"/>
  <c r="BP20" i="7"/>
  <c r="BP15" i="7"/>
  <c r="BL5" i="7"/>
  <c r="BO25" i="7"/>
  <c r="BP10" i="7"/>
  <c r="BM20" i="7"/>
  <c r="BR25" i="7"/>
  <c r="BQ15" i="7"/>
  <c r="BR5" i="7"/>
  <c r="BK15" i="7"/>
  <c r="BL20" i="7"/>
  <c r="BM5" i="7"/>
  <c r="BK20" i="7"/>
  <c r="BQ25" i="7"/>
  <c r="BP25" i="7"/>
  <c r="BO15" i="7"/>
  <c r="BR20" i="7"/>
  <c r="BS20" i="7"/>
  <c r="BL25" i="7"/>
  <c r="BR10" i="7"/>
  <c r="BS10" i="7"/>
  <c r="BM10" i="7"/>
  <c r="BR15" i="7"/>
  <c r="BO20" i="7"/>
  <c r="BS15" i="7"/>
  <c r="BQ5" i="7"/>
  <c r="BM15" i="7"/>
  <c r="BK25" i="7"/>
  <c r="BK5" i="7"/>
  <c r="BQ20" i="7"/>
  <c r="BK10" i="7"/>
  <c r="BP5" i="7"/>
  <c r="BM20" i="3"/>
  <c r="BK10" i="3"/>
  <c r="BM10" i="3"/>
  <c r="BM5" i="3"/>
  <c r="BM25" i="3"/>
  <c r="BM15" i="3"/>
  <c r="BO25" i="3"/>
  <c r="BK20" i="3"/>
  <c r="BQ15" i="3"/>
  <c r="BR15" i="3"/>
  <c r="BO10" i="3"/>
  <c r="BO15" i="3"/>
  <c r="BK15" i="3"/>
  <c r="BP25" i="3"/>
  <c r="BO20" i="3"/>
  <c r="BK25" i="3"/>
  <c r="BS25" i="3"/>
  <c r="BL20" i="3"/>
  <c r="BP20" i="3"/>
  <c r="BR20" i="3"/>
  <c r="BK5" i="3"/>
  <c r="BL25" i="3"/>
  <c r="BR25" i="3"/>
  <c r="BS15" i="3"/>
  <c r="BS20" i="3"/>
  <c r="BS5" i="3"/>
  <c r="BS10" i="3"/>
  <c r="BQ25" i="3"/>
  <c r="BL10" i="3"/>
  <c r="BO5" i="3"/>
  <c r="BP15" i="3"/>
  <c r="BR5" i="3"/>
  <c r="BQ10" i="3"/>
  <c r="BL15" i="3"/>
  <c r="BP5" i="3"/>
  <c r="BP10" i="3"/>
  <c r="BR10" i="3"/>
  <c r="BJ15" i="3"/>
  <c r="BQ5" i="3"/>
  <c r="BL5" i="3"/>
  <c r="BQ20" i="3"/>
  <c r="AI23" i="3" l="1"/>
  <c r="BF12" i="3"/>
  <c r="BF5" i="7"/>
  <c r="AJ30" i="7"/>
  <c r="AI25" i="7"/>
  <c r="AZ16" i="6"/>
  <c r="BE5" i="6"/>
  <c r="AI12" i="6"/>
  <c r="BC6" i="6"/>
  <c r="BC8" i="6"/>
  <c r="AI12" i="5"/>
  <c r="BC8" i="5"/>
  <c r="BD8" i="5"/>
  <c r="BF9" i="5"/>
  <c r="BF11" i="5" s="1"/>
  <c r="BC7" i="5"/>
  <c r="AI24" i="3"/>
  <c r="AK31" i="3"/>
  <c r="BF11" i="3"/>
  <c r="BF13" i="3"/>
  <c r="BB34" i="3"/>
  <c r="BF6" i="7"/>
  <c r="BF20" i="7"/>
  <c r="BF26" i="7"/>
  <c r="BE7" i="6"/>
  <c r="K13" i="3"/>
  <c r="K12" i="3"/>
  <c r="BF22" i="3"/>
  <c r="BA34" i="3"/>
  <c r="BF21" i="3"/>
  <c r="BG25" i="3"/>
  <c r="BG31" i="3" s="1"/>
  <c r="BB5" i="6"/>
  <c r="BB8" i="6"/>
  <c r="AW14" i="6"/>
  <c r="BB7" i="5"/>
  <c r="BB6" i="5"/>
  <c r="BK31" i="7"/>
  <c r="E41" i="1" s="1"/>
  <c r="BL31" i="7"/>
  <c r="F41" i="1" s="1"/>
  <c r="BM31" i="7"/>
  <c r="G41" i="1" s="1"/>
  <c r="BQ31" i="7"/>
  <c r="J41" i="1" s="1"/>
  <c r="BK32" i="7"/>
  <c r="E42" i="1" s="1"/>
  <c r="AI6" i="7"/>
  <c r="BF14" i="7"/>
  <c r="BF22" i="7"/>
  <c r="BA34" i="7"/>
  <c r="BG10" i="7"/>
  <c r="BG20" i="7"/>
  <c r="BM31" i="3"/>
  <c r="G10" i="1" s="1"/>
  <c r="BK31" i="3"/>
  <c r="E10" i="1" s="1"/>
  <c r="BL31" i="3"/>
  <c r="F10" i="1" s="1"/>
  <c r="BF5" i="3"/>
  <c r="BF14" i="3"/>
  <c r="BG5" i="3"/>
  <c r="AK32" i="3"/>
  <c r="BF25" i="3"/>
  <c r="AZ36" i="3"/>
  <c r="C12" i="1" s="1"/>
  <c r="AH31" i="3"/>
  <c r="BF9" i="6"/>
  <c r="BF11" i="6" s="1"/>
  <c r="C33" i="1"/>
  <c r="BF5" i="5"/>
  <c r="C19" i="1"/>
  <c r="BP31" i="7"/>
  <c r="BF7" i="7"/>
  <c r="BS30" i="7"/>
  <c r="BF16" i="7"/>
  <c r="BF27" i="7"/>
  <c r="AZ36" i="7"/>
  <c r="K10" i="7"/>
  <c r="BF18" i="7"/>
  <c r="BO31" i="7"/>
  <c r="BA36" i="7"/>
  <c r="BF28" i="7"/>
  <c r="BR31" i="7"/>
  <c r="BB36" i="7"/>
  <c r="M30" i="7"/>
  <c r="BF10" i="7"/>
  <c r="BR30" i="7"/>
  <c r="BF13" i="7"/>
  <c r="M32" i="7"/>
  <c r="BF19" i="7"/>
  <c r="BF21" i="7"/>
  <c r="J31" i="7"/>
  <c r="BS31" i="7"/>
  <c r="BC36" i="7"/>
  <c r="M30" i="3"/>
  <c r="BG15" i="3"/>
  <c r="BO31" i="3"/>
  <c r="BS31" i="3"/>
  <c r="BP30" i="3"/>
  <c r="BM32" i="3"/>
  <c r="G11" i="1" s="1"/>
  <c r="BP31" i="3"/>
  <c r="BA36" i="3"/>
  <c r="BQ31" i="3"/>
  <c r="AZ34" i="3"/>
  <c r="BB36" i="3"/>
  <c r="BF15" i="3"/>
  <c r="J31" i="3"/>
  <c r="BR31" i="3"/>
  <c r="BC36" i="3"/>
  <c r="BK30" i="3"/>
  <c r="E9" i="1" s="1"/>
  <c r="BS30" i="3"/>
  <c r="BL32" i="3"/>
  <c r="F11" i="1" s="1"/>
  <c r="BM30" i="7"/>
  <c r="G40" i="1" s="1"/>
  <c r="BR32" i="7"/>
  <c r="BK30" i="7"/>
  <c r="E40" i="1" s="1"/>
  <c r="L12" i="6"/>
  <c r="BC12" i="6" s="1"/>
  <c r="BE6" i="6"/>
  <c r="BF6" i="6"/>
  <c r="BC5" i="6"/>
  <c r="BB7" i="6"/>
  <c r="L10" i="6"/>
  <c r="AW16" i="6"/>
  <c r="BD7" i="5"/>
  <c r="AW16" i="5"/>
  <c r="BD9" i="5"/>
  <c r="AX16" i="5"/>
  <c r="M10" i="5"/>
  <c r="BE5" i="5"/>
  <c r="BF7" i="6"/>
  <c r="BF8" i="6"/>
  <c r="K5" i="6"/>
  <c r="K12" i="6" s="1"/>
  <c r="BC9" i="6"/>
  <c r="AY14" i="6"/>
  <c r="BC11" i="6"/>
  <c r="AX14" i="6"/>
  <c r="BF5" i="6"/>
  <c r="BF12" i="6" s="1"/>
  <c r="BD9" i="6"/>
  <c r="AZ14" i="6"/>
  <c r="BD8" i="6"/>
  <c r="BD11" i="5"/>
  <c r="AZ14" i="5"/>
  <c r="BE8" i="5"/>
  <c r="BF8" i="5"/>
  <c r="BC9" i="5"/>
  <c r="M12" i="5"/>
  <c r="AY16" i="5"/>
  <c r="BD5" i="5"/>
  <c r="BE9" i="5"/>
  <c r="K9" i="5"/>
  <c r="K11" i="5" s="1"/>
  <c r="BB8" i="5"/>
  <c r="AG12" i="5"/>
  <c r="AG10" i="5"/>
  <c r="BL30" i="7"/>
  <c r="F40" i="1" s="1"/>
  <c r="BL32" i="7"/>
  <c r="F42" i="1" s="1"/>
  <c r="L30" i="3"/>
  <c r="AI6" i="3"/>
  <c r="BF6" i="3"/>
  <c r="J30" i="7"/>
  <c r="AJ32" i="7"/>
  <c r="AH32" i="7"/>
  <c r="BO32" i="3"/>
  <c r="BO30" i="3"/>
  <c r="AH30" i="3"/>
  <c r="K31" i="3"/>
  <c r="AI27" i="3"/>
  <c r="BF27" i="3"/>
  <c r="BD7" i="6"/>
  <c r="BB11" i="6"/>
  <c r="BF29" i="7"/>
  <c r="AI29" i="7"/>
  <c r="AH6" i="5"/>
  <c r="AH10" i="5" s="1"/>
  <c r="BE6" i="5"/>
  <c r="M12" i="6"/>
  <c r="M10" i="6"/>
  <c r="K24" i="7"/>
  <c r="BF24" i="7"/>
  <c r="AI29" i="3"/>
  <c r="BF29" i="3"/>
  <c r="BB6" i="6"/>
  <c r="K12" i="7"/>
  <c r="BF12" i="7"/>
  <c r="AI17" i="3"/>
  <c r="BF17" i="3"/>
  <c r="BF6" i="5" a="1"/>
  <c r="BF6" i="5" s="1"/>
  <c r="BF9" i="7"/>
  <c r="AI9" i="7"/>
  <c r="BS32" i="3"/>
  <c r="BG10" i="3" a="1"/>
  <c r="BG10" i="3" s="1"/>
  <c r="AI10" i="3"/>
  <c r="BF10" i="3"/>
  <c r="K10" i="5"/>
  <c r="AJ31" i="7"/>
  <c r="AI8" i="3"/>
  <c r="BF8" i="3"/>
  <c r="BQ30" i="7"/>
  <c r="BF17" i="7"/>
  <c r="AI17" i="7"/>
  <c r="L31" i="3"/>
  <c r="AJ30" i="3"/>
  <c r="AJ32" i="3"/>
  <c r="L32" i="3"/>
  <c r="BP32" i="3"/>
  <c r="AG12" i="6"/>
  <c r="AH30" i="7"/>
  <c r="BL30" i="3"/>
  <c r="F9" i="1" s="1"/>
  <c r="AH32" i="3"/>
  <c r="L12" i="5"/>
  <c r="BC12" i="5" s="1"/>
  <c r="L10" i="5"/>
  <c r="BE7" i="5"/>
  <c r="AH7" i="5"/>
  <c r="L32" i="7"/>
  <c r="AK30" i="7"/>
  <c r="BQ30" i="3"/>
  <c r="BQ32" i="3"/>
  <c r="AI9" i="3"/>
  <c r="BF9" i="3"/>
  <c r="K20" i="3"/>
  <c r="AJ31" i="3"/>
  <c r="AI28" i="3"/>
  <c r="BF28" i="3"/>
  <c r="BM30" i="3"/>
  <c r="G9" i="1" s="1"/>
  <c r="AJ12" i="5"/>
  <c r="AJ12" i="6"/>
  <c r="AH7" i="6"/>
  <c r="AH10" i="6" s="1"/>
  <c r="BD11" i="6"/>
  <c r="BO30" i="7"/>
  <c r="AK32" i="7"/>
  <c r="AI16" i="7"/>
  <c r="AI28" i="7"/>
  <c r="BM32" i="7"/>
  <c r="G42" i="1" s="1"/>
  <c r="J30" i="3"/>
  <c r="J32" i="3"/>
  <c r="BR30" i="3"/>
  <c r="BR32" i="3"/>
  <c r="AI16" i="3"/>
  <c r="BF16" i="3"/>
  <c r="BG20" i="3" a="1"/>
  <c r="BG20" i="3" s="1"/>
  <c r="AI20" i="3"/>
  <c r="BF20" i="3"/>
  <c r="AI10" i="5"/>
  <c r="BC7" i="6"/>
  <c r="BB9" i="6"/>
  <c r="AG10" i="6"/>
  <c r="BG5" i="7" a="1"/>
  <c r="BG5" i="7" s="1"/>
  <c r="K5" i="7"/>
  <c r="BP30" i="7"/>
  <c r="BP32" i="7"/>
  <c r="BF11" i="7"/>
  <c r="BF23" i="7"/>
  <c r="AI27" i="7"/>
  <c r="BO32" i="7"/>
  <c r="AK30" i="3"/>
  <c r="BK32" i="3"/>
  <c r="E11" i="1" s="1"/>
  <c r="AI19" i="3"/>
  <c r="BF19" i="3"/>
  <c r="BC5" i="5"/>
  <c r="BF7" i="5" a="1"/>
  <c r="BF7" i="5" s="1"/>
  <c r="BB9" i="5"/>
  <c r="AG11" i="5"/>
  <c r="BB11" i="5" s="1"/>
  <c r="K15" i="7"/>
  <c r="BG15" i="7" a="1"/>
  <c r="BG15" i="7" s="1"/>
  <c r="M32" i="3"/>
  <c r="AI7" i="3"/>
  <c r="BF7" i="3"/>
  <c r="AI26" i="3"/>
  <c r="BF26" i="3"/>
  <c r="BC6" i="5"/>
  <c r="BE8" i="6"/>
  <c r="AH8" i="6"/>
  <c r="BS32" i="7"/>
  <c r="AI8" i="7"/>
  <c r="AI20" i="7"/>
  <c r="M31" i="7"/>
  <c r="L31" i="7"/>
  <c r="AI18" i="3"/>
  <c r="BF18" i="3"/>
  <c r="M31" i="3"/>
  <c r="J12" i="5"/>
  <c r="J10" i="5"/>
  <c r="BB5" i="5"/>
  <c r="BD6" i="5"/>
  <c r="J12" i="6"/>
  <c r="J10" i="6"/>
  <c r="AI7" i="7"/>
  <c r="BF15" i="7"/>
  <c r="AI19" i="7"/>
  <c r="BG25" i="7" a="1"/>
  <c r="BG25" i="7" s="1"/>
  <c r="BG31" i="7" s="1"/>
  <c r="K25" i="7"/>
  <c r="K31" i="7" s="1"/>
  <c r="AI10" i="6"/>
  <c r="J32" i="7"/>
  <c r="BQ32" i="7"/>
  <c r="AJ10" i="5"/>
  <c r="BD10" i="5" s="1"/>
  <c r="AJ10" i="6"/>
  <c r="BI5" i="7"/>
  <c r="BI20" i="7"/>
  <c r="BJ10" i="7"/>
  <c r="BI25" i="7"/>
  <c r="BI15" i="7"/>
  <c r="BJ5" i="7"/>
  <c r="BJ15" i="7"/>
  <c r="BJ20" i="7"/>
  <c r="BJ25" i="7"/>
  <c r="BI25" i="3"/>
  <c r="BI5" i="3"/>
  <c r="BJ20" i="3"/>
  <c r="BJ5" i="3"/>
  <c r="BJ25" i="3"/>
  <c r="BI20" i="3"/>
  <c r="BI10" i="3"/>
  <c r="BJ10" i="3"/>
  <c r="BI15" i="3"/>
  <c r="AI31" i="7" l="1"/>
  <c r="BG32" i="3"/>
  <c r="BF10" i="5"/>
  <c r="BJ31" i="3"/>
  <c r="D10" i="1" s="1"/>
  <c r="BG30" i="3"/>
  <c r="K30" i="3"/>
  <c r="AH12" i="6"/>
  <c r="BF10" i="6"/>
  <c r="BF12" i="5"/>
  <c r="BI31" i="7"/>
  <c r="C41" i="1" s="1"/>
  <c r="BJ31" i="7"/>
  <c r="D41" i="1" s="1"/>
  <c r="AI30" i="7"/>
  <c r="BI31" i="3"/>
  <c r="C10" i="1" s="1"/>
  <c r="BJ32" i="3"/>
  <c r="D11" i="1" s="1"/>
  <c r="BJ30" i="3"/>
  <c r="D9" i="1" s="1"/>
  <c r="D30" i="1"/>
  <c r="C32" i="1"/>
  <c r="C30" i="1"/>
  <c r="E30" i="1"/>
  <c r="D31" i="1"/>
  <c r="E19" i="1"/>
  <c r="C22" i="1"/>
  <c r="E18" i="1"/>
  <c r="C20" i="1"/>
  <c r="C21" i="1"/>
  <c r="D19" i="1"/>
  <c r="L41" i="1"/>
  <c r="I42" i="1"/>
  <c r="C44" i="1"/>
  <c r="J42" i="1"/>
  <c r="H42" i="1"/>
  <c r="H40" i="1"/>
  <c r="K42" i="1"/>
  <c r="H41" i="1"/>
  <c r="L42" i="1"/>
  <c r="I40" i="1"/>
  <c r="J40" i="1"/>
  <c r="K40" i="1"/>
  <c r="K41" i="1"/>
  <c r="C43" i="1"/>
  <c r="L40" i="1"/>
  <c r="I41" i="1"/>
  <c r="K10" i="1"/>
  <c r="I11" i="1"/>
  <c r="K32" i="3"/>
  <c r="L11" i="1"/>
  <c r="J10" i="1"/>
  <c r="C13" i="1"/>
  <c r="H10" i="1"/>
  <c r="K9" i="1"/>
  <c r="J11" i="1"/>
  <c r="H11" i="1"/>
  <c r="I9" i="1"/>
  <c r="K11" i="1"/>
  <c r="H9" i="1"/>
  <c r="L9" i="1"/>
  <c r="J9" i="1"/>
  <c r="I10" i="1"/>
  <c r="L10" i="1"/>
  <c r="AI31" i="3"/>
  <c r="BC10" i="6"/>
  <c r="BI30" i="3"/>
  <c r="C9" i="1" s="1"/>
  <c r="AH12" i="5"/>
  <c r="K10" i="6"/>
  <c r="BD12" i="5"/>
  <c r="BC10" i="5"/>
  <c r="K12" i="5"/>
  <c r="BJ32" i="7"/>
  <c r="D42" i="1" s="1"/>
  <c r="BJ30" i="7"/>
  <c r="D40" i="1" s="1"/>
  <c r="BD12" i="6"/>
  <c r="BG30" i="7"/>
  <c r="BG32" i="7"/>
  <c r="AI32" i="7"/>
  <c r="BD10" i="6"/>
  <c r="BB10" i="6"/>
  <c r="BB12" i="5"/>
  <c r="BB10" i="5"/>
  <c r="K32" i="7"/>
  <c r="K30" i="7"/>
  <c r="BI32" i="3"/>
  <c r="C11" i="1" s="1"/>
  <c r="BI32" i="7"/>
  <c r="C42" i="1" s="1"/>
  <c r="BI30" i="7"/>
  <c r="C40" i="1" s="1"/>
  <c r="BB12" i="6"/>
  <c r="AI30" i="3"/>
  <c r="AI32" i="3"/>
  <c r="D29" i="1" l="1"/>
  <c r="C31" i="1"/>
  <c r="C29" i="1"/>
  <c r="E29" i="1"/>
  <c r="E31" i="1"/>
  <c r="C18" i="1"/>
  <c r="D18" i="1"/>
  <c r="E20" i="1"/>
  <c r="D20" i="1"/>
</calcChain>
</file>

<file path=xl/sharedStrings.xml><?xml version="1.0" encoding="utf-8"?>
<sst xmlns="http://schemas.openxmlformats.org/spreadsheetml/2006/main" count="1348" uniqueCount="550">
  <si>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</si>
  <si>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</si>
  <si>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</si>
  <si>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</si>
  <si>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</si>
  <si>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</si>
  <si>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</si>
  <si>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</si>
  <si>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</si>
  <si>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</si>
  <si>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</si>
  <si>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</si>
  <si>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</si>
  <si>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</si>
  <si>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</si>
  <si>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</si>
  <si>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</si>
  <si>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</si>
  <si>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</si>
  <si>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</si>
  <si>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</si>
  <si>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</si>
  <si>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</si>
  <si>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</si>
  <si>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</si>
  <si>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</si>
  <si>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</si>
  <si>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</si>
  <si>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</si>
  <si>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</si>
  <si>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</si>
  <si>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</si>
  <si>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</si>
  <si>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</si>
  <si>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</si>
  <si>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</si>
  <si>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</si>
  <si>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</si>
  <si>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</si>
  <si>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</si>
  <si>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</si>
  <si>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</si>
  <si>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</si>
  <si>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</si>
  <si>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</si>
  <si>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</si>
  <si>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</si>
  <si>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</si>
  <si>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</si>
  <si>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</si>
  <si>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</si>
  <si>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</si>
  <si>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</si>
  <si>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</si>
  <si>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</si>
  <si>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</si>
  <si>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</si>
  <si>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</si>
  <si>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</si>
  <si>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</si>
  <si>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</si>
  <si>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</si>
  <si>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</si>
  <si>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</si>
  <si>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</si>
  <si>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</si>
  <si>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</si>
  <si>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</si>
  <si>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</si>
  <si>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</si>
  <si>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</si>
  <si>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</si>
  <si>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</si>
  <si>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</si>
  <si>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</si>
  <si>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</si>
  <si>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</si>
  <si>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</si>
  <si>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</si>
  <si>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</si>
  <si>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</si>
  <si>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</si>
  <si>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</si>
  <si>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</si>
  <si>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</si>
  <si>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</si>
  <si>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</si>
  <si>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</si>
  <si>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</si>
  <si>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</si>
  <si>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</si>
  <si>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</si>
  <si>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</si>
  <si>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</si>
  <si>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</si>
  <si>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</si>
  <si>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</si>
  <si>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</si>
  <si>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</si>
  <si>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</si>
  <si>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</si>
  <si>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</si>
  <si>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</si>
  <si>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</si>
  <si>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</si>
  <si>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</si>
  <si>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</si>
  <si>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</si>
  <si>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</si>
  <si>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</si>
  <si>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</si>
  <si>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</si>
  <si>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</si>
  <si>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</si>
  <si>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</si>
  <si>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</si>
  <si>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</si>
  <si>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</si>
  <si>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</si>
  <si>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</si>
  <si>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</si>
  <si>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</si>
  <si>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</si>
  <si>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</si>
  <si>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</si>
  <si>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</si>
  <si>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</si>
  <si>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</si>
  <si>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</si>
  <si>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</si>
  <si>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</si>
  <si>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</si>
  <si>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</si>
  <si>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</si>
  <si>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</si>
  <si>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</si>
  <si>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</si>
  <si>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</si>
  <si>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</si>
  <si>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</si>
  <si>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</si>
  <si>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</si>
  <si>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</si>
  <si>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</si>
  <si>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</si>
  <si>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</si>
  <si>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</si>
  <si>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</si>
  <si>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</si>
  <si>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</si>
  <si>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</si>
  <si>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</si>
  <si>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</si>
  <si>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</si>
  <si>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</si>
  <si>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</si>
  <si>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</si>
  <si>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</si>
  <si>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</si>
  <si>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</si>
  <si>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</si>
  <si>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</si>
  <si>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</si>
  <si>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</si>
  <si>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</si>
  <si>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</si>
  <si>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</si>
  <si>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</si>
  <si>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</si>
  <si>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</si>
  <si>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</si>
  <si>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</si>
  <si>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</si>
  <si>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</si>
  <si>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</si>
  <si>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</si>
  <si>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</si>
  <si>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</si>
  <si>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</si>
  <si>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</si>
  <si>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</si>
  <si>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</si>
  <si>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</si>
  <si>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</si>
  <si>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</si>
  <si>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</si>
  <si>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</si>
  <si>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</si>
  <si>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</si>
  <si>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</si>
  <si>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</si>
  <si>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</si>
  <si>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</si>
  <si>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</si>
  <si>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</si>
  <si>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</si>
  <si>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</si>
  <si>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</si>
  <si>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</si>
  <si>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</si>
  <si>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</si>
  <si>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</si>
  <si>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</si>
  <si>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</si>
  <si>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</si>
  <si>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</si>
  <si>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</si>
  <si>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</si>
  <si>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</si>
  <si>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</si>
  <si>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</si>
  <si>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</si>
  <si>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</si>
  <si>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</si>
  <si>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</si>
  <si>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</si>
  <si>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</si>
  <si>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</si>
  <si>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</si>
  <si>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</si>
  <si>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</si>
  <si>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</si>
  <si>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</si>
  <si>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</si>
  <si>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</si>
  <si>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</si>
  <si>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</si>
  <si>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</si>
  <si>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</si>
  <si>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</si>
  <si>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</si>
  <si>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</si>
  <si>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</si>
  <si>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</si>
  <si>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</si>
  <si>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</si>
  <si>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</si>
  <si>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</si>
  <si>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</si>
  <si>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</si>
  <si>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</si>
  <si>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</si>
  <si>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</si>
  <si>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</si>
  <si>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</si>
  <si>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</si>
  <si>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</si>
  <si>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</si>
  <si>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</si>
  <si>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</si>
  <si>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</si>
  <si>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</si>
  <si>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</si>
  <si>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</si>
  <si>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</si>
  <si>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</si>
  <si>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</si>
  <si>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</si>
  <si>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</si>
  <si>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</si>
  <si>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</si>
  <si>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</si>
  <si>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</si>
  <si>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</si>
  <si>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</si>
  <si>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</si>
  <si>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</si>
  <si>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</si>
  <si>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</si>
  <si>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</si>
  <si>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</si>
  <si>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</si>
  <si>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</si>
  <si>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</si>
  <si>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</si>
  <si>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</si>
  <si>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</si>
  <si>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</si>
  <si>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</si>
  <si>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</si>
  <si>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</si>
  <si>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</si>
  <si>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</si>
  <si>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</si>
  <si>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</si>
  <si>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</si>
  <si>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</si>
  <si>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</si>
  <si>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</si>
  <si>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</si>
  <si>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</si>
  <si>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</si>
  <si>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</si>
  <si>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</si>
  <si>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</si>
  <si>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</si>
  <si>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</si>
  <si>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</si>
  <si>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</si>
  <si>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</si>
  <si>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</si>
  <si>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</si>
  <si>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</si>
  <si>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</si>
  <si>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</si>
  <si>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</si>
  <si>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</si>
  <si>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</si>
  <si>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</si>
  <si>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</si>
  <si>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</si>
  <si>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</si>
  <si>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</si>
  <si>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</si>
  <si>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</si>
  <si>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</si>
  <si>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</si>
  <si>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</si>
  <si>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</si>
  <si>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</si>
  <si>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</si>
  <si>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</si>
  <si>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</si>
  <si>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</si>
  <si>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</si>
  <si>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</si>
  <si>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</si>
  <si>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</si>
  <si>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</si>
  <si>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</si>
  <si>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</si>
  <si>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</si>
  <si>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</si>
  <si>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</si>
  <si>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</si>
  <si>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</si>
  <si>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</si>
  <si>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</si>
  <si>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</si>
  <si>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</si>
  <si>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</si>
  <si>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</si>
  <si>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</si>
  <si>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</si>
  <si>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</si>
  <si>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</si>
  <si>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</si>
  <si>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</si>
  <si>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</si>
  <si>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</si>
  <si>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</si>
  <si>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</si>
  <si>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</si>
  <si>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</si>
  <si>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</si>
  <si>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</si>
  <si>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</si>
  <si>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</si>
  <si>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</si>
  <si>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</si>
  <si>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</si>
  <si>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</si>
  <si>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</si>
  <si>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</si>
  <si>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</si>
  <si>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</si>
  <si>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</si>
  <si>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</si>
  <si>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</si>
  <si>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</si>
  <si>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</si>
  <si>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</si>
  <si>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</si>
  <si>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</si>
  <si>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</si>
  <si>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</si>
  <si>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</si>
  <si>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</si>
  <si>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</si>
  <si>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</si>
  <si>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</si>
  <si>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</si>
  <si>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</si>
  <si>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</si>
  <si>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</si>
  <si>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</si>
  <si>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</si>
  <si>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</si>
  <si>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</si>
  <si>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</si>
  <si>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</si>
  <si>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</si>
  <si>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</si>
  <si>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</si>
  <si>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</si>
  <si>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</si>
  <si>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</si>
  <si>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</si>
  <si>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</si>
  <si>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</si>
  <si>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</si>
  <si>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</si>
  <si>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</si>
  <si>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</si>
  <si>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</si>
  <si>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</si>
  <si>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</si>
  <si>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</si>
  <si>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</si>
  <si>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</si>
  <si>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</si>
  <si>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</si>
  <si>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</si>
  <si>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</si>
  <si>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</si>
  <si>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</si>
  <si>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</si>
  <si>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</si>
  <si>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</si>
  <si>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</si>
  <si>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</si>
  <si>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</si>
  <si>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</si>
  <si>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</si>
  <si>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</si>
  <si>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</si>
  <si>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</si>
  <si>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</si>
  <si>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</si>
  <si>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</si>
  <si>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</si>
  <si>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</si>
  <si>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</si>
  <si>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</si>
  <si>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</si>
  <si>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</si>
  <si>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</si>
  <si>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</si>
  <si>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</si>
  <si>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</si>
  <si>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</si>
  <si>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</si>
  <si>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</si>
  <si>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</si>
  <si>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</si>
  <si>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</si>
  <si>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</si>
  <si>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</si>
  <si>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</si>
  <si>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</si>
  <si>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</si>
  <si>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</si>
  <si>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</si>
  <si>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</si>
  <si>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</si>
  <si>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</si>
  <si>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</si>
  <si>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</si>
  <si>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</si>
  <si>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</si>
  <si>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</si>
  <si>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</si>
  <si>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</si>
  <si>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</si>
  <si>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</si>
  <si>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</si>
  <si>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</si>
  <si>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</si>
  <si>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</si>
  <si>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</si>
  <si>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</si>
  <si>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</si>
  <si>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</si>
  <si>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</si>
  <si>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</si>
  <si>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</si>
  <si>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</si>
  <si>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</si>
  <si>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</si>
  <si>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</si>
  <si>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</si>
  <si>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</si>
  <si>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</si>
  <si>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</si>
  <si>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</si>
  <si>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</si>
  <si>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</si>
  <si>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</si>
  <si>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</si>
  <si>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</si>
  <si>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</si>
  <si>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</si>
  <si>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</si>
  <si>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</si>
  <si>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</si>
  <si>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</si>
  <si>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</si>
  <si>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</si>
  <si>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</si>
  <si>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</si>
  <si>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</si>
  <si>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</si>
  <si>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</si>
  <si>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</si>
  <si>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</si>
  <si>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</si>
  <si>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</si>
  <si>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</si>
  <si>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</si>
  <si>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</si>
  <si>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</si>
  <si>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</si>
  <si>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</si>
  <si>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</si>
  <si>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</si>
  <si>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</si>
  <si>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</si>
  <si>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</si>
  <si>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</si>
  <si>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</si>
  <si>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</si>
  <si>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</si>
  <si>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</si>
  <si>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</si>
  <si>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</si>
  <si>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</si>
  <si>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</si>
  <si>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</si>
  <si>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</si>
  <si>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</si>
  <si>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</si>
  <si>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</si>
  <si>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</si>
  <si>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</si>
  <si>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</si>
  <si>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</si>
  <si>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</si>
  <si>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</si>
  <si>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</si>
  <si>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</si>
  <si>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</si>
  <si>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</si>
  <si>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</si>
  <si>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</si>
  <si>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</si>
  <si>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</si>
  <si>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</si>
  <si>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inf</t>
  </si>
  <si>
    <t>R5.0</t>
  </si>
  <si>
    <t>tested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</si>
</sst>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66.294278000000006</c:v>
                </c:pt>
                <c:pt idx="1">
                  <c:v>68.152516333333296</c:v>
                </c:pt>
                <c:pt idx="2">
                  <c:v>69.553665666666703</c:v>
                </c:pt>
                <c:pt idx="3">
                  <c:v>70.631634000000005</c:v>
                </c:pt>
                <c:pt idx="4">
                  <c:v>71.925526666666698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6F-4179-9418-E0B6C8F1877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56F-4179-9418-E0B6C8F18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68.319255333333302</c:v>
                </c:pt>
                <c:pt idx="1">
                  <c:v>70.251118000000005</c:v>
                </c:pt>
                <c:pt idx="2">
                  <c:v>71.934862666666604</c:v>
                </c:pt>
                <c:pt idx="3">
                  <c:v>73.190856666666704</c:v>
                </c:pt>
                <c:pt idx="4">
                  <c:v>75.240223999999898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BE-4B82-830B-EE4C8CAA870E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BE-4B82-830B-EE4C8CAA8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32.410050333333402</c:v>
                </c:pt>
                <c:pt idx="1">
                  <c:v>34.710412333333302</c:v>
                </c:pt>
                <c:pt idx="2">
                  <c:v>37.248799666666599</c:v>
                </c:pt>
                <c:pt idx="3">
                  <c:v>39.840393333333303</c:v>
                </c:pt>
                <c:pt idx="4">
                  <c:v>42.2469136666667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E8-4041-813A-DDDE5C90C202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E8-4041-813A-DDDE5C90C2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44.166854666666701</c:v>
                </c:pt>
                <c:pt idx="1">
                  <c:v>45.457675666666702</c:v>
                </c:pt>
                <c:pt idx="2">
                  <c:v>46.595563666666699</c:v>
                </c:pt>
                <c:pt idx="3">
                  <c:v>47.922707000000003</c:v>
                </c:pt>
                <c:pt idx="4">
                  <c:v>49.458415666666703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8D-4A0B-9E36-0A062776AC8D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68D-4A0B-9E36-0A062776A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43.821884666666698</c:v>
                </c:pt>
                <c:pt idx="1">
                  <c:v>45.258303333333401</c:v>
                </c:pt>
                <c:pt idx="2">
                  <c:v>46.532640999999998</c:v>
                </c:pt>
                <c:pt idx="3">
                  <c:v>48.026603000000001</c:v>
                </c:pt>
                <c:pt idx="4">
                  <c:v>49.634298333333298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91-4E92-B3F9-7B0208CF66FC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91-4E92-B3F9-7B0208CF6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R5.0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9.9906683028423468E-2</c:v>
                </c:pt>
                <c:pt idx="1">
                  <c:v>0.1518350114321069</c:v>
                </c:pt>
                <c:pt idx="2">
                  <c:v>0.24377113487308738</c:v>
                </c:pt>
                <c:pt idx="3">
                  <c:v>0.41668464335451549</c:v>
                </c:pt>
                <c:pt idx="4">
                  <c:v>0.75507008628150907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E7-4C62-A64B-B46687728B85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2E7-4C62-A64B-B46687728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L44"/>
  <sheetViews>
    <sheetView workbookViewId="0">
      <selection activeCell="F2" sqref="F2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64" t="s">
        <v>548</v>
      </c>
      <c r="D1" s="64"/>
      <c r="E1" s="64"/>
    </row>
    <row r="2" spans="2:12" x14ac:dyDescent="0.3">
      <c r="B2" t="s">
        <v>1</v>
      </c>
      <c r="C2" s="65" t="s">
        <v>549</v>
      </c>
      <c r="D2" s="65"/>
      <c r="E2" s="65"/>
    </row>
    <row r="4" spans="2:12" s="1" customFormat="1" x14ac:dyDescent="0.3">
      <c r="B4" s="1" t="s">
        <v>294</v>
      </c>
    </row>
    <row r="6" spans="2:12" x14ac:dyDescent="0.3">
      <c r="B6" s="60" t="s">
        <v>295</v>
      </c>
      <c r="C6" s="61" t="s">
        <v>296</v>
      </c>
      <c r="D6" s="61"/>
      <c r="E6" s="61"/>
      <c r="F6" s="61"/>
      <c r="G6" s="61"/>
      <c r="H6" s="61"/>
      <c r="I6" s="61"/>
      <c r="J6" s="61"/>
      <c r="K6" s="61"/>
      <c r="L6" s="61"/>
    </row>
    <row r="7" spans="2:12" x14ac:dyDescent="0.3">
      <c r="B7" s="60"/>
      <c r="C7" s="62" t="s">
        <v>235</v>
      </c>
      <c r="D7" s="62"/>
      <c r="E7" s="63" t="s">
        <v>240</v>
      </c>
      <c r="F7" s="63"/>
      <c r="G7" s="63"/>
      <c r="H7" s="62" t="s">
        <v>247</v>
      </c>
      <c r="I7" s="62"/>
      <c r="J7" s="63" t="s">
        <v>252</v>
      </c>
      <c r="K7" s="63"/>
      <c r="L7" s="63"/>
    </row>
    <row r="8" spans="2:12" x14ac:dyDescent="0.3">
      <c r="B8" s="60"/>
      <c r="C8" s="2" t="s">
        <v>152</v>
      </c>
      <c r="D8" s="2" t="s">
        <v>155</v>
      </c>
      <c r="E8" s="3" t="s">
        <v>159</v>
      </c>
      <c r="F8" s="3" t="s">
        <v>162</v>
      </c>
      <c r="G8" s="3" t="s">
        <v>165</v>
      </c>
      <c r="H8" s="2" t="s">
        <v>152</v>
      </c>
      <c r="I8" s="2" t="s">
        <v>155</v>
      </c>
      <c r="J8" s="3" t="s">
        <v>159</v>
      </c>
      <c r="K8" s="3" t="s">
        <v>162</v>
      </c>
      <c r="L8" s="3" t="s">
        <v>165</v>
      </c>
    </row>
    <row r="9" spans="2:12" x14ac:dyDescent="0.3">
      <c r="B9" s="4" t="s">
        <v>286</v>
      </c>
      <c r="C9" s="5" t="e">
        <f>'C2 lossyG,lossyA,intra'!$BI$30:$BI$30</f>
        <v>#DIV/0!</v>
      </c>
      <c r="D9" s="5" t="e">
        <f>'C2 lossyG,lossyA,intra'!$BJ$30:$BJ$30</f>
        <v>#DIV/0!</v>
      </c>
      <c r="E9" s="5" t="e">
        <f>'C2 lossyG,lossyA,intra'!$BK$30:$BK$30</f>
        <v>#DIV/0!</v>
      </c>
      <c r="F9" s="5" t="e">
        <f>'C2 lossyG,lossyA,intra'!$BL$30:$BL$30</f>
        <v>#DIV/0!</v>
      </c>
      <c r="G9" s="5" t="e">
        <f>'C2 lossyG,lossyA,intra'!$BM$30:$BM$30</f>
        <v>#DIV/0!</v>
      </c>
      <c r="H9" s="5" t="e">
        <f>'C2 lossyG,lossyA,intra'!$BO$30:$BO$30</f>
        <v>#DIV/0!</v>
      </c>
      <c r="I9" s="5" t="e">
        <f>'C2 lossyG,lossyA,intra'!$BP$30:$BP$30</f>
        <v>#DIV/0!</v>
      </c>
      <c r="J9" s="5" t="e">
        <f>'C2 lossyG,lossyA,intra'!$BQ$30:$BQ$30</f>
        <v>#DIV/0!</v>
      </c>
      <c r="K9" s="5" t="e">
        <f>'C2 lossyG,lossyA,intra'!$BR$30:$BR$30</f>
        <v>#DIV/0!</v>
      </c>
      <c r="L9" s="5" t="e">
        <f>'C2 lossyG,lossyA,intra'!$BS$30:$BS$30</f>
        <v>#DIV/0!</v>
      </c>
    </row>
    <row r="10" spans="2:12" x14ac:dyDescent="0.3">
      <c r="B10" s="4" t="s">
        <v>287</v>
      </c>
      <c r="C10" s="5" t="e">
        <f>'C2 lossyG,lossyA,intra'!$BI$31:$BI$31</f>
        <v>#DIV/0!</v>
      </c>
      <c r="D10" s="5" t="e">
        <f>'C2 lossyG,lossyA,intra'!$BJ$31:$BJ$31</f>
        <v>#DIV/0!</v>
      </c>
      <c r="E10" s="5" t="e">
        <f>'C2 lossyG,lossyA,intra'!$BK$31:$BK$31</f>
        <v>#DIV/0!</v>
      </c>
      <c r="F10" s="5" t="e">
        <f>'C2 lossyG,lossyA,intra'!$BL$31:$BL$31</f>
        <v>#DIV/0!</v>
      </c>
      <c r="G10" s="5" t="e">
        <f>'C2 lossyG,lossyA,intra'!$BM$31:$BM$31</f>
        <v>#DIV/0!</v>
      </c>
      <c r="H10" s="5" t="e">
        <f>'C2 lossyG,lossyA,intra'!$BO$31:$BO$31</f>
        <v>#DIV/0!</v>
      </c>
      <c r="I10" s="5" t="e">
        <f>'C2 lossyG,lossyA,intra'!$BP$31:$BP$31</f>
        <v>#DIV/0!</v>
      </c>
      <c r="J10" s="5" t="e">
        <f>'C2 lossyG,lossyA,intra'!$BQ$31:$BQ$31</f>
        <v>#DIV/0!</v>
      </c>
      <c r="K10" s="5" t="e">
        <f>'C2 lossyG,lossyA,intra'!$BR$31:$BR$31</f>
        <v>#DIV/0!</v>
      </c>
      <c r="L10" s="5" t="e">
        <f>'C2 lossyG,lossyA,intra'!$BS$31:$BS$31</f>
        <v>#DIV/0!</v>
      </c>
    </row>
    <row r="11" spans="2:12" x14ac:dyDescent="0.3">
      <c r="B11" s="6" t="s">
        <v>288</v>
      </c>
      <c r="C11" s="7" t="e">
        <f>'C2 lossyG,lossyA,intra'!$BI$32:$BI$32</f>
        <v>#DIV/0!</v>
      </c>
      <c r="D11" s="7" t="e">
        <f>'C2 lossyG,lossyA,intra'!$BJ$32:$BJ$32</f>
        <v>#DIV/0!</v>
      </c>
      <c r="E11" s="7" t="e">
        <f>'C2 lossyG,lossyA,intra'!$BK$32:$BK$32</f>
        <v>#DIV/0!</v>
      </c>
      <c r="F11" s="7" t="e">
        <f>'C2 lossyG,lossyA,intra'!$BL$32:$BL$32</f>
        <v>#DIV/0!</v>
      </c>
      <c r="G11" s="7" t="e">
        <f>'C2 lossyG,lossyA,intra'!$BM$32:$BM$32</f>
        <v>#DIV/0!</v>
      </c>
      <c r="H11" s="7" t="e">
        <f>'C2 lossyG,lossyA,intra'!$BO$32:$BO$32</f>
        <v>#DIV/0!</v>
      </c>
      <c r="I11" s="7" t="e">
        <f>'C2 lossyG,lossyA,intra'!$BP$32:$BP$32</f>
        <v>#DIV/0!</v>
      </c>
      <c r="J11" s="7" t="e">
        <f>'C2 lossyG,lossyA,intra'!$BQ$32:$BQ$32</f>
        <v>#DIV/0!</v>
      </c>
      <c r="K11" s="7" t="e">
        <f>'C2 lossyG,lossyA,intra'!$BR$32:$BR$32</f>
        <v>#DIV/0!</v>
      </c>
      <c r="L11" s="7" t="e">
        <f>'C2 lossyG,lossyA,intra'!$BS$32:$BS$32</f>
        <v>#DIV/0!</v>
      </c>
    </row>
    <row r="12" spans="2:12" x14ac:dyDescent="0.3">
      <c r="B12" t="s">
        <v>297</v>
      </c>
      <c r="C12" s="58" t="e">
        <f>'C2 lossyG,lossyA,intra'!AZ36</f>
        <v>#NUM!</v>
      </c>
      <c r="D12" s="58"/>
      <c r="E12" s="58"/>
      <c r="F12" s="58"/>
      <c r="G12" s="58"/>
      <c r="H12" s="58"/>
      <c r="I12" s="58"/>
      <c r="J12" s="58"/>
      <c r="K12" s="58"/>
      <c r="L12" s="58"/>
    </row>
    <row r="13" spans="2:12" x14ac:dyDescent="0.3">
      <c r="B13" s="9" t="s">
        <v>298</v>
      </c>
      <c r="C13" s="59" t="e">
        <f>'C2 lossyG,lossyA,intra'!BB36</f>
        <v>#NUM!</v>
      </c>
      <c r="D13" s="59"/>
      <c r="E13" s="59"/>
      <c r="F13" s="59"/>
      <c r="G13" s="59"/>
      <c r="H13" s="59"/>
      <c r="I13" s="59"/>
      <c r="J13" s="59"/>
      <c r="K13" s="59"/>
      <c r="L13" s="59"/>
    </row>
    <row r="15" spans="2:12" x14ac:dyDescent="0.3">
      <c r="B15" s="60" t="s">
        <v>379</v>
      </c>
      <c r="C15" s="61" t="s">
        <v>380</v>
      </c>
      <c r="D15" s="61"/>
      <c r="E15" s="61"/>
    </row>
    <row r="16" spans="2:12" x14ac:dyDescent="0.3">
      <c r="B16" s="60"/>
      <c r="C16" s="62" t="s">
        <v>355</v>
      </c>
      <c r="D16" s="62"/>
      <c r="E16" s="62"/>
    </row>
    <row r="17" spans="2:5" x14ac:dyDescent="0.3">
      <c r="B17" s="60"/>
      <c r="C17" s="2" t="s">
        <v>122</v>
      </c>
      <c r="D17" s="2" t="s">
        <v>116</v>
      </c>
      <c r="E17" s="2" t="s">
        <v>148</v>
      </c>
    </row>
    <row r="18" spans="2:5" x14ac:dyDescent="0.3">
      <c r="B18" s="4" t="s">
        <v>286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3">
      <c r="B19" s="4" t="s">
        <v>287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3">
      <c r="B20" s="6" t="s">
        <v>288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3">
      <c r="B21" t="s">
        <v>297</v>
      </c>
      <c r="C21" s="58" t="e">
        <f>'CW losslG,losslA,intra'!AW16</f>
        <v>#NUM!</v>
      </c>
      <c r="D21" s="58"/>
      <c r="E21" s="58"/>
    </row>
    <row r="22" spans="2:5" x14ac:dyDescent="0.3">
      <c r="B22" s="9" t="s">
        <v>298</v>
      </c>
      <c r="C22" s="59" t="e">
        <f>'CW losslG,losslA,intra'!AY16</f>
        <v>#NUM!</v>
      </c>
      <c r="D22" s="59"/>
      <c r="E22" s="59"/>
    </row>
    <row r="24" spans="2:5" s="1" customFormat="1" x14ac:dyDescent="0.3">
      <c r="B24" s="1" t="s">
        <v>454</v>
      </c>
    </row>
    <row r="26" spans="2:5" x14ac:dyDescent="0.3">
      <c r="B26" s="60" t="s">
        <v>455</v>
      </c>
      <c r="C26" s="61" t="s">
        <v>456</v>
      </c>
      <c r="D26" s="61"/>
      <c r="E26" s="61"/>
    </row>
    <row r="27" spans="2:5" x14ac:dyDescent="0.3">
      <c r="B27" s="60"/>
      <c r="C27" s="62" t="s">
        <v>355</v>
      </c>
      <c r="D27" s="62"/>
      <c r="E27" s="62"/>
    </row>
    <row r="28" spans="2:5" x14ac:dyDescent="0.3">
      <c r="B28" s="60"/>
      <c r="C28" s="2" t="s">
        <v>116</v>
      </c>
      <c r="D28" s="2" t="s">
        <v>122</v>
      </c>
      <c r="E28" s="2" t="s">
        <v>148</v>
      </c>
    </row>
    <row r="29" spans="2:5" x14ac:dyDescent="0.3">
      <c r="B29" s="4" t="s">
        <v>286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3">
      <c r="B30" s="4" t="s">
        <v>287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3">
      <c r="B31" s="6" t="s">
        <v>288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3">
      <c r="B32" t="s">
        <v>297</v>
      </c>
      <c r="C32" s="58" t="e">
        <f>'CW losslG,losslA,interLD'!AW16</f>
        <v>#NUM!</v>
      </c>
      <c r="D32" s="58"/>
      <c r="E32" s="58"/>
    </row>
    <row r="33" spans="2:12" x14ac:dyDescent="0.3">
      <c r="B33" s="9" t="s">
        <v>298</v>
      </c>
      <c r="C33" s="59" t="e">
        <f>'CW losslG,losslA,interLD'!AY16</f>
        <v>#NUM!</v>
      </c>
      <c r="D33" s="59"/>
      <c r="E33" s="59"/>
    </row>
    <row r="35" spans="2:12" s="1" customFormat="1" x14ac:dyDescent="0.3">
      <c r="B35" s="1" t="s">
        <v>541</v>
      </c>
    </row>
    <row r="37" spans="2:12" x14ac:dyDescent="0.3">
      <c r="B37" s="60" t="s">
        <v>542</v>
      </c>
      <c r="C37" s="61" t="s">
        <v>543</v>
      </c>
      <c r="D37" s="61"/>
      <c r="E37" s="61"/>
      <c r="F37" s="61"/>
      <c r="G37" s="61"/>
      <c r="H37" s="61"/>
      <c r="I37" s="61"/>
      <c r="J37" s="61"/>
      <c r="K37" s="61"/>
      <c r="L37" s="61"/>
    </row>
    <row r="38" spans="2:12" x14ac:dyDescent="0.3">
      <c r="B38" s="60"/>
      <c r="C38" s="62" t="s">
        <v>235</v>
      </c>
      <c r="D38" s="62"/>
      <c r="E38" s="63" t="s">
        <v>240</v>
      </c>
      <c r="F38" s="63"/>
      <c r="G38" s="63"/>
      <c r="H38" s="62" t="s">
        <v>247</v>
      </c>
      <c r="I38" s="62"/>
      <c r="J38" s="63" t="s">
        <v>252</v>
      </c>
      <c r="K38" s="63"/>
      <c r="L38" s="63"/>
    </row>
    <row r="39" spans="2:12" x14ac:dyDescent="0.3">
      <c r="B39" s="60"/>
      <c r="C39" s="2" t="s">
        <v>152</v>
      </c>
      <c r="D39" s="2" t="s">
        <v>155</v>
      </c>
      <c r="E39" s="3" t="s">
        <v>159</v>
      </c>
      <c r="F39" s="3" t="s">
        <v>162</v>
      </c>
      <c r="G39" s="3" t="s">
        <v>165</v>
      </c>
      <c r="H39" s="2" t="s">
        <v>152</v>
      </c>
      <c r="I39" s="2" t="s">
        <v>155</v>
      </c>
      <c r="J39" s="3" t="s">
        <v>159</v>
      </c>
      <c r="K39" s="3" t="s">
        <v>162</v>
      </c>
      <c r="L39" s="3" t="s">
        <v>165</v>
      </c>
    </row>
    <row r="40" spans="2:12" x14ac:dyDescent="0.3">
      <c r="B40" s="4" t="s">
        <v>286</v>
      </c>
      <c r="C40" s="5" t="e">
        <f>'C2 lossyG,lossyA,interRA'!$BI$30:$BI$30</f>
        <v>#DIV/0!</v>
      </c>
      <c r="D40" s="5" t="e">
        <f>'C2 lossyG,lossyA,interRA'!$BJ$30:$BJ$30</f>
        <v>#DIV/0!</v>
      </c>
      <c r="E40" s="5" t="e">
        <f>'C2 lossyG,lossyA,interRA'!$BK$30:$BK$30</f>
        <v>#DIV/0!</v>
      </c>
      <c r="F40" s="5" t="e">
        <f>'C2 lossyG,lossyA,interRA'!$BL$30:$BL$30</f>
        <v>#DIV/0!</v>
      </c>
      <c r="G40" s="5" t="e">
        <f>'C2 lossyG,lossyA,interRA'!$BM$30:$BM$30</f>
        <v>#DIV/0!</v>
      </c>
      <c r="H40" s="5" t="e">
        <f>'C2 lossyG,lossyA,interRA'!$BO$30:$BO$30</f>
        <v>#DIV/0!</v>
      </c>
      <c r="I40" s="5" t="e">
        <f>'C2 lossyG,lossyA,interRA'!$BP$30:$BP$30</f>
        <v>#DIV/0!</v>
      </c>
      <c r="J40" s="5" t="e">
        <f>'C2 lossyG,lossyA,interRA'!$BQ$30:$BQ$30</f>
        <v>#DIV/0!</v>
      </c>
      <c r="K40" s="5" t="e">
        <f>'C2 lossyG,lossyA,interRA'!$BR$30:$BR$30</f>
        <v>#DIV/0!</v>
      </c>
      <c r="L40" s="5" t="e">
        <f>'C2 lossyG,lossyA,interRA'!$BS$30:$BS$30</f>
        <v>#DIV/0!</v>
      </c>
    </row>
    <row r="41" spans="2:12" x14ac:dyDescent="0.3">
      <c r="B41" s="4" t="s">
        <v>287</v>
      </c>
      <c r="C41" s="5" t="e">
        <f>'C2 lossyG,lossyA,interRA'!$BI$31:$BI$31</f>
        <v>#DIV/0!</v>
      </c>
      <c r="D41" s="5" t="e">
        <f>'C2 lossyG,lossyA,interRA'!$BJ$31:$BJ$31</f>
        <v>#DIV/0!</v>
      </c>
      <c r="E41" s="5" t="e">
        <f>'C2 lossyG,lossyA,interRA'!$BK$31:$BK$31</f>
        <v>#DIV/0!</v>
      </c>
      <c r="F41" s="5" t="e">
        <f>'C2 lossyG,lossyA,interRA'!$BL$31:$BL$31</f>
        <v>#DIV/0!</v>
      </c>
      <c r="G41" s="5" t="e">
        <f>'C2 lossyG,lossyA,interRA'!$BM$31:$BM$31</f>
        <v>#DIV/0!</v>
      </c>
      <c r="H41" s="5" t="e">
        <f>'C2 lossyG,lossyA,interRA'!$BO$31:$BO$31</f>
        <v>#DIV/0!</v>
      </c>
      <c r="I41" s="5" t="e">
        <f>'C2 lossyG,lossyA,interRA'!$BP$31:$BP$31</f>
        <v>#DIV/0!</v>
      </c>
      <c r="J41" s="5" t="e">
        <f>'C2 lossyG,lossyA,interRA'!$BQ$31:$BQ$31</f>
        <v>#DIV/0!</v>
      </c>
      <c r="K41" s="5" t="e">
        <f>'C2 lossyG,lossyA,interRA'!$BR$31:$BR$31</f>
        <v>#DIV/0!</v>
      </c>
      <c r="L41" s="5" t="e">
        <f>'C2 lossyG,lossyA,interRA'!$BS$31:$BS$31</f>
        <v>#DIV/0!</v>
      </c>
    </row>
    <row r="42" spans="2:12" x14ac:dyDescent="0.3">
      <c r="B42" s="6" t="s">
        <v>288</v>
      </c>
      <c r="C42" s="7" t="e">
        <f>'C2 lossyG,lossyA,interRA'!$BI$32:$BI$32</f>
        <v>#DIV/0!</v>
      </c>
      <c r="D42" s="7" t="e">
        <f>'C2 lossyG,lossyA,interRA'!$BJ$32:$BJ$32</f>
        <v>#DIV/0!</v>
      </c>
      <c r="E42" s="7" t="e">
        <f>'C2 lossyG,lossyA,interRA'!$BK$32:$BK$32</f>
        <v>#DIV/0!</v>
      </c>
      <c r="F42" s="7" t="e">
        <f>'C2 lossyG,lossyA,interRA'!$BL$32:$BL$32</f>
        <v>#DIV/0!</v>
      </c>
      <c r="G42" s="7" t="e">
        <f>'C2 lossyG,lossyA,interRA'!$BM$32:$BM$32</f>
        <v>#DIV/0!</v>
      </c>
      <c r="H42" s="7" t="e">
        <f>'C2 lossyG,lossyA,interRA'!$BO$32:$BO$32</f>
        <v>#DIV/0!</v>
      </c>
      <c r="I42" s="7" t="e">
        <f>'C2 lossyG,lossyA,interRA'!$BP$32:$BP$32</f>
        <v>#DIV/0!</v>
      </c>
      <c r="J42" s="7" t="e">
        <f>'C2 lossyG,lossyA,interRA'!$BQ$32:$BQ$32</f>
        <v>#DIV/0!</v>
      </c>
      <c r="K42" s="7" t="e">
        <f>'C2 lossyG,lossyA,interRA'!$BR$32:$BR$32</f>
        <v>#DIV/0!</v>
      </c>
      <c r="L42" s="7" t="e">
        <f>'C2 lossyG,lossyA,interRA'!$BS$32:$BS$32</f>
        <v>#DIV/0!</v>
      </c>
    </row>
    <row r="43" spans="2:12" x14ac:dyDescent="0.3">
      <c r="B43" t="s">
        <v>297</v>
      </c>
      <c r="C43" s="58" t="e">
        <f>'C2 lossyG,lossyA,interRA'!AZ36</f>
        <v>#NUM!</v>
      </c>
      <c r="D43" s="58"/>
      <c r="E43" s="58"/>
      <c r="F43" s="58"/>
      <c r="G43" s="58"/>
      <c r="H43" s="58"/>
      <c r="I43" s="58"/>
      <c r="J43" s="58"/>
      <c r="K43" s="58"/>
      <c r="L43" s="58"/>
    </row>
    <row r="44" spans="2:12" x14ac:dyDescent="0.3">
      <c r="B44" s="9" t="s">
        <v>298</v>
      </c>
      <c r="C44" s="59" t="e">
        <f>'C2 lossyG,lossyA,interRA'!BB36</f>
        <v>#NUM!</v>
      </c>
      <c r="D44" s="59"/>
      <c r="E44" s="59"/>
      <c r="F44" s="59"/>
      <c r="G44" s="59"/>
      <c r="H44" s="59"/>
      <c r="I44" s="59"/>
      <c r="J44" s="59"/>
      <c r="K44" s="59"/>
      <c r="L44" s="59"/>
    </row>
  </sheetData>
  <mergeCells count="28"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  <mergeCell ref="C21:E21"/>
    <mergeCell ref="C22:E22"/>
    <mergeCell ref="B26:B28"/>
    <mergeCell ref="C26:E26"/>
    <mergeCell ref="C27:E27"/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79</v>
      </c>
      <c r="B1" s="10" t="str">
        <f>M1</f>
        <v>C2 lossyG,lossyA,intra</v>
      </c>
      <c r="C1" t="s">
        <v>80</v>
      </c>
      <c r="I1" t="s">
        <v>2</v>
      </c>
      <c r="M1" t="s">
        <v>299</v>
      </c>
      <c r="N1" t="s">
        <v>381</v>
      </c>
      <c r="O1" t="s">
        <v>457</v>
      </c>
      <c r="P1" t="s">
        <v>544</v>
      </c>
    </row>
    <row r="2" spans="1:16" x14ac:dyDescent="0.3">
      <c r="A2" t="s">
        <v>81</v>
      </c>
      <c r="B2" s="10" t="str">
        <f>HLOOKUP(B1,M1:ZZ3,3,0)</f>
        <v>8ivfbv2_loot_vox10</v>
      </c>
      <c r="C2" t="s">
        <v>82</v>
      </c>
      <c r="I2" t="s">
        <v>3</v>
      </c>
      <c r="J2" t="s">
        <v>4</v>
      </c>
      <c r="M2" t="s">
        <v>301</v>
      </c>
      <c r="N2" t="s">
        <v>383</v>
      </c>
      <c r="O2" t="s">
        <v>459</v>
      </c>
      <c r="P2" t="s">
        <v>546</v>
      </c>
    </row>
    <row r="3" spans="1:16" x14ac:dyDescent="0.3">
      <c r="I3" t="s">
        <v>5</v>
      </c>
      <c r="J3" t="s">
        <v>6</v>
      </c>
      <c r="M3" t="s">
        <v>264</v>
      </c>
      <c r="N3" t="s">
        <v>264</v>
      </c>
      <c r="O3" t="s">
        <v>264</v>
      </c>
      <c r="P3" t="s">
        <v>264</v>
      </c>
    </row>
    <row r="4" spans="1:16" x14ac:dyDescent="0.3">
      <c r="A4" t="s">
        <v>83</v>
      </c>
      <c r="B4" s="10" t="s">
        <v>67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273</v>
      </c>
      <c r="N4" t="s">
        <v>273</v>
      </c>
      <c r="O4" t="s">
        <v>273</v>
      </c>
      <c r="P4" t="s">
        <v>273</v>
      </c>
    </row>
    <row r="5" spans="1:16" x14ac:dyDescent="0.3">
      <c r="A5" t="s">
        <v>83</v>
      </c>
      <c r="B5" s="10" t="s">
        <v>67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276</v>
      </c>
      <c r="N5" t="s">
        <v>276</v>
      </c>
      <c r="O5" t="s">
        <v>276</v>
      </c>
      <c r="P5" t="s">
        <v>276</v>
      </c>
    </row>
    <row r="6" spans="1:16" x14ac:dyDescent="0.3">
      <c r="A6" t="s">
        <v>83</v>
      </c>
      <c r="B6" s="10" t="s">
        <v>67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279</v>
      </c>
      <c r="N6" t="s">
        <v>279</v>
      </c>
      <c r="O6" t="s">
        <v>279</v>
      </c>
      <c r="P6" t="s">
        <v>279</v>
      </c>
    </row>
    <row r="7" spans="1:16" x14ac:dyDescent="0.3">
      <c r="A7" t="s">
        <v>83</v>
      </c>
      <c r="B7" s="10" t="s">
        <v>67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282</v>
      </c>
      <c r="N7" t="s">
        <v>282</v>
      </c>
      <c r="O7" t="s">
        <v>282</v>
      </c>
      <c r="P7" t="s">
        <v>282</v>
      </c>
    </row>
    <row r="8" spans="1:16" x14ac:dyDescent="0.3">
      <c r="A8" t="s">
        <v>83</v>
      </c>
      <c r="B8" s="10" t="s">
        <v>67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</row>
    <row r="9" spans="1:16" x14ac:dyDescent="0.3">
      <c r="A9" t="s">
        <v>83</v>
      </c>
      <c r="B9" s="10" t="s">
        <v>67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</row>
    <row r="10" spans="1:16" x14ac:dyDescent="0.3">
      <c r="I10" t="s">
        <v>19</v>
      </c>
      <c r="J10" t="s">
        <v>20</v>
      </c>
    </row>
    <row r="11" spans="1:16" x14ac:dyDescent="0.3">
      <c r="I11" t="s">
        <v>21</v>
      </c>
      <c r="J11" t="s">
        <v>22</v>
      </c>
    </row>
    <row r="12" spans="1:16" x14ac:dyDescent="0.3">
      <c r="I12" t="s">
        <v>23</v>
      </c>
      <c r="J12" t="s">
        <v>24</v>
      </c>
    </row>
    <row r="13" spans="1:16" x14ac:dyDescent="0.3">
      <c r="I13" t="s">
        <v>25</v>
      </c>
      <c r="J13" t="s">
        <v>26</v>
      </c>
    </row>
    <row r="14" spans="1:16" x14ac:dyDescent="0.3">
      <c r="I14" t="s">
        <v>27</v>
      </c>
      <c r="J14" t="s">
        <v>28</v>
      </c>
    </row>
    <row r="15" spans="1:16" x14ac:dyDescent="0.3">
      <c r="I15" t="s">
        <v>29</v>
      </c>
      <c r="J15" t="s">
        <v>30</v>
      </c>
    </row>
    <row r="16" spans="1:16" x14ac:dyDescent="0.3">
      <c r="I16" t="s">
        <v>31</v>
      </c>
      <c r="J16" t="s">
        <v>32</v>
      </c>
    </row>
    <row r="17" spans="9:10" x14ac:dyDescent="0.3">
      <c r="I17" t="s">
        <v>33</v>
      </c>
      <c r="J17" t="s">
        <v>34</v>
      </c>
    </row>
    <row r="18" spans="9:10" x14ac:dyDescent="0.3">
      <c r="I18" t="s">
        <v>35</v>
      </c>
      <c r="J18" t="s">
        <v>36</v>
      </c>
    </row>
    <row r="19" spans="9:10" x14ac:dyDescent="0.3">
      <c r="I19" t="s">
        <v>37</v>
      </c>
      <c r="J19" t="s">
        <v>38</v>
      </c>
    </row>
    <row r="20" spans="9:10" x14ac:dyDescent="0.3">
      <c r="I20" t="s">
        <v>39</v>
      </c>
      <c r="J20" t="s">
        <v>40</v>
      </c>
    </row>
    <row r="21" spans="9:10" x14ac:dyDescent="0.3">
      <c r="I21" t="s">
        <v>41</v>
      </c>
      <c r="J21" t="s">
        <v>42</v>
      </c>
    </row>
    <row r="22" spans="9:10" x14ac:dyDescent="0.3">
      <c r="I22" t="s">
        <v>43</v>
      </c>
      <c r="J22" t="s">
        <v>44</v>
      </c>
    </row>
    <row r="23" spans="9:10" x14ac:dyDescent="0.3">
      <c r="I23" t="s">
        <v>45</v>
      </c>
      <c r="J23" t="s">
        <v>46</v>
      </c>
    </row>
    <row r="24" spans="9:10" x14ac:dyDescent="0.3">
      <c r="I24" t="s">
        <v>47</v>
      </c>
      <c r="J24" t="s">
        <v>48</v>
      </c>
    </row>
    <row r="25" spans="9:10" x14ac:dyDescent="0.3">
      <c r="I25" t="s">
        <v>49</v>
      </c>
      <c r="J25" t="s">
        <v>50</v>
      </c>
    </row>
    <row r="26" spans="9:10" x14ac:dyDescent="0.3">
      <c r="I26" t="s">
        <v>51</v>
      </c>
      <c r="J26" t="s">
        <v>52</v>
      </c>
    </row>
    <row r="27" spans="9:10" x14ac:dyDescent="0.3">
      <c r="I27" t="s">
        <v>53</v>
      </c>
      <c r="J27" t="s">
        <v>54</v>
      </c>
    </row>
    <row r="28" spans="9:10" x14ac:dyDescent="0.3">
      <c r="I28" t="s">
        <v>55</v>
      </c>
      <c r="J28" t="s">
        <v>56</v>
      </c>
    </row>
    <row r="29" spans="9:10" x14ac:dyDescent="0.3">
      <c r="I29" t="s">
        <v>57</v>
      </c>
      <c r="J29" t="s">
        <v>58</v>
      </c>
    </row>
    <row r="30" spans="9:10" x14ac:dyDescent="0.3">
      <c r="I30" t="s">
        <v>59</v>
      </c>
      <c r="J30" t="s">
        <v>60</v>
      </c>
    </row>
    <row r="31" spans="9:10" x14ac:dyDescent="0.3">
      <c r="I31" t="s">
        <v>61</v>
      </c>
      <c r="J31" t="s">
        <v>62</v>
      </c>
    </row>
    <row r="32" spans="9:10" x14ac:dyDescent="0.3">
      <c r="I32" t="s">
        <v>63</v>
      </c>
      <c r="J32" t="s">
        <v>64</v>
      </c>
    </row>
    <row r="33" spans="9:10" x14ac:dyDescent="0.3">
      <c r="I33" t="s">
        <v>65</v>
      </c>
      <c r="J33" t="s">
        <v>66</v>
      </c>
    </row>
    <row r="34" spans="9:10" x14ac:dyDescent="0.3">
      <c r="I34" t="s">
        <v>67</v>
      </c>
      <c r="J34" t="s">
        <v>68</v>
      </c>
    </row>
    <row r="35" spans="9:10" x14ac:dyDescent="0.3">
      <c r="I35" t="s">
        <v>69</v>
      </c>
      <c r="J35" t="s">
        <v>70</v>
      </c>
    </row>
    <row r="36" spans="9:10" x14ac:dyDescent="0.3">
      <c r="I36" t="s">
        <v>71</v>
      </c>
      <c r="J36" t="s">
        <v>72</v>
      </c>
    </row>
    <row r="37" spans="9:10" x14ac:dyDescent="0.3">
      <c r="I37" t="s">
        <v>73</v>
      </c>
      <c r="J37" t="s">
        <v>74</v>
      </c>
    </row>
    <row r="38" spans="9:10" x14ac:dyDescent="0.3">
      <c r="I38" t="s">
        <v>75</v>
      </c>
      <c r="J38" t="s">
        <v>76</v>
      </c>
    </row>
    <row r="39" spans="9:10" x14ac:dyDescent="0.3">
      <c r="I39" t="s">
        <v>77</v>
      </c>
      <c r="J39" t="s">
        <v>78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/>
  </sheetPr>
  <dimension ref="A1:BS36"/>
  <sheetViews>
    <sheetView tabSelected="1" zoomScale="85" zoomScaleNormal="85" workbookViewId="0">
      <pane xSplit="2" topLeftCell="AD1" activePane="topRight" state="frozen"/>
      <selection pane="topRight" activeCell="AS37" sqref="AS37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259</v>
      </c>
      <c r="B1" s="68"/>
      <c r="C1" s="68"/>
      <c r="D1" s="68"/>
      <c r="E1" s="68"/>
      <c r="F1" s="68"/>
      <c r="G1" s="68"/>
      <c r="I1" s="64" t="str">
        <f>Summary!C1</f>
        <v>R5.0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tested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ht="15" thickBot="1" x14ac:dyDescent="0.35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2.3792416000000003</v>
      </c>
      <c r="J5" s="18">
        <f t="shared" ref="J5:J29" si="1">IF(ISBLANK(S5),"·",S5/D5)</f>
        <v>9.9906683028423468E-2</v>
      </c>
      <c r="K5" s="18">
        <f t="shared" ref="K5:K29" si="2">IF(N5="","·",N5/D5)</f>
        <v>6.4039366441627069E-2</v>
      </c>
      <c r="L5" s="18">
        <f t="shared" ref="L5:L29" si="3">IF(T5="","·",T5/D5)</f>
        <v>3.5241919748429024E-2</v>
      </c>
      <c r="M5" s="18">
        <f t="shared" ref="M5:M29" si="4">IF(ISBLANK(V5),"·",V5/D5)</f>
        <v>3.5852300612861272E-2</v>
      </c>
      <c r="N5" s="15">
        <f t="shared" ref="N5:N29" si="5">IF(OR(ISBLANK(T5),ISBLANK(U5)),"",T5+U5)</f>
        <v>15250744</v>
      </c>
      <c r="O5" s="18">
        <f t="shared" ref="O5:O29" si="6">IF(ISBLANK(S5),"·",S5/P5)</f>
        <v>0.11369706346627136</v>
      </c>
      <c r="P5" s="19">
        <v>209261482</v>
      </c>
      <c r="Q5" s="19">
        <v>697538.27333333297</v>
      </c>
      <c r="R5" s="19">
        <v>14897.04</v>
      </c>
      <c r="S5" s="20">
        <v>23792416</v>
      </c>
      <c r="T5" s="20">
        <v>8392736</v>
      </c>
      <c r="U5" s="20">
        <v>6858008</v>
      </c>
      <c r="V5" s="20">
        <v>8538096</v>
      </c>
      <c r="W5" s="21">
        <v>66.294278000000006</v>
      </c>
      <c r="X5" s="21">
        <v>68.319255333333302</v>
      </c>
      <c r="Y5" s="21">
        <v>32.410050333333402</v>
      </c>
      <c r="Z5" s="21">
        <v>44.166854666666701</v>
      </c>
      <c r="AA5" s="21">
        <v>43.821884666666698</v>
      </c>
      <c r="AB5" s="22">
        <v>38159.4</v>
      </c>
      <c r="AC5" s="22">
        <v>15701.4</v>
      </c>
      <c r="AD5" s="22">
        <v>63.177999999999997</v>
      </c>
      <c r="AE5" s="22">
        <v>256.54300000000001</v>
      </c>
      <c r="AG5" s="17" t="str">
        <f t="shared" ref="AG5:AG29" si="7">IF(OR(ISBLANK(AQ5),ISBLANK(G5)),"·",AQ5*G5/F5/1000000)</f>
        <v>·</v>
      </c>
      <c r="AH5" s="18" t="str">
        <f t="shared" ref="AH5:AH29" si="8">IF(ISBLANK(AQ5),"·",AQ5/D5)</f>
        <v>·</v>
      </c>
      <c r="AI5" s="18" t="str">
        <f t="shared" ref="AI5:AI29" si="9">IF(AL5="","·",AL5/D5)</f>
        <v>·</v>
      </c>
      <c r="AJ5" s="18" t="str">
        <f t="shared" ref="AJ5:AJ29" si="10">IF(AR5="","·",AR5/D5)</f>
        <v>·</v>
      </c>
      <c r="AK5" s="18" t="str">
        <f t="shared" ref="AK5:AK29" si="11">IF(ISBLANK(AT5),"·",AT5/D5)</f>
        <v>·</v>
      </c>
      <c r="AL5" s="15" t="str">
        <f t="shared" ref="AL5:AL29" si="12">IF(OR(ISBLANK(AR5),ISBLANK(AS5)),"",AR5+AS5)</f>
        <v/>
      </c>
      <c r="AM5" s="18" t="str">
        <f t="shared" ref="AM5:AM29" si="13">IF(ISBLANK(AQ5),"·",AQ5/AN5)</f>
        <v>·</v>
      </c>
      <c r="AN5" s="19"/>
      <c r="AO5" s="19"/>
      <c r="AP5" s="19"/>
      <c r="AQ5" s="20"/>
      <c r="AR5" s="20"/>
      <c r="AS5" s="20"/>
      <c r="AT5" s="20"/>
      <c r="AU5" s="21"/>
      <c r="AV5" s="21"/>
      <c r="AW5" s="21"/>
      <c r="AX5" s="21"/>
      <c r="AY5" s="21"/>
      <c r="AZ5" s="22"/>
      <c r="BA5" s="22"/>
      <c r="BB5" s="22"/>
      <c r="BC5" s="22"/>
      <c r="BE5" s="23" t="e">
        <f t="shared" ref="BE5:BE29" si="14">(AP5/AO5) - (R5/Q5)</f>
        <v>#DIV/0!</v>
      </c>
      <c r="BF5" s="23" t="e">
        <f t="shared" ref="BF5:BF29" si="15">(AL5/AQ5) - (N5/S5)</f>
        <v>#VALUE!</v>
      </c>
      <c r="BG5" s="23" t="e">
        <f t="array" ref="BG5">AVERAGE(AL5:AL9/AQ5:AQ9) - AVERAGE(N5:N9/S5:S9)</f>
        <v>#VALUE!</v>
      </c>
      <c r="BI5" s="24" t="str">
        <f>IF( OR(ISBLANK(N5:N9),ISBLANK(AL5:AL9), ISBLANK(W5:W9),ISBLANK(AU5:AU9)), "·", bdRateExtend( N5:N9,W5:W9, AL5:AL9,AU5:AU9))</f>
        <v>·</v>
      </c>
      <c r="BJ5" s="24" t="str">
        <f>IF( OR(ISBLANK(N5:N9),ISBLANK(AL5:AL9), ISBLANK(X5:X9),ISBLANK(AV5:AV9)), "·", bdRateExtend( N5:N9,X5:X9, AL5:AL9,AV5:AV9))</f>
        <v>·</v>
      </c>
      <c r="BK5" s="24" t="str">
        <f>IF( OR(ISBLANK(V5:V9),ISBLANK(AT5:AT9), ISBLANK(Y5:Y9),ISBLANK(AW5:AW9)), "·", bdRateExtend( V5:V9,Y5:Y9, AT5:AT9,AW5:AW9))</f>
        <v>·</v>
      </c>
      <c r="BL5" s="24" t="str">
        <f>IF( OR(ISBLANK(V5:V9),ISBLANK(AT5:AT9), ISBLANK(Z5:Z9),ISBLANK(AX5:AX9)), "·", bdRateExtend( V5:V9,Z5:Z9, AT5:AT9,AX5:AX9))</f>
        <v>·</v>
      </c>
      <c r="BM5" s="24" t="str">
        <f>IF( OR(ISBLANK(V5:V9),ISBLANK(AT5:AT9), ISBLANK(AA5:AA9),ISBLANK(AY5:AY9)), "·", bdRateExtend( V5:V9,AA5:AA9, AT5:AT9,AY5:AY9))</f>
        <v>·</v>
      </c>
      <c r="BO5" s="24" t="str">
        <f>IF( OR(ISBLANK(S5:S9),ISBLANK(AQ5:AQ9), ISBLANK(W5:W9),ISBLANK(AU5:AU9)), "·", bdRateExtend( S5:S9,W5:W9, AQ5:AQ9,AU5:AU9))</f>
        <v>·</v>
      </c>
      <c r="BP5" s="24" t="str">
        <f>IF( OR(ISBLANK(S5:S9),ISBLANK(AQ5:AQ9), ISBLANK(X5:X9),ISBLANK(AV5:AV9)), "·", bdRateExtend( S5:S9,X5:X9, AQ5:AQ9,AV5:AV9))</f>
        <v>·</v>
      </c>
      <c r="BQ5" s="24" t="str">
        <f>IF( OR(ISBLANK(S5:S9),ISBLANK(AQ5:AQ9), ISBLANK(Y5:Y9),ISBLANK(AW5:AW9)), "·", bdRateExtend( S5:S9,Y5:Y9, AQ5:AQ9,AW5:AW9))</f>
        <v>·</v>
      </c>
      <c r="BR5" s="24" t="str">
        <f>IF( OR(ISBLANK(S5:S9),ISBLANK(AQ5:AQ9), ISBLANK(Z5:Z9),ISBLANK(AX5:AX9)), "·", bdRateExtend( S5:S9,Z5:Z9, AQ5:AQ9,AX5:AX9))</f>
        <v>·</v>
      </c>
      <c r="BS5" s="24" t="str">
        <f>IF( OR(ISBLANK(S5:S9),ISBLANK(AQ5:AQ9), ISBLANK(AA5:AA9),ISBLANK(AY5:AY9)), "·", bdRateExtend( S5:S9,AA5:AA9, AQ5:AQ9,AY5:AY9))</f>
        <v>·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3.6158960000000002</v>
      </c>
      <c r="J6" s="28">
        <f t="shared" si="1"/>
        <v>0.1518350114321069</v>
      </c>
      <c r="K6" s="28">
        <f t="shared" si="2"/>
        <v>7.7299815137656228E-2</v>
      </c>
      <c r="L6" s="28">
        <f t="shared" si="3"/>
        <v>4.8502368444458183E-2</v>
      </c>
      <c r="M6" s="28">
        <f t="shared" si="4"/>
        <v>7.452018032051555E-2</v>
      </c>
      <c r="N6" s="25">
        <f t="shared" si="5"/>
        <v>18408672</v>
      </c>
      <c r="O6" s="28">
        <f t="shared" si="6"/>
        <v>0.15641117321612089</v>
      </c>
      <c r="P6" s="29">
        <v>231178881</v>
      </c>
      <c r="Q6" s="29">
        <v>770596.27</v>
      </c>
      <c r="R6" s="29">
        <v>20284.9866666667</v>
      </c>
      <c r="S6" s="30">
        <v>36158960</v>
      </c>
      <c r="T6" s="30">
        <v>11550664</v>
      </c>
      <c r="U6" s="30">
        <v>6858008</v>
      </c>
      <c r="V6" s="30">
        <v>17746712</v>
      </c>
      <c r="W6" s="31">
        <v>68.152516333333296</v>
      </c>
      <c r="X6" s="31">
        <v>70.251118000000005</v>
      </c>
      <c r="Y6" s="31">
        <v>34.710412333333302</v>
      </c>
      <c r="Z6" s="31">
        <v>45.457675666666702</v>
      </c>
      <c r="AA6" s="31">
        <v>45.258303333333401</v>
      </c>
      <c r="AB6" s="32">
        <v>37847.699999999997</v>
      </c>
      <c r="AC6" s="32">
        <v>16356</v>
      </c>
      <c r="AD6" s="32">
        <v>66.632999999999996</v>
      </c>
      <c r="AE6" s="32">
        <v>263.322</v>
      </c>
      <c r="AG6" s="27" t="str">
        <f t="shared" si="7"/>
        <v>·</v>
      </c>
      <c r="AH6" s="28" t="str">
        <f t="shared" si="8"/>
        <v>·</v>
      </c>
      <c r="AI6" s="28" t="str">
        <f t="shared" si="9"/>
        <v>·</v>
      </c>
      <c r="AJ6" s="28" t="str">
        <f t="shared" si="10"/>
        <v>·</v>
      </c>
      <c r="AK6" s="28" t="str">
        <f t="shared" si="11"/>
        <v>·</v>
      </c>
      <c r="AL6" s="25" t="str">
        <f t="shared" si="12"/>
        <v/>
      </c>
      <c r="AM6" s="28" t="str">
        <f t="shared" si="13"/>
        <v>·</v>
      </c>
      <c r="AN6" s="29"/>
      <c r="AO6" s="29"/>
      <c r="AP6" s="29"/>
      <c r="AQ6" s="30"/>
      <c r="AR6" s="30"/>
      <c r="AS6" s="30"/>
      <c r="AT6" s="30"/>
      <c r="AU6" s="31"/>
      <c r="AV6" s="31"/>
      <c r="AW6" s="31"/>
      <c r="AX6" s="31"/>
      <c r="AY6" s="31"/>
      <c r="AZ6" s="32"/>
      <c r="BA6" s="32"/>
      <c r="BB6" s="32"/>
      <c r="BC6" s="32"/>
      <c r="BE6" s="33" t="e">
        <f t="shared" si="14"/>
        <v>#DIV/0!</v>
      </c>
      <c r="BF6" s="33" t="e">
        <f t="shared" si="15"/>
        <v>#VALUE!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5.8053215999999992</v>
      </c>
      <c r="J7" s="18">
        <f t="shared" si="1"/>
        <v>0.24377113487308738</v>
      </c>
      <c r="K7" s="18">
        <f t="shared" si="2"/>
        <v>9.6007568722718956E-2</v>
      </c>
      <c r="L7" s="18">
        <f t="shared" si="3"/>
        <v>6.7210122029520911E-2</v>
      </c>
      <c r="M7" s="18">
        <f t="shared" si="4"/>
        <v>0.14774855017643329</v>
      </c>
      <c r="N7" s="15">
        <f t="shared" si="5"/>
        <v>22863856</v>
      </c>
      <c r="O7" s="18">
        <f t="shared" si="6"/>
        <v>0.2455072754429391</v>
      </c>
      <c r="P7" s="19">
        <v>236462304</v>
      </c>
      <c r="Q7" s="19">
        <v>788207.68</v>
      </c>
      <c r="R7" s="19">
        <v>22131.8733333333</v>
      </c>
      <c r="S7" s="20">
        <v>58053216</v>
      </c>
      <c r="T7" s="20">
        <v>16005848</v>
      </c>
      <c r="U7" s="20">
        <v>6858008</v>
      </c>
      <c r="V7" s="20">
        <v>35185784</v>
      </c>
      <c r="W7" s="21">
        <v>69.553665666666703</v>
      </c>
      <c r="X7" s="21">
        <v>71.934862666666604</v>
      </c>
      <c r="Y7" s="21">
        <v>37.248799666666599</v>
      </c>
      <c r="Z7" s="21">
        <v>46.595563666666699</v>
      </c>
      <c r="AA7" s="21">
        <v>46.532640999999998</v>
      </c>
      <c r="AB7" s="22">
        <v>38647.300000000003</v>
      </c>
      <c r="AC7" s="22">
        <v>17463.7</v>
      </c>
      <c r="AD7" s="22">
        <v>67.486000000000004</v>
      </c>
      <c r="AE7" s="22">
        <v>270.80500000000001</v>
      </c>
      <c r="AG7" s="17" t="str">
        <f t="shared" si="7"/>
        <v>·</v>
      </c>
      <c r="AH7" s="18" t="str">
        <f t="shared" si="8"/>
        <v>·</v>
      </c>
      <c r="AI7" s="18" t="str">
        <f t="shared" si="9"/>
        <v>·</v>
      </c>
      <c r="AJ7" s="18" t="str">
        <f t="shared" si="10"/>
        <v>·</v>
      </c>
      <c r="AK7" s="18" t="str">
        <f t="shared" si="11"/>
        <v>·</v>
      </c>
      <c r="AL7" s="15" t="str">
        <f t="shared" si="12"/>
        <v/>
      </c>
      <c r="AM7" s="18" t="str">
        <f t="shared" si="13"/>
        <v>·</v>
      </c>
      <c r="AN7" s="19"/>
      <c r="AO7" s="19"/>
      <c r="AP7" s="19"/>
      <c r="AQ7" s="20"/>
      <c r="AR7" s="20"/>
      <c r="AS7" s="20"/>
      <c r="AT7" s="20"/>
      <c r="AU7" s="21"/>
      <c r="AV7" s="21"/>
      <c r="AW7" s="21"/>
      <c r="AX7" s="21"/>
      <c r="AY7" s="21"/>
      <c r="AZ7" s="22"/>
      <c r="BA7" s="22"/>
      <c r="BB7" s="22"/>
      <c r="BC7" s="22"/>
      <c r="BE7" s="23" t="e">
        <f t="shared" si="14"/>
        <v>#DIV/0!</v>
      </c>
      <c r="BF7" s="23" t="e">
        <f t="shared" si="15"/>
        <v>#VALUE!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9.9231943999999999</v>
      </c>
      <c r="J8" s="28">
        <f t="shared" si="1"/>
        <v>0.41668464335451549</v>
      </c>
      <c r="K8" s="28">
        <f t="shared" si="2"/>
        <v>0.12767857565391363</v>
      </c>
      <c r="L8" s="28">
        <f t="shared" si="3"/>
        <v>9.8881128960715603E-2</v>
      </c>
      <c r="M8" s="28">
        <f t="shared" si="4"/>
        <v>0.28899105172666673</v>
      </c>
      <c r="N8" s="25">
        <f t="shared" si="5"/>
        <v>30406192</v>
      </c>
      <c r="O8" s="28">
        <f t="shared" si="6"/>
        <v>0.40101059965464542</v>
      </c>
      <c r="P8" s="29">
        <v>247454666</v>
      </c>
      <c r="Q8" s="29">
        <v>824848.88666666695</v>
      </c>
      <c r="R8" s="29">
        <v>25770.813333333299</v>
      </c>
      <c r="S8" s="30">
        <v>99231944</v>
      </c>
      <c r="T8" s="30">
        <v>23548184</v>
      </c>
      <c r="U8" s="30">
        <v>6858008</v>
      </c>
      <c r="V8" s="30">
        <v>68822176</v>
      </c>
      <c r="W8" s="31">
        <v>70.631634000000005</v>
      </c>
      <c r="X8" s="31">
        <v>73.190856666666704</v>
      </c>
      <c r="Y8" s="31">
        <v>39.840393333333303</v>
      </c>
      <c r="Z8" s="31">
        <v>47.922707000000003</v>
      </c>
      <c r="AA8" s="31">
        <v>48.026603000000001</v>
      </c>
      <c r="AB8" s="32">
        <v>38855.300000000003</v>
      </c>
      <c r="AC8" s="32">
        <v>18822.3</v>
      </c>
      <c r="AD8" s="32">
        <v>70.495999999999995</v>
      </c>
      <c r="AE8" s="32">
        <v>281.04599999999999</v>
      </c>
      <c r="AG8" s="27" t="str">
        <f t="shared" si="7"/>
        <v>·</v>
      </c>
      <c r="AH8" s="28" t="str">
        <f t="shared" si="8"/>
        <v>·</v>
      </c>
      <c r="AI8" s="28" t="str">
        <f t="shared" si="9"/>
        <v>·</v>
      </c>
      <c r="AJ8" s="28" t="str">
        <f t="shared" si="10"/>
        <v>·</v>
      </c>
      <c r="AK8" s="28" t="str">
        <f t="shared" si="11"/>
        <v>·</v>
      </c>
      <c r="AL8" s="25" t="str">
        <f t="shared" si="12"/>
        <v/>
      </c>
      <c r="AM8" s="28" t="str">
        <f t="shared" si="13"/>
        <v>·</v>
      </c>
      <c r="AN8" s="29"/>
      <c r="AO8" s="29"/>
      <c r="AP8" s="29"/>
      <c r="AQ8" s="30"/>
      <c r="AR8" s="30"/>
      <c r="AS8" s="30"/>
      <c r="AT8" s="30"/>
      <c r="AU8" s="31"/>
      <c r="AV8" s="31"/>
      <c r="AW8" s="31"/>
      <c r="AX8" s="31"/>
      <c r="AY8" s="31"/>
      <c r="AZ8" s="32"/>
      <c r="BA8" s="32"/>
      <c r="BB8" s="32"/>
      <c r="BC8" s="32"/>
      <c r="BE8" s="33" t="e">
        <f t="shared" si="14"/>
        <v>#DIV/0!</v>
      </c>
      <c r="BF8" s="33" t="e">
        <f t="shared" si="15"/>
        <v>#VALUE!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ht="15" outlineLevel="1" thickBot="1" x14ac:dyDescent="0.35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17.9817216</v>
      </c>
      <c r="J9" s="38">
        <f t="shared" si="1"/>
        <v>0.75507008628150907</v>
      </c>
      <c r="K9" s="38">
        <f t="shared" si="2"/>
        <v>0.20703883772061865</v>
      </c>
      <c r="L9" s="38">
        <f t="shared" si="3"/>
        <v>0.15230645254666067</v>
      </c>
      <c r="M9" s="38">
        <f t="shared" si="4"/>
        <v>0.54801623258695531</v>
      </c>
      <c r="N9" s="35">
        <f t="shared" si="5"/>
        <v>49305552</v>
      </c>
      <c r="O9" s="38">
        <f t="shared" si="6"/>
        <v>0.7563683694654636</v>
      </c>
      <c r="P9" s="39">
        <v>237737620</v>
      </c>
      <c r="Q9" s="39">
        <v>792458.73333333305</v>
      </c>
      <c r="R9" s="39">
        <v>10973</v>
      </c>
      <c r="S9" s="40">
        <v>179817216</v>
      </c>
      <c r="T9" s="40">
        <v>36271232</v>
      </c>
      <c r="U9" s="40">
        <v>13034320</v>
      </c>
      <c r="V9" s="40">
        <v>130508088</v>
      </c>
      <c r="W9" s="41">
        <v>71.925526666666698</v>
      </c>
      <c r="X9" s="41">
        <v>75.240223999999898</v>
      </c>
      <c r="Y9" s="41">
        <v>42.2469136666667</v>
      </c>
      <c r="Z9" s="41">
        <v>49.458415666666703</v>
      </c>
      <c r="AA9" s="41">
        <v>49.634298333333298</v>
      </c>
      <c r="AB9" s="42">
        <v>38151.9</v>
      </c>
      <c r="AC9" s="42">
        <v>20868.400000000001</v>
      </c>
      <c r="AD9" s="42">
        <v>67.313999999999993</v>
      </c>
      <c r="AE9" s="42">
        <v>290.01100000000002</v>
      </c>
      <c r="AG9" s="37" t="str">
        <f t="shared" si="7"/>
        <v>·</v>
      </c>
      <c r="AH9" s="38" t="str">
        <f t="shared" si="8"/>
        <v>·</v>
      </c>
      <c r="AI9" s="38" t="str">
        <f t="shared" si="9"/>
        <v>·</v>
      </c>
      <c r="AJ9" s="38" t="str">
        <f t="shared" si="10"/>
        <v>·</v>
      </c>
      <c r="AK9" s="38" t="str">
        <f t="shared" si="11"/>
        <v>·</v>
      </c>
      <c r="AL9" s="35" t="str">
        <f t="shared" si="12"/>
        <v/>
      </c>
      <c r="AM9" s="38" t="str">
        <f t="shared" si="13"/>
        <v>·</v>
      </c>
      <c r="AN9" s="39"/>
      <c r="AO9" s="39"/>
      <c r="AP9" s="39"/>
      <c r="AQ9" s="40"/>
      <c r="AR9" s="40"/>
      <c r="AS9" s="40"/>
      <c r="AT9" s="40"/>
      <c r="AU9" s="41"/>
      <c r="AV9" s="41"/>
      <c r="AW9" s="41"/>
      <c r="AX9" s="41"/>
      <c r="AY9" s="41"/>
      <c r="AZ9" s="42"/>
      <c r="BA9" s="42"/>
      <c r="BB9" s="42"/>
      <c r="BC9" s="42"/>
      <c r="BE9" s="43" t="e">
        <f t="shared" si="14"/>
        <v>#DIV/0!</v>
      </c>
      <c r="BF9" s="43" t="e">
        <f t="shared" si="15"/>
        <v>#VALUE!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3.5002239999999998</v>
      </c>
      <c r="J10" s="28">
        <f t="shared" si="1"/>
        <v>0.16047148677064657</v>
      </c>
      <c r="K10" s="28">
        <f t="shared" si="2"/>
        <v>8.3707757358176052E-2</v>
      </c>
      <c r="L10" s="28">
        <f t="shared" si="3"/>
        <v>4.2337407926551232E-2</v>
      </c>
      <c r="M10" s="28">
        <f t="shared" si="4"/>
        <v>7.6747334860673491E-2</v>
      </c>
      <c r="N10" s="25">
        <f t="shared" si="5"/>
        <v>18258440</v>
      </c>
      <c r="O10" s="28">
        <f t="shared" si="6"/>
        <v>0.17577046866266335</v>
      </c>
      <c r="P10" s="29">
        <v>199136068</v>
      </c>
      <c r="Q10" s="29">
        <v>663786.89333333296</v>
      </c>
      <c r="R10" s="29">
        <v>20388.5366666667</v>
      </c>
      <c r="S10" s="30">
        <v>35002240</v>
      </c>
      <c r="T10" s="30">
        <v>9234688</v>
      </c>
      <c r="U10" s="30">
        <v>9023752</v>
      </c>
      <c r="V10" s="30">
        <v>16740224</v>
      </c>
      <c r="W10" s="31">
        <v>65.834119666666595</v>
      </c>
      <c r="X10" s="31">
        <v>67.730777333333407</v>
      </c>
      <c r="Y10" s="31">
        <v>32.444583999999999</v>
      </c>
      <c r="Z10" s="31">
        <v>39.252237999999998</v>
      </c>
      <c r="AA10" s="31">
        <v>32.129767666666702</v>
      </c>
      <c r="AB10" s="32">
        <v>37211.599999999999</v>
      </c>
      <c r="AC10" s="32">
        <v>12897.3</v>
      </c>
      <c r="AD10" s="32">
        <v>57.722000000000001</v>
      </c>
      <c r="AE10" s="32">
        <v>205.35499999999999</v>
      </c>
      <c r="AG10" s="27" t="str">
        <f t="shared" si="7"/>
        <v>·</v>
      </c>
      <c r="AH10" s="28" t="str">
        <f t="shared" si="8"/>
        <v>·</v>
      </c>
      <c r="AI10" s="28" t="str">
        <f t="shared" si="9"/>
        <v>·</v>
      </c>
      <c r="AJ10" s="28" t="str">
        <f t="shared" si="10"/>
        <v>·</v>
      </c>
      <c r="AK10" s="28" t="str">
        <f t="shared" si="11"/>
        <v>·</v>
      </c>
      <c r="AL10" s="25" t="str">
        <f t="shared" si="12"/>
        <v/>
      </c>
      <c r="AM10" s="28" t="str">
        <f t="shared" si="13"/>
        <v>·</v>
      </c>
      <c r="AN10" s="29"/>
      <c r="AO10" s="29"/>
      <c r="AP10" s="29"/>
      <c r="AQ10" s="30"/>
      <c r="AR10" s="30"/>
      <c r="AS10" s="30"/>
      <c r="AT10" s="30"/>
      <c r="AU10" s="31"/>
      <c r="AV10" s="31"/>
      <c r="AW10" s="31"/>
      <c r="AX10" s="31"/>
      <c r="AY10" s="31"/>
      <c r="AZ10" s="32"/>
      <c r="BA10" s="32"/>
      <c r="BB10" s="32"/>
      <c r="BC10" s="32"/>
      <c r="BE10" s="33" t="e">
        <f t="shared" si="14"/>
        <v>#DIV/0!</v>
      </c>
      <c r="BF10" s="33" t="e">
        <f t="shared" si="15"/>
        <v>#VALUE!</v>
      </c>
      <c r="BG10" s="33" t="e">
        <f t="array" ref="BG10">AVERAGE(AL10:AL14/AQ10:AQ14) - AVERAGE(N10:N14/S10:S14)</f>
        <v>#VALUE!</v>
      </c>
      <c r="BI10" s="34" t="str">
        <f>IF( OR(ISBLANK(N10:N14),ISBLANK(AL10:AL14), ISBLANK(W10:W14),ISBLANK(AU10:AU14)), "·", bdRateExtend( N10:N14,W10:W14, AL10:AL14,AU10:AU14))</f>
        <v>·</v>
      </c>
      <c r="BJ10" s="34" t="str">
        <f>IF( OR(ISBLANK(N10:N14),ISBLANK(AL10:AL14), ISBLANK(X10:X14),ISBLANK(AV10:AV14)), "·", bdRateExtend( N10:N14,X10:X14, AL10:AL14,AV10:AV14))</f>
        <v>·</v>
      </c>
      <c r="BK10" s="34" t="str">
        <f>IF( OR(ISBLANK(V10:V14),ISBLANK(AT10:AT14), ISBLANK(Y10:Y14),ISBLANK(AW10:AW14)), "·", bdRateExtend( V10:V14,Y10:Y14, AT10:AT14,AW10:AW14))</f>
        <v>·</v>
      </c>
      <c r="BL10" s="34" t="str">
        <f>IF( OR(ISBLANK(V10:V14),ISBLANK(AT10:AT14), ISBLANK(Z10:Z14),ISBLANK(AX10:AX14)), "·", bdRateExtend( V10:V14,Z10:Z14, AT10:AT14,AX10:AX14))</f>
        <v>·</v>
      </c>
      <c r="BM10" s="34" t="str">
        <f>IF( OR(ISBLANK(V10:V14),ISBLANK(AT10:AT14), ISBLANK(AA10:AA14),ISBLANK(AY10:AY14)), "·", bdRateExtend( V10:V14,AA10:AA14, AT10:AT14,AY10:AY14))</f>
        <v>·</v>
      </c>
      <c r="BO10" s="34" t="str">
        <f>IF( OR(ISBLANK(S10:S14),ISBLANK(AQ10:AQ14), ISBLANK(W10:W14),ISBLANK(AU10:AU14)), "·", bdRateExtend( S10:S14,W10:W14, AQ10:AQ14,AU10:AU14))</f>
        <v>·</v>
      </c>
      <c r="BP10" s="34" t="str">
        <f>IF( OR(ISBLANK(S10:S14),ISBLANK(AQ10:AQ14), ISBLANK(X10:X14),ISBLANK(AV10:AV14)), "·", bdRateExtend( S10:S14,X10:X14, AQ10:AQ14,AV10:AV14))</f>
        <v>·</v>
      </c>
      <c r="BQ10" s="34" t="str">
        <f>IF( OR(ISBLANK(S10:S14),ISBLANK(AQ10:AQ14), ISBLANK(Y10:Y14),ISBLANK(AW10:AW14)), "·", bdRateExtend( S10:S14,Y10:Y14, AQ10:AQ14,AW10:AW14))</f>
        <v>·</v>
      </c>
      <c r="BR10" s="34" t="str">
        <f>IF( OR(ISBLANK(S10:S14),ISBLANK(AQ10:AQ14), ISBLANK(Z10:Z14),ISBLANK(AX10:AX14)), "·", bdRateExtend( S10:S14,Z10:Z14, AQ10:AQ14,AX10:AX14))</f>
        <v>·</v>
      </c>
      <c r="BS10" s="34" t="str">
        <f>IF( OR(ISBLANK(S10:S14),ISBLANK(AQ10:AQ14), ISBLANK(AA10:AA14),ISBLANK(AY10:AY14)), "·", bdRateExtend( S10:S14,AA10:AA14, AQ10:AQ14,AY10:AY14))</f>
        <v>·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5.0339280000000004</v>
      </c>
      <c r="J11" s="18">
        <f t="shared" si="1"/>
        <v>0.23078577555504659</v>
      </c>
      <c r="K11" s="18">
        <f t="shared" si="2"/>
        <v>0.10053285869333166</v>
      </c>
      <c r="L11" s="18">
        <f t="shared" si="3"/>
        <v>5.9162509261706846E-2</v>
      </c>
      <c r="M11" s="18">
        <f t="shared" si="4"/>
        <v>0.13023652230991789</v>
      </c>
      <c r="N11" s="15">
        <f t="shared" si="5"/>
        <v>21928352</v>
      </c>
      <c r="O11" s="18">
        <f t="shared" si="6"/>
        <v>0.2336162909197618</v>
      </c>
      <c r="P11" s="19">
        <v>215478466</v>
      </c>
      <c r="Q11" s="19">
        <v>718261.55333333299</v>
      </c>
      <c r="R11" s="19">
        <v>26670.7866666667</v>
      </c>
      <c r="S11" s="20">
        <v>50339280</v>
      </c>
      <c r="T11" s="20">
        <v>12904600</v>
      </c>
      <c r="U11" s="20">
        <v>9023752</v>
      </c>
      <c r="V11" s="20">
        <v>28407352</v>
      </c>
      <c r="W11" s="21">
        <v>67.560714000000004</v>
      </c>
      <c r="X11" s="21">
        <v>69.609464666666597</v>
      </c>
      <c r="Y11" s="21">
        <v>34.289363666666603</v>
      </c>
      <c r="Z11" s="21">
        <v>40.110500000000002</v>
      </c>
      <c r="AA11" s="21">
        <v>33.9079293333333</v>
      </c>
      <c r="AB11" s="22">
        <v>37971.699999999997</v>
      </c>
      <c r="AC11" s="22">
        <v>13921.8</v>
      </c>
      <c r="AD11" s="22">
        <v>61.387999999999998</v>
      </c>
      <c r="AE11" s="22">
        <v>213.25899999999999</v>
      </c>
      <c r="AG11" s="17" t="str">
        <f t="shared" si="7"/>
        <v>·</v>
      </c>
      <c r="AH11" s="18" t="str">
        <f t="shared" si="8"/>
        <v>·</v>
      </c>
      <c r="AI11" s="18" t="str">
        <f t="shared" si="9"/>
        <v>·</v>
      </c>
      <c r="AJ11" s="18" t="str">
        <f t="shared" si="10"/>
        <v>·</v>
      </c>
      <c r="AK11" s="18" t="str">
        <f t="shared" si="11"/>
        <v>·</v>
      </c>
      <c r="AL11" s="15" t="str">
        <f t="shared" si="12"/>
        <v/>
      </c>
      <c r="AM11" s="18" t="str">
        <f t="shared" si="13"/>
        <v>·</v>
      </c>
      <c r="AN11" s="19"/>
      <c r="AO11" s="19"/>
      <c r="AP11" s="19"/>
      <c r="AQ11" s="20"/>
      <c r="AR11" s="20"/>
      <c r="AS11" s="20"/>
      <c r="AT11" s="20"/>
      <c r="AU11" s="21"/>
      <c r="AV11" s="21"/>
      <c r="AW11" s="21"/>
      <c r="AX11" s="21"/>
      <c r="AY11" s="21"/>
      <c r="AZ11" s="22"/>
      <c r="BA11" s="22"/>
      <c r="BB11" s="22"/>
      <c r="BC11" s="22"/>
      <c r="BE11" s="23" t="e">
        <f t="shared" si="14"/>
        <v>#DIV/0!</v>
      </c>
      <c r="BF11" s="23" t="e">
        <f t="shared" si="15"/>
        <v>#VALUE!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7.8073600000000001</v>
      </c>
      <c r="J12" s="28">
        <f t="shared" si="1"/>
        <v>0.35793671118010595</v>
      </c>
      <c r="K12" s="28">
        <f t="shared" si="2"/>
        <v>0.12542925094842436</v>
      </c>
      <c r="L12" s="28">
        <f t="shared" si="3"/>
        <v>8.4058901516799539E-2</v>
      </c>
      <c r="M12" s="28">
        <f t="shared" si="4"/>
        <v>0.23249106567988459</v>
      </c>
      <c r="N12" s="25">
        <f t="shared" si="5"/>
        <v>27358784</v>
      </c>
      <c r="O12" s="28">
        <f t="shared" si="6"/>
        <v>0.35534954111615386</v>
      </c>
      <c r="P12" s="29">
        <v>219709303</v>
      </c>
      <c r="Q12" s="29">
        <v>732364.34333333303</v>
      </c>
      <c r="R12" s="29">
        <v>28524.743333333299</v>
      </c>
      <c r="S12" s="30">
        <v>78073600</v>
      </c>
      <c r="T12" s="30">
        <v>18335032</v>
      </c>
      <c r="U12" s="30">
        <v>9023752</v>
      </c>
      <c r="V12" s="30">
        <v>50711240</v>
      </c>
      <c r="W12" s="31">
        <v>68.926518333333306</v>
      </c>
      <c r="X12" s="31">
        <v>71.259463666666704</v>
      </c>
      <c r="Y12" s="31">
        <v>36.4017093333334</v>
      </c>
      <c r="Z12" s="31">
        <v>41.016089333333298</v>
      </c>
      <c r="AA12" s="31">
        <v>35.678827333333302</v>
      </c>
      <c r="AB12" s="32">
        <v>38449.800000000003</v>
      </c>
      <c r="AC12" s="32">
        <v>14732.3</v>
      </c>
      <c r="AD12" s="32">
        <v>62.512999999999998</v>
      </c>
      <c r="AE12" s="32">
        <v>226.22399999999999</v>
      </c>
      <c r="AG12" s="27" t="str">
        <f t="shared" si="7"/>
        <v>·</v>
      </c>
      <c r="AH12" s="28" t="str">
        <f t="shared" si="8"/>
        <v>·</v>
      </c>
      <c r="AI12" s="28" t="str">
        <f t="shared" si="9"/>
        <v>·</v>
      </c>
      <c r="AJ12" s="28" t="str">
        <f t="shared" si="10"/>
        <v>·</v>
      </c>
      <c r="AK12" s="28" t="str">
        <f t="shared" si="11"/>
        <v>·</v>
      </c>
      <c r="AL12" s="25" t="str">
        <f t="shared" si="12"/>
        <v/>
      </c>
      <c r="AM12" s="28" t="str">
        <f t="shared" si="13"/>
        <v>·</v>
      </c>
      <c r="AN12" s="29"/>
      <c r="AO12" s="29"/>
      <c r="AP12" s="29"/>
      <c r="AQ12" s="30"/>
      <c r="AR12" s="30"/>
      <c r="AS12" s="30"/>
      <c r="AT12" s="30"/>
      <c r="AU12" s="31"/>
      <c r="AV12" s="31"/>
      <c r="AW12" s="31"/>
      <c r="AX12" s="31"/>
      <c r="AY12" s="31"/>
      <c r="AZ12" s="32"/>
      <c r="BA12" s="32"/>
      <c r="BB12" s="32"/>
      <c r="BC12" s="32"/>
      <c r="BE12" s="33" t="e">
        <f t="shared" si="14"/>
        <v>#DIV/0!</v>
      </c>
      <c r="BF12" s="33" t="e">
        <f t="shared" si="15"/>
        <v>#VALUE!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13.520568800000001</v>
      </c>
      <c r="J13" s="18">
        <f t="shared" si="1"/>
        <v>0.61986483645641444</v>
      </c>
      <c r="K13" s="18">
        <f t="shared" si="2"/>
        <v>0.16912527941684835</v>
      </c>
      <c r="L13" s="18">
        <f t="shared" si="3"/>
        <v>0.12775492998522353</v>
      </c>
      <c r="M13" s="18">
        <f t="shared" si="4"/>
        <v>0.45072316248776906</v>
      </c>
      <c r="N13" s="15">
        <f t="shared" si="5"/>
        <v>36889816</v>
      </c>
      <c r="O13" s="18">
        <f t="shared" si="6"/>
        <v>0.5902461002231949</v>
      </c>
      <c r="P13" s="19">
        <v>229066635</v>
      </c>
      <c r="Q13" s="19">
        <v>763555.45</v>
      </c>
      <c r="R13" s="19">
        <v>32650.86</v>
      </c>
      <c r="S13" s="20">
        <v>135205688</v>
      </c>
      <c r="T13" s="20">
        <v>27866064</v>
      </c>
      <c r="U13" s="20">
        <v>9023752</v>
      </c>
      <c r="V13" s="20">
        <v>98312296</v>
      </c>
      <c r="W13" s="21">
        <v>69.928899666666595</v>
      </c>
      <c r="X13" s="21">
        <v>72.490478666666604</v>
      </c>
      <c r="Y13" s="21">
        <v>38.745781666666701</v>
      </c>
      <c r="Z13" s="21">
        <v>42.192334000000002</v>
      </c>
      <c r="AA13" s="21">
        <v>37.729373000000002</v>
      </c>
      <c r="AB13" s="22">
        <v>38617.699999999997</v>
      </c>
      <c r="AC13" s="22">
        <v>16322.4</v>
      </c>
      <c r="AD13" s="22">
        <v>63.996000000000002</v>
      </c>
      <c r="AE13" s="22">
        <v>238.208</v>
      </c>
      <c r="AG13" s="17" t="str">
        <f t="shared" si="7"/>
        <v>·</v>
      </c>
      <c r="AH13" s="18" t="str">
        <f t="shared" si="8"/>
        <v>·</v>
      </c>
      <c r="AI13" s="18" t="str">
        <f t="shared" si="9"/>
        <v>·</v>
      </c>
      <c r="AJ13" s="18" t="str">
        <f t="shared" si="10"/>
        <v>·</v>
      </c>
      <c r="AK13" s="18" t="str">
        <f t="shared" si="11"/>
        <v>·</v>
      </c>
      <c r="AL13" s="15" t="str">
        <f t="shared" si="12"/>
        <v/>
      </c>
      <c r="AM13" s="18" t="str">
        <f t="shared" si="13"/>
        <v>·</v>
      </c>
      <c r="AN13" s="19"/>
      <c r="AO13" s="19"/>
      <c r="AP13" s="19"/>
      <c r="AQ13" s="20"/>
      <c r="AR13" s="20"/>
      <c r="AS13" s="20"/>
      <c r="AT13" s="20"/>
      <c r="AU13" s="21"/>
      <c r="AV13" s="21"/>
      <c r="AW13" s="21"/>
      <c r="AX13" s="21"/>
      <c r="AY13" s="21"/>
      <c r="AZ13" s="22"/>
      <c r="BA13" s="22"/>
      <c r="BB13" s="22"/>
      <c r="BC13" s="22"/>
      <c r="BE13" s="23" t="e">
        <f t="shared" si="14"/>
        <v>#DIV/0!</v>
      </c>
      <c r="BF13" s="23" t="e">
        <f t="shared" si="15"/>
        <v>#VALUE!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ht="15" outlineLevel="1" thickBot="1" x14ac:dyDescent="0.35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24.375351200000001</v>
      </c>
      <c r="J14" s="48">
        <f t="shared" si="1"/>
        <v>1.11751386414717</v>
      </c>
      <c r="K14" s="48">
        <f t="shared" si="2"/>
        <v>0.27925720320261149</v>
      </c>
      <c r="L14" s="48">
        <f t="shared" si="3"/>
        <v>0.20137343615529202</v>
      </c>
      <c r="M14" s="48">
        <f t="shared" si="4"/>
        <v>0.8382402663927615</v>
      </c>
      <c r="N14" s="45">
        <f t="shared" si="5"/>
        <v>60911928</v>
      </c>
      <c r="O14" s="48">
        <f t="shared" si="6"/>
        <v>1.1266670364392382</v>
      </c>
      <c r="P14" s="49">
        <v>216349200</v>
      </c>
      <c r="Q14" s="49">
        <v>721164</v>
      </c>
      <c r="R14" s="49">
        <v>15203.4333333333</v>
      </c>
      <c r="S14" s="50">
        <v>243753512</v>
      </c>
      <c r="T14" s="50">
        <v>43923824</v>
      </c>
      <c r="U14" s="50">
        <v>16988104</v>
      </c>
      <c r="V14" s="50">
        <v>182838008</v>
      </c>
      <c r="W14" s="51">
        <v>71.114137666666693</v>
      </c>
      <c r="X14" s="51">
        <v>74.672177333333394</v>
      </c>
      <c r="Y14" s="51">
        <v>40.989111000000001</v>
      </c>
      <c r="Z14" s="51">
        <v>43.510599999999997</v>
      </c>
      <c r="AA14" s="51">
        <v>39.497588999999998</v>
      </c>
      <c r="AB14" s="52">
        <v>38911.800000000003</v>
      </c>
      <c r="AC14" s="52">
        <v>18818.3</v>
      </c>
      <c r="AD14" s="52">
        <v>61.259</v>
      </c>
      <c r="AE14" s="52">
        <v>251.71</v>
      </c>
      <c r="AG14" s="47" t="str">
        <f t="shared" si="7"/>
        <v>·</v>
      </c>
      <c r="AH14" s="48" t="str">
        <f t="shared" si="8"/>
        <v>·</v>
      </c>
      <c r="AI14" s="48" t="str">
        <f t="shared" si="9"/>
        <v>·</v>
      </c>
      <c r="AJ14" s="48" t="str">
        <f t="shared" si="10"/>
        <v>·</v>
      </c>
      <c r="AK14" s="48" t="str">
        <f t="shared" si="11"/>
        <v>·</v>
      </c>
      <c r="AL14" s="45" t="str">
        <f t="shared" si="12"/>
        <v/>
      </c>
      <c r="AM14" s="48" t="str">
        <f t="shared" si="13"/>
        <v>·</v>
      </c>
      <c r="AN14" s="49"/>
      <c r="AO14" s="49"/>
      <c r="AP14" s="49"/>
      <c r="AQ14" s="50"/>
      <c r="AR14" s="50"/>
      <c r="AS14" s="50"/>
      <c r="AT14" s="50"/>
      <c r="AU14" s="51"/>
      <c r="AV14" s="51"/>
      <c r="AW14" s="51"/>
      <c r="AX14" s="51"/>
      <c r="AY14" s="51"/>
      <c r="AZ14" s="52"/>
      <c r="BA14" s="52"/>
      <c r="BB14" s="52"/>
      <c r="BC14" s="52"/>
      <c r="BE14" s="53" t="e">
        <f t="shared" si="14"/>
        <v>#DIV/0!</v>
      </c>
      <c r="BF14" s="53" t="e">
        <f t="shared" si="15"/>
        <v>#VALUE!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4.5479935999999999</v>
      </c>
      <c r="J15" s="18">
        <f t="shared" si="1"/>
        <v>0.1409838424353432</v>
      </c>
      <c r="K15" s="18">
        <f t="shared" si="2"/>
        <v>7.886748921162097E-2</v>
      </c>
      <c r="L15" s="18">
        <f t="shared" si="3"/>
        <v>4.1264329998579249E-2</v>
      </c>
      <c r="M15" s="18">
        <f t="shared" si="4"/>
        <v>6.2105267935023745E-2</v>
      </c>
      <c r="N15" s="15">
        <f t="shared" si="5"/>
        <v>25441840</v>
      </c>
      <c r="O15" s="18">
        <f t="shared" si="6"/>
        <v>0.15424132252800582</v>
      </c>
      <c r="P15" s="19">
        <v>294862202</v>
      </c>
      <c r="Q15" s="19">
        <v>982874.00666666694</v>
      </c>
      <c r="R15" s="19">
        <v>30528.44</v>
      </c>
      <c r="S15" s="20">
        <v>45479936</v>
      </c>
      <c r="T15" s="20">
        <v>13311448</v>
      </c>
      <c r="U15" s="20">
        <v>12130392</v>
      </c>
      <c r="V15" s="20">
        <v>20034520</v>
      </c>
      <c r="W15" s="21">
        <v>65.999903666666697</v>
      </c>
      <c r="X15" s="21">
        <v>67.845616000000007</v>
      </c>
      <c r="Y15" s="21">
        <v>29.7079316666666</v>
      </c>
      <c r="Z15" s="21">
        <v>43.256562666666703</v>
      </c>
      <c r="AA15" s="21">
        <v>43.555041000000003</v>
      </c>
      <c r="AB15" s="22">
        <v>44308.6</v>
      </c>
      <c r="AC15" s="22">
        <v>15756.1</v>
      </c>
      <c r="AD15" s="22">
        <v>80.033000000000001</v>
      </c>
      <c r="AE15" s="22">
        <v>251.89</v>
      </c>
      <c r="AG15" s="17" t="str">
        <f t="shared" si="7"/>
        <v>·</v>
      </c>
      <c r="AH15" s="18" t="str">
        <f t="shared" si="8"/>
        <v>·</v>
      </c>
      <c r="AI15" s="18" t="str">
        <f t="shared" si="9"/>
        <v>·</v>
      </c>
      <c r="AJ15" s="18" t="str">
        <f t="shared" si="10"/>
        <v>·</v>
      </c>
      <c r="AK15" s="18" t="str">
        <f t="shared" si="11"/>
        <v>·</v>
      </c>
      <c r="AL15" s="15" t="str">
        <f t="shared" si="12"/>
        <v/>
      </c>
      <c r="AM15" s="18" t="str">
        <f t="shared" si="13"/>
        <v>·</v>
      </c>
      <c r="AN15" s="19"/>
      <c r="AO15" s="19"/>
      <c r="AP15" s="19"/>
      <c r="AQ15" s="20"/>
      <c r="AR15" s="20"/>
      <c r="AS15" s="20"/>
      <c r="AT15" s="20"/>
      <c r="AU15" s="21"/>
      <c r="AV15" s="21"/>
      <c r="AW15" s="21"/>
      <c r="AX15" s="21"/>
      <c r="AY15" s="21"/>
      <c r="AZ15" s="22"/>
      <c r="BA15" s="22"/>
      <c r="BB15" s="22"/>
      <c r="BC15" s="22"/>
      <c r="BE15" s="23" t="e">
        <f t="shared" si="14"/>
        <v>#DIV/0!</v>
      </c>
      <c r="BF15" s="23" t="e">
        <f t="shared" si="15"/>
        <v>#VALUE!</v>
      </c>
      <c r="BG15" s="23" t="e">
        <f t="array" ref="BG15">AVERAGE(AL15:AL19/AQ15:AQ19) - AVERAGE(N15:N19/S15:S19)</f>
        <v>#VALUE!</v>
      </c>
      <c r="BI15" s="24" t="str">
        <f>IF( OR(ISBLANK(N15:N19),ISBLANK(AL15:AL19), ISBLANK(W15:W19),ISBLANK(AU15:AU19)), "·", bdRateExtend( N15:N19,W15:W19, AL15:AL19,AU15:AU19))</f>
        <v>·</v>
      </c>
      <c r="BJ15" s="24" t="str">
        <f>IF( OR(ISBLANK(N15:N19),ISBLANK(AL15:AL19), ISBLANK(X15:X19),ISBLANK(AV15:AV19)), "·", bdRateExtend( N15:N19,X15:X19, AL15:AL19,AV15:AV19))</f>
        <v>·</v>
      </c>
      <c r="BK15" s="24" t="str">
        <f>IF( OR(ISBLANK(V15:V19),ISBLANK(AT15:AT19), ISBLANK(Y15:Y19),ISBLANK(AW15:AW19)), "·", bdRateExtend( V15:V19,Y15:Y19, AT15:AT19,AW15:AW19))</f>
        <v>·</v>
      </c>
      <c r="BL15" s="24" t="str">
        <f>IF( OR(ISBLANK(V15:V19),ISBLANK(AT15:AT19), ISBLANK(Z15:Z19),ISBLANK(AX15:AX19)), "·", bdRateExtend( V15:V19,Z15:Z19, AT15:AT19,AX15:AX19))</f>
        <v>·</v>
      </c>
      <c r="BM15" s="24" t="str">
        <f>IF( OR(ISBLANK(V15:V19),ISBLANK(AT15:AT19), ISBLANK(AA15:AA19),ISBLANK(AY15:AY19)), "·", bdRateExtend( V15:V19,AA15:AA19, AT15:AT19,AY15:AY19))</f>
        <v>·</v>
      </c>
      <c r="BO15" s="24" t="str">
        <f>IF( OR(ISBLANK(S15:S19),ISBLANK(AQ15:AQ19), ISBLANK(W15:W19),ISBLANK(AU15:AU19)), "·", bdRateExtend( S15:S19,W15:W19, AQ15:AQ19,AU15:AU19))</f>
        <v>·</v>
      </c>
      <c r="BP15" s="24" t="str">
        <f>IF( OR(ISBLANK(S15:S19),ISBLANK(AQ15:AQ19), ISBLANK(X15:X19),ISBLANK(AV15:AV19)), "·", bdRateExtend( S15:S19,X15:X19, AQ15:AQ19,AV15:AV19))</f>
        <v>·</v>
      </c>
      <c r="BQ15" s="24" t="str">
        <f>IF( OR(ISBLANK(S15:S19),ISBLANK(AQ15:AQ19), ISBLANK(Y15:Y19),ISBLANK(AW15:AW19)), "·", bdRateExtend( S15:S19,Y15:Y19, AQ15:AQ19,AW15:AW19))</f>
        <v>·</v>
      </c>
      <c r="BR15" s="24" t="str">
        <f>IF( OR(ISBLANK(S15:S19),ISBLANK(AQ15:AQ19), ISBLANK(Z15:Z19),ISBLANK(AX15:AX19)), "·", bdRateExtend( S15:S19,Z15:Z19, AQ15:AQ19,AX15:AX19))</f>
        <v>·</v>
      </c>
      <c r="BS15" s="24" t="str">
        <f>IF( OR(ISBLANK(S15:S19),ISBLANK(AQ15:AQ19), ISBLANK(AA15:AA19),ISBLANK(AY15:AY19)), "·", bdRateExtend( S15:S19,AA15:AA19, AQ15:AQ19,AY15:AY19))</f>
        <v>·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7.2324432000000005</v>
      </c>
      <c r="J16" s="28">
        <f t="shared" si="1"/>
        <v>0.22419944314155793</v>
      </c>
      <c r="K16" s="28">
        <f t="shared" si="2"/>
        <v>9.490837314510199E-2</v>
      </c>
      <c r="L16" s="28">
        <f t="shared" si="3"/>
        <v>5.7305213932060277E-2</v>
      </c>
      <c r="M16" s="28">
        <f t="shared" si="4"/>
        <v>0.12927998470775745</v>
      </c>
      <c r="N16" s="25">
        <f t="shared" si="5"/>
        <v>30616464</v>
      </c>
      <c r="O16" s="28">
        <f t="shared" si="6"/>
        <v>0.22715174537296975</v>
      </c>
      <c r="P16" s="29">
        <v>318396990</v>
      </c>
      <c r="Q16" s="29">
        <v>1061323.3</v>
      </c>
      <c r="R16" s="29">
        <v>38826.28</v>
      </c>
      <c r="S16" s="30">
        <v>72324432</v>
      </c>
      <c r="T16" s="30">
        <v>18486072</v>
      </c>
      <c r="U16" s="30">
        <v>12130392</v>
      </c>
      <c r="V16" s="30">
        <v>41704392</v>
      </c>
      <c r="W16" s="31">
        <v>67.831140333333295</v>
      </c>
      <c r="X16" s="31">
        <v>69.892160999999902</v>
      </c>
      <c r="Y16" s="31">
        <v>32.168695333333297</v>
      </c>
      <c r="Z16" s="31">
        <v>44.127071000000001</v>
      </c>
      <c r="AA16" s="31">
        <v>44.524757666666702</v>
      </c>
      <c r="AB16" s="32">
        <v>44406.7</v>
      </c>
      <c r="AC16" s="32">
        <v>17007.400000000001</v>
      </c>
      <c r="AD16" s="32">
        <v>87.85</v>
      </c>
      <c r="AE16" s="32">
        <v>262.18099999999998</v>
      </c>
      <c r="AG16" s="27" t="str">
        <f t="shared" si="7"/>
        <v>·</v>
      </c>
      <c r="AH16" s="28" t="str">
        <f t="shared" si="8"/>
        <v>·</v>
      </c>
      <c r="AI16" s="28" t="str">
        <f t="shared" si="9"/>
        <v>·</v>
      </c>
      <c r="AJ16" s="28" t="str">
        <f t="shared" si="10"/>
        <v>·</v>
      </c>
      <c r="AK16" s="28" t="str">
        <f t="shared" si="11"/>
        <v>·</v>
      </c>
      <c r="AL16" s="25" t="str">
        <f t="shared" si="12"/>
        <v/>
      </c>
      <c r="AM16" s="28" t="str">
        <f t="shared" si="13"/>
        <v>·</v>
      </c>
      <c r="AN16" s="29"/>
      <c r="AO16" s="29"/>
      <c r="AP16" s="29"/>
      <c r="AQ16" s="30"/>
      <c r="AR16" s="30"/>
      <c r="AS16" s="30"/>
      <c r="AT16" s="30"/>
      <c r="AU16" s="31"/>
      <c r="AV16" s="31"/>
      <c r="AW16" s="31"/>
      <c r="AX16" s="31"/>
      <c r="AY16" s="31"/>
      <c r="AZ16" s="32"/>
      <c r="BA16" s="32"/>
      <c r="BB16" s="32"/>
      <c r="BC16" s="32"/>
      <c r="BE16" s="33" t="e">
        <f t="shared" si="14"/>
        <v>#DIV/0!</v>
      </c>
      <c r="BF16" s="33" t="e">
        <f t="shared" si="15"/>
        <v>#VALUE!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12.118615199999999</v>
      </c>
      <c r="J17" s="18">
        <f t="shared" si="1"/>
        <v>0.37566652158247432</v>
      </c>
      <c r="K17" s="18">
        <f t="shared" si="2"/>
        <v>0.11829654674905557</v>
      </c>
      <c r="L17" s="18">
        <f t="shared" si="3"/>
        <v>8.0693387536013864E-2</v>
      </c>
      <c r="M17" s="18">
        <f t="shared" si="4"/>
        <v>0.25735888954472025</v>
      </c>
      <c r="N17" s="15">
        <f t="shared" si="5"/>
        <v>38161248</v>
      </c>
      <c r="O17" s="18">
        <f t="shared" si="6"/>
        <v>0.37472785178844042</v>
      </c>
      <c r="P17" s="19">
        <v>323397771</v>
      </c>
      <c r="Q17" s="19">
        <v>1077992.57</v>
      </c>
      <c r="R17" s="19">
        <v>40900.406666666699</v>
      </c>
      <c r="S17" s="20">
        <v>121186152</v>
      </c>
      <c r="T17" s="20">
        <v>26030856</v>
      </c>
      <c r="U17" s="20">
        <v>12130392</v>
      </c>
      <c r="V17" s="20">
        <v>83021328</v>
      </c>
      <c r="W17" s="21">
        <v>69.259184000000005</v>
      </c>
      <c r="X17" s="21">
        <v>71.695991000000006</v>
      </c>
      <c r="Y17" s="21">
        <v>34.733829999999998</v>
      </c>
      <c r="Z17" s="21">
        <v>44.995805333333401</v>
      </c>
      <c r="AA17" s="21">
        <v>45.472534000000003</v>
      </c>
      <c r="AB17" s="22">
        <v>44687.8</v>
      </c>
      <c r="AC17" s="22">
        <v>18418.099999999999</v>
      </c>
      <c r="AD17" s="22">
        <v>89.988</v>
      </c>
      <c r="AE17" s="22">
        <v>270.92599999999999</v>
      </c>
      <c r="AG17" s="17" t="str">
        <f t="shared" si="7"/>
        <v>·</v>
      </c>
      <c r="AH17" s="18" t="str">
        <f t="shared" si="8"/>
        <v>·</v>
      </c>
      <c r="AI17" s="18" t="str">
        <f t="shared" si="9"/>
        <v>·</v>
      </c>
      <c r="AJ17" s="18" t="str">
        <f t="shared" si="10"/>
        <v>·</v>
      </c>
      <c r="AK17" s="18" t="str">
        <f t="shared" si="11"/>
        <v>·</v>
      </c>
      <c r="AL17" s="15" t="str">
        <f t="shared" si="12"/>
        <v/>
      </c>
      <c r="AM17" s="18" t="str">
        <f t="shared" si="13"/>
        <v>·</v>
      </c>
      <c r="AN17" s="19"/>
      <c r="AO17" s="19"/>
      <c r="AP17" s="19"/>
      <c r="AQ17" s="20"/>
      <c r="AR17" s="20"/>
      <c r="AS17" s="20"/>
      <c r="AT17" s="20"/>
      <c r="AU17" s="21"/>
      <c r="AV17" s="21"/>
      <c r="AW17" s="21"/>
      <c r="AX17" s="21"/>
      <c r="AY17" s="21"/>
      <c r="AZ17" s="22"/>
      <c r="BA17" s="22"/>
      <c r="BB17" s="22"/>
      <c r="BC17" s="22"/>
      <c r="BE17" s="23" t="e">
        <f t="shared" si="14"/>
        <v>#DIV/0!</v>
      </c>
      <c r="BF17" s="23" t="e">
        <f t="shared" si="15"/>
        <v>#VALUE!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21.775627199999999</v>
      </c>
      <c r="J18" s="28">
        <f t="shared" si="1"/>
        <v>0.67502548686426767</v>
      </c>
      <c r="K18" s="28">
        <f t="shared" si="2"/>
        <v>0.15742518552297008</v>
      </c>
      <c r="L18" s="28">
        <f t="shared" si="3"/>
        <v>0.11982202630992836</v>
      </c>
      <c r="M18" s="28">
        <f t="shared" si="4"/>
        <v>0.51758921605259911</v>
      </c>
      <c r="N18" s="25">
        <f t="shared" si="5"/>
        <v>50783744</v>
      </c>
      <c r="O18" s="28">
        <f t="shared" si="6"/>
        <v>0.64541724422806868</v>
      </c>
      <c r="P18" s="29">
        <v>337388370</v>
      </c>
      <c r="Q18" s="29">
        <v>1124627.8999999999</v>
      </c>
      <c r="R18" s="29">
        <v>46577.4866666667</v>
      </c>
      <c r="S18" s="30">
        <v>217756272</v>
      </c>
      <c r="T18" s="30">
        <v>38653352</v>
      </c>
      <c r="U18" s="30">
        <v>12130392</v>
      </c>
      <c r="V18" s="30">
        <v>166968952</v>
      </c>
      <c r="W18" s="31">
        <v>70.380224333333402</v>
      </c>
      <c r="X18" s="31">
        <v>73.020179666666607</v>
      </c>
      <c r="Y18" s="31">
        <v>37.382725000000001</v>
      </c>
      <c r="Z18" s="31">
        <v>46.377525666666699</v>
      </c>
      <c r="AA18" s="31">
        <v>46.915526</v>
      </c>
      <c r="AB18" s="32">
        <v>44670.1</v>
      </c>
      <c r="AC18" s="32">
        <v>21073.7</v>
      </c>
      <c r="AD18" s="32">
        <v>91.984999999999999</v>
      </c>
      <c r="AE18" s="32">
        <v>286.75700000000001</v>
      </c>
      <c r="AG18" s="27" t="str">
        <f t="shared" si="7"/>
        <v>·</v>
      </c>
      <c r="AH18" s="28" t="str">
        <f t="shared" si="8"/>
        <v>·</v>
      </c>
      <c r="AI18" s="28" t="str">
        <f t="shared" si="9"/>
        <v>·</v>
      </c>
      <c r="AJ18" s="28" t="str">
        <f t="shared" si="10"/>
        <v>·</v>
      </c>
      <c r="AK18" s="28" t="str">
        <f t="shared" si="11"/>
        <v>·</v>
      </c>
      <c r="AL18" s="25" t="str">
        <f t="shared" si="12"/>
        <v/>
      </c>
      <c r="AM18" s="28" t="str">
        <f t="shared" si="13"/>
        <v>·</v>
      </c>
      <c r="AN18" s="29"/>
      <c r="AO18" s="29"/>
      <c r="AP18" s="29"/>
      <c r="AQ18" s="30"/>
      <c r="AR18" s="30"/>
      <c r="AS18" s="30"/>
      <c r="AT18" s="30"/>
      <c r="AU18" s="31"/>
      <c r="AV18" s="31"/>
      <c r="AW18" s="31"/>
      <c r="AX18" s="31"/>
      <c r="AY18" s="31"/>
      <c r="AZ18" s="32"/>
      <c r="BA18" s="32"/>
      <c r="BB18" s="32"/>
      <c r="BC18" s="32"/>
      <c r="BE18" s="33" t="e">
        <f t="shared" si="14"/>
        <v>#DIV/0!</v>
      </c>
      <c r="BF18" s="33" t="e">
        <f t="shared" si="15"/>
        <v>#VALUE!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ht="15" outlineLevel="1" thickBot="1" x14ac:dyDescent="0.35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39.388439200000001</v>
      </c>
      <c r="J19" s="38">
        <f t="shared" si="1"/>
        <v>1.2210073263838574</v>
      </c>
      <c r="K19" s="38">
        <f t="shared" si="2"/>
        <v>0.25447540012002368</v>
      </c>
      <c r="L19" s="38">
        <f t="shared" si="3"/>
        <v>0.18405227217047199</v>
      </c>
      <c r="M19" s="38">
        <f t="shared" si="4"/>
        <v>0.96652084097513535</v>
      </c>
      <c r="N19" s="35">
        <f t="shared" si="5"/>
        <v>82091144</v>
      </c>
      <c r="O19" s="38">
        <f t="shared" si="6"/>
        <v>1.2285480070351087</v>
      </c>
      <c r="P19" s="39">
        <v>320609687</v>
      </c>
      <c r="Q19" s="39">
        <v>1068698.95666667</v>
      </c>
      <c r="R19" s="39">
        <v>20583.086666666699</v>
      </c>
      <c r="S19" s="40">
        <v>393884392</v>
      </c>
      <c r="T19" s="40">
        <v>59373368</v>
      </c>
      <c r="U19" s="40">
        <v>22717776</v>
      </c>
      <c r="V19" s="40">
        <v>311789672</v>
      </c>
      <c r="W19" s="41">
        <v>71.527456000000001</v>
      </c>
      <c r="X19" s="41">
        <v>75.087420666666603</v>
      </c>
      <c r="Y19" s="41">
        <v>39.493461666666697</v>
      </c>
      <c r="Z19" s="41">
        <v>48.175315333333401</v>
      </c>
      <c r="AA19" s="41">
        <v>48.768433333333299</v>
      </c>
      <c r="AB19" s="42">
        <v>44932.1</v>
      </c>
      <c r="AC19" s="42">
        <v>25271.8</v>
      </c>
      <c r="AD19" s="42">
        <v>89.841999999999999</v>
      </c>
      <c r="AE19" s="42">
        <v>309.041</v>
      </c>
      <c r="AG19" s="37" t="str">
        <f t="shared" si="7"/>
        <v>·</v>
      </c>
      <c r="AH19" s="38" t="str">
        <f t="shared" si="8"/>
        <v>·</v>
      </c>
      <c r="AI19" s="38" t="str">
        <f t="shared" si="9"/>
        <v>·</v>
      </c>
      <c r="AJ19" s="38" t="str">
        <f t="shared" si="10"/>
        <v>·</v>
      </c>
      <c r="AK19" s="38" t="str">
        <f t="shared" si="11"/>
        <v>·</v>
      </c>
      <c r="AL19" s="35" t="str">
        <f t="shared" si="12"/>
        <v/>
      </c>
      <c r="AM19" s="38" t="str">
        <f t="shared" si="13"/>
        <v>·</v>
      </c>
      <c r="AN19" s="39"/>
      <c r="AO19" s="39"/>
      <c r="AP19" s="39"/>
      <c r="AQ19" s="40"/>
      <c r="AR19" s="40"/>
      <c r="AS19" s="40"/>
      <c r="AT19" s="40"/>
      <c r="AU19" s="41"/>
      <c r="AV19" s="41"/>
      <c r="AW19" s="41"/>
      <c r="AX19" s="41"/>
      <c r="AY19" s="41"/>
      <c r="AZ19" s="42"/>
      <c r="BA19" s="42"/>
      <c r="BB19" s="42"/>
      <c r="BC19" s="42"/>
      <c r="BE19" s="43" t="e">
        <f t="shared" si="14"/>
        <v>#DIV/0!</v>
      </c>
      <c r="BF19" s="43" t="e">
        <f t="shared" si="15"/>
        <v>#VALUE!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5.0069568000000002</v>
      </c>
      <c r="J20" s="28">
        <f t="shared" si="1"/>
        <v>9.9898225036837263E-2</v>
      </c>
      <c r="K20" s="28">
        <f t="shared" si="2"/>
        <v>5.7919491439546084E-2</v>
      </c>
      <c r="L20" s="28">
        <f t="shared" si="3"/>
        <v>2.9014924652245932E-2</v>
      </c>
      <c r="M20" s="28">
        <f t="shared" si="4"/>
        <v>4.1967209388657847E-2</v>
      </c>
      <c r="N20" s="25">
        <f t="shared" si="5"/>
        <v>14514792</v>
      </c>
      <c r="O20" s="28">
        <f t="shared" si="6"/>
        <v>0.10703590139951535</v>
      </c>
      <c r="P20" s="29">
        <v>233891467</v>
      </c>
      <c r="Q20" s="29">
        <v>935565.86800000002</v>
      </c>
      <c r="R20" s="29">
        <v>26599.272000000001</v>
      </c>
      <c r="S20" s="30">
        <v>25034784</v>
      </c>
      <c r="T20" s="30">
        <v>7271224</v>
      </c>
      <c r="U20" s="30">
        <v>7243568</v>
      </c>
      <c r="V20" s="30">
        <v>10517104</v>
      </c>
      <c r="W20" s="31">
        <v>67.270281600000004</v>
      </c>
      <c r="X20" s="31">
        <v>69.069743599999995</v>
      </c>
      <c r="Y20" s="31">
        <v>31.233063600000001</v>
      </c>
      <c r="Z20" s="31">
        <v>40.356591199999997</v>
      </c>
      <c r="AA20" s="31">
        <v>39.219839200000003</v>
      </c>
      <c r="AB20" s="32">
        <v>37802.699999999997</v>
      </c>
      <c r="AC20" s="32">
        <v>11423.7</v>
      </c>
      <c r="AD20" s="32">
        <v>60.276000000000003</v>
      </c>
      <c r="AE20" s="32">
        <v>178.119</v>
      </c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29"/>
      <c r="AO20" s="29"/>
      <c r="AP20" s="29"/>
      <c r="AQ20" s="30"/>
      <c r="AR20" s="30"/>
      <c r="AS20" s="30"/>
      <c r="AT20" s="30"/>
      <c r="AU20" s="31"/>
      <c r="AV20" s="31"/>
      <c r="AW20" s="31"/>
      <c r="AX20" s="31"/>
      <c r="AY20" s="31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7.7501744000000006</v>
      </c>
      <c r="J21" s="18">
        <f t="shared" si="1"/>
        <v>0.15463058644443173</v>
      </c>
      <c r="K21" s="18">
        <f t="shared" si="2"/>
        <v>6.8602017843441401E-2</v>
      </c>
      <c r="L21" s="18">
        <f t="shared" si="3"/>
        <v>3.9697451056141246E-2</v>
      </c>
      <c r="M21" s="18">
        <f t="shared" si="4"/>
        <v>8.6017044392356995E-2</v>
      </c>
      <c r="N21" s="15">
        <f t="shared" si="5"/>
        <v>17191864</v>
      </c>
      <c r="O21" s="18">
        <f t="shared" si="6"/>
        <v>0.15882240448020749</v>
      </c>
      <c r="P21" s="19">
        <v>243988700</v>
      </c>
      <c r="Q21" s="19">
        <v>975954.8</v>
      </c>
      <c r="R21" s="19">
        <v>32156.403999999999</v>
      </c>
      <c r="S21" s="20">
        <v>38750872</v>
      </c>
      <c r="T21" s="20">
        <v>9948296</v>
      </c>
      <c r="U21" s="20">
        <v>7243568</v>
      </c>
      <c r="V21" s="20">
        <v>21556120</v>
      </c>
      <c r="W21" s="21">
        <v>68.865707999999998</v>
      </c>
      <c r="X21" s="21">
        <v>71.008614800000004</v>
      </c>
      <c r="Y21" s="21">
        <v>33.094543600000002</v>
      </c>
      <c r="Z21" s="21">
        <v>41.532683599999999</v>
      </c>
      <c r="AA21" s="21">
        <v>40.535629999999998</v>
      </c>
      <c r="AB21" s="22">
        <v>38654.199999999997</v>
      </c>
      <c r="AC21" s="22">
        <v>12440.8</v>
      </c>
      <c r="AD21" s="22">
        <v>62.268999999999998</v>
      </c>
      <c r="AE21" s="22">
        <v>181.18</v>
      </c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19"/>
      <c r="AO21" s="19"/>
      <c r="AP21" s="19"/>
      <c r="AQ21" s="20"/>
      <c r="AR21" s="20"/>
      <c r="AS21" s="20"/>
      <c r="AT21" s="20"/>
      <c r="AU21" s="21"/>
      <c r="AV21" s="21"/>
      <c r="AW21" s="21"/>
      <c r="AX21" s="21"/>
      <c r="AY21" s="21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12.700662400000001</v>
      </c>
      <c r="J22" s="28">
        <f t="shared" si="1"/>
        <v>0.25340215249152892</v>
      </c>
      <c r="K22" s="28">
        <f t="shared" si="2"/>
        <v>8.4755574507717868E-2</v>
      </c>
      <c r="L22" s="28">
        <f t="shared" si="3"/>
        <v>5.585100772041772E-2</v>
      </c>
      <c r="M22" s="28">
        <f t="shared" si="4"/>
        <v>0.16863505377517771</v>
      </c>
      <c r="N22" s="25">
        <f t="shared" si="5"/>
        <v>21239992</v>
      </c>
      <c r="O22" s="28">
        <f t="shared" si="6"/>
        <v>0.24861667987235236</v>
      </c>
      <c r="P22" s="29">
        <v>255426595</v>
      </c>
      <c r="Q22" s="29">
        <v>1021706.38</v>
      </c>
      <c r="R22" s="29">
        <v>34619.4</v>
      </c>
      <c r="S22" s="30">
        <v>63503312</v>
      </c>
      <c r="T22" s="30">
        <v>13996424</v>
      </c>
      <c r="U22" s="30">
        <v>7243568</v>
      </c>
      <c r="V22" s="30">
        <v>42260432</v>
      </c>
      <c r="W22" s="31">
        <v>70.013867599999998</v>
      </c>
      <c r="X22" s="31">
        <v>72.432626799999994</v>
      </c>
      <c r="Y22" s="31">
        <v>35.020939599999998</v>
      </c>
      <c r="Z22" s="31">
        <v>42.600320000000004</v>
      </c>
      <c r="AA22" s="31">
        <v>41.654076000000003</v>
      </c>
      <c r="AB22" s="32">
        <v>38830.800000000003</v>
      </c>
      <c r="AC22" s="32">
        <v>13353.6</v>
      </c>
      <c r="AD22" s="32">
        <v>64.667000000000002</v>
      </c>
      <c r="AE22" s="32">
        <v>187.49799999999999</v>
      </c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29"/>
      <c r="AO22" s="29"/>
      <c r="AP22" s="29"/>
      <c r="AQ22" s="30"/>
      <c r="AR22" s="30"/>
      <c r="AS22" s="30"/>
      <c r="AT22" s="30"/>
      <c r="AU22" s="31"/>
      <c r="AV22" s="31"/>
      <c r="AW22" s="31"/>
      <c r="AX22" s="31"/>
      <c r="AY22" s="31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21.972859199999998</v>
      </c>
      <c r="J23" s="18">
        <f t="shared" si="1"/>
        <v>0.43839995445224134</v>
      </c>
      <c r="K23" s="18">
        <f t="shared" si="2"/>
        <v>0.11240125717464289</v>
      </c>
      <c r="L23" s="18">
        <f t="shared" si="3"/>
        <v>8.349669038734274E-2</v>
      </c>
      <c r="M23" s="18">
        <f t="shared" si="4"/>
        <v>0.32598717306896513</v>
      </c>
      <c r="N23" s="15">
        <f t="shared" si="5"/>
        <v>28168080</v>
      </c>
      <c r="O23" s="18">
        <f t="shared" si="6"/>
        <v>0.42998425926205691</v>
      </c>
      <c r="P23" s="19">
        <v>255507716</v>
      </c>
      <c r="Q23" s="19">
        <v>1022030.8639999999</v>
      </c>
      <c r="R23" s="19">
        <v>36611.196000000004</v>
      </c>
      <c r="S23" s="20">
        <v>109864296</v>
      </c>
      <c r="T23" s="20">
        <v>20924512</v>
      </c>
      <c r="U23" s="20">
        <v>7243568</v>
      </c>
      <c r="V23" s="20">
        <v>81693328</v>
      </c>
      <c r="W23" s="21">
        <v>71.034922399999999</v>
      </c>
      <c r="X23" s="21">
        <v>73.7803392</v>
      </c>
      <c r="Y23" s="21">
        <v>36.621667199999997</v>
      </c>
      <c r="Z23" s="21">
        <v>43.9182056</v>
      </c>
      <c r="AA23" s="21">
        <v>42.879093599999997</v>
      </c>
      <c r="AB23" s="22">
        <v>38573</v>
      </c>
      <c r="AC23" s="22">
        <v>14861.8</v>
      </c>
      <c r="AD23" s="22">
        <v>67.185000000000002</v>
      </c>
      <c r="AE23" s="22">
        <v>199.56700000000001</v>
      </c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19"/>
      <c r="AO23" s="19"/>
      <c r="AP23" s="19"/>
      <c r="AQ23" s="20"/>
      <c r="AR23" s="20"/>
      <c r="AS23" s="20"/>
      <c r="AT23" s="20"/>
      <c r="AU23" s="21"/>
      <c r="AV23" s="21"/>
      <c r="AW23" s="21"/>
      <c r="AX23" s="21"/>
      <c r="AY23" s="21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ht="15" outlineLevel="1" thickBot="1" x14ac:dyDescent="0.35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37.5340256</v>
      </c>
      <c r="J24" s="48">
        <f t="shared" si="1"/>
        <v>0.7488745530872587</v>
      </c>
      <c r="K24" s="48">
        <f t="shared" si="2"/>
        <v>0.1851939369685883</v>
      </c>
      <c r="L24" s="48">
        <f t="shared" si="3"/>
        <v>0.13001631333933814</v>
      </c>
      <c r="M24" s="48">
        <f t="shared" si="4"/>
        <v>0.56366909191003711</v>
      </c>
      <c r="N24" s="45">
        <f t="shared" si="5"/>
        <v>46410136</v>
      </c>
      <c r="O24" s="48">
        <f t="shared" si="6"/>
        <v>0.76432218324314338</v>
      </c>
      <c r="P24" s="49">
        <v>245537984</v>
      </c>
      <c r="Q24" s="49">
        <v>982151.93599999999</v>
      </c>
      <c r="R24" s="49">
        <v>18259.371999999999</v>
      </c>
      <c r="S24" s="50">
        <v>187670128</v>
      </c>
      <c r="T24" s="50">
        <v>32582464</v>
      </c>
      <c r="U24" s="50">
        <v>13827672</v>
      </c>
      <c r="V24" s="50">
        <v>141257104</v>
      </c>
      <c r="W24" s="51">
        <v>72.006574400000005</v>
      </c>
      <c r="X24" s="51">
        <v>75.863204800000005</v>
      </c>
      <c r="Y24" s="51">
        <v>37.654043199999997</v>
      </c>
      <c r="Z24" s="51">
        <v>44.904214400000001</v>
      </c>
      <c r="AA24" s="51">
        <v>43.636029999999998</v>
      </c>
      <c r="AB24" s="52">
        <v>38884</v>
      </c>
      <c r="AC24" s="52">
        <v>16860.400000000001</v>
      </c>
      <c r="AD24" s="52">
        <v>61.795999999999999</v>
      </c>
      <c r="AE24" s="52">
        <v>205.35499999999999</v>
      </c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49"/>
      <c r="AO24" s="49"/>
      <c r="AP24" s="49"/>
      <c r="AQ24" s="50"/>
      <c r="AR24" s="50"/>
      <c r="AS24" s="50"/>
      <c r="AT24" s="50"/>
      <c r="AU24" s="51"/>
      <c r="AV24" s="51"/>
      <c r="AW24" s="51"/>
      <c r="AX24" s="51"/>
      <c r="AY24" s="5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4.9935984000000007</v>
      </c>
      <c r="J25" s="18">
        <f t="shared" si="1"/>
        <v>0.19950884913681433</v>
      </c>
      <c r="K25" s="18">
        <f t="shared" si="2"/>
        <v>6.849164637530987E-2</v>
      </c>
      <c r="L25" s="18">
        <f t="shared" si="3"/>
        <v>3.7096288404676693E-2</v>
      </c>
      <c r="M25" s="18">
        <f t="shared" si="4"/>
        <v>0.13100291559647104</v>
      </c>
      <c r="N25" s="15">
        <f t="shared" si="5"/>
        <v>17143088</v>
      </c>
      <c r="O25" s="18">
        <f t="shared" si="6"/>
        <v>0.21863144917557537</v>
      </c>
      <c r="P25" s="19">
        <v>228402566</v>
      </c>
      <c r="Q25" s="19">
        <v>761341.88666666695</v>
      </c>
      <c r="R25" s="19">
        <v>18706.096666666701</v>
      </c>
      <c r="S25" s="20">
        <v>49935984</v>
      </c>
      <c r="T25" s="20">
        <v>9285000</v>
      </c>
      <c r="U25" s="20">
        <v>7858088</v>
      </c>
      <c r="V25" s="20">
        <v>32789320</v>
      </c>
      <c r="W25" s="21">
        <v>66.297869666666699</v>
      </c>
      <c r="X25" s="21">
        <v>68.133439666666703</v>
      </c>
      <c r="Y25" s="21">
        <v>27.461544</v>
      </c>
      <c r="Z25" s="21">
        <v>33.212655333333302</v>
      </c>
      <c r="AA25" s="21">
        <v>32.679944333333303</v>
      </c>
      <c r="AB25" s="22">
        <v>35834.6</v>
      </c>
      <c r="AC25" s="22">
        <v>14355.6</v>
      </c>
      <c r="AD25" s="22">
        <v>65.197999999999993</v>
      </c>
      <c r="AE25" s="22">
        <v>232.31</v>
      </c>
      <c r="AG25" s="17" t="str">
        <f t="shared" si="7"/>
        <v>·</v>
      </c>
      <c r="AH25" s="18" t="str">
        <f t="shared" si="8"/>
        <v>·</v>
      </c>
      <c r="AI25" s="18" t="str">
        <f t="shared" si="9"/>
        <v>·</v>
      </c>
      <c r="AJ25" s="18" t="str">
        <f t="shared" si="10"/>
        <v>·</v>
      </c>
      <c r="AK25" s="18" t="str">
        <f t="shared" si="11"/>
        <v>·</v>
      </c>
      <c r="AL25" s="15" t="str">
        <f t="shared" si="12"/>
        <v/>
      </c>
      <c r="AM25" s="18" t="str">
        <f t="shared" si="13"/>
        <v>·</v>
      </c>
      <c r="AN25" s="19"/>
      <c r="AO25" s="19"/>
      <c r="AP25" s="19"/>
      <c r="AQ25" s="20"/>
      <c r="AR25" s="20"/>
      <c r="AS25" s="20"/>
      <c r="AT25" s="20"/>
      <c r="AU25" s="21"/>
      <c r="AV25" s="21"/>
      <c r="AW25" s="21"/>
      <c r="AX25" s="21"/>
      <c r="AY25" s="21"/>
      <c r="AZ25" s="22"/>
      <c r="BA25" s="22"/>
      <c r="BB25" s="22"/>
      <c r="BC25" s="22"/>
      <c r="BE25" s="23" t="e">
        <f t="shared" si="14"/>
        <v>#DIV/0!</v>
      </c>
      <c r="BF25" s="23" t="e">
        <f t="shared" si="15"/>
        <v>#VALUE!</v>
      </c>
      <c r="BG25" s="23" t="e">
        <f t="array" ref="BG25">AVERAGE(AL25:AL29/AQ25:AQ29) - AVERAGE(N25:N29/S25:S29)</f>
        <v>#VALUE!</v>
      </c>
      <c r="BI25" s="24" t="str">
        <f>IF( OR(ISBLANK(N25:N29),ISBLANK(AL25:AL29), ISBLANK(W25:W29),ISBLANK(AU25:AU29)), "·", bdRateExtend( N25:N29,W25:W29, AL25:AL29,AU25:AU29))</f>
        <v>·</v>
      </c>
      <c r="BJ25" s="24" t="str">
        <f>IF( OR(ISBLANK(N25:N29),ISBLANK(AL25:AL29), ISBLANK(X25:X29),ISBLANK(AV25:AV29)), "·", bdRateExtend( N25:N29,X25:X29, AL25:AL29,AV25:AV29))</f>
        <v>·</v>
      </c>
      <c r="BK25" s="24" t="str">
        <f>IF( OR(ISBLANK(V25:V29),ISBLANK(AT25:AT29), ISBLANK(Y25:Y29),ISBLANK(AW25:AW29)), "·", bdRateExtend( V25:V29,Y25:Y29, AT25:AT29,AW25:AW29))</f>
        <v>·</v>
      </c>
      <c r="BL25" s="24" t="str">
        <f>IF( OR(ISBLANK(V25:V29),ISBLANK(AT25:AT29), ISBLANK(Z25:Z29),ISBLANK(AX25:AX29)), "·", bdRateExtend( V25:V29,Z25:Z29, AT25:AT29,AX25:AX29))</f>
        <v>·</v>
      </c>
      <c r="BM25" s="24" t="str">
        <f>IF( OR(ISBLANK(V25:V29),ISBLANK(AT25:AT29), ISBLANK(AA25:AA29),ISBLANK(AY25:AY29)), "·", bdRateExtend( V25:V29,AA25:AA29, AT25:AT29,AY25:AY29))</f>
        <v>·</v>
      </c>
      <c r="BO25" s="24" t="str">
        <f>IF( OR(ISBLANK(S25:S29),ISBLANK(AQ25:AQ29), ISBLANK(W25:W29),ISBLANK(AU25:AU29)), "·", bdRateExtend( S25:S29,W25:W29, AQ25:AQ29,AU25:AU29))</f>
        <v>·</v>
      </c>
      <c r="BP25" s="24" t="str">
        <f>IF( OR(ISBLANK(S25:S29),ISBLANK(AQ25:AQ29), ISBLANK(X25:X29),ISBLANK(AV25:AV29)), "·", bdRateExtend( S25:S29,X25:X29, AQ25:AQ29,AV25:AV29))</f>
        <v>·</v>
      </c>
      <c r="BQ25" s="24" t="str">
        <f>IF( OR(ISBLANK(S25:S29),ISBLANK(AQ25:AQ29), ISBLANK(Y25:Y29),ISBLANK(AW25:AW29)), "·", bdRateExtend( S25:S29,Y25:Y29, AQ25:AQ29,AW25:AW29))</f>
        <v>·</v>
      </c>
      <c r="BR25" s="24" t="str">
        <f>IF( OR(ISBLANK(S25:S29),ISBLANK(AQ25:AQ29), ISBLANK(Z25:Z29),ISBLANK(AX25:AX29)), "·", bdRateExtend( S25:S29,Z25:Z29, AQ25:AQ29,AX25:AX29))</f>
        <v>·</v>
      </c>
      <c r="BS25" s="24" t="str">
        <f>IF( OR(ISBLANK(S25:S29),ISBLANK(AQ25:AQ29), ISBLANK(AA25:AA29),ISBLANK(AY25:AY29)), "·", bdRateExtend( S25:S29,AA25:AA29, AQ25:AQ29,AY25:AY29))</f>
        <v>·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8.6189695999999998</v>
      </c>
      <c r="J26" s="28">
        <f t="shared" si="1"/>
        <v>0.34435302319088951</v>
      </c>
      <c r="K26" s="28">
        <f t="shared" si="2"/>
        <v>8.2739305959087836E-2</v>
      </c>
      <c r="L26" s="28">
        <f t="shared" si="3"/>
        <v>5.1343947988454659E-2</v>
      </c>
      <c r="M26" s="28">
        <f t="shared" si="4"/>
        <v>0.26159943006676828</v>
      </c>
      <c r="N26" s="25">
        <f t="shared" si="5"/>
        <v>20709200</v>
      </c>
      <c r="O26" s="28">
        <f t="shared" si="6"/>
        <v>0.34939715987550213</v>
      </c>
      <c r="P26" s="29">
        <v>246681158</v>
      </c>
      <c r="Q26" s="29">
        <v>822270.52666666696</v>
      </c>
      <c r="R26" s="29">
        <v>24096.496666666699</v>
      </c>
      <c r="S26" s="30">
        <v>86189696</v>
      </c>
      <c r="T26" s="30">
        <v>12851112</v>
      </c>
      <c r="U26" s="30">
        <v>7858088</v>
      </c>
      <c r="V26" s="30">
        <v>65476920</v>
      </c>
      <c r="W26" s="31">
        <v>68.076409333333302</v>
      </c>
      <c r="X26" s="31">
        <v>70.089289666666701</v>
      </c>
      <c r="Y26" s="31">
        <v>29.880465333333301</v>
      </c>
      <c r="Z26" s="31">
        <v>34.396763999999997</v>
      </c>
      <c r="AA26" s="31">
        <v>34.013719666666702</v>
      </c>
      <c r="AB26" s="32">
        <v>36281.1</v>
      </c>
      <c r="AC26" s="32">
        <v>15544.7</v>
      </c>
      <c r="AD26" s="32">
        <v>70.171000000000006</v>
      </c>
      <c r="AE26" s="32">
        <v>247.78299999999999</v>
      </c>
      <c r="AG26" s="27" t="str">
        <f t="shared" si="7"/>
        <v>·</v>
      </c>
      <c r="AH26" s="28" t="str">
        <f t="shared" si="8"/>
        <v>·</v>
      </c>
      <c r="AI26" s="28" t="str">
        <f t="shared" si="9"/>
        <v>·</v>
      </c>
      <c r="AJ26" s="28" t="str">
        <f t="shared" si="10"/>
        <v>·</v>
      </c>
      <c r="AK26" s="28" t="str">
        <f t="shared" si="11"/>
        <v>·</v>
      </c>
      <c r="AL26" s="25" t="str">
        <f t="shared" si="12"/>
        <v/>
      </c>
      <c r="AM26" s="28" t="str">
        <f t="shared" si="13"/>
        <v>·</v>
      </c>
      <c r="AN26" s="29"/>
      <c r="AO26" s="29"/>
      <c r="AP26" s="29"/>
      <c r="AQ26" s="30"/>
      <c r="AR26" s="30"/>
      <c r="AS26" s="30"/>
      <c r="AT26" s="30"/>
      <c r="AU26" s="31"/>
      <c r="AV26" s="31"/>
      <c r="AW26" s="31"/>
      <c r="AX26" s="31"/>
      <c r="AY26" s="31"/>
      <c r="AZ26" s="32"/>
      <c r="BA26" s="32"/>
      <c r="BB26" s="32"/>
      <c r="BC26" s="32"/>
      <c r="BE26" s="33" t="e">
        <f t="shared" si="14"/>
        <v>#DIV/0!</v>
      </c>
      <c r="BF26" s="33" t="e">
        <f t="shared" si="15"/>
        <v>#VALUE!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15.6226816</v>
      </c>
      <c r="J27" s="18">
        <f t="shared" si="1"/>
        <v>0.62417178490903169</v>
      </c>
      <c r="K27" s="18">
        <f t="shared" si="2"/>
        <v>0.1035074103202122</v>
      </c>
      <c r="L27" s="18">
        <f t="shared" si="3"/>
        <v>7.2112052349579028E-2</v>
      </c>
      <c r="M27" s="18">
        <f t="shared" si="4"/>
        <v>0.52065008742378616</v>
      </c>
      <c r="N27" s="15">
        <f t="shared" si="5"/>
        <v>25907344</v>
      </c>
      <c r="O27" s="18">
        <f t="shared" si="6"/>
        <v>0.6243799152211239</v>
      </c>
      <c r="P27" s="19">
        <v>250211149</v>
      </c>
      <c r="Q27" s="19">
        <v>834037.16333333298</v>
      </c>
      <c r="R27" s="19">
        <v>25647.3066666667</v>
      </c>
      <c r="S27" s="20">
        <v>156226816</v>
      </c>
      <c r="T27" s="20">
        <v>18049256</v>
      </c>
      <c r="U27" s="20">
        <v>7858088</v>
      </c>
      <c r="V27" s="20">
        <v>130315896</v>
      </c>
      <c r="W27" s="21">
        <v>69.445510333333402</v>
      </c>
      <c r="X27" s="21">
        <v>71.817869999999999</v>
      </c>
      <c r="Y27" s="21">
        <v>32.382760333333302</v>
      </c>
      <c r="Z27" s="21">
        <v>35.684688000000001</v>
      </c>
      <c r="AA27" s="21">
        <v>35.370271666666603</v>
      </c>
      <c r="AB27" s="22">
        <v>35819</v>
      </c>
      <c r="AC27" s="22">
        <v>16760.7</v>
      </c>
      <c r="AD27" s="22">
        <v>70.900999999999996</v>
      </c>
      <c r="AE27" s="22">
        <v>254.92500000000001</v>
      </c>
      <c r="AG27" s="17" t="str">
        <f t="shared" si="7"/>
        <v>·</v>
      </c>
      <c r="AH27" s="18" t="str">
        <f t="shared" si="8"/>
        <v>·</v>
      </c>
      <c r="AI27" s="18" t="str">
        <f t="shared" si="9"/>
        <v>·</v>
      </c>
      <c r="AJ27" s="18" t="str">
        <f t="shared" si="10"/>
        <v>·</v>
      </c>
      <c r="AK27" s="18" t="str">
        <f t="shared" si="11"/>
        <v>·</v>
      </c>
      <c r="AL27" s="15" t="str">
        <f t="shared" si="12"/>
        <v/>
      </c>
      <c r="AM27" s="18" t="str">
        <f t="shared" si="13"/>
        <v>·</v>
      </c>
      <c r="AN27" s="19"/>
      <c r="AO27" s="19"/>
      <c r="AP27" s="19"/>
      <c r="AQ27" s="20"/>
      <c r="AR27" s="20"/>
      <c r="AS27" s="20"/>
      <c r="AT27" s="20"/>
      <c r="AU27" s="21"/>
      <c r="AV27" s="21"/>
      <c r="AW27" s="21"/>
      <c r="AX27" s="21"/>
      <c r="AY27" s="21"/>
      <c r="AZ27" s="22"/>
      <c r="BA27" s="22"/>
      <c r="BB27" s="22"/>
      <c r="BC27" s="22"/>
      <c r="BE27" s="23" t="e">
        <f t="shared" si="14"/>
        <v>#DIV/0!</v>
      </c>
      <c r="BF27" s="23" t="e">
        <f t="shared" si="15"/>
        <v>#VALUE!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29.545081600000003</v>
      </c>
      <c r="J28" s="28">
        <f t="shared" si="1"/>
        <v>1.1804123510751823</v>
      </c>
      <c r="K28" s="28">
        <f t="shared" si="2"/>
        <v>0.13789971690238184</v>
      </c>
      <c r="L28" s="28">
        <f t="shared" si="3"/>
        <v>0.10650435893174867</v>
      </c>
      <c r="M28" s="28">
        <f t="shared" si="4"/>
        <v>1.0424983470077671</v>
      </c>
      <c r="N28" s="25">
        <f t="shared" si="5"/>
        <v>34515552</v>
      </c>
      <c r="O28" s="28">
        <f t="shared" si="6"/>
        <v>1.1376261376316592</v>
      </c>
      <c r="P28" s="29">
        <v>259708182</v>
      </c>
      <c r="Q28" s="29">
        <v>865693.94</v>
      </c>
      <c r="R28" s="29">
        <v>29254.733333333301</v>
      </c>
      <c r="S28" s="30">
        <v>295450816</v>
      </c>
      <c r="T28" s="30">
        <v>26657464</v>
      </c>
      <c r="U28" s="30">
        <v>7858088</v>
      </c>
      <c r="V28" s="30">
        <v>260931688</v>
      </c>
      <c r="W28" s="31">
        <v>70.483497666666693</v>
      </c>
      <c r="X28" s="31">
        <v>73.078140000000005</v>
      </c>
      <c r="Y28" s="31">
        <v>34.795008000000003</v>
      </c>
      <c r="Z28" s="31">
        <v>37.532066999999998</v>
      </c>
      <c r="AA28" s="31">
        <v>37.149734333333299</v>
      </c>
      <c r="AB28" s="32">
        <v>35922.800000000003</v>
      </c>
      <c r="AC28" s="32">
        <v>19708.900000000001</v>
      </c>
      <c r="AD28" s="32">
        <v>71.617999999999995</v>
      </c>
      <c r="AE28" s="32">
        <v>267.64499999999998</v>
      </c>
      <c r="AG28" s="27" t="str">
        <f t="shared" si="7"/>
        <v>·</v>
      </c>
      <c r="AH28" s="28" t="str">
        <f t="shared" si="8"/>
        <v>·</v>
      </c>
      <c r="AI28" s="28" t="str">
        <f t="shared" si="9"/>
        <v>·</v>
      </c>
      <c r="AJ28" s="28" t="str">
        <f t="shared" si="10"/>
        <v>·</v>
      </c>
      <c r="AK28" s="28" t="str">
        <f t="shared" si="11"/>
        <v>·</v>
      </c>
      <c r="AL28" s="25" t="str">
        <f t="shared" si="12"/>
        <v/>
      </c>
      <c r="AM28" s="28" t="str">
        <f t="shared" si="13"/>
        <v>·</v>
      </c>
      <c r="AN28" s="29"/>
      <c r="AO28" s="29"/>
      <c r="AP28" s="29"/>
      <c r="AQ28" s="30"/>
      <c r="AR28" s="30"/>
      <c r="AS28" s="30"/>
      <c r="AT28" s="30"/>
      <c r="AU28" s="31"/>
      <c r="AV28" s="31"/>
      <c r="AW28" s="31"/>
      <c r="AX28" s="31"/>
      <c r="AY28" s="31"/>
      <c r="AZ28" s="32"/>
      <c r="BA28" s="32"/>
      <c r="BB28" s="32"/>
      <c r="BC28" s="32"/>
      <c r="BE28" s="33" t="e">
        <f t="shared" si="14"/>
        <v>#DIV/0!</v>
      </c>
      <c r="BF28" s="33" t="e">
        <f t="shared" si="15"/>
        <v>#VALUE!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ht="15" outlineLevel="1" thickBot="1" x14ac:dyDescent="0.35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51.460945600000002</v>
      </c>
      <c r="J29" s="38">
        <f t="shared" si="1"/>
        <v>2.056015163764112</v>
      </c>
      <c r="K29" s="38">
        <f t="shared" si="2"/>
        <v>0.22193608649507243</v>
      </c>
      <c r="L29" s="38">
        <f t="shared" si="3"/>
        <v>0.16266845120922355</v>
      </c>
      <c r="M29" s="38">
        <f t="shared" si="4"/>
        <v>1.8340647901040064</v>
      </c>
      <c r="N29" s="35">
        <f t="shared" si="5"/>
        <v>55549400</v>
      </c>
      <c r="O29" s="38">
        <f t="shared" si="6"/>
        <v>2.0688556958138808</v>
      </c>
      <c r="P29" s="39">
        <v>248741107</v>
      </c>
      <c r="Q29" s="39">
        <v>829137.02333333297</v>
      </c>
      <c r="R29" s="39">
        <v>13084.58</v>
      </c>
      <c r="S29" s="40">
        <v>514609456</v>
      </c>
      <c r="T29" s="40">
        <v>40715032</v>
      </c>
      <c r="U29" s="40">
        <v>14834368</v>
      </c>
      <c r="V29" s="40">
        <v>459056480</v>
      </c>
      <c r="W29" s="41">
        <v>71.572582333333401</v>
      </c>
      <c r="X29" s="41">
        <v>75.0008366666667</v>
      </c>
      <c r="Y29" s="41">
        <v>36.451184666666599</v>
      </c>
      <c r="Z29" s="41">
        <v>39.618574333333299</v>
      </c>
      <c r="AA29" s="41">
        <v>39.020491</v>
      </c>
      <c r="AB29" s="42">
        <v>36519.599999999999</v>
      </c>
      <c r="AC29" s="42">
        <v>23501.5</v>
      </c>
      <c r="AD29" s="42">
        <v>66.631</v>
      </c>
      <c r="AE29" s="42">
        <v>276.25099999999998</v>
      </c>
      <c r="AG29" s="37" t="str">
        <f t="shared" si="7"/>
        <v>·</v>
      </c>
      <c r="AH29" s="38" t="str">
        <f t="shared" si="8"/>
        <v>·</v>
      </c>
      <c r="AI29" s="38" t="str">
        <f t="shared" si="9"/>
        <v>·</v>
      </c>
      <c r="AJ29" s="38" t="str">
        <f t="shared" si="10"/>
        <v>·</v>
      </c>
      <c r="AK29" s="38" t="str">
        <f t="shared" si="11"/>
        <v>·</v>
      </c>
      <c r="AL29" s="35" t="str">
        <f t="shared" si="12"/>
        <v/>
      </c>
      <c r="AM29" s="38" t="str">
        <f t="shared" si="13"/>
        <v>·</v>
      </c>
      <c r="AN29" s="39"/>
      <c r="AO29" s="39"/>
      <c r="AP29" s="39"/>
      <c r="AQ29" s="40"/>
      <c r="AR29" s="40"/>
      <c r="AS29" s="40"/>
      <c r="AT29" s="40"/>
      <c r="AU29" s="41"/>
      <c r="AV29" s="41"/>
      <c r="AW29" s="41"/>
      <c r="AX29" s="41"/>
      <c r="AY29" s="41"/>
      <c r="AZ29" s="42"/>
      <c r="BA29" s="42"/>
      <c r="BB29" s="42"/>
      <c r="BC29" s="42"/>
      <c r="BE29" s="43" t="e">
        <f t="shared" si="14"/>
        <v>#DIV/0!</v>
      </c>
      <c r="BF29" s="43" t="e">
        <f t="shared" si="15"/>
        <v>#VALUE!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0.4242964162499413</v>
      </c>
      <c r="K30" s="56">
        <f>AVERAGE(K5:K24)</f>
        <v>0.12714808929893173</v>
      </c>
      <c r="L30" s="56">
        <f>AVERAGE(L5:L24)</f>
        <v>8.6902139683894847E-2</v>
      </c>
      <c r="M30" s="56">
        <f>AVERAGE(M5:M24)</f>
        <v>0.29713482194524349</v>
      </c>
      <c r="AH30" s="56" t="e">
        <f>AVERAGE(AH5:AH24)</f>
        <v>#DIV/0!</v>
      </c>
      <c r="AI30" s="56" t="e">
        <f>AVERAGE(AI5:AI24)</f>
        <v>#DIV/0!</v>
      </c>
      <c r="AJ30" s="56" t="e">
        <f>AVERAGE(AJ5:AJ24)</f>
        <v>#DIV/0!</v>
      </c>
      <c r="AK30" s="56" t="e">
        <f>AVERAGE(AK5:AK24)</f>
        <v>#DIV/0!</v>
      </c>
      <c r="BG30" s="8" t="e">
        <f>AVERAGE(BG5:BG24)</f>
        <v>#VALUE!</v>
      </c>
      <c r="BI30" s="5" t="e">
        <f>AVERAGE(BI5:BI24)</f>
        <v>#DIV/0!</v>
      </c>
      <c r="BJ30" s="5" t="e">
        <f>AVERAGE(BJ5:BJ24)</f>
        <v>#DIV/0!</v>
      </c>
      <c r="BK30" s="5" t="e">
        <f>AVERAGE(BK5:BK24)</f>
        <v>#DIV/0!</v>
      </c>
      <c r="BL30" s="5" t="e">
        <f>AVERAGE(BL5:BL24)</f>
        <v>#DIV/0!</v>
      </c>
      <c r="BM30" s="5" t="e">
        <f>AVERAGE(BM5:BM24)</f>
        <v>#DIV/0!</v>
      </c>
      <c r="BO30" s="5" t="e">
        <f>AVERAGE(BO5:BO24)</f>
        <v>#DIV/0!</v>
      </c>
      <c r="BP30" s="5" t="e">
        <f>AVERAGE(BP5:BP24)</f>
        <v>#DIV/0!</v>
      </c>
      <c r="BQ30" s="5" t="e">
        <f>AVERAGE(BQ5:BQ24)</f>
        <v>#DIV/0!</v>
      </c>
      <c r="BR30" s="5" t="e">
        <f>AVERAGE(BR5:BR24)</f>
        <v>#DIV/0!</v>
      </c>
      <c r="BS30" s="5" t="e">
        <f>AVERAGE(BS5:BS24)</f>
        <v>#DIV/0!</v>
      </c>
    </row>
    <row r="31" spans="1:71" x14ac:dyDescent="0.3">
      <c r="B31" s="55" t="s">
        <v>287</v>
      </c>
      <c r="J31" s="56">
        <f>AVERAGE(J25:J29)</f>
        <v>0.88089223441520592</v>
      </c>
      <c r="K31" s="56">
        <f>AVERAGE(K25:K29)</f>
        <v>0.12291483321041283</v>
      </c>
      <c r="L31" s="56">
        <f>AVERAGE(L25:L29)</f>
        <v>8.594501977673652E-2</v>
      </c>
      <c r="M31" s="56">
        <f>AVERAGE(M25:M29)</f>
        <v>0.7579631140397598</v>
      </c>
      <c r="AH31" s="56" t="e">
        <f>AVERAGE(AH25:AH29)</f>
        <v>#DIV/0!</v>
      </c>
      <c r="AI31" s="56" t="e">
        <f>AVERAGE(AI25:AI29)</f>
        <v>#DIV/0!</v>
      </c>
      <c r="AJ31" s="56" t="e">
        <f>AVERAGE(AJ25:AJ29)</f>
        <v>#DIV/0!</v>
      </c>
      <c r="AK31" s="56" t="e">
        <f>AVERAGE(AK25:AK29)</f>
        <v>#DIV/0!</v>
      </c>
      <c r="BG31" s="8" t="e">
        <f>AVERAGE(BG25:BG29)</f>
        <v>#VALUE!</v>
      </c>
      <c r="BI31" s="5" t="e">
        <f>AVERAGE(BI25:BI29)</f>
        <v>#DIV/0!</v>
      </c>
      <c r="BJ31" s="5" t="e">
        <f>AVERAGE(BJ25:BJ29)</f>
        <v>#DIV/0!</v>
      </c>
      <c r="BK31" s="5" t="e">
        <f>AVERAGE(BK25:BK29)</f>
        <v>#DIV/0!</v>
      </c>
      <c r="BL31" s="5" t="e">
        <f>AVERAGE(BL25:BL29)</f>
        <v>#DIV/0!</v>
      </c>
      <c r="BM31" s="5" t="e">
        <f>AVERAGE(BM25:BM29)</f>
        <v>#DIV/0!</v>
      </c>
      <c r="BO31" s="5" t="e">
        <f>AVERAGE(BO25:BO29)</f>
        <v>#DIV/0!</v>
      </c>
      <c r="BP31" s="5" t="e">
        <f>AVERAGE(BP25:BP29)</f>
        <v>#DIV/0!</v>
      </c>
      <c r="BQ31" s="5" t="e">
        <f>AVERAGE(BQ25:BQ29)</f>
        <v>#DIV/0!</v>
      </c>
      <c r="BR31" s="5" t="e">
        <f>AVERAGE(BR25:BR29)</f>
        <v>#DIV/0!</v>
      </c>
      <c r="BS31" s="5" t="e">
        <f>AVERAGE(BS25:BS29)</f>
        <v>#DIV/0!</v>
      </c>
    </row>
    <row r="32" spans="1:71" x14ac:dyDescent="0.3">
      <c r="B32" s="55" t="s">
        <v>288</v>
      </c>
      <c r="J32" s="56">
        <f>AVERAGE(J5:J29)</f>
        <v>0.51561557988299422</v>
      </c>
      <c r="K32" s="56">
        <f>AVERAGE(K5:K29)</f>
        <v>0.12630143808122796</v>
      </c>
      <c r="L32" s="56">
        <f>AVERAGE(L5:L29)</f>
        <v>8.6710715702463179E-2</v>
      </c>
      <c r="M32" s="56">
        <f>AVERAGE(M5:M29)</f>
        <v>0.38930048036414677</v>
      </c>
      <c r="AH32" s="56" t="e">
        <f>AVERAGE(AH5:AH29)</f>
        <v>#DIV/0!</v>
      </c>
      <c r="AI32" s="56" t="e">
        <f>AVERAGE(AI5:AI29)</f>
        <v>#DIV/0!</v>
      </c>
      <c r="AJ32" s="56" t="e">
        <f>AVERAGE(AJ5:AJ29)</f>
        <v>#DIV/0!</v>
      </c>
      <c r="AK32" s="56" t="e">
        <f>AVERAGE(AK5:AK29)</f>
        <v>#DIV/0!</v>
      </c>
      <c r="BG32" s="8" t="e">
        <f>AVERAGE(BG5:BG29)</f>
        <v>#VALUE!</v>
      </c>
      <c r="BI32" s="5" t="e">
        <f>AVERAGE(BI5:BI29)</f>
        <v>#DIV/0!</v>
      </c>
      <c r="BJ32" s="5" t="e">
        <f>AVERAGE(BJ5:BJ29)</f>
        <v>#DIV/0!</v>
      </c>
      <c r="BK32" s="5" t="e">
        <f>AVERAGE(BK5:BK29)</f>
        <v>#DIV/0!</v>
      </c>
      <c r="BL32" s="5" t="e">
        <f>AVERAGE(BL5:BL29)</f>
        <v>#DIV/0!</v>
      </c>
      <c r="BM32" s="5" t="e">
        <f>AVERAGE(BM5:BM29)</f>
        <v>#DIV/0!</v>
      </c>
      <c r="BO32" s="5" t="e">
        <f>AVERAGE(BO5:BO29)</f>
        <v>#DIV/0!</v>
      </c>
      <c r="BP32" s="5" t="e">
        <f>AVERAGE(BP5:BP29)</f>
        <v>#DIV/0!</v>
      </c>
      <c r="BQ32" s="5" t="e">
        <f>AVERAGE(BQ5:BQ29)</f>
        <v>#DIV/0!</v>
      </c>
      <c r="BR32" s="5" t="e">
        <f>AVERAGE(BR5:BR29)</f>
        <v>#DIV/0!</v>
      </c>
      <c r="BS32" s="5" t="e">
        <f>AVERAGE(BS5:BS29)</f>
        <v>#DIV/0!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978951.29999999993</v>
      </c>
      <c r="AC33" s="57">
        <f>SUM(AC5:AC24,AC25:AC29)</f>
        <v>422242.70000000007</v>
      </c>
      <c r="AD33" s="57">
        <f>SUM(AD5:AD24,AD25:AD29)</f>
        <v>1742.3950000000002</v>
      </c>
      <c r="AE33" s="57">
        <f>SUM(AE5:AE24,AE25:AE29)</f>
        <v>6107.9110000000001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291</v>
      </c>
      <c r="AZ34" s="8">
        <f>AZ33/AB33</f>
        <v>0</v>
      </c>
      <c r="BA34" s="8">
        <f>BA33/AC33</f>
        <v>0</v>
      </c>
      <c r="BB34" s="8">
        <f>BB33/AD33</f>
        <v>0</v>
      </c>
      <c r="BC34" s="8">
        <f>BC33/AE33</f>
        <v>0</v>
      </c>
    </row>
    <row r="35" spans="1:55" hidden="1" outlineLevel="2" x14ac:dyDescent="0.3">
      <c r="B35" s="55" t="s">
        <v>292</v>
      </c>
      <c r="AB35" s="57">
        <f>GEOMEAN(AB5:AB24,AB25:AB29)</f>
        <v>39056.268962246257</v>
      </c>
      <c r="AC35" s="57">
        <f>GEOMEAN(AC5:AC24,AC25:AC29)</f>
        <v>16582.572698410939</v>
      </c>
      <c r="AD35" s="57">
        <f>GEOMEAN(AD5:AD24,AD25:AD29)</f>
        <v>69.055285649006194</v>
      </c>
      <c r="AE35" s="57">
        <f>GEOMEAN(AE5:AE24,AE25:AE29)</f>
        <v>241.59776822911476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293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X274"/>
  <sheetViews>
    <sheetView workbookViewId="0"/>
  </sheetViews>
  <sheetFormatPr defaultRowHeight="14.4" x14ac:dyDescent="0.3"/>
  <sheetData>
    <row r="1" spans="1:2" x14ac:dyDescent="0.3">
      <c r="A1" t="s">
        <v>93</v>
      </c>
      <c r="B1">
        <v>1</v>
      </c>
    </row>
    <row r="2" spans="1:2" x14ac:dyDescent="0.3">
      <c r="A2" t="s">
        <v>96</v>
      </c>
      <c r="B2">
        <v>2</v>
      </c>
    </row>
    <row r="3" spans="1:2" x14ac:dyDescent="0.3">
      <c r="A3" t="s">
        <v>99</v>
      </c>
      <c r="B3">
        <v>3</v>
      </c>
    </row>
    <row r="4" spans="1:2" x14ac:dyDescent="0.3">
      <c r="A4" t="s">
        <v>102</v>
      </c>
      <c r="B4">
        <v>4</v>
      </c>
    </row>
    <row r="5" spans="1:2" x14ac:dyDescent="0.3">
      <c r="A5" t="s">
        <v>105</v>
      </c>
      <c r="B5">
        <v>5</v>
      </c>
    </row>
    <row r="6" spans="1:2" x14ac:dyDescent="0.3">
      <c r="A6" t="s">
        <v>108</v>
      </c>
      <c r="B6">
        <v>6</v>
      </c>
    </row>
    <row r="7" spans="1:2" x14ac:dyDescent="0.3">
      <c r="A7" t="s">
        <v>111</v>
      </c>
      <c r="B7">
        <v>7</v>
      </c>
    </row>
    <row r="8" spans="1:2" x14ac:dyDescent="0.3">
      <c r="A8" t="s">
        <v>114</v>
      </c>
      <c r="B8">
        <v>9</v>
      </c>
    </row>
    <row r="9" spans="1:2" x14ac:dyDescent="0.3">
      <c r="A9" t="s">
        <v>118</v>
      </c>
      <c r="B9">
        <v>10</v>
      </c>
    </row>
    <row r="10" spans="1:2" x14ac:dyDescent="0.3">
      <c r="A10" t="s">
        <v>121</v>
      </c>
      <c r="B10">
        <v>11</v>
      </c>
    </row>
    <row r="11" spans="1:2" x14ac:dyDescent="0.3">
      <c r="A11" t="s">
        <v>124</v>
      </c>
      <c r="B11">
        <v>12</v>
      </c>
    </row>
    <row r="12" spans="1:2" x14ac:dyDescent="0.3">
      <c r="A12" t="s">
        <v>127</v>
      </c>
      <c r="B12">
        <v>13</v>
      </c>
    </row>
    <row r="13" spans="1:2" x14ac:dyDescent="0.3">
      <c r="A13" t="s">
        <v>130</v>
      </c>
      <c r="B13">
        <v>14</v>
      </c>
    </row>
    <row r="14" spans="1:2" x14ac:dyDescent="0.3">
      <c r="A14" t="s">
        <v>133</v>
      </c>
      <c r="B14">
        <v>15</v>
      </c>
    </row>
    <row r="15" spans="1:2" x14ac:dyDescent="0.3">
      <c r="A15" t="s">
        <v>135</v>
      </c>
      <c r="B15">
        <v>16</v>
      </c>
    </row>
    <row r="16" spans="1:2" x14ac:dyDescent="0.3">
      <c r="A16" t="s">
        <v>137</v>
      </c>
      <c r="B16">
        <v>17</v>
      </c>
    </row>
    <row r="17" spans="1:2" x14ac:dyDescent="0.3">
      <c r="A17" t="s">
        <v>139</v>
      </c>
      <c r="B17">
        <v>18</v>
      </c>
    </row>
    <row r="18" spans="1:2" x14ac:dyDescent="0.3">
      <c r="A18" t="s">
        <v>142</v>
      </c>
      <c r="B18">
        <v>19</v>
      </c>
    </row>
    <row r="19" spans="1:2" x14ac:dyDescent="0.3">
      <c r="A19" t="s">
        <v>144</v>
      </c>
      <c r="B19">
        <v>20</v>
      </c>
    </row>
    <row r="20" spans="1:2" x14ac:dyDescent="0.3">
      <c r="A20" t="s">
        <v>147</v>
      </c>
      <c r="B20">
        <v>21</v>
      </c>
    </row>
    <row r="21" spans="1:2" x14ac:dyDescent="0.3">
      <c r="A21" t="s">
        <v>150</v>
      </c>
      <c r="B21">
        <v>22</v>
      </c>
    </row>
    <row r="22" spans="1:2" x14ac:dyDescent="0.3">
      <c r="A22" t="s">
        <v>154</v>
      </c>
      <c r="B22">
        <v>23</v>
      </c>
    </row>
    <row r="23" spans="1:2" x14ac:dyDescent="0.3">
      <c r="A23" t="s">
        <v>157</v>
      </c>
      <c r="B23">
        <v>24</v>
      </c>
    </row>
    <row r="24" spans="1:2" x14ac:dyDescent="0.3">
      <c r="A24" t="s">
        <v>161</v>
      </c>
      <c r="B24">
        <v>25</v>
      </c>
    </row>
    <row r="25" spans="1:2" x14ac:dyDescent="0.3">
      <c r="A25" t="s">
        <v>164</v>
      </c>
      <c r="B25">
        <v>26</v>
      </c>
    </row>
    <row r="26" spans="1:2" x14ac:dyDescent="0.3">
      <c r="A26" t="s">
        <v>167</v>
      </c>
      <c r="B26">
        <v>27</v>
      </c>
    </row>
    <row r="27" spans="1:2" x14ac:dyDescent="0.3">
      <c r="A27" t="s">
        <v>171</v>
      </c>
      <c r="B27">
        <v>28</v>
      </c>
    </row>
    <row r="28" spans="1:2" x14ac:dyDescent="0.3">
      <c r="A28" t="s">
        <v>174</v>
      </c>
      <c r="B28">
        <v>29</v>
      </c>
    </row>
    <row r="29" spans="1:2" x14ac:dyDescent="0.3">
      <c r="A29" t="s">
        <v>177</v>
      </c>
      <c r="B29">
        <v>30</v>
      </c>
    </row>
    <row r="30" spans="1:2" x14ac:dyDescent="0.3">
      <c r="A30" t="s">
        <v>179</v>
      </c>
      <c r="B30">
        <v>31</v>
      </c>
    </row>
    <row r="31" spans="1:2" x14ac:dyDescent="0.3">
      <c r="A31" t="s">
        <v>181</v>
      </c>
      <c r="B31">
        <v>33</v>
      </c>
    </row>
    <row r="32" spans="1:2" x14ac:dyDescent="0.3">
      <c r="A32" t="s">
        <v>183</v>
      </c>
      <c r="B32">
        <v>34</v>
      </c>
    </row>
    <row r="33" spans="1:2" x14ac:dyDescent="0.3">
      <c r="A33" t="s">
        <v>185</v>
      </c>
      <c r="B33">
        <v>35</v>
      </c>
    </row>
    <row r="34" spans="1:2" x14ac:dyDescent="0.3">
      <c r="A34" t="s">
        <v>187</v>
      </c>
      <c r="B34">
        <v>36</v>
      </c>
    </row>
    <row r="35" spans="1:2" x14ac:dyDescent="0.3">
      <c r="A35" t="s">
        <v>189</v>
      </c>
      <c r="B35">
        <v>37</v>
      </c>
    </row>
    <row r="36" spans="1:2" x14ac:dyDescent="0.3">
      <c r="A36" t="s">
        <v>192</v>
      </c>
      <c r="B36">
        <v>38</v>
      </c>
    </row>
    <row r="37" spans="1:2" x14ac:dyDescent="0.3">
      <c r="A37" t="s">
        <v>194</v>
      </c>
      <c r="B37">
        <v>39</v>
      </c>
    </row>
    <row r="38" spans="1:2" x14ac:dyDescent="0.3">
      <c r="A38" t="s">
        <v>196</v>
      </c>
      <c r="B38">
        <v>40</v>
      </c>
    </row>
    <row r="39" spans="1:2" x14ac:dyDescent="0.3">
      <c r="A39" t="s">
        <v>198</v>
      </c>
      <c r="B39">
        <v>41</v>
      </c>
    </row>
    <row r="40" spans="1:2" x14ac:dyDescent="0.3">
      <c r="A40" t="s">
        <v>200</v>
      </c>
      <c r="B40">
        <v>42</v>
      </c>
    </row>
    <row r="41" spans="1:2" x14ac:dyDescent="0.3">
      <c r="A41" t="s">
        <v>202</v>
      </c>
      <c r="B41">
        <v>43</v>
      </c>
    </row>
    <row r="42" spans="1:2" x14ac:dyDescent="0.3">
      <c r="A42" t="s">
        <v>204</v>
      </c>
      <c r="B42">
        <v>44</v>
      </c>
    </row>
    <row r="43" spans="1:2" x14ac:dyDescent="0.3">
      <c r="A43" t="s">
        <v>206</v>
      </c>
      <c r="B43">
        <v>45</v>
      </c>
    </row>
    <row r="44" spans="1:2" x14ac:dyDescent="0.3">
      <c r="A44" t="s">
        <v>208</v>
      </c>
      <c r="B44">
        <v>46</v>
      </c>
    </row>
    <row r="45" spans="1:2" x14ac:dyDescent="0.3">
      <c r="A45" t="s">
        <v>210</v>
      </c>
      <c r="B45">
        <v>47</v>
      </c>
    </row>
    <row r="46" spans="1:2" x14ac:dyDescent="0.3">
      <c r="A46" t="s">
        <v>212</v>
      </c>
      <c r="B46">
        <v>48</v>
      </c>
    </row>
    <row r="47" spans="1:2" x14ac:dyDescent="0.3">
      <c r="A47" t="s">
        <v>214</v>
      </c>
      <c r="B47">
        <v>49</v>
      </c>
    </row>
    <row r="48" spans="1:2" x14ac:dyDescent="0.3">
      <c r="A48" t="s">
        <v>216</v>
      </c>
      <c r="B48">
        <v>50</v>
      </c>
    </row>
    <row r="49" spans="1:2" x14ac:dyDescent="0.3">
      <c r="A49" t="s">
        <v>218</v>
      </c>
      <c r="B49">
        <v>51</v>
      </c>
    </row>
    <row r="50" spans="1:2" x14ac:dyDescent="0.3">
      <c r="A50" t="s">
        <v>220</v>
      </c>
      <c r="B50">
        <v>52</v>
      </c>
    </row>
    <row r="51" spans="1:2" x14ac:dyDescent="0.3">
      <c r="A51" t="s">
        <v>222</v>
      </c>
      <c r="B51">
        <v>53</v>
      </c>
    </row>
    <row r="52" spans="1:2" x14ac:dyDescent="0.3">
      <c r="A52" t="s">
        <v>224</v>
      </c>
      <c r="B52">
        <v>54</v>
      </c>
    </row>
    <row r="53" spans="1:2" x14ac:dyDescent="0.3">
      <c r="A53" t="s">
        <v>226</v>
      </c>
      <c r="B53">
        <v>55</v>
      </c>
    </row>
    <row r="54" spans="1:2" x14ac:dyDescent="0.3">
      <c r="A54" t="s">
        <v>229</v>
      </c>
      <c r="B54">
        <v>57</v>
      </c>
    </row>
    <row r="55" spans="1:2" x14ac:dyDescent="0.3">
      <c r="A55" t="s">
        <v>232</v>
      </c>
      <c r="B55">
        <v>58</v>
      </c>
    </row>
    <row r="56" spans="1:2" x14ac:dyDescent="0.3">
      <c r="A56" t="s">
        <v>234</v>
      </c>
      <c r="B56">
        <v>59</v>
      </c>
    </row>
    <row r="57" spans="1:2" x14ac:dyDescent="0.3">
      <c r="A57" t="s">
        <v>237</v>
      </c>
      <c r="B57">
        <v>61</v>
      </c>
    </row>
    <row r="58" spans="1:2" x14ac:dyDescent="0.3">
      <c r="A58" t="s">
        <v>239</v>
      </c>
      <c r="B58">
        <v>62</v>
      </c>
    </row>
    <row r="59" spans="1:2" x14ac:dyDescent="0.3">
      <c r="A59" t="s">
        <v>242</v>
      </c>
      <c r="B59">
        <v>63</v>
      </c>
    </row>
    <row r="60" spans="1:2" x14ac:dyDescent="0.3">
      <c r="A60" t="s">
        <v>244</v>
      </c>
      <c r="B60">
        <v>64</v>
      </c>
    </row>
    <row r="61" spans="1:2" x14ac:dyDescent="0.3">
      <c r="A61" t="s">
        <v>246</v>
      </c>
      <c r="B61">
        <v>65</v>
      </c>
    </row>
    <row r="62" spans="1:2" x14ac:dyDescent="0.3">
      <c r="A62" t="s">
        <v>249</v>
      </c>
      <c r="B62">
        <v>67</v>
      </c>
    </row>
    <row r="63" spans="1:2" x14ac:dyDescent="0.3">
      <c r="A63" t="s">
        <v>251</v>
      </c>
      <c r="B63">
        <v>68</v>
      </c>
    </row>
    <row r="64" spans="1:2" x14ac:dyDescent="0.3">
      <c r="A64" t="s">
        <v>254</v>
      </c>
      <c r="B64">
        <v>69</v>
      </c>
    </row>
    <row r="65" spans="1:24" x14ac:dyDescent="0.3">
      <c r="A65" t="s">
        <v>256</v>
      </c>
      <c r="B65">
        <v>70</v>
      </c>
    </row>
    <row r="66" spans="1:24" x14ac:dyDescent="0.3">
      <c r="A66" t="s">
        <v>258</v>
      </c>
      <c r="B66">
        <v>71</v>
      </c>
    </row>
    <row r="67" spans="1:24" x14ac:dyDescent="0.3">
      <c r="A67" t="s">
        <v>260</v>
      </c>
      <c r="B67" t="s">
        <v>261</v>
      </c>
    </row>
    <row r="68" spans="1:24" x14ac:dyDescent="0.3">
      <c r="A68" t="s">
        <v>262</v>
      </c>
      <c r="B68" t="s">
        <v>263</v>
      </c>
    </row>
    <row r="69" spans="1:24" x14ac:dyDescent="0.3">
      <c r="A69" t="s">
        <v>271</v>
      </c>
      <c r="B69" t="s">
        <v>272</v>
      </c>
    </row>
    <row r="70" spans="1:24" x14ac:dyDescent="0.3">
      <c r="A70" t="s">
        <v>274</v>
      </c>
      <c r="B70" t="s">
        <v>275</v>
      </c>
    </row>
    <row r="71" spans="1:24" x14ac:dyDescent="0.3">
      <c r="A71" t="s">
        <v>277</v>
      </c>
      <c r="B71" t="s">
        <v>278</v>
      </c>
    </row>
    <row r="72" spans="1:24" x14ac:dyDescent="0.3">
      <c r="A72" t="s">
        <v>280</v>
      </c>
      <c r="B72" t="s">
        <v>281</v>
      </c>
    </row>
    <row r="73" spans="1:24" x14ac:dyDescent="0.3">
      <c r="A73" t="s">
        <v>284</v>
      </c>
      <c r="B73" t="s">
        <v>285</v>
      </c>
    </row>
    <row r="74" spans="1:24" x14ac:dyDescent="0.3">
      <c r="A74" t="s">
        <v>300</v>
      </c>
      <c r="B74" t="s">
        <v>59</v>
      </c>
      <c r="C74" t="s">
        <v>43</v>
      </c>
      <c r="D74" t="s">
        <v>63</v>
      </c>
      <c r="E74" t="s">
        <v>45</v>
      </c>
      <c r="F74" t="s">
        <v>65</v>
      </c>
      <c r="G74" t="s">
        <v>69</v>
      </c>
      <c r="H74" t="s">
        <v>19</v>
      </c>
      <c r="I74" t="s">
        <v>37</v>
      </c>
      <c r="J74" t="s">
        <v>49</v>
      </c>
      <c r="K74" t="s">
        <v>47</v>
      </c>
      <c r="L74" t="s">
        <v>23</v>
      </c>
      <c r="M74" t="s">
        <v>39</v>
      </c>
      <c r="N74" t="s">
        <v>67</v>
      </c>
      <c r="O74" t="s">
        <v>61</v>
      </c>
      <c r="P74" t="s">
        <v>5</v>
      </c>
      <c r="Q74" t="s">
        <v>17</v>
      </c>
      <c r="R74" t="s">
        <v>9</v>
      </c>
      <c r="S74" t="s">
        <v>71</v>
      </c>
      <c r="T74" t="s">
        <v>57</v>
      </c>
      <c r="U74" t="s">
        <v>73</v>
      </c>
      <c r="V74" t="s">
        <v>21</v>
      </c>
      <c r="W74" t="s">
        <v>13</v>
      </c>
      <c r="X74" t="s">
        <v>53</v>
      </c>
    </row>
    <row r="75" spans="1:24" x14ac:dyDescent="0.3">
      <c r="A75" t="s">
        <v>302</v>
      </c>
      <c r="B75">
        <v>1</v>
      </c>
    </row>
    <row r="76" spans="1:24" x14ac:dyDescent="0.3">
      <c r="A76" t="s">
        <v>303</v>
      </c>
      <c r="B76">
        <v>2</v>
      </c>
    </row>
    <row r="77" spans="1:24" x14ac:dyDescent="0.3">
      <c r="A77" t="s">
        <v>304</v>
      </c>
      <c r="B77">
        <v>3</v>
      </c>
    </row>
    <row r="78" spans="1:24" x14ac:dyDescent="0.3">
      <c r="A78" t="s">
        <v>305</v>
      </c>
      <c r="B78">
        <v>4</v>
      </c>
    </row>
    <row r="79" spans="1:24" x14ac:dyDescent="0.3">
      <c r="A79" t="s">
        <v>306</v>
      </c>
      <c r="B79">
        <v>5</v>
      </c>
    </row>
    <row r="80" spans="1:24" x14ac:dyDescent="0.3">
      <c r="A80" t="s">
        <v>307</v>
      </c>
      <c r="B80">
        <v>6</v>
      </c>
    </row>
    <row r="81" spans="1:2" x14ac:dyDescent="0.3">
      <c r="A81" t="s">
        <v>310</v>
      </c>
      <c r="B81">
        <v>8</v>
      </c>
    </row>
    <row r="82" spans="1:2" x14ac:dyDescent="0.3">
      <c r="A82" t="s">
        <v>311</v>
      </c>
      <c r="B82">
        <v>9</v>
      </c>
    </row>
    <row r="83" spans="1:2" x14ac:dyDescent="0.3">
      <c r="A83" t="s">
        <v>312</v>
      </c>
      <c r="B83">
        <v>10</v>
      </c>
    </row>
    <row r="84" spans="1:2" x14ac:dyDescent="0.3">
      <c r="A84" t="s">
        <v>313</v>
      </c>
      <c r="B84">
        <v>11</v>
      </c>
    </row>
    <row r="85" spans="1:2" x14ac:dyDescent="0.3">
      <c r="A85" t="s">
        <v>314</v>
      </c>
      <c r="B85">
        <v>12</v>
      </c>
    </row>
    <row r="86" spans="1:2" x14ac:dyDescent="0.3">
      <c r="A86" t="s">
        <v>315</v>
      </c>
      <c r="B86">
        <v>13</v>
      </c>
    </row>
    <row r="87" spans="1:2" x14ac:dyDescent="0.3">
      <c r="A87" t="s">
        <v>316</v>
      </c>
      <c r="B87">
        <v>14</v>
      </c>
    </row>
    <row r="88" spans="1:2" x14ac:dyDescent="0.3">
      <c r="A88" t="s">
        <v>317</v>
      </c>
      <c r="B88">
        <v>15</v>
      </c>
    </row>
    <row r="89" spans="1:2" x14ac:dyDescent="0.3">
      <c r="A89" t="s">
        <v>318</v>
      </c>
      <c r="B89">
        <v>16</v>
      </c>
    </row>
    <row r="90" spans="1:2" x14ac:dyDescent="0.3">
      <c r="A90" t="s">
        <v>319</v>
      </c>
      <c r="B90">
        <v>17</v>
      </c>
    </row>
    <row r="91" spans="1:2" x14ac:dyDescent="0.3">
      <c r="A91" t="s">
        <v>320</v>
      </c>
      <c r="B91">
        <v>18</v>
      </c>
    </row>
    <row r="92" spans="1:2" x14ac:dyDescent="0.3">
      <c r="A92" t="s">
        <v>321</v>
      </c>
      <c r="B92">
        <v>19</v>
      </c>
    </row>
    <row r="93" spans="1:2" x14ac:dyDescent="0.3">
      <c r="A93" t="s">
        <v>322</v>
      </c>
      <c r="B93">
        <v>20</v>
      </c>
    </row>
    <row r="94" spans="1:2" x14ac:dyDescent="0.3">
      <c r="A94" t="s">
        <v>323</v>
      </c>
      <c r="B94">
        <v>21</v>
      </c>
    </row>
    <row r="95" spans="1:2" x14ac:dyDescent="0.3">
      <c r="A95" t="s">
        <v>324</v>
      </c>
      <c r="B95">
        <v>22</v>
      </c>
    </row>
    <row r="96" spans="1:2" x14ac:dyDescent="0.3">
      <c r="A96" t="s">
        <v>325</v>
      </c>
      <c r="B96">
        <v>23</v>
      </c>
    </row>
    <row r="97" spans="1:2" x14ac:dyDescent="0.3">
      <c r="A97" t="s">
        <v>326</v>
      </c>
      <c r="B97">
        <v>24</v>
      </c>
    </row>
    <row r="98" spans="1:2" x14ac:dyDescent="0.3">
      <c r="A98" t="s">
        <v>327</v>
      </c>
      <c r="B98">
        <v>25</v>
      </c>
    </row>
    <row r="99" spans="1:2" x14ac:dyDescent="0.3">
      <c r="A99" t="s">
        <v>328</v>
      </c>
      <c r="B99">
        <v>26</v>
      </c>
    </row>
    <row r="100" spans="1:2" x14ac:dyDescent="0.3">
      <c r="A100" t="s">
        <v>329</v>
      </c>
      <c r="B100">
        <v>27</v>
      </c>
    </row>
    <row r="101" spans="1:2" x14ac:dyDescent="0.3">
      <c r="A101" t="s">
        <v>330</v>
      </c>
      <c r="B101">
        <v>28</v>
      </c>
    </row>
    <row r="102" spans="1:2" x14ac:dyDescent="0.3">
      <c r="A102" t="s">
        <v>331</v>
      </c>
      <c r="B102">
        <v>29</v>
      </c>
    </row>
    <row r="103" spans="1:2" x14ac:dyDescent="0.3">
      <c r="A103" t="s">
        <v>333</v>
      </c>
      <c r="B103">
        <v>31</v>
      </c>
    </row>
    <row r="104" spans="1:2" x14ac:dyDescent="0.3">
      <c r="A104" t="s">
        <v>334</v>
      </c>
      <c r="B104">
        <v>32</v>
      </c>
    </row>
    <row r="105" spans="1:2" x14ac:dyDescent="0.3">
      <c r="A105" t="s">
        <v>335</v>
      </c>
      <c r="B105">
        <v>33</v>
      </c>
    </row>
    <row r="106" spans="1:2" x14ac:dyDescent="0.3">
      <c r="A106" t="s">
        <v>336</v>
      </c>
      <c r="B106">
        <v>34</v>
      </c>
    </row>
    <row r="107" spans="1:2" x14ac:dyDescent="0.3">
      <c r="A107" t="s">
        <v>337</v>
      </c>
      <c r="B107">
        <v>35</v>
      </c>
    </row>
    <row r="108" spans="1:2" x14ac:dyDescent="0.3">
      <c r="A108" t="s">
        <v>338</v>
      </c>
      <c r="B108">
        <v>36</v>
      </c>
    </row>
    <row r="109" spans="1:2" x14ac:dyDescent="0.3">
      <c r="A109" t="s">
        <v>339</v>
      </c>
      <c r="B109">
        <v>37</v>
      </c>
    </row>
    <row r="110" spans="1:2" x14ac:dyDescent="0.3">
      <c r="A110" t="s">
        <v>340</v>
      </c>
      <c r="B110">
        <v>38</v>
      </c>
    </row>
    <row r="111" spans="1:2" x14ac:dyDescent="0.3">
      <c r="A111" t="s">
        <v>341</v>
      </c>
      <c r="B111">
        <v>39</v>
      </c>
    </row>
    <row r="112" spans="1:2" x14ac:dyDescent="0.3">
      <c r="A112" t="s">
        <v>342</v>
      </c>
      <c r="B112">
        <v>40</v>
      </c>
    </row>
    <row r="113" spans="1:2" x14ac:dyDescent="0.3">
      <c r="A113" t="s">
        <v>343</v>
      </c>
      <c r="B113">
        <v>41</v>
      </c>
    </row>
    <row r="114" spans="1:2" x14ac:dyDescent="0.3">
      <c r="A114" t="s">
        <v>344</v>
      </c>
      <c r="B114">
        <v>42</v>
      </c>
    </row>
    <row r="115" spans="1:2" x14ac:dyDescent="0.3">
      <c r="A115" t="s">
        <v>345</v>
      </c>
      <c r="B115">
        <v>43</v>
      </c>
    </row>
    <row r="116" spans="1:2" x14ac:dyDescent="0.3">
      <c r="A116" t="s">
        <v>346</v>
      </c>
      <c r="B116">
        <v>44</v>
      </c>
    </row>
    <row r="117" spans="1:2" x14ac:dyDescent="0.3">
      <c r="A117" t="s">
        <v>347</v>
      </c>
      <c r="B117">
        <v>45</v>
      </c>
    </row>
    <row r="118" spans="1:2" x14ac:dyDescent="0.3">
      <c r="A118" t="s">
        <v>348</v>
      </c>
      <c r="B118">
        <v>46</v>
      </c>
    </row>
    <row r="119" spans="1:2" x14ac:dyDescent="0.3">
      <c r="A119" t="s">
        <v>349</v>
      </c>
      <c r="B119">
        <v>47</v>
      </c>
    </row>
    <row r="120" spans="1:2" x14ac:dyDescent="0.3">
      <c r="A120" t="s">
        <v>350</v>
      </c>
      <c r="B120">
        <v>48</v>
      </c>
    </row>
    <row r="121" spans="1:2" x14ac:dyDescent="0.3">
      <c r="A121" t="s">
        <v>351</v>
      </c>
      <c r="B121">
        <v>49</v>
      </c>
    </row>
    <row r="122" spans="1:2" x14ac:dyDescent="0.3">
      <c r="A122" t="s">
        <v>352</v>
      </c>
      <c r="B122">
        <v>50</v>
      </c>
    </row>
    <row r="123" spans="1:2" x14ac:dyDescent="0.3">
      <c r="A123" t="s">
        <v>353</v>
      </c>
      <c r="B123">
        <v>51</v>
      </c>
    </row>
    <row r="124" spans="1:2" x14ac:dyDescent="0.3">
      <c r="A124" t="s">
        <v>354</v>
      </c>
      <c r="B124">
        <v>52</v>
      </c>
    </row>
    <row r="125" spans="1:2" x14ac:dyDescent="0.3">
      <c r="A125" t="s">
        <v>357</v>
      </c>
      <c r="B125">
        <v>54</v>
      </c>
    </row>
    <row r="126" spans="1:2" x14ac:dyDescent="0.3">
      <c r="A126" t="s">
        <v>359</v>
      </c>
      <c r="B126">
        <v>55</v>
      </c>
    </row>
    <row r="127" spans="1:2" x14ac:dyDescent="0.3">
      <c r="A127" t="s">
        <v>361</v>
      </c>
      <c r="B127">
        <v>56</v>
      </c>
    </row>
    <row r="128" spans="1:2" x14ac:dyDescent="0.3">
      <c r="A128" t="s">
        <v>362</v>
      </c>
      <c r="B128">
        <v>57</v>
      </c>
    </row>
    <row r="129" spans="1:23" x14ac:dyDescent="0.3">
      <c r="A129" t="s">
        <v>363</v>
      </c>
      <c r="B129">
        <v>58</v>
      </c>
    </row>
    <row r="130" spans="1:23" x14ac:dyDescent="0.3">
      <c r="A130" t="s">
        <v>365</v>
      </c>
      <c r="B130" t="s">
        <v>366</v>
      </c>
    </row>
    <row r="131" spans="1:23" x14ac:dyDescent="0.3">
      <c r="A131" t="s">
        <v>367</v>
      </c>
      <c r="B131" t="s">
        <v>368</v>
      </c>
    </row>
    <row r="132" spans="1:23" x14ac:dyDescent="0.3">
      <c r="A132" t="s">
        <v>369</v>
      </c>
      <c r="B132" t="s">
        <v>370</v>
      </c>
    </row>
    <row r="133" spans="1:23" x14ac:dyDescent="0.3">
      <c r="A133" t="s">
        <v>371</v>
      </c>
      <c r="B133" t="s">
        <v>372</v>
      </c>
    </row>
    <row r="134" spans="1:23" x14ac:dyDescent="0.3">
      <c r="A134" t="s">
        <v>373</v>
      </c>
      <c r="B134" t="s">
        <v>374</v>
      </c>
    </row>
    <row r="135" spans="1:23" x14ac:dyDescent="0.3">
      <c r="A135" t="s">
        <v>375</v>
      </c>
      <c r="B135" t="s">
        <v>376</v>
      </c>
    </row>
    <row r="136" spans="1:23" x14ac:dyDescent="0.3">
      <c r="A136" t="s">
        <v>377</v>
      </c>
      <c r="B136" t="s">
        <v>378</v>
      </c>
    </row>
    <row r="137" spans="1:23" x14ac:dyDescent="0.3">
      <c r="A137" t="s">
        <v>382</v>
      </c>
      <c r="B137" t="s">
        <v>71</v>
      </c>
      <c r="C137" t="s">
        <v>9</v>
      </c>
      <c r="D137" t="s">
        <v>43</v>
      </c>
      <c r="E137" t="s">
        <v>59</v>
      </c>
      <c r="F137" t="s">
        <v>67</v>
      </c>
      <c r="G137" t="s">
        <v>69</v>
      </c>
      <c r="H137" t="s">
        <v>47</v>
      </c>
      <c r="I137" t="s">
        <v>65</v>
      </c>
      <c r="J137" t="s">
        <v>45</v>
      </c>
      <c r="K137" t="s">
        <v>57</v>
      </c>
      <c r="L137" t="s">
        <v>63</v>
      </c>
      <c r="M137" t="s">
        <v>17</v>
      </c>
      <c r="N137" t="s">
        <v>77</v>
      </c>
      <c r="O137" t="s">
        <v>39</v>
      </c>
      <c r="P137" t="s">
        <v>49</v>
      </c>
      <c r="Q137" t="s">
        <v>73</v>
      </c>
      <c r="R137" t="s">
        <v>37</v>
      </c>
      <c r="S137" t="s">
        <v>13</v>
      </c>
      <c r="T137" t="s">
        <v>21</v>
      </c>
      <c r="U137" t="s">
        <v>61</v>
      </c>
      <c r="V137" t="s">
        <v>5</v>
      </c>
      <c r="W137" t="s">
        <v>53</v>
      </c>
    </row>
    <row r="138" spans="1:23" x14ac:dyDescent="0.3">
      <c r="A138" t="s">
        <v>384</v>
      </c>
      <c r="B138">
        <v>1</v>
      </c>
    </row>
    <row r="139" spans="1:23" x14ac:dyDescent="0.3">
      <c r="A139" t="s">
        <v>385</v>
      </c>
      <c r="B139">
        <v>2</v>
      </c>
    </row>
    <row r="140" spans="1:23" x14ac:dyDescent="0.3">
      <c r="A140" t="s">
        <v>386</v>
      </c>
      <c r="B140">
        <v>3</v>
      </c>
    </row>
    <row r="141" spans="1:23" x14ac:dyDescent="0.3">
      <c r="A141" t="s">
        <v>387</v>
      </c>
      <c r="B141">
        <v>4</v>
      </c>
    </row>
    <row r="142" spans="1:23" x14ac:dyDescent="0.3">
      <c r="A142" t="s">
        <v>388</v>
      </c>
      <c r="B142">
        <v>5</v>
      </c>
    </row>
    <row r="143" spans="1:23" x14ac:dyDescent="0.3">
      <c r="A143" t="s">
        <v>389</v>
      </c>
      <c r="B143">
        <v>6</v>
      </c>
    </row>
    <row r="144" spans="1:23" x14ac:dyDescent="0.3">
      <c r="A144" t="s">
        <v>390</v>
      </c>
      <c r="B144">
        <v>8</v>
      </c>
    </row>
    <row r="145" spans="1:2" x14ac:dyDescent="0.3">
      <c r="A145" t="s">
        <v>391</v>
      </c>
      <c r="B145">
        <v>9</v>
      </c>
    </row>
    <row r="146" spans="1:2" x14ac:dyDescent="0.3">
      <c r="A146" t="s">
        <v>392</v>
      </c>
      <c r="B146">
        <v>10</v>
      </c>
    </row>
    <row r="147" spans="1:2" x14ac:dyDescent="0.3">
      <c r="A147" t="s">
        <v>393</v>
      </c>
      <c r="B147">
        <v>11</v>
      </c>
    </row>
    <row r="148" spans="1:2" x14ac:dyDescent="0.3">
      <c r="A148" t="s">
        <v>394</v>
      </c>
      <c r="B148">
        <v>12</v>
      </c>
    </row>
    <row r="149" spans="1:2" x14ac:dyDescent="0.3">
      <c r="A149" t="s">
        <v>395</v>
      </c>
      <c r="B149">
        <v>13</v>
      </c>
    </row>
    <row r="150" spans="1:2" x14ac:dyDescent="0.3">
      <c r="A150" t="s">
        <v>396</v>
      </c>
      <c r="B150">
        <v>14</v>
      </c>
    </row>
    <row r="151" spans="1:2" x14ac:dyDescent="0.3">
      <c r="A151" t="s">
        <v>397</v>
      </c>
      <c r="B151">
        <v>15</v>
      </c>
    </row>
    <row r="152" spans="1:2" x14ac:dyDescent="0.3">
      <c r="A152" t="s">
        <v>398</v>
      </c>
      <c r="B152">
        <v>16</v>
      </c>
    </row>
    <row r="153" spans="1:2" x14ac:dyDescent="0.3">
      <c r="A153" t="s">
        <v>399</v>
      </c>
      <c r="B153">
        <v>17</v>
      </c>
    </row>
    <row r="154" spans="1:2" x14ac:dyDescent="0.3">
      <c r="A154" t="s">
        <v>400</v>
      </c>
      <c r="B154">
        <v>18</v>
      </c>
    </row>
    <row r="155" spans="1:2" x14ac:dyDescent="0.3">
      <c r="A155" t="s">
        <v>401</v>
      </c>
      <c r="B155">
        <v>19</v>
      </c>
    </row>
    <row r="156" spans="1:2" x14ac:dyDescent="0.3">
      <c r="A156" t="s">
        <v>402</v>
      </c>
      <c r="B156">
        <v>20</v>
      </c>
    </row>
    <row r="157" spans="1:2" x14ac:dyDescent="0.3">
      <c r="A157" t="s">
        <v>403</v>
      </c>
      <c r="B157">
        <v>21</v>
      </c>
    </row>
    <row r="158" spans="1:2" x14ac:dyDescent="0.3">
      <c r="A158" t="s">
        <v>404</v>
      </c>
      <c r="B158">
        <v>22</v>
      </c>
    </row>
    <row r="159" spans="1:2" x14ac:dyDescent="0.3">
      <c r="A159" t="s">
        <v>405</v>
      </c>
      <c r="B159">
        <v>23</v>
      </c>
    </row>
    <row r="160" spans="1:2" x14ac:dyDescent="0.3">
      <c r="A160" t="s">
        <v>406</v>
      </c>
      <c r="B160">
        <v>24</v>
      </c>
    </row>
    <row r="161" spans="1:2" x14ac:dyDescent="0.3">
      <c r="A161" t="s">
        <v>407</v>
      </c>
      <c r="B161">
        <v>25</v>
      </c>
    </row>
    <row r="162" spans="1:2" x14ac:dyDescent="0.3">
      <c r="A162" t="s">
        <v>408</v>
      </c>
      <c r="B162">
        <v>26</v>
      </c>
    </row>
    <row r="163" spans="1:2" x14ac:dyDescent="0.3">
      <c r="A163" t="s">
        <v>409</v>
      </c>
      <c r="B163">
        <v>27</v>
      </c>
    </row>
    <row r="164" spans="1:2" x14ac:dyDescent="0.3">
      <c r="A164" t="s">
        <v>410</v>
      </c>
      <c r="B164">
        <v>28</v>
      </c>
    </row>
    <row r="165" spans="1:2" x14ac:dyDescent="0.3">
      <c r="A165" t="s">
        <v>411</v>
      </c>
      <c r="B165">
        <v>29</v>
      </c>
    </row>
    <row r="166" spans="1:2" x14ac:dyDescent="0.3">
      <c r="A166" t="s">
        <v>412</v>
      </c>
      <c r="B166">
        <v>31</v>
      </c>
    </row>
    <row r="167" spans="1:2" x14ac:dyDescent="0.3">
      <c r="A167" t="s">
        <v>413</v>
      </c>
      <c r="B167">
        <v>32</v>
      </c>
    </row>
    <row r="168" spans="1:2" x14ac:dyDescent="0.3">
      <c r="A168" t="s">
        <v>414</v>
      </c>
      <c r="B168">
        <v>33</v>
      </c>
    </row>
    <row r="169" spans="1:2" x14ac:dyDescent="0.3">
      <c r="A169" t="s">
        <v>415</v>
      </c>
      <c r="B169">
        <v>34</v>
      </c>
    </row>
    <row r="170" spans="1:2" x14ac:dyDescent="0.3">
      <c r="A170" t="s">
        <v>416</v>
      </c>
      <c r="B170">
        <v>35</v>
      </c>
    </row>
    <row r="171" spans="1:2" x14ac:dyDescent="0.3">
      <c r="A171" t="s">
        <v>417</v>
      </c>
      <c r="B171">
        <v>36</v>
      </c>
    </row>
    <row r="172" spans="1:2" x14ac:dyDescent="0.3">
      <c r="A172" t="s">
        <v>418</v>
      </c>
      <c r="B172">
        <v>37</v>
      </c>
    </row>
    <row r="173" spans="1:2" x14ac:dyDescent="0.3">
      <c r="A173" t="s">
        <v>419</v>
      </c>
      <c r="B173">
        <v>38</v>
      </c>
    </row>
    <row r="174" spans="1:2" x14ac:dyDescent="0.3">
      <c r="A174" t="s">
        <v>420</v>
      </c>
      <c r="B174">
        <v>39</v>
      </c>
    </row>
    <row r="175" spans="1:2" x14ac:dyDescent="0.3">
      <c r="A175" t="s">
        <v>421</v>
      </c>
      <c r="B175">
        <v>40</v>
      </c>
    </row>
    <row r="176" spans="1:2" x14ac:dyDescent="0.3">
      <c r="A176" t="s">
        <v>422</v>
      </c>
      <c r="B176">
        <v>41</v>
      </c>
    </row>
    <row r="177" spans="1:2" x14ac:dyDescent="0.3">
      <c r="A177" t="s">
        <v>423</v>
      </c>
      <c r="B177">
        <v>42</v>
      </c>
    </row>
    <row r="178" spans="1:2" x14ac:dyDescent="0.3">
      <c r="A178" t="s">
        <v>424</v>
      </c>
      <c r="B178">
        <v>43</v>
      </c>
    </row>
    <row r="179" spans="1:2" x14ac:dyDescent="0.3">
      <c r="A179" t="s">
        <v>425</v>
      </c>
      <c r="B179">
        <v>44</v>
      </c>
    </row>
    <row r="180" spans="1:2" x14ac:dyDescent="0.3">
      <c r="A180" t="s">
        <v>426</v>
      </c>
      <c r="B180">
        <v>45</v>
      </c>
    </row>
    <row r="181" spans="1:2" x14ac:dyDescent="0.3">
      <c r="A181" t="s">
        <v>427</v>
      </c>
      <c r="B181">
        <v>46</v>
      </c>
    </row>
    <row r="182" spans="1:2" x14ac:dyDescent="0.3">
      <c r="A182" t="s">
        <v>428</v>
      </c>
      <c r="B182">
        <v>47</v>
      </c>
    </row>
    <row r="183" spans="1:2" x14ac:dyDescent="0.3">
      <c r="A183" t="s">
        <v>429</v>
      </c>
      <c r="B183">
        <v>48</v>
      </c>
    </row>
    <row r="184" spans="1:2" x14ac:dyDescent="0.3">
      <c r="A184" t="s">
        <v>430</v>
      </c>
      <c r="B184">
        <v>49</v>
      </c>
    </row>
    <row r="185" spans="1:2" x14ac:dyDescent="0.3">
      <c r="A185" t="s">
        <v>431</v>
      </c>
      <c r="B185">
        <v>50</v>
      </c>
    </row>
    <row r="186" spans="1:2" x14ac:dyDescent="0.3">
      <c r="A186" t="s">
        <v>432</v>
      </c>
      <c r="B186">
        <v>51</v>
      </c>
    </row>
    <row r="187" spans="1:2" x14ac:dyDescent="0.3">
      <c r="A187" t="s">
        <v>433</v>
      </c>
      <c r="B187">
        <v>52</v>
      </c>
    </row>
    <row r="188" spans="1:2" x14ac:dyDescent="0.3">
      <c r="A188" t="s">
        <v>434</v>
      </c>
      <c r="B188">
        <v>54</v>
      </c>
    </row>
    <row r="189" spans="1:2" x14ac:dyDescent="0.3">
      <c r="A189" t="s">
        <v>435</v>
      </c>
      <c r="B189">
        <v>55</v>
      </c>
    </row>
    <row r="190" spans="1:2" x14ac:dyDescent="0.3">
      <c r="A190" t="s">
        <v>436</v>
      </c>
      <c r="B190">
        <v>56</v>
      </c>
    </row>
    <row r="191" spans="1:2" x14ac:dyDescent="0.3">
      <c r="A191" t="s">
        <v>437</v>
      </c>
      <c r="B191">
        <v>57</v>
      </c>
    </row>
    <row r="192" spans="1:2" x14ac:dyDescent="0.3">
      <c r="A192" t="s">
        <v>438</v>
      </c>
      <c r="B192">
        <v>58</v>
      </c>
    </row>
    <row r="193" spans="1:23" x14ac:dyDescent="0.3">
      <c r="A193" t="s">
        <v>440</v>
      </c>
      <c r="B193" t="s">
        <v>441</v>
      </c>
    </row>
    <row r="194" spans="1:23" x14ac:dyDescent="0.3">
      <c r="A194" t="s">
        <v>442</v>
      </c>
      <c r="B194" t="s">
        <v>443</v>
      </c>
    </row>
    <row r="195" spans="1:23" x14ac:dyDescent="0.3">
      <c r="A195" t="s">
        <v>444</v>
      </c>
      <c r="B195" t="s">
        <v>445</v>
      </c>
    </row>
    <row r="196" spans="1:23" x14ac:dyDescent="0.3">
      <c r="A196" t="s">
        <v>446</v>
      </c>
      <c r="B196" t="s">
        <v>447</v>
      </c>
    </row>
    <row r="197" spans="1:23" x14ac:dyDescent="0.3">
      <c r="A197" t="s">
        <v>448</v>
      </c>
      <c r="B197" t="s">
        <v>449</v>
      </c>
    </row>
    <row r="198" spans="1:23" x14ac:dyDescent="0.3">
      <c r="A198" t="s">
        <v>450</v>
      </c>
      <c r="B198" t="s">
        <v>451</v>
      </c>
    </row>
    <row r="199" spans="1:23" x14ac:dyDescent="0.3">
      <c r="A199" t="s">
        <v>452</v>
      </c>
      <c r="B199" t="s">
        <v>453</v>
      </c>
    </row>
    <row r="200" spans="1:23" x14ac:dyDescent="0.3">
      <c r="A200" t="s">
        <v>458</v>
      </c>
      <c r="B200" t="s">
        <v>17</v>
      </c>
      <c r="C200" t="s">
        <v>43</v>
      </c>
      <c r="D200" t="s">
        <v>59</v>
      </c>
      <c r="E200" t="s">
        <v>65</v>
      </c>
      <c r="F200" t="s">
        <v>77</v>
      </c>
      <c r="G200" t="s">
        <v>39</v>
      </c>
      <c r="H200" t="s">
        <v>63</v>
      </c>
      <c r="I200" t="s">
        <v>9</v>
      </c>
      <c r="J200" t="s">
        <v>71</v>
      </c>
      <c r="K200" t="s">
        <v>67</v>
      </c>
      <c r="L200" t="s">
        <v>47</v>
      </c>
      <c r="M200" t="s">
        <v>69</v>
      </c>
      <c r="N200" t="s">
        <v>57</v>
      </c>
      <c r="O200" t="s">
        <v>45</v>
      </c>
      <c r="P200" t="s">
        <v>21</v>
      </c>
      <c r="Q200" t="s">
        <v>37</v>
      </c>
      <c r="R200" t="s">
        <v>53</v>
      </c>
      <c r="S200" t="s">
        <v>73</v>
      </c>
      <c r="T200" t="s">
        <v>61</v>
      </c>
      <c r="U200" t="s">
        <v>5</v>
      </c>
      <c r="V200" t="s">
        <v>13</v>
      </c>
      <c r="W200" t="s">
        <v>49</v>
      </c>
    </row>
    <row r="201" spans="1:23" x14ac:dyDescent="0.3">
      <c r="A201" t="s">
        <v>460</v>
      </c>
      <c r="B201">
        <v>1</v>
      </c>
    </row>
    <row r="202" spans="1:23" x14ac:dyDescent="0.3">
      <c r="A202" t="s">
        <v>461</v>
      </c>
      <c r="B202">
        <v>2</v>
      </c>
    </row>
    <row r="203" spans="1:23" x14ac:dyDescent="0.3">
      <c r="A203" t="s">
        <v>462</v>
      </c>
      <c r="B203">
        <v>3</v>
      </c>
    </row>
    <row r="204" spans="1:23" x14ac:dyDescent="0.3">
      <c r="A204" t="s">
        <v>463</v>
      </c>
      <c r="B204">
        <v>4</v>
      </c>
    </row>
    <row r="205" spans="1:23" x14ac:dyDescent="0.3">
      <c r="A205" t="s">
        <v>464</v>
      </c>
      <c r="B205">
        <v>5</v>
      </c>
    </row>
    <row r="206" spans="1:23" x14ac:dyDescent="0.3">
      <c r="A206" t="s">
        <v>465</v>
      </c>
      <c r="B206">
        <v>6</v>
      </c>
    </row>
    <row r="207" spans="1:23" x14ac:dyDescent="0.3">
      <c r="A207" t="s">
        <v>466</v>
      </c>
      <c r="B207">
        <v>7</v>
      </c>
    </row>
    <row r="208" spans="1:23" x14ac:dyDescent="0.3">
      <c r="A208" t="s">
        <v>467</v>
      </c>
      <c r="B208">
        <v>9</v>
      </c>
    </row>
    <row r="209" spans="1:2" x14ac:dyDescent="0.3">
      <c r="A209" t="s">
        <v>468</v>
      </c>
      <c r="B209">
        <v>10</v>
      </c>
    </row>
    <row r="210" spans="1:2" x14ac:dyDescent="0.3">
      <c r="A210" t="s">
        <v>469</v>
      </c>
      <c r="B210">
        <v>11</v>
      </c>
    </row>
    <row r="211" spans="1:2" x14ac:dyDescent="0.3">
      <c r="A211" t="s">
        <v>470</v>
      </c>
      <c r="B211">
        <v>12</v>
      </c>
    </row>
    <row r="212" spans="1:2" x14ac:dyDescent="0.3">
      <c r="A212" t="s">
        <v>471</v>
      </c>
      <c r="B212">
        <v>13</v>
      </c>
    </row>
    <row r="213" spans="1:2" x14ac:dyDescent="0.3">
      <c r="A213" t="s">
        <v>472</v>
      </c>
      <c r="B213">
        <v>14</v>
      </c>
    </row>
    <row r="214" spans="1:2" x14ac:dyDescent="0.3">
      <c r="A214" t="s">
        <v>473</v>
      </c>
      <c r="B214">
        <v>15</v>
      </c>
    </row>
    <row r="215" spans="1:2" x14ac:dyDescent="0.3">
      <c r="A215" t="s">
        <v>474</v>
      </c>
      <c r="B215">
        <v>16</v>
      </c>
    </row>
    <row r="216" spans="1:2" x14ac:dyDescent="0.3">
      <c r="A216" t="s">
        <v>475</v>
      </c>
      <c r="B216">
        <v>17</v>
      </c>
    </row>
    <row r="217" spans="1:2" x14ac:dyDescent="0.3">
      <c r="A217" t="s">
        <v>476</v>
      </c>
      <c r="B217">
        <v>18</v>
      </c>
    </row>
    <row r="218" spans="1:2" x14ac:dyDescent="0.3">
      <c r="A218" t="s">
        <v>477</v>
      </c>
      <c r="B218">
        <v>19</v>
      </c>
    </row>
    <row r="219" spans="1:2" x14ac:dyDescent="0.3">
      <c r="A219" t="s">
        <v>478</v>
      </c>
      <c r="B219">
        <v>20</v>
      </c>
    </row>
    <row r="220" spans="1:2" x14ac:dyDescent="0.3">
      <c r="A220" t="s">
        <v>479</v>
      </c>
      <c r="B220">
        <v>21</v>
      </c>
    </row>
    <row r="221" spans="1:2" x14ac:dyDescent="0.3">
      <c r="A221" t="s">
        <v>480</v>
      </c>
      <c r="B221">
        <v>22</v>
      </c>
    </row>
    <row r="222" spans="1:2" x14ac:dyDescent="0.3">
      <c r="A222" t="s">
        <v>481</v>
      </c>
      <c r="B222">
        <v>23</v>
      </c>
    </row>
    <row r="223" spans="1:2" x14ac:dyDescent="0.3">
      <c r="A223" t="s">
        <v>482</v>
      </c>
      <c r="B223">
        <v>24</v>
      </c>
    </row>
    <row r="224" spans="1:2" x14ac:dyDescent="0.3">
      <c r="A224" t="s">
        <v>483</v>
      </c>
      <c r="B224">
        <v>25</v>
      </c>
    </row>
    <row r="225" spans="1:2" x14ac:dyDescent="0.3">
      <c r="A225" t="s">
        <v>484</v>
      </c>
      <c r="B225">
        <v>26</v>
      </c>
    </row>
    <row r="226" spans="1:2" x14ac:dyDescent="0.3">
      <c r="A226" t="s">
        <v>485</v>
      </c>
      <c r="B226">
        <v>27</v>
      </c>
    </row>
    <row r="227" spans="1:2" x14ac:dyDescent="0.3">
      <c r="A227" t="s">
        <v>486</v>
      </c>
      <c r="B227">
        <v>28</v>
      </c>
    </row>
    <row r="228" spans="1:2" x14ac:dyDescent="0.3">
      <c r="A228" t="s">
        <v>487</v>
      </c>
      <c r="B228">
        <v>29</v>
      </c>
    </row>
    <row r="229" spans="1:2" x14ac:dyDescent="0.3">
      <c r="A229" t="s">
        <v>488</v>
      </c>
      <c r="B229">
        <v>30</v>
      </c>
    </row>
    <row r="230" spans="1:2" x14ac:dyDescent="0.3">
      <c r="A230" t="s">
        <v>489</v>
      </c>
      <c r="B230">
        <v>31</v>
      </c>
    </row>
    <row r="231" spans="1:2" x14ac:dyDescent="0.3">
      <c r="A231" t="s">
        <v>490</v>
      </c>
      <c r="B231">
        <v>33</v>
      </c>
    </row>
    <row r="232" spans="1:2" x14ac:dyDescent="0.3">
      <c r="A232" t="s">
        <v>491</v>
      </c>
      <c r="B232">
        <v>34</v>
      </c>
    </row>
    <row r="233" spans="1:2" x14ac:dyDescent="0.3">
      <c r="A233" t="s">
        <v>492</v>
      </c>
      <c r="B233">
        <v>35</v>
      </c>
    </row>
    <row r="234" spans="1:2" x14ac:dyDescent="0.3">
      <c r="A234" t="s">
        <v>493</v>
      </c>
      <c r="B234">
        <v>36</v>
      </c>
    </row>
    <row r="235" spans="1:2" x14ac:dyDescent="0.3">
      <c r="A235" t="s">
        <v>494</v>
      </c>
      <c r="B235">
        <v>37</v>
      </c>
    </row>
    <row r="236" spans="1:2" x14ac:dyDescent="0.3">
      <c r="A236" t="s">
        <v>495</v>
      </c>
      <c r="B236">
        <v>38</v>
      </c>
    </row>
    <row r="237" spans="1:2" x14ac:dyDescent="0.3">
      <c r="A237" t="s">
        <v>496</v>
      </c>
      <c r="B237">
        <v>39</v>
      </c>
    </row>
    <row r="238" spans="1:2" x14ac:dyDescent="0.3">
      <c r="A238" t="s">
        <v>497</v>
      </c>
      <c r="B238">
        <v>40</v>
      </c>
    </row>
    <row r="239" spans="1:2" x14ac:dyDescent="0.3">
      <c r="A239" t="s">
        <v>498</v>
      </c>
      <c r="B239">
        <v>41</v>
      </c>
    </row>
    <row r="240" spans="1:2" x14ac:dyDescent="0.3">
      <c r="A240" t="s">
        <v>499</v>
      </c>
      <c r="B240">
        <v>42</v>
      </c>
    </row>
    <row r="241" spans="1:2" x14ac:dyDescent="0.3">
      <c r="A241" t="s">
        <v>500</v>
      </c>
      <c r="B241">
        <v>43</v>
      </c>
    </row>
    <row r="242" spans="1:2" x14ac:dyDescent="0.3">
      <c r="A242" t="s">
        <v>501</v>
      </c>
      <c r="B242">
        <v>44</v>
      </c>
    </row>
    <row r="243" spans="1:2" x14ac:dyDescent="0.3">
      <c r="A243" t="s">
        <v>502</v>
      </c>
      <c r="B243">
        <v>45</v>
      </c>
    </row>
    <row r="244" spans="1:2" x14ac:dyDescent="0.3">
      <c r="A244" t="s">
        <v>503</v>
      </c>
      <c r="B244">
        <v>46</v>
      </c>
    </row>
    <row r="245" spans="1:2" x14ac:dyDescent="0.3">
      <c r="A245" t="s">
        <v>504</v>
      </c>
      <c r="B245">
        <v>47</v>
      </c>
    </row>
    <row r="246" spans="1:2" x14ac:dyDescent="0.3">
      <c r="A246" t="s">
        <v>505</v>
      </c>
      <c r="B246">
        <v>48</v>
      </c>
    </row>
    <row r="247" spans="1:2" x14ac:dyDescent="0.3">
      <c r="A247" t="s">
        <v>506</v>
      </c>
      <c r="B247">
        <v>49</v>
      </c>
    </row>
    <row r="248" spans="1:2" x14ac:dyDescent="0.3">
      <c r="A248" t="s">
        <v>507</v>
      </c>
      <c r="B248">
        <v>50</v>
      </c>
    </row>
    <row r="249" spans="1:2" x14ac:dyDescent="0.3">
      <c r="A249" t="s">
        <v>508</v>
      </c>
      <c r="B249">
        <v>51</v>
      </c>
    </row>
    <row r="250" spans="1:2" x14ac:dyDescent="0.3">
      <c r="A250" t="s">
        <v>509</v>
      </c>
      <c r="B250">
        <v>52</v>
      </c>
    </row>
    <row r="251" spans="1:2" x14ac:dyDescent="0.3">
      <c r="A251" t="s">
        <v>510</v>
      </c>
      <c r="B251">
        <v>53</v>
      </c>
    </row>
    <row r="252" spans="1:2" x14ac:dyDescent="0.3">
      <c r="A252" t="s">
        <v>511</v>
      </c>
      <c r="B252">
        <v>54</v>
      </c>
    </row>
    <row r="253" spans="1:2" x14ac:dyDescent="0.3">
      <c r="A253" t="s">
        <v>512</v>
      </c>
      <c r="B253">
        <v>55</v>
      </c>
    </row>
    <row r="254" spans="1:2" x14ac:dyDescent="0.3">
      <c r="A254" t="s">
        <v>513</v>
      </c>
      <c r="B254">
        <v>57</v>
      </c>
    </row>
    <row r="255" spans="1:2" x14ac:dyDescent="0.3">
      <c r="A255" t="s">
        <v>514</v>
      </c>
      <c r="B255">
        <v>58</v>
      </c>
    </row>
    <row r="256" spans="1:2" x14ac:dyDescent="0.3">
      <c r="A256" t="s">
        <v>515</v>
      </c>
      <c r="B256">
        <v>59</v>
      </c>
    </row>
    <row r="257" spans="1:2" x14ac:dyDescent="0.3">
      <c r="A257" t="s">
        <v>516</v>
      </c>
      <c r="B257">
        <v>61</v>
      </c>
    </row>
    <row r="258" spans="1:2" x14ac:dyDescent="0.3">
      <c r="A258" t="s">
        <v>517</v>
      </c>
      <c r="B258">
        <v>62</v>
      </c>
    </row>
    <row r="259" spans="1:2" x14ac:dyDescent="0.3">
      <c r="A259" t="s">
        <v>518</v>
      </c>
      <c r="B259">
        <v>63</v>
      </c>
    </row>
    <row r="260" spans="1:2" x14ac:dyDescent="0.3">
      <c r="A260" t="s">
        <v>519</v>
      </c>
      <c r="B260">
        <v>64</v>
      </c>
    </row>
    <row r="261" spans="1:2" x14ac:dyDescent="0.3">
      <c r="A261" t="s">
        <v>520</v>
      </c>
      <c r="B261">
        <v>65</v>
      </c>
    </row>
    <row r="262" spans="1:2" x14ac:dyDescent="0.3">
      <c r="A262" t="s">
        <v>521</v>
      </c>
      <c r="B262">
        <v>67</v>
      </c>
    </row>
    <row r="263" spans="1:2" x14ac:dyDescent="0.3">
      <c r="A263" t="s">
        <v>522</v>
      </c>
      <c r="B263">
        <v>68</v>
      </c>
    </row>
    <row r="264" spans="1:2" x14ac:dyDescent="0.3">
      <c r="A264" t="s">
        <v>523</v>
      </c>
      <c r="B264">
        <v>69</v>
      </c>
    </row>
    <row r="265" spans="1:2" x14ac:dyDescent="0.3">
      <c r="A265" t="s">
        <v>524</v>
      </c>
      <c r="B265">
        <v>70</v>
      </c>
    </row>
    <row r="266" spans="1:2" x14ac:dyDescent="0.3">
      <c r="A266" t="s">
        <v>525</v>
      </c>
      <c r="B266">
        <v>71</v>
      </c>
    </row>
    <row r="267" spans="1:2" x14ac:dyDescent="0.3">
      <c r="A267" t="s">
        <v>527</v>
      </c>
      <c r="B267" t="s">
        <v>528</v>
      </c>
    </row>
    <row r="268" spans="1:2" x14ac:dyDescent="0.3">
      <c r="A268" t="s">
        <v>529</v>
      </c>
      <c r="B268" t="s">
        <v>530</v>
      </c>
    </row>
    <row r="269" spans="1:2" x14ac:dyDescent="0.3">
      <c r="A269" t="s">
        <v>531</v>
      </c>
      <c r="B269" t="s">
        <v>532</v>
      </c>
    </row>
    <row r="270" spans="1:2" x14ac:dyDescent="0.3">
      <c r="A270" t="s">
        <v>533</v>
      </c>
      <c r="B270" t="s">
        <v>534</v>
      </c>
    </row>
    <row r="271" spans="1:2" x14ac:dyDescent="0.3">
      <c r="A271" t="s">
        <v>535</v>
      </c>
      <c r="B271" t="s">
        <v>536</v>
      </c>
    </row>
    <row r="272" spans="1:2" x14ac:dyDescent="0.3">
      <c r="A272" t="s">
        <v>537</v>
      </c>
      <c r="B272" t="s">
        <v>538</v>
      </c>
    </row>
    <row r="273" spans="1:24" x14ac:dyDescent="0.3">
      <c r="A273" t="s">
        <v>539</v>
      </c>
      <c r="B273" t="s">
        <v>540</v>
      </c>
    </row>
    <row r="274" spans="1:24" x14ac:dyDescent="0.3">
      <c r="A274" t="s">
        <v>545</v>
      </c>
      <c r="B274" t="s">
        <v>63</v>
      </c>
      <c r="C274" t="s">
        <v>43</v>
      </c>
      <c r="D274" t="s">
        <v>19</v>
      </c>
      <c r="E274" t="s">
        <v>65</v>
      </c>
      <c r="F274" t="s">
        <v>69</v>
      </c>
      <c r="G274" t="s">
        <v>45</v>
      </c>
      <c r="H274" t="s">
        <v>59</v>
      </c>
      <c r="I274" t="s">
        <v>17</v>
      </c>
      <c r="J274" t="s">
        <v>37</v>
      </c>
      <c r="K274" t="s">
        <v>61</v>
      </c>
      <c r="L274" t="s">
        <v>5</v>
      </c>
      <c r="M274" t="s">
        <v>23</v>
      </c>
      <c r="N274" t="s">
        <v>39</v>
      </c>
      <c r="O274" t="s">
        <v>67</v>
      </c>
      <c r="P274" t="s">
        <v>49</v>
      </c>
      <c r="Q274" t="s">
        <v>47</v>
      </c>
      <c r="R274" t="s">
        <v>57</v>
      </c>
      <c r="S274" t="s">
        <v>9</v>
      </c>
      <c r="T274" t="s">
        <v>71</v>
      </c>
      <c r="U274" t="s">
        <v>13</v>
      </c>
      <c r="V274" t="s">
        <v>21</v>
      </c>
      <c r="W274" t="s">
        <v>53</v>
      </c>
      <c r="X274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/>
  </sheetPr>
  <dimension ref="A1:BF16"/>
  <sheetViews>
    <sheetView workbookViewId="0">
      <pane xSplit="2" topLeftCell="AI1" activePane="topRight" state="frozen"/>
      <selection pane="topRight" activeCell="AZ9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364</v>
      </c>
      <c r="B1" s="68"/>
      <c r="C1" s="68"/>
      <c r="D1" s="68"/>
      <c r="E1" s="68"/>
      <c r="F1" s="68"/>
      <c r="H1" s="64" t="str">
        <f>Summary!C1</f>
        <v>R5.0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tested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8.8" x14ac:dyDescent="0.3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0.3018376395774704</v>
      </c>
      <c r="I5" s="17">
        <f>IF(OR(ISBLANK(Q5),ISBLANK(F5)),"·",Q5*F5/E5/1000000)</f>
        <v>215.64463359999999</v>
      </c>
      <c r="J5" s="18">
        <f>IF(ISBLANK(Q5),"·",Q5/C5)</f>
        <v>9.0551291873241109</v>
      </c>
      <c r="K5" s="18">
        <f>IF(N5="","·",N5/C5)</f>
        <v>1.4092676970275817</v>
      </c>
      <c r="L5" s="18">
        <f>IF(R5="","·",R5/C5)</f>
        <v>1.3172218931505875</v>
      </c>
      <c r="M5" s="18">
        <f>IF(ISBLANK(T5),"·",T5/C5)</f>
        <v>7.6457661875715761</v>
      </c>
      <c r="N5" s="15">
        <f>IF(OR(ISBLANK(R5),ISBLANK(S5)),"",R5+S5)</f>
        <v>335612016</v>
      </c>
      <c r="O5" s="18">
        <f>IF(ISBLANK(Q5),"·",Q5/P5)</f>
        <v>9.0551291873241109</v>
      </c>
      <c r="P5" s="19">
        <v>238146391</v>
      </c>
      <c r="Q5" s="20">
        <v>2156446336</v>
      </c>
      <c r="R5" s="20">
        <v>313691640</v>
      </c>
      <c r="S5" s="20">
        <v>21920376</v>
      </c>
      <c r="T5" s="20">
        <v>1820811624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27086.3</v>
      </c>
      <c r="AA5" s="22">
        <v>61412.800000000003</v>
      </c>
      <c r="AB5" s="22">
        <v>28.824999999999999</v>
      </c>
      <c r="AC5" s="22">
        <v>234.02099999999999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0.42961022200671312</v>
      </c>
      <c r="I6" s="27">
        <f>IF(OR(ISBLANK(Q6),ISBLANK(F6)),"·",Q6*F6/E6/1000000)</f>
        <v>281.12134560000004</v>
      </c>
      <c r="J6" s="28">
        <f>IF(ISBLANK(Q6),"·",Q6/C6)</f>
        <v>12.888306660201394</v>
      </c>
      <c r="K6" s="28">
        <f>IF(N6="","·",N6/C6)</f>
        <v>1.7245971485894986</v>
      </c>
      <c r="L6" s="28">
        <f>IF(R6="","·",R6/C6)</f>
        <v>1.5713167817007021</v>
      </c>
      <c r="M6" s="28">
        <f>IF(ISBLANK(T6),"·",T6/C6)</f>
        <v>11.163605459389416</v>
      </c>
      <c r="N6" s="25">
        <f>IF(OR(ISBLANK(R6),ISBLANK(S6)),"",R6+S6)</f>
        <v>376171272</v>
      </c>
      <c r="O6" s="28">
        <f>IF(ISBLANK(Q6),"·",Q6/P6)</f>
        <v>12.888306660201394</v>
      </c>
      <c r="P6" s="29">
        <v>218121242</v>
      </c>
      <c r="Q6" s="30">
        <v>2811213456</v>
      </c>
      <c r="R6" s="30">
        <v>342737568</v>
      </c>
      <c r="S6" s="30">
        <v>33433704</v>
      </c>
      <c r="T6" s="30">
        <v>2435019488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25117.8</v>
      </c>
      <c r="AA6" s="32">
        <v>60163.6</v>
      </c>
      <c r="AB6" s="32">
        <v>27.629000000000001</v>
      </c>
      <c r="AC6" s="32">
        <v>231.93799999999999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0.3328091058149002</v>
      </c>
      <c r="I7" s="17">
        <f>IF(OR(ISBLANK(Q7),ISBLANK(F7)),"·",Q7*F7/E7/1000000)</f>
        <v>322.08237280000003</v>
      </c>
      <c r="J7" s="18">
        <f>IF(ISBLANK(Q7),"·",Q7/C7)</f>
        <v>9.9842731744470061</v>
      </c>
      <c r="K7" s="18">
        <f>IF(N7="","·",N7/C7)</f>
        <v>1.5513997929704539</v>
      </c>
      <c r="L7" s="18">
        <f>IF(R7="","·",R7/C7)</f>
        <v>1.4377344665656162</v>
      </c>
      <c r="M7" s="18">
        <f>IF(ISBLANK(T7),"·",T7/C7)</f>
        <v>8.4328030258523068</v>
      </c>
      <c r="N7" s="15">
        <f>IF(OR(ISBLANK(R7),ISBLANK(S7)),"",R7+S7)</f>
        <v>500465600</v>
      </c>
      <c r="O7" s="18">
        <f>IF(ISBLANK(Q7),"·",Q7/P7)</f>
        <v>9.9842731744470061</v>
      </c>
      <c r="P7" s="19">
        <v>322589704</v>
      </c>
      <c r="Q7" s="20">
        <v>3220823728</v>
      </c>
      <c r="R7" s="20">
        <v>463798336</v>
      </c>
      <c r="S7" s="20">
        <v>36667264</v>
      </c>
      <c r="T7" s="20">
        <v>2720335432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36250.1</v>
      </c>
      <c r="AA7" s="22">
        <v>79248.100000000006</v>
      </c>
      <c r="AB7" s="22">
        <v>38.261000000000003</v>
      </c>
      <c r="AC7" s="22">
        <v>262.38900000000001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0.28148641695704407</v>
      </c>
      <c r="I8" s="47">
        <f>IF(OR(ISBLANK(Q8),ISBLANK(F8)),"·",Q8*F8/E8/1000000)</f>
        <v>423.24785919999999</v>
      </c>
      <c r="J8" s="48">
        <f>IF(ISBLANK(Q8),"·",Q8/C8)</f>
        <v>8.4445925087113221</v>
      </c>
      <c r="K8" s="48">
        <f>IF(N8="","·",N8/C8)</f>
        <v>1.0431245663482789</v>
      </c>
      <c r="L8" s="48">
        <f>IF(R8="","·",R8/C8)</f>
        <v>0.90841659125153507</v>
      </c>
      <c r="M8" s="48">
        <f>IF(ISBLANK(T8),"·",T8/C8)</f>
        <v>7.4013928275073253</v>
      </c>
      <c r="N8" s="45">
        <f>IF(OR(ISBLANK(R8),ISBLANK(S8)),"",R8+S8)</f>
        <v>261410032</v>
      </c>
      <c r="O8" s="48">
        <f>IF(ISBLANK(Q8),"·",Q8/P8)</f>
        <v>8.4445925087113221</v>
      </c>
      <c r="P8" s="49">
        <v>250602891</v>
      </c>
      <c r="Q8" s="50">
        <v>2116239296</v>
      </c>
      <c r="R8" s="50">
        <v>227651824</v>
      </c>
      <c r="S8" s="50">
        <v>33758208</v>
      </c>
      <c r="T8" s="50">
        <v>1854810440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29623.3</v>
      </c>
      <c r="AA8" s="52">
        <v>50028.2</v>
      </c>
      <c r="AB8" s="52">
        <v>26.805</v>
      </c>
      <c r="AC8" s="52">
        <v>183.73599999999999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0.49582783857462803</v>
      </c>
      <c r="I9" s="37">
        <f>IF(OR(ISBLANK(Q9),ISBLANK(F9)),"·",Q9*F9/E9/1000000)</f>
        <v>372.30906479999999</v>
      </c>
      <c r="J9" s="38">
        <f>IF(ISBLANK(Q9),"·",Q9/C9)</f>
        <v>14.874835157238842</v>
      </c>
      <c r="K9" s="38">
        <f>IF(N9="","·",N9/C9)</f>
        <v>1.5132851097831594</v>
      </c>
      <c r="L9" s="38">
        <f>IF(R9="","·",R9/C9)</f>
        <v>1.4122639858021377</v>
      </c>
      <c r="M9" s="38">
        <f>IF(ISBLANK(T9),"·",T9/C9)</f>
        <v>13.361459370303109</v>
      </c>
      <c r="N9" s="35">
        <f>IF(OR(ISBLANK(R9),ISBLANK(S9)),"",R9+S9)</f>
        <v>378767064</v>
      </c>
      <c r="O9" s="38">
        <f>IF(ISBLANK(Q9),"·",Q9/P9)</f>
        <v>14.874835157238842</v>
      </c>
      <c r="P9" s="39">
        <v>250294582</v>
      </c>
      <c r="Q9" s="40">
        <v>3723090648</v>
      </c>
      <c r="R9" s="40">
        <v>353482024</v>
      </c>
      <c r="S9" s="40">
        <v>25285040</v>
      </c>
      <c r="T9" s="40">
        <v>3344300888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28891.5</v>
      </c>
      <c r="AA9" s="42">
        <v>68073.8</v>
      </c>
      <c r="AB9" s="42">
        <v>30.648</v>
      </c>
      <c r="AC9" s="42">
        <v>262.38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10.093075382670959</v>
      </c>
      <c r="K10" s="56">
        <f>AVERAGE(K5:K8)</f>
        <v>1.4320973012339533</v>
      </c>
      <c r="L10" s="56">
        <f>AVERAGE(L5:L8)</f>
        <v>1.30867243316711</v>
      </c>
      <c r="M10" s="56">
        <f>AVERAGE(M5:M8)</f>
        <v>8.6608918750801553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14.874835157238842</v>
      </c>
      <c r="K11" s="56">
        <f>AVERAGE(K9:K9)</f>
        <v>1.5132851097831594</v>
      </c>
      <c r="L11" s="56">
        <f>AVERAGE(L9:L9)</f>
        <v>1.4122639858021377</v>
      </c>
      <c r="M11" s="56">
        <f>AVERAGE(M9:M9)</f>
        <v>13.361459370303109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x14ac:dyDescent="0.3">
      <c r="B12" s="55" t="s">
        <v>288</v>
      </c>
      <c r="J12" s="56">
        <f>AVERAGE(J5:J9)</f>
        <v>11.049427337584536</v>
      </c>
      <c r="K12" s="56">
        <f>AVERAGE(K5:K9)</f>
        <v>1.4483348629437944</v>
      </c>
      <c r="L12" s="56">
        <f>AVERAGE(L5:L9)</f>
        <v>1.3293907436941157</v>
      </c>
      <c r="M12" s="56">
        <f>AVERAGE(M5:M9)</f>
        <v>9.6010053741247461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146969</v>
      </c>
      <c r="AA13" s="57">
        <f>SUM(AA5:AA8,AA9:AA9)</f>
        <v>318926.5</v>
      </c>
      <c r="AB13" s="57">
        <f>SUM(AB5:AB8,AB9:AB9)</f>
        <v>152.16800000000001</v>
      </c>
      <c r="AC13" s="57">
        <f>SUM(AC5:AC8,AC9:AC9)</f>
        <v>1174.4639999999999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29166.801344902527</v>
      </c>
      <c r="AA15" s="57">
        <f>GEOMEAN(AA5:AA8,AA9:AA9)</f>
        <v>63060.192019358932</v>
      </c>
      <c r="AB15" s="57">
        <f>GEOMEAN(AB5:AB8,AB9:AB9)</f>
        <v>30.178784920310918</v>
      </c>
      <c r="AC15" s="57">
        <f>GEOMEAN(AC5:AC8,AC9:AC9)</f>
        <v>232.99117396362251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outlinePr summaryBelow="0"/>
  </sheetPr>
  <dimension ref="A1:BF16"/>
  <sheetViews>
    <sheetView workbookViewId="0">
      <pane xSplit="2" topLeftCell="AH1" activePane="topRight" state="frozen"/>
      <selection pane="topRight" activeCell="AZ9" sqref="AM5:AZ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58" x14ac:dyDescent="0.3">
      <c r="A1" s="68" t="s">
        <v>439</v>
      </c>
      <c r="B1" s="68"/>
      <c r="C1" s="68"/>
      <c r="D1" s="68"/>
      <c r="E1" s="68"/>
      <c r="F1" s="68"/>
      <c r="H1" s="64" t="str">
        <f>Summary!C1</f>
        <v>R5.0</v>
      </c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E1" s="65" t="str">
        <f>Summary!C2</f>
        <v>tested</v>
      </c>
      <c r="AF1" s="65"/>
      <c r="AG1" s="65"/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</row>
    <row r="2" spans="1:58" ht="30" customHeight="1" x14ac:dyDescent="0.3">
      <c r="A2" s="70" t="s">
        <v>91</v>
      </c>
      <c r="B2" s="69" t="s">
        <v>94</v>
      </c>
      <c r="C2" s="70" t="s">
        <v>100</v>
      </c>
      <c r="D2" s="69" t="s">
        <v>103</v>
      </c>
      <c r="E2" s="70" t="s">
        <v>106</v>
      </c>
      <c r="F2" s="69" t="s">
        <v>109</v>
      </c>
      <c r="H2" s="70" t="s">
        <v>308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6" t="s">
        <v>140</v>
      </c>
      <c r="R2" s="66"/>
      <c r="S2" s="66"/>
      <c r="T2" s="66"/>
      <c r="U2" s="67" t="s">
        <v>151</v>
      </c>
      <c r="V2" s="67"/>
      <c r="W2" s="66" t="s">
        <v>158</v>
      </c>
      <c r="X2" s="66"/>
      <c r="Y2" s="66"/>
      <c r="Z2" s="67" t="s">
        <v>168</v>
      </c>
      <c r="AA2" s="67"/>
      <c r="AB2" s="66" t="s">
        <v>175</v>
      </c>
      <c r="AC2" s="66"/>
      <c r="AE2" s="70" t="s">
        <v>308</v>
      </c>
      <c r="AF2" s="69" t="s">
        <v>112</v>
      </c>
      <c r="AG2" s="67" t="s">
        <v>115</v>
      </c>
      <c r="AH2" s="67"/>
      <c r="AI2" s="67"/>
      <c r="AJ2" s="67"/>
      <c r="AK2" s="70" t="s">
        <v>190</v>
      </c>
      <c r="AL2" s="69" t="s">
        <v>131</v>
      </c>
      <c r="AM2" s="70" t="s">
        <v>22</v>
      </c>
      <c r="AN2" s="66" t="s">
        <v>140</v>
      </c>
      <c r="AO2" s="66"/>
      <c r="AP2" s="66"/>
      <c r="AQ2" s="66"/>
      <c r="AR2" s="67" t="s">
        <v>151</v>
      </c>
      <c r="AS2" s="67"/>
      <c r="AT2" s="66" t="s">
        <v>158</v>
      </c>
      <c r="AU2" s="66"/>
      <c r="AV2" s="66"/>
      <c r="AW2" s="67" t="s">
        <v>168</v>
      </c>
      <c r="AX2" s="67"/>
      <c r="AY2" s="66" t="s">
        <v>175</v>
      </c>
      <c r="AZ2" s="66"/>
      <c r="BB2" s="67" t="s">
        <v>355</v>
      </c>
      <c r="BC2" s="67"/>
      <c r="BD2" s="67"/>
      <c r="BE2" s="69" t="s">
        <v>230</v>
      </c>
      <c r="BF2" s="70" t="s">
        <v>230</v>
      </c>
    </row>
    <row r="3" spans="1:58" ht="28.8" x14ac:dyDescent="0.3">
      <c r="A3" s="70"/>
      <c r="B3" s="69"/>
      <c r="C3" s="70"/>
      <c r="D3" s="69"/>
      <c r="E3" s="70"/>
      <c r="F3" s="69"/>
      <c r="H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12" t="s">
        <v>116</v>
      </c>
      <c r="R3" s="12" t="s">
        <v>122</v>
      </c>
      <c r="S3" s="12" t="s">
        <v>145</v>
      </c>
      <c r="T3" s="12" t="s">
        <v>148</v>
      </c>
      <c r="U3" s="11" t="s">
        <v>152</v>
      </c>
      <c r="V3" s="11" t="s">
        <v>155</v>
      </c>
      <c r="W3" s="12" t="s">
        <v>159</v>
      </c>
      <c r="X3" s="12" t="s">
        <v>162</v>
      </c>
      <c r="Y3" s="12" t="s">
        <v>165</v>
      </c>
      <c r="Z3" s="11" t="s">
        <v>169</v>
      </c>
      <c r="AA3" s="11" t="s">
        <v>172</v>
      </c>
      <c r="AB3" s="12" t="s">
        <v>169</v>
      </c>
      <c r="AC3" s="12" t="s">
        <v>172</v>
      </c>
      <c r="AE3" s="70"/>
      <c r="AF3" s="69"/>
      <c r="AG3" s="11" t="s">
        <v>116</v>
      </c>
      <c r="AH3" s="11" t="s">
        <v>119</v>
      </c>
      <c r="AI3" s="11" t="s">
        <v>122</v>
      </c>
      <c r="AJ3" s="11" t="s">
        <v>125</v>
      </c>
      <c r="AK3" s="70"/>
      <c r="AL3" s="69"/>
      <c r="AM3" s="70"/>
      <c r="AN3" s="12" t="s">
        <v>116</v>
      </c>
      <c r="AO3" s="12" t="s">
        <v>122</v>
      </c>
      <c r="AP3" s="12" t="s">
        <v>145</v>
      </c>
      <c r="AQ3" s="12" t="s">
        <v>148</v>
      </c>
      <c r="AR3" s="11" t="s">
        <v>152</v>
      </c>
      <c r="AS3" s="11" t="s">
        <v>155</v>
      </c>
      <c r="AT3" s="12" t="s">
        <v>159</v>
      </c>
      <c r="AU3" s="12" t="s">
        <v>162</v>
      </c>
      <c r="AV3" s="12" t="s">
        <v>165</v>
      </c>
      <c r="AW3" s="11" t="s">
        <v>169</v>
      </c>
      <c r="AX3" s="11" t="s">
        <v>172</v>
      </c>
      <c r="AY3" s="12" t="s">
        <v>169</v>
      </c>
      <c r="AZ3" s="12" t="s">
        <v>172</v>
      </c>
      <c r="BB3" s="11" t="s">
        <v>116</v>
      </c>
      <c r="BC3" s="11" t="s">
        <v>122</v>
      </c>
      <c r="BD3" s="11" t="s">
        <v>148</v>
      </c>
      <c r="BE3" s="69"/>
      <c r="BF3" s="70"/>
    </row>
    <row r="4" spans="1:58" ht="123" hidden="1" x14ac:dyDescent="0.3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309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141</v>
      </c>
      <c r="R4" s="14" t="s">
        <v>143</v>
      </c>
      <c r="S4" s="14" t="s">
        <v>146</v>
      </c>
      <c r="T4" s="14" t="s">
        <v>149</v>
      </c>
      <c r="U4" s="13" t="s">
        <v>153</v>
      </c>
      <c r="V4" s="13" t="s">
        <v>156</v>
      </c>
      <c r="W4" s="14" t="s">
        <v>160</v>
      </c>
      <c r="X4" s="14" t="s">
        <v>163</v>
      </c>
      <c r="Y4" s="14" t="s">
        <v>166</v>
      </c>
      <c r="Z4" s="13" t="s">
        <v>170</v>
      </c>
      <c r="AA4" s="13" t="s">
        <v>173</v>
      </c>
      <c r="AB4" s="14" t="s">
        <v>176</v>
      </c>
      <c r="AC4" s="14" t="s">
        <v>178</v>
      </c>
      <c r="AE4" s="13" t="s">
        <v>332</v>
      </c>
      <c r="AF4" s="14" t="s">
        <v>180</v>
      </c>
      <c r="AG4" s="13" t="s">
        <v>182</v>
      </c>
      <c r="AH4" s="13" t="s">
        <v>184</v>
      </c>
      <c r="AI4" s="13" t="s">
        <v>186</v>
      </c>
      <c r="AJ4" s="13" t="s">
        <v>188</v>
      </c>
      <c r="AK4" s="13" t="s">
        <v>191</v>
      </c>
      <c r="AL4" s="14" t="s">
        <v>193</v>
      </c>
      <c r="AM4" s="13" t="s">
        <v>195</v>
      </c>
      <c r="AN4" s="14" t="s">
        <v>201</v>
      </c>
      <c r="AO4" s="14" t="s">
        <v>203</v>
      </c>
      <c r="AP4" s="14" t="s">
        <v>205</v>
      </c>
      <c r="AQ4" s="14" t="s">
        <v>207</v>
      </c>
      <c r="AR4" s="13" t="s">
        <v>209</v>
      </c>
      <c r="AS4" s="13" t="s">
        <v>211</v>
      </c>
      <c r="AT4" s="14" t="s">
        <v>213</v>
      </c>
      <c r="AU4" s="14" t="s">
        <v>215</v>
      </c>
      <c r="AV4" s="14" t="s">
        <v>217</v>
      </c>
      <c r="AW4" s="13" t="s">
        <v>219</v>
      </c>
      <c r="AX4" s="13" t="s">
        <v>221</v>
      </c>
      <c r="AY4" s="14" t="s">
        <v>223</v>
      </c>
      <c r="AZ4" s="14" t="s">
        <v>225</v>
      </c>
      <c r="BB4" s="13" t="s">
        <v>356</v>
      </c>
      <c r="BC4" s="13" t="s">
        <v>358</v>
      </c>
      <c r="BD4" s="13" t="s">
        <v>360</v>
      </c>
      <c r="BE4" s="14" t="s">
        <v>231</v>
      </c>
      <c r="BF4" s="13" t="s">
        <v>233</v>
      </c>
    </row>
    <row r="5" spans="1:58" collapsed="1" x14ac:dyDescent="0.3">
      <c r="A5" s="15" t="s">
        <v>265</v>
      </c>
      <c r="B5" s="15" t="s">
        <v>264</v>
      </c>
      <c r="C5" s="15">
        <v>238146391</v>
      </c>
      <c r="D5" s="16">
        <v>10</v>
      </c>
      <c r="E5" s="16">
        <v>300</v>
      </c>
      <c r="F5" s="16">
        <v>30</v>
      </c>
      <c r="H5" s="23">
        <f>IF(ISBLANK(Q5),"·",Q5/(C5*D5*3))</f>
        <v>0.29949184771255538</v>
      </c>
      <c r="I5" s="17">
        <f>IF(OR(ISBLANK(Q5),ISBLANK(F5)),"·",Q5*F5/E5/1000000)</f>
        <v>213.96870799999999</v>
      </c>
      <c r="J5" s="18">
        <f>IF(ISBLANK(Q5),"·",Q5/C5)</f>
        <v>8.9847554313766604</v>
      </c>
      <c r="K5" s="18">
        <f>IF(N5="","·",N5/C5)</f>
        <v>1.4073378588382639</v>
      </c>
      <c r="L5" s="18">
        <f>IF(R5="","·",R5/C5)</f>
        <v>1.3125757761325889</v>
      </c>
      <c r="M5" s="18">
        <f>IF(ISBLANK(T5),"·",T5/C5)</f>
        <v>7.5773222698134441</v>
      </c>
      <c r="N5" s="15">
        <f>IF(OR(ISBLANK(R5),ISBLANK(S5)),"",R5+S5)</f>
        <v>335152432</v>
      </c>
      <c r="O5" s="18">
        <f>IF(ISBLANK(Q5),"·",Q5/P5)</f>
        <v>8.9847554313766604</v>
      </c>
      <c r="P5" s="19">
        <v>238146391</v>
      </c>
      <c r="Q5" s="20">
        <v>2139687080</v>
      </c>
      <c r="R5" s="20">
        <v>312585184</v>
      </c>
      <c r="S5" s="20">
        <v>22567248</v>
      </c>
      <c r="T5" s="20">
        <v>1804511952</v>
      </c>
      <c r="U5" s="21" t="s">
        <v>547</v>
      </c>
      <c r="V5" s="21" t="s">
        <v>547</v>
      </c>
      <c r="W5" s="21" t="s">
        <v>547</v>
      </c>
      <c r="X5" s="21" t="s">
        <v>547</v>
      </c>
      <c r="Y5" s="21" t="s">
        <v>547</v>
      </c>
      <c r="Z5" s="22">
        <v>27234.3</v>
      </c>
      <c r="AA5" s="22">
        <v>83441.899999999994</v>
      </c>
      <c r="AB5" s="22">
        <v>28.568999999999999</v>
      </c>
      <c r="AC5" s="22">
        <v>216.15</v>
      </c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</row>
    <row r="6" spans="1:58" collapsed="1" x14ac:dyDescent="0.3">
      <c r="A6" s="25"/>
      <c r="B6" s="25" t="s">
        <v>273</v>
      </c>
      <c r="C6" s="25">
        <v>218121242</v>
      </c>
      <c r="D6" s="26">
        <v>10</v>
      </c>
      <c r="E6" s="26">
        <v>300</v>
      </c>
      <c r="F6" s="26">
        <v>30</v>
      </c>
      <c r="H6" s="33">
        <f>IF(ISBLANK(Q6),"·",Q6/(C6*D6*3))</f>
        <v>0.42700599819006468</v>
      </c>
      <c r="I6" s="27">
        <f>IF(OR(ISBLANK(Q6),ISBLANK(F6)),"·",Q6*F6/E6/1000000)</f>
        <v>279.417236</v>
      </c>
      <c r="J6" s="28">
        <f>IF(ISBLANK(Q6),"·",Q6/C6)</f>
        <v>12.810179945701941</v>
      </c>
      <c r="K6" s="28">
        <f>IF(N6="","·",N6/C6)</f>
        <v>1.7316856833228558</v>
      </c>
      <c r="L6" s="28">
        <f>IF(R6="","·",R6/C6)</f>
        <v>1.5700844762290507</v>
      </c>
      <c r="M6" s="28">
        <f>IF(ISBLANK(T6),"·",T6/C6)</f>
        <v>11.078390210156606</v>
      </c>
      <c r="N6" s="25">
        <f>IF(OR(ISBLANK(R6),ISBLANK(S6)),"",R6+S6)</f>
        <v>377717432</v>
      </c>
      <c r="O6" s="28">
        <f>IF(ISBLANK(Q6),"·",Q6/P6)</f>
        <v>12.810179945701941</v>
      </c>
      <c r="P6" s="29">
        <v>218121242</v>
      </c>
      <c r="Q6" s="30">
        <v>2794172360</v>
      </c>
      <c r="R6" s="30">
        <v>342468776</v>
      </c>
      <c r="S6" s="30">
        <v>35248656</v>
      </c>
      <c r="T6" s="30">
        <v>2416432232</v>
      </c>
      <c r="U6" s="31" t="s">
        <v>547</v>
      </c>
      <c r="V6" s="31" t="s">
        <v>547</v>
      </c>
      <c r="W6" s="31" t="s">
        <v>547</v>
      </c>
      <c r="X6" s="31" t="s">
        <v>547</v>
      </c>
      <c r="Y6" s="31" t="s">
        <v>547</v>
      </c>
      <c r="Z6" s="32">
        <v>24725.9</v>
      </c>
      <c r="AA6" s="32">
        <v>98082.2</v>
      </c>
      <c r="AB6" s="32">
        <v>27.085000000000001</v>
      </c>
      <c r="AC6" s="32">
        <v>237.12100000000001</v>
      </c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</row>
    <row r="7" spans="1:58" collapsed="1" x14ac:dyDescent="0.3">
      <c r="A7" s="15"/>
      <c r="B7" s="15" t="s">
        <v>276</v>
      </c>
      <c r="C7" s="15">
        <v>322589704</v>
      </c>
      <c r="D7" s="16">
        <v>10</v>
      </c>
      <c r="E7" s="16">
        <v>300</v>
      </c>
      <c r="F7" s="16">
        <v>30</v>
      </c>
      <c r="H7" s="23">
        <f>IF(ISBLANK(Q7),"·",Q7/(C7*D7*3))</f>
        <v>0.3282031402548008</v>
      </c>
      <c r="I7" s="17">
        <f>IF(OR(ISBLANK(Q7),ISBLANK(F7)),"·",Q7*F7/E7/1000000)</f>
        <v>317.62486160000003</v>
      </c>
      <c r="J7" s="18">
        <f>IF(ISBLANK(Q7),"·",Q7/C7)</f>
        <v>9.8460942076440237</v>
      </c>
      <c r="K7" s="18">
        <f>IF(N7="","·",N7/C7)</f>
        <v>1.5360439154003502</v>
      </c>
      <c r="L7" s="18">
        <f>IF(R7="","·",R7/C7)</f>
        <v>1.4210076090959183</v>
      </c>
      <c r="M7" s="18">
        <f>IF(ISBLANK(T7),"·",T7/C7)</f>
        <v>8.3099799366194276</v>
      </c>
      <c r="N7" s="15">
        <f>IF(OR(ISBLANK(R7),ISBLANK(S7)),"",R7+S7)</f>
        <v>495511952</v>
      </c>
      <c r="O7" s="18">
        <f>IF(ISBLANK(Q7),"·",Q7/P7)</f>
        <v>9.8460942076440237</v>
      </c>
      <c r="P7" s="19">
        <v>322589704</v>
      </c>
      <c r="Q7" s="20">
        <v>3176248616</v>
      </c>
      <c r="R7" s="20">
        <v>458402424</v>
      </c>
      <c r="S7" s="20">
        <v>37109528</v>
      </c>
      <c r="T7" s="20">
        <v>2680713968</v>
      </c>
      <c r="U7" s="21" t="s">
        <v>547</v>
      </c>
      <c r="V7" s="21" t="s">
        <v>547</v>
      </c>
      <c r="W7" s="21" t="s">
        <v>547</v>
      </c>
      <c r="X7" s="21" t="s">
        <v>547</v>
      </c>
      <c r="Y7" s="21" t="s">
        <v>547</v>
      </c>
      <c r="Z7" s="22">
        <v>35314.1</v>
      </c>
      <c r="AA7" s="22">
        <v>102636</v>
      </c>
      <c r="AB7" s="22">
        <v>39.530999999999999</v>
      </c>
      <c r="AC7" s="22">
        <v>266.166</v>
      </c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</row>
    <row r="8" spans="1:58" collapsed="1" x14ac:dyDescent="0.3">
      <c r="A8" s="45"/>
      <c r="B8" s="45" t="s">
        <v>279</v>
      </c>
      <c r="C8" s="45">
        <v>250602891</v>
      </c>
      <c r="D8" s="46">
        <v>10</v>
      </c>
      <c r="E8" s="46">
        <v>250</v>
      </c>
      <c r="F8" s="46">
        <v>50</v>
      </c>
      <c r="H8" s="53">
        <f>IF(ISBLANK(Q8),"·",Q8/(C8*D8*3))</f>
        <v>0.2716834600816051</v>
      </c>
      <c r="I8" s="47">
        <f>IF(OR(ISBLANK(Q8),ISBLANK(F8)),"·",Q8*F8/E8/1000000)</f>
        <v>408.50796320000001</v>
      </c>
      <c r="J8" s="48">
        <f>IF(ISBLANK(Q8),"·",Q8/C8)</f>
        <v>8.1505038024481529</v>
      </c>
      <c r="K8" s="48">
        <f>IF(N8="","·",N8/C8)</f>
        <v>0.98303555484521521</v>
      </c>
      <c r="L8" s="48">
        <f>IF(R8="","·",R8/C8)</f>
        <v>0.87260880003176022</v>
      </c>
      <c r="M8" s="48">
        <f>IF(ISBLANK(T8),"·",T8/C8)</f>
        <v>7.16739313274722</v>
      </c>
      <c r="N8" s="45">
        <f>IF(OR(ISBLANK(R8),ISBLANK(S8)),"",R8+S8)</f>
        <v>246351552</v>
      </c>
      <c r="O8" s="48">
        <f>IF(ISBLANK(Q8),"·",Q8/P8)</f>
        <v>8.1505038024481529</v>
      </c>
      <c r="P8" s="49">
        <v>250602891</v>
      </c>
      <c r="Q8" s="50">
        <v>2042539816</v>
      </c>
      <c r="R8" s="50">
        <v>218678288</v>
      </c>
      <c r="S8" s="50">
        <v>27673264</v>
      </c>
      <c r="T8" s="50">
        <v>1796169440</v>
      </c>
      <c r="U8" s="51" t="s">
        <v>547</v>
      </c>
      <c r="V8" s="51" t="s">
        <v>547</v>
      </c>
      <c r="W8" s="51" t="s">
        <v>547</v>
      </c>
      <c r="X8" s="51" t="s">
        <v>547</v>
      </c>
      <c r="Y8" s="51" t="s">
        <v>547</v>
      </c>
      <c r="Z8" s="52">
        <v>29533.4</v>
      </c>
      <c r="AA8" s="52">
        <v>60922.400000000001</v>
      </c>
      <c r="AB8" s="52">
        <v>27.33</v>
      </c>
      <c r="AC8" s="52">
        <v>189.28200000000001</v>
      </c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</row>
    <row r="9" spans="1:58" collapsed="1" x14ac:dyDescent="0.3">
      <c r="A9" s="35" t="s">
        <v>283</v>
      </c>
      <c r="B9" s="35" t="s">
        <v>282</v>
      </c>
      <c r="C9" s="35">
        <v>250294582</v>
      </c>
      <c r="D9" s="36">
        <v>10</v>
      </c>
      <c r="E9" s="36">
        <v>300</v>
      </c>
      <c r="F9" s="36">
        <v>30</v>
      </c>
      <c r="H9" s="43">
        <f>IF(ISBLANK(Q9),"·",Q9/(C9*D9*3))</f>
        <v>0.49234929743704958</v>
      </c>
      <c r="I9" s="37">
        <f>IF(OR(ISBLANK(Q9),ISBLANK(F9)),"·",Q9*F9/E9/1000000)</f>
        <v>369.69708480000003</v>
      </c>
      <c r="J9" s="38">
        <f>IF(ISBLANK(Q9),"·",Q9/C9)</f>
        <v>14.770478923111488</v>
      </c>
      <c r="K9" s="38">
        <f>IF(N9="","·",N9/C9)</f>
        <v>1.5175815511659776</v>
      </c>
      <c r="L9" s="38">
        <f>IF(R9="","·",R9/C9)</f>
        <v>1.4104620450793457</v>
      </c>
      <c r="M9" s="38">
        <f>IF(ISBLANK(T9),"·",T9/C9)</f>
        <v>13.252806694792937</v>
      </c>
      <c r="N9" s="35">
        <f>IF(OR(ISBLANK(R9),ISBLANK(S9)),"",R9+S9)</f>
        <v>379842440</v>
      </c>
      <c r="O9" s="38">
        <f>IF(ISBLANK(Q9),"·",Q9/P9)</f>
        <v>14.770478923111488</v>
      </c>
      <c r="P9" s="39">
        <v>250294582</v>
      </c>
      <c r="Q9" s="40">
        <v>3696970848</v>
      </c>
      <c r="R9" s="40">
        <v>353031008</v>
      </c>
      <c r="S9" s="40">
        <v>26811432</v>
      </c>
      <c r="T9" s="40">
        <v>3317105712</v>
      </c>
      <c r="U9" s="41" t="s">
        <v>547</v>
      </c>
      <c r="V9" s="41" t="s">
        <v>547</v>
      </c>
      <c r="W9" s="41" t="s">
        <v>547</v>
      </c>
      <c r="X9" s="41" t="s">
        <v>547</v>
      </c>
      <c r="Y9" s="41" t="s">
        <v>547</v>
      </c>
      <c r="Z9" s="42">
        <v>28084.3</v>
      </c>
      <c r="AA9" s="42">
        <v>104313</v>
      </c>
      <c r="AB9" s="42">
        <v>30.34</v>
      </c>
      <c r="AC9" s="42">
        <v>275.70600000000002</v>
      </c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</row>
    <row r="10" spans="1:58" x14ac:dyDescent="0.3">
      <c r="B10" s="55" t="s">
        <v>286</v>
      </c>
      <c r="J10" s="56">
        <f>AVERAGE(J5:J8)</f>
        <v>9.9478833467926933</v>
      </c>
      <c r="K10" s="56">
        <f>AVERAGE(K5:K8)</f>
        <v>1.4145257531016713</v>
      </c>
      <c r="L10" s="56">
        <f>AVERAGE(L5:L8)</f>
        <v>1.2940691653723295</v>
      </c>
      <c r="M10" s="56">
        <f>AVERAGE(M5:M8)</f>
        <v>8.5332713873341746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58" x14ac:dyDescent="0.3">
      <c r="B11" s="55" t="s">
        <v>287</v>
      </c>
      <c r="J11" s="56">
        <f>AVERAGE(J9:J9)</f>
        <v>14.770478923111488</v>
      </c>
      <c r="K11" s="56">
        <f>AVERAGE(K9:K9)</f>
        <v>1.5175815511659776</v>
      </c>
      <c r="L11" s="56">
        <f>AVERAGE(L9:L9)</f>
        <v>1.4104620450793457</v>
      </c>
      <c r="M11" s="56">
        <f>AVERAGE(M9:M9)</f>
        <v>13.252806694792937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58" x14ac:dyDescent="0.3">
      <c r="B12" s="55" t="s">
        <v>288</v>
      </c>
      <c r="J12" s="56">
        <f>AVERAGE(J5:J9)</f>
        <v>10.912402462056452</v>
      </c>
      <c r="K12" s="56">
        <f>AVERAGE(K5:K9)</f>
        <v>1.4351369127145326</v>
      </c>
      <c r="L12" s="56">
        <f>AVERAGE(L5:L9)</f>
        <v>1.3173477413137327</v>
      </c>
      <c r="M12" s="56">
        <f>AVERAGE(M5:M9)</f>
        <v>9.4771784488259279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58" hidden="1" outlineLevel="2" x14ac:dyDescent="0.3">
      <c r="A13" s="55" t="s">
        <v>289</v>
      </c>
      <c r="B13" s="55" t="s">
        <v>290</v>
      </c>
      <c r="Z13" s="57">
        <f>SUM(Z5:Z8,Z9:Z9)</f>
        <v>144891.99999999997</v>
      </c>
      <c r="AA13" s="57">
        <f>SUM(AA5:AA8,AA9:AA9)</f>
        <v>449395.5</v>
      </c>
      <c r="AB13" s="57">
        <f>SUM(AB5:AB8,AB9:AB9)</f>
        <v>152.85499999999999</v>
      </c>
      <c r="AC13" s="57">
        <f>SUM(AC5:AC8,AC9:AC9)</f>
        <v>1184.4250000000002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58" hidden="1" outlineLevel="2" x14ac:dyDescent="0.3">
      <c r="B14" s="55" t="s">
        <v>291</v>
      </c>
      <c r="AW14" s="8">
        <f>AW13/Z13</f>
        <v>0</v>
      </c>
      <c r="AX14" s="8">
        <f>AX13/AA13</f>
        <v>0</v>
      </c>
      <c r="AY14" s="8">
        <f>AY13/AB13</f>
        <v>0</v>
      </c>
      <c r="AZ14" s="8">
        <f>AZ13/AC13</f>
        <v>0</v>
      </c>
    </row>
    <row r="15" spans="1:58" hidden="1" outlineLevel="2" x14ac:dyDescent="0.3">
      <c r="B15" s="55" t="s">
        <v>292</v>
      </c>
      <c r="Z15" s="57">
        <f>GEOMEAN(Z5:Z8,Z9:Z9)</f>
        <v>28773.898270789607</v>
      </c>
      <c r="AA15" s="57">
        <f>GEOMEAN(AA5:AA8,AA9:AA9)</f>
        <v>88201.893411393015</v>
      </c>
      <c r="AB15" s="57">
        <f>GEOMEAN(AB5:AB8,AB9:AB9)</f>
        <v>30.258220094274549</v>
      </c>
      <c r="AC15" s="57">
        <f>GEOMEAN(AC5:AC8,AC9:AC9)</f>
        <v>234.68572492861983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58" outlineLevel="2" collapsed="1" x14ac:dyDescent="0.3">
      <c r="B16" s="55" t="s">
        <v>293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H2:H3"/>
    <mergeCell ref="I2:I3"/>
    <mergeCell ref="J2:M2"/>
    <mergeCell ref="N2:N3"/>
    <mergeCell ref="AE2:AE3"/>
    <mergeCell ref="AF2:AF3"/>
    <mergeCell ref="AG2:AJ2"/>
    <mergeCell ref="O2:O3"/>
    <mergeCell ref="P2:P3"/>
    <mergeCell ref="Q2:T2"/>
    <mergeCell ref="U2:V2"/>
    <mergeCell ref="W2:Y2"/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outlinePr summaryBelow="0"/>
  </sheetPr>
  <dimension ref="A1:BS36"/>
  <sheetViews>
    <sheetView workbookViewId="0">
      <pane xSplit="2" topLeftCell="AM1" activePane="topRight" state="frozen"/>
      <selection pane="topRight" activeCell="AQ12" sqref="AQ12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1" x14ac:dyDescent="0.3">
      <c r="A1" s="68" t="s">
        <v>526</v>
      </c>
      <c r="B1" s="68"/>
      <c r="C1" s="68"/>
      <c r="D1" s="68"/>
      <c r="E1" s="68"/>
      <c r="F1" s="68"/>
      <c r="G1" s="68"/>
      <c r="I1" s="64" t="str">
        <f>Summary!C1</f>
        <v>R5.0</v>
      </c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4"/>
      <c r="AC1" s="64"/>
      <c r="AD1" s="64"/>
      <c r="AE1" s="64"/>
      <c r="AG1" s="65" t="str">
        <f>Summary!C2</f>
        <v>tested</v>
      </c>
      <c r="AH1" s="65"/>
      <c r="AI1" s="65"/>
      <c r="AJ1" s="65"/>
      <c r="AK1" s="65"/>
      <c r="AL1" s="65"/>
      <c r="AM1" s="65"/>
      <c r="AN1" s="65"/>
      <c r="AO1" s="65"/>
      <c r="AP1" s="65"/>
      <c r="AQ1" s="65"/>
      <c r="AR1" s="65"/>
      <c r="AS1" s="65"/>
      <c r="AT1" s="65"/>
      <c r="AU1" s="65"/>
      <c r="AV1" s="65"/>
      <c r="AW1" s="65"/>
      <c r="AX1" s="65"/>
      <c r="AY1" s="65"/>
      <c r="AZ1" s="65"/>
      <c r="BA1" s="65"/>
      <c r="BB1" s="65"/>
      <c r="BC1" s="65"/>
    </row>
    <row r="2" spans="1:71" ht="30" customHeight="1" x14ac:dyDescent="0.3">
      <c r="A2" s="70" t="s">
        <v>91</v>
      </c>
      <c r="B2" s="69" t="s">
        <v>94</v>
      </c>
      <c r="C2" s="70" t="s">
        <v>97</v>
      </c>
      <c r="D2" s="69" t="s">
        <v>100</v>
      </c>
      <c r="E2" s="70" t="s">
        <v>103</v>
      </c>
      <c r="F2" s="69" t="s">
        <v>106</v>
      </c>
      <c r="G2" s="70" t="s">
        <v>109</v>
      </c>
      <c r="I2" s="69" t="s">
        <v>112</v>
      </c>
      <c r="J2" s="67" t="s">
        <v>115</v>
      </c>
      <c r="K2" s="67"/>
      <c r="L2" s="67"/>
      <c r="M2" s="67"/>
      <c r="N2" s="70" t="s">
        <v>128</v>
      </c>
      <c r="O2" s="69" t="s">
        <v>131</v>
      </c>
      <c r="P2" s="70" t="s">
        <v>22</v>
      </c>
      <c r="Q2" s="69" t="s">
        <v>24</v>
      </c>
      <c r="R2" s="70" t="s">
        <v>20</v>
      </c>
      <c r="S2" s="66" t="s">
        <v>140</v>
      </c>
      <c r="T2" s="66"/>
      <c r="U2" s="66"/>
      <c r="V2" s="66"/>
      <c r="W2" s="67" t="s">
        <v>151</v>
      </c>
      <c r="X2" s="67"/>
      <c r="Y2" s="66" t="s">
        <v>158</v>
      </c>
      <c r="Z2" s="66"/>
      <c r="AA2" s="66"/>
      <c r="AB2" s="67" t="s">
        <v>168</v>
      </c>
      <c r="AC2" s="67"/>
      <c r="AD2" s="66" t="s">
        <v>175</v>
      </c>
      <c r="AE2" s="66"/>
      <c r="AG2" s="70" t="s">
        <v>112</v>
      </c>
      <c r="AH2" s="66" t="s">
        <v>115</v>
      </c>
      <c r="AI2" s="66"/>
      <c r="AJ2" s="66"/>
      <c r="AK2" s="66"/>
      <c r="AL2" s="69" t="s">
        <v>190</v>
      </c>
      <c r="AM2" s="70" t="s">
        <v>131</v>
      </c>
      <c r="AN2" s="69" t="s">
        <v>22</v>
      </c>
      <c r="AO2" s="70" t="s">
        <v>24</v>
      </c>
      <c r="AP2" s="69" t="s">
        <v>20</v>
      </c>
      <c r="AQ2" s="67" t="s">
        <v>140</v>
      </c>
      <c r="AR2" s="67"/>
      <c r="AS2" s="67"/>
      <c r="AT2" s="67"/>
      <c r="AU2" s="66" t="s">
        <v>151</v>
      </c>
      <c r="AV2" s="66"/>
      <c r="AW2" s="67" t="s">
        <v>158</v>
      </c>
      <c r="AX2" s="67"/>
      <c r="AY2" s="67"/>
      <c r="AZ2" s="66" t="s">
        <v>168</v>
      </c>
      <c r="BA2" s="66"/>
      <c r="BB2" s="67" t="s">
        <v>175</v>
      </c>
      <c r="BC2" s="67"/>
      <c r="BE2" s="69" t="s">
        <v>227</v>
      </c>
      <c r="BF2" s="70" t="s">
        <v>230</v>
      </c>
      <c r="BG2" s="69" t="s">
        <v>230</v>
      </c>
      <c r="BI2" s="67" t="s">
        <v>235</v>
      </c>
      <c r="BJ2" s="67"/>
      <c r="BK2" s="66" t="s">
        <v>240</v>
      </c>
      <c r="BL2" s="66"/>
      <c r="BM2" s="66"/>
      <c r="BO2" s="67" t="s">
        <v>247</v>
      </c>
      <c r="BP2" s="67"/>
      <c r="BQ2" s="66" t="s">
        <v>252</v>
      </c>
      <c r="BR2" s="66"/>
      <c r="BS2" s="66"/>
    </row>
    <row r="3" spans="1:71" x14ac:dyDescent="0.3">
      <c r="A3" s="70"/>
      <c r="B3" s="69"/>
      <c r="C3" s="70"/>
      <c r="D3" s="69"/>
      <c r="E3" s="70"/>
      <c r="F3" s="69"/>
      <c r="G3" s="70"/>
      <c r="I3" s="69"/>
      <c r="J3" s="11" t="s">
        <v>116</v>
      </c>
      <c r="K3" s="11" t="s">
        <v>119</v>
      </c>
      <c r="L3" s="11" t="s">
        <v>122</v>
      </c>
      <c r="M3" s="11" t="s">
        <v>125</v>
      </c>
      <c r="N3" s="70"/>
      <c r="O3" s="69"/>
      <c r="P3" s="70"/>
      <c r="Q3" s="69"/>
      <c r="R3" s="70"/>
      <c r="S3" s="12" t="s">
        <v>116</v>
      </c>
      <c r="T3" s="12" t="s">
        <v>122</v>
      </c>
      <c r="U3" s="12" t="s">
        <v>145</v>
      </c>
      <c r="V3" s="12" t="s">
        <v>148</v>
      </c>
      <c r="W3" s="11" t="s">
        <v>152</v>
      </c>
      <c r="X3" s="11" t="s">
        <v>155</v>
      </c>
      <c r="Y3" s="12" t="s">
        <v>159</v>
      </c>
      <c r="Z3" s="12" t="s">
        <v>162</v>
      </c>
      <c r="AA3" s="12" t="s">
        <v>165</v>
      </c>
      <c r="AB3" s="11" t="s">
        <v>169</v>
      </c>
      <c r="AC3" s="11" t="s">
        <v>172</v>
      </c>
      <c r="AD3" s="12" t="s">
        <v>169</v>
      </c>
      <c r="AE3" s="12" t="s">
        <v>172</v>
      </c>
      <c r="AG3" s="70"/>
      <c r="AH3" s="12" t="s">
        <v>116</v>
      </c>
      <c r="AI3" s="12" t="s">
        <v>119</v>
      </c>
      <c r="AJ3" s="12" t="s">
        <v>122</v>
      </c>
      <c r="AK3" s="12" t="s">
        <v>125</v>
      </c>
      <c r="AL3" s="69"/>
      <c r="AM3" s="70"/>
      <c r="AN3" s="69"/>
      <c r="AO3" s="70"/>
      <c r="AP3" s="69"/>
      <c r="AQ3" s="11" t="s">
        <v>116</v>
      </c>
      <c r="AR3" s="11" t="s">
        <v>122</v>
      </c>
      <c r="AS3" s="11" t="s">
        <v>145</v>
      </c>
      <c r="AT3" s="11" t="s">
        <v>148</v>
      </c>
      <c r="AU3" s="12" t="s">
        <v>152</v>
      </c>
      <c r="AV3" s="12" t="s">
        <v>155</v>
      </c>
      <c r="AW3" s="11" t="s">
        <v>159</v>
      </c>
      <c r="AX3" s="11" t="s">
        <v>162</v>
      </c>
      <c r="AY3" s="11" t="s">
        <v>165</v>
      </c>
      <c r="AZ3" s="12" t="s">
        <v>169</v>
      </c>
      <c r="BA3" s="12" t="s">
        <v>172</v>
      </c>
      <c r="BB3" s="11" t="s">
        <v>169</v>
      </c>
      <c r="BC3" s="11" t="s">
        <v>172</v>
      </c>
      <c r="BE3" s="69"/>
      <c r="BF3" s="70"/>
      <c r="BG3" s="69"/>
      <c r="BI3" s="11" t="s">
        <v>152</v>
      </c>
      <c r="BJ3" s="11" t="s">
        <v>155</v>
      </c>
      <c r="BK3" s="12" t="s">
        <v>159</v>
      </c>
      <c r="BL3" s="12" t="s">
        <v>162</v>
      </c>
      <c r="BM3" s="12" t="s">
        <v>165</v>
      </c>
      <c r="BO3" s="11" t="s">
        <v>152</v>
      </c>
      <c r="BP3" s="11" t="s">
        <v>155</v>
      </c>
      <c r="BQ3" s="12" t="s">
        <v>159</v>
      </c>
      <c r="BR3" s="12" t="s">
        <v>162</v>
      </c>
      <c r="BS3" s="12" t="s">
        <v>165</v>
      </c>
    </row>
    <row r="4" spans="1:71" ht="123" hidden="1" x14ac:dyDescent="0.3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3" t="s">
        <v>129</v>
      </c>
      <c r="O4" s="14" t="s">
        <v>132</v>
      </c>
      <c r="P4" s="13" t="s">
        <v>134</v>
      </c>
      <c r="Q4" s="14" t="s">
        <v>136</v>
      </c>
      <c r="R4" s="13" t="s">
        <v>138</v>
      </c>
      <c r="S4" s="14" t="s">
        <v>141</v>
      </c>
      <c r="T4" s="14" t="s">
        <v>143</v>
      </c>
      <c r="U4" s="14" t="s">
        <v>146</v>
      </c>
      <c r="V4" s="14" t="s">
        <v>149</v>
      </c>
      <c r="W4" s="13" t="s">
        <v>153</v>
      </c>
      <c r="X4" s="13" t="s">
        <v>156</v>
      </c>
      <c r="Y4" s="14" t="s">
        <v>160</v>
      </c>
      <c r="Z4" s="14" t="s">
        <v>163</v>
      </c>
      <c r="AA4" s="14" t="s">
        <v>166</v>
      </c>
      <c r="AB4" s="13" t="s">
        <v>170</v>
      </c>
      <c r="AC4" s="13" t="s">
        <v>173</v>
      </c>
      <c r="AD4" s="14" t="s">
        <v>176</v>
      </c>
      <c r="AE4" s="14" t="s">
        <v>178</v>
      </c>
      <c r="AG4" s="13" t="s">
        <v>180</v>
      </c>
      <c r="AH4" s="14" t="s">
        <v>182</v>
      </c>
      <c r="AI4" s="14" t="s">
        <v>184</v>
      </c>
      <c r="AJ4" s="14" t="s">
        <v>186</v>
      </c>
      <c r="AK4" s="14" t="s">
        <v>188</v>
      </c>
      <c r="AL4" s="14" t="s">
        <v>191</v>
      </c>
      <c r="AM4" s="13" t="s">
        <v>193</v>
      </c>
      <c r="AN4" s="14" t="s">
        <v>195</v>
      </c>
      <c r="AO4" s="13" t="s">
        <v>197</v>
      </c>
      <c r="AP4" s="14" t="s">
        <v>199</v>
      </c>
      <c r="AQ4" s="13" t="s">
        <v>201</v>
      </c>
      <c r="AR4" s="13" t="s">
        <v>203</v>
      </c>
      <c r="AS4" s="13" t="s">
        <v>205</v>
      </c>
      <c r="AT4" s="13" t="s">
        <v>207</v>
      </c>
      <c r="AU4" s="14" t="s">
        <v>209</v>
      </c>
      <c r="AV4" s="14" t="s">
        <v>211</v>
      </c>
      <c r="AW4" s="13" t="s">
        <v>213</v>
      </c>
      <c r="AX4" s="13" t="s">
        <v>215</v>
      </c>
      <c r="AY4" s="13" t="s">
        <v>217</v>
      </c>
      <c r="AZ4" s="14" t="s">
        <v>219</v>
      </c>
      <c r="BA4" s="14" t="s">
        <v>221</v>
      </c>
      <c r="BB4" s="13" t="s">
        <v>223</v>
      </c>
      <c r="BC4" s="13" t="s">
        <v>225</v>
      </c>
      <c r="BE4" s="14" t="s">
        <v>228</v>
      </c>
      <c r="BF4" s="13" t="s">
        <v>231</v>
      </c>
      <c r="BG4" s="14" t="s">
        <v>233</v>
      </c>
      <c r="BI4" s="13" t="s">
        <v>236</v>
      </c>
      <c r="BJ4" s="13" t="s">
        <v>238</v>
      </c>
      <c r="BK4" s="14" t="s">
        <v>241</v>
      </c>
      <c r="BL4" s="14" t="s">
        <v>243</v>
      </c>
      <c r="BM4" s="14" t="s">
        <v>245</v>
      </c>
      <c r="BO4" s="13" t="s">
        <v>248</v>
      </c>
      <c r="BP4" s="13" t="s">
        <v>250</v>
      </c>
      <c r="BQ4" s="14" t="s">
        <v>253</v>
      </c>
      <c r="BR4" s="14" t="s">
        <v>255</v>
      </c>
      <c r="BS4" s="14" t="s">
        <v>257</v>
      </c>
    </row>
    <row r="5" spans="1:71" x14ac:dyDescent="0.3">
      <c r="A5" s="15" t="s">
        <v>265</v>
      </c>
      <c r="B5" s="15" t="s">
        <v>264</v>
      </c>
      <c r="C5" s="16" t="s">
        <v>266</v>
      </c>
      <c r="D5" s="15">
        <v>238146391</v>
      </c>
      <c r="E5" s="16">
        <v>10</v>
      </c>
      <c r="F5" s="16">
        <v>300</v>
      </c>
      <c r="G5" s="16">
        <v>30</v>
      </c>
      <c r="I5" s="17">
        <f t="shared" ref="I5:I29" si="0">IF(OR(ISBLANK(S5),ISBLANK(G5)),"·",S5*G5/F5/1000000)</f>
        <v>1.4668504</v>
      </c>
      <c r="J5" s="18">
        <f t="shared" ref="J5:J29" si="1">IF(ISBLANK(S5),"·",S5/D5)</f>
        <v>6.1594483705612824E-2</v>
      </c>
      <c r="K5" s="18">
        <f t="shared" ref="K5:K29" si="2">IF(N5="","·",N5/D5)</f>
        <v>5.0561034956015771E-2</v>
      </c>
      <c r="L5" s="18">
        <f t="shared" ref="L5:L29" si="3">IF(T5="","·",T5/D5)</f>
        <v>3.0208041237962745E-2</v>
      </c>
      <c r="M5" s="18">
        <f t="shared" ref="M5:M29" si="4">IF(ISBLANK(V5),"·",V5/D5)</f>
        <v>1.1018432775661925E-2</v>
      </c>
      <c r="N5" s="15">
        <f t="shared" ref="N5:N29" si="5">IF(OR(ISBLANK(T5),ISBLANK(U5)),"",T5+U5)</f>
        <v>12040928</v>
      </c>
      <c r="O5" s="18">
        <f t="shared" ref="O5:O29" si="6">IF(ISBLANK(S5),"·",S5/P5)</f>
        <v>6.7138310057634668E-2</v>
      </c>
      <c r="P5" s="19">
        <v>218481877</v>
      </c>
      <c r="Q5" s="19">
        <v>728272.92333333299</v>
      </c>
      <c r="R5" s="19">
        <v>16448.07</v>
      </c>
      <c r="S5" s="20">
        <v>14668504</v>
      </c>
      <c r="T5" s="20">
        <v>7193936</v>
      </c>
      <c r="U5" s="20">
        <v>4846992</v>
      </c>
      <c r="V5" s="20">
        <v>2624000</v>
      </c>
      <c r="W5" s="21">
        <v>66.525934333333296</v>
      </c>
      <c r="X5" s="21">
        <v>68.343007</v>
      </c>
      <c r="Y5" s="21">
        <v>31.5151896666666</v>
      </c>
      <c r="Z5" s="21">
        <v>43.845202999999998</v>
      </c>
      <c r="AA5" s="21">
        <v>43.391144333333301</v>
      </c>
      <c r="AB5" s="22">
        <v>38045.5</v>
      </c>
      <c r="AC5" s="22">
        <v>47860.7</v>
      </c>
      <c r="AD5" s="22">
        <v>58.222999999999999</v>
      </c>
      <c r="AE5" s="22">
        <v>228.15899999999999</v>
      </c>
      <c r="AG5" s="17" t="str">
        <f t="shared" ref="AG5:AG29" si="7">IF(OR(ISBLANK(AQ5),ISBLANK(G5)),"·",AQ5*G5/F5/1000000)</f>
        <v>·</v>
      </c>
      <c r="AH5" s="18" t="str">
        <f t="shared" ref="AH5:AH29" si="8">IF(ISBLANK(AQ5),"·",AQ5/D5)</f>
        <v>·</v>
      </c>
      <c r="AI5" s="18" t="str">
        <f t="shared" ref="AI5:AI29" si="9">IF(AL5="","·",AL5/D5)</f>
        <v>·</v>
      </c>
      <c r="AJ5" s="18" t="str">
        <f t="shared" ref="AJ5:AJ29" si="10">IF(AR5="","·",AR5/D5)</f>
        <v>·</v>
      </c>
      <c r="AK5" s="18" t="str">
        <f t="shared" ref="AK5:AK29" si="11">IF(ISBLANK(AT5),"·",AT5/D5)</f>
        <v>·</v>
      </c>
      <c r="AL5" s="15" t="str">
        <f t="shared" ref="AL5:AL29" si="12">IF(OR(ISBLANK(AR5),ISBLANK(AS5)),"",AR5+AS5)</f>
        <v/>
      </c>
      <c r="AM5" s="18" t="str">
        <f t="shared" ref="AM5:AM29" si="13">IF(ISBLANK(AQ5),"·",AQ5/AN5)</f>
        <v>·</v>
      </c>
      <c r="AN5" s="19"/>
      <c r="AO5" s="19"/>
      <c r="AP5" s="19"/>
      <c r="AQ5" s="20"/>
      <c r="AR5" s="20"/>
      <c r="AS5" s="20"/>
      <c r="AT5" s="20"/>
      <c r="AU5" s="21"/>
      <c r="AV5" s="21"/>
      <c r="AW5" s="21"/>
      <c r="AX5" s="21"/>
      <c r="AY5" s="21"/>
      <c r="AZ5" s="22"/>
      <c r="BA5" s="22"/>
      <c r="BB5" s="22"/>
      <c r="BC5" s="22"/>
      <c r="BE5" s="23" t="e">
        <f t="shared" ref="BE5:BE29" si="14">(AP5/AO5) - (R5/Q5)</f>
        <v>#DIV/0!</v>
      </c>
      <c r="BF5" s="23" t="e">
        <f t="shared" ref="BF5:BF29" si="15">(AL5/AQ5) - (N5/S5)</f>
        <v>#VALUE!</v>
      </c>
      <c r="BG5" s="23" t="e">
        <f t="array" ref="BG5">AVERAGE(AL5:AL9/AQ5:AQ9) - AVERAGE(N5:N9/S5:S9)</f>
        <v>#VALUE!</v>
      </c>
      <c r="BI5" s="24" t="str">
        <f>IF( OR(ISBLANK(N5:N9),ISBLANK(AL5:AL9), ISBLANK(W5:W9),ISBLANK(AU5:AU9)), "·", bdRateExtend( N5:N9,W5:W9, AL5:AL9,AU5:AU9))</f>
        <v>·</v>
      </c>
      <c r="BJ5" s="24" t="str">
        <f>IF( OR(ISBLANK(N5:N9),ISBLANK(AL5:AL9), ISBLANK(X5:X9),ISBLANK(AV5:AV9)), "·", bdRateExtend( N5:N9,X5:X9, AL5:AL9,AV5:AV9))</f>
        <v>·</v>
      </c>
      <c r="BK5" s="24" t="str">
        <f>IF( OR(ISBLANK(V5:V9),ISBLANK(AT5:AT9), ISBLANK(Y5:Y9),ISBLANK(AW5:AW9)), "·", bdRateExtend( V5:V9,Y5:Y9, AT5:AT9,AW5:AW9))</f>
        <v>·</v>
      </c>
      <c r="BL5" s="24" t="str">
        <f>IF( OR(ISBLANK(V5:V9),ISBLANK(AT5:AT9), ISBLANK(Z5:Z9),ISBLANK(AX5:AX9)), "·", bdRateExtend( V5:V9,Z5:Z9, AT5:AT9,AX5:AX9))</f>
        <v>·</v>
      </c>
      <c r="BM5" s="24" t="str">
        <f>IF( OR(ISBLANK(V5:V9),ISBLANK(AT5:AT9), ISBLANK(AA5:AA9),ISBLANK(AY5:AY9)), "·", bdRateExtend( V5:V9,AA5:AA9, AT5:AT9,AY5:AY9))</f>
        <v>·</v>
      </c>
      <c r="BO5" s="24" t="str">
        <f>IF( OR(ISBLANK(S5:S9),ISBLANK(AQ5:AQ9), ISBLANK(W5:W9),ISBLANK(AU5:AU9)), "·", bdRateExtend( S5:S9,W5:W9, AQ5:AQ9,AU5:AU9))</f>
        <v>·</v>
      </c>
      <c r="BP5" s="24" t="str">
        <f>IF( OR(ISBLANK(S5:S9),ISBLANK(AQ5:AQ9), ISBLANK(X5:X9),ISBLANK(AV5:AV9)), "·", bdRateExtend( S5:S9,X5:X9, AQ5:AQ9,AV5:AV9))</f>
        <v>·</v>
      </c>
      <c r="BQ5" s="24" t="str">
        <f>IF( OR(ISBLANK(S5:S9),ISBLANK(AQ5:AQ9), ISBLANK(Y5:Y9),ISBLANK(AW5:AW9)), "·", bdRateExtend( S5:S9,Y5:Y9, AQ5:AQ9,AW5:AW9))</f>
        <v>·</v>
      </c>
      <c r="BR5" s="24" t="str">
        <f>IF( OR(ISBLANK(S5:S9),ISBLANK(AQ5:AQ9), ISBLANK(Z5:Z9),ISBLANK(AX5:AX9)), "·", bdRateExtend( S5:S9,Z5:Z9, AQ5:AQ9,AX5:AX9))</f>
        <v>·</v>
      </c>
      <c r="BS5" s="24" t="str">
        <f>IF( OR(ISBLANK(S5:S9),ISBLANK(AQ5:AQ9), ISBLANK(AA5:AA9),ISBLANK(AY5:AY9)), "·", bdRateExtend( S5:S9,AA5:AA9, AQ5:AQ9,AY5:AY9))</f>
        <v>·</v>
      </c>
    </row>
    <row r="6" spans="1:71" outlineLevel="1" x14ac:dyDescent="0.3">
      <c r="A6" s="25"/>
      <c r="B6" s="25" t="s">
        <v>264</v>
      </c>
      <c r="C6" s="26" t="s">
        <v>267</v>
      </c>
      <c r="D6" s="25">
        <v>238146391</v>
      </c>
      <c r="E6" s="26">
        <v>10</v>
      </c>
      <c r="F6" s="26">
        <v>300</v>
      </c>
      <c r="G6" s="26">
        <v>30</v>
      </c>
      <c r="I6" s="27">
        <f t="shared" si="0"/>
        <v>1.9181368000000001</v>
      </c>
      <c r="J6" s="28">
        <f t="shared" si="1"/>
        <v>8.0544441255042995E-2</v>
      </c>
      <c r="K6" s="28">
        <f t="shared" si="2"/>
        <v>6.1117466189105504E-2</v>
      </c>
      <c r="L6" s="28">
        <f t="shared" si="3"/>
        <v>4.0764472471052478E-2</v>
      </c>
      <c r="M6" s="28">
        <f t="shared" si="4"/>
        <v>1.9411959092002364E-2</v>
      </c>
      <c r="N6" s="25">
        <f t="shared" si="5"/>
        <v>14554904</v>
      </c>
      <c r="O6" s="28">
        <f t="shared" si="6"/>
        <v>8.1848488037676775E-2</v>
      </c>
      <c r="P6" s="29">
        <v>234352136</v>
      </c>
      <c r="Q6" s="29">
        <v>781173.78666666697</v>
      </c>
      <c r="R6" s="29">
        <v>20742.356666666699</v>
      </c>
      <c r="S6" s="30">
        <v>19181368</v>
      </c>
      <c r="T6" s="30">
        <v>9707912</v>
      </c>
      <c r="U6" s="30">
        <v>4846992</v>
      </c>
      <c r="V6" s="30">
        <v>4622888</v>
      </c>
      <c r="W6" s="31">
        <v>68.284395666666597</v>
      </c>
      <c r="X6" s="31">
        <v>70.3232656666666</v>
      </c>
      <c r="Y6" s="31">
        <v>33.592535666666699</v>
      </c>
      <c r="Z6" s="31">
        <v>45.210101999999999</v>
      </c>
      <c r="AA6" s="31">
        <v>44.858661333333302</v>
      </c>
      <c r="AB6" s="32">
        <v>37256.199999999997</v>
      </c>
      <c r="AC6" s="32">
        <v>51635.3</v>
      </c>
      <c r="AD6" s="32">
        <v>64.991</v>
      </c>
      <c r="AE6" s="32">
        <v>243.66200000000001</v>
      </c>
      <c r="AG6" s="27" t="str">
        <f t="shared" si="7"/>
        <v>·</v>
      </c>
      <c r="AH6" s="28" t="str">
        <f t="shared" si="8"/>
        <v>·</v>
      </c>
      <c r="AI6" s="28" t="str">
        <f t="shared" si="9"/>
        <v>·</v>
      </c>
      <c r="AJ6" s="28" t="str">
        <f t="shared" si="10"/>
        <v>·</v>
      </c>
      <c r="AK6" s="28" t="str">
        <f t="shared" si="11"/>
        <v>·</v>
      </c>
      <c r="AL6" s="25" t="str">
        <f t="shared" si="12"/>
        <v/>
      </c>
      <c r="AM6" s="28" t="str">
        <f t="shared" si="13"/>
        <v>·</v>
      </c>
      <c r="AN6" s="29"/>
      <c r="AO6" s="29"/>
      <c r="AP6" s="29"/>
      <c r="AQ6" s="30"/>
      <c r="AR6" s="30"/>
      <c r="AS6" s="30"/>
      <c r="AT6" s="30"/>
      <c r="AU6" s="31"/>
      <c r="AV6" s="31"/>
      <c r="AW6" s="31"/>
      <c r="AX6" s="31"/>
      <c r="AY6" s="31"/>
      <c r="AZ6" s="32"/>
      <c r="BA6" s="32"/>
      <c r="BB6" s="32"/>
      <c r="BC6" s="32"/>
      <c r="BE6" s="33" t="e">
        <f t="shared" si="14"/>
        <v>#DIV/0!</v>
      </c>
      <c r="BF6" s="33" t="e">
        <f t="shared" si="15"/>
        <v>#VALUE!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</row>
    <row r="7" spans="1:71" outlineLevel="1" x14ac:dyDescent="0.3">
      <c r="A7" s="15"/>
      <c r="B7" s="15" t="s">
        <v>264</v>
      </c>
      <c r="C7" s="16" t="s">
        <v>268</v>
      </c>
      <c r="D7" s="15">
        <v>238146391</v>
      </c>
      <c r="E7" s="16">
        <v>10</v>
      </c>
      <c r="F7" s="16">
        <v>300</v>
      </c>
      <c r="G7" s="16">
        <v>30</v>
      </c>
      <c r="I7" s="17">
        <f t="shared" si="0"/>
        <v>2.6828479999999999</v>
      </c>
      <c r="J7" s="18">
        <f t="shared" si="1"/>
        <v>0.11265541286325854</v>
      </c>
      <c r="K7" s="18">
        <f t="shared" si="2"/>
        <v>7.561399492297996E-2</v>
      </c>
      <c r="L7" s="18">
        <f t="shared" si="3"/>
        <v>5.5261001204926934E-2</v>
      </c>
      <c r="M7" s="18">
        <f t="shared" si="4"/>
        <v>3.7026401966343464E-2</v>
      </c>
      <c r="N7" s="15">
        <f t="shared" si="5"/>
        <v>18007200</v>
      </c>
      <c r="O7" s="18">
        <f t="shared" si="6"/>
        <v>0.11305410373913143</v>
      </c>
      <c r="P7" s="19">
        <v>237306556</v>
      </c>
      <c r="Q7" s="19">
        <v>791021.85333333304</v>
      </c>
      <c r="R7" s="19">
        <v>22217.72</v>
      </c>
      <c r="S7" s="20">
        <v>26828480</v>
      </c>
      <c r="T7" s="20">
        <v>13160208</v>
      </c>
      <c r="U7" s="20">
        <v>4846992</v>
      </c>
      <c r="V7" s="20">
        <v>8817704</v>
      </c>
      <c r="W7" s="21">
        <v>69.620647666666699</v>
      </c>
      <c r="X7" s="21">
        <v>71.985482000000005</v>
      </c>
      <c r="Y7" s="21">
        <v>36.027650000000001</v>
      </c>
      <c r="Z7" s="21">
        <v>46.569063333333297</v>
      </c>
      <c r="AA7" s="21">
        <v>46.318889333333303</v>
      </c>
      <c r="AB7" s="22">
        <v>37437.1</v>
      </c>
      <c r="AC7" s="22">
        <v>54195.1</v>
      </c>
      <c r="AD7" s="22">
        <v>61.871000000000002</v>
      </c>
      <c r="AE7" s="22">
        <v>240.77500000000001</v>
      </c>
      <c r="AG7" s="17" t="str">
        <f t="shared" si="7"/>
        <v>·</v>
      </c>
      <c r="AH7" s="18" t="str">
        <f t="shared" si="8"/>
        <v>·</v>
      </c>
      <c r="AI7" s="18" t="str">
        <f t="shared" si="9"/>
        <v>·</v>
      </c>
      <c r="AJ7" s="18" t="str">
        <f t="shared" si="10"/>
        <v>·</v>
      </c>
      <c r="AK7" s="18" t="str">
        <f t="shared" si="11"/>
        <v>·</v>
      </c>
      <c r="AL7" s="15" t="str">
        <f t="shared" si="12"/>
        <v/>
      </c>
      <c r="AM7" s="18" t="str">
        <f t="shared" si="13"/>
        <v>·</v>
      </c>
      <c r="AN7" s="19"/>
      <c r="AO7" s="19"/>
      <c r="AP7" s="19"/>
      <c r="AQ7" s="20"/>
      <c r="AR7" s="20"/>
      <c r="AS7" s="20"/>
      <c r="AT7" s="20"/>
      <c r="AU7" s="21"/>
      <c r="AV7" s="21"/>
      <c r="AW7" s="21"/>
      <c r="AX7" s="21"/>
      <c r="AY7" s="21"/>
      <c r="AZ7" s="22"/>
      <c r="BA7" s="22"/>
      <c r="BB7" s="22"/>
      <c r="BC7" s="22"/>
      <c r="BE7" s="23" t="e">
        <f t="shared" si="14"/>
        <v>#DIV/0!</v>
      </c>
      <c r="BF7" s="23" t="e">
        <f t="shared" si="15"/>
        <v>#VALUE!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</row>
    <row r="8" spans="1:71" outlineLevel="1" x14ac:dyDescent="0.3">
      <c r="A8" s="25"/>
      <c r="B8" s="25" t="s">
        <v>264</v>
      </c>
      <c r="C8" s="26" t="s">
        <v>269</v>
      </c>
      <c r="D8" s="25">
        <v>238146391</v>
      </c>
      <c r="E8" s="26">
        <v>10</v>
      </c>
      <c r="F8" s="26">
        <v>300</v>
      </c>
      <c r="G8" s="26">
        <v>30</v>
      </c>
      <c r="I8" s="27">
        <f t="shared" si="0"/>
        <v>4.3541368</v>
      </c>
      <c r="J8" s="28">
        <f t="shared" si="1"/>
        <v>0.18283446504129469</v>
      </c>
      <c r="K8" s="28">
        <f t="shared" si="2"/>
        <v>0.10413883618332893</v>
      </c>
      <c r="L8" s="28">
        <f t="shared" si="3"/>
        <v>8.37858424652759E-2</v>
      </c>
      <c r="M8" s="28">
        <f t="shared" si="4"/>
        <v>7.8680612884030651E-2</v>
      </c>
      <c r="N8" s="25">
        <f t="shared" si="5"/>
        <v>24800288</v>
      </c>
      <c r="O8" s="28">
        <f t="shared" si="6"/>
        <v>0.17557343753320376</v>
      </c>
      <c r="P8" s="29">
        <v>247995190</v>
      </c>
      <c r="Q8" s="29">
        <v>826650.63333333295</v>
      </c>
      <c r="R8" s="29">
        <v>25866.2633333333</v>
      </c>
      <c r="S8" s="30">
        <v>43541368</v>
      </c>
      <c r="T8" s="30">
        <v>19953296</v>
      </c>
      <c r="U8" s="30">
        <v>4846992</v>
      </c>
      <c r="V8" s="30">
        <v>18737504</v>
      </c>
      <c r="W8" s="31">
        <v>70.651809333333304</v>
      </c>
      <c r="X8" s="31">
        <v>73.208480666666702</v>
      </c>
      <c r="Y8" s="31">
        <v>38.5221356666666</v>
      </c>
      <c r="Z8" s="31">
        <v>47.856472666666598</v>
      </c>
      <c r="AA8" s="31">
        <v>47.8167483333334</v>
      </c>
      <c r="AB8" s="32">
        <v>37925.199999999997</v>
      </c>
      <c r="AC8" s="32">
        <v>59266.9</v>
      </c>
      <c r="AD8" s="32">
        <v>63.914999999999999</v>
      </c>
      <c r="AE8" s="32">
        <v>247.785</v>
      </c>
      <c r="AG8" s="27" t="str">
        <f t="shared" si="7"/>
        <v>·</v>
      </c>
      <c r="AH8" s="28" t="str">
        <f t="shared" si="8"/>
        <v>·</v>
      </c>
      <c r="AI8" s="28" t="str">
        <f t="shared" si="9"/>
        <v>·</v>
      </c>
      <c r="AJ8" s="28" t="str">
        <f t="shared" si="10"/>
        <v>·</v>
      </c>
      <c r="AK8" s="28" t="str">
        <f t="shared" si="11"/>
        <v>·</v>
      </c>
      <c r="AL8" s="25" t="str">
        <f t="shared" si="12"/>
        <v/>
      </c>
      <c r="AM8" s="28" t="str">
        <f t="shared" si="13"/>
        <v>·</v>
      </c>
      <c r="AN8" s="29"/>
      <c r="AO8" s="29"/>
      <c r="AP8" s="29"/>
      <c r="AQ8" s="30"/>
      <c r="AR8" s="30"/>
      <c r="AS8" s="30"/>
      <c r="AT8" s="30"/>
      <c r="AU8" s="31"/>
      <c r="AV8" s="31"/>
      <c r="AW8" s="31"/>
      <c r="AX8" s="31"/>
      <c r="AY8" s="31"/>
      <c r="AZ8" s="32"/>
      <c r="BA8" s="32"/>
      <c r="BB8" s="32"/>
      <c r="BC8" s="32"/>
      <c r="BE8" s="33" t="e">
        <f t="shared" si="14"/>
        <v>#DIV/0!</v>
      </c>
      <c r="BF8" s="33" t="e">
        <f t="shared" si="15"/>
        <v>#VALUE!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</row>
    <row r="9" spans="1:71" outlineLevel="1" x14ac:dyDescent="0.3">
      <c r="A9" s="15"/>
      <c r="B9" s="35" t="s">
        <v>264</v>
      </c>
      <c r="C9" s="36" t="s">
        <v>270</v>
      </c>
      <c r="D9" s="35">
        <v>238146391</v>
      </c>
      <c r="E9" s="36">
        <v>10</v>
      </c>
      <c r="F9" s="36">
        <v>300</v>
      </c>
      <c r="G9" s="36">
        <v>30</v>
      </c>
      <c r="I9" s="37">
        <f t="shared" si="0"/>
        <v>8.8925288000000009</v>
      </c>
      <c r="J9" s="38">
        <f t="shared" si="1"/>
        <v>0.37340598623642379</v>
      </c>
      <c r="K9" s="38">
        <f t="shared" si="2"/>
        <v>0.17585069345014764</v>
      </c>
      <c r="L9" s="38">
        <f t="shared" si="3"/>
        <v>0.13449374506792336</v>
      </c>
      <c r="M9" s="38">
        <f t="shared" si="4"/>
        <v>0.19754027681234101</v>
      </c>
      <c r="N9" s="35">
        <f t="shared" si="5"/>
        <v>41878208</v>
      </c>
      <c r="O9" s="38">
        <f t="shared" si="6"/>
        <v>0.37343555575559778</v>
      </c>
      <c r="P9" s="39">
        <v>238127534</v>
      </c>
      <c r="Q9" s="39">
        <v>793758.44666666701</v>
      </c>
      <c r="R9" s="39">
        <v>10983.33</v>
      </c>
      <c r="S9" s="40">
        <v>88925288</v>
      </c>
      <c r="T9" s="40">
        <v>32029200</v>
      </c>
      <c r="U9" s="40">
        <v>9849008</v>
      </c>
      <c r="V9" s="40">
        <v>47043504</v>
      </c>
      <c r="W9" s="41">
        <v>71.906420666666705</v>
      </c>
      <c r="X9" s="41">
        <v>75.172364000000002</v>
      </c>
      <c r="Y9" s="41">
        <v>41.074157</v>
      </c>
      <c r="Z9" s="41">
        <v>49.382506333333403</v>
      </c>
      <c r="AA9" s="41">
        <v>49.4664723333333</v>
      </c>
      <c r="AB9" s="42">
        <v>37749.199999999997</v>
      </c>
      <c r="AC9" s="42">
        <v>65049.9</v>
      </c>
      <c r="AD9" s="42">
        <v>61.231000000000002</v>
      </c>
      <c r="AE9" s="42">
        <v>258.71600000000001</v>
      </c>
      <c r="AG9" s="37" t="str">
        <f t="shared" si="7"/>
        <v>·</v>
      </c>
      <c r="AH9" s="38" t="str">
        <f t="shared" si="8"/>
        <v>·</v>
      </c>
      <c r="AI9" s="38" t="str">
        <f t="shared" si="9"/>
        <v>·</v>
      </c>
      <c r="AJ9" s="38" t="str">
        <f t="shared" si="10"/>
        <v>·</v>
      </c>
      <c r="AK9" s="38" t="str">
        <f t="shared" si="11"/>
        <v>·</v>
      </c>
      <c r="AL9" s="35" t="str">
        <f t="shared" si="12"/>
        <v/>
      </c>
      <c r="AM9" s="38" t="str">
        <f t="shared" si="13"/>
        <v>·</v>
      </c>
      <c r="AN9" s="39"/>
      <c r="AO9" s="39"/>
      <c r="AP9" s="39"/>
      <c r="AQ9" s="40"/>
      <c r="AR9" s="40"/>
      <c r="AS9" s="40"/>
      <c r="AT9" s="40"/>
      <c r="AU9" s="41"/>
      <c r="AV9" s="41"/>
      <c r="AW9" s="41"/>
      <c r="AX9" s="41"/>
      <c r="AY9" s="41"/>
      <c r="AZ9" s="42"/>
      <c r="BA9" s="42"/>
      <c r="BB9" s="42"/>
      <c r="BC9" s="42"/>
      <c r="BE9" s="43" t="e">
        <f t="shared" si="14"/>
        <v>#DIV/0!</v>
      </c>
      <c r="BF9" s="43" t="e">
        <f t="shared" si="15"/>
        <v>#VALUE!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</row>
    <row r="10" spans="1:71" x14ac:dyDescent="0.3">
      <c r="A10" s="25"/>
      <c r="B10" s="25" t="s">
        <v>273</v>
      </c>
      <c r="C10" s="26" t="s">
        <v>266</v>
      </c>
      <c r="D10" s="25">
        <v>218121242</v>
      </c>
      <c r="E10" s="26">
        <v>10</v>
      </c>
      <c r="F10" s="26">
        <v>300</v>
      </c>
      <c r="G10" s="26">
        <v>30</v>
      </c>
      <c r="I10" s="27">
        <f t="shared" si="0"/>
        <v>2.2713072000000003</v>
      </c>
      <c r="J10" s="28">
        <f t="shared" si="1"/>
        <v>0.10413049087626229</v>
      </c>
      <c r="K10" s="28">
        <f t="shared" si="2"/>
        <v>7.5653741234427779E-2</v>
      </c>
      <c r="L10" s="28">
        <f t="shared" si="3"/>
        <v>4.1192650095032923E-2</v>
      </c>
      <c r="M10" s="28">
        <f t="shared" si="4"/>
        <v>2.8460355090037495E-2</v>
      </c>
      <c r="N10" s="25">
        <f t="shared" si="5"/>
        <v>16501688</v>
      </c>
      <c r="O10" s="28">
        <f t="shared" si="6"/>
        <v>0.11212641646900949</v>
      </c>
      <c r="P10" s="29">
        <v>202566645</v>
      </c>
      <c r="Q10" s="29">
        <v>675222.15</v>
      </c>
      <c r="R10" s="29">
        <v>21236.5</v>
      </c>
      <c r="S10" s="30">
        <v>22713072</v>
      </c>
      <c r="T10" s="30">
        <v>8984992</v>
      </c>
      <c r="U10" s="30">
        <v>7516696</v>
      </c>
      <c r="V10" s="30">
        <v>6207808</v>
      </c>
      <c r="W10" s="31">
        <v>65.918610666666694</v>
      </c>
      <c r="X10" s="31">
        <v>67.7252583333334</v>
      </c>
      <c r="Y10" s="31">
        <v>30.932804333333301</v>
      </c>
      <c r="Z10" s="31">
        <v>38.521909666666602</v>
      </c>
      <c r="AA10" s="31">
        <v>29.938303999999999</v>
      </c>
      <c r="AB10" s="32">
        <v>39795.4</v>
      </c>
      <c r="AC10" s="32">
        <v>55605.2</v>
      </c>
      <c r="AD10" s="32">
        <v>56.338000000000001</v>
      </c>
      <c r="AE10" s="32">
        <v>245.18299999999999</v>
      </c>
      <c r="AG10" s="27" t="str">
        <f t="shared" si="7"/>
        <v>·</v>
      </c>
      <c r="AH10" s="28" t="str">
        <f t="shared" si="8"/>
        <v>·</v>
      </c>
      <c r="AI10" s="28" t="str">
        <f t="shared" si="9"/>
        <v>·</v>
      </c>
      <c r="AJ10" s="28" t="str">
        <f t="shared" si="10"/>
        <v>·</v>
      </c>
      <c r="AK10" s="28" t="str">
        <f t="shared" si="11"/>
        <v>·</v>
      </c>
      <c r="AL10" s="25" t="str">
        <f t="shared" si="12"/>
        <v/>
      </c>
      <c r="AM10" s="28" t="str">
        <f t="shared" si="13"/>
        <v>·</v>
      </c>
      <c r="AN10" s="29"/>
      <c r="AO10" s="29"/>
      <c r="AP10" s="29"/>
      <c r="AQ10" s="30"/>
      <c r="AR10" s="30"/>
      <c r="AS10" s="30"/>
      <c r="AT10" s="30"/>
      <c r="AU10" s="31"/>
      <c r="AV10" s="31"/>
      <c r="AW10" s="31"/>
      <c r="AX10" s="31"/>
      <c r="AY10" s="31"/>
      <c r="AZ10" s="32"/>
      <c r="BA10" s="32"/>
      <c r="BB10" s="32"/>
      <c r="BC10" s="32"/>
      <c r="BE10" s="33" t="e">
        <f t="shared" si="14"/>
        <v>#DIV/0!</v>
      </c>
      <c r="BF10" s="33" t="e">
        <f t="shared" si="15"/>
        <v>#VALUE!</v>
      </c>
      <c r="BG10" s="33" t="e">
        <f t="array" ref="BG10">AVERAGE(AL10:AL14/AQ10:AQ14) - AVERAGE(N10:N14/S10:S14)</f>
        <v>#VALUE!</v>
      </c>
      <c r="BI10" s="34" t="str">
        <f>IF( OR(ISBLANK(N10:N14),ISBLANK(AL10:AL14), ISBLANK(W10:W14),ISBLANK(AU10:AU14)), "·", bdRateExtend( N10:N14,W10:W14, AL10:AL14,AU10:AU14))</f>
        <v>·</v>
      </c>
      <c r="BJ10" s="34" t="str">
        <f>IF( OR(ISBLANK(N10:N14),ISBLANK(AL10:AL14), ISBLANK(X10:X14),ISBLANK(AV10:AV14)), "·", bdRateExtend( N10:N14,X10:X14, AL10:AL14,AV10:AV14))</f>
        <v>·</v>
      </c>
      <c r="BK10" s="34" t="str">
        <f>IF( OR(ISBLANK(V10:V14),ISBLANK(AT10:AT14), ISBLANK(Y10:Y14),ISBLANK(AW10:AW14)), "·", bdRateExtend( V10:V14,Y10:Y14, AT10:AT14,AW10:AW14))</f>
        <v>·</v>
      </c>
      <c r="BL10" s="34" t="str">
        <f>IF( OR(ISBLANK(V10:V14),ISBLANK(AT10:AT14), ISBLANK(Z10:Z14),ISBLANK(AX10:AX14)), "·", bdRateExtend( V10:V14,Z10:Z14, AT10:AT14,AX10:AX14))</f>
        <v>·</v>
      </c>
      <c r="BM10" s="34" t="str">
        <f>IF( OR(ISBLANK(V10:V14),ISBLANK(AT10:AT14), ISBLANK(AA10:AA14),ISBLANK(AY10:AY14)), "·", bdRateExtend( V10:V14,AA10:AA14, AT10:AT14,AY10:AY14))</f>
        <v>·</v>
      </c>
      <c r="BO10" s="34" t="str">
        <f>IF( OR(ISBLANK(S10:S14),ISBLANK(AQ10:AQ14), ISBLANK(W10:W14),ISBLANK(AU10:AU14)), "·", bdRateExtend( S10:S14,W10:W14, AQ10:AQ14,AU10:AU14))</f>
        <v>·</v>
      </c>
      <c r="BP10" s="34" t="str">
        <f>IF( OR(ISBLANK(S10:S14),ISBLANK(AQ10:AQ14), ISBLANK(X10:X14),ISBLANK(AV10:AV14)), "·", bdRateExtend( S10:S14,X10:X14, AQ10:AQ14,AV10:AV14))</f>
        <v>·</v>
      </c>
      <c r="BQ10" s="34" t="str">
        <f>IF( OR(ISBLANK(S10:S14),ISBLANK(AQ10:AQ14), ISBLANK(Y10:Y14),ISBLANK(AW10:AW14)), "·", bdRateExtend( S10:S14,Y10:Y14, AQ10:AQ14,AW10:AW14))</f>
        <v>·</v>
      </c>
      <c r="BR10" s="34" t="str">
        <f>IF( OR(ISBLANK(S10:S14),ISBLANK(AQ10:AQ14), ISBLANK(Z10:Z14),ISBLANK(AX10:AX14)), "·", bdRateExtend( S10:S14,Z10:Z14, AQ10:AQ14,AX10:AX14))</f>
        <v>·</v>
      </c>
      <c r="BS10" s="34" t="str">
        <f>IF( OR(ISBLANK(S10:S14),ISBLANK(AQ10:AQ14), ISBLANK(AA10:AA14),ISBLANK(AY10:AY14)), "·", bdRateExtend( S10:S14,AA10:AA14, AQ10:AQ14,AY10:AY14))</f>
        <v>·</v>
      </c>
    </row>
    <row r="11" spans="1:71" outlineLevel="1" x14ac:dyDescent="0.3">
      <c r="A11" s="15"/>
      <c r="B11" s="15" t="s">
        <v>273</v>
      </c>
      <c r="C11" s="16" t="s">
        <v>267</v>
      </c>
      <c r="D11" s="15">
        <v>218121242</v>
      </c>
      <c r="E11" s="16">
        <v>10</v>
      </c>
      <c r="F11" s="16">
        <v>300</v>
      </c>
      <c r="G11" s="16">
        <v>30</v>
      </c>
      <c r="I11" s="17">
        <f t="shared" si="0"/>
        <v>3.0703119999999999</v>
      </c>
      <c r="J11" s="18">
        <f t="shared" si="1"/>
        <v>0.14076171453305772</v>
      </c>
      <c r="K11" s="18">
        <f t="shared" si="2"/>
        <v>9.1282737148544207E-2</v>
      </c>
      <c r="L11" s="18">
        <f t="shared" si="3"/>
        <v>5.6821646009149351E-2</v>
      </c>
      <c r="M11" s="18">
        <f t="shared" si="4"/>
        <v>4.9462582832716491E-2</v>
      </c>
      <c r="N11" s="15">
        <f t="shared" si="5"/>
        <v>19910704</v>
      </c>
      <c r="O11" s="18">
        <f t="shared" si="6"/>
        <v>0.14181198978621415</v>
      </c>
      <c r="P11" s="19">
        <v>216505812</v>
      </c>
      <c r="Q11" s="19">
        <v>721686.04</v>
      </c>
      <c r="R11" s="19">
        <v>26882.883333333299</v>
      </c>
      <c r="S11" s="20">
        <v>30703120</v>
      </c>
      <c r="T11" s="20">
        <v>12394008</v>
      </c>
      <c r="U11" s="20">
        <v>7516696</v>
      </c>
      <c r="V11" s="20">
        <v>10788840</v>
      </c>
      <c r="W11" s="21">
        <v>67.612538000000001</v>
      </c>
      <c r="X11" s="21">
        <v>69.642830666666697</v>
      </c>
      <c r="Y11" s="21">
        <v>32.783872000000002</v>
      </c>
      <c r="Z11" s="21">
        <v>39.631552333333303</v>
      </c>
      <c r="AA11" s="21">
        <v>32.212582333333401</v>
      </c>
      <c r="AB11" s="22">
        <v>39351.300000000003</v>
      </c>
      <c r="AC11" s="22">
        <v>59413.9</v>
      </c>
      <c r="AD11" s="22">
        <v>60.29</v>
      </c>
      <c r="AE11" s="22">
        <v>260.83199999999999</v>
      </c>
      <c r="AG11" s="17" t="str">
        <f t="shared" si="7"/>
        <v>·</v>
      </c>
      <c r="AH11" s="18" t="str">
        <f t="shared" si="8"/>
        <v>·</v>
      </c>
      <c r="AI11" s="18" t="str">
        <f t="shared" si="9"/>
        <v>·</v>
      </c>
      <c r="AJ11" s="18" t="str">
        <f t="shared" si="10"/>
        <v>·</v>
      </c>
      <c r="AK11" s="18" t="str">
        <f t="shared" si="11"/>
        <v>·</v>
      </c>
      <c r="AL11" s="15" t="str">
        <f t="shared" si="12"/>
        <v/>
      </c>
      <c r="AM11" s="18" t="str">
        <f t="shared" si="13"/>
        <v>·</v>
      </c>
      <c r="AN11" s="19"/>
      <c r="AO11" s="19"/>
      <c r="AP11" s="19"/>
      <c r="AQ11" s="20"/>
      <c r="AR11" s="20"/>
      <c r="AS11" s="20"/>
      <c r="AT11" s="20"/>
      <c r="AU11" s="21"/>
      <c r="AV11" s="21"/>
      <c r="AW11" s="21"/>
      <c r="AX11" s="21"/>
      <c r="AY11" s="21"/>
      <c r="AZ11" s="22"/>
      <c r="BA11" s="22"/>
      <c r="BB11" s="22"/>
      <c r="BC11" s="22"/>
      <c r="BE11" s="23" t="e">
        <f t="shared" si="14"/>
        <v>#DIV/0!</v>
      </c>
      <c r="BF11" s="23" t="e">
        <f t="shared" si="15"/>
        <v>#VALUE!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</row>
    <row r="12" spans="1:71" outlineLevel="1" x14ac:dyDescent="0.3">
      <c r="A12" s="25"/>
      <c r="B12" s="25" t="s">
        <v>273</v>
      </c>
      <c r="C12" s="26" t="s">
        <v>268</v>
      </c>
      <c r="D12" s="25">
        <v>218121242</v>
      </c>
      <c r="E12" s="26">
        <v>10</v>
      </c>
      <c r="F12" s="26">
        <v>300</v>
      </c>
      <c r="G12" s="26">
        <v>30</v>
      </c>
      <c r="I12" s="27">
        <f t="shared" si="0"/>
        <v>4.3355800000000002</v>
      </c>
      <c r="J12" s="28">
        <f t="shared" si="1"/>
        <v>0.19876926979904139</v>
      </c>
      <c r="K12" s="28">
        <f t="shared" si="2"/>
        <v>0.11423507298752682</v>
      </c>
      <c r="L12" s="28">
        <f t="shared" si="3"/>
        <v>7.9773981848131961E-2</v>
      </c>
      <c r="M12" s="28">
        <f t="shared" si="4"/>
        <v>8.4517802259717556E-2</v>
      </c>
      <c r="N12" s="25">
        <f t="shared" si="5"/>
        <v>24917096</v>
      </c>
      <c r="O12" s="28">
        <f t="shared" si="6"/>
        <v>0.19712447460908797</v>
      </c>
      <c r="P12" s="29">
        <v>219941233</v>
      </c>
      <c r="Q12" s="29">
        <v>733137.44333333301</v>
      </c>
      <c r="R12" s="29">
        <v>28597.200000000001</v>
      </c>
      <c r="S12" s="30">
        <v>43355800</v>
      </c>
      <c r="T12" s="30">
        <v>17400400</v>
      </c>
      <c r="U12" s="30">
        <v>7516696</v>
      </c>
      <c r="V12" s="30">
        <v>18435128</v>
      </c>
      <c r="W12" s="31">
        <v>68.960588666666695</v>
      </c>
      <c r="X12" s="31">
        <v>71.298950666666698</v>
      </c>
      <c r="Y12" s="31">
        <v>34.830466333333298</v>
      </c>
      <c r="Z12" s="31">
        <v>40.605390333333403</v>
      </c>
      <c r="AA12" s="31">
        <v>34.127950666666699</v>
      </c>
      <c r="AB12" s="32">
        <v>39863.599999999999</v>
      </c>
      <c r="AC12" s="32">
        <v>62530.6</v>
      </c>
      <c r="AD12" s="32">
        <v>57.402999999999999</v>
      </c>
      <c r="AE12" s="32">
        <v>253.03299999999999</v>
      </c>
      <c r="AG12" s="27" t="str">
        <f t="shared" si="7"/>
        <v>·</v>
      </c>
      <c r="AH12" s="28" t="str">
        <f t="shared" si="8"/>
        <v>·</v>
      </c>
      <c r="AI12" s="28" t="str">
        <f t="shared" si="9"/>
        <v>·</v>
      </c>
      <c r="AJ12" s="28" t="str">
        <f t="shared" si="10"/>
        <v>·</v>
      </c>
      <c r="AK12" s="28" t="str">
        <f t="shared" si="11"/>
        <v>·</v>
      </c>
      <c r="AL12" s="25" t="str">
        <f t="shared" si="12"/>
        <v/>
      </c>
      <c r="AM12" s="28" t="str">
        <f t="shared" si="13"/>
        <v>·</v>
      </c>
      <c r="AN12" s="29"/>
      <c r="AO12" s="29"/>
      <c r="AP12" s="29"/>
      <c r="AQ12" s="30"/>
      <c r="AR12" s="30"/>
      <c r="AS12" s="30"/>
      <c r="AT12" s="30"/>
      <c r="AU12" s="31"/>
      <c r="AV12" s="31"/>
      <c r="AW12" s="31"/>
      <c r="AX12" s="31"/>
      <c r="AY12" s="31"/>
      <c r="AZ12" s="32"/>
      <c r="BA12" s="32"/>
      <c r="BB12" s="32"/>
      <c r="BC12" s="32"/>
      <c r="BE12" s="33" t="e">
        <f t="shared" si="14"/>
        <v>#DIV/0!</v>
      </c>
      <c r="BF12" s="33" t="e">
        <f t="shared" si="15"/>
        <v>#VALUE!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</row>
    <row r="13" spans="1:71" outlineLevel="1" x14ac:dyDescent="0.3">
      <c r="A13" s="15"/>
      <c r="B13" s="15" t="s">
        <v>273</v>
      </c>
      <c r="C13" s="16" t="s">
        <v>269</v>
      </c>
      <c r="D13" s="15">
        <v>218121242</v>
      </c>
      <c r="E13" s="16">
        <v>10</v>
      </c>
      <c r="F13" s="16">
        <v>300</v>
      </c>
      <c r="G13" s="16">
        <v>30</v>
      </c>
      <c r="I13" s="17">
        <f t="shared" si="0"/>
        <v>7.0324415999999994</v>
      </c>
      <c r="J13" s="18">
        <f t="shared" si="1"/>
        <v>0.3224097541128067</v>
      </c>
      <c r="K13" s="18">
        <f t="shared" si="2"/>
        <v>0.15612667380648787</v>
      </c>
      <c r="L13" s="18">
        <f t="shared" si="3"/>
        <v>0.12166558266709301</v>
      </c>
      <c r="M13" s="18">
        <f t="shared" si="4"/>
        <v>0.1662666857545218</v>
      </c>
      <c r="N13" s="15">
        <f t="shared" si="5"/>
        <v>34054544</v>
      </c>
      <c r="O13" s="18">
        <f t="shared" si="6"/>
        <v>0.30651077841408914</v>
      </c>
      <c r="P13" s="19">
        <v>229435377</v>
      </c>
      <c r="Q13" s="19">
        <v>764784.59</v>
      </c>
      <c r="R13" s="19">
        <v>32801.866666666698</v>
      </c>
      <c r="S13" s="20">
        <v>70324416</v>
      </c>
      <c r="T13" s="20">
        <v>26537848</v>
      </c>
      <c r="U13" s="20">
        <v>7516696</v>
      </c>
      <c r="V13" s="20">
        <v>36266296</v>
      </c>
      <c r="W13" s="21">
        <v>69.925038333333305</v>
      </c>
      <c r="X13" s="21">
        <v>72.481553666666699</v>
      </c>
      <c r="Y13" s="21">
        <v>37.047961333333298</v>
      </c>
      <c r="Z13" s="21">
        <v>41.6953343333333</v>
      </c>
      <c r="AA13" s="21">
        <v>36.099224999999997</v>
      </c>
      <c r="AB13" s="22">
        <v>38885.199999999997</v>
      </c>
      <c r="AC13" s="22">
        <v>65408.4</v>
      </c>
      <c r="AD13" s="22">
        <v>56.63</v>
      </c>
      <c r="AE13" s="22">
        <v>251.87700000000001</v>
      </c>
      <c r="AG13" s="17" t="str">
        <f t="shared" si="7"/>
        <v>·</v>
      </c>
      <c r="AH13" s="18" t="str">
        <f t="shared" si="8"/>
        <v>·</v>
      </c>
      <c r="AI13" s="18" t="str">
        <f t="shared" si="9"/>
        <v>·</v>
      </c>
      <c r="AJ13" s="18" t="str">
        <f t="shared" si="10"/>
        <v>·</v>
      </c>
      <c r="AK13" s="18" t="str">
        <f t="shared" si="11"/>
        <v>·</v>
      </c>
      <c r="AL13" s="15" t="str">
        <f t="shared" si="12"/>
        <v/>
      </c>
      <c r="AM13" s="18" t="str">
        <f t="shared" si="13"/>
        <v>·</v>
      </c>
      <c r="AN13" s="19"/>
      <c r="AO13" s="19"/>
      <c r="AP13" s="19"/>
      <c r="AQ13" s="20"/>
      <c r="AR13" s="20"/>
      <c r="AS13" s="20"/>
      <c r="AT13" s="20"/>
      <c r="AU13" s="21"/>
      <c r="AV13" s="21"/>
      <c r="AW13" s="21"/>
      <c r="AX13" s="21"/>
      <c r="AY13" s="21"/>
      <c r="AZ13" s="22"/>
      <c r="BA13" s="22"/>
      <c r="BB13" s="22"/>
      <c r="BC13" s="22"/>
      <c r="BE13" s="23" t="e">
        <f t="shared" si="14"/>
        <v>#DIV/0!</v>
      </c>
      <c r="BF13" s="23" t="e">
        <f t="shared" si="15"/>
        <v>#VALUE!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</row>
    <row r="14" spans="1:71" outlineLevel="1" x14ac:dyDescent="0.3">
      <c r="A14" s="25"/>
      <c r="B14" s="45" t="s">
        <v>273</v>
      </c>
      <c r="C14" s="46" t="s">
        <v>270</v>
      </c>
      <c r="D14" s="45">
        <v>218121242</v>
      </c>
      <c r="E14" s="46">
        <v>10</v>
      </c>
      <c r="F14" s="46">
        <v>300</v>
      </c>
      <c r="G14" s="46">
        <v>30</v>
      </c>
      <c r="I14" s="47">
        <f t="shared" si="0"/>
        <v>14.184708800000001</v>
      </c>
      <c r="J14" s="48">
        <f t="shared" si="1"/>
        <v>0.6503130401210534</v>
      </c>
      <c r="K14" s="48">
        <f t="shared" si="2"/>
        <v>0.26310636907156432</v>
      </c>
      <c r="L14" s="48">
        <f t="shared" si="3"/>
        <v>0.19590136021690174</v>
      </c>
      <c r="M14" s="48">
        <f t="shared" si="4"/>
        <v>0.38719027649769205</v>
      </c>
      <c r="N14" s="45">
        <f t="shared" si="5"/>
        <v>57389088</v>
      </c>
      <c r="O14" s="48">
        <f t="shared" si="6"/>
        <v>0.65508597439848359</v>
      </c>
      <c r="P14" s="49">
        <v>216532018</v>
      </c>
      <c r="Q14" s="49">
        <v>721773.39333333296</v>
      </c>
      <c r="R14" s="49">
        <v>15240.0666666667</v>
      </c>
      <c r="S14" s="50">
        <v>141847088</v>
      </c>
      <c r="T14" s="50">
        <v>42730248</v>
      </c>
      <c r="U14" s="50">
        <v>14658840</v>
      </c>
      <c r="V14" s="50">
        <v>84454424</v>
      </c>
      <c r="W14" s="51">
        <v>71.105953666666693</v>
      </c>
      <c r="X14" s="51">
        <v>74.645944333333304</v>
      </c>
      <c r="Y14" s="51">
        <v>39.4828963333334</v>
      </c>
      <c r="Z14" s="51">
        <v>43.004973</v>
      </c>
      <c r="AA14" s="51">
        <v>38.28472</v>
      </c>
      <c r="AB14" s="52">
        <v>39004.1</v>
      </c>
      <c r="AC14" s="52">
        <v>73576</v>
      </c>
      <c r="AD14" s="52">
        <v>55.859000000000002</v>
      </c>
      <c r="AE14" s="52">
        <v>279.69</v>
      </c>
      <c r="AG14" s="47" t="str">
        <f t="shared" si="7"/>
        <v>·</v>
      </c>
      <c r="AH14" s="48" t="str">
        <f t="shared" si="8"/>
        <v>·</v>
      </c>
      <c r="AI14" s="48" t="str">
        <f t="shared" si="9"/>
        <v>·</v>
      </c>
      <c r="AJ14" s="48" t="str">
        <f t="shared" si="10"/>
        <v>·</v>
      </c>
      <c r="AK14" s="48" t="str">
        <f t="shared" si="11"/>
        <v>·</v>
      </c>
      <c r="AL14" s="45" t="str">
        <f t="shared" si="12"/>
        <v/>
      </c>
      <c r="AM14" s="48" t="str">
        <f t="shared" si="13"/>
        <v>·</v>
      </c>
      <c r="AN14" s="49"/>
      <c r="AO14" s="49"/>
      <c r="AP14" s="49"/>
      <c r="AQ14" s="50"/>
      <c r="AR14" s="50"/>
      <c r="AS14" s="50"/>
      <c r="AT14" s="50"/>
      <c r="AU14" s="51"/>
      <c r="AV14" s="51"/>
      <c r="AW14" s="51"/>
      <c r="AX14" s="51"/>
      <c r="AY14" s="51"/>
      <c r="AZ14" s="52"/>
      <c r="BA14" s="52"/>
      <c r="BB14" s="52"/>
      <c r="BC14" s="52"/>
      <c r="BE14" s="53" t="e">
        <f t="shared" si="14"/>
        <v>#DIV/0!</v>
      </c>
      <c r="BF14" s="53" t="e">
        <f t="shared" si="15"/>
        <v>#VALUE!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</row>
    <row r="15" spans="1:71" x14ac:dyDescent="0.3">
      <c r="A15" s="15"/>
      <c r="B15" s="15" t="s">
        <v>276</v>
      </c>
      <c r="C15" s="16" t="s">
        <v>266</v>
      </c>
      <c r="D15" s="15">
        <v>322589704</v>
      </c>
      <c r="E15" s="16">
        <v>10</v>
      </c>
      <c r="F15" s="16">
        <v>300</v>
      </c>
      <c r="G15" s="16">
        <v>30</v>
      </c>
      <c r="I15" s="17">
        <f t="shared" si="0"/>
        <v>2.2009992</v>
      </c>
      <c r="J15" s="18">
        <f t="shared" si="1"/>
        <v>6.8229059164268926E-2</v>
      </c>
      <c r="K15" s="18">
        <f t="shared" si="2"/>
        <v>5.4770625909374961E-2</v>
      </c>
      <c r="L15" s="18">
        <f t="shared" si="3"/>
        <v>2.9644641107330567E-2</v>
      </c>
      <c r="M15" s="18">
        <f t="shared" si="4"/>
        <v>1.3447347966195474E-2</v>
      </c>
      <c r="N15" s="15">
        <f t="shared" si="5"/>
        <v>17668440</v>
      </c>
      <c r="O15" s="18">
        <f t="shared" si="6"/>
        <v>7.1215152845407484E-2</v>
      </c>
      <c r="P15" s="19">
        <v>309063326</v>
      </c>
      <c r="Q15" s="19">
        <v>1030211.08666667</v>
      </c>
      <c r="R15" s="19">
        <v>33998.629999999997</v>
      </c>
      <c r="S15" s="20">
        <v>22009992</v>
      </c>
      <c r="T15" s="20">
        <v>9563056</v>
      </c>
      <c r="U15" s="20">
        <v>8105384</v>
      </c>
      <c r="V15" s="20">
        <v>4337976</v>
      </c>
      <c r="W15" s="21">
        <v>66.3102466666667</v>
      </c>
      <c r="X15" s="21">
        <v>67.920151333333294</v>
      </c>
      <c r="Y15" s="21">
        <v>29.053137</v>
      </c>
      <c r="Z15" s="21">
        <v>43.267904666666702</v>
      </c>
      <c r="AA15" s="21">
        <v>43.556263666666702</v>
      </c>
      <c r="AB15" s="22">
        <v>45351</v>
      </c>
      <c r="AC15" s="22">
        <v>54322.7</v>
      </c>
      <c r="AD15" s="22">
        <v>80.578000000000003</v>
      </c>
      <c r="AE15" s="22">
        <v>265.61200000000002</v>
      </c>
      <c r="AG15" s="17" t="str">
        <f t="shared" si="7"/>
        <v>·</v>
      </c>
      <c r="AH15" s="18" t="str">
        <f t="shared" si="8"/>
        <v>·</v>
      </c>
      <c r="AI15" s="18" t="str">
        <f t="shared" si="9"/>
        <v>·</v>
      </c>
      <c r="AJ15" s="18" t="str">
        <f t="shared" si="10"/>
        <v>·</v>
      </c>
      <c r="AK15" s="18" t="str">
        <f t="shared" si="11"/>
        <v>·</v>
      </c>
      <c r="AL15" s="15" t="str">
        <f t="shared" si="12"/>
        <v/>
      </c>
      <c r="AM15" s="18" t="str">
        <f t="shared" si="13"/>
        <v>·</v>
      </c>
      <c r="AN15" s="19"/>
      <c r="AO15" s="19"/>
      <c r="AP15" s="19"/>
      <c r="AQ15" s="20"/>
      <c r="AR15" s="20"/>
      <c r="AS15" s="20"/>
      <c r="AT15" s="20"/>
      <c r="AU15" s="21"/>
      <c r="AV15" s="21"/>
      <c r="AW15" s="21"/>
      <c r="AX15" s="21"/>
      <c r="AY15" s="21"/>
      <c r="AZ15" s="22"/>
      <c r="BA15" s="22"/>
      <c r="BB15" s="22"/>
      <c r="BC15" s="22"/>
      <c r="BE15" s="23" t="e">
        <f t="shared" si="14"/>
        <v>#DIV/0!</v>
      </c>
      <c r="BF15" s="23" t="e">
        <f t="shared" si="15"/>
        <v>#VALUE!</v>
      </c>
      <c r="BG15" s="23" t="e">
        <f t="array" ref="BG15">AVERAGE(AL15:AL19/AQ15:AQ19) - AVERAGE(N15:N19/S15:S19)</f>
        <v>#VALUE!</v>
      </c>
      <c r="BI15" s="24" t="str">
        <f>IF( OR(ISBLANK(N15:N19),ISBLANK(AL15:AL19), ISBLANK(W15:W19),ISBLANK(AU15:AU19)), "·", bdRateExtend( N15:N19,W15:W19, AL15:AL19,AU15:AU19))</f>
        <v>·</v>
      </c>
      <c r="BJ15" s="24" t="str">
        <f>IF( OR(ISBLANK(N15:N19),ISBLANK(AL15:AL19), ISBLANK(X15:X19),ISBLANK(AV15:AV19)), "·", bdRateExtend( N15:N19,X15:X19, AL15:AL19,AV15:AV19))</f>
        <v>·</v>
      </c>
      <c r="BK15" s="24" t="str">
        <f>IF( OR(ISBLANK(V15:V19),ISBLANK(AT15:AT19), ISBLANK(Y15:Y19),ISBLANK(AW15:AW19)), "·", bdRateExtend( V15:V19,Y15:Y19, AT15:AT19,AW15:AW19))</f>
        <v>·</v>
      </c>
      <c r="BL15" s="24" t="str">
        <f>IF( OR(ISBLANK(V15:V19),ISBLANK(AT15:AT19), ISBLANK(Z15:Z19),ISBLANK(AX15:AX19)), "·", bdRateExtend( V15:V19,Z15:Z19, AT15:AT19,AX15:AX19))</f>
        <v>·</v>
      </c>
      <c r="BM15" s="24" t="str">
        <f>IF( OR(ISBLANK(V15:V19),ISBLANK(AT15:AT19), ISBLANK(AA15:AA19),ISBLANK(AY15:AY19)), "·", bdRateExtend( V15:V19,AA15:AA19, AT15:AT19,AY15:AY19))</f>
        <v>·</v>
      </c>
      <c r="BO15" s="24" t="str">
        <f>IF( OR(ISBLANK(S15:S19),ISBLANK(AQ15:AQ19), ISBLANK(W15:W19),ISBLANK(AU15:AU19)), "·", bdRateExtend( S15:S19,W15:W19, AQ15:AQ19,AU15:AU19))</f>
        <v>·</v>
      </c>
      <c r="BP15" s="24" t="str">
        <f>IF( OR(ISBLANK(S15:S19),ISBLANK(AQ15:AQ19), ISBLANK(X15:X19),ISBLANK(AV15:AV19)), "·", bdRateExtend( S15:S19,X15:X19, AQ15:AQ19,AV15:AV19))</f>
        <v>·</v>
      </c>
      <c r="BQ15" s="24" t="str">
        <f>IF( OR(ISBLANK(S15:S19),ISBLANK(AQ15:AQ19), ISBLANK(Y15:Y19),ISBLANK(AW15:AW19)), "·", bdRateExtend( S15:S19,Y15:Y19, AQ15:AQ19,AW15:AW19))</f>
        <v>·</v>
      </c>
      <c r="BR15" s="24" t="str">
        <f>IF( OR(ISBLANK(S15:S19),ISBLANK(AQ15:AQ19), ISBLANK(Z15:Z19),ISBLANK(AX15:AX19)), "·", bdRateExtend( S15:S19,Z15:Z19, AQ15:AQ19,AX15:AX19))</f>
        <v>·</v>
      </c>
      <c r="BS15" s="24" t="str">
        <f>IF( OR(ISBLANK(S15:S19),ISBLANK(AQ15:AQ19), ISBLANK(AA15:AA19),ISBLANK(AY15:AY19)), "·", bdRateExtend( S15:S19,AA15:AA19, AQ15:AQ19,AY15:AY19))</f>
        <v>·</v>
      </c>
    </row>
    <row r="16" spans="1:71" outlineLevel="1" x14ac:dyDescent="0.3">
      <c r="A16" s="25"/>
      <c r="B16" s="25" t="s">
        <v>276</v>
      </c>
      <c r="C16" s="26" t="s">
        <v>267</v>
      </c>
      <c r="D16" s="25">
        <v>322589704</v>
      </c>
      <c r="E16" s="26">
        <v>10</v>
      </c>
      <c r="F16" s="26">
        <v>300</v>
      </c>
      <c r="G16" s="26">
        <v>30</v>
      </c>
      <c r="I16" s="27">
        <f t="shared" si="0"/>
        <v>2.8843072000000003</v>
      </c>
      <c r="J16" s="28">
        <f t="shared" si="1"/>
        <v>8.9411012324187508E-2</v>
      </c>
      <c r="K16" s="28">
        <f t="shared" si="2"/>
        <v>6.4403568193236574E-2</v>
      </c>
      <c r="L16" s="28">
        <f t="shared" si="3"/>
        <v>3.9277583391192174E-2</v>
      </c>
      <c r="M16" s="28">
        <f t="shared" si="4"/>
        <v>2.4996358842252448E-2</v>
      </c>
      <c r="N16" s="25">
        <f t="shared" si="5"/>
        <v>20775928</v>
      </c>
      <c r="O16" s="28">
        <f t="shared" si="6"/>
        <v>8.8992119174043621E-2</v>
      </c>
      <c r="P16" s="29">
        <v>324108160</v>
      </c>
      <c r="Q16" s="29">
        <v>1080360.5333333299</v>
      </c>
      <c r="R16" s="29">
        <v>40142.673333333303</v>
      </c>
      <c r="S16" s="30">
        <v>28843072</v>
      </c>
      <c r="T16" s="30">
        <v>12670544</v>
      </c>
      <c r="U16" s="30">
        <v>8105384</v>
      </c>
      <c r="V16" s="30">
        <v>8063568</v>
      </c>
      <c r="W16" s="31">
        <v>68.0364170000001</v>
      </c>
      <c r="X16" s="31">
        <v>70.052199666666596</v>
      </c>
      <c r="Y16" s="31">
        <v>31.460670666666601</v>
      </c>
      <c r="Z16" s="31">
        <v>44.065950333333298</v>
      </c>
      <c r="AA16" s="31">
        <v>44.441807666666698</v>
      </c>
      <c r="AB16" s="32">
        <v>45539.5</v>
      </c>
      <c r="AC16" s="32">
        <v>58448.800000000003</v>
      </c>
      <c r="AD16" s="32">
        <v>87.474999999999994</v>
      </c>
      <c r="AE16" s="32">
        <v>280.06400000000002</v>
      </c>
      <c r="AG16" s="27" t="str">
        <f t="shared" si="7"/>
        <v>·</v>
      </c>
      <c r="AH16" s="28" t="str">
        <f t="shared" si="8"/>
        <v>·</v>
      </c>
      <c r="AI16" s="28" t="str">
        <f t="shared" si="9"/>
        <v>·</v>
      </c>
      <c r="AJ16" s="28" t="str">
        <f t="shared" si="10"/>
        <v>·</v>
      </c>
      <c r="AK16" s="28" t="str">
        <f t="shared" si="11"/>
        <v>·</v>
      </c>
      <c r="AL16" s="25" t="str">
        <f t="shared" si="12"/>
        <v/>
      </c>
      <c r="AM16" s="28" t="str">
        <f t="shared" si="13"/>
        <v>·</v>
      </c>
      <c r="AN16" s="29"/>
      <c r="AO16" s="29"/>
      <c r="AP16" s="29"/>
      <c r="AQ16" s="30"/>
      <c r="AR16" s="30"/>
      <c r="AS16" s="30"/>
      <c r="AT16" s="30"/>
      <c r="AU16" s="31"/>
      <c r="AV16" s="31"/>
      <c r="AW16" s="31"/>
      <c r="AX16" s="31"/>
      <c r="AY16" s="31"/>
      <c r="AZ16" s="32"/>
      <c r="BA16" s="32"/>
      <c r="BB16" s="32"/>
      <c r="BC16" s="32"/>
      <c r="BE16" s="33" t="e">
        <f t="shared" si="14"/>
        <v>#DIV/0!</v>
      </c>
      <c r="BF16" s="33" t="e">
        <f t="shared" si="15"/>
        <v>#VALUE!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</row>
    <row r="17" spans="1:71" outlineLevel="1" x14ac:dyDescent="0.3">
      <c r="A17" s="15"/>
      <c r="B17" s="15" t="s">
        <v>276</v>
      </c>
      <c r="C17" s="16" t="s">
        <v>268</v>
      </c>
      <c r="D17" s="15">
        <v>322589704</v>
      </c>
      <c r="E17" s="16">
        <v>10</v>
      </c>
      <c r="F17" s="16">
        <v>300</v>
      </c>
      <c r="G17" s="16">
        <v>30</v>
      </c>
      <c r="I17" s="17">
        <f t="shared" si="0"/>
        <v>4.0962648000000002</v>
      </c>
      <c r="J17" s="18">
        <f t="shared" si="1"/>
        <v>0.12698064287879443</v>
      </c>
      <c r="K17" s="18">
        <f t="shared" si="2"/>
        <v>7.6919479116419665E-2</v>
      </c>
      <c r="L17" s="18">
        <f t="shared" si="3"/>
        <v>5.1793494314375264E-2</v>
      </c>
      <c r="M17" s="18">
        <f t="shared" si="4"/>
        <v>5.005007847367627E-2</v>
      </c>
      <c r="N17" s="15">
        <f t="shared" si="5"/>
        <v>24813432</v>
      </c>
      <c r="O17" s="18">
        <f t="shared" si="6"/>
        <v>0.12594818501319205</v>
      </c>
      <c r="P17" s="19">
        <v>325234127</v>
      </c>
      <c r="Q17" s="19">
        <v>1084113.7566666701</v>
      </c>
      <c r="R17" s="19">
        <v>41330.3766666667</v>
      </c>
      <c r="S17" s="20">
        <v>40962648</v>
      </c>
      <c r="T17" s="20">
        <v>16708048</v>
      </c>
      <c r="U17" s="20">
        <v>8105384</v>
      </c>
      <c r="V17" s="20">
        <v>16145640</v>
      </c>
      <c r="W17" s="21">
        <v>69.409842333333401</v>
      </c>
      <c r="X17" s="21">
        <v>71.835884333333297</v>
      </c>
      <c r="Y17" s="21">
        <v>33.937969000000002</v>
      </c>
      <c r="Z17" s="21">
        <v>45.241978666666597</v>
      </c>
      <c r="AA17" s="21">
        <v>45.6615343333333</v>
      </c>
      <c r="AB17" s="22">
        <v>45183.199999999997</v>
      </c>
      <c r="AC17" s="22">
        <v>61540.1</v>
      </c>
      <c r="AD17" s="22">
        <v>82.855999999999995</v>
      </c>
      <c r="AE17" s="22">
        <v>270.791</v>
      </c>
      <c r="AG17" s="17" t="str">
        <f t="shared" si="7"/>
        <v>·</v>
      </c>
      <c r="AH17" s="18" t="str">
        <f t="shared" si="8"/>
        <v>·</v>
      </c>
      <c r="AI17" s="18" t="str">
        <f t="shared" si="9"/>
        <v>·</v>
      </c>
      <c r="AJ17" s="18" t="str">
        <f t="shared" si="10"/>
        <v>·</v>
      </c>
      <c r="AK17" s="18" t="str">
        <f t="shared" si="11"/>
        <v>·</v>
      </c>
      <c r="AL17" s="15" t="str">
        <f t="shared" si="12"/>
        <v/>
      </c>
      <c r="AM17" s="18" t="str">
        <f t="shared" si="13"/>
        <v>·</v>
      </c>
      <c r="AN17" s="19"/>
      <c r="AO17" s="19"/>
      <c r="AP17" s="19"/>
      <c r="AQ17" s="20"/>
      <c r="AR17" s="20"/>
      <c r="AS17" s="20"/>
      <c r="AT17" s="20"/>
      <c r="AU17" s="21"/>
      <c r="AV17" s="21"/>
      <c r="AW17" s="21"/>
      <c r="AX17" s="21"/>
      <c r="AY17" s="21"/>
      <c r="AZ17" s="22"/>
      <c r="BA17" s="22"/>
      <c r="BB17" s="22"/>
      <c r="BC17" s="22"/>
      <c r="BE17" s="23" t="e">
        <f t="shared" si="14"/>
        <v>#DIV/0!</v>
      </c>
      <c r="BF17" s="23" t="e">
        <f t="shared" si="15"/>
        <v>#VALUE!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</row>
    <row r="18" spans="1:71" outlineLevel="1" x14ac:dyDescent="0.3">
      <c r="A18" s="25"/>
      <c r="B18" s="25" t="s">
        <v>276</v>
      </c>
      <c r="C18" s="26" t="s">
        <v>269</v>
      </c>
      <c r="D18" s="25">
        <v>322589704</v>
      </c>
      <c r="E18" s="26">
        <v>10</v>
      </c>
      <c r="F18" s="26">
        <v>300</v>
      </c>
      <c r="G18" s="26">
        <v>30</v>
      </c>
      <c r="I18" s="27">
        <f t="shared" si="0"/>
        <v>7.2241504000000001</v>
      </c>
      <c r="J18" s="28">
        <f t="shared" si="1"/>
        <v>0.22394237356068872</v>
      </c>
      <c r="K18" s="28">
        <f t="shared" si="2"/>
        <v>0.10702947915535457</v>
      </c>
      <c r="L18" s="28">
        <f t="shared" si="3"/>
        <v>8.1903494353310166E-2</v>
      </c>
      <c r="M18" s="28">
        <f t="shared" si="4"/>
        <v>0.11690180911663567</v>
      </c>
      <c r="N18" s="25">
        <f t="shared" si="5"/>
        <v>34526608</v>
      </c>
      <c r="O18" s="28">
        <f t="shared" si="6"/>
        <v>0.21330989918151766</v>
      </c>
      <c r="P18" s="29">
        <v>338669252</v>
      </c>
      <c r="Q18" s="29">
        <v>1128897.5066666701</v>
      </c>
      <c r="R18" s="29">
        <v>46948.19</v>
      </c>
      <c r="S18" s="30">
        <v>72241504</v>
      </c>
      <c r="T18" s="30">
        <v>26421224</v>
      </c>
      <c r="U18" s="30">
        <v>8105384</v>
      </c>
      <c r="V18" s="30">
        <v>37711320</v>
      </c>
      <c r="W18" s="31">
        <v>70.450066333333396</v>
      </c>
      <c r="X18" s="31">
        <v>73.093902666666594</v>
      </c>
      <c r="Y18" s="31">
        <v>36.360745666666702</v>
      </c>
      <c r="Z18" s="31">
        <v>46.548181333333297</v>
      </c>
      <c r="AA18" s="31">
        <v>47.071703999999997</v>
      </c>
      <c r="AB18" s="32">
        <v>45169.7</v>
      </c>
      <c r="AC18" s="32">
        <v>66453.899999999994</v>
      </c>
      <c r="AD18" s="32">
        <v>82.346000000000004</v>
      </c>
      <c r="AE18" s="32">
        <v>278.28500000000003</v>
      </c>
      <c r="AG18" s="27" t="str">
        <f t="shared" si="7"/>
        <v>·</v>
      </c>
      <c r="AH18" s="28" t="str">
        <f t="shared" si="8"/>
        <v>·</v>
      </c>
      <c r="AI18" s="28" t="str">
        <f t="shared" si="9"/>
        <v>·</v>
      </c>
      <c r="AJ18" s="28" t="str">
        <f t="shared" si="10"/>
        <v>·</v>
      </c>
      <c r="AK18" s="28" t="str">
        <f t="shared" si="11"/>
        <v>·</v>
      </c>
      <c r="AL18" s="25" t="str">
        <f t="shared" si="12"/>
        <v/>
      </c>
      <c r="AM18" s="28" t="str">
        <f t="shared" si="13"/>
        <v>·</v>
      </c>
      <c r="AN18" s="29"/>
      <c r="AO18" s="29"/>
      <c r="AP18" s="29"/>
      <c r="AQ18" s="30"/>
      <c r="AR18" s="30"/>
      <c r="AS18" s="30"/>
      <c r="AT18" s="30"/>
      <c r="AU18" s="31"/>
      <c r="AV18" s="31"/>
      <c r="AW18" s="31"/>
      <c r="AX18" s="31"/>
      <c r="AY18" s="31"/>
      <c r="AZ18" s="32"/>
      <c r="BA18" s="32"/>
      <c r="BB18" s="32"/>
      <c r="BC18" s="32"/>
      <c r="BE18" s="33" t="e">
        <f t="shared" si="14"/>
        <v>#DIV/0!</v>
      </c>
      <c r="BF18" s="33" t="e">
        <f t="shared" si="15"/>
        <v>#VALUE!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</row>
    <row r="19" spans="1:71" outlineLevel="1" x14ac:dyDescent="0.3">
      <c r="A19" s="15"/>
      <c r="B19" s="35" t="s">
        <v>276</v>
      </c>
      <c r="C19" s="36" t="s">
        <v>270</v>
      </c>
      <c r="D19" s="35">
        <v>322589704</v>
      </c>
      <c r="E19" s="36">
        <v>10</v>
      </c>
      <c r="F19" s="36">
        <v>300</v>
      </c>
      <c r="G19" s="36">
        <v>30</v>
      </c>
      <c r="I19" s="37">
        <f t="shared" si="0"/>
        <v>16.2506232</v>
      </c>
      <c r="J19" s="38">
        <f t="shared" si="1"/>
        <v>0.50375517254574254</v>
      </c>
      <c r="K19" s="38">
        <f t="shared" si="2"/>
        <v>0.18415429650538381</v>
      </c>
      <c r="L19" s="38">
        <f t="shared" si="3"/>
        <v>0.13275136642302757</v>
      </c>
      <c r="M19" s="38">
        <f t="shared" si="4"/>
        <v>0.31958979075166022</v>
      </c>
      <c r="N19" s="35">
        <f t="shared" si="5"/>
        <v>59406280</v>
      </c>
      <c r="O19" s="38">
        <f t="shared" si="6"/>
        <v>0.50728400998294154</v>
      </c>
      <c r="P19" s="39">
        <v>320345662</v>
      </c>
      <c r="Q19" s="39">
        <v>1067818.87333333</v>
      </c>
      <c r="R19" s="39">
        <v>20527.043333333299</v>
      </c>
      <c r="S19" s="40">
        <v>162506232</v>
      </c>
      <c r="T19" s="40">
        <v>42824224</v>
      </c>
      <c r="U19" s="40">
        <v>16582056</v>
      </c>
      <c r="V19" s="40">
        <v>103096376</v>
      </c>
      <c r="W19" s="41">
        <v>71.528123333333397</v>
      </c>
      <c r="X19" s="41">
        <v>75.096446999999998</v>
      </c>
      <c r="Y19" s="41">
        <v>38.789068999999998</v>
      </c>
      <c r="Z19" s="41">
        <v>48.350342666666698</v>
      </c>
      <c r="AA19" s="41">
        <v>48.904710999999999</v>
      </c>
      <c r="AB19" s="42">
        <v>45138.8</v>
      </c>
      <c r="AC19" s="42">
        <v>76193.899999999994</v>
      </c>
      <c r="AD19" s="42">
        <v>81.394999999999996</v>
      </c>
      <c r="AE19" s="42">
        <v>310.613</v>
      </c>
      <c r="AG19" s="37" t="str">
        <f t="shared" si="7"/>
        <v>·</v>
      </c>
      <c r="AH19" s="38" t="str">
        <f t="shared" si="8"/>
        <v>·</v>
      </c>
      <c r="AI19" s="38" t="str">
        <f t="shared" si="9"/>
        <v>·</v>
      </c>
      <c r="AJ19" s="38" t="str">
        <f t="shared" si="10"/>
        <v>·</v>
      </c>
      <c r="AK19" s="38" t="str">
        <f t="shared" si="11"/>
        <v>·</v>
      </c>
      <c r="AL19" s="35" t="str">
        <f t="shared" si="12"/>
        <v/>
      </c>
      <c r="AM19" s="38" t="str">
        <f t="shared" si="13"/>
        <v>·</v>
      </c>
      <c r="AN19" s="39"/>
      <c r="AO19" s="39"/>
      <c r="AP19" s="39"/>
      <c r="AQ19" s="40"/>
      <c r="AR19" s="40"/>
      <c r="AS19" s="40"/>
      <c r="AT19" s="40"/>
      <c r="AU19" s="41"/>
      <c r="AV19" s="41"/>
      <c r="AW19" s="41"/>
      <c r="AX19" s="41"/>
      <c r="AY19" s="41"/>
      <c r="AZ19" s="42"/>
      <c r="BA19" s="42"/>
      <c r="BB19" s="42"/>
      <c r="BC19" s="42"/>
      <c r="BE19" s="43" t="e">
        <f t="shared" si="14"/>
        <v>#DIV/0!</v>
      </c>
      <c r="BF19" s="43" t="e">
        <f t="shared" si="15"/>
        <v>#VALUE!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</row>
    <row r="20" spans="1:71" x14ac:dyDescent="0.3">
      <c r="A20" s="25"/>
      <c r="B20" s="25" t="s">
        <v>279</v>
      </c>
      <c r="C20" s="26" t="s">
        <v>266</v>
      </c>
      <c r="D20" s="25">
        <v>250602891</v>
      </c>
      <c r="E20" s="26">
        <v>10</v>
      </c>
      <c r="F20" s="26">
        <v>250</v>
      </c>
      <c r="G20" s="26">
        <v>50</v>
      </c>
      <c r="I20" s="27">
        <f t="shared" si="0"/>
        <v>2.4398960000000001</v>
      </c>
      <c r="J20" s="28">
        <f t="shared" si="1"/>
        <v>4.8680523801299641E-2</v>
      </c>
      <c r="K20" s="28">
        <f t="shared" si="2"/>
        <v>3.7104887189828947E-2</v>
      </c>
      <c r="L20" s="28">
        <f t="shared" si="3"/>
        <v>2.0609307336362691E-2</v>
      </c>
      <c r="M20" s="28">
        <f t="shared" si="4"/>
        <v>1.1564112402837364E-2</v>
      </c>
      <c r="N20" s="25">
        <f t="shared" si="5"/>
        <v>9298592</v>
      </c>
      <c r="O20" s="28">
        <f t="shared" si="6"/>
        <v>5.1477474944169876E-2</v>
      </c>
      <c r="P20" s="29">
        <v>236986760</v>
      </c>
      <c r="Q20" s="29">
        <v>947947.04</v>
      </c>
      <c r="R20" s="29">
        <v>27801.504000000001</v>
      </c>
      <c r="S20" s="30">
        <v>12199480</v>
      </c>
      <c r="T20" s="30">
        <v>5164752</v>
      </c>
      <c r="U20" s="30">
        <v>4133840</v>
      </c>
      <c r="V20" s="30">
        <v>2898000</v>
      </c>
      <c r="W20" s="31">
        <v>67.419965599999998</v>
      </c>
      <c r="X20" s="31">
        <v>69.161137199999999</v>
      </c>
      <c r="Y20" s="31">
        <v>30.2830184</v>
      </c>
      <c r="Z20" s="31">
        <v>40.100608000000001</v>
      </c>
      <c r="AA20" s="31">
        <v>38.735221199999998</v>
      </c>
      <c r="AB20" s="32">
        <v>38092.9</v>
      </c>
      <c r="AC20" s="32">
        <v>33447.9</v>
      </c>
      <c r="AD20" s="32">
        <v>59.976999999999997</v>
      </c>
      <c r="AE20" s="32">
        <v>181.91900000000001</v>
      </c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29"/>
      <c r="AO20" s="29"/>
      <c r="AP20" s="29"/>
      <c r="AQ20" s="30"/>
      <c r="AR20" s="30"/>
      <c r="AS20" s="30"/>
      <c r="AT20" s="30"/>
      <c r="AU20" s="31"/>
      <c r="AV20" s="31"/>
      <c r="AW20" s="31"/>
      <c r="AX20" s="31"/>
      <c r="AY20" s="31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</row>
    <row r="21" spans="1:71" outlineLevel="1" x14ac:dyDescent="0.3">
      <c r="A21" s="15"/>
      <c r="B21" s="15" t="s">
        <v>279</v>
      </c>
      <c r="C21" s="16" t="s">
        <v>267</v>
      </c>
      <c r="D21" s="15">
        <v>250602891</v>
      </c>
      <c r="E21" s="16">
        <v>10</v>
      </c>
      <c r="F21" s="16">
        <v>250</v>
      </c>
      <c r="G21" s="16">
        <v>50</v>
      </c>
      <c r="I21" s="17">
        <f t="shared" si="0"/>
        <v>3.3067696</v>
      </c>
      <c r="J21" s="18">
        <f t="shared" si="1"/>
        <v>6.5976285963915721E-2</v>
      </c>
      <c r="K21" s="18">
        <f t="shared" si="2"/>
        <v>4.3435987336634514E-2</v>
      </c>
      <c r="L21" s="18">
        <f t="shared" si="3"/>
        <v>2.6940407483168262E-2</v>
      </c>
      <c r="M21" s="18">
        <f t="shared" si="4"/>
        <v>2.2528774418647868E-2</v>
      </c>
      <c r="N21" s="15">
        <f t="shared" si="5"/>
        <v>10885184</v>
      </c>
      <c r="O21" s="18">
        <f t="shared" si="6"/>
        <v>6.73820993760533E-2</v>
      </c>
      <c r="P21" s="19">
        <v>245374486</v>
      </c>
      <c r="Q21" s="19">
        <v>981497.94400000002</v>
      </c>
      <c r="R21" s="19">
        <v>32249.596000000001</v>
      </c>
      <c r="S21" s="20">
        <v>16533848</v>
      </c>
      <c r="T21" s="20">
        <v>6751344</v>
      </c>
      <c r="U21" s="20">
        <v>4133840</v>
      </c>
      <c r="V21" s="20">
        <v>5645776</v>
      </c>
      <c r="W21" s="21">
        <v>69.020658400000002</v>
      </c>
      <c r="X21" s="21">
        <v>71.177919599999996</v>
      </c>
      <c r="Y21" s="21">
        <v>31.859396400000001</v>
      </c>
      <c r="Z21" s="21">
        <v>41.309506800000001</v>
      </c>
      <c r="AA21" s="21">
        <v>40.086002000000001</v>
      </c>
      <c r="AB21" s="22">
        <v>38686.6</v>
      </c>
      <c r="AC21" s="22">
        <v>36101.1</v>
      </c>
      <c r="AD21" s="22">
        <v>61.237000000000002</v>
      </c>
      <c r="AE21" s="22">
        <v>182.08500000000001</v>
      </c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19"/>
      <c r="AO21" s="19"/>
      <c r="AP21" s="19"/>
      <c r="AQ21" s="20"/>
      <c r="AR21" s="20"/>
      <c r="AS21" s="20"/>
      <c r="AT21" s="20"/>
      <c r="AU21" s="21"/>
      <c r="AV21" s="21"/>
      <c r="AW21" s="21"/>
      <c r="AX21" s="21"/>
      <c r="AY21" s="21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</row>
    <row r="22" spans="1:71" outlineLevel="1" x14ac:dyDescent="0.3">
      <c r="A22" s="25"/>
      <c r="B22" s="25" t="s">
        <v>279</v>
      </c>
      <c r="C22" s="26" t="s">
        <v>268</v>
      </c>
      <c r="D22" s="25">
        <v>250602891</v>
      </c>
      <c r="E22" s="26">
        <v>10</v>
      </c>
      <c r="F22" s="26">
        <v>250</v>
      </c>
      <c r="G22" s="26">
        <v>50</v>
      </c>
      <c r="I22" s="27">
        <f t="shared" si="0"/>
        <v>5.2106255999999993</v>
      </c>
      <c r="J22" s="28">
        <f t="shared" si="1"/>
        <v>0.10396180146221856</v>
      </c>
      <c r="K22" s="28">
        <f t="shared" si="2"/>
        <v>5.1440300423349863E-2</v>
      </c>
      <c r="L22" s="28">
        <f t="shared" si="3"/>
        <v>3.4944720569883611E-2</v>
      </c>
      <c r="M22" s="28">
        <f t="shared" si="4"/>
        <v>5.2509976830235373E-2</v>
      </c>
      <c r="N22" s="25">
        <f t="shared" si="5"/>
        <v>12891088</v>
      </c>
      <c r="O22" s="28">
        <f t="shared" si="6"/>
        <v>0.10304382113041106</v>
      </c>
      <c r="P22" s="29">
        <v>252835422</v>
      </c>
      <c r="Q22" s="29">
        <v>1011341.688</v>
      </c>
      <c r="R22" s="29">
        <v>34394.74</v>
      </c>
      <c r="S22" s="30">
        <v>26053128</v>
      </c>
      <c r="T22" s="30">
        <v>8757248</v>
      </c>
      <c r="U22" s="30">
        <v>4133840</v>
      </c>
      <c r="V22" s="30">
        <v>13159152</v>
      </c>
      <c r="W22" s="31">
        <v>70.206435999999997</v>
      </c>
      <c r="X22" s="31">
        <v>72.685359599999998</v>
      </c>
      <c r="Y22" s="31">
        <v>33.8734112</v>
      </c>
      <c r="Z22" s="31">
        <v>42.5639532</v>
      </c>
      <c r="AA22" s="31">
        <v>41.4536564</v>
      </c>
      <c r="AB22" s="32">
        <v>38426.5</v>
      </c>
      <c r="AC22" s="32">
        <v>38270.400000000001</v>
      </c>
      <c r="AD22" s="32">
        <v>62.286000000000001</v>
      </c>
      <c r="AE22" s="32">
        <v>189.06700000000001</v>
      </c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29"/>
      <c r="AO22" s="29"/>
      <c r="AP22" s="29"/>
      <c r="AQ22" s="30"/>
      <c r="AR22" s="30"/>
      <c r="AS22" s="30"/>
      <c r="AT22" s="30"/>
      <c r="AU22" s="31"/>
      <c r="AV22" s="31"/>
      <c r="AW22" s="31"/>
      <c r="AX22" s="31"/>
      <c r="AY22" s="31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</row>
    <row r="23" spans="1:71" outlineLevel="1" x14ac:dyDescent="0.3">
      <c r="A23" s="15"/>
      <c r="B23" s="15" t="s">
        <v>279</v>
      </c>
      <c r="C23" s="16" t="s">
        <v>269</v>
      </c>
      <c r="D23" s="15">
        <v>250602891</v>
      </c>
      <c r="E23" s="16">
        <v>10</v>
      </c>
      <c r="F23" s="16">
        <v>250</v>
      </c>
      <c r="G23" s="16">
        <v>50</v>
      </c>
      <c r="I23" s="17">
        <f t="shared" si="0"/>
        <v>9.4525168000000015</v>
      </c>
      <c r="J23" s="18">
        <f t="shared" si="1"/>
        <v>0.18859552581937292</v>
      </c>
      <c r="K23" s="18">
        <f t="shared" si="2"/>
        <v>7.1985665959456144E-2</v>
      </c>
      <c r="L23" s="18">
        <f t="shared" si="3"/>
        <v>5.5490086105989891E-2</v>
      </c>
      <c r="M23" s="18">
        <f t="shared" si="4"/>
        <v>0.11659833565128346</v>
      </c>
      <c r="N23" s="15">
        <f t="shared" si="5"/>
        <v>18039816</v>
      </c>
      <c r="O23" s="18">
        <f t="shared" si="6"/>
        <v>0.18459899989370709</v>
      </c>
      <c r="P23" s="19">
        <v>256028386</v>
      </c>
      <c r="Q23" s="19">
        <v>1024113.544</v>
      </c>
      <c r="R23" s="19">
        <v>36750.167999999998</v>
      </c>
      <c r="S23" s="20">
        <v>47262584</v>
      </c>
      <c r="T23" s="20">
        <v>13905976</v>
      </c>
      <c r="U23" s="20">
        <v>4133840</v>
      </c>
      <c r="V23" s="20">
        <v>29219880</v>
      </c>
      <c r="W23" s="21">
        <v>71.131954800000003</v>
      </c>
      <c r="X23" s="21">
        <v>73.897981200000004</v>
      </c>
      <c r="Y23" s="21">
        <v>35.793919199999998</v>
      </c>
      <c r="Z23" s="21">
        <v>43.746648</v>
      </c>
      <c r="AA23" s="21">
        <v>42.599469200000001</v>
      </c>
      <c r="AB23" s="22">
        <v>38047.800000000003</v>
      </c>
      <c r="AC23" s="22">
        <v>41112.5</v>
      </c>
      <c r="AD23" s="22">
        <v>61.341999999999999</v>
      </c>
      <c r="AE23" s="22">
        <v>191.58799999999999</v>
      </c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19"/>
      <c r="AO23" s="19"/>
      <c r="AP23" s="19"/>
      <c r="AQ23" s="20"/>
      <c r="AR23" s="20"/>
      <c r="AS23" s="20"/>
      <c r="AT23" s="20"/>
      <c r="AU23" s="21"/>
      <c r="AV23" s="21"/>
      <c r="AW23" s="21"/>
      <c r="AX23" s="21"/>
      <c r="AY23" s="21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</row>
    <row r="24" spans="1:71" outlineLevel="1" x14ac:dyDescent="0.3">
      <c r="A24" s="45"/>
      <c r="B24" s="45" t="s">
        <v>279</v>
      </c>
      <c r="C24" s="46" t="s">
        <v>270</v>
      </c>
      <c r="D24" s="45">
        <v>250602891</v>
      </c>
      <c r="E24" s="46">
        <v>10</v>
      </c>
      <c r="F24" s="46">
        <v>250</v>
      </c>
      <c r="G24" s="46">
        <v>50</v>
      </c>
      <c r="I24" s="47">
        <f t="shared" si="0"/>
        <v>18.2634112</v>
      </c>
      <c r="J24" s="48">
        <f t="shared" si="1"/>
        <v>0.36438947545900419</v>
      </c>
      <c r="K24" s="48">
        <f t="shared" si="2"/>
        <v>0.12358564530686121</v>
      </c>
      <c r="L24" s="48">
        <f t="shared" si="3"/>
        <v>8.8524246114942071E-2</v>
      </c>
      <c r="M24" s="48">
        <f t="shared" si="4"/>
        <v>0.24079230594350964</v>
      </c>
      <c r="N24" s="45">
        <f t="shared" si="5"/>
        <v>30970920</v>
      </c>
      <c r="O24" s="48">
        <f t="shared" si="6"/>
        <v>0.37280153953220135</v>
      </c>
      <c r="P24" s="49">
        <v>244948173</v>
      </c>
      <c r="Q24" s="49">
        <v>979792.69200000004</v>
      </c>
      <c r="R24" s="49">
        <v>18094.527999999998</v>
      </c>
      <c r="S24" s="50">
        <v>91317056</v>
      </c>
      <c r="T24" s="50">
        <v>22184432</v>
      </c>
      <c r="U24" s="50">
        <v>8786488</v>
      </c>
      <c r="V24" s="50">
        <v>60343248</v>
      </c>
      <c r="W24" s="51">
        <v>72.05847</v>
      </c>
      <c r="X24" s="51">
        <v>76.014106399999903</v>
      </c>
      <c r="Y24" s="51">
        <v>37.292049200000001</v>
      </c>
      <c r="Z24" s="51">
        <v>44.739818800000002</v>
      </c>
      <c r="AA24" s="51">
        <v>43.459710800000003</v>
      </c>
      <c r="AB24" s="52">
        <v>38641.599999999999</v>
      </c>
      <c r="AC24" s="52">
        <v>46294.5</v>
      </c>
      <c r="AD24" s="52">
        <v>59.817</v>
      </c>
      <c r="AE24" s="52">
        <v>207.42500000000001</v>
      </c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49"/>
      <c r="AO24" s="49"/>
      <c r="AP24" s="49"/>
      <c r="AQ24" s="50"/>
      <c r="AR24" s="50"/>
      <c r="AS24" s="50"/>
      <c r="AT24" s="50"/>
      <c r="AU24" s="51"/>
      <c r="AV24" s="51"/>
      <c r="AW24" s="51"/>
      <c r="AX24" s="51"/>
      <c r="AY24" s="5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</row>
    <row r="25" spans="1:71" x14ac:dyDescent="0.3">
      <c r="A25" s="15" t="s">
        <v>283</v>
      </c>
      <c r="B25" s="15" t="s">
        <v>282</v>
      </c>
      <c r="C25" s="16" t="s">
        <v>266</v>
      </c>
      <c r="D25" s="15">
        <v>250294582</v>
      </c>
      <c r="E25" s="16">
        <v>10</v>
      </c>
      <c r="F25" s="16">
        <v>300</v>
      </c>
      <c r="G25" s="16">
        <v>30</v>
      </c>
      <c r="I25" s="17">
        <f t="shared" si="0"/>
        <v>2.3961936000000001</v>
      </c>
      <c r="J25" s="18">
        <f t="shared" si="1"/>
        <v>9.5734936843339266E-2</v>
      </c>
      <c r="K25" s="18">
        <f t="shared" si="2"/>
        <v>6.0605291088562198E-2</v>
      </c>
      <c r="L25" s="18">
        <f t="shared" si="3"/>
        <v>3.5447383355665288E-2</v>
      </c>
      <c r="M25" s="18">
        <f t="shared" si="4"/>
        <v>3.5115358589743663E-2</v>
      </c>
      <c r="N25" s="15">
        <f t="shared" si="5"/>
        <v>15169176</v>
      </c>
      <c r="O25" s="18">
        <f t="shared" si="6"/>
        <v>0.10333095881070881</v>
      </c>
      <c r="P25" s="19">
        <v>231895032</v>
      </c>
      <c r="Q25" s="19">
        <v>772983.44</v>
      </c>
      <c r="R25" s="19">
        <v>19450.04</v>
      </c>
      <c r="S25" s="20">
        <v>23961936</v>
      </c>
      <c r="T25" s="20">
        <v>8872288</v>
      </c>
      <c r="U25" s="20">
        <v>6296888</v>
      </c>
      <c r="V25" s="20">
        <v>8789184</v>
      </c>
      <c r="W25" s="21">
        <v>66.381963666666707</v>
      </c>
      <c r="X25" s="21">
        <v>68.133050666666605</v>
      </c>
      <c r="Y25" s="21">
        <v>25.927326333333301</v>
      </c>
      <c r="Z25" s="21">
        <v>32.423133333333297</v>
      </c>
      <c r="AA25" s="21">
        <v>31.6197293333333</v>
      </c>
      <c r="AB25" s="22">
        <v>36954</v>
      </c>
      <c r="AC25" s="22">
        <v>59207.4</v>
      </c>
      <c r="AD25" s="22">
        <v>62.451999999999998</v>
      </c>
      <c r="AE25" s="22">
        <v>269.66800000000001</v>
      </c>
      <c r="AG25" s="17" t="str">
        <f t="shared" si="7"/>
        <v>·</v>
      </c>
      <c r="AH25" s="18" t="str">
        <f t="shared" si="8"/>
        <v>·</v>
      </c>
      <c r="AI25" s="18" t="str">
        <f t="shared" si="9"/>
        <v>·</v>
      </c>
      <c r="AJ25" s="18" t="str">
        <f t="shared" si="10"/>
        <v>·</v>
      </c>
      <c r="AK25" s="18" t="str">
        <f t="shared" si="11"/>
        <v>·</v>
      </c>
      <c r="AL25" s="15" t="str">
        <f t="shared" si="12"/>
        <v/>
      </c>
      <c r="AM25" s="18" t="str">
        <f t="shared" si="13"/>
        <v>·</v>
      </c>
      <c r="AN25" s="19"/>
      <c r="AO25" s="19"/>
      <c r="AP25" s="19"/>
      <c r="AQ25" s="20"/>
      <c r="AR25" s="20"/>
      <c r="AS25" s="20"/>
      <c r="AT25" s="20"/>
      <c r="AU25" s="21"/>
      <c r="AV25" s="21"/>
      <c r="AW25" s="21"/>
      <c r="AX25" s="21"/>
      <c r="AY25" s="21"/>
      <c r="AZ25" s="22"/>
      <c r="BA25" s="22"/>
      <c r="BB25" s="22"/>
      <c r="BC25" s="22"/>
      <c r="BE25" s="23" t="e">
        <f t="shared" si="14"/>
        <v>#DIV/0!</v>
      </c>
      <c r="BF25" s="23" t="e">
        <f t="shared" si="15"/>
        <v>#VALUE!</v>
      </c>
      <c r="BG25" s="23" t="e">
        <f t="array" ref="BG25">AVERAGE(AL25:AL29/AQ25:AQ29) - AVERAGE(N25:N29/S25:S29)</f>
        <v>#VALUE!</v>
      </c>
      <c r="BI25" s="24" t="str">
        <f>IF( OR(ISBLANK(N25:N29),ISBLANK(AL25:AL29), ISBLANK(W25:W29),ISBLANK(AU25:AU29)), "·", bdRateExtend( N25:N29,W25:W29, AL25:AL29,AU25:AU29))</f>
        <v>·</v>
      </c>
      <c r="BJ25" s="24" t="str">
        <f>IF( OR(ISBLANK(N25:N29),ISBLANK(AL25:AL29), ISBLANK(X25:X29),ISBLANK(AV25:AV29)), "·", bdRateExtend( N25:N29,X25:X29, AL25:AL29,AV25:AV29))</f>
        <v>·</v>
      </c>
      <c r="BK25" s="24" t="str">
        <f>IF( OR(ISBLANK(V25:V29),ISBLANK(AT25:AT29), ISBLANK(Y25:Y29),ISBLANK(AW25:AW29)), "·", bdRateExtend( V25:V29,Y25:Y29, AT25:AT29,AW25:AW29))</f>
        <v>·</v>
      </c>
      <c r="BL25" s="24" t="str">
        <f>IF( OR(ISBLANK(V25:V29),ISBLANK(AT25:AT29), ISBLANK(Z25:Z29),ISBLANK(AX25:AX29)), "·", bdRateExtend( V25:V29,Z25:Z29, AT25:AT29,AX25:AX29))</f>
        <v>·</v>
      </c>
      <c r="BM25" s="24" t="str">
        <f>IF( OR(ISBLANK(V25:V29),ISBLANK(AT25:AT29), ISBLANK(AA25:AA29),ISBLANK(AY25:AY29)), "·", bdRateExtend( V25:V29,AA25:AA29, AT25:AT29,AY25:AY29))</f>
        <v>·</v>
      </c>
      <c r="BO25" s="24" t="str">
        <f>IF( OR(ISBLANK(S25:S29),ISBLANK(AQ25:AQ29), ISBLANK(W25:W29),ISBLANK(AU25:AU29)), "·", bdRateExtend( S25:S29,W25:W29, AQ25:AQ29,AU25:AU29))</f>
        <v>·</v>
      </c>
      <c r="BP25" s="24" t="str">
        <f>IF( OR(ISBLANK(S25:S29),ISBLANK(AQ25:AQ29), ISBLANK(X25:X29),ISBLANK(AV25:AV29)), "·", bdRateExtend( S25:S29,X25:X29, AQ25:AQ29,AV25:AV29))</f>
        <v>·</v>
      </c>
      <c r="BQ25" s="24" t="str">
        <f>IF( OR(ISBLANK(S25:S29),ISBLANK(AQ25:AQ29), ISBLANK(Y25:Y29),ISBLANK(AW25:AW29)), "·", bdRateExtend( S25:S29,Y25:Y29, AQ25:AQ29,AW25:AW29))</f>
        <v>·</v>
      </c>
      <c r="BR25" s="24" t="str">
        <f>IF( OR(ISBLANK(S25:S29),ISBLANK(AQ25:AQ29), ISBLANK(Z25:Z29),ISBLANK(AX25:AX29)), "·", bdRateExtend( S25:S29,Z25:Z29, AQ25:AQ29,AX25:AX29))</f>
        <v>·</v>
      </c>
      <c r="BS25" s="24" t="str">
        <f>IF( OR(ISBLANK(S25:S29),ISBLANK(AQ25:AQ29), ISBLANK(AA25:AA29),ISBLANK(AY25:AY29)), "·", bdRateExtend( S25:S29,AA25:AA29, AQ25:AQ29,AY25:AY29))</f>
        <v>·</v>
      </c>
    </row>
    <row r="26" spans="1:71" outlineLevel="1" x14ac:dyDescent="0.3">
      <c r="A26" s="25"/>
      <c r="B26" s="25" t="s">
        <v>282</v>
      </c>
      <c r="C26" s="26" t="s">
        <v>267</v>
      </c>
      <c r="D26" s="25">
        <v>250294582</v>
      </c>
      <c r="E26" s="26">
        <v>10</v>
      </c>
      <c r="F26" s="26">
        <v>300</v>
      </c>
      <c r="G26" s="26">
        <v>30</v>
      </c>
      <c r="I26" s="27">
        <f t="shared" si="0"/>
        <v>3.6569512000000004</v>
      </c>
      <c r="J26" s="28">
        <f t="shared" si="1"/>
        <v>0.1461058873419801</v>
      </c>
      <c r="K26" s="28">
        <f t="shared" si="2"/>
        <v>7.3681275290249787E-2</v>
      </c>
      <c r="L26" s="28">
        <f t="shared" si="3"/>
        <v>4.8523367557352877E-2</v>
      </c>
      <c r="M26" s="28">
        <f t="shared" si="4"/>
        <v>7.2410324886696908E-2</v>
      </c>
      <c r="N26" s="25">
        <f t="shared" si="5"/>
        <v>18442024</v>
      </c>
      <c r="O26" s="28">
        <f t="shared" si="6"/>
        <v>0.14775044083408981</v>
      </c>
      <c r="P26" s="29">
        <v>247508649</v>
      </c>
      <c r="Q26" s="29">
        <v>825028.83</v>
      </c>
      <c r="R26" s="29">
        <v>24325.506666666701</v>
      </c>
      <c r="S26" s="30">
        <v>36569512</v>
      </c>
      <c r="T26" s="30">
        <v>12145136</v>
      </c>
      <c r="U26" s="30">
        <v>6296888</v>
      </c>
      <c r="V26" s="30">
        <v>18123912</v>
      </c>
      <c r="W26" s="31">
        <v>68.127035333333296</v>
      </c>
      <c r="X26" s="31">
        <v>70.132322666666695</v>
      </c>
      <c r="Y26" s="31">
        <v>28.001687666666701</v>
      </c>
      <c r="Z26" s="31">
        <v>33.670530999999997</v>
      </c>
      <c r="AA26" s="31">
        <v>33.084321666666703</v>
      </c>
      <c r="AB26" s="32">
        <v>37001.599999999999</v>
      </c>
      <c r="AC26" s="32">
        <v>62648.2</v>
      </c>
      <c r="AD26" s="32">
        <v>64.412000000000006</v>
      </c>
      <c r="AE26" s="32">
        <v>272.25</v>
      </c>
      <c r="AG26" s="27" t="str">
        <f t="shared" si="7"/>
        <v>·</v>
      </c>
      <c r="AH26" s="28" t="str">
        <f t="shared" si="8"/>
        <v>·</v>
      </c>
      <c r="AI26" s="28" t="str">
        <f t="shared" si="9"/>
        <v>·</v>
      </c>
      <c r="AJ26" s="28" t="str">
        <f t="shared" si="10"/>
        <v>·</v>
      </c>
      <c r="AK26" s="28" t="str">
        <f t="shared" si="11"/>
        <v>·</v>
      </c>
      <c r="AL26" s="25" t="str">
        <f t="shared" si="12"/>
        <v/>
      </c>
      <c r="AM26" s="28" t="str">
        <f t="shared" si="13"/>
        <v>·</v>
      </c>
      <c r="AN26" s="29"/>
      <c r="AO26" s="29"/>
      <c r="AP26" s="29"/>
      <c r="AQ26" s="30"/>
      <c r="AR26" s="30"/>
      <c r="AS26" s="30"/>
      <c r="AT26" s="30"/>
      <c r="AU26" s="31"/>
      <c r="AV26" s="31"/>
      <c r="AW26" s="31"/>
      <c r="AX26" s="31"/>
      <c r="AY26" s="31"/>
      <c r="AZ26" s="32"/>
      <c r="BA26" s="32"/>
      <c r="BB26" s="32"/>
      <c r="BC26" s="32"/>
      <c r="BE26" s="33" t="e">
        <f t="shared" si="14"/>
        <v>#DIV/0!</v>
      </c>
      <c r="BF26" s="33" t="e">
        <f t="shared" si="15"/>
        <v>#VALUE!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</row>
    <row r="27" spans="1:71" outlineLevel="1" x14ac:dyDescent="0.3">
      <c r="A27" s="15"/>
      <c r="B27" s="15" t="s">
        <v>282</v>
      </c>
      <c r="C27" s="16" t="s">
        <v>268</v>
      </c>
      <c r="D27" s="15">
        <v>250294582</v>
      </c>
      <c r="E27" s="16">
        <v>10</v>
      </c>
      <c r="F27" s="16">
        <v>300</v>
      </c>
      <c r="G27" s="16">
        <v>30</v>
      </c>
      <c r="I27" s="17">
        <f t="shared" si="0"/>
        <v>6.2076647999999999</v>
      </c>
      <c r="J27" s="18">
        <f t="shared" si="1"/>
        <v>0.24801434974729097</v>
      </c>
      <c r="K27" s="18">
        <f t="shared" si="2"/>
        <v>9.2571560338449516E-2</v>
      </c>
      <c r="L27" s="18">
        <f t="shared" si="3"/>
        <v>6.7413652605552599E-2</v>
      </c>
      <c r="M27" s="18">
        <f t="shared" si="4"/>
        <v>0.15542850224380805</v>
      </c>
      <c r="N27" s="15">
        <f t="shared" si="5"/>
        <v>23170160</v>
      </c>
      <c r="O27" s="18">
        <f t="shared" si="6"/>
        <v>0.2480346735716408</v>
      </c>
      <c r="P27" s="19">
        <v>250274073</v>
      </c>
      <c r="Q27" s="19">
        <v>834246.91</v>
      </c>
      <c r="R27" s="19">
        <v>25643.293333333299</v>
      </c>
      <c r="S27" s="20">
        <v>62076648</v>
      </c>
      <c r="T27" s="20">
        <v>16873272</v>
      </c>
      <c r="U27" s="20">
        <v>6296888</v>
      </c>
      <c r="V27" s="20">
        <v>38902912</v>
      </c>
      <c r="W27" s="21">
        <v>69.480578333333298</v>
      </c>
      <c r="X27" s="21">
        <v>71.858520666666607</v>
      </c>
      <c r="Y27" s="21">
        <v>30.310881666666599</v>
      </c>
      <c r="Z27" s="21">
        <v>34.951973000000002</v>
      </c>
      <c r="AA27" s="21">
        <v>34.447676333333298</v>
      </c>
      <c r="AB27" s="22">
        <v>36751</v>
      </c>
      <c r="AC27" s="22">
        <v>67089</v>
      </c>
      <c r="AD27" s="22">
        <v>59.896000000000001</v>
      </c>
      <c r="AE27" s="22">
        <v>266.505</v>
      </c>
      <c r="AG27" s="17" t="str">
        <f t="shared" si="7"/>
        <v>·</v>
      </c>
      <c r="AH27" s="18" t="str">
        <f t="shared" si="8"/>
        <v>·</v>
      </c>
      <c r="AI27" s="18" t="str">
        <f t="shared" si="9"/>
        <v>·</v>
      </c>
      <c r="AJ27" s="18" t="str">
        <f t="shared" si="10"/>
        <v>·</v>
      </c>
      <c r="AK27" s="18" t="str">
        <f t="shared" si="11"/>
        <v>·</v>
      </c>
      <c r="AL27" s="15" t="str">
        <f t="shared" si="12"/>
        <v/>
      </c>
      <c r="AM27" s="18" t="str">
        <f t="shared" si="13"/>
        <v>·</v>
      </c>
      <c r="AN27" s="19"/>
      <c r="AO27" s="19"/>
      <c r="AP27" s="19"/>
      <c r="AQ27" s="20"/>
      <c r="AR27" s="20"/>
      <c r="AS27" s="20"/>
      <c r="AT27" s="20"/>
      <c r="AU27" s="21"/>
      <c r="AV27" s="21"/>
      <c r="AW27" s="21"/>
      <c r="AX27" s="21"/>
      <c r="AY27" s="21"/>
      <c r="AZ27" s="22"/>
      <c r="BA27" s="22"/>
      <c r="BB27" s="22"/>
      <c r="BC27" s="22"/>
      <c r="BE27" s="23" t="e">
        <f t="shared" si="14"/>
        <v>#DIV/0!</v>
      </c>
      <c r="BF27" s="23" t="e">
        <f t="shared" si="15"/>
        <v>#VALUE!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</row>
    <row r="28" spans="1:71" outlineLevel="1" x14ac:dyDescent="0.3">
      <c r="A28" s="25"/>
      <c r="B28" s="25" t="s">
        <v>282</v>
      </c>
      <c r="C28" s="26" t="s">
        <v>269</v>
      </c>
      <c r="D28" s="25">
        <v>250294582</v>
      </c>
      <c r="E28" s="26">
        <v>10</v>
      </c>
      <c r="F28" s="26">
        <v>300</v>
      </c>
      <c r="G28" s="26">
        <v>30</v>
      </c>
      <c r="I28" s="27">
        <f t="shared" si="0"/>
        <v>12.5424136</v>
      </c>
      <c r="J28" s="28">
        <f t="shared" si="1"/>
        <v>0.50110607667887908</v>
      </c>
      <c r="K28" s="28">
        <f t="shared" si="2"/>
        <v>0.1254280765853733</v>
      </c>
      <c r="L28" s="28">
        <f t="shared" si="3"/>
        <v>0.1002701688524764</v>
      </c>
      <c r="M28" s="28">
        <f t="shared" si="4"/>
        <v>0.37566371292847239</v>
      </c>
      <c r="N28" s="25">
        <f t="shared" si="5"/>
        <v>31393968</v>
      </c>
      <c r="O28" s="28">
        <f t="shared" si="6"/>
        <v>0.48211782587252539</v>
      </c>
      <c r="P28" s="29">
        <v>260152455</v>
      </c>
      <c r="Q28" s="29">
        <v>867174.85</v>
      </c>
      <c r="R28" s="29">
        <v>29311.546666666702</v>
      </c>
      <c r="S28" s="30">
        <v>125424136</v>
      </c>
      <c r="T28" s="30">
        <v>25097080</v>
      </c>
      <c r="U28" s="30">
        <v>6296888</v>
      </c>
      <c r="V28" s="30">
        <v>94026592</v>
      </c>
      <c r="W28" s="31">
        <v>70.477064333333402</v>
      </c>
      <c r="X28" s="31">
        <v>73.059542666666601</v>
      </c>
      <c r="Y28" s="31">
        <v>32.8247796666667</v>
      </c>
      <c r="Z28" s="31">
        <v>36.528131333333299</v>
      </c>
      <c r="AA28" s="31">
        <v>36.029995333333403</v>
      </c>
      <c r="AB28" s="32">
        <v>36794.199999999997</v>
      </c>
      <c r="AC28" s="32">
        <v>72383.600000000006</v>
      </c>
      <c r="AD28" s="32">
        <v>61.51</v>
      </c>
      <c r="AE28" s="32">
        <v>269.63400000000001</v>
      </c>
      <c r="AG28" s="27" t="str">
        <f t="shared" si="7"/>
        <v>·</v>
      </c>
      <c r="AH28" s="28" t="str">
        <f t="shared" si="8"/>
        <v>·</v>
      </c>
      <c r="AI28" s="28" t="str">
        <f t="shared" si="9"/>
        <v>·</v>
      </c>
      <c r="AJ28" s="28" t="str">
        <f t="shared" si="10"/>
        <v>·</v>
      </c>
      <c r="AK28" s="28" t="str">
        <f t="shared" si="11"/>
        <v>·</v>
      </c>
      <c r="AL28" s="25" t="str">
        <f t="shared" si="12"/>
        <v/>
      </c>
      <c r="AM28" s="28" t="str">
        <f t="shared" si="13"/>
        <v>·</v>
      </c>
      <c r="AN28" s="29"/>
      <c r="AO28" s="29"/>
      <c r="AP28" s="29"/>
      <c r="AQ28" s="30"/>
      <c r="AR28" s="30"/>
      <c r="AS28" s="30"/>
      <c r="AT28" s="30"/>
      <c r="AU28" s="31"/>
      <c r="AV28" s="31"/>
      <c r="AW28" s="31"/>
      <c r="AX28" s="31"/>
      <c r="AY28" s="31"/>
      <c r="AZ28" s="32"/>
      <c r="BA28" s="32"/>
      <c r="BB28" s="32"/>
      <c r="BC28" s="32"/>
      <c r="BE28" s="33" t="e">
        <f t="shared" si="14"/>
        <v>#DIV/0!</v>
      </c>
      <c r="BF28" s="33" t="e">
        <f t="shared" si="15"/>
        <v>#VALUE!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</row>
    <row r="29" spans="1:71" outlineLevel="1" x14ac:dyDescent="0.3">
      <c r="A29" s="35"/>
      <c r="B29" s="35" t="s">
        <v>282</v>
      </c>
      <c r="C29" s="36" t="s">
        <v>270</v>
      </c>
      <c r="D29" s="35">
        <v>250294582</v>
      </c>
      <c r="E29" s="36">
        <v>10</v>
      </c>
      <c r="F29" s="36">
        <v>300</v>
      </c>
      <c r="G29" s="36">
        <v>30</v>
      </c>
      <c r="I29" s="37">
        <f t="shared" si="0"/>
        <v>28.9380472</v>
      </c>
      <c r="J29" s="38">
        <f t="shared" si="1"/>
        <v>1.1561595528264372</v>
      </c>
      <c r="K29" s="38">
        <f t="shared" si="2"/>
        <v>0.20628534420293604</v>
      </c>
      <c r="L29" s="38">
        <f t="shared" si="3"/>
        <v>0.15667308371860802</v>
      </c>
      <c r="M29" s="38">
        <f t="shared" si="4"/>
        <v>0.94985992145846765</v>
      </c>
      <c r="N29" s="35">
        <f t="shared" si="5"/>
        <v>51632104</v>
      </c>
      <c r="O29" s="38">
        <f t="shared" si="6"/>
        <v>1.163134173224593</v>
      </c>
      <c r="P29" s="39">
        <v>248793715</v>
      </c>
      <c r="Q29" s="39">
        <v>829312.38333333295</v>
      </c>
      <c r="R29" s="39">
        <v>13074.65</v>
      </c>
      <c r="S29" s="40">
        <v>289380472</v>
      </c>
      <c r="T29" s="40">
        <v>39214424</v>
      </c>
      <c r="U29" s="40">
        <v>12417680</v>
      </c>
      <c r="V29" s="40">
        <v>237744792</v>
      </c>
      <c r="W29" s="41">
        <v>71.563840999999996</v>
      </c>
      <c r="X29" s="41">
        <v>74.9783373333333</v>
      </c>
      <c r="Y29" s="41">
        <v>35.465626999999998</v>
      </c>
      <c r="Z29" s="41">
        <v>38.558174333333298</v>
      </c>
      <c r="AA29" s="41">
        <v>38.001342666666702</v>
      </c>
      <c r="AB29" s="42">
        <v>37066.5</v>
      </c>
      <c r="AC29" s="42">
        <v>81998.7</v>
      </c>
      <c r="AD29" s="42">
        <v>63.103999999999999</v>
      </c>
      <c r="AE29" s="42">
        <v>314.49200000000002</v>
      </c>
      <c r="AG29" s="37" t="str">
        <f t="shared" si="7"/>
        <v>·</v>
      </c>
      <c r="AH29" s="38" t="str">
        <f t="shared" si="8"/>
        <v>·</v>
      </c>
      <c r="AI29" s="38" t="str">
        <f t="shared" si="9"/>
        <v>·</v>
      </c>
      <c r="AJ29" s="38" t="str">
        <f t="shared" si="10"/>
        <v>·</v>
      </c>
      <c r="AK29" s="38" t="str">
        <f t="shared" si="11"/>
        <v>·</v>
      </c>
      <c r="AL29" s="35" t="str">
        <f t="shared" si="12"/>
        <v/>
      </c>
      <c r="AM29" s="38" t="str">
        <f t="shared" si="13"/>
        <v>·</v>
      </c>
      <c r="AN29" s="39"/>
      <c r="AO29" s="39"/>
      <c r="AP29" s="39"/>
      <c r="AQ29" s="40"/>
      <c r="AR29" s="40"/>
      <c r="AS29" s="40"/>
      <c r="AT29" s="40"/>
      <c r="AU29" s="41"/>
      <c r="AV29" s="41"/>
      <c r="AW29" s="41"/>
      <c r="AX29" s="41"/>
      <c r="AY29" s="41"/>
      <c r="AZ29" s="42"/>
      <c r="BA29" s="42"/>
      <c r="BB29" s="42"/>
      <c r="BC29" s="42"/>
      <c r="BE29" s="43" t="e">
        <f t="shared" si="14"/>
        <v>#DIV/0!</v>
      </c>
      <c r="BF29" s="43" t="e">
        <f t="shared" si="15"/>
        <v>#VALUE!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</row>
    <row r="30" spans="1:71" x14ac:dyDescent="0.3">
      <c r="B30" s="55" t="s">
        <v>286</v>
      </c>
      <c r="J30" s="56">
        <f>AVERAGE(J5:J24)</f>
        <v>0.20056704657616736</v>
      </c>
      <c r="K30" s="56">
        <f>AVERAGE(K5:K24)</f>
        <v>9.9125827752301443E-2</v>
      </c>
      <c r="L30" s="56">
        <f>AVERAGE(L5:L24)</f>
        <v>7.0087383524151642E-2</v>
      </c>
      <c r="M30" s="56">
        <f>AVERAGE(M5:M24)</f>
        <v>0.10142771381809992</v>
      </c>
      <c r="AH30" s="56" t="e">
        <f>AVERAGE(AH5:AH24)</f>
        <v>#DIV/0!</v>
      </c>
      <c r="AI30" s="56" t="e">
        <f>AVERAGE(AI5:AI24)</f>
        <v>#DIV/0!</v>
      </c>
      <c r="AJ30" s="56" t="e">
        <f>AVERAGE(AJ5:AJ24)</f>
        <v>#DIV/0!</v>
      </c>
      <c r="AK30" s="56" t="e">
        <f>AVERAGE(AK5:AK24)</f>
        <v>#DIV/0!</v>
      </c>
      <c r="BG30" s="8" t="e">
        <f>AVERAGE(BG5:BG24)</f>
        <v>#VALUE!</v>
      </c>
      <c r="BI30" s="5" t="e">
        <f>AVERAGE(BI5:BI24)</f>
        <v>#DIV/0!</v>
      </c>
      <c r="BJ30" s="5" t="e">
        <f>AVERAGE(BJ5:BJ24)</f>
        <v>#DIV/0!</v>
      </c>
      <c r="BK30" s="5" t="e">
        <f>AVERAGE(BK5:BK24)</f>
        <v>#DIV/0!</v>
      </c>
      <c r="BL30" s="5" t="e">
        <f>AVERAGE(BL5:BL24)</f>
        <v>#DIV/0!</v>
      </c>
      <c r="BM30" s="5" t="e">
        <f>AVERAGE(BM5:BM24)</f>
        <v>#DIV/0!</v>
      </c>
      <c r="BO30" s="5" t="e">
        <f>AVERAGE(BO5:BO24)</f>
        <v>#DIV/0!</v>
      </c>
      <c r="BP30" s="5" t="e">
        <f>AVERAGE(BP5:BP24)</f>
        <v>#DIV/0!</v>
      </c>
      <c r="BQ30" s="5" t="e">
        <f>AVERAGE(BQ5:BQ24)</f>
        <v>#DIV/0!</v>
      </c>
      <c r="BR30" s="5" t="e">
        <f>AVERAGE(BR5:BR24)</f>
        <v>#DIV/0!</v>
      </c>
      <c r="BS30" s="5" t="e">
        <f>AVERAGE(BS5:BS24)</f>
        <v>#DIV/0!</v>
      </c>
    </row>
    <row r="31" spans="1:71" x14ac:dyDescent="0.3">
      <c r="B31" s="55" t="s">
        <v>287</v>
      </c>
      <c r="J31" s="56">
        <f>AVERAGE(J25:J29)</f>
        <v>0.42942416068758532</v>
      </c>
      <c r="K31" s="56">
        <f>AVERAGE(K25:K29)</f>
        <v>0.11171430950111416</v>
      </c>
      <c r="L31" s="56">
        <f>AVERAGE(L25:L29)</f>
        <v>8.1665531217931034E-2</v>
      </c>
      <c r="M31" s="56">
        <f>AVERAGE(M25:M29)</f>
        <v>0.31769556402143773</v>
      </c>
      <c r="AH31" s="56" t="e">
        <f>AVERAGE(AH25:AH29)</f>
        <v>#DIV/0!</v>
      </c>
      <c r="AI31" s="56" t="e">
        <f>AVERAGE(AI25:AI29)</f>
        <v>#DIV/0!</v>
      </c>
      <c r="AJ31" s="56" t="e">
        <f>AVERAGE(AJ25:AJ29)</f>
        <v>#DIV/0!</v>
      </c>
      <c r="AK31" s="56" t="e">
        <f>AVERAGE(AK25:AK29)</f>
        <v>#DIV/0!</v>
      </c>
      <c r="BG31" s="8" t="e">
        <f>AVERAGE(BG25:BG29)</f>
        <v>#VALUE!</v>
      </c>
      <c r="BI31" s="5" t="e">
        <f>AVERAGE(BI25:BI29)</f>
        <v>#DIV/0!</v>
      </c>
      <c r="BJ31" s="5" t="e">
        <f>AVERAGE(BJ25:BJ29)</f>
        <v>#DIV/0!</v>
      </c>
      <c r="BK31" s="5" t="e">
        <f>AVERAGE(BK25:BK29)</f>
        <v>#DIV/0!</v>
      </c>
      <c r="BL31" s="5" t="e">
        <f>AVERAGE(BL25:BL29)</f>
        <v>#DIV/0!</v>
      </c>
      <c r="BM31" s="5" t="e">
        <f>AVERAGE(BM25:BM29)</f>
        <v>#DIV/0!</v>
      </c>
      <c r="BO31" s="5" t="e">
        <f>AVERAGE(BO25:BO29)</f>
        <v>#DIV/0!</v>
      </c>
      <c r="BP31" s="5" t="e">
        <f>AVERAGE(BP25:BP29)</f>
        <v>#DIV/0!</v>
      </c>
      <c r="BQ31" s="5" t="e">
        <f>AVERAGE(BQ25:BQ29)</f>
        <v>#DIV/0!</v>
      </c>
      <c r="BR31" s="5" t="e">
        <f>AVERAGE(BR25:BR29)</f>
        <v>#DIV/0!</v>
      </c>
      <c r="BS31" s="5" t="e">
        <f>AVERAGE(BS25:BS29)</f>
        <v>#DIV/0!</v>
      </c>
    </row>
    <row r="32" spans="1:71" x14ac:dyDescent="0.3">
      <c r="B32" s="55" t="s">
        <v>288</v>
      </c>
      <c r="J32" s="56">
        <f>AVERAGE(J5:J29)</f>
        <v>0.24633846939845092</v>
      </c>
      <c r="K32" s="56">
        <f>AVERAGE(K5:K29)</f>
        <v>0.101643524102064</v>
      </c>
      <c r="L32" s="56">
        <f>AVERAGE(L5:L29)</f>
        <v>7.2403013062907515E-2</v>
      </c>
      <c r="M32" s="56">
        <f>AVERAGE(M5:M29)</f>
        <v>0.14468128385876747</v>
      </c>
      <c r="AH32" s="56" t="e">
        <f>AVERAGE(AH5:AH29)</f>
        <v>#DIV/0!</v>
      </c>
      <c r="AI32" s="56" t="e">
        <f>AVERAGE(AI5:AI29)</f>
        <v>#DIV/0!</v>
      </c>
      <c r="AJ32" s="56" t="e">
        <f>AVERAGE(AJ5:AJ29)</f>
        <v>#DIV/0!</v>
      </c>
      <c r="AK32" s="56" t="e">
        <f>AVERAGE(AK5:AK29)</f>
        <v>#DIV/0!</v>
      </c>
      <c r="BG32" s="8" t="e">
        <f>AVERAGE(BG5:BG29)</f>
        <v>#VALUE!</v>
      </c>
      <c r="BI32" s="5" t="e">
        <f>AVERAGE(BI5:BI29)</f>
        <v>#DIV/0!</v>
      </c>
      <c r="BJ32" s="5" t="e">
        <f>AVERAGE(BJ5:BJ29)</f>
        <v>#DIV/0!</v>
      </c>
      <c r="BK32" s="5" t="e">
        <f>AVERAGE(BK5:BK29)</f>
        <v>#DIV/0!</v>
      </c>
      <c r="BL32" s="5" t="e">
        <f>AVERAGE(BL5:BL29)</f>
        <v>#DIV/0!</v>
      </c>
      <c r="BM32" s="5" t="e">
        <f>AVERAGE(BM5:BM29)</f>
        <v>#DIV/0!</v>
      </c>
      <c r="BO32" s="5" t="e">
        <f>AVERAGE(BO5:BO29)</f>
        <v>#DIV/0!</v>
      </c>
      <c r="BP32" s="5" t="e">
        <f>AVERAGE(BP5:BP29)</f>
        <v>#DIV/0!</v>
      </c>
      <c r="BQ32" s="5" t="e">
        <f>AVERAGE(BQ5:BQ29)</f>
        <v>#DIV/0!</v>
      </c>
      <c r="BR32" s="5" t="e">
        <f>AVERAGE(BR5:BR29)</f>
        <v>#DIV/0!</v>
      </c>
      <c r="BS32" s="5" t="e">
        <f>AVERAGE(BS5:BS29)</f>
        <v>#DIV/0!</v>
      </c>
    </row>
    <row r="33" spans="1:55" hidden="1" outlineLevel="2" x14ac:dyDescent="0.3">
      <c r="A33" s="55" t="s">
        <v>289</v>
      </c>
      <c r="B33" s="55" t="s">
        <v>290</v>
      </c>
      <c r="AB33" s="57">
        <f>SUM(AB5:AB24,AB25:AB29)</f>
        <v>988157.7</v>
      </c>
      <c r="AC33" s="57">
        <f>SUM(AC5:AC24,AC25:AC29)</f>
        <v>1450054.7</v>
      </c>
      <c r="AD33" s="57">
        <f>SUM(AD5:AD24,AD25:AD29)</f>
        <v>1627.4340000000004</v>
      </c>
      <c r="AE33" s="57">
        <f>SUM(AE5:AE24,AE25:AE29)</f>
        <v>6259.71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291</v>
      </c>
      <c r="AZ34" s="8">
        <f>AZ33/AB33</f>
        <v>0</v>
      </c>
      <c r="BA34" s="8">
        <f>BA33/AC33</f>
        <v>0</v>
      </c>
      <c r="BB34" s="8">
        <f>BB33/AD33</f>
        <v>0</v>
      </c>
      <c r="BC34" s="8">
        <f>BC33/AE33</f>
        <v>0</v>
      </c>
    </row>
    <row r="35" spans="1:55" hidden="1" outlineLevel="2" x14ac:dyDescent="0.3">
      <c r="B35" s="55" t="s">
        <v>292</v>
      </c>
      <c r="AB35" s="57">
        <f>GEOMEAN(AB5:AB24,AB25:AB29)</f>
        <v>39418.797266553272</v>
      </c>
      <c r="AC35" s="57">
        <f>GEOMEAN(AC5:AC24,AC25:AC29)</f>
        <v>56594.756182960482</v>
      </c>
      <c r="AD35" s="57">
        <f>GEOMEAN(AD5:AD24,AD25:AD29)</f>
        <v>64.504081860395218</v>
      </c>
      <c r="AE35" s="57">
        <f>GEOMEAN(AE5:AE24,AE25:AE29)</f>
        <v>247.6774538586875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293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O2:O3"/>
    <mergeCell ref="P2:P3"/>
    <mergeCell ref="Q2:Q3"/>
    <mergeCell ref="R2:R3"/>
    <mergeCell ref="S2:V2"/>
    <mergeCell ref="W2:X2"/>
    <mergeCell ref="Y2:AA2"/>
    <mergeCell ref="AB2:AC2"/>
    <mergeCell ref="AD2:AE2"/>
    <mergeCell ref="AG2:AG3"/>
    <mergeCell ref="AH2:AK2"/>
    <mergeCell ref="AL2:AL3"/>
    <mergeCell ref="AM2:AM3"/>
    <mergeCell ref="AN2:AN3"/>
    <mergeCell ref="AO2:AO3"/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Ricard Julien</cp:lastModifiedBy>
  <dcterms:created xsi:type="dcterms:W3CDTF">2018-08-31T19:13:00Z</dcterms:created>
  <dcterms:modified xsi:type="dcterms:W3CDTF">2019-02-12T13:24:22Z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