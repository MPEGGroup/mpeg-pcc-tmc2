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1" defaultThemeVersion="124226"/>
  <mc:AlternateContent xmlns:mc="http://schemas.openxmlformats.org/markup-compatibility/2006">
    <mc:Choice Requires="x15">
      <x15ac:absPath xmlns:x15ac="http://schemas.microsoft.com/office/spreadsheetml/2010/11/ac" url="C:\Users\ricardj\Desktop\"/>
    </mc:Choice>
  </mc:AlternateContent>
  <xr:revisionPtr revIDLastSave="0" documentId="13_ncr:1_{6E30F3A1-BFCE-4F28-9334-8E1FFD94B5C9}"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BA45" i="7" s="1"/>
  <c r="AZ44" i="7"/>
  <c r="AZ45" i="7" s="1"/>
  <c r="AE44" i="7"/>
  <c r="AD44" i="7"/>
  <c r="AC44" i="7"/>
  <c r="AB44" i="7"/>
  <c r="BF39" i="7"/>
  <c r="AL39" i="7"/>
  <c r="AK39" i="7"/>
  <c r="AJ39" i="7"/>
  <c r="AH39" i="7"/>
  <c r="AG39" i="7"/>
  <c r="N39" i="7"/>
  <c r="K39" i="7" s="1"/>
  <c r="M39" i="7"/>
  <c r="L39" i="7"/>
  <c r="J39" i="7"/>
  <c r="I39" i="7"/>
  <c r="BF38" i="7"/>
  <c r="AL38" i="7"/>
  <c r="AI38" i="7" s="1"/>
  <c r="AK38" i="7"/>
  <c r="AJ38" i="7"/>
  <c r="AH38" i="7"/>
  <c r="AG38" i="7"/>
  <c r="N38" i="7"/>
  <c r="BG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BH35" i="7" s="1" a="1"/>
  <c r="AK35" i="7"/>
  <c r="AJ35" i="7"/>
  <c r="AH35" i="7"/>
  <c r="AG35" i="7"/>
  <c r="N35" i="7"/>
  <c r="M35" i="7"/>
  <c r="L35" i="7"/>
  <c r="K35" i="7"/>
  <c r="J35" i="7"/>
  <c r="I35" i="7"/>
  <c r="BF34" i="7"/>
  <c r="AL34" i="7"/>
  <c r="AK34" i="7"/>
  <c r="AJ34" i="7"/>
  <c r="AH34" i="7"/>
  <c r="AG34" i="7"/>
  <c r="N34" i="7"/>
  <c r="K34" i="7" s="1"/>
  <c r="M34" i="7"/>
  <c r="L34" i="7"/>
  <c r="J34" i="7"/>
  <c r="I34" i="7"/>
  <c r="BF33" i="7"/>
  <c r="AL33" i="7"/>
  <c r="BG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G31" i="7" s="1"/>
  <c r="AK31" i="7"/>
  <c r="AJ31" i="7"/>
  <c r="AH31" i="7"/>
  <c r="AG31" i="7"/>
  <c r="N31" i="7"/>
  <c r="M31" i="7"/>
  <c r="L31" i="7"/>
  <c r="K31" i="7"/>
  <c r="J31" i="7"/>
  <c r="I31" i="7"/>
  <c r="BF30" i="7"/>
  <c r="AL30" i="7"/>
  <c r="BH30" i="7" s="1" a="1"/>
  <c r="BH30" i="7" s="1"/>
  <c r="AK30" i="7"/>
  <c r="AJ30" i="7"/>
  <c r="AI30" i="7"/>
  <c r="AH30" i="7"/>
  <c r="AH42" i="7" s="1"/>
  <c r="AG30" i="7"/>
  <c r="N30" i="7"/>
  <c r="M30" i="7"/>
  <c r="L30" i="7"/>
  <c r="J30" i="7"/>
  <c r="I30" i="7"/>
  <c r="BF29" i="7"/>
  <c r="AL29" i="7"/>
  <c r="AI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M27" i="7"/>
  <c r="L27" i="7"/>
  <c r="J27" i="7"/>
  <c r="I27" i="7"/>
  <c r="BF26" i="7"/>
  <c r="AL26" i="7"/>
  <c r="BG26" i="7" s="1"/>
  <c r="AK26" i="7"/>
  <c r="AJ26" i="7"/>
  <c r="AH26" i="7"/>
  <c r="AG26" i="7"/>
  <c r="N26" i="7"/>
  <c r="K26" i="7" s="1"/>
  <c r="M26" i="7"/>
  <c r="L26" i="7"/>
  <c r="J26" i="7"/>
  <c r="I26" i="7"/>
  <c r="BF25" i="7"/>
  <c r="AL25" i="7"/>
  <c r="AI25" i="7" s="1"/>
  <c r="AK25" i="7"/>
  <c r="AK41" i="7" s="1"/>
  <c r="AJ25" i="7"/>
  <c r="AJ41" i="7" s="1"/>
  <c r="AH25" i="7"/>
  <c r="AG25" i="7"/>
  <c r="N25" i="7"/>
  <c r="K25" i="7" s="1"/>
  <c r="BE25" i="7" s="1"/>
  <c r="M25" i="7"/>
  <c r="M41" i="7" s="1"/>
  <c r="L25" i="7"/>
  <c r="J25" i="7"/>
  <c r="I25" i="7"/>
  <c r="BF24" i="7"/>
  <c r="AL24" i="7"/>
  <c r="AI24" i="7" s="1"/>
  <c r="AK24" i="7"/>
  <c r="AJ24" i="7"/>
  <c r="AH24" i="7"/>
  <c r="AG24" i="7"/>
  <c r="N24" i="7"/>
  <c r="K24" i="7" s="1"/>
  <c r="M24" i="7"/>
  <c r="L24" i="7"/>
  <c r="J24" i="7"/>
  <c r="I24" i="7"/>
  <c r="BF23" i="7"/>
  <c r="AL23" i="7"/>
  <c r="AI23" i="7" s="1"/>
  <c r="AK23" i="7"/>
  <c r="AJ23" i="7"/>
  <c r="AH23" i="7"/>
  <c r="AG23" i="7"/>
  <c r="N23" i="7"/>
  <c r="BG23" i="7" s="1"/>
  <c r="M23" i="7"/>
  <c r="L23" i="7"/>
  <c r="J23" i="7"/>
  <c r="I23" i="7"/>
  <c r="BF22" i="7"/>
  <c r="AL22" i="7"/>
  <c r="AI22" i="7" s="1"/>
  <c r="AK22" i="7"/>
  <c r="AJ22" i="7"/>
  <c r="AH22" i="7"/>
  <c r="AG22" i="7"/>
  <c r="N22" i="7"/>
  <c r="K22" i="7" s="1"/>
  <c r="M22" i="7"/>
  <c r="L22" i="7"/>
  <c r="J22" i="7"/>
  <c r="I22" i="7"/>
  <c r="BF21" i="7"/>
  <c r="AL21" i="7"/>
  <c r="AI21" i="7" s="1"/>
  <c r="AK21" i="7"/>
  <c r="AJ21" i="7"/>
  <c r="AH21" i="7"/>
  <c r="AG21" i="7"/>
  <c r="N21" i="7"/>
  <c r="M21" i="7"/>
  <c r="L21" i="7"/>
  <c r="K21" i="7"/>
  <c r="J21" i="7"/>
  <c r="I21" i="7"/>
  <c r="BF20" i="7"/>
  <c r="AL20" i="7"/>
  <c r="AI20" i="7" s="1"/>
  <c r="AK20" i="7"/>
  <c r="AJ20" i="7"/>
  <c r="AH20" i="7"/>
  <c r="AG20" i="7"/>
  <c r="N20" i="7"/>
  <c r="BG20" i="7" s="1"/>
  <c r="M20" i="7"/>
  <c r="L20" i="7"/>
  <c r="K20" i="7"/>
  <c r="J20" i="7"/>
  <c r="I20" i="7"/>
  <c r="BF19" i="7"/>
  <c r="AL19" i="7"/>
  <c r="AI19" i="7" s="1"/>
  <c r="AK19" i="7"/>
  <c r="AJ19" i="7"/>
  <c r="AH19" i="7"/>
  <c r="AG19" i="7"/>
  <c r="N19" i="7"/>
  <c r="BG19" i="7" s="1"/>
  <c r="M19" i="7"/>
  <c r="L19" i="7"/>
  <c r="J19" i="7"/>
  <c r="I19" i="7"/>
  <c r="BF18" i="7"/>
  <c r="AL18" i="7"/>
  <c r="BG18" i="7" s="1"/>
  <c r="AK18" i="7"/>
  <c r="AJ18" i="7"/>
  <c r="AH18" i="7"/>
  <c r="AG18" i="7"/>
  <c r="N18" i="7"/>
  <c r="K18" i="7" s="1"/>
  <c r="M18" i="7"/>
  <c r="L18" i="7"/>
  <c r="J18" i="7"/>
  <c r="I18" i="7"/>
  <c r="BF17" i="7"/>
  <c r="AL17" i="7"/>
  <c r="BH15" i="7" s="1" a="1"/>
  <c r="AK17" i="7"/>
  <c r="AJ17" i="7"/>
  <c r="AH17" i="7"/>
  <c r="AG17" i="7"/>
  <c r="N17" i="7"/>
  <c r="M17" i="7"/>
  <c r="L17" i="7"/>
  <c r="K17" i="7"/>
  <c r="J17" i="7"/>
  <c r="I17" i="7"/>
  <c r="BF16" i="7"/>
  <c r="AL16" i="7"/>
  <c r="AI16" i="7" s="1"/>
  <c r="AK16" i="7"/>
  <c r="AJ16" i="7"/>
  <c r="AH16" i="7"/>
  <c r="AG16" i="7"/>
  <c r="N16" i="7"/>
  <c r="K16" i="7" s="1"/>
  <c r="M16" i="7"/>
  <c r="L16" i="7"/>
  <c r="J16" i="7"/>
  <c r="I16" i="7"/>
  <c r="BF15" i="7"/>
  <c r="AL15" i="7"/>
  <c r="AI15" i="7" s="1"/>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BE13" i="7" s="1"/>
  <c r="AK13" i="7"/>
  <c r="AJ13" i="7"/>
  <c r="AH13" i="7"/>
  <c r="AG13" i="7"/>
  <c r="N13" i="7"/>
  <c r="M13" i="7"/>
  <c r="L13" i="7"/>
  <c r="K13" i="7"/>
  <c r="J13" i="7"/>
  <c r="I13" i="7"/>
  <c r="BF12" i="7"/>
  <c r="AL12" i="7"/>
  <c r="BG12" i="7" s="1"/>
  <c r="AK12" i="7"/>
  <c r="AJ12" i="7"/>
  <c r="AI12" i="7"/>
  <c r="BE12" i="7" s="1"/>
  <c r="AH12" i="7"/>
  <c r="AG12" i="7"/>
  <c r="N12" i="7"/>
  <c r="M12" i="7"/>
  <c r="L12" i="7"/>
  <c r="K12" i="7"/>
  <c r="J12" i="7"/>
  <c r="I12" i="7"/>
  <c r="BF11" i="7"/>
  <c r="AL11" i="7"/>
  <c r="AK11" i="7"/>
  <c r="AJ11" i="7"/>
  <c r="AI11" i="7"/>
  <c r="AH11" i="7"/>
  <c r="AG11" i="7"/>
  <c r="N11" i="7"/>
  <c r="K11" i="7" s="1"/>
  <c r="M11" i="7"/>
  <c r="L11" i="7"/>
  <c r="J11" i="7"/>
  <c r="I11" i="7"/>
  <c r="BF10" i="7"/>
  <c r="AL10" i="7"/>
  <c r="AK10" i="7"/>
  <c r="AJ10" i="7"/>
  <c r="AI10" i="7"/>
  <c r="AH10" i="7"/>
  <c r="AG10" i="7"/>
  <c r="N10" i="7"/>
  <c r="M10" i="7"/>
  <c r="L10" i="7"/>
  <c r="K10" i="7"/>
  <c r="J10" i="7"/>
  <c r="I10" i="7"/>
  <c r="BF9" i="7"/>
  <c r="AL9" i="7"/>
  <c r="AI9" i="7" s="1"/>
  <c r="BE9" i="7" s="1"/>
  <c r="AK9" i="7"/>
  <c r="AJ9" i="7"/>
  <c r="AH9" i="7"/>
  <c r="AG9" i="7"/>
  <c r="N9" i="7"/>
  <c r="M9" i="7"/>
  <c r="L9" i="7"/>
  <c r="K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M6" i="7"/>
  <c r="L6" i="7"/>
  <c r="K6" i="7"/>
  <c r="J6" i="7"/>
  <c r="I6" i="7"/>
  <c r="BF5" i="7"/>
  <c r="AL5" i="7"/>
  <c r="AI5" i="7" s="1"/>
  <c r="AK5" i="7"/>
  <c r="AJ5" i="7"/>
  <c r="AH5" i="7"/>
  <c r="AG5" i="7"/>
  <c r="N5" i="7"/>
  <c r="M5" i="7"/>
  <c r="L5" i="7"/>
  <c r="K5" i="7"/>
  <c r="J5" i="7"/>
  <c r="I5" i="7"/>
  <c r="AG1" i="7"/>
  <c r="I1" i="7"/>
  <c r="AZ18" i="6"/>
  <c r="AY18" i="6"/>
  <c r="AX18" i="6"/>
  <c r="AW18" i="6"/>
  <c r="AC18" i="6"/>
  <c r="AB18" i="6"/>
  <c r="AA18" i="6"/>
  <c r="Z18" i="6"/>
  <c r="AW19" i="6" s="1"/>
  <c r="C35" i="1" s="1"/>
  <c r="AZ16" i="6"/>
  <c r="AY16" i="6"/>
  <c r="AX16" i="6"/>
  <c r="AW16" i="6"/>
  <c r="AC16" i="6"/>
  <c r="AB16" i="6"/>
  <c r="AA16" i="6"/>
  <c r="Z16" i="6"/>
  <c r="AW17" i="6" s="1"/>
  <c r="AK11" i="6"/>
  <c r="AH11" i="6" s="1"/>
  <c r="AJ11" i="6"/>
  <c r="AI11" i="6"/>
  <c r="AG11" i="6"/>
  <c r="BB11" i="6" s="1"/>
  <c r="AF11" i="6"/>
  <c r="AE11" i="6"/>
  <c r="N11" i="6"/>
  <c r="K11" i="6" s="1"/>
  <c r="M11" i="6"/>
  <c r="L11" i="6"/>
  <c r="J11" i="6"/>
  <c r="I11" i="6"/>
  <c r="H11" i="6"/>
  <c r="AK10" i="6"/>
  <c r="AH10" i="6" s="1"/>
  <c r="AJ10" i="6"/>
  <c r="AI10" i="6"/>
  <c r="BD10" i="6" s="1"/>
  <c r="AG10" i="6"/>
  <c r="AG14" i="6" s="1"/>
  <c r="AF10" i="6"/>
  <c r="AE10" i="6"/>
  <c r="N10" i="6"/>
  <c r="M10" i="6"/>
  <c r="M14" i="6" s="1"/>
  <c r="L10" i="6"/>
  <c r="L14" i="6" s="1"/>
  <c r="J10" i="6"/>
  <c r="J14" i="6" s="1"/>
  <c r="I10" i="6"/>
  <c r="H10" i="6"/>
  <c r="BG9" i="6" a="1"/>
  <c r="AK9" i="6"/>
  <c r="AJ9" i="6"/>
  <c r="AJ13" i="6" s="1"/>
  <c r="AI9" i="6"/>
  <c r="AI13" i="6" s="1"/>
  <c r="AG9" i="6"/>
  <c r="AF9" i="6"/>
  <c r="AE9" i="6"/>
  <c r="N9" i="6"/>
  <c r="K9" i="6" s="1"/>
  <c r="M9" i="6"/>
  <c r="L9" i="6"/>
  <c r="L13" i="6" s="1"/>
  <c r="J9" i="6"/>
  <c r="J13" i="6" s="1"/>
  <c r="I9" i="6"/>
  <c r="H9" i="6"/>
  <c r="AK8" i="6"/>
  <c r="AH8" i="6" s="1"/>
  <c r="AJ8" i="6"/>
  <c r="AI8" i="6"/>
  <c r="AG8" i="6"/>
  <c r="AF8" i="6"/>
  <c r="AE8" i="6"/>
  <c r="N8" i="6"/>
  <c r="K8" i="6" s="1"/>
  <c r="M8" i="6"/>
  <c r="L8" i="6"/>
  <c r="J8" i="6"/>
  <c r="I8" i="6"/>
  <c r="H8" i="6"/>
  <c r="AK7" i="6"/>
  <c r="AH7" i="6" s="1"/>
  <c r="AJ7" i="6"/>
  <c r="AI7" i="6"/>
  <c r="AG7" i="6"/>
  <c r="AF7" i="6"/>
  <c r="AE7" i="6"/>
  <c r="N7" i="6"/>
  <c r="K7" i="6" s="1"/>
  <c r="M7" i="6"/>
  <c r="L7" i="6"/>
  <c r="J7" i="6"/>
  <c r="I7" i="6"/>
  <c r="H7" i="6"/>
  <c r="AK6" i="6"/>
  <c r="AH6" i="6" s="1"/>
  <c r="AJ6" i="6"/>
  <c r="AI6" i="6"/>
  <c r="AG6" i="6"/>
  <c r="AF6" i="6"/>
  <c r="AE6" i="6"/>
  <c r="N6" i="6"/>
  <c r="K6" i="6" s="1"/>
  <c r="M6" i="6"/>
  <c r="L6" i="6"/>
  <c r="J6" i="6"/>
  <c r="I6" i="6"/>
  <c r="H6" i="6"/>
  <c r="BG5" i="6" a="1"/>
  <c r="AK5" i="6"/>
  <c r="AH5" i="6" s="1"/>
  <c r="AJ5" i="6"/>
  <c r="AI5" i="6"/>
  <c r="AG5" i="6"/>
  <c r="AF5" i="6"/>
  <c r="AE5" i="6"/>
  <c r="N5" i="6"/>
  <c r="K5" i="6" s="1"/>
  <c r="M5" i="6"/>
  <c r="L5" i="6"/>
  <c r="J5" i="6"/>
  <c r="I5" i="6"/>
  <c r="H5" i="6"/>
  <c r="AE1" i="6"/>
  <c r="H1" i="6"/>
  <c r="AZ18" i="5"/>
  <c r="AY18" i="5"/>
  <c r="AX18" i="5"/>
  <c r="AX19" i="5" s="1"/>
  <c r="AW18" i="5"/>
  <c r="AC18" i="5"/>
  <c r="AB18" i="5"/>
  <c r="AA18" i="5"/>
  <c r="Z18" i="5"/>
  <c r="AZ16" i="5"/>
  <c r="AY16" i="5"/>
  <c r="AX16" i="5"/>
  <c r="AW16" i="5"/>
  <c r="AC16" i="5"/>
  <c r="AB16" i="5"/>
  <c r="AY17" i="5" s="1"/>
  <c r="AA16" i="5"/>
  <c r="Z16" i="5"/>
  <c r="L13" i="5"/>
  <c r="AK11" i="5"/>
  <c r="AH11" i="5" s="1"/>
  <c r="AJ11" i="5"/>
  <c r="AI11" i="5"/>
  <c r="AG11" i="5"/>
  <c r="AF11" i="5"/>
  <c r="AE11" i="5"/>
  <c r="N11" i="5"/>
  <c r="K11" i="5" s="1"/>
  <c r="M11" i="5"/>
  <c r="L11" i="5"/>
  <c r="J11" i="5"/>
  <c r="I11" i="5"/>
  <c r="H11" i="5"/>
  <c r="BG10" i="5" a="1"/>
  <c r="AK10" i="5"/>
  <c r="AJ10" i="5"/>
  <c r="AJ14" i="5" s="1"/>
  <c r="AI10" i="5"/>
  <c r="AI14" i="5" s="1"/>
  <c r="AH10" i="5"/>
  <c r="AH14" i="5" s="1"/>
  <c r="AG10" i="5"/>
  <c r="AF10" i="5"/>
  <c r="AE10" i="5"/>
  <c r="N10" i="5"/>
  <c r="M10" i="5"/>
  <c r="L10" i="5"/>
  <c r="BD10" i="5" s="1"/>
  <c r="K10" i="5"/>
  <c r="K14" i="5" s="1"/>
  <c r="J10" i="5"/>
  <c r="I10" i="5"/>
  <c r="H10" i="5"/>
  <c r="AK9" i="5"/>
  <c r="BG9" i="5" s="1" a="1"/>
  <c r="AJ9" i="5"/>
  <c r="AJ13" i="5" s="1"/>
  <c r="AI9" i="5"/>
  <c r="AI13" i="5" s="1"/>
  <c r="AH9" i="5"/>
  <c r="BC9" i="5" s="1"/>
  <c r="AG9" i="5"/>
  <c r="AG13" i="5" s="1"/>
  <c r="AF9" i="5"/>
  <c r="AE9" i="5"/>
  <c r="N9" i="5"/>
  <c r="K9" i="5" s="1"/>
  <c r="K13" i="5" s="1"/>
  <c r="M9" i="5"/>
  <c r="M13" i="5" s="1"/>
  <c r="L9" i="5"/>
  <c r="BD9" i="5" s="1"/>
  <c r="J9" i="5"/>
  <c r="I9" i="5"/>
  <c r="H9" i="5"/>
  <c r="AK8" i="5"/>
  <c r="AH8" i="5" s="1"/>
  <c r="AJ8" i="5"/>
  <c r="AI8" i="5"/>
  <c r="AG8" i="5"/>
  <c r="AF8" i="5"/>
  <c r="AE8" i="5"/>
  <c r="N8" i="5"/>
  <c r="K8" i="5" s="1"/>
  <c r="M8" i="5"/>
  <c r="BE8" i="5" s="1"/>
  <c r="L8" i="5"/>
  <c r="J8" i="5"/>
  <c r="I8" i="5"/>
  <c r="H8" i="5"/>
  <c r="AK7" i="5"/>
  <c r="AH7" i="5" s="1"/>
  <c r="AJ7" i="5"/>
  <c r="BE7" i="5" s="1"/>
  <c r="AI7" i="5"/>
  <c r="AG7" i="5"/>
  <c r="AF7" i="5"/>
  <c r="AE7" i="5"/>
  <c r="N7" i="5"/>
  <c r="K7" i="5" s="1"/>
  <c r="M7" i="5"/>
  <c r="L7" i="5"/>
  <c r="J7" i="5"/>
  <c r="I7" i="5"/>
  <c r="H7" i="5"/>
  <c r="BG6" i="5" a="1"/>
  <c r="AK6" i="5"/>
  <c r="BF6" i="5" s="1"/>
  <c r="AJ6" i="5"/>
  <c r="AI6" i="5"/>
  <c r="AG6" i="5"/>
  <c r="AF6" i="5"/>
  <c r="AE6" i="5"/>
  <c r="N6" i="5"/>
  <c r="K6" i="5" s="1"/>
  <c r="M6" i="5"/>
  <c r="L6" i="5"/>
  <c r="J6" i="5"/>
  <c r="I6" i="5"/>
  <c r="H6" i="5"/>
  <c r="AK5" i="5"/>
  <c r="AH5" i="5" s="1"/>
  <c r="AJ5" i="5"/>
  <c r="AI5" i="5"/>
  <c r="AI15" i="5" s="1"/>
  <c r="AG5" i="5"/>
  <c r="AF5" i="5"/>
  <c r="AE5" i="5"/>
  <c r="N5" i="5"/>
  <c r="K5" i="5" s="1"/>
  <c r="M5" i="5"/>
  <c r="M12" i="5" s="1"/>
  <c r="L5" i="5"/>
  <c r="J5" i="5"/>
  <c r="I5" i="5"/>
  <c r="H5" i="5"/>
  <c r="AE1" i="5"/>
  <c r="H1" i="5"/>
  <c r="BC46" i="3"/>
  <c r="BB46" i="3"/>
  <c r="BA46" i="3"/>
  <c r="AZ46" i="3"/>
  <c r="AE46" i="3"/>
  <c r="AD46" i="3"/>
  <c r="AC46" i="3"/>
  <c r="BA47" i="3" s="1"/>
  <c r="AB46" i="3"/>
  <c r="AZ47" i="3" s="1"/>
  <c r="C13" i="1" s="1"/>
  <c r="BC44" i="3"/>
  <c r="BB44" i="3"/>
  <c r="BA44" i="3"/>
  <c r="AZ44" i="3"/>
  <c r="AE44" i="3"/>
  <c r="AD44" i="3"/>
  <c r="AC44" i="3"/>
  <c r="BA45" i="3" s="1"/>
  <c r="AB44" i="3"/>
  <c r="AZ45" i="3" s="1"/>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K37" i="3"/>
  <c r="AJ37" i="3"/>
  <c r="AI37" i="3"/>
  <c r="AH37" i="3"/>
  <c r="AG37" i="3"/>
  <c r="N37" i="3"/>
  <c r="M37" i="3"/>
  <c r="L37" i="3"/>
  <c r="J37" i="3"/>
  <c r="I37" i="3"/>
  <c r="BF36" i="3"/>
  <c r="AL36" i="3"/>
  <c r="AK36" i="3"/>
  <c r="AJ36" i="3"/>
  <c r="AI36" i="3"/>
  <c r="AH36" i="3"/>
  <c r="AG36" i="3"/>
  <c r="N36" i="3"/>
  <c r="K36" i="3" s="1"/>
  <c r="M36" i="3"/>
  <c r="L36" i="3"/>
  <c r="J36" i="3"/>
  <c r="I36" i="3"/>
  <c r="BF35" i="3"/>
  <c r="AL35" i="3"/>
  <c r="AK35" i="3"/>
  <c r="AJ35" i="3"/>
  <c r="AI35" i="3"/>
  <c r="AH35" i="3"/>
  <c r="AG35" i="3"/>
  <c r="N35" i="3"/>
  <c r="M35" i="3"/>
  <c r="L35" i="3"/>
  <c r="K35" i="3"/>
  <c r="J35" i="3"/>
  <c r="I35" i="3"/>
  <c r="BF34" i="3"/>
  <c r="AL34" i="3"/>
  <c r="AI34" i="3" s="1"/>
  <c r="AK34" i="3"/>
  <c r="AJ34" i="3"/>
  <c r="AH34" i="3"/>
  <c r="AG34" i="3"/>
  <c r="N34" i="3"/>
  <c r="K34" i="3" s="1"/>
  <c r="M34" i="3"/>
  <c r="L34" i="3"/>
  <c r="J34" i="3"/>
  <c r="I34" i="3"/>
  <c r="BF33" i="3"/>
  <c r="AL33" i="3"/>
  <c r="BG33" i="3" s="1"/>
  <c r="AK33" i="3"/>
  <c r="AJ33" i="3"/>
  <c r="AI33" i="3"/>
  <c r="AH33" i="3"/>
  <c r="AG33" i="3"/>
  <c r="N33" i="3"/>
  <c r="M33" i="3"/>
  <c r="L33" i="3"/>
  <c r="K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BH30" i="3" s="1" a="1"/>
  <c r="BH30" i="3" s="1"/>
  <c r="AK30" i="3"/>
  <c r="AJ30" i="3"/>
  <c r="AJ42" i="3" s="1"/>
  <c r="AH30" i="3"/>
  <c r="AG30" i="3"/>
  <c r="N30" i="3"/>
  <c r="M30" i="3"/>
  <c r="L30" i="3"/>
  <c r="J30" i="3"/>
  <c r="I30" i="3"/>
  <c r="BF29" i="3"/>
  <c r="AL29" i="3"/>
  <c r="AK29" i="3"/>
  <c r="AJ29" i="3"/>
  <c r="AI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I27" i="3"/>
  <c r="AH27" i="3"/>
  <c r="AG27" i="3"/>
  <c r="N27" i="3"/>
  <c r="M27" i="3"/>
  <c r="L27" i="3"/>
  <c r="J27" i="3"/>
  <c r="I27" i="3"/>
  <c r="BF26" i="3"/>
  <c r="AL26" i="3"/>
  <c r="AK26" i="3"/>
  <c r="AJ26" i="3"/>
  <c r="AJ41" i="3" s="1"/>
  <c r="AH26" i="3"/>
  <c r="AG26" i="3"/>
  <c r="N26" i="3"/>
  <c r="K26" i="3" s="1"/>
  <c r="M26" i="3"/>
  <c r="L26" i="3"/>
  <c r="J26" i="3"/>
  <c r="I26" i="3"/>
  <c r="BF25" i="3"/>
  <c r="AL25" i="3"/>
  <c r="AI25" i="3" s="1"/>
  <c r="AK25" i="3"/>
  <c r="AJ25" i="3"/>
  <c r="AH25" i="3"/>
  <c r="AG25" i="3"/>
  <c r="N25" i="3"/>
  <c r="K25" i="3" s="1"/>
  <c r="M25" i="3"/>
  <c r="L25" i="3"/>
  <c r="L41" i="3" s="1"/>
  <c r="J25" i="3"/>
  <c r="I25" i="3"/>
  <c r="BF24" i="3"/>
  <c r="AL24" i="3"/>
  <c r="AK24" i="3"/>
  <c r="AJ24" i="3"/>
  <c r="AI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I22" i="3"/>
  <c r="AH22" i="3"/>
  <c r="AG22" i="3"/>
  <c r="N22" i="3"/>
  <c r="K22" i="3" s="1"/>
  <c r="M22" i="3"/>
  <c r="L22" i="3"/>
  <c r="J22" i="3"/>
  <c r="I22" i="3"/>
  <c r="BF21" i="3"/>
  <c r="AL21" i="3"/>
  <c r="BG21" i="3" s="1"/>
  <c r="AK21" i="3"/>
  <c r="AJ21" i="3"/>
  <c r="AI21" i="3"/>
  <c r="AH21" i="3"/>
  <c r="AG21" i="3"/>
  <c r="N21" i="3"/>
  <c r="K21" i="3" s="1"/>
  <c r="M21" i="3"/>
  <c r="L21" i="3"/>
  <c r="J21" i="3"/>
  <c r="I21" i="3"/>
  <c r="BF20" i="3"/>
  <c r="AL20" i="3"/>
  <c r="AK20" i="3"/>
  <c r="AJ20" i="3"/>
  <c r="AI20" i="3"/>
  <c r="AH20" i="3"/>
  <c r="AG20" i="3"/>
  <c r="N20" i="3"/>
  <c r="BG20" i="3" s="1"/>
  <c r="M20" i="3"/>
  <c r="L20" i="3"/>
  <c r="K20" i="3"/>
  <c r="J20" i="3"/>
  <c r="I20" i="3"/>
  <c r="BF19" i="3"/>
  <c r="AL19" i="3"/>
  <c r="BG19" i="3" s="1"/>
  <c r="AK19" i="3"/>
  <c r="AJ19" i="3"/>
  <c r="AH19" i="3"/>
  <c r="AG19" i="3"/>
  <c r="N19" i="3"/>
  <c r="K19" i="3" s="1"/>
  <c r="M19" i="3"/>
  <c r="L19" i="3"/>
  <c r="J19" i="3"/>
  <c r="I19" i="3"/>
  <c r="BF18" i="3"/>
  <c r="AL18" i="3"/>
  <c r="BG18" i="3" s="1"/>
  <c r="AK18" i="3"/>
  <c r="AJ18" i="3"/>
  <c r="AI18" i="3"/>
  <c r="AH18" i="3"/>
  <c r="AG18" i="3"/>
  <c r="N18" i="3"/>
  <c r="M18" i="3"/>
  <c r="L18" i="3"/>
  <c r="K18" i="3"/>
  <c r="J18" i="3"/>
  <c r="I18" i="3"/>
  <c r="BF17" i="3"/>
  <c r="AL17" i="3"/>
  <c r="AI17" i="3" s="1"/>
  <c r="AK17" i="3"/>
  <c r="AJ17" i="3"/>
  <c r="AH17" i="3"/>
  <c r="AG17" i="3"/>
  <c r="N17" i="3"/>
  <c r="K17" i="3" s="1"/>
  <c r="M17" i="3"/>
  <c r="L17" i="3"/>
  <c r="J17" i="3"/>
  <c r="I17" i="3"/>
  <c r="BF16" i="3"/>
  <c r="AL16" i="3"/>
  <c r="AK16" i="3"/>
  <c r="AJ16" i="3"/>
  <c r="AH16" i="3"/>
  <c r="AG16" i="3"/>
  <c r="N16" i="3"/>
  <c r="K16" i="3" s="1"/>
  <c r="M16" i="3"/>
  <c r="L16" i="3"/>
  <c r="J16" i="3"/>
  <c r="I16" i="3"/>
  <c r="BF15" i="3"/>
  <c r="AL15" i="3"/>
  <c r="AK15" i="3"/>
  <c r="AJ15" i="3"/>
  <c r="AI15" i="3"/>
  <c r="AH15" i="3"/>
  <c r="AG15" i="3"/>
  <c r="N15" i="3"/>
  <c r="BG15" i="3" s="1"/>
  <c r="M15" i="3"/>
  <c r="L15" i="3"/>
  <c r="K15" i="3"/>
  <c r="J15" i="3"/>
  <c r="I15" i="3"/>
  <c r="BF14" i="3"/>
  <c r="AL14" i="3"/>
  <c r="AI14" i="3" s="1"/>
  <c r="BE14" i="3" s="1"/>
  <c r="AK14" i="3"/>
  <c r="AJ14" i="3"/>
  <c r="AH14" i="3"/>
  <c r="AG14" i="3"/>
  <c r="N14" i="3"/>
  <c r="K14" i="3" s="1"/>
  <c r="M14" i="3"/>
  <c r="L14" i="3"/>
  <c r="J14" i="3"/>
  <c r="I14" i="3"/>
  <c r="BF13" i="3"/>
  <c r="AL13" i="3"/>
  <c r="AK13" i="3"/>
  <c r="AJ13" i="3"/>
  <c r="AI13" i="3"/>
  <c r="AH13" i="3"/>
  <c r="AG13" i="3"/>
  <c r="N13" i="3"/>
  <c r="K13" i="3" s="1"/>
  <c r="M13" i="3"/>
  <c r="L13" i="3"/>
  <c r="J13" i="3"/>
  <c r="I13" i="3"/>
  <c r="BF12" i="3"/>
  <c r="AL12" i="3"/>
  <c r="AK12" i="3"/>
  <c r="AJ12" i="3"/>
  <c r="AH12" i="3"/>
  <c r="AG12" i="3"/>
  <c r="N12" i="3"/>
  <c r="K12" i="3" s="1"/>
  <c r="M12" i="3"/>
  <c r="L12" i="3"/>
  <c r="J12" i="3"/>
  <c r="I12" i="3"/>
  <c r="BF11" i="3"/>
  <c r="AL11" i="3"/>
  <c r="BG11" i="3" s="1"/>
  <c r="AK11" i="3"/>
  <c r="AJ11" i="3"/>
  <c r="AI11" i="3"/>
  <c r="AH11" i="3"/>
  <c r="AG11" i="3"/>
  <c r="N11" i="3"/>
  <c r="M11" i="3"/>
  <c r="L11" i="3"/>
  <c r="K11" i="3"/>
  <c r="J11" i="3"/>
  <c r="I11" i="3"/>
  <c r="BH10" i="3" a="1"/>
  <c r="BF10" i="3"/>
  <c r="AL10" i="3"/>
  <c r="AI10" i="3" s="1"/>
  <c r="AK10" i="3"/>
  <c r="AJ10" i="3"/>
  <c r="AH10" i="3"/>
  <c r="AG10" i="3"/>
  <c r="N10" i="3"/>
  <c r="M10" i="3"/>
  <c r="L10" i="3"/>
  <c r="J10" i="3"/>
  <c r="I10" i="3"/>
  <c r="BF9" i="3"/>
  <c r="AL9" i="3"/>
  <c r="BG9" i="3" s="1"/>
  <c r="AK9" i="3"/>
  <c r="AJ9" i="3"/>
  <c r="AI9" i="3"/>
  <c r="BE9" i="3" s="1"/>
  <c r="AH9" i="3"/>
  <c r="AG9" i="3"/>
  <c r="N9" i="3"/>
  <c r="M9" i="3"/>
  <c r="L9" i="3"/>
  <c r="K9" i="3"/>
  <c r="J9" i="3"/>
  <c r="I9" i="3"/>
  <c r="BF8" i="3"/>
  <c r="AL8" i="3"/>
  <c r="AK8" i="3"/>
  <c r="AJ8" i="3"/>
  <c r="AH8" i="3"/>
  <c r="AG8" i="3"/>
  <c r="N8" i="3"/>
  <c r="K8" i="3" s="1"/>
  <c r="M8" i="3"/>
  <c r="L8" i="3"/>
  <c r="J8" i="3"/>
  <c r="I8" i="3"/>
  <c r="BF7" i="3"/>
  <c r="AL7" i="3"/>
  <c r="AK7" i="3"/>
  <c r="AJ7" i="3"/>
  <c r="AI7" i="3"/>
  <c r="AH7" i="3"/>
  <c r="AG7" i="3"/>
  <c r="N7" i="3"/>
  <c r="M7" i="3"/>
  <c r="L7" i="3"/>
  <c r="K7" i="3"/>
  <c r="J7" i="3"/>
  <c r="I7" i="3"/>
  <c r="BF6" i="3"/>
  <c r="AL6" i="3"/>
  <c r="AI6" i="3" s="1"/>
  <c r="AK6" i="3"/>
  <c r="AJ6" i="3"/>
  <c r="AH6" i="3"/>
  <c r="AG6" i="3"/>
  <c r="N6" i="3"/>
  <c r="K6" i="3" s="1"/>
  <c r="M6" i="3"/>
  <c r="L6" i="3"/>
  <c r="J6" i="3"/>
  <c r="I6" i="3"/>
  <c r="BF5" i="3"/>
  <c r="AL5" i="3"/>
  <c r="AK5" i="3"/>
  <c r="AJ5" i="3"/>
  <c r="AI5" i="3"/>
  <c r="AH5" i="3"/>
  <c r="AG5" i="3"/>
  <c r="N5" i="3"/>
  <c r="K5" i="3" s="1"/>
  <c r="M5" i="3"/>
  <c r="L5" i="3"/>
  <c r="J5" i="3"/>
  <c r="I5" i="3"/>
  <c r="AG1" i="3"/>
  <c r="I1" i="3"/>
  <c r="B1" i="2"/>
  <c r="B2" i="2" s="1"/>
  <c r="BR35" i="7"/>
  <c r="BT30" i="7"/>
  <c r="BQ25" i="7"/>
  <c r="BQ20" i="7"/>
  <c r="BK20" i="7"/>
  <c r="BP15" i="7"/>
  <c r="BQ10" i="7"/>
  <c r="BK10" i="7"/>
  <c r="BR5" i="7"/>
  <c r="BL30" i="3"/>
  <c r="BS20" i="3"/>
  <c r="BQ15" i="3"/>
  <c r="BQ10" i="3"/>
  <c r="BM15" i="3"/>
  <c r="BQ35" i="7"/>
  <c r="BS30" i="7"/>
  <c r="BP25" i="7"/>
  <c r="BJ25" i="7"/>
  <c r="BP20" i="7"/>
  <c r="BN15" i="7"/>
  <c r="BP10" i="7"/>
  <c r="BQ5" i="7"/>
  <c r="BT25" i="3"/>
  <c r="BR20" i="3"/>
  <c r="BP15" i="3"/>
  <c r="BK15" i="3"/>
  <c r="BP10" i="3"/>
  <c r="BM5" i="3"/>
  <c r="BP35" i="7"/>
  <c r="BR30" i="7"/>
  <c r="BN25" i="7"/>
  <c r="BN20" i="7"/>
  <c r="BM15" i="7"/>
  <c r="BN10" i="7"/>
  <c r="BP5" i="7"/>
  <c r="BJ5" i="7"/>
  <c r="BS25" i="3"/>
  <c r="BQ20" i="3"/>
  <c r="BN15" i="3"/>
  <c r="BN10" i="3"/>
  <c r="BL5" i="3"/>
  <c r="BN35" i="7"/>
  <c r="BJ35" i="7"/>
  <c r="BQ30" i="7"/>
  <c r="BK30" i="7"/>
  <c r="BM25" i="7"/>
  <c r="BM20" i="7"/>
  <c r="BL15" i="7"/>
  <c r="BM10" i="7"/>
  <c r="BN5" i="7"/>
  <c r="BT35" i="3"/>
  <c r="BR25" i="3"/>
  <c r="BP20" i="3"/>
  <c r="BJ20" i="3"/>
  <c r="BN30" i="7"/>
  <c r="BM35" i="7"/>
  <c r="BP30" i="7"/>
  <c r="BL25" i="7"/>
  <c r="BL20" i="7"/>
  <c r="BK15" i="7"/>
  <c r="BL10" i="7"/>
  <c r="BM5" i="7"/>
  <c r="BS35" i="3"/>
  <c r="BQ25" i="3"/>
  <c r="BN20" i="3"/>
  <c r="BL15" i="3"/>
  <c r="BL10" i="3"/>
  <c r="BK25" i="7"/>
  <c r="BM20" i="3"/>
  <c r="BL35" i="7"/>
  <c r="BM30" i="7"/>
  <c r="BK5" i="7"/>
  <c r="BQ35" i="3"/>
  <c r="BS30" i="3"/>
  <c r="BN25" i="3"/>
  <c r="BL20" i="3"/>
  <c r="BP5" i="3"/>
  <c r="BP25" i="3"/>
  <c r="BL30" i="7"/>
  <c r="BP35" i="3"/>
  <c r="BJ35" i="3"/>
  <c r="BR30" i="3"/>
  <c r="BK30" i="3"/>
  <c r="BM25" i="3"/>
  <c r="BT5" i="3"/>
  <c r="BK5" i="3"/>
  <c r="BL5" i="7"/>
  <c r="BT15" i="7"/>
  <c r="BN35" i="3"/>
  <c r="BQ30" i="3"/>
  <c r="BL25" i="3"/>
  <c r="BS5" i="3"/>
  <c r="BN30" i="3"/>
  <c r="BQ5" i="3"/>
  <c r="BK10" i="3"/>
  <c r="BM10" i="3"/>
  <c r="BR35" i="3"/>
  <c r="BT25" i="7"/>
  <c r="BT20" i="7"/>
  <c r="BS15" i="7"/>
  <c r="BT10" i="7"/>
  <c r="BM35" i="3"/>
  <c r="BP30" i="3"/>
  <c r="BT15" i="3"/>
  <c r="BT10" i="3"/>
  <c r="BR5" i="3"/>
  <c r="BS10" i="3"/>
  <c r="BN5" i="3"/>
  <c r="BT30" i="3"/>
  <c r="BT35" i="7"/>
  <c r="BS25" i="7"/>
  <c r="BS20" i="7"/>
  <c r="BR15" i="7"/>
  <c r="BS10" i="7"/>
  <c r="BT5" i="7"/>
  <c r="BL35" i="3"/>
  <c r="BS15" i="3"/>
  <c r="BS35" i="7"/>
  <c r="BR25" i="7"/>
  <c r="BR20" i="7"/>
  <c r="BQ15" i="7"/>
  <c r="BR10" i="7"/>
  <c r="BS5" i="7"/>
  <c r="BK35" i="3"/>
  <c r="BM30" i="3"/>
  <c r="BT20" i="3"/>
  <c r="BR15" i="3"/>
  <c r="BR10" i="3"/>
  <c r="AK43" i="7" l="1"/>
  <c r="BG27" i="7"/>
  <c r="AH41" i="7"/>
  <c r="AI26" i="7"/>
  <c r="AJ42" i="7"/>
  <c r="AI31" i="7"/>
  <c r="AI33" i="7"/>
  <c r="AI18" i="7"/>
  <c r="AK42" i="7"/>
  <c r="AI35" i="7"/>
  <c r="BE35" i="7" s="1"/>
  <c r="BE5" i="7"/>
  <c r="BE15" i="7"/>
  <c r="BE7" i="7"/>
  <c r="BG24" i="7"/>
  <c r="BE31" i="7"/>
  <c r="BG35" i="7"/>
  <c r="AH43" i="7"/>
  <c r="BE11" i="7"/>
  <c r="BE21" i="7"/>
  <c r="J43" i="7"/>
  <c r="BE10" i="7"/>
  <c r="BG8" i="7"/>
  <c r="BE29" i="7"/>
  <c r="BE33" i="7"/>
  <c r="BB45" i="7"/>
  <c r="M43" i="7"/>
  <c r="BG10" i="7"/>
  <c r="BG11" i="7"/>
  <c r="J41" i="7"/>
  <c r="BG28" i="7"/>
  <c r="BC45" i="7"/>
  <c r="BE14" i="7"/>
  <c r="BE32" i="7"/>
  <c r="BE16" i="7"/>
  <c r="L41" i="7"/>
  <c r="J42" i="7"/>
  <c r="BG34" i="7"/>
  <c r="BE28" i="7"/>
  <c r="L42" i="7"/>
  <c r="BH35" i="7"/>
  <c r="BH42" i="7" s="1"/>
  <c r="BG39" i="7"/>
  <c r="BG14" i="7"/>
  <c r="BG15" i="7"/>
  <c r="M42" i="7"/>
  <c r="BE6" i="7"/>
  <c r="BE36" i="7"/>
  <c r="AZ47" i="7"/>
  <c r="C47" i="1" s="1"/>
  <c r="BE8" i="7"/>
  <c r="BH15" i="7"/>
  <c r="BE20" i="7"/>
  <c r="BA47" i="7"/>
  <c r="BG16" i="7"/>
  <c r="BB47" i="7"/>
  <c r="C48" i="1" s="1"/>
  <c r="BG6" i="7"/>
  <c r="BG7" i="7"/>
  <c r="BG22" i="7"/>
  <c r="BE24" i="7"/>
  <c r="BC47" i="7"/>
  <c r="BB6" i="6"/>
  <c r="BB8" i="6"/>
  <c r="BD7" i="6"/>
  <c r="BD8" i="6"/>
  <c r="AX17" i="6"/>
  <c r="BE7" i="6"/>
  <c r="BD11" i="6"/>
  <c r="AI15" i="6"/>
  <c r="BE8" i="6"/>
  <c r="BF9" i="6"/>
  <c r="J12" i="6"/>
  <c r="L15" i="6"/>
  <c r="BD15" i="6" s="1"/>
  <c r="BE11" i="6"/>
  <c r="AH9" i="6"/>
  <c r="AH13" i="6" s="1"/>
  <c r="BE9" i="6"/>
  <c r="AX19" i="6"/>
  <c r="BF10" i="6"/>
  <c r="BC5" i="6"/>
  <c r="K13" i="6"/>
  <c r="BB7" i="6"/>
  <c r="BB14" i="6"/>
  <c r="E33" i="1" s="1"/>
  <c r="M15" i="6"/>
  <c r="BG9" i="6"/>
  <c r="BG13" i="6" s="1"/>
  <c r="BC11" i="6"/>
  <c r="AY19" i="6"/>
  <c r="C36" i="1" s="1"/>
  <c r="BD6" i="6"/>
  <c r="AZ19" i="6"/>
  <c r="BF5" i="6"/>
  <c r="M13" i="6"/>
  <c r="BE13" i="6" s="1"/>
  <c r="D32" i="1" s="1"/>
  <c r="BG5" i="6"/>
  <c r="BC6" i="6"/>
  <c r="BF6" i="6"/>
  <c r="AZ17" i="6"/>
  <c r="L12" i="6"/>
  <c r="BC7" i="6"/>
  <c r="AZ19" i="5"/>
  <c r="BD5" i="5"/>
  <c r="AZ17" i="5"/>
  <c r="BD6" i="5"/>
  <c r="BE6" i="5"/>
  <c r="BB7" i="5"/>
  <c r="BB9" i="5"/>
  <c r="BD8" i="5"/>
  <c r="BC8" i="5"/>
  <c r="BE10" i="5"/>
  <c r="BB11" i="5"/>
  <c r="AI12" i="5"/>
  <c r="AH6" i="5"/>
  <c r="AH15" i="5" s="1"/>
  <c r="BC15" i="5" s="1"/>
  <c r="AY19" i="5"/>
  <c r="C24" i="1" s="1"/>
  <c r="BG6" i="5"/>
  <c r="AW17" i="5"/>
  <c r="AX17" i="5"/>
  <c r="BG9" i="5"/>
  <c r="BG13" i="5" s="1"/>
  <c r="J15" i="5"/>
  <c r="BF9" i="5"/>
  <c r="J14" i="5"/>
  <c r="BD11" i="5"/>
  <c r="L14" i="5"/>
  <c r="BD14" i="5" s="1"/>
  <c r="BF10" i="5"/>
  <c r="BE11" i="5"/>
  <c r="M14" i="5"/>
  <c r="BE14" i="5" s="1"/>
  <c r="D21" i="1" s="1"/>
  <c r="BG10" i="5"/>
  <c r="L12" i="5"/>
  <c r="BD12" i="5" s="1"/>
  <c r="J13" i="5"/>
  <c r="BB13" i="5" s="1"/>
  <c r="E20" i="1" s="1"/>
  <c r="BD7" i="5"/>
  <c r="BB8" i="5"/>
  <c r="AW19" i="5"/>
  <c r="C23" i="1" s="1"/>
  <c r="BE33" i="3"/>
  <c r="AH43" i="3"/>
  <c r="AH41" i="3"/>
  <c r="AK41" i="3"/>
  <c r="BE18" i="3"/>
  <c r="BG27" i="3"/>
  <c r="BG37" i="3"/>
  <c r="BG7" i="3"/>
  <c r="BG16" i="3"/>
  <c r="BG13" i="3"/>
  <c r="BE22" i="3"/>
  <c r="BE24" i="3"/>
  <c r="BE29" i="3"/>
  <c r="BE7" i="3"/>
  <c r="BE23" i="3"/>
  <c r="BG26" i="3"/>
  <c r="BE28" i="3"/>
  <c r="BB47" i="3"/>
  <c r="C14" i="1" s="1"/>
  <c r="BG31" i="3"/>
  <c r="BC47" i="3"/>
  <c r="BE6" i="3"/>
  <c r="BG22" i="3"/>
  <c r="BB45" i="3"/>
  <c r="BE11" i="3"/>
  <c r="BG24" i="3"/>
  <c r="BG29" i="3"/>
  <c r="BE35" i="3"/>
  <c r="BC45" i="3"/>
  <c r="BG5" i="3"/>
  <c r="BE13" i="3"/>
  <c r="BG32" i="3"/>
  <c r="BG8" i="3"/>
  <c r="BE15" i="3"/>
  <c r="J41" i="3"/>
  <c r="BH10" i="3"/>
  <c r="BG12" i="3"/>
  <c r="J42" i="3"/>
  <c r="BE38" i="3"/>
  <c r="BG39" i="3"/>
  <c r="M43" i="3"/>
  <c r="BE20" i="3"/>
  <c r="BM42" i="3"/>
  <c r="F11" i="1" s="1"/>
  <c r="BR43" i="3"/>
  <c r="BQ40" i="3"/>
  <c r="BN42" i="3"/>
  <c r="G11" i="1" s="1"/>
  <c r="BL41" i="3"/>
  <c r="E10" i="1" s="1"/>
  <c r="BL43" i="7"/>
  <c r="E46" i="1" s="1"/>
  <c r="BM41" i="3"/>
  <c r="F10" i="1" s="1"/>
  <c r="BK42" i="3"/>
  <c r="D11" i="1" s="1"/>
  <c r="BL42" i="7"/>
  <c r="E45" i="1" s="1"/>
  <c r="BP41" i="3"/>
  <c r="BP43" i="3"/>
  <c r="BN41" i="3"/>
  <c r="G10" i="1" s="1"/>
  <c r="BS42" i="3"/>
  <c r="BM42" i="7"/>
  <c r="F45" i="1" s="1"/>
  <c r="BK41" i="7"/>
  <c r="D44" i="1" s="1"/>
  <c r="BM43" i="7"/>
  <c r="F46" i="1" s="1"/>
  <c r="BL41" i="7"/>
  <c r="E44" i="1" s="1"/>
  <c r="BP42" i="7"/>
  <c r="BN42" i="7"/>
  <c r="G45" i="1" s="1"/>
  <c r="BN43" i="7"/>
  <c r="G46" i="1" s="1"/>
  <c r="BM41" i="7"/>
  <c r="F44" i="1" s="1"/>
  <c r="BQ42" i="7"/>
  <c r="BN41" i="7"/>
  <c r="G44" i="1" s="1"/>
  <c r="BR42" i="7"/>
  <c r="BT41" i="3"/>
  <c r="BJ41" i="7"/>
  <c r="C44" i="1" s="1"/>
  <c r="BP41" i="7"/>
  <c r="BS42" i="7"/>
  <c r="BL42" i="3"/>
  <c r="E11" i="1" s="1"/>
  <c r="BQ41" i="7"/>
  <c r="BT42" i="7"/>
  <c r="BE21" i="3"/>
  <c r="BE25" i="3"/>
  <c r="BE17" i="3"/>
  <c r="BE5" i="3"/>
  <c r="BG17" i="3"/>
  <c r="AI19" i="3"/>
  <c r="BE19" i="3" s="1"/>
  <c r="M42" i="3"/>
  <c r="BE13" i="5"/>
  <c r="BF8" i="6"/>
  <c r="AJ15" i="5"/>
  <c r="AJ12" i="5"/>
  <c r="BE12" i="5" s="1"/>
  <c r="K40" i="3"/>
  <c r="BT43" i="3"/>
  <c r="BT40" i="3"/>
  <c r="M41" i="3"/>
  <c r="K27" i="3"/>
  <c r="BE27" i="3" s="1"/>
  <c r="BE34" i="3"/>
  <c r="BG36" i="3"/>
  <c r="BP40" i="3"/>
  <c r="BQ43" i="3"/>
  <c r="BG5" i="5" a="1"/>
  <c r="BG5" i="5" s="1"/>
  <c r="BB6" i="5"/>
  <c r="AG15" i="5"/>
  <c r="AG12" i="5"/>
  <c r="BE9" i="5"/>
  <c r="BC14" i="5"/>
  <c r="AI41" i="7"/>
  <c r="BH5" i="3" a="1"/>
  <c r="BH5" i="3" s="1"/>
  <c r="AI16" i="3"/>
  <c r="BE16" i="3" s="1"/>
  <c r="BG28" i="3"/>
  <c r="AI30" i="3"/>
  <c r="BP42" i="3"/>
  <c r="AH42" i="3"/>
  <c r="BG34" i="3"/>
  <c r="BH35" i="3" a="1"/>
  <c r="BH35" i="3" s="1"/>
  <c r="BH42" i="3" s="1"/>
  <c r="AI39" i="3"/>
  <c r="BE39" i="3" s="1"/>
  <c r="BR40" i="3"/>
  <c r="J12" i="5"/>
  <c r="BF5" i="5"/>
  <c r="BD13" i="5"/>
  <c r="J15" i="6"/>
  <c r="BE6" i="6"/>
  <c r="AJ15" i="6"/>
  <c r="BE15" i="6" s="1"/>
  <c r="AJ12" i="6"/>
  <c r="AH14" i="6"/>
  <c r="L43" i="7"/>
  <c r="AI8" i="3"/>
  <c r="BE8" i="3" s="1"/>
  <c r="K10" i="3"/>
  <c r="BG10" i="3"/>
  <c r="BG14" i="3"/>
  <c r="BG23" i="3"/>
  <c r="BQ42" i="3"/>
  <c r="BE31" i="3"/>
  <c r="K12" i="6"/>
  <c r="J43" i="3"/>
  <c r="J40" i="3"/>
  <c r="J12" i="1"/>
  <c r="BG6" i="3"/>
  <c r="AI12" i="3"/>
  <c r="BE12" i="3" s="1"/>
  <c r="BH15" i="3" a="1"/>
  <c r="BH15" i="3" s="1"/>
  <c r="BQ41" i="3"/>
  <c r="AI26" i="3"/>
  <c r="BE26" i="3" s="1"/>
  <c r="AK42" i="3"/>
  <c r="BG35" i="3"/>
  <c r="K37" i="3"/>
  <c r="BE37" i="3" s="1"/>
  <c r="M15" i="5"/>
  <c r="BC10" i="5"/>
  <c r="H12" i="1"/>
  <c r="L43" i="3"/>
  <c r="L40" i="3"/>
  <c r="BH25" i="3" a="1"/>
  <c r="BH25" i="3" s="1"/>
  <c r="BH41" i="3" s="1"/>
  <c r="BR41" i="3"/>
  <c r="BE32" i="3"/>
  <c r="BG38" i="3"/>
  <c r="K12" i="5"/>
  <c r="K15" i="5"/>
  <c r="BC11" i="5"/>
  <c r="M12" i="6"/>
  <c r="BC8" i="6"/>
  <c r="AI12" i="6"/>
  <c r="BB10" i="5"/>
  <c r="AG14" i="5"/>
  <c r="BB14" i="5" s="1"/>
  <c r="BE10" i="6"/>
  <c r="AJ14" i="6"/>
  <c r="BE14" i="6" s="1"/>
  <c r="BS41" i="3"/>
  <c r="BT42" i="3"/>
  <c r="BC7" i="5"/>
  <c r="BF11" i="5"/>
  <c r="BR43" i="7"/>
  <c r="BR40" i="7"/>
  <c r="BE5" i="5"/>
  <c r="AJ43" i="3"/>
  <c r="AJ40" i="3"/>
  <c r="BG30" i="3"/>
  <c r="M40" i="3"/>
  <c r="BF7" i="5"/>
  <c r="AJ43" i="7"/>
  <c r="BE26" i="7"/>
  <c r="BL43" i="3"/>
  <c r="E12" i="1" s="1"/>
  <c r="BL40" i="3"/>
  <c r="E9" i="1" s="1"/>
  <c r="AK43" i="3"/>
  <c r="AK40" i="3"/>
  <c r="BH20" i="3" a="1"/>
  <c r="BH20" i="3" s="1"/>
  <c r="BG25" i="3"/>
  <c r="K30" i="3"/>
  <c r="K42" i="3" s="1"/>
  <c r="AH40" i="3"/>
  <c r="BG8" i="6" a="1"/>
  <c r="BG8" i="6" s="1"/>
  <c r="BB9" i="6"/>
  <c r="AG13" i="6"/>
  <c r="BB13" i="6" s="1"/>
  <c r="BE22" i="7"/>
  <c r="BS43" i="3"/>
  <c r="BS40" i="3"/>
  <c r="BM43" i="3"/>
  <c r="F12" i="1" s="1"/>
  <c r="BM40" i="3"/>
  <c r="F9" i="1" s="1"/>
  <c r="BN43" i="3"/>
  <c r="G12" i="1" s="1"/>
  <c r="BN40" i="3"/>
  <c r="G9" i="1" s="1"/>
  <c r="I9" i="1"/>
  <c r="L42" i="3"/>
  <c r="BE36" i="3"/>
  <c r="BC5" i="5"/>
  <c r="AG12" i="6"/>
  <c r="BB12" i="6" s="1"/>
  <c r="BB5" i="6"/>
  <c r="AG15" i="6"/>
  <c r="BD13" i="6"/>
  <c r="AY17" i="6"/>
  <c r="BE18" i="7"/>
  <c r="BR41" i="7"/>
  <c r="BE37" i="7"/>
  <c r="AH12" i="6"/>
  <c r="BG32" i="7"/>
  <c r="AI34" i="7"/>
  <c r="BE34" i="7" s="1"/>
  <c r="BG36" i="7"/>
  <c r="L40" i="7"/>
  <c r="BN40" i="7"/>
  <c r="G43" i="1" s="1"/>
  <c r="BS41" i="7"/>
  <c r="M40" i="7"/>
  <c r="BP40" i="7"/>
  <c r="BT41" i="7"/>
  <c r="BP43" i="7"/>
  <c r="BH20" i="7" a="1"/>
  <c r="BH20" i="7" s="1"/>
  <c r="AH40" i="7"/>
  <c r="BQ40" i="7"/>
  <c r="BQ43" i="7"/>
  <c r="AH12" i="5"/>
  <c r="BC12" i="5" s="1"/>
  <c r="L15" i="5"/>
  <c r="BD15" i="5" s="1"/>
  <c r="BB10" i="6"/>
  <c r="AI14" i="6"/>
  <c r="BD14" i="6" s="1"/>
  <c r="BG5" i="7"/>
  <c r="BG9" i="7"/>
  <c r="BG13" i="7"/>
  <c r="BG17" i="7"/>
  <c r="BG21" i="7"/>
  <c r="BG25" i="7"/>
  <c r="BG29" i="7"/>
  <c r="BG37" i="7"/>
  <c r="AI39" i="7"/>
  <c r="BE39" i="7" s="1"/>
  <c r="BF8" i="5"/>
  <c r="AH13" i="5"/>
  <c r="BC13" i="5" s="1"/>
  <c r="BF7" i="6"/>
  <c r="K10" i="6"/>
  <c r="K14" i="6" s="1"/>
  <c r="BF11" i="6"/>
  <c r="AJ40" i="7"/>
  <c r="BS40" i="7"/>
  <c r="BS43" i="7"/>
  <c r="BH5" i="7" a="1"/>
  <c r="BH5" i="7" s="1"/>
  <c r="BH25" i="7" a="1"/>
  <c r="BH25" i="7" s="1"/>
  <c r="BH41" i="7" s="1"/>
  <c r="AK40" i="7"/>
  <c r="BT40" i="7"/>
  <c r="BT43" i="7"/>
  <c r="BR42" i="3"/>
  <c r="BG8" i="5" a="1"/>
  <c r="BG8" i="5" s="1"/>
  <c r="BG7" i="6" a="1"/>
  <c r="BG7" i="6" s="1"/>
  <c r="BG11" i="6" a="1"/>
  <c r="BG11" i="6" s="1"/>
  <c r="K30" i="7"/>
  <c r="BG30" i="7"/>
  <c r="K38" i="7"/>
  <c r="BE38" i="7" s="1"/>
  <c r="BD5" i="6"/>
  <c r="BD9" i="6"/>
  <c r="BH10" i="7" a="1"/>
  <c r="BH10" i="7" s="1"/>
  <c r="BB5" i="5"/>
  <c r="BG7" i="5" a="1"/>
  <c r="BG7" i="5" s="1"/>
  <c r="BG11" i="5" a="1"/>
  <c r="BG11" i="5" s="1"/>
  <c r="BE5" i="6"/>
  <c r="BG6" i="6" a="1"/>
  <c r="BG6" i="6" s="1"/>
  <c r="BG10" i="6" a="1"/>
  <c r="BG10" i="6" s="1"/>
  <c r="BG14" i="6" s="1"/>
  <c r="AI17" i="7"/>
  <c r="BE17" i="7" s="1"/>
  <c r="K19" i="7"/>
  <c r="BE19" i="7" s="1"/>
  <c r="K23" i="7"/>
  <c r="BE23" i="7" s="1"/>
  <c r="K27" i="7"/>
  <c r="BE27" i="7" s="1"/>
  <c r="BK40" i="7"/>
  <c r="D43" i="1" s="1"/>
  <c r="J40" i="7"/>
  <c r="BL40" i="7"/>
  <c r="E43" i="1" s="1"/>
  <c r="K40" i="7"/>
  <c r="BM40" i="7"/>
  <c r="F43" i="1" s="1"/>
  <c r="BJ25" i="3"/>
  <c r="BJ10" i="7"/>
  <c r="BJ30" i="3"/>
  <c r="BJ30" i="7"/>
  <c r="BJ15" i="7"/>
  <c r="BJ20" i="7"/>
  <c r="BJ15" i="3"/>
  <c r="BJ10" i="3"/>
  <c r="BK25" i="3"/>
  <c r="BK20" i="3"/>
  <c r="BJ5" i="3"/>
  <c r="BK35" i="7"/>
  <c r="K42" i="7" l="1"/>
  <c r="BC9" i="6"/>
  <c r="BC13" i="6"/>
  <c r="C32" i="1" s="1"/>
  <c r="AH15" i="6"/>
  <c r="BC15" i="6" s="1"/>
  <c r="BB15" i="6"/>
  <c r="E34" i="1" s="1"/>
  <c r="K15" i="6"/>
  <c r="BG15" i="6"/>
  <c r="BD12" i="6"/>
  <c r="BC10" i="6"/>
  <c r="BC6" i="5"/>
  <c r="BB12" i="5"/>
  <c r="E19" i="1" s="1"/>
  <c r="BB15" i="5"/>
  <c r="BG14" i="5"/>
  <c r="K43" i="3"/>
  <c r="BE10" i="3"/>
  <c r="BK43" i="7"/>
  <c r="D46" i="1" s="1"/>
  <c r="BK42" i="7"/>
  <c r="D45" i="1" s="1"/>
  <c r="BK43" i="3"/>
  <c r="D12" i="1" s="1"/>
  <c r="BK40" i="3"/>
  <c r="D9" i="1" s="1"/>
  <c r="BK41" i="3"/>
  <c r="D10" i="1" s="1"/>
  <c r="BJ42" i="7"/>
  <c r="C45" i="1" s="1"/>
  <c r="BJ42" i="3"/>
  <c r="C11" i="1" s="1"/>
  <c r="BJ40" i="7"/>
  <c r="C43" i="1" s="1"/>
  <c r="BJ43" i="7"/>
  <c r="C46" i="1" s="1"/>
  <c r="BJ41" i="3"/>
  <c r="C10" i="1" s="1"/>
  <c r="I44" i="1"/>
  <c r="I45" i="1"/>
  <c r="K11" i="1"/>
  <c r="L10" i="1"/>
  <c r="H45" i="1"/>
  <c r="K45" i="1"/>
  <c r="J45" i="1"/>
  <c r="H10" i="1"/>
  <c r="H44" i="1"/>
  <c r="L45" i="1"/>
  <c r="I43" i="1"/>
  <c r="D34" i="1"/>
  <c r="BG12" i="5"/>
  <c r="BG15" i="5"/>
  <c r="D19" i="1"/>
  <c r="BE30" i="7"/>
  <c r="L11" i="1"/>
  <c r="AI42" i="3"/>
  <c r="BE42" i="3" s="1"/>
  <c r="BE30" i="3"/>
  <c r="I12" i="1"/>
  <c r="BE15" i="5"/>
  <c r="K9" i="1"/>
  <c r="K10" i="1"/>
  <c r="K43" i="7"/>
  <c r="AI43" i="3"/>
  <c r="BH43" i="7"/>
  <c r="BH40" i="7"/>
  <c r="J11" i="1"/>
  <c r="H9" i="1"/>
  <c r="L46" i="1"/>
  <c r="H46" i="1"/>
  <c r="BC12" i="6"/>
  <c r="E31" i="1"/>
  <c r="K12" i="1"/>
  <c r="BH43" i="3"/>
  <c r="BH40" i="3"/>
  <c r="D20" i="1"/>
  <c r="C22" i="1"/>
  <c r="L43" i="1"/>
  <c r="C20" i="1"/>
  <c r="L44" i="1"/>
  <c r="D33" i="1"/>
  <c r="AI41" i="3"/>
  <c r="H43" i="1"/>
  <c r="AI42" i="7"/>
  <c r="BE42" i="7" s="1"/>
  <c r="AI40" i="3"/>
  <c r="BE40" i="3" s="1"/>
  <c r="J10" i="1"/>
  <c r="BG12" i="6"/>
  <c r="BJ40" i="3"/>
  <c r="C9" i="1" s="1"/>
  <c r="BJ43" i="3"/>
  <c r="C12" i="1" s="1"/>
  <c r="J9" i="1"/>
  <c r="K41" i="3"/>
  <c r="J43" i="1"/>
  <c r="E21" i="1"/>
  <c r="C21" i="1"/>
  <c r="L9" i="1"/>
  <c r="J44" i="1"/>
  <c r="J46" i="1"/>
  <c r="L12" i="1"/>
  <c r="C19" i="1"/>
  <c r="K44" i="1"/>
  <c r="BC14" i="6"/>
  <c r="AI40" i="7"/>
  <c r="BE40" i="7" s="1"/>
  <c r="E32" i="1"/>
  <c r="K46" i="1"/>
  <c r="I10" i="1"/>
  <c r="E22" i="1"/>
  <c r="K43" i="1"/>
  <c r="I46" i="1"/>
  <c r="AI43" i="7"/>
  <c r="BE43" i="7" s="1"/>
  <c r="K41" i="7"/>
  <c r="BE41" i="7" s="1"/>
  <c r="I11" i="1"/>
  <c r="BE12" i="6"/>
  <c r="H11" i="1"/>
  <c r="BE43" i="3" l="1"/>
  <c r="BE41" i="3"/>
  <c r="C31" i="1"/>
  <c r="C34" i="1"/>
  <c r="C33" i="1"/>
  <c r="D22" i="1"/>
  <c r="D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<sst xmlns="http://schemas.openxmlformats.org/spreadsheetml/2006/main" count="1459" uniqueCount="575">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</sst>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ALL_master+r110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66.354631249999997</c:v>
                </c:pt>
                <c:pt idx="1">
                  <c:v>68.255984374999997</c:v>
                </c:pt>
                <c:pt idx="2">
                  <c:v>69.683721875000003</c:v>
                </c:pt>
                <c:pt idx="3">
                  <c:v>70.836840624999994</c:v>
                </c:pt>
                <c:pt idx="4">
                  <c:v>71.945243750000003</c:v>
                </c:pt>
              </c:numCache>
            </c:numRef>
          </c:yVal>
          <c:smooth val="1"/>
          <c:extLst>
            <c:ext xmlns:c16="http://schemas.microsoft.com/office/drawing/2014/chart" uri="{C3380CC4-5D6E-409C-BE32-E72D297353CC}">
              <c16:uniqueId val="{00000000-0888-4D31-9E02-18BF246D656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0888-4D31-9E02-18BF246D656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ALL_master+r110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68.478521874999998</c:v>
                </c:pt>
                <c:pt idx="1">
                  <c:v>70.4384625</c:v>
                </c:pt>
                <c:pt idx="2">
                  <c:v>72.129403124999996</c:v>
                </c:pt>
                <c:pt idx="3">
                  <c:v>73.406981250000001</c:v>
                </c:pt>
                <c:pt idx="4">
                  <c:v>75.319246875000005</c:v>
                </c:pt>
              </c:numCache>
            </c:numRef>
          </c:yVal>
          <c:smooth val="1"/>
          <c:extLst>
            <c:ext xmlns:c16="http://schemas.microsoft.com/office/drawing/2014/chart" uri="{C3380CC4-5D6E-409C-BE32-E72D297353CC}">
              <c16:uniqueId val="{00000000-A32C-4BAE-8AA0-1A0A2C227950}"/>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A32C-4BAE-8AA0-1A0A2C22795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ALL_master+r110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32.105368749999997</c:v>
                </c:pt>
                <c:pt idx="1">
                  <c:v>34.355712500000003</c:v>
                </c:pt>
                <c:pt idx="2">
                  <c:v>36.896806249999997</c:v>
                </c:pt>
                <c:pt idx="3">
                  <c:v>39.524643750000003</c:v>
                </c:pt>
                <c:pt idx="4">
                  <c:v>42.092659374999997</c:v>
                </c:pt>
              </c:numCache>
            </c:numRef>
          </c:yVal>
          <c:smooth val="1"/>
          <c:extLst>
            <c:ext xmlns:c16="http://schemas.microsoft.com/office/drawing/2014/chart" uri="{C3380CC4-5D6E-409C-BE32-E72D297353CC}">
              <c16:uniqueId val="{00000000-6BA6-46F7-908D-8011A47E468F}"/>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6BA6-46F7-908D-8011A47E468F}"/>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ALL_master+r110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44.165406249999997</c:v>
                </c:pt>
                <c:pt idx="1">
                  <c:v>45.462940625000002</c:v>
                </c:pt>
                <c:pt idx="2">
                  <c:v>46.595978125000002</c:v>
                </c:pt>
                <c:pt idx="3">
                  <c:v>47.911165625000002</c:v>
                </c:pt>
                <c:pt idx="4">
                  <c:v>49.412693750000003</c:v>
                </c:pt>
              </c:numCache>
            </c:numRef>
          </c:yVal>
          <c:smooth val="1"/>
          <c:extLst>
            <c:ext xmlns:c16="http://schemas.microsoft.com/office/drawing/2014/chart" uri="{C3380CC4-5D6E-409C-BE32-E72D297353CC}">
              <c16:uniqueId val="{00000000-1F3D-4663-A625-FB2E99B5B4F0}"/>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1F3D-4663-A625-FB2E99B5B4F0}"/>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ALL_master+r110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43.847446875000003</c:v>
                </c:pt>
                <c:pt idx="1">
                  <c:v>45.263540624999997</c:v>
                </c:pt>
                <c:pt idx="2">
                  <c:v>46.493756249999997</c:v>
                </c:pt>
                <c:pt idx="3">
                  <c:v>47.950046874999998</c:v>
                </c:pt>
                <c:pt idx="4">
                  <c:v>49.544709374999996</c:v>
                </c:pt>
              </c:numCache>
            </c:numRef>
          </c:yVal>
          <c:smooth val="1"/>
          <c:extLst>
            <c:ext xmlns:c16="http://schemas.microsoft.com/office/drawing/2014/chart" uri="{C3380CC4-5D6E-409C-BE32-E72D297353CC}">
              <c16:uniqueId val="{00000000-FEAE-4E9C-9206-E57BDF0ADD8D}"/>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FEAE-4E9C-9206-E57BDF0ADD8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ALL_master+r110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8189-458D-921F-42C11F4EED69}"/>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8189-458D-921F-42C11F4EED69}"/>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26" sqref="G26"/>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S5" activePane="bottomRight" state="frozen"/>
      <selection pane="topRight" activeCell="C1" sqref="C1"/>
      <selection pane="bottomLeft" activeCell="A5" sqref="A5"/>
      <selection pane="bottomRight" activeCell="AN5" sqref="AN5:BC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ALL_master+r110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2.180145</v>
      </c>
      <c r="J5" s="12">
        <f t="shared" ref="J5:J39" si="1">IF(ISBLANK(S5),"·",S5/D5)</f>
        <v>9.7649516762989708E-3</v>
      </c>
      <c r="K5" s="12">
        <f t="shared" ref="K5:K39" si="2">IF(N5="","·",N5/D5)</f>
        <v>6.1864132973570869E-3</v>
      </c>
      <c r="L5" s="12">
        <f t="shared" ref="L5:L39" si="3">IF(T5="","·",T5/D5)</f>
        <v>3.5272086067430685E-3</v>
      </c>
      <c r="M5" s="12">
        <f t="shared" ref="M5:M39" si="4">IF(ISBLANK(V5),"·",V5/D5)</f>
        <v>3.5785383789418835E-3</v>
      </c>
      <c r="N5" s="54">
        <f t="shared" ref="N5:N39" si="5">IF(OR(ISBLANK(T5),ISBLANK(U5)),"",T5+U5)</f>
        <v>1473272</v>
      </c>
      <c r="O5" s="12">
        <v>16</v>
      </c>
      <c r="P5" s="13">
        <v>21785839</v>
      </c>
      <c r="Q5" s="13">
        <v>680807.46875</v>
      </c>
      <c r="R5" s="13">
        <v>13493.71875</v>
      </c>
      <c r="S5" s="14">
        <v>2325488</v>
      </c>
      <c r="T5" s="14">
        <v>839992</v>
      </c>
      <c r="U5" s="14">
        <v>633280</v>
      </c>
      <c r="V5" s="14">
        <v>852216</v>
      </c>
      <c r="W5" s="15">
        <v>66.354631249999997</v>
      </c>
      <c r="X5" s="15">
        <v>68.478521874999998</v>
      </c>
      <c r="Y5" s="15">
        <v>32.105368749999997</v>
      </c>
      <c r="Z5" s="15">
        <v>44.165406249999997</v>
      </c>
      <c r="AA5" s="15">
        <v>43.847446875000003</v>
      </c>
      <c r="AB5" s="16">
        <v>3468.97</v>
      </c>
      <c r="AC5" s="16">
        <v>0</v>
      </c>
      <c r="AD5" s="16">
        <v>41.755000000000003</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3.3959549999999998</v>
      </c>
      <c r="J6" s="21">
        <f t="shared" si="1"/>
        <v>1.521061051897276E-2</v>
      </c>
      <c r="K6" s="21">
        <f t="shared" si="2"/>
        <v>7.550616209002302E-3</v>
      </c>
      <c r="L6" s="21">
        <f t="shared" si="3"/>
        <v>4.8914115183882837E-3</v>
      </c>
      <c r="M6" s="21">
        <f t="shared" si="4"/>
        <v>7.6599943099704589E-3</v>
      </c>
      <c r="N6" s="18">
        <f t="shared" si="5"/>
        <v>1798152</v>
      </c>
      <c r="O6" s="21">
        <v>16</v>
      </c>
      <c r="P6" s="22">
        <v>24191962</v>
      </c>
      <c r="Q6" s="22">
        <v>755998.8125</v>
      </c>
      <c r="R6" s="22">
        <v>19085.96875</v>
      </c>
      <c r="S6" s="23">
        <v>3622352</v>
      </c>
      <c r="T6" s="23">
        <v>1164872</v>
      </c>
      <c r="U6" s="23">
        <v>633280</v>
      </c>
      <c r="V6" s="23">
        <v>1824200</v>
      </c>
      <c r="W6" s="24">
        <v>68.255984374999997</v>
      </c>
      <c r="X6" s="24">
        <v>70.4384625</v>
      </c>
      <c r="Y6" s="24">
        <v>34.355712500000003</v>
      </c>
      <c r="Z6" s="24">
        <v>45.462940625000002</v>
      </c>
      <c r="AA6" s="24">
        <v>45.263540624999997</v>
      </c>
      <c r="AB6" s="25">
        <v>3572.92</v>
      </c>
      <c r="AC6" s="25">
        <v>0</v>
      </c>
      <c r="AD6" s="25">
        <v>44.911999999999999</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5.5716074999999998</v>
      </c>
      <c r="J7" s="12">
        <f t="shared" si="1"/>
        <v>2.4955440118343008E-2</v>
      </c>
      <c r="K7" s="12">
        <f t="shared" si="2"/>
        <v>9.497922645403431E-3</v>
      </c>
      <c r="L7" s="12">
        <f t="shared" si="3"/>
        <v>6.8387179547894136E-3</v>
      </c>
      <c r="M7" s="12">
        <f t="shared" si="4"/>
        <v>1.5457517472939575E-2</v>
      </c>
      <c r="N7" s="54">
        <f t="shared" si="5"/>
        <v>2261896</v>
      </c>
      <c r="O7" s="12">
        <v>16</v>
      </c>
      <c r="P7" s="13">
        <v>24808216</v>
      </c>
      <c r="Q7" s="13">
        <v>775256.75</v>
      </c>
      <c r="R7" s="13">
        <v>20954.78125</v>
      </c>
      <c r="S7" s="14">
        <v>5943048</v>
      </c>
      <c r="T7" s="14">
        <v>1628616</v>
      </c>
      <c r="U7" s="14">
        <v>633280</v>
      </c>
      <c r="V7" s="14">
        <v>3681152</v>
      </c>
      <c r="W7" s="15">
        <v>69.683721875000003</v>
      </c>
      <c r="X7" s="15">
        <v>72.129403124999996</v>
      </c>
      <c r="Y7" s="15">
        <v>36.896806249999997</v>
      </c>
      <c r="Z7" s="15">
        <v>46.595978125000002</v>
      </c>
      <c r="AA7" s="15">
        <v>46.493756249999997</v>
      </c>
      <c r="AB7" s="16">
        <v>3649.9</v>
      </c>
      <c r="AC7" s="16">
        <v>0</v>
      </c>
      <c r="AD7" s="16">
        <v>46.116999999999997</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9.4357799999999994</v>
      </c>
      <c r="J8" s="21">
        <f t="shared" si="1"/>
        <v>4.2263214478022469E-2</v>
      </c>
      <c r="K8" s="21">
        <f t="shared" si="2"/>
        <v>1.2759949824307856E-2</v>
      </c>
      <c r="L8" s="21">
        <f t="shared" si="3"/>
        <v>1.0100745133693839E-2</v>
      </c>
      <c r="M8" s="21">
        <f t="shared" si="4"/>
        <v>2.9503264653714615E-2</v>
      </c>
      <c r="N8" s="18">
        <f t="shared" si="5"/>
        <v>3038736</v>
      </c>
      <c r="O8" s="21">
        <v>16</v>
      </c>
      <c r="P8" s="22">
        <v>25797809</v>
      </c>
      <c r="Q8" s="22">
        <v>806181.53125</v>
      </c>
      <c r="R8" s="22">
        <v>24199.84375</v>
      </c>
      <c r="S8" s="23">
        <v>10064832</v>
      </c>
      <c r="T8" s="23">
        <v>2405456</v>
      </c>
      <c r="U8" s="23">
        <v>633280</v>
      </c>
      <c r="V8" s="23">
        <v>7026096</v>
      </c>
      <c r="W8" s="24">
        <v>70.836840624999994</v>
      </c>
      <c r="X8" s="24">
        <v>73.406981250000001</v>
      </c>
      <c r="Y8" s="24">
        <v>39.524643750000003</v>
      </c>
      <c r="Z8" s="24">
        <v>47.911165625000002</v>
      </c>
      <c r="AA8" s="24">
        <v>47.950046874999998</v>
      </c>
      <c r="AB8" s="25">
        <v>3784.15</v>
      </c>
      <c r="AC8" s="25">
        <v>0</v>
      </c>
      <c r="AD8" s="25">
        <v>48.076000000000001</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16.813320000000001</v>
      </c>
      <c r="J9" s="30">
        <f t="shared" si="1"/>
        <v>7.5307494372232581E-2</v>
      </c>
      <c r="K9" s="30">
        <f t="shared" si="2"/>
        <v>2.0665171449102498E-2</v>
      </c>
      <c r="L9" s="30">
        <f t="shared" si="3"/>
        <v>1.5547781280464586E-2</v>
      </c>
      <c r="M9" s="30">
        <f t="shared" si="4"/>
        <v>5.4642322923130086E-2</v>
      </c>
      <c r="N9" s="27">
        <f t="shared" si="5"/>
        <v>4921336</v>
      </c>
      <c r="O9" s="30">
        <v>16</v>
      </c>
      <c r="P9" s="31">
        <v>24868389</v>
      </c>
      <c r="Q9" s="31">
        <v>777137.15625</v>
      </c>
      <c r="R9" s="31">
        <v>10635.96875</v>
      </c>
      <c r="S9" s="32">
        <v>17934208</v>
      </c>
      <c r="T9" s="32">
        <v>3702648</v>
      </c>
      <c r="U9" s="32">
        <v>1218688</v>
      </c>
      <c r="V9" s="32">
        <v>13012872</v>
      </c>
      <c r="W9" s="33">
        <v>71.945243750000003</v>
      </c>
      <c r="X9" s="33">
        <v>75.319246875000005</v>
      </c>
      <c r="Y9" s="33">
        <v>42.092659374999997</v>
      </c>
      <c r="Z9" s="33">
        <v>49.412693750000003</v>
      </c>
      <c r="AA9" s="33">
        <v>49.544709374999996</v>
      </c>
      <c r="AB9" s="34">
        <v>3925.38</v>
      </c>
      <c r="AC9" s="34">
        <v>0</v>
      </c>
      <c r="AD9" s="34">
        <v>46.728999999999999</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3.1913100000000001</v>
      </c>
      <c r="J10" s="21">
        <f t="shared" si="1"/>
        <v>1.5606292944178266E-2</v>
      </c>
      <c r="K10" s="21">
        <f t="shared" si="2"/>
        <v>8.0852647996566968E-3</v>
      </c>
      <c r="L10" s="21">
        <f t="shared" si="3"/>
        <v>4.2808118615059046E-3</v>
      </c>
      <c r="M10" s="21">
        <f t="shared" si="4"/>
        <v>7.5210281445215682E-3</v>
      </c>
      <c r="N10" s="18">
        <f t="shared" si="5"/>
        <v>1763568</v>
      </c>
      <c r="O10" s="21">
        <v>16</v>
      </c>
      <c r="P10" s="22">
        <v>20669095</v>
      </c>
      <c r="Q10" s="22">
        <v>645909.21875</v>
      </c>
      <c r="R10" s="22">
        <v>18184.71875</v>
      </c>
      <c r="S10" s="23">
        <v>3404064</v>
      </c>
      <c r="T10" s="23">
        <v>933736</v>
      </c>
      <c r="U10" s="23">
        <v>829832</v>
      </c>
      <c r="V10" s="23">
        <v>1640496</v>
      </c>
      <c r="W10" s="24">
        <v>65.902412499999997</v>
      </c>
      <c r="X10" s="24">
        <v>67.818875000000006</v>
      </c>
      <c r="Y10" s="24">
        <v>32.387412500000003</v>
      </c>
      <c r="Z10" s="24">
        <v>39.175156250000001</v>
      </c>
      <c r="AA10" s="24">
        <v>32.088762500000001</v>
      </c>
      <c r="AB10" s="25">
        <v>3405.47</v>
      </c>
      <c r="AC10" s="25">
        <v>0</v>
      </c>
      <c r="AD10" s="25">
        <v>42.521999999999998</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4.6060650000000001</v>
      </c>
      <c r="J11" s="12">
        <f t="shared" si="1"/>
        <v>2.2524793802521995E-2</v>
      </c>
      <c r="K11" s="12">
        <f t="shared" si="2"/>
        <v>9.8397385798857685E-3</v>
      </c>
      <c r="L11" s="12">
        <f t="shared" si="3"/>
        <v>6.0352856417349764E-3</v>
      </c>
      <c r="M11" s="12">
        <f t="shared" si="4"/>
        <v>1.2685055222636226E-2</v>
      </c>
      <c r="N11" s="54">
        <f t="shared" si="5"/>
        <v>2146256</v>
      </c>
      <c r="O11" s="12">
        <v>16</v>
      </c>
      <c r="P11" s="13">
        <v>22097416</v>
      </c>
      <c r="Q11" s="13">
        <v>690544.25</v>
      </c>
      <c r="R11" s="13">
        <v>22962.71875</v>
      </c>
      <c r="S11" s="14">
        <v>4913136</v>
      </c>
      <c r="T11" s="14">
        <v>1316424</v>
      </c>
      <c r="U11" s="14">
        <v>829832</v>
      </c>
      <c r="V11" s="14">
        <v>2766880</v>
      </c>
      <c r="W11" s="15">
        <v>67.609743750000007</v>
      </c>
      <c r="X11" s="15">
        <v>69.703928125000004</v>
      </c>
      <c r="Y11" s="15">
        <v>34.243778124999999</v>
      </c>
      <c r="Z11" s="15">
        <v>40.024018750000003</v>
      </c>
      <c r="AA11" s="15">
        <v>33.861578125000001</v>
      </c>
      <c r="AB11" s="16">
        <v>3480.43</v>
      </c>
      <c r="AC11" s="16">
        <v>0</v>
      </c>
      <c r="AD11" s="16">
        <v>44.360999999999997</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7.1247449999999999</v>
      </c>
      <c r="J12" s="21">
        <f t="shared" si="1"/>
        <v>3.4841760161992842E-2</v>
      </c>
      <c r="K12" s="21">
        <f t="shared" si="2"/>
        <v>1.2515094701322121E-2</v>
      </c>
      <c r="L12" s="21">
        <f t="shared" si="3"/>
        <v>8.7106417631713281E-3</v>
      </c>
      <c r="M12" s="21">
        <f t="shared" si="4"/>
        <v>2.2326665460670723E-2</v>
      </c>
      <c r="N12" s="18">
        <f t="shared" si="5"/>
        <v>2729808</v>
      </c>
      <c r="O12" s="21">
        <v>16</v>
      </c>
      <c r="P12" s="22">
        <v>22514733</v>
      </c>
      <c r="Q12" s="22">
        <v>703585.40625</v>
      </c>
      <c r="R12" s="22">
        <v>24682.8125</v>
      </c>
      <c r="S12" s="23">
        <v>7599728</v>
      </c>
      <c r="T12" s="23">
        <v>1899976</v>
      </c>
      <c r="U12" s="23">
        <v>829832</v>
      </c>
      <c r="V12" s="23">
        <v>4869920</v>
      </c>
      <c r="W12" s="24">
        <v>68.954471874999996</v>
      </c>
      <c r="X12" s="24">
        <v>71.328387500000005</v>
      </c>
      <c r="Y12" s="24">
        <v>36.344050000000003</v>
      </c>
      <c r="Z12" s="24">
        <v>40.924225</v>
      </c>
      <c r="AA12" s="24">
        <v>35.641859375000003</v>
      </c>
      <c r="AB12" s="25">
        <v>3584.07</v>
      </c>
      <c r="AC12" s="25">
        <v>0</v>
      </c>
      <c r="AD12" s="25">
        <v>46.787999999999997</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12.009029999999999</v>
      </c>
      <c r="J13" s="12">
        <f t="shared" si="1"/>
        <v>5.8727118379419463E-2</v>
      </c>
      <c r="K13" s="12">
        <f t="shared" si="2"/>
        <v>1.7199278555364177E-2</v>
      </c>
      <c r="L13" s="12">
        <f t="shared" si="3"/>
        <v>1.3394825617213384E-2</v>
      </c>
      <c r="M13" s="12">
        <f t="shared" si="4"/>
        <v>4.1527839824055286E-2</v>
      </c>
      <c r="N13" s="54">
        <f t="shared" si="5"/>
        <v>3751528</v>
      </c>
      <c r="O13" s="12">
        <v>16</v>
      </c>
      <c r="P13" s="13">
        <v>23299291</v>
      </c>
      <c r="Q13" s="13">
        <v>728102.84375</v>
      </c>
      <c r="R13" s="13">
        <v>28059</v>
      </c>
      <c r="S13" s="14">
        <v>12809632</v>
      </c>
      <c r="T13" s="14">
        <v>2921696</v>
      </c>
      <c r="U13" s="14">
        <v>829832</v>
      </c>
      <c r="V13" s="14">
        <v>9058104</v>
      </c>
      <c r="W13" s="15">
        <v>70.067156249999996</v>
      </c>
      <c r="X13" s="15">
        <v>72.583796875000004</v>
      </c>
      <c r="Y13" s="15">
        <v>38.661590625000002</v>
      </c>
      <c r="Z13" s="15">
        <v>42.108584375</v>
      </c>
      <c r="AA13" s="15">
        <v>37.692184374999997</v>
      </c>
      <c r="AB13" s="16">
        <v>3718.17</v>
      </c>
      <c r="AC13" s="16">
        <v>0</v>
      </c>
      <c r="AD13" s="16">
        <v>48.246000000000002</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21.563925000000001</v>
      </c>
      <c r="J14" s="40">
        <f t="shared" si="1"/>
        <v>0.10545291136752284</v>
      </c>
      <c r="K14" s="40">
        <f t="shared" si="2"/>
        <v>2.8277667701892144E-2</v>
      </c>
      <c r="L14" s="40">
        <f t="shared" si="3"/>
        <v>2.115271285682483E-2</v>
      </c>
      <c r="M14" s="40">
        <f t="shared" si="4"/>
        <v>7.7175243665630694E-2</v>
      </c>
      <c r="N14" s="37">
        <f t="shared" si="5"/>
        <v>6167960</v>
      </c>
      <c r="O14" s="40">
        <v>16</v>
      </c>
      <c r="P14" s="41">
        <v>22125335</v>
      </c>
      <c r="Q14" s="41">
        <v>691416.71875</v>
      </c>
      <c r="R14" s="41">
        <v>13294.1875</v>
      </c>
      <c r="S14" s="42">
        <v>23001520</v>
      </c>
      <c r="T14" s="42">
        <v>4613856</v>
      </c>
      <c r="U14" s="42">
        <v>1554104</v>
      </c>
      <c r="V14" s="42">
        <v>16833560</v>
      </c>
      <c r="W14" s="43">
        <v>70.921865624999995</v>
      </c>
      <c r="X14" s="43">
        <v>74.681325000000001</v>
      </c>
      <c r="Y14" s="43">
        <v>40.919334374999998</v>
      </c>
      <c r="Z14" s="43">
        <v>43.42165</v>
      </c>
      <c r="AA14" s="43">
        <v>39.491034374999998</v>
      </c>
      <c r="AB14" s="44">
        <v>3942.73</v>
      </c>
      <c r="AC14" s="44">
        <v>0</v>
      </c>
      <c r="AD14" s="44">
        <v>46.667999999999999</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4.409535</v>
      </c>
      <c r="J15" s="12">
        <f t="shared" si="1"/>
        <v>1.4580452945888193E-2</v>
      </c>
      <c r="K15" s="12">
        <f t="shared" si="2"/>
        <v>8.2593584573920562E-3</v>
      </c>
      <c r="L15" s="12">
        <f t="shared" si="3"/>
        <v>4.3923534521734149E-3</v>
      </c>
      <c r="M15" s="12">
        <f t="shared" si="4"/>
        <v>6.3210944884961361E-3</v>
      </c>
      <c r="N15" s="54">
        <f t="shared" si="5"/>
        <v>2664384</v>
      </c>
      <c r="O15" s="12">
        <v>16</v>
      </c>
      <c r="P15" s="13">
        <v>31086837</v>
      </c>
      <c r="Q15" s="13">
        <v>971463.65625</v>
      </c>
      <c r="R15" s="13">
        <v>27944.34375</v>
      </c>
      <c r="S15" s="14">
        <v>4703504</v>
      </c>
      <c r="T15" s="14">
        <v>1416928</v>
      </c>
      <c r="U15" s="14">
        <v>1247456</v>
      </c>
      <c r="V15" s="14">
        <v>2039120</v>
      </c>
      <c r="W15" s="15">
        <v>65.923106250000004</v>
      </c>
      <c r="X15" s="15">
        <v>67.661796874999993</v>
      </c>
      <c r="Y15" s="15">
        <v>29.416015625</v>
      </c>
      <c r="Z15" s="15">
        <v>43.127603125</v>
      </c>
      <c r="AA15" s="15">
        <v>43.264449999999997</v>
      </c>
      <c r="AB15" s="16">
        <v>4226.04</v>
      </c>
      <c r="AC15" s="16">
        <v>0</v>
      </c>
      <c r="AD15" s="16">
        <v>54.908999999999999</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7.0055775000000002</v>
      </c>
      <c r="J16" s="21">
        <f t="shared" si="1"/>
        <v>2.3164459086394151E-2</v>
      </c>
      <c r="K16" s="21">
        <f t="shared" si="2"/>
        <v>1.0064747757727569E-2</v>
      </c>
      <c r="L16" s="21">
        <f t="shared" si="3"/>
        <v>6.1977427525089267E-3</v>
      </c>
      <c r="M16" s="21">
        <f t="shared" si="4"/>
        <v>1.3099711328666584E-2</v>
      </c>
      <c r="N16" s="18">
        <f t="shared" si="5"/>
        <v>3246784</v>
      </c>
      <c r="O16" s="21">
        <v>16</v>
      </c>
      <c r="P16" s="22">
        <v>33185472</v>
      </c>
      <c r="Q16" s="22">
        <v>1037046</v>
      </c>
      <c r="R16" s="22">
        <v>34748.53125</v>
      </c>
      <c r="S16" s="23">
        <v>7472616</v>
      </c>
      <c r="T16" s="23">
        <v>1999328</v>
      </c>
      <c r="U16" s="23">
        <v>1247456</v>
      </c>
      <c r="V16" s="23">
        <v>4225832</v>
      </c>
      <c r="W16" s="24">
        <v>67.712850000000003</v>
      </c>
      <c r="X16" s="24">
        <v>69.741403125000005</v>
      </c>
      <c r="Y16" s="24">
        <v>31.808668749999999</v>
      </c>
      <c r="Z16" s="24">
        <v>43.978478125000002</v>
      </c>
      <c r="AA16" s="24">
        <v>44.264781249999999</v>
      </c>
      <c r="AB16" s="25">
        <v>4334.49</v>
      </c>
      <c r="AC16" s="25">
        <v>0</v>
      </c>
      <c r="AD16" s="25">
        <v>58.183999999999997</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11.691022500000001</v>
      </c>
      <c r="J17" s="12">
        <f t="shared" si="1"/>
        <v>3.8657228812237605E-2</v>
      </c>
      <c r="K17" s="12">
        <f t="shared" si="2"/>
        <v>1.282312469588304E-2</v>
      </c>
      <c r="L17" s="12">
        <f t="shared" si="3"/>
        <v>8.9561196906643992E-3</v>
      </c>
      <c r="M17" s="12">
        <f t="shared" si="4"/>
        <v>2.5834104116354561E-2</v>
      </c>
      <c r="N17" s="54">
        <f t="shared" si="5"/>
        <v>4136608</v>
      </c>
      <c r="O17" s="12">
        <v>16</v>
      </c>
      <c r="P17" s="13">
        <v>33602137</v>
      </c>
      <c r="Q17" s="13">
        <v>1050066.78125</v>
      </c>
      <c r="R17" s="13">
        <v>36579.4375</v>
      </c>
      <c r="S17" s="14">
        <v>12470424</v>
      </c>
      <c r="T17" s="14">
        <v>2889152</v>
      </c>
      <c r="U17" s="14">
        <v>1247456</v>
      </c>
      <c r="V17" s="14">
        <v>8333816</v>
      </c>
      <c r="W17" s="15">
        <v>69.134240625000004</v>
      </c>
      <c r="X17" s="15">
        <v>71.597499999999997</v>
      </c>
      <c r="Y17" s="15">
        <v>34.351259374999998</v>
      </c>
      <c r="Z17" s="15">
        <v>44.801000000000002</v>
      </c>
      <c r="AA17" s="15">
        <v>45.210156249999997</v>
      </c>
      <c r="AB17" s="16">
        <v>4475.76</v>
      </c>
      <c r="AC17" s="16">
        <v>0</v>
      </c>
      <c r="AD17" s="16">
        <v>59.32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20.1795075</v>
      </c>
      <c r="J18" s="21">
        <f t="shared" si="1"/>
        <v>6.6725031000989421E-2</v>
      </c>
      <c r="K18" s="21">
        <f t="shared" si="2"/>
        <v>1.7327075014148624E-2</v>
      </c>
      <c r="L18" s="21">
        <f t="shared" si="3"/>
        <v>1.3460070008929981E-2</v>
      </c>
      <c r="M18" s="21">
        <f t="shared" si="4"/>
        <v>4.9397955986840797E-2</v>
      </c>
      <c r="N18" s="18">
        <f t="shared" si="5"/>
        <v>5589536</v>
      </c>
      <c r="O18" s="21">
        <v>16</v>
      </c>
      <c r="P18" s="22">
        <v>34802570</v>
      </c>
      <c r="Q18" s="22">
        <v>1087580.3125</v>
      </c>
      <c r="R18" s="22">
        <v>40873.28125</v>
      </c>
      <c r="S18" s="23">
        <v>21524808</v>
      </c>
      <c r="T18" s="23">
        <v>4342080</v>
      </c>
      <c r="U18" s="23">
        <v>1247456</v>
      </c>
      <c r="V18" s="23">
        <v>15935272</v>
      </c>
      <c r="W18" s="24">
        <v>70.372421875000001</v>
      </c>
      <c r="X18" s="24">
        <v>72.950706249999996</v>
      </c>
      <c r="Y18" s="24">
        <v>37.032699999999998</v>
      </c>
      <c r="Z18" s="24">
        <v>46.141668750000001</v>
      </c>
      <c r="AA18" s="24">
        <v>46.647603125000003</v>
      </c>
      <c r="AB18" s="25">
        <v>4626.8900000000003</v>
      </c>
      <c r="AC18" s="25">
        <v>0</v>
      </c>
      <c r="AD18" s="25">
        <v>61.667999999999999</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35.694022500000003</v>
      </c>
      <c r="J19" s="30">
        <f t="shared" si="1"/>
        <v>0.11802491997698723</v>
      </c>
      <c r="K19" s="30">
        <f t="shared" si="2"/>
        <v>2.779634901180851E-2</v>
      </c>
      <c r="L19" s="30">
        <f t="shared" si="3"/>
        <v>2.0647478569247826E-2</v>
      </c>
      <c r="M19" s="30">
        <f t="shared" si="4"/>
        <v>9.0228570965178723E-2</v>
      </c>
      <c r="N19" s="27">
        <f t="shared" si="5"/>
        <v>8966816</v>
      </c>
      <c r="O19" s="30">
        <v>16</v>
      </c>
      <c r="P19" s="31">
        <v>33042374</v>
      </c>
      <c r="Q19" s="31">
        <v>1032574.1875</v>
      </c>
      <c r="R19" s="31">
        <v>17761.0625</v>
      </c>
      <c r="S19" s="32">
        <v>38073624</v>
      </c>
      <c r="T19" s="32">
        <v>6660664</v>
      </c>
      <c r="U19" s="32">
        <v>2306152</v>
      </c>
      <c r="V19" s="32">
        <v>29106808</v>
      </c>
      <c r="W19" s="33">
        <v>71.149421875000002</v>
      </c>
      <c r="X19" s="33">
        <v>75.002240624999999</v>
      </c>
      <c r="Y19" s="33">
        <v>39.490021874999996</v>
      </c>
      <c r="Z19" s="33">
        <v>47.872225</v>
      </c>
      <c r="AA19" s="33">
        <v>48.471881250000003</v>
      </c>
      <c r="AB19" s="34">
        <v>5019.29</v>
      </c>
      <c r="AC19" s="34">
        <v>0</v>
      </c>
      <c r="AD19" s="34">
        <v>60.06</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5.1031000000000004</v>
      </c>
      <c r="J20" s="21">
        <f t="shared" si="1"/>
        <v>1.3032507274626771E-2</v>
      </c>
      <c r="K20" s="21">
        <f t="shared" si="2"/>
        <v>7.603743086906368E-3</v>
      </c>
      <c r="L20" s="21">
        <f t="shared" si="3"/>
        <v>3.776045823828904E-3</v>
      </c>
      <c r="M20" s="21">
        <f t="shared" si="4"/>
        <v>5.4287641877204043E-3</v>
      </c>
      <c r="N20" s="18">
        <f t="shared" si="5"/>
        <v>1905520</v>
      </c>
      <c r="O20" s="21">
        <v>16</v>
      </c>
      <c r="P20" s="22">
        <v>30323913</v>
      </c>
      <c r="Q20" s="22">
        <v>947622.28125</v>
      </c>
      <c r="R20" s="22">
        <v>27816.5625</v>
      </c>
      <c r="S20" s="23">
        <v>3265984</v>
      </c>
      <c r="T20" s="23">
        <v>946288</v>
      </c>
      <c r="U20" s="23">
        <v>959232</v>
      </c>
      <c r="V20" s="23">
        <v>1360464</v>
      </c>
      <c r="W20" s="24">
        <v>67.129975000000002</v>
      </c>
      <c r="X20" s="24">
        <v>68.82336875</v>
      </c>
      <c r="Y20" s="24">
        <v>30.707646874999998</v>
      </c>
      <c r="Z20" s="24">
        <v>39.523800000000001</v>
      </c>
      <c r="AA20" s="24">
        <v>38.234321874999999</v>
      </c>
      <c r="AB20" s="25">
        <v>4437.96</v>
      </c>
      <c r="AC20" s="25">
        <v>0</v>
      </c>
      <c r="AD20" s="25">
        <v>54.859000000000002</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7.6039124999999999</v>
      </c>
      <c r="J21" s="12">
        <f t="shared" si="1"/>
        <v>1.9419185391600292E-2</v>
      </c>
      <c r="K21" s="12">
        <f t="shared" si="2"/>
        <v>9.0533991485357602E-3</v>
      </c>
      <c r="L21" s="12">
        <f t="shared" si="3"/>
        <v>5.2257018854582962E-3</v>
      </c>
      <c r="M21" s="12">
        <f t="shared" si="4"/>
        <v>1.036578624306453E-2</v>
      </c>
      <c r="N21" s="54">
        <f t="shared" si="5"/>
        <v>2268808</v>
      </c>
      <c r="O21" s="12">
        <v>16</v>
      </c>
      <c r="P21" s="13">
        <v>31547254</v>
      </c>
      <c r="Q21" s="13">
        <v>985851.6875</v>
      </c>
      <c r="R21" s="13">
        <v>32992.53125</v>
      </c>
      <c r="S21" s="14">
        <v>4866504</v>
      </c>
      <c r="T21" s="14">
        <v>1309576</v>
      </c>
      <c r="U21" s="14">
        <v>959232</v>
      </c>
      <c r="V21" s="14">
        <v>2597696</v>
      </c>
      <c r="W21" s="15">
        <v>68.684825000000004</v>
      </c>
      <c r="X21" s="15">
        <v>70.763768749999997</v>
      </c>
      <c r="Y21" s="15">
        <v>32.498399999999997</v>
      </c>
      <c r="Z21" s="15">
        <v>40.653237500000003</v>
      </c>
      <c r="AA21" s="15">
        <v>39.544649999999997</v>
      </c>
      <c r="AB21" s="16">
        <v>4572.08</v>
      </c>
      <c r="AC21" s="16">
        <v>0</v>
      </c>
      <c r="AD21" s="16">
        <v>56.511000000000003</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12.370525000000001</v>
      </c>
      <c r="J22" s="21">
        <f t="shared" si="1"/>
        <v>3.1592357009161555E-2</v>
      </c>
      <c r="K22" s="21">
        <f t="shared" si="2"/>
        <v>1.1313420961292901E-2</v>
      </c>
      <c r="L22" s="21">
        <f t="shared" si="3"/>
        <v>7.4857236982154365E-3</v>
      </c>
      <c r="M22" s="21">
        <f t="shared" si="4"/>
        <v>2.0278936047868658E-2</v>
      </c>
      <c r="N22" s="18">
        <f t="shared" si="5"/>
        <v>2835176</v>
      </c>
      <c r="O22" s="21">
        <v>16</v>
      </c>
      <c r="P22" s="22">
        <v>32778173</v>
      </c>
      <c r="Q22" s="22">
        <v>1024317.90625</v>
      </c>
      <c r="R22" s="22">
        <v>35188.46875</v>
      </c>
      <c r="S22" s="23">
        <v>7917136</v>
      </c>
      <c r="T22" s="23">
        <v>1875944</v>
      </c>
      <c r="U22" s="23">
        <v>959232</v>
      </c>
      <c r="V22" s="23">
        <v>5081960</v>
      </c>
      <c r="W22" s="24">
        <v>69.862159375000005</v>
      </c>
      <c r="X22" s="24">
        <v>72.260553125000001</v>
      </c>
      <c r="Y22" s="24">
        <v>34.237665624999998</v>
      </c>
      <c r="Z22" s="24">
        <v>41.667446875000003</v>
      </c>
      <c r="AA22" s="24">
        <v>40.554246874999997</v>
      </c>
      <c r="AB22" s="25">
        <v>4670.7700000000004</v>
      </c>
      <c r="AC22" s="25">
        <v>0</v>
      </c>
      <c r="AD22" s="25">
        <v>57.963000000000001</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22.0129625</v>
      </c>
      <c r="J23" s="12">
        <f t="shared" si="1"/>
        <v>5.6217611631623199E-2</v>
      </c>
      <c r="K23" s="12">
        <f t="shared" si="2"/>
        <v>1.5234844198186045E-2</v>
      </c>
      <c r="L23" s="12">
        <f t="shared" si="3"/>
        <v>1.1407146935108583E-2</v>
      </c>
      <c r="M23" s="12">
        <f t="shared" si="4"/>
        <v>4.0982767433437151E-2</v>
      </c>
      <c r="N23" s="54">
        <f t="shared" si="5"/>
        <v>3817896</v>
      </c>
      <c r="O23" s="12">
        <v>16</v>
      </c>
      <c r="P23" s="13">
        <v>32789353</v>
      </c>
      <c r="Q23" s="13">
        <v>1024667.28125</v>
      </c>
      <c r="R23" s="13">
        <v>36955.375</v>
      </c>
      <c r="S23" s="14">
        <v>14088296</v>
      </c>
      <c r="T23" s="14">
        <v>2858664</v>
      </c>
      <c r="U23" s="14">
        <v>959232</v>
      </c>
      <c r="V23" s="14">
        <v>10270400</v>
      </c>
      <c r="W23" s="15">
        <v>70.885131250000001</v>
      </c>
      <c r="X23" s="15">
        <v>73.609525000000005</v>
      </c>
      <c r="Y23" s="15">
        <v>35.685465624999999</v>
      </c>
      <c r="Z23" s="15">
        <v>42.817409374999997</v>
      </c>
      <c r="AA23" s="15">
        <v>41.612731250000003</v>
      </c>
      <c r="AB23" s="16">
        <v>4840.47</v>
      </c>
      <c r="AC23" s="16">
        <v>0</v>
      </c>
      <c r="AD23" s="16">
        <v>59.185000000000002</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38.643700000000003</v>
      </c>
      <c r="J24" s="40">
        <f t="shared" si="1"/>
        <v>9.8689875050164522E-2</v>
      </c>
      <c r="K24" s="40">
        <f t="shared" si="2"/>
        <v>2.529455256763179E-2</v>
      </c>
      <c r="L24" s="40">
        <f t="shared" si="3"/>
        <v>1.7938755542927873E-2</v>
      </c>
      <c r="M24" s="40">
        <f t="shared" si="4"/>
        <v>7.3395322482532735E-2</v>
      </c>
      <c r="N24" s="37">
        <f t="shared" si="5"/>
        <v>6338888</v>
      </c>
      <c r="O24" s="40">
        <v>16</v>
      </c>
      <c r="P24" s="41">
        <v>31420466</v>
      </c>
      <c r="Q24" s="41">
        <v>981889.5625</v>
      </c>
      <c r="R24" s="41">
        <v>18332.15625</v>
      </c>
      <c r="S24" s="42">
        <v>24731968</v>
      </c>
      <c r="T24" s="42">
        <v>4495504</v>
      </c>
      <c r="U24" s="42">
        <v>1843384</v>
      </c>
      <c r="V24" s="42">
        <v>18393080</v>
      </c>
      <c r="W24" s="43">
        <v>71.729253125</v>
      </c>
      <c r="X24" s="43">
        <v>75.633028124999996</v>
      </c>
      <c r="Y24" s="43">
        <v>36.551428125000001</v>
      </c>
      <c r="Z24" s="43">
        <v>43.594028125000001</v>
      </c>
      <c r="AA24" s="43">
        <v>42.058259374999999</v>
      </c>
      <c r="AB24" s="44">
        <v>5127.03</v>
      </c>
      <c r="AC24" s="44">
        <v>0</v>
      </c>
      <c r="AD24" s="44">
        <v>59.058</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4.3768874999999996</v>
      </c>
      <c r="J25" s="12">
        <f t="shared" si="1"/>
        <v>1.8652740953058265E-2</v>
      </c>
      <c r="K25" s="12">
        <f t="shared" si="2"/>
        <v>6.5154906149746386E-3</v>
      </c>
      <c r="L25" s="12">
        <f t="shared" si="3"/>
        <v>3.7288222243660072E-3</v>
      </c>
      <c r="M25" s="12">
        <f t="shared" si="4"/>
        <v>1.2137250338083626E-2</v>
      </c>
      <c r="N25" s="54">
        <f t="shared" si="5"/>
        <v>1630792</v>
      </c>
      <c r="O25" s="12">
        <v>16</v>
      </c>
      <c r="P25" s="13">
        <v>23138864</v>
      </c>
      <c r="Q25" s="13">
        <v>723089.5</v>
      </c>
      <c r="R25" s="13">
        <v>14043.03125</v>
      </c>
      <c r="S25" s="14">
        <v>4668680</v>
      </c>
      <c r="T25" s="14">
        <v>933304</v>
      </c>
      <c r="U25" s="14">
        <v>697488</v>
      </c>
      <c r="V25" s="14">
        <v>3037888</v>
      </c>
      <c r="W25" s="15">
        <v>66.207506249999994</v>
      </c>
      <c r="X25" s="15">
        <v>67.988171875000006</v>
      </c>
      <c r="Y25" s="15">
        <v>27.335396875000001</v>
      </c>
      <c r="Z25" s="15">
        <v>33.163115625000003</v>
      </c>
      <c r="AA25" s="15">
        <v>32.596746875000001</v>
      </c>
      <c r="AB25" s="16">
        <v>2640.39</v>
      </c>
      <c r="AC25" s="16">
        <v>0</v>
      </c>
      <c r="AD25" s="16">
        <v>44.01</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7.5035625000000001</v>
      </c>
      <c r="J26" s="21">
        <f t="shared" si="1"/>
        <v>3.1977519992821897E-2</v>
      </c>
      <c r="K26" s="21">
        <f t="shared" si="2"/>
        <v>8.0379206929856763E-3</v>
      </c>
      <c r="L26" s="21">
        <f t="shared" si="3"/>
        <v>5.2512523023770449E-3</v>
      </c>
      <c r="M26" s="21">
        <f t="shared" si="4"/>
        <v>2.3939599299836224E-2</v>
      </c>
      <c r="N26" s="18">
        <f t="shared" si="5"/>
        <v>2011848</v>
      </c>
      <c r="O26" s="21">
        <v>16</v>
      </c>
      <c r="P26" s="22">
        <v>24580782</v>
      </c>
      <c r="Q26" s="22">
        <v>768149.4375</v>
      </c>
      <c r="R26" s="22">
        <v>17704.59375</v>
      </c>
      <c r="S26" s="23">
        <v>8003800</v>
      </c>
      <c r="T26" s="23">
        <v>1314360</v>
      </c>
      <c r="U26" s="23">
        <v>697488</v>
      </c>
      <c r="V26" s="23">
        <v>5991952</v>
      </c>
      <c r="W26" s="24">
        <v>67.944759375000004</v>
      </c>
      <c r="X26" s="24">
        <v>69.940765624999997</v>
      </c>
      <c r="Y26" s="24">
        <v>29.714928125</v>
      </c>
      <c r="Z26" s="24">
        <v>34.34100625</v>
      </c>
      <c r="AA26" s="24">
        <v>33.890862499999997</v>
      </c>
      <c r="AB26" s="25">
        <v>2750.58</v>
      </c>
      <c r="AC26" s="25">
        <v>0</v>
      </c>
      <c r="AD26" s="25">
        <v>46.853000000000002</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13.201320000000001</v>
      </c>
      <c r="J27" s="12">
        <f t="shared" si="1"/>
        <v>5.6259340044364205E-2</v>
      </c>
      <c r="K27" s="12">
        <f t="shared" si="2"/>
        <v>1.0337578941281279E-2</v>
      </c>
      <c r="L27" s="12">
        <f t="shared" si="3"/>
        <v>7.5509105506726473E-3</v>
      </c>
      <c r="M27" s="12">
        <f t="shared" si="4"/>
        <v>4.592176110308293E-2</v>
      </c>
      <c r="N27" s="54">
        <f t="shared" si="5"/>
        <v>2587440</v>
      </c>
      <c r="O27" s="12">
        <v>16</v>
      </c>
      <c r="P27" s="13">
        <v>24854017</v>
      </c>
      <c r="Q27" s="13">
        <v>776688.03125</v>
      </c>
      <c r="R27" s="13">
        <v>18708.96875</v>
      </c>
      <c r="S27" s="14">
        <v>14081408</v>
      </c>
      <c r="T27" s="14">
        <v>1889952</v>
      </c>
      <c r="U27" s="14">
        <v>697488</v>
      </c>
      <c r="V27" s="14">
        <v>11493968</v>
      </c>
      <c r="W27" s="15">
        <v>69.264531250000005</v>
      </c>
      <c r="X27" s="15">
        <v>71.652259375</v>
      </c>
      <c r="Y27" s="15">
        <v>32.213559375000003</v>
      </c>
      <c r="Z27" s="15">
        <v>35.579384374999997</v>
      </c>
      <c r="AA27" s="15">
        <v>35.201921874999996</v>
      </c>
      <c r="AB27" s="16">
        <v>2835.89</v>
      </c>
      <c r="AC27" s="16">
        <v>0</v>
      </c>
      <c r="AD27" s="16">
        <v>47.786000000000001</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24.464745000000001</v>
      </c>
      <c r="J28" s="21">
        <f t="shared" si="1"/>
        <v>0.10426005945266525</v>
      </c>
      <c r="K28" s="21">
        <f t="shared" si="2"/>
        <v>1.4190415036630717E-2</v>
      </c>
      <c r="L28" s="21">
        <f t="shared" si="3"/>
        <v>1.1403746646022086E-2</v>
      </c>
      <c r="M28" s="21">
        <f t="shared" si="4"/>
        <v>9.0069644416034544E-2</v>
      </c>
      <c r="N28" s="18">
        <f t="shared" si="5"/>
        <v>3551784</v>
      </c>
      <c r="O28" s="21">
        <v>16</v>
      </c>
      <c r="P28" s="22">
        <v>25513364</v>
      </c>
      <c r="Q28" s="22">
        <v>797292.625</v>
      </c>
      <c r="R28" s="22">
        <v>20938.9375</v>
      </c>
      <c r="S28" s="23">
        <v>26095728</v>
      </c>
      <c r="T28" s="23">
        <v>2854296</v>
      </c>
      <c r="U28" s="23">
        <v>697488</v>
      </c>
      <c r="V28" s="23">
        <v>22543944</v>
      </c>
      <c r="W28" s="24">
        <v>70.431271874999993</v>
      </c>
      <c r="X28" s="24">
        <v>72.970453125000006</v>
      </c>
      <c r="Y28" s="24">
        <v>34.907537499999997</v>
      </c>
      <c r="Z28" s="24">
        <v>37.368340625000002</v>
      </c>
      <c r="AA28" s="24">
        <v>36.934368749999997</v>
      </c>
      <c r="AB28" s="25">
        <v>3095.95</v>
      </c>
      <c r="AC28" s="25">
        <v>0</v>
      </c>
      <c r="AD28" s="25">
        <v>51.716000000000001</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44.187779999999997</v>
      </c>
      <c r="J29" s="30">
        <f t="shared" si="1"/>
        <v>0.18831263395066219</v>
      </c>
      <c r="K29" s="30">
        <f t="shared" si="2"/>
        <v>2.2930676142242663E-2</v>
      </c>
      <c r="L29" s="30">
        <f t="shared" si="3"/>
        <v>1.7641484544799295E-2</v>
      </c>
      <c r="M29" s="30">
        <f t="shared" si="4"/>
        <v>0.16538195780841952</v>
      </c>
      <c r="N29" s="27">
        <f t="shared" si="5"/>
        <v>5739424</v>
      </c>
      <c r="O29" s="30">
        <v>16</v>
      </c>
      <c r="P29" s="31">
        <v>24573689</v>
      </c>
      <c r="Q29" s="31">
        <v>767927.78125</v>
      </c>
      <c r="R29" s="31">
        <v>9762.53125</v>
      </c>
      <c r="S29" s="32">
        <v>47133632</v>
      </c>
      <c r="T29" s="32">
        <v>4415568</v>
      </c>
      <c r="U29" s="32">
        <v>1323856</v>
      </c>
      <c r="V29" s="32">
        <v>41394208</v>
      </c>
      <c r="W29" s="33">
        <v>71.15160625</v>
      </c>
      <c r="X29" s="33">
        <v>74.90330625</v>
      </c>
      <c r="Y29" s="33">
        <v>37.339856249999997</v>
      </c>
      <c r="Z29" s="33">
        <v>39.402506250000002</v>
      </c>
      <c r="AA29" s="33">
        <v>38.756596875</v>
      </c>
      <c r="AB29" s="34">
        <v>3430.08</v>
      </c>
      <c r="AC29" s="34">
        <v>0</v>
      </c>
      <c r="AD29" s="34">
        <v>51.043999999999997</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5.7380174999999998</v>
      </c>
      <c r="J30" s="21">
        <f t="shared" si="1"/>
        <v>1.6303102142729901E-2</v>
      </c>
      <c r="K30" s="21">
        <f t="shared" si="2"/>
        <v>9.9350454821786824E-3</v>
      </c>
      <c r="L30" s="21">
        <f t="shared" si="3"/>
        <v>6.1526407182494712E-3</v>
      </c>
      <c r="M30" s="21">
        <f t="shared" si="4"/>
        <v>6.3680566605512192E-3</v>
      </c>
      <c r="N30" s="18">
        <f t="shared" si="5"/>
        <v>3729840</v>
      </c>
      <c r="O30" s="21">
        <v>16</v>
      </c>
      <c r="P30" s="22">
        <v>84194687</v>
      </c>
      <c r="Q30" s="22">
        <v>2631083.96875</v>
      </c>
      <c r="R30" s="22">
        <v>31462.6875</v>
      </c>
      <c r="S30" s="23">
        <v>6120552</v>
      </c>
      <c r="T30" s="23">
        <v>2309840</v>
      </c>
      <c r="U30" s="23">
        <v>1420000</v>
      </c>
      <c r="V30" s="23">
        <v>2390712</v>
      </c>
      <c r="W30" s="24">
        <v>73.452546874999996</v>
      </c>
      <c r="X30" s="24">
        <v>75.663181249999994</v>
      </c>
      <c r="Y30" s="24">
        <v>34.7282625</v>
      </c>
      <c r="Z30" s="24">
        <v>42.120178125000002</v>
      </c>
      <c r="AA30" s="24">
        <v>43.745687500000003</v>
      </c>
      <c r="AB30" s="25">
        <v>7904.56</v>
      </c>
      <c r="AC30" s="25">
        <v>0</v>
      </c>
      <c r="AD30" s="25">
        <v>146.59899999999999</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8.1886574999999997</v>
      </c>
      <c r="J31" s="12">
        <f t="shared" si="1"/>
        <v>2.3265965925396929E-2</v>
      </c>
      <c r="K31" s="12">
        <f t="shared" si="2"/>
        <v>1.2195048310618345E-2</v>
      </c>
      <c r="L31" s="12">
        <f t="shared" si="3"/>
        <v>8.4126435466891341E-3</v>
      </c>
      <c r="M31" s="12">
        <f t="shared" si="4"/>
        <v>1.1070917614778584E-2</v>
      </c>
      <c r="N31" s="54">
        <f t="shared" si="5"/>
        <v>4578296</v>
      </c>
      <c r="O31" s="12">
        <v>16</v>
      </c>
      <c r="P31" s="13">
        <v>89719650</v>
      </c>
      <c r="Q31" s="13">
        <v>2803739.0625</v>
      </c>
      <c r="R31" s="13">
        <v>39437.21875</v>
      </c>
      <c r="S31" s="14">
        <v>8734568</v>
      </c>
      <c r="T31" s="14">
        <v>3158296</v>
      </c>
      <c r="U31" s="14">
        <v>1420000</v>
      </c>
      <c r="V31" s="14">
        <v>4156272</v>
      </c>
      <c r="W31" s="15">
        <v>75.152659374999999</v>
      </c>
      <c r="X31" s="15">
        <v>77.552828125000005</v>
      </c>
      <c r="Y31" s="15">
        <v>36.649743749999999</v>
      </c>
      <c r="Z31" s="15">
        <v>42.65576875</v>
      </c>
      <c r="AA31" s="15">
        <v>45.032587499999998</v>
      </c>
      <c r="AB31" s="16">
        <v>8207.83</v>
      </c>
      <c r="AC31" s="16">
        <v>0</v>
      </c>
      <c r="AD31" s="16">
        <v>156.35</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12.660105</v>
      </c>
      <c r="J32" s="21">
        <f t="shared" si="1"/>
        <v>3.5970434902418046E-2</v>
      </c>
      <c r="K32" s="21">
        <f t="shared" si="2"/>
        <v>1.548371606958846E-2</v>
      </c>
      <c r="L32" s="21">
        <f t="shared" si="3"/>
        <v>1.1701311305659249E-2</v>
      </c>
      <c r="M32" s="21">
        <f t="shared" si="4"/>
        <v>2.0486718832829588E-2</v>
      </c>
      <c r="N32" s="18">
        <f t="shared" si="5"/>
        <v>5812936</v>
      </c>
      <c r="O32" s="21">
        <v>16</v>
      </c>
      <c r="P32" s="22">
        <v>91500693</v>
      </c>
      <c r="Q32" s="22">
        <v>2859396.65625</v>
      </c>
      <c r="R32" s="22">
        <v>42605.15625</v>
      </c>
      <c r="S32" s="23">
        <v>13504112</v>
      </c>
      <c r="T32" s="23">
        <v>4392936</v>
      </c>
      <c r="U32" s="23">
        <v>1420000</v>
      </c>
      <c r="V32" s="23">
        <v>7691176</v>
      </c>
      <c r="W32" s="24">
        <v>76.435393750000003</v>
      </c>
      <c r="X32" s="24">
        <v>79.124159375000005</v>
      </c>
      <c r="Y32" s="24">
        <v>38.391403124999997</v>
      </c>
      <c r="Z32" s="24">
        <v>43.175809375</v>
      </c>
      <c r="AA32" s="24">
        <v>46.199668750000001</v>
      </c>
      <c r="AB32" s="25">
        <v>8365.92</v>
      </c>
      <c r="AC32" s="25">
        <v>0</v>
      </c>
      <c r="AD32" s="25">
        <v>157.452</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21.180037500000001</v>
      </c>
      <c r="J33" s="12">
        <f t="shared" si="1"/>
        <v>6.0177633607661471E-2</v>
      </c>
      <c r="K33" s="12">
        <f t="shared" si="2"/>
        <v>2.0952220985325551E-2</v>
      </c>
      <c r="L33" s="12">
        <f t="shared" si="3"/>
        <v>1.716981622139634E-2</v>
      </c>
      <c r="M33" s="12">
        <f t="shared" si="4"/>
        <v>3.922541262233592E-2</v>
      </c>
      <c r="N33" s="54">
        <f t="shared" si="5"/>
        <v>7865936</v>
      </c>
      <c r="O33" s="12">
        <v>16</v>
      </c>
      <c r="P33" s="13">
        <v>93793516</v>
      </c>
      <c r="Q33" s="13">
        <v>2931047.375</v>
      </c>
      <c r="R33" s="13">
        <v>47266.125</v>
      </c>
      <c r="S33" s="14">
        <v>22592040</v>
      </c>
      <c r="T33" s="14">
        <v>6445936</v>
      </c>
      <c r="U33" s="14">
        <v>1420000</v>
      </c>
      <c r="V33" s="14">
        <v>14726104</v>
      </c>
      <c r="W33" s="15">
        <v>77.585915624999998</v>
      </c>
      <c r="X33" s="15">
        <v>80.310303125000004</v>
      </c>
      <c r="Y33" s="15">
        <v>39.992906249999997</v>
      </c>
      <c r="Z33" s="15">
        <v>43.898743750000001</v>
      </c>
      <c r="AA33" s="15">
        <v>47.812806250000001</v>
      </c>
      <c r="AB33" s="16">
        <v>8728.94</v>
      </c>
      <c r="AC33" s="16">
        <v>0</v>
      </c>
      <c r="AD33" s="16">
        <v>162.386</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39.860947500000002</v>
      </c>
      <c r="J34" s="40">
        <f t="shared" si="1"/>
        <v>0.11325463866195844</v>
      </c>
      <c r="K34" s="40">
        <f t="shared" si="2"/>
        <v>3.357899617209717E-2</v>
      </c>
      <c r="L34" s="40">
        <f t="shared" si="3"/>
        <v>2.6095993133752687E-2</v>
      </c>
      <c r="M34" s="40">
        <f t="shared" si="4"/>
        <v>7.9675642489861268E-2</v>
      </c>
      <c r="N34" s="37">
        <f t="shared" si="5"/>
        <v>12606312</v>
      </c>
      <c r="O34" s="40">
        <v>16</v>
      </c>
      <c r="P34" s="41">
        <v>91942150</v>
      </c>
      <c r="Q34" s="41">
        <v>2873192.1875</v>
      </c>
      <c r="R34" s="41">
        <v>18754.625</v>
      </c>
      <c r="S34" s="42">
        <v>42518344</v>
      </c>
      <c r="T34" s="42">
        <v>9797024</v>
      </c>
      <c r="U34" s="42">
        <v>2809288</v>
      </c>
      <c r="V34" s="42">
        <v>29912032</v>
      </c>
      <c r="W34" s="43">
        <v>78.522000000000006</v>
      </c>
      <c r="X34" s="43">
        <v>81.989725000000007</v>
      </c>
      <c r="Y34" s="43">
        <v>41.503915624999998</v>
      </c>
      <c r="Z34" s="43">
        <v>44.694487500000001</v>
      </c>
      <c r="AA34" s="43">
        <v>49.213815625000002</v>
      </c>
      <c r="AB34" s="44">
        <v>9345.3799999999992</v>
      </c>
      <c r="AC34" s="44">
        <v>0</v>
      </c>
      <c r="AD34" s="44">
        <v>164.309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6.0764100000000001</v>
      </c>
      <c r="J35" s="12">
        <f t="shared" si="1"/>
        <v>1.9452836510686529E-2</v>
      </c>
      <c r="K35" s="12">
        <f t="shared" si="2"/>
        <v>1.1420223090327713E-2</v>
      </c>
      <c r="L35" s="12">
        <f t="shared" si="3"/>
        <v>6.9748407645328888E-3</v>
      </c>
      <c r="M35" s="12">
        <f t="shared" si="4"/>
        <v>8.0326134203588147E-3</v>
      </c>
      <c r="N35" s="54">
        <f t="shared" si="5"/>
        <v>3805112</v>
      </c>
      <c r="O35" s="12">
        <v>16</v>
      </c>
      <c r="P35" s="13">
        <v>74778557</v>
      </c>
      <c r="Q35" s="13">
        <v>2336829.90625</v>
      </c>
      <c r="R35" s="13">
        <v>30441.96875</v>
      </c>
      <c r="S35" s="14">
        <v>6481504</v>
      </c>
      <c r="T35" s="14">
        <v>2323952</v>
      </c>
      <c r="U35" s="14">
        <v>1481160</v>
      </c>
      <c r="V35" s="14">
        <v>2676392</v>
      </c>
      <c r="W35" s="15">
        <v>73.193674999999999</v>
      </c>
      <c r="X35" s="15">
        <v>75.403146875000004</v>
      </c>
      <c r="Y35" s="15">
        <v>34.0176625</v>
      </c>
      <c r="Z35" s="15">
        <v>42.567028125</v>
      </c>
      <c r="AA35" s="15">
        <v>43.978003125000001</v>
      </c>
      <c r="AB35" s="16">
        <v>7580.72</v>
      </c>
      <c r="AC35" s="16">
        <v>0</v>
      </c>
      <c r="AD35" s="16">
        <v>140.626</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8.7021149999999992</v>
      </c>
      <c r="J36" s="21">
        <f t="shared" si="1"/>
        <v>2.7858689652639122E-2</v>
      </c>
      <c r="K36" s="21">
        <f t="shared" si="2"/>
        <v>1.4010067370159914E-2</v>
      </c>
      <c r="L36" s="21">
        <f t="shared" si="3"/>
        <v>9.5646850443650896E-3</v>
      </c>
      <c r="M36" s="21">
        <f t="shared" si="4"/>
        <v>1.3848622282479208E-2</v>
      </c>
      <c r="N36" s="18">
        <f t="shared" si="5"/>
        <v>4668024</v>
      </c>
      <c r="O36" s="21">
        <v>16</v>
      </c>
      <c r="P36" s="22">
        <v>79943738</v>
      </c>
      <c r="Q36" s="22">
        <v>2498241.8125</v>
      </c>
      <c r="R36" s="22">
        <v>38917.4375</v>
      </c>
      <c r="S36" s="23">
        <v>9282256</v>
      </c>
      <c r="T36" s="23">
        <v>3186864</v>
      </c>
      <c r="U36" s="23">
        <v>1481160</v>
      </c>
      <c r="V36" s="23">
        <v>4614232</v>
      </c>
      <c r="W36" s="24">
        <v>74.934209374999995</v>
      </c>
      <c r="X36" s="24">
        <v>77.349309375000004</v>
      </c>
      <c r="Y36" s="24">
        <v>36.100590625000002</v>
      </c>
      <c r="Z36" s="24">
        <v>43.206612499999999</v>
      </c>
      <c r="AA36" s="24">
        <v>45.366546874999997</v>
      </c>
      <c r="AB36" s="25">
        <v>7787.12</v>
      </c>
      <c r="AC36" s="25">
        <v>0</v>
      </c>
      <c r="AD36" s="25">
        <v>147.042</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13.2886875</v>
      </c>
      <c r="J37" s="12">
        <f t="shared" si="1"/>
        <v>4.2542005127880388E-2</v>
      </c>
      <c r="K37" s="12">
        <f t="shared" si="2"/>
        <v>1.7730483458978052E-2</v>
      </c>
      <c r="L37" s="12">
        <f t="shared" si="3"/>
        <v>1.3285101133183227E-2</v>
      </c>
      <c r="M37" s="12">
        <f t="shared" si="4"/>
        <v>2.4811521668902339E-2</v>
      </c>
      <c r="N37" s="54">
        <f t="shared" si="5"/>
        <v>5907632</v>
      </c>
      <c r="O37" s="12">
        <v>16</v>
      </c>
      <c r="P37" s="13">
        <v>81681853</v>
      </c>
      <c r="Q37" s="13">
        <v>2552557.90625</v>
      </c>
      <c r="R37" s="13">
        <v>42032.5625</v>
      </c>
      <c r="S37" s="14">
        <v>14174600</v>
      </c>
      <c r="T37" s="14">
        <v>4426472</v>
      </c>
      <c r="U37" s="14">
        <v>1481160</v>
      </c>
      <c r="V37" s="14">
        <v>8266968</v>
      </c>
      <c r="W37" s="15">
        <v>76.244415625000002</v>
      </c>
      <c r="X37" s="15">
        <v>78.960109375000002</v>
      </c>
      <c r="Y37" s="15">
        <v>37.932615624999997</v>
      </c>
      <c r="Z37" s="15">
        <v>43.749587499999997</v>
      </c>
      <c r="AA37" s="15">
        <v>46.4671375</v>
      </c>
      <c r="AB37" s="16">
        <v>7991.48</v>
      </c>
      <c r="AC37" s="16">
        <v>0</v>
      </c>
      <c r="AD37" s="16">
        <v>149.88900000000001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22.361370000000001</v>
      </c>
      <c r="J38" s="21">
        <f t="shared" si="1"/>
        <v>7.158701844756532E-2</v>
      </c>
      <c r="K38" s="21">
        <f t="shared" si="2"/>
        <v>2.3936275122021792E-2</v>
      </c>
      <c r="L38" s="21">
        <f t="shared" si="3"/>
        <v>1.9490892796226969E-2</v>
      </c>
      <c r="M38" s="21">
        <f t="shared" si="4"/>
        <v>4.7650743325543532E-2</v>
      </c>
      <c r="N38" s="18">
        <f t="shared" si="5"/>
        <v>7975344</v>
      </c>
      <c r="O38" s="21">
        <v>16</v>
      </c>
      <c r="P38" s="22">
        <v>83704060</v>
      </c>
      <c r="Q38" s="22">
        <v>2615751.875</v>
      </c>
      <c r="R38" s="22">
        <v>46678.40625</v>
      </c>
      <c r="S38" s="23">
        <v>23852128</v>
      </c>
      <c r="T38" s="23">
        <v>6494184</v>
      </c>
      <c r="U38" s="23">
        <v>1481160</v>
      </c>
      <c r="V38" s="23">
        <v>15876784</v>
      </c>
      <c r="W38" s="24">
        <v>77.427518750000004</v>
      </c>
      <c r="X38" s="24">
        <v>80.182268750000006</v>
      </c>
      <c r="Y38" s="24">
        <v>39.701293749999998</v>
      </c>
      <c r="Z38" s="24">
        <v>44.545281250000002</v>
      </c>
      <c r="AA38" s="24">
        <v>47.796296875000003</v>
      </c>
      <c r="AB38" s="25">
        <v>8294.8700000000008</v>
      </c>
      <c r="AC38" s="25">
        <v>0</v>
      </c>
      <c r="AD38" s="25">
        <v>154.41499999999999</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41.260964999999999</v>
      </c>
      <c r="J39" s="30">
        <f t="shared" si="1"/>
        <v>0.13209161436080827</v>
      </c>
      <c r="K39" s="30">
        <f t="shared" si="2"/>
        <v>3.8457257129415161E-2</v>
      </c>
      <c r="L39" s="30">
        <f t="shared" si="3"/>
        <v>2.959302383146727E-2</v>
      </c>
      <c r="M39" s="30">
        <f t="shared" si="4"/>
        <v>9.3634357231393101E-2</v>
      </c>
      <c r="N39" s="27">
        <f t="shared" si="5"/>
        <v>12813600</v>
      </c>
      <c r="O39" s="30">
        <v>16</v>
      </c>
      <c r="P39" s="31">
        <v>82029822</v>
      </c>
      <c r="Q39" s="31">
        <v>2563431.9375</v>
      </c>
      <c r="R39" s="31">
        <v>18624.8125</v>
      </c>
      <c r="S39" s="32">
        <v>44011696</v>
      </c>
      <c r="T39" s="32">
        <v>9860120</v>
      </c>
      <c r="U39" s="32">
        <v>2953480</v>
      </c>
      <c r="V39" s="32">
        <v>31198096</v>
      </c>
      <c r="W39" s="33">
        <v>78.321349999999995</v>
      </c>
      <c r="X39" s="33">
        <v>81.871643750000004</v>
      </c>
      <c r="Y39" s="33">
        <v>41.292031250000001</v>
      </c>
      <c r="Z39" s="33">
        <v>45.5426</v>
      </c>
      <c r="AA39" s="33">
        <v>49.12885</v>
      </c>
      <c r="AB39" s="34">
        <v>8831.99</v>
      </c>
      <c r="AC39" s="34">
        <v>0</v>
      </c>
      <c r="AD39" s="34">
        <v>153.40799999999999</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4.4237910799958903E-2</v>
      </c>
      <c r="K40" s="48">
        <f>AVERAGE(K5:K24)</f>
        <v>1.3867386633140336E-2</v>
      </c>
      <c r="L40" s="48">
        <f>AVERAGE(L5:L24)</f>
        <v>9.6983640296796608E-3</v>
      </c>
      <c r="M40" s="48">
        <f>AVERAGE(M5:M24)</f>
        <v>3.0370524166818579E-2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7.9892458878714365E-2</v>
      </c>
      <c r="K41" s="48">
        <f>AVERAGE(K25:K29)</f>
        <v>1.2402416285622993E-2</v>
      </c>
      <c r="L41" s="48">
        <f>AVERAGE(L25:L29)</f>
        <v>9.1152432536474159E-3</v>
      </c>
      <c r="M41" s="48">
        <f>AVERAGE(M25:M29)</f>
        <v>6.7490042593091368E-2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5.425039393397444E-2</v>
      </c>
      <c r="K42" s="48">
        <f>AVERAGE(K30:K39)</f>
        <v>1.9769933319071085E-2</v>
      </c>
      <c r="L42" s="48">
        <f>AVERAGE(L30:L39)</f>
        <v>1.4844094849552233E-2</v>
      </c>
      <c r="M42" s="48">
        <f>AVERAGE(M30:M39)</f>
        <v>3.4480460614903362E-2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5.2192127135214123E-2</v>
      </c>
      <c r="K43" s="48">
        <f>AVERAGE(K5:K39)</f>
        <v>1.53445470651895E-2</v>
      </c>
      <c r="L43" s="48">
        <f>AVERAGE(L5:L39)</f>
        <v>1.1085269867352933E-2</v>
      </c>
      <c r="M43" s="48">
        <f>AVERAGE(M5:M39)</f>
        <v>3.684758007002463E-2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180654.66999999998</v>
      </c>
      <c r="AC44" s="49">
        <f>SUM(AC5:AC24,AC25:AC29,AC30:AC39)</f>
        <v>0</v>
      </c>
      <c r="AD44" s="49">
        <f>SUM(AD5:AD24,AD25:AD29,AD30:AD39)</f>
        <v>2811.7760000000003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4785.4877695751757</v>
      </c>
      <c r="AC46" s="49" t="e">
        <f>GEOMEAN(AC5:AC24,AC25:AC29,AC30:AC39)</f>
        <v>#NUM!</v>
      </c>
      <c r="AD46" s="49">
        <f>GEOMEAN(AD5:AD24,AD25:AD29,AD30:AD39)</f>
        <v>69.619367988953229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ALL_master+r110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2.4156840135764628E-2</v>
      </c>
      <c r="I5" s="11">
        <f t="shared" ref="I5:I11" si="1">IF(OR(ISBLANK(Q5),ISBLANK(F5)),"·",Q5*F5/E5/1000000)</f>
        <v>291.23875500000003</v>
      </c>
      <c r="J5" s="12">
        <f t="shared" ref="J5:J11" si="2">IF(ISBLANK(Q5),"·",Q5/C5)</f>
        <v>1.3044693673312899</v>
      </c>
      <c r="K5" s="12">
        <f t="shared" ref="K5:K11" si="3">IF(N5="","·",N5/C5)</f>
        <v>0.14561372882614879</v>
      </c>
      <c r="L5" s="12">
        <f t="shared" ref="L5:L11" si="4">IF(R5="","·",R5/C5)</f>
        <v>0.13670905472592276</v>
      </c>
      <c r="M5" s="12">
        <f t="shared" ref="M5:M11" si="5">IF(ISBLANK(T5),"·",T5/C5)</f>
        <v>1.1588556385051412</v>
      </c>
      <c r="N5" s="54">
        <f t="shared" ref="N5:N11" si="6">IF(OR(ISBLANK(R5),ISBLANK(S5)),"",R5+S5)</f>
        <v>34677384</v>
      </c>
      <c r="O5" s="12">
        <v>16</v>
      </c>
      <c r="P5" s="13">
        <v>24964341</v>
      </c>
      <c r="Q5" s="14">
        <v>310654672</v>
      </c>
      <c r="R5" s="14">
        <v>32556768</v>
      </c>
      <c r="S5" s="14">
        <v>2120616</v>
      </c>
      <c r="T5" s="14">
        <v>275977288</v>
      </c>
      <c r="U5" s="15" t="s">
        <v>571</v>
      </c>
      <c r="V5" s="15" t="s">
        <v>571</v>
      </c>
      <c r="W5" s="15" t="s">
        <v>571</v>
      </c>
      <c r="X5" s="15" t="s">
        <v>571</v>
      </c>
      <c r="Y5" s="15" t="s">
        <v>571</v>
      </c>
      <c r="Z5" s="16">
        <v>7747.98</v>
      </c>
      <c r="AA5" s="16">
        <v>0</v>
      </c>
      <c r="AB5" s="16">
        <v>34.918999999999997</v>
      </c>
      <c r="AC5" s="16">
        <v>0</v>
      </c>
      <c r="AE5" s="17">
        <f t="shared" ref="AE5:AE11" si="7">IF(ISBLANK(Q5),"·",Q5/(C5*(D5*3+IF(AND(ISNUMBER(T5),T5&gt;0),24,0))))</f>
        <v>2.4156840135764628E-2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3.3812963661877686E-2</v>
      </c>
      <c r="I6" s="20">
        <f t="shared" si="1"/>
        <v>373.37585999999999</v>
      </c>
      <c r="J6" s="21">
        <f t="shared" si="2"/>
        <v>1.8259000377413952</v>
      </c>
      <c r="K6" s="21">
        <f t="shared" si="3"/>
        <v>0.17693290046459573</v>
      </c>
      <c r="L6" s="21">
        <f t="shared" si="4"/>
        <v>0.16169106537546674</v>
      </c>
      <c r="M6" s="21">
        <f t="shared" si="5"/>
        <v>1.6489671372767996</v>
      </c>
      <c r="N6" s="18">
        <f t="shared" si="6"/>
        <v>38592824</v>
      </c>
      <c r="O6" s="21">
        <v>16</v>
      </c>
      <c r="P6" s="22">
        <v>22654789</v>
      </c>
      <c r="Q6" s="23">
        <v>398267584</v>
      </c>
      <c r="R6" s="23">
        <v>35268256</v>
      </c>
      <c r="S6" s="23">
        <v>3324568</v>
      </c>
      <c r="T6" s="23">
        <v>359674760</v>
      </c>
      <c r="U6" s="24" t="s">
        <v>571</v>
      </c>
      <c r="V6" s="24" t="s">
        <v>571</v>
      </c>
      <c r="W6" s="24" t="s">
        <v>571</v>
      </c>
      <c r="X6" s="24" t="s">
        <v>571</v>
      </c>
      <c r="Y6" s="24" t="s">
        <v>571</v>
      </c>
      <c r="Z6" s="25">
        <v>7471.98</v>
      </c>
      <c r="AA6" s="25">
        <v>0</v>
      </c>
      <c r="AB6" s="25">
        <v>36.877000000000002</v>
      </c>
      <c r="AC6" s="25">
        <v>0</v>
      </c>
      <c r="AE6" s="26">
        <f t="shared" si="7"/>
        <v>3.3812963661877686E-2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2.6903697161096325E-2</v>
      </c>
      <c r="I7" s="11">
        <f t="shared" si="1"/>
        <v>439.36707000000001</v>
      </c>
      <c r="J7" s="12">
        <f t="shared" si="2"/>
        <v>1.4527996466992015</v>
      </c>
      <c r="K7" s="12">
        <f t="shared" si="3"/>
        <v>0.17336518588950378</v>
      </c>
      <c r="L7" s="12">
        <f t="shared" si="4"/>
        <v>0.16059818201761331</v>
      </c>
      <c r="M7" s="12">
        <f t="shared" si="5"/>
        <v>1.2794344608096977</v>
      </c>
      <c r="N7" s="54">
        <f t="shared" si="6"/>
        <v>55925824</v>
      </c>
      <c r="O7" s="12">
        <v>16</v>
      </c>
      <c r="P7" s="13">
        <v>33947718</v>
      </c>
      <c r="Q7" s="14">
        <v>468658208</v>
      </c>
      <c r="R7" s="14">
        <v>51807320</v>
      </c>
      <c r="S7" s="14">
        <v>4118504</v>
      </c>
      <c r="T7" s="14">
        <v>412732384</v>
      </c>
      <c r="U7" s="15" t="s">
        <v>571</v>
      </c>
      <c r="V7" s="15" t="s">
        <v>571</v>
      </c>
      <c r="W7" s="15" t="s">
        <v>571</v>
      </c>
      <c r="X7" s="15" t="s">
        <v>571</v>
      </c>
      <c r="Y7" s="15" t="s">
        <v>571</v>
      </c>
      <c r="Z7" s="16">
        <v>10293.1</v>
      </c>
      <c r="AA7" s="16">
        <v>0</v>
      </c>
      <c r="AB7" s="16">
        <v>44.817999999999998</v>
      </c>
      <c r="AC7" s="16">
        <v>0</v>
      </c>
      <c r="AE7" s="17">
        <f t="shared" si="7"/>
        <v>2.6903697161096325E-2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2.6516771922250902E-2</v>
      </c>
      <c r="I8" s="39">
        <f t="shared" si="1"/>
        <v>560.68703749999997</v>
      </c>
      <c r="J8" s="40">
        <f t="shared" si="2"/>
        <v>1.4319056838015487</v>
      </c>
      <c r="K8" s="40">
        <f t="shared" si="3"/>
        <v>0.16356791350822844</v>
      </c>
      <c r="L8" s="40">
        <f t="shared" si="4"/>
        <v>0.14347990901669208</v>
      </c>
      <c r="M8" s="40">
        <f t="shared" si="5"/>
        <v>1.2683377702933203</v>
      </c>
      <c r="N8" s="37">
        <f t="shared" si="6"/>
        <v>40990592</v>
      </c>
      <c r="O8" s="40">
        <v>16</v>
      </c>
      <c r="P8" s="41">
        <v>32209643</v>
      </c>
      <c r="Q8" s="42">
        <v>358839704</v>
      </c>
      <c r="R8" s="42">
        <v>35956480</v>
      </c>
      <c r="S8" s="42">
        <v>5034112</v>
      </c>
      <c r="T8" s="42">
        <v>317849112</v>
      </c>
      <c r="U8" s="43" t="s">
        <v>571</v>
      </c>
      <c r="V8" s="43" t="s">
        <v>571</v>
      </c>
      <c r="W8" s="43" t="s">
        <v>571</v>
      </c>
      <c r="X8" s="43" t="s">
        <v>571</v>
      </c>
      <c r="Y8" s="43" t="s">
        <v>571</v>
      </c>
      <c r="Z8" s="44">
        <v>8940.9699999999993</v>
      </c>
      <c r="AA8" s="44">
        <v>0</v>
      </c>
      <c r="AB8" s="44">
        <v>40.6</v>
      </c>
      <c r="AC8" s="44">
        <v>0</v>
      </c>
      <c r="AE8" s="46">
        <f t="shared" si="7"/>
        <v>2.6516771922250902E-2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3.8535048184853551E-2</v>
      </c>
      <c r="I9" s="29">
        <f t="shared" si="1"/>
        <v>488.283885</v>
      </c>
      <c r="J9" s="30">
        <f t="shared" si="2"/>
        <v>2.0808926019820917</v>
      </c>
      <c r="K9" s="30">
        <f t="shared" si="3"/>
        <v>0.15212839085745772</v>
      </c>
      <c r="L9" s="30">
        <f t="shared" si="4"/>
        <v>0.14250548979122529</v>
      </c>
      <c r="M9" s="30">
        <f t="shared" si="5"/>
        <v>1.9287642111246339</v>
      </c>
      <c r="N9" s="27">
        <f t="shared" si="6"/>
        <v>38076912</v>
      </c>
      <c r="O9" s="30">
        <v>16</v>
      </c>
      <c r="P9" s="31">
        <v>25312408</v>
      </c>
      <c r="Q9" s="32">
        <v>520836144</v>
      </c>
      <c r="R9" s="32">
        <v>35668352</v>
      </c>
      <c r="S9" s="32">
        <v>2408560</v>
      </c>
      <c r="T9" s="32">
        <v>482759232</v>
      </c>
      <c r="U9" s="33" t="s">
        <v>571</v>
      </c>
      <c r="V9" s="33" t="s">
        <v>571</v>
      </c>
      <c r="W9" s="33" t="s">
        <v>571</v>
      </c>
      <c r="X9" s="33" t="s">
        <v>571</v>
      </c>
      <c r="Y9" s="33" t="s">
        <v>571</v>
      </c>
      <c r="Z9" s="34">
        <v>7240.9</v>
      </c>
      <c r="AA9" s="34">
        <v>0</v>
      </c>
      <c r="AB9" s="34">
        <v>41.648000000000003</v>
      </c>
      <c r="AC9" s="34">
        <v>0</v>
      </c>
      <c r="AE9" s="36">
        <f t="shared" si="7"/>
        <v>3.8535048184853551E-2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5.7438417012243351E-2</v>
      </c>
      <c r="I10" s="20">
        <f t="shared" si="1"/>
        <v>1152.308955</v>
      </c>
      <c r="J10" s="21">
        <f t="shared" si="2"/>
        <v>3.273989769697871</v>
      </c>
      <c r="K10" s="21">
        <f t="shared" si="3"/>
        <v>0.27628024752131358</v>
      </c>
      <c r="L10" s="21">
        <f t="shared" si="4"/>
        <v>0.26399395269126341</v>
      </c>
      <c r="M10" s="21">
        <f t="shared" si="5"/>
        <v>2.9977095221765575</v>
      </c>
      <c r="N10" s="18">
        <f t="shared" si="6"/>
        <v>103721832</v>
      </c>
      <c r="O10" s="21">
        <v>16</v>
      </c>
      <c r="P10" s="22">
        <v>92854683</v>
      </c>
      <c r="Q10" s="23">
        <v>1229129552</v>
      </c>
      <c r="R10" s="23">
        <v>99109280</v>
      </c>
      <c r="S10" s="23">
        <v>4612552</v>
      </c>
      <c r="T10" s="23">
        <v>1125407720</v>
      </c>
      <c r="U10" s="24" t="s">
        <v>571</v>
      </c>
      <c r="V10" s="24" t="s">
        <v>571</v>
      </c>
      <c r="W10" s="24" t="s">
        <v>571</v>
      </c>
      <c r="X10" s="24" t="s">
        <v>571</v>
      </c>
      <c r="Y10" s="24" t="s">
        <v>571</v>
      </c>
      <c r="Z10" s="25">
        <v>22180.3</v>
      </c>
      <c r="AA10" s="25">
        <v>0</v>
      </c>
      <c r="AB10" s="25">
        <v>118.998</v>
      </c>
      <c r="AC10" s="25">
        <v>0</v>
      </c>
      <c r="AE10" s="26">
        <f t="shared" si="7"/>
        <v>5.7438417012243351E-2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5.8953326178994916E-2</v>
      </c>
      <c r="I11" s="29">
        <f t="shared" si="1"/>
        <v>1049.6567474999999</v>
      </c>
      <c r="J11" s="30">
        <f t="shared" si="2"/>
        <v>3.3603395922027102</v>
      </c>
      <c r="K11" s="30">
        <f t="shared" si="3"/>
        <v>0.29579402802579519</v>
      </c>
      <c r="L11" s="30">
        <f t="shared" si="4"/>
        <v>0.28154784361336099</v>
      </c>
      <c r="M11" s="30">
        <f t="shared" si="5"/>
        <v>3.0645455641769148</v>
      </c>
      <c r="N11" s="27">
        <f t="shared" si="6"/>
        <v>98555816</v>
      </c>
      <c r="O11" s="30">
        <v>16</v>
      </c>
      <c r="P11" s="31">
        <v>83104648</v>
      </c>
      <c r="Q11" s="32">
        <v>1119633864</v>
      </c>
      <c r="R11" s="32">
        <v>93809120</v>
      </c>
      <c r="S11" s="32">
        <v>4746696</v>
      </c>
      <c r="T11" s="32">
        <v>1021078048</v>
      </c>
      <c r="U11" s="33" t="s">
        <v>571</v>
      </c>
      <c r="V11" s="33" t="s">
        <v>571</v>
      </c>
      <c r="W11" s="33" t="s">
        <v>571</v>
      </c>
      <c r="X11" s="33" t="s">
        <v>571</v>
      </c>
      <c r="Y11" s="33" t="s">
        <v>571</v>
      </c>
      <c r="Z11" s="34">
        <v>20850.5</v>
      </c>
      <c r="AA11" s="34">
        <v>0</v>
      </c>
      <c r="AB11" s="34">
        <v>114.66500000000001</v>
      </c>
      <c r="AC11" s="34">
        <v>0</v>
      </c>
      <c r="AE11" s="36">
        <f t="shared" si="7"/>
        <v>5.8953326178994916E-2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1.5037686838933588</v>
      </c>
      <c r="K12" s="48">
        <f>AVERAGE(K5:K8)</f>
        <v>0.16486993217211918</v>
      </c>
      <c r="L12" s="48">
        <f>AVERAGE(L5:L8)</f>
        <v>0.15061955278392372</v>
      </c>
      <c r="M12" s="48">
        <f>AVERAGE(M5:M8)</f>
        <v>1.3388987517212396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2.0808926019820917</v>
      </c>
      <c r="K13" s="48">
        <f>AVERAGE(K9:K9)</f>
        <v>0.15212839085745772</v>
      </c>
      <c r="L13" s="48">
        <f>AVERAGE(L9:L9)</f>
        <v>0.14250548979122529</v>
      </c>
      <c r="M13" s="48">
        <f>AVERAGE(M9:M9)</f>
        <v>1.9287642111246339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3.3171646809502908</v>
      </c>
      <c r="K14" s="48">
        <f>AVERAGE(K10:K11)</f>
        <v>0.28603713777355438</v>
      </c>
      <c r="L14" s="48">
        <f>AVERAGE(L10:L11)</f>
        <v>0.2727708981523122</v>
      </c>
      <c r="M14" s="48">
        <f>AVERAGE(M10:M11)</f>
        <v>3.0311275431767362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2.1043280999223013</v>
      </c>
      <c r="K15" s="48">
        <f>AVERAGE(K5:K11)</f>
        <v>0.19766891358472044</v>
      </c>
      <c r="L15" s="48">
        <f>AVERAGE(L5:L11)</f>
        <v>0.18436078531879208</v>
      </c>
      <c r="M15" s="48">
        <f>AVERAGE(M5:M11)</f>
        <v>1.9066591863375808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84725.73</v>
      </c>
      <c r="AA16" s="49">
        <f>SUM(AA5:AA8,AA9:AA9,AA10:AA11)</f>
        <v>0</v>
      </c>
      <c r="AB16" s="49">
        <f>SUM(AB5:AB8,AB9:AB9,AB10:AB11)</f>
        <v>432.52500000000003</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10862.22464062849</v>
      </c>
      <c r="AA18" s="49" t="e">
        <f>GEOMEAN(AA5:AA8,AA9:AA9,AA10:AA11)</f>
        <v>#NUM!</v>
      </c>
      <c r="AB18" s="49">
        <f>GEOMEAN(AB5:AB8,AB9:AB9,AB10:AB11)</f>
        <v>53.957461658290946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V33" sqref="AV33"/>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ALL_master+r110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thickBot="1" x14ac:dyDescent="0.3">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2.3969129263981287E-2</v>
      </c>
      <c r="I5" s="11">
        <f t="shared" ref="I5:I11" si="1">IF(OR(ISBLANK(Q5),ISBLANK(F5)),"·",Q5*F5/E5/1000000)</f>
        <v>288.9756825</v>
      </c>
      <c r="J5" s="12">
        <f t="shared" ref="J5:J11" si="2">IF(ISBLANK(Q5),"·",Q5/C5)</f>
        <v>1.2943329802549894</v>
      </c>
      <c r="K5" s="12">
        <f t="shared" ref="K5:K11" si="3">IF(N5="","·",N5/C5)</f>
        <v>0.14288125827613318</v>
      </c>
      <c r="L5" s="12">
        <f t="shared" ref="L5:L11" si="4">IF(R5="","·",R5/C5)</f>
        <v>0.13400974025258269</v>
      </c>
      <c r="M5" s="12">
        <f t="shared" ref="M5:M11" si="5">IF(ISBLANK(T5),"·",T5/C5)</f>
        <v>1.1514517219788563</v>
      </c>
      <c r="N5" s="54">
        <f t="shared" ref="N5:N11" si="6">IF(OR(ISBLANK(R5),ISBLANK(S5)),"",R5+S5)</f>
        <v>34026656</v>
      </c>
      <c r="O5" s="12">
        <v>16</v>
      </c>
      <c r="P5" s="13">
        <v>24964341</v>
      </c>
      <c r="Q5" s="14">
        <v>308240728</v>
      </c>
      <c r="R5" s="14">
        <v>31913936</v>
      </c>
      <c r="S5" s="14">
        <v>2112720</v>
      </c>
      <c r="T5" s="14">
        <v>274214072</v>
      </c>
      <c r="U5" s="15" t="s">
        <v>571</v>
      </c>
      <c r="V5" s="15" t="s">
        <v>571</v>
      </c>
      <c r="W5" s="15" t="s">
        <v>571</v>
      </c>
      <c r="X5" s="15" t="s">
        <v>571</v>
      </c>
      <c r="Y5" s="15" t="s">
        <v>571</v>
      </c>
      <c r="Z5" s="16">
        <v>9816.1</v>
      </c>
      <c r="AA5" s="16">
        <v>0</v>
      </c>
      <c r="AB5" s="16">
        <v>35.462000000000003</v>
      </c>
      <c r="AC5" s="16">
        <v>0</v>
      </c>
      <c r="AE5" s="17">
        <f t="shared" ref="AE5:AE11" si="7">IF(ISBLANK(Q5),"·",Q5/(C5*(D5*3+IF(AND(ISNUMBER(T5),T5&gt;0),24,0))))</f>
        <v>2.3969129263981287E-2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3.3699185282230093E-2</v>
      </c>
      <c r="I6" s="20">
        <f t="shared" si="1"/>
        <v>372.11947500000002</v>
      </c>
      <c r="J6" s="21">
        <f t="shared" si="2"/>
        <v>1.8197560052404249</v>
      </c>
      <c r="K6" s="21">
        <f t="shared" si="3"/>
        <v>0.17650117726727413</v>
      </c>
      <c r="L6" s="21">
        <f t="shared" si="4"/>
        <v>0.16081034418463472</v>
      </c>
      <c r="M6" s="21">
        <f t="shared" si="5"/>
        <v>1.6432548279731509</v>
      </c>
      <c r="N6" s="18">
        <f t="shared" si="6"/>
        <v>38498656</v>
      </c>
      <c r="O6" s="21">
        <v>16</v>
      </c>
      <c r="P6" s="22">
        <v>22654789</v>
      </c>
      <c r="Q6" s="23">
        <v>396927440</v>
      </c>
      <c r="R6" s="23">
        <v>35076152</v>
      </c>
      <c r="S6" s="23">
        <v>3422504</v>
      </c>
      <c r="T6" s="23">
        <v>358428784</v>
      </c>
      <c r="U6" s="24" t="s">
        <v>571</v>
      </c>
      <c r="V6" s="24" t="s">
        <v>571</v>
      </c>
      <c r="W6" s="24" t="s">
        <v>571</v>
      </c>
      <c r="X6" s="24" t="s">
        <v>571</v>
      </c>
      <c r="Y6" s="24" t="s">
        <v>571</v>
      </c>
      <c r="Z6" s="25">
        <v>11462.5</v>
      </c>
      <c r="AA6" s="25">
        <v>0</v>
      </c>
      <c r="AB6" s="25">
        <v>36.154000000000003</v>
      </c>
      <c r="AC6" s="25">
        <v>0</v>
      </c>
      <c r="AE6" s="26">
        <f t="shared" si="7"/>
        <v>3.3699185282230093E-2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2.6213351140262013E-2</v>
      </c>
      <c r="I7" s="11">
        <f t="shared" si="1"/>
        <v>428.09295750000001</v>
      </c>
      <c r="J7" s="12">
        <f t="shared" si="2"/>
        <v>1.4155209615741486</v>
      </c>
      <c r="K7" s="12">
        <f t="shared" si="3"/>
        <v>0.15693207617066415</v>
      </c>
      <c r="L7" s="12">
        <f t="shared" si="4"/>
        <v>0.14511364566055709</v>
      </c>
      <c r="M7" s="12">
        <f t="shared" si="5"/>
        <v>1.2585888854034846</v>
      </c>
      <c r="N7" s="54">
        <f t="shared" si="6"/>
        <v>50624672</v>
      </c>
      <c r="O7" s="12">
        <v>16</v>
      </c>
      <c r="P7" s="13">
        <v>33947718</v>
      </c>
      <c r="Q7" s="14">
        <v>456632488</v>
      </c>
      <c r="R7" s="14">
        <v>46812168</v>
      </c>
      <c r="S7" s="14">
        <v>3812504</v>
      </c>
      <c r="T7" s="14">
        <v>406007816</v>
      </c>
      <c r="U7" s="15" t="s">
        <v>571</v>
      </c>
      <c r="V7" s="15" t="s">
        <v>571</v>
      </c>
      <c r="W7" s="15" t="s">
        <v>571</v>
      </c>
      <c r="X7" s="15" t="s">
        <v>571</v>
      </c>
      <c r="Y7" s="15" t="s">
        <v>571</v>
      </c>
      <c r="Z7" s="16">
        <v>12586.1</v>
      </c>
      <c r="AA7" s="16">
        <v>0</v>
      </c>
      <c r="AB7" s="16">
        <v>44.302</v>
      </c>
      <c r="AC7" s="16">
        <v>0</v>
      </c>
      <c r="AE7" s="17">
        <f t="shared" si="7"/>
        <v>2.6213351140262013E-2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32</v>
      </c>
      <c r="F8" s="38">
        <v>50</v>
      </c>
      <c r="H8" s="46">
        <f t="shared" si="0"/>
        <v>2.3936240076986835E-2</v>
      </c>
      <c r="I8" s="39">
        <f t="shared" si="1"/>
        <v>506.12267500000002</v>
      </c>
      <c r="J8" s="40">
        <f t="shared" si="2"/>
        <v>1.2925569641572889</v>
      </c>
      <c r="K8" s="40">
        <f t="shared" si="3"/>
        <v>0.11764697479088539</v>
      </c>
      <c r="L8" s="40">
        <f t="shared" si="4"/>
        <v>0.10443241055826447</v>
      </c>
      <c r="M8" s="40">
        <f t="shared" si="5"/>
        <v>1.1749099893664037</v>
      </c>
      <c r="N8" s="37">
        <f t="shared" si="6"/>
        <v>29482672</v>
      </c>
      <c r="O8" s="40">
        <v>16</v>
      </c>
      <c r="P8" s="41">
        <v>32209643</v>
      </c>
      <c r="Q8" s="42">
        <v>323918512</v>
      </c>
      <c r="R8" s="42">
        <v>26171064</v>
      </c>
      <c r="S8" s="42">
        <v>3311608</v>
      </c>
      <c r="T8" s="42">
        <v>294435840</v>
      </c>
      <c r="U8" s="43" t="s">
        <v>571</v>
      </c>
      <c r="V8" s="43" t="s">
        <v>571</v>
      </c>
      <c r="W8" s="43" t="s">
        <v>571</v>
      </c>
      <c r="X8" s="43" t="s">
        <v>571</v>
      </c>
      <c r="Y8" s="43" t="s">
        <v>571</v>
      </c>
      <c r="Z8" s="44">
        <v>10539</v>
      </c>
      <c r="AA8" s="44">
        <v>0</v>
      </c>
      <c r="AB8" s="44">
        <v>38.207000000000001</v>
      </c>
      <c r="AC8" s="44">
        <v>0</v>
      </c>
      <c r="AE8" s="46">
        <f t="shared" si="7"/>
        <v>2.3936240076986835E-2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32</v>
      </c>
      <c r="F9" s="28">
        <v>30</v>
      </c>
      <c r="H9" s="36">
        <f t="shared" si="0"/>
        <v>3.838860148783789E-2</v>
      </c>
      <c r="I9" s="29">
        <f t="shared" si="1"/>
        <v>486.42823499999997</v>
      </c>
      <c r="J9" s="30">
        <f t="shared" si="2"/>
        <v>2.072984480343246</v>
      </c>
      <c r="K9" s="30">
        <f t="shared" si="3"/>
        <v>0.1519871492863557</v>
      </c>
      <c r="L9" s="30">
        <f t="shared" si="4"/>
        <v>0.14215230595762557</v>
      </c>
      <c r="M9" s="30">
        <f t="shared" si="5"/>
        <v>1.9209973310568904</v>
      </c>
      <c r="N9" s="27">
        <f t="shared" si="6"/>
        <v>38041560</v>
      </c>
      <c r="O9" s="30">
        <v>16</v>
      </c>
      <c r="P9" s="31">
        <v>25312408</v>
      </c>
      <c r="Q9" s="32">
        <v>518856784</v>
      </c>
      <c r="R9" s="32">
        <v>35579952</v>
      </c>
      <c r="S9" s="32">
        <v>2461608</v>
      </c>
      <c r="T9" s="32">
        <v>480815224</v>
      </c>
      <c r="U9" s="33" t="s">
        <v>571</v>
      </c>
      <c r="V9" s="33" t="s">
        <v>571</v>
      </c>
      <c r="W9" s="33" t="s">
        <v>571</v>
      </c>
      <c r="X9" s="33" t="s">
        <v>571</v>
      </c>
      <c r="Y9" s="33" t="s">
        <v>571</v>
      </c>
      <c r="Z9" s="34">
        <v>11624.5</v>
      </c>
      <c r="AA9" s="34">
        <v>0</v>
      </c>
      <c r="AB9" s="34">
        <v>42.738999999999997</v>
      </c>
      <c r="AC9" s="34">
        <v>0</v>
      </c>
      <c r="AE9" s="36">
        <f t="shared" si="7"/>
        <v>3.838860148783789E-2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5.7463958291558564E-2</v>
      </c>
      <c r="I10" s="20">
        <f t="shared" si="1"/>
        <v>1152.821355</v>
      </c>
      <c r="J10" s="21">
        <f t="shared" si="2"/>
        <v>3.2754456226188382</v>
      </c>
      <c r="K10" s="21">
        <f t="shared" si="3"/>
        <v>0.27542269645137102</v>
      </c>
      <c r="L10" s="21">
        <f t="shared" si="4"/>
        <v>0.26290847710664489</v>
      </c>
      <c r="M10" s="21">
        <f t="shared" si="5"/>
        <v>3.0000229261674671</v>
      </c>
      <c r="N10" s="18">
        <f t="shared" si="6"/>
        <v>103399888</v>
      </c>
      <c r="O10" s="21">
        <v>16</v>
      </c>
      <c r="P10" s="22">
        <v>92854683</v>
      </c>
      <c r="Q10" s="23">
        <v>1229676112</v>
      </c>
      <c r="R10" s="23">
        <v>98701768</v>
      </c>
      <c r="S10" s="23">
        <v>4698120</v>
      </c>
      <c r="T10" s="23">
        <v>1126276224</v>
      </c>
      <c r="U10" s="24" t="s">
        <v>571</v>
      </c>
      <c r="V10" s="24" t="s">
        <v>571</v>
      </c>
      <c r="W10" s="24" t="s">
        <v>571</v>
      </c>
      <c r="X10" s="24" t="s">
        <v>571</v>
      </c>
      <c r="Y10" s="24" t="s">
        <v>571</v>
      </c>
      <c r="Z10" s="25">
        <v>36741.699999999997</v>
      </c>
      <c r="AA10" s="25">
        <v>0</v>
      </c>
      <c r="AB10" s="25">
        <v>118.41500000000001</v>
      </c>
      <c r="AC10" s="25">
        <v>0</v>
      </c>
      <c r="AE10" s="26">
        <f t="shared" si="7"/>
        <v>5.7463958291558564E-2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333190689</v>
      </c>
      <c r="D11" s="28">
        <v>11</v>
      </c>
      <c r="E11" s="28">
        <v>32</v>
      </c>
      <c r="F11" s="28">
        <v>30</v>
      </c>
      <c r="H11" s="36">
        <f t="shared" si="0"/>
        <v>5.8958143819569667E-2</v>
      </c>
      <c r="I11" s="29">
        <f t="shared" si="1"/>
        <v>1049.7425249999999</v>
      </c>
      <c r="J11" s="30">
        <f t="shared" si="2"/>
        <v>3.3606141977154711</v>
      </c>
      <c r="K11" s="30">
        <f t="shared" si="3"/>
        <v>0.29562756479068358</v>
      </c>
      <c r="L11" s="30">
        <f t="shared" si="4"/>
        <v>0.28101527170826796</v>
      </c>
      <c r="M11" s="30">
        <f t="shared" si="5"/>
        <v>3.0649866329247875</v>
      </c>
      <c r="N11" s="27">
        <f t="shared" si="6"/>
        <v>98500352</v>
      </c>
      <c r="O11" s="30">
        <v>16</v>
      </c>
      <c r="P11" s="31">
        <v>83104648</v>
      </c>
      <c r="Q11" s="32">
        <v>1119725360</v>
      </c>
      <c r="R11" s="32">
        <v>93631672</v>
      </c>
      <c r="S11" s="32">
        <v>4868680</v>
      </c>
      <c r="T11" s="32">
        <v>1021225008</v>
      </c>
      <c r="U11" s="33" t="s">
        <v>571</v>
      </c>
      <c r="V11" s="33" t="s">
        <v>571</v>
      </c>
      <c r="W11" s="33" t="s">
        <v>571</v>
      </c>
      <c r="X11" s="33" t="s">
        <v>571</v>
      </c>
      <c r="Y11" s="33" t="s">
        <v>571</v>
      </c>
      <c r="Z11" s="34">
        <v>38745.699999999997</v>
      </c>
      <c r="AA11" s="34">
        <v>0</v>
      </c>
      <c r="AB11" s="34">
        <v>114.03100000000001</v>
      </c>
      <c r="AC11" s="34">
        <v>0</v>
      </c>
      <c r="AE11" s="36">
        <f t="shared" si="7"/>
        <v>5.8958143819569667E-2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1.4555417278067129</v>
      </c>
      <c r="K12" s="48">
        <f>AVERAGE(K5:K8)</f>
        <v>0.14849037162623921</v>
      </c>
      <c r="L12" s="48">
        <f>AVERAGE(L5:L8)</f>
        <v>0.13609153516400974</v>
      </c>
      <c r="M12" s="48">
        <f>AVERAGE(M5:M8)</f>
        <v>1.3070513561804737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2.072984480343246</v>
      </c>
      <c r="K13" s="48">
        <f>AVERAGE(K9:K9)</f>
        <v>0.1519871492863557</v>
      </c>
      <c r="L13" s="48">
        <f>AVERAGE(L9:L9)</f>
        <v>0.14215230595762557</v>
      </c>
      <c r="M13" s="48">
        <f>AVERAGE(M9:M9)</f>
        <v>1.9209973310568904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3.3180299101671547</v>
      </c>
      <c r="K14" s="48">
        <f>AVERAGE(K10:K11)</f>
        <v>0.2855251306210273</v>
      </c>
      <c r="L14" s="48">
        <f>AVERAGE(L10:L11)</f>
        <v>0.27196187440745645</v>
      </c>
      <c r="M14" s="48">
        <f>AVERAGE(M10:M11)</f>
        <v>3.0325047795461275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2.0758873159863436</v>
      </c>
      <c r="K15" s="48">
        <f>AVERAGE(K5:K11)</f>
        <v>0.18814269957619531</v>
      </c>
      <c r="L15" s="48">
        <f>AVERAGE(L5:L11)</f>
        <v>0.17577745648979676</v>
      </c>
      <c r="M15" s="48">
        <f>AVERAGE(M5:M11)</f>
        <v>1.8877446164101486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131515.59999999998</v>
      </c>
      <c r="AA16" s="49">
        <f>SUM(AA5:AA8,AA9:AA9,AA10:AA11)</f>
        <v>0</v>
      </c>
      <c r="AB16" s="49">
        <f>SUM(AB5:AB8,AB9:AB9,AB10:AB11)</f>
        <v>429.31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15810.742946760885</v>
      </c>
      <c r="AA18" s="49" t="e">
        <f>GEOMEAN(AA5:AA8,AA9:AA9,AA10:AA11)</f>
        <v>#NUM!</v>
      </c>
      <c r="AB18" s="49">
        <f>GEOMEAN(AB5:AB8,AB9:AB9,AB10:AB11)</f>
        <v>53.487038373103168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Y65" sqref="Y6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ALL_master+r110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1.0415775</v>
      </c>
      <c r="J5" s="12">
        <f t="shared" ref="J5:J39" si="1">IF(ISBLANK(S5),"·",S5/D5)</f>
        <v>4.6652649042243938E-3</v>
      </c>
      <c r="K5" s="12">
        <f t="shared" ref="K5:K39" si="2">IF(N5="","·",N5/D5)</f>
        <v>4.0528684728209884E-3</v>
      </c>
      <c r="L5" s="12">
        <f t="shared" ref="L5:L39" si="3">IF(T5="","·",T5/D5)</f>
        <v>2.5510359298285567E-3</v>
      </c>
      <c r="M5" s="12">
        <f t="shared" ref="M5:M39" si="4">IF(ISBLANK(V5),"·",V5/D5)</f>
        <v>6.1239643140340516E-4</v>
      </c>
      <c r="N5" s="54">
        <f t="shared" ref="N5:N39" si="5">IF(OR(ISBLANK(T5),ISBLANK(U5)),"",T5+U5)</f>
        <v>965176</v>
      </c>
      <c r="O5" s="12">
        <v>16</v>
      </c>
      <c r="P5" s="13">
        <v>23582209</v>
      </c>
      <c r="Q5" s="13">
        <v>736944.03125</v>
      </c>
      <c r="R5" s="13">
        <v>16985</v>
      </c>
      <c r="S5" s="14">
        <v>1111016</v>
      </c>
      <c r="T5" s="14">
        <v>607520</v>
      </c>
      <c r="U5" s="14">
        <v>357656</v>
      </c>
      <c r="V5" s="14">
        <v>145840</v>
      </c>
      <c r="W5" s="15">
        <v>66.845706250000006</v>
      </c>
      <c r="X5" s="15">
        <v>68.619978125000003</v>
      </c>
      <c r="Y5" s="15">
        <v>31.7209</v>
      </c>
      <c r="Z5" s="15">
        <v>44.575056250000003</v>
      </c>
      <c r="AA5" s="15">
        <v>44.244737499999999</v>
      </c>
      <c r="AB5" s="16">
        <v>6948.55</v>
      </c>
      <c r="AC5" s="16">
        <v>0</v>
      </c>
      <c r="AD5" s="16">
        <v>43.884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1.3541924999999999</v>
      </c>
      <c r="J6" s="21">
        <f t="shared" si="1"/>
        <v>6.0654792790876266E-3</v>
      </c>
      <c r="K6" s="21">
        <f t="shared" si="2"/>
        <v>4.9431108111984787E-3</v>
      </c>
      <c r="L6" s="21">
        <f t="shared" si="3"/>
        <v>3.4412782682060462E-3</v>
      </c>
      <c r="M6" s="21">
        <f t="shared" si="4"/>
        <v>1.1223684678891481E-3</v>
      </c>
      <c r="N6" s="18">
        <f t="shared" si="5"/>
        <v>1177184</v>
      </c>
      <c r="O6" s="21">
        <v>16</v>
      </c>
      <c r="P6" s="22">
        <v>24777501</v>
      </c>
      <c r="Q6" s="22">
        <v>774296.90625</v>
      </c>
      <c r="R6" s="22">
        <v>19924.375</v>
      </c>
      <c r="S6" s="23">
        <v>1444472</v>
      </c>
      <c r="T6" s="23">
        <v>819528</v>
      </c>
      <c r="U6" s="23">
        <v>357656</v>
      </c>
      <c r="V6" s="23">
        <v>267288</v>
      </c>
      <c r="W6" s="24">
        <v>68.552899999999994</v>
      </c>
      <c r="X6" s="24">
        <v>70.622062499999998</v>
      </c>
      <c r="Y6" s="24">
        <v>33.798978124999998</v>
      </c>
      <c r="Z6" s="24">
        <v>45.497103125000002</v>
      </c>
      <c r="AA6" s="24">
        <v>45.158875000000002</v>
      </c>
      <c r="AB6" s="25">
        <v>7174.68</v>
      </c>
      <c r="AC6" s="25">
        <v>0</v>
      </c>
      <c r="AD6" s="25">
        <v>44.738</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1.8744225000000001</v>
      </c>
      <c r="J7" s="12">
        <f t="shared" si="1"/>
        <v>8.3956090688773032E-3</v>
      </c>
      <c r="K7" s="12">
        <f t="shared" si="2"/>
        <v>6.1417348961630919E-3</v>
      </c>
      <c r="L7" s="12">
        <f t="shared" si="3"/>
        <v>4.6399023531706598E-3</v>
      </c>
      <c r="M7" s="12">
        <f t="shared" si="4"/>
        <v>2.2538741727142109E-3</v>
      </c>
      <c r="N7" s="54">
        <f t="shared" si="5"/>
        <v>1462632</v>
      </c>
      <c r="O7" s="12">
        <v>16</v>
      </c>
      <c r="P7" s="13">
        <v>24923704</v>
      </c>
      <c r="Q7" s="13">
        <v>778865.75</v>
      </c>
      <c r="R7" s="13">
        <v>21104.84375</v>
      </c>
      <c r="S7" s="14">
        <v>1999384</v>
      </c>
      <c r="T7" s="14">
        <v>1104976</v>
      </c>
      <c r="U7" s="14">
        <v>357656</v>
      </c>
      <c r="V7" s="14">
        <v>536752</v>
      </c>
      <c r="W7" s="15">
        <v>69.837428125000002</v>
      </c>
      <c r="X7" s="15">
        <v>72.274171874999993</v>
      </c>
      <c r="Y7" s="15">
        <v>36.190462500000002</v>
      </c>
      <c r="Z7" s="15">
        <v>46.891187500000001</v>
      </c>
      <c r="AA7" s="15">
        <v>46.671834375000003</v>
      </c>
      <c r="AB7" s="16">
        <v>7476.38</v>
      </c>
      <c r="AC7" s="16">
        <v>0</v>
      </c>
      <c r="AD7" s="16">
        <v>45.238</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3.0919050000000001</v>
      </c>
      <c r="J8" s="21">
        <f t="shared" si="1"/>
        <v>1.3848759102127229E-2</v>
      </c>
      <c r="K8" s="21">
        <f t="shared" si="2"/>
        <v>8.8562333073525356E-3</v>
      </c>
      <c r="L8" s="21">
        <f t="shared" si="3"/>
        <v>7.3544007643601035E-3</v>
      </c>
      <c r="M8" s="21">
        <f t="shared" si="4"/>
        <v>4.9925257947746942E-3</v>
      </c>
      <c r="N8" s="18">
        <f t="shared" si="5"/>
        <v>2109080</v>
      </c>
      <c r="O8" s="21">
        <v>16</v>
      </c>
      <c r="P8" s="22">
        <v>25894561</v>
      </c>
      <c r="Q8" s="22">
        <v>809205.03125</v>
      </c>
      <c r="R8" s="22">
        <v>24362.6875</v>
      </c>
      <c r="S8" s="23">
        <v>3298032</v>
      </c>
      <c r="T8" s="23">
        <v>1751424</v>
      </c>
      <c r="U8" s="23">
        <v>357656</v>
      </c>
      <c r="V8" s="23">
        <v>1188952</v>
      </c>
      <c r="W8" s="24">
        <v>70.899375000000006</v>
      </c>
      <c r="X8" s="24">
        <v>73.460281249999994</v>
      </c>
      <c r="Y8" s="24">
        <v>38.672028124999997</v>
      </c>
      <c r="Z8" s="24">
        <v>48.127665624999999</v>
      </c>
      <c r="AA8" s="24">
        <v>48.148987499999997</v>
      </c>
      <c r="AB8" s="25">
        <v>7901.57</v>
      </c>
      <c r="AC8" s="25">
        <v>0</v>
      </c>
      <c r="AD8" s="25">
        <v>46.534999999999997</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6.3072900000000001</v>
      </c>
      <c r="J9" s="30">
        <f t="shared" si="1"/>
        <v>2.8250589781140121E-2</v>
      </c>
      <c r="K9" s="30">
        <f t="shared" si="2"/>
        <v>1.5565283120330805E-2</v>
      </c>
      <c r="L9" s="30">
        <f t="shared" si="3"/>
        <v>1.2147654171253009E-2</v>
      </c>
      <c r="M9" s="30">
        <f t="shared" si="4"/>
        <v>1.2685306660809317E-2</v>
      </c>
      <c r="N9" s="27">
        <f t="shared" si="5"/>
        <v>3706816</v>
      </c>
      <c r="O9" s="30">
        <v>16</v>
      </c>
      <c r="P9" s="31">
        <v>24903158</v>
      </c>
      <c r="Q9" s="31">
        <v>778223.6875</v>
      </c>
      <c r="R9" s="31">
        <v>10582.96875</v>
      </c>
      <c r="S9" s="32">
        <v>6727776</v>
      </c>
      <c r="T9" s="32">
        <v>2892920</v>
      </c>
      <c r="U9" s="32">
        <v>813896</v>
      </c>
      <c r="V9" s="32">
        <v>3020960</v>
      </c>
      <c r="W9" s="33">
        <v>71.932040624999999</v>
      </c>
      <c r="X9" s="33">
        <v>75.246168749999995</v>
      </c>
      <c r="Y9" s="33">
        <v>41.106162500000003</v>
      </c>
      <c r="Z9" s="33">
        <v>49.546553125000003</v>
      </c>
      <c r="AA9" s="33">
        <v>49.676209374999999</v>
      </c>
      <c r="AB9" s="34">
        <v>8624.06</v>
      </c>
      <c r="AC9" s="34">
        <v>0</v>
      </c>
      <c r="AD9" s="34">
        <v>46.896000000000001</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1.9621725000000001</v>
      </c>
      <c r="J10" s="21">
        <f t="shared" si="1"/>
        <v>9.5955074380146797E-3</v>
      </c>
      <c r="K10" s="21">
        <f t="shared" si="2"/>
        <v>7.1812171324423324E-3</v>
      </c>
      <c r="L10" s="21">
        <f t="shared" si="3"/>
        <v>4.1200939063055584E-3</v>
      </c>
      <c r="M10" s="21">
        <f t="shared" si="4"/>
        <v>2.4142903055723477E-3</v>
      </c>
      <c r="N10" s="18">
        <f t="shared" si="5"/>
        <v>1566376</v>
      </c>
      <c r="O10" s="21">
        <v>16</v>
      </c>
      <c r="P10" s="22">
        <v>21022693</v>
      </c>
      <c r="Q10" s="22">
        <v>656959.15625</v>
      </c>
      <c r="R10" s="22">
        <v>19029.53125</v>
      </c>
      <c r="S10" s="23">
        <v>2092984</v>
      </c>
      <c r="T10" s="23">
        <v>898680</v>
      </c>
      <c r="U10" s="23">
        <v>667696</v>
      </c>
      <c r="V10" s="23">
        <v>526608</v>
      </c>
      <c r="W10" s="24">
        <v>65.986409374999994</v>
      </c>
      <c r="X10" s="24">
        <v>67.859937500000001</v>
      </c>
      <c r="Y10" s="24">
        <v>31.011700000000001</v>
      </c>
      <c r="Z10" s="24">
        <v>38.738853124999999</v>
      </c>
      <c r="AA10" s="24">
        <v>30.108956249999999</v>
      </c>
      <c r="AB10" s="25">
        <v>7846.36</v>
      </c>
      <c r="AC10" s="25">
        <v>0</v>
      </c>
      <c r="AD10" s="25">
        <v>43.311999999999998</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2.6840250000000001</v>
      </c>
      <c r="J11" s="12">
        <f t="shared" si="1"/>
        <v>1.312554418702604E-2</v>
      </c>
      <c r="K11" s="12">
        <f t="shared" si="2"/>
        <v>8.8241566128621253E-3</v>
      </c>
      <c r="L11" s="12">
        <f t="shared" si="3"/>
        <v>5.7630333867253513E-3</v>
      </c>
      <c r="M11" s="12">
        <f t="shared" si="4"/>
        <v>4.3013875741639137E-3</v>
      </c>
      <c r="N11" s="54">
        <f t="shared" si="5"/>
        <v>1924736</v>
      </c>
      <c r="O11" s="12">
        <v>16</v>
      </c>
      <c r="P11" s="13">
        <v>22225091</v>
      </c>
      <c r="Q11" s="13">
        <v>694534.09375</v>
      </c>
      <c r="R11" s="13">
        <v>23225.96875</v>
      </c>
      <c r="S11" s="14">
        <v>2862960</v>
      </c>
      <c r="T11" s="14">
        <v>1257040</v>
      </c>
      <c r="U11" s="14">
        <v>667696</v>
      </c>
      <c r="V11" s="14">
        <v>938224</v>
      </c>
      <c r="W11" s="15">
        <v>67.670468749999998</v>
      </c>
      <c r="X11" s="15">
        <v>69.746768750000001</v>
      </c>
      <c r="Y11" s="15">
        <v>32.851759375</v>
      </c>
      <c r="Z11" s="15">
        <v>39.672181250000001</v>
      </c>
      <c r="AA11" s="15">
        <v>32.236640625</v>
      </c>
      <c r="AB11" s="16">
        <v>8346.44</v>
      </c>
      <c r="AC11" s="16">
        <v>0</v>
      </c>
      <c r="AD11" s="16">
        <v>45.835000000000001</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3.8271299999999999</v>
      </c>
      <c r="J12" s="21">
        <f t="shared" si="1"/>
        <v>1.8715609550765348E-2</v>
      </c>
      <c r="K12" s="21">
        <f t="shared" si="2"/>
        <v>1.1330652518474106E-2</v>
      </c>
      <c r="L12" s="21">
        <f t="shared" si="3"/>
        <v>8.2695292923373326E-3</v>
      </c>
      <c r="M12" s="21">
        <f t="shared" si="4"/>
        <v>7.3849570322912427E-3</v>
      </c>
      <c r="N12" s="18">
        <f t="shared" si="5"/>
        <v>2471456</v>
      </c>
      <c r="O12" s="21">
        <v>16</v>
      </c>
      <c r="P12" s="22">
        <v>22547007</v>
      </c>
      <c r="Q12" s="22">
        <v>704593.96875</v>
      </c>
      <c r="R12" s="22">
        <v>24701.21875</v>
      </c>
      <c r="S12" s="23">
        <v>4082272</v>
      </c>
      <c r="T12" s="23">
        <v>1803760</v>
      </c>
      <c r="U12" s="23">
        <v>667696</v>
      </c>
      <c r="V12" s="23">
        <v>1610816</v>
      </c>
      <c r="W12" s="24">
        <v>69.008018750000005</v>
      </c>
      <c r="X12" s="24">
        <v>71.384221874999994</v>
      </c>
      <c r="Y12" s="24">
        <v>34.861624999999997</v>
      </c>
      <c r="Z12" s="24">
        <v>40.634021875000002</v>
      </c>
      <c r="AA12" s="24">
        <v>34.136196875000003</v>
      </c>
      <c r="AB12" s="25">
        <v>8761.0400000000009</v>
      </c>
      <c r="AC12" s="25">
        <v>0</v>
      </c>
      <c r="AD12" s="25">
        <v>46.566000000000003</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6.1983449999999998</v>
      </c>
      <c r="J13" s="12">
        <f t="shared" si="1"/>
        <v>3.0311435692265132E-2</v>
      </c>
      <c r="K13" s="12">
        <f t="shared" si="2"/>
        <v>1.5864864734265544E-2</v>
      </c>
      <c r="L13" s="12">
        <f t="shared" si="3"/>
        <v>1.2803741508128769E-2</v>
      </c>
      <c r="M13" s="12">
        <f t="shared" si="4"/>
        <v>1.4446570957999588E-2</v>
      </c>
      <c r="N13" s="54">
        <f t="shared" si="5"/>
        <v>3460464</v>
      </c>
      <c r="O13" s="12">
        <v>16</v>
      </c>
      <c r="P13" s="13">
        <v>23302548</v>
      </c>
      <c r="Q13" s="13">
        <v>728204.625</v>
      </c>
      <c r="R13" s="13">
        <v>28114</v>
      </c>
      <c r="S13" s="14">
        <v>6611568</v>
      </c>
      <c r="T13" s="14">
        <v>2792768</v>
      </c>
      <c r="U13" s="14">
        <v>667696</v>
      </c>
      <c r="V13" s="14">
        <v>3151104</v>
      </c>
      <c r="W13" s="15">
        <v>70.065493750000002</v>
      </c>
      <c r="X13" s="15">
        <v>72.574931250000006</v>
      </c>
      <c r="Y13" s="15">
        <v>37.046803124999997</v>
      </c>
      <c r="Z13" s="15">
        <v>41.695096874999997</v>
      </c>
      <c r="AA13" s="15">
        <v>36.089156250000002</v>
      </c>
      <c r="AB13" s="16">
        <v>9125.8799999999992</v>
      </c>
      <c r="AC13" s="16">
        <v>0</v>
      </c>
      <c r="AD13" s="16">
        <v>47.091000000000001</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12.218685000000001</v>
      </c>
      <c r="J14" s="40">
        <f t="shared" si="1"/>
        <v>5.9752383034752755E-2</v>
      </c>
      <c r="K14" s="40">
        <f t="shared" si="2"/>
        <v>2.6746592612928548E-2</v>
      </c>
      <c r="L14" s="40">
        <f t="shared" si="3"/>
        <v>2.0743655952591724E-2</v>
      </c>
      <c r="M14" s="40">
        <f t="shared" si="4"/>
        <v>3.3005790421824208E-2</v>
      </c>
      <c r="N14" s="37">
        <f t="shared" si="5"/>
        <v>5834000</v>
      </c>
      <c r="O14" s="40">
        <v>16</v>
      </c>
      <c r="P14" s="41">
        <v>22137685</v>
      </c>
      <c r="Q14" s="41">
        <v>691802.65625</v>
      </c>
      <c r="R14" s="41">
        <v>13319.59375</v>
      </c>
      <c r="S14" s="42">
        <v>13033264</v>
      </c>
      <c r="T14" s="42">
        <v>4524632</v>
      </c>
      <c r="U14" s="42">
        <v>1309368</v>
      </c>
      <c r="V14" s="42">
        <v>7199264</v>
      </c>
      <c r="W14" s="43">
        <v>70.915209375000003</v>
      </c>
      <c r="X14" s="43">
        <v>74.637884374999999</v>
      </c>
      <c r="Y14" s="43">
        <v>39.451509375000001</v>
      </c>
      <c r="Z14" s="43">
        <v>42.978534375000002</v>
      </c>
      <c r="AA14" s="43">
        <v>38.253678125</v>
      </c>
      <c r="AB14" s="44">
        <v>9992.9</v>
      </c>
      <c r="AC14" s="44">
        <v>0</v>
      </c>
      <c r="AD14" s="44">
        <v>47.72</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1.6193774999999999</v>
      </c>
      <c r="J15" s="12">
        <f t="shared" si="1"/>
        <v>5.3545912302272363E-3</v>
      </c>
      <c r="K15" s="12">
        <f t="shared" si="2"/>
        <v>4.50233836353314E-3</v>
      </c>
      <c r="L15" s="12">
        <f t="shared" si="3"/>
        <v>2.3656551667253461E-3</v>
      </c>
      <c r="M15" s="12">
        <f t="shared" si="4"/>
        <v>8.5225286669409633E-4</v>
      </c>
      <c r="N15" s="54">
        <f t="shared" si="5"/>
        <v>1452408</v>
      </c>
      <c r="O15" s="12">
        <v>16</v>
      </c>
      <c r="P15" s="13">
        <v>32415907</v>
      </c>
      <c r="Q15" s="13">
        <v>1012997.09375</v>
      </c>
      <c r="R15" s="13">
        <v>32038.0625</v>
      </c>
      <c r="S15" s="14">
        <v>1727336</v>
      </c>
      <c r="T15" s="14">
        <v>763136</v>
      </c>
      <c r="U15" s="14">
        <v>689272</v>
      </c>
      <c r="V15" s="14">
        <v>274928</v>
      </c>
      <c r="W15" s="15">
        <v>66.298768749999994</v>
      </c>
      <c r="X15" s="15">
        <v>67.850187500000004</v>
      </c>
      <c r="Y15" s="15">
        <v>29.254943749999999</v>
      </c>
      <c r="Z15" s="15">
        <v>43.489890625000001</v>
      </c>
      <c r="AA15" s="15">
        <v>43.7181</v>
      </c>
      <c r="AB15" s="16">
        <v>7496.17</v>
      </c>
      <c r="AC15" s="16">
        <v>0</v>
      </c>
      <c r="AD15" s="16">
        <v>55.238</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2.1224474999999998</v>
      </c>
      <c r="J16" s="21">
        <f t="shared" si="1"/>
        <v>7.0180293168935108E-3</v>
      </c>
      <c r="K16" s="21">
        <f t="shared" si="2"/>
        <v>5.4328826316167858E-3</v>
      </c>
      <c r="L16" s="21">
        <f t="shared" si="3"/>
        <v>3.2961994348089919E-3</v>
      </c>
      <c r="M16" s="21">
        <f t="shared" si="4"/>
        <v>1.5851466852767253E-3</v>
      </c>
      <c r="N16" s="18">
        <f t="shared" si="5"/>
        <v>1752592</v>
      </c>
      <c r="O16" s="21">
        <v>16</v>
      </c>
      <c r="P16" s="22">
        <v>33875717</v>
      </c>
      <c r="Q16" s="22">
        <v>1058616.15625</v>
      </c>
      <c r="R16" s="22">
        <v>36874.3125</v>
      </c>
      <c r="S16" s="23">
        <v>2263944</v>
      </c>
      <c r="T16" s="23">
        <v>1063320</v>
      </c>
      <c r="U16" s="23">
        <v>689272</v>
      </c>
      <c r="V16" s="23">
        <v>511352</v>
      </c>
      <c r="W16" s="24">
        <v>68.029884374999995</v>
      </c>
      <c r="X16" s="24">
        <v>70.006803125000005</v>
      </c>
      <c r="Y16" s="24">
        <v>31.572084374999999</v>
      </c>
      <c r="Z16" s="24">
        <v>44.071681249999997</v>
      </c>
      <c r="AA16" s="24">
        <v>44.425503124999999</v>
      </c>
      <c r="AB16" s="25">
        <v>7750.18</v>
      </c>
      <c r="AC16" s="25">
        <v>0</v>
      </c>
      <c r="AD16" s="25">
        <v>56.734000000000002</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2.9922825</v>
      </c>
      <c r="J17" s="12">
        <f t="shared" si="1"/>
        <v>9.8942029470351599E-3</v>
      </c>
      <c r="K17" s="12">
        <f t="shared" si="2"/>
        <v>6.6374096056084917E-3</v>
      </c>
      <c r="L17" s="12">
        <f t="shared" si="3"/>
        <v>4.5007264088006973E-3</v>
      </c>
      <c r="M17" s="12">
        <f t="shared" si="4"/>
        <v>3.2567933414266686E-3</v>
      </c>
      <c r="N17" s="54">
        <f t="shared" si="5"/>
        <v>2141160</v>
      </c>
      <c r="O17" s="12">
        <v>16</v>
      </c>
      <c r="P17" s="13">
        <v>33778649</v>
      </c>
      <c r="Q17" s="13">
        <v>1055582.78125</v>
      </c>
      <c r="R17" s="13">
        <v>37421.15625</v>
      </c>
      <c r="S17" s="14">
        <v>3191768</v>
      </c>
      <c r="T17" s="14">
        <v>1451888</v>
      </c>
      <c r="U17" s="14">
        <v>689272</v>
      </c>
      <c r="V17" s="14">
        <v>1050608</v>
      </c>
      <c r="W17" s="15">
        <v>69.351503124999994</v>
      </c>
      <c r="X17" s="15">
        <v>71.840318749999994</v>
      </c>
      <c r="Y17" s="15">
        <v>33.953462500000001</v>
      </c>
      <c r="Z17" s="15">
        <v>45.161953124999997</v>
      </c>
      <c r="AA17" s="15">
        <v>45.541065625000002</v>
      </c>
      <c r="AB17" s="16">
        <v>8085.01</v>
      </c>
      <c r="AC17" s="16">
        <v>0</v>
      </c>
      <c r="AD17" s="16">
        <v>57.406999999999996</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5.2690950000000001</v>
      </c>
      <c r="J18" s="21">
        <f t="shared" si="1"/>
        <v>1.7422651530130669E-2</v>
      </c>
      <c r="K18" s="21">
        <f t="shared" si="2"/>
        <v>9.8983692300359336E-3</v>
      </c>
      <c r="L18" s="21">
        <f t="shared" si="3"/>
        <v>7.7616860332281401E-3</v>
      </c>
      <c r="M18" s="21">
        <f t="shared" si="4"/>
        <v>7.5242823000947357E-3</v>
      </c>
      <c r="N18" s="18">
        <f t="shared" si="5"/>
        <v>3193112</v>
      </c>
      <c r="O18" s="21">
        <v>16</v>
      </c>
      <c r="P18" s="22">
        <v>34914211</v>
      </c>
      <c r="Q18" s="22">
        <v>1091069.09375</v>
      </c>
      <c r="R18" s="22">
        <v>41605.03125</v>
      </c>
      <c r="S18" s="23">
        <v>5620368</v>
      </c>
      <c r="T18" s="23">
        <v>2503840</v>
      </c>
      <c r="U18" s="23">
        <v>689272</v>
      </c>
      <c r="V18" s="23">
        <v>2427256</v>
      </c>
      <c r="W18" s="24">
        <v>70.529828124999995</v>
      </c>
      <c r="X18" s="24">
        <v>73.133281249999996</v>
      </c>
      <c r="Y18" s="24">
        <v>36.286499999999997</v>
      </c>
      <c r="Z18" s="24">
        <v>46.415525000000002</v>
      </c>
      <c r="AA18" s="24">
        <v>47.009934375</v>
      </c>
      <c r="AB18" s="25">
        <v>8651.1200000000008</v>
      </c>
      <c r="AC18" s="25">
        <v>0</v>
      </c>
      <c r="AD18" s="25">
        <v>60.216999999999999</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11.407154999999999</v>
      </c>
      <c r="J19" s="30">
        <f t="shared" si="1"/>
        <v>3.771859997118817E-2</v>
      </c>
      <c r="K19" s="30">
        <f t="shared" si="2"/>
        <v>1.7427512193631575E-2</v>
      </c>
      <c r="L19" s="30">
        <f t="shared" si="3"/>
        <v>1.2813155375845474E-2</v>
      </c>
      <c r="M19" s="30">
        <f t="shared" si="4"/>
        <v>2.0291087777556595E-2</v>
      </c>
      <c r="N19" s="27">
        <f t="shared" si="5"/>
        <v>5621936</v>
      </c>
      <c r="O19" s="30">
        <v>16</v>
      </c>
      <c r="P19" s="31">
        <v>33017129</v>
      </c>
      <c r="Q19" s="31">
        <v>1031785.28125</v>
      </c>
      <c r="R19" s="31">
        <v>17789.875</v>
      </c>
      <c r="S19" s="32">
        <v>12167632</v>
      </c>
      <c r="T19" s="32">
        <v>4133392</v>
      </c>
      <c r="U19" s="32">
        <v>1488544</v>
      </c>
      <c r="V19" s="32">
        <v>6545696</v>
      </c>
      <c r="W19" s="33">
        <v>71.1854625</v>
      </c>
      <c r="X19" s="33">
        <v>75.071728125000007</v>
      </c>
      <c r="Y19" s="33">
        <v>38.667634374999999</v>
      </c>
      <c r="Z19" s="33">
        <v>48.193178125000003</v>
      </c>
      <c r="AA19" s="33">
        <v>48.815303125</v>
      </c>
      <c r="AB19" s="34">
        <v>9491.98</v>
      </c>
      <c r="AC19" s="34">
        <v>0</v>
      </c>
      <c r="AD19" s="34">
        <v>57.017000000000003</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1.9653499999999999</v>
      </c>
      <c r="J20" s="21">
        <f t="shared" si="1"/>
        <v>5.0191918975108713E-3</v>
      </c>
      <c r="K20" s="21">
        <f t="shared" si="2"/>
        <v>3.9036740402168782E-3</v>
      </c>
      <c r="L20" s="21">
        <f t="shared" si="3"/>
        <v>2.2613625794125417E-3</v>
      </c>
      <c r="M20" s="21">
        <f t="shared" si="4"/>
        <v>1.1155178572939926E-3</v>
      </c>
      <c r="N20" s="18">
        <f t="shared" si="5"/>
        <v>978272</v>
      </c>
      <c r="O20" s="21">
        <v>16</v>
      </c>
      <c r="P20" s="22">
        <v>30601694</v>
      </c>
      <c r="Q20" s="22">
        <v>956302.9375</v>
      </c>
      <c r="R20" s="22">
        <v>28916.46875</v>
      </c>
      <c r="S20" s="23">
        <v>1257824</v>
      </c>
      <c r="T20" s="23">
        <v>566704</v>
      </c>
      <c r="U20" s="23">
        <v>411568</v>
      </c>
      <c r="V20" s="23">
        <v>279552</v>
      </c>
      <c r="W20" s="24">
        <v>67.295671874999996</v>
      </c>
      <c r="X20" s="24">
        <v>69.019293750000003</v>
      </c>
      <c r="Y20" s="24">
        <v>30.055968750000002</v>
      </c>
      <c r="Z20" s="24">
        <v>39.455378125000003</v>
      </c>
      <c r="AA20" s="24">
        <v>38.054137500000003</v>
      </c>
      <c r="AB20" s="25">
        <v>7699.24</v>
      </c>
      <c r="AC20" s="25">
        <v>0</v>
      </c>
      <c r="AD20" s="25">
        <v>53.621000000000002</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2.6317499999999998</v>
      </c>
      <c r="J21" s="12">
        <f t="shared" si="1"/>
        <v>6.7210717054337578E-3</v>
      </c>
      <c r="K21" s="12">
        <f t="shared" si="2"/>
        <v>4.6403295483131522E-3</v>
      </c>
      <c r="L21" s="12">
        <f t="shared" si="3"/>
        <v>2.9980180875088147E-3</v>
      </c>
      <c r="M21" s="12">
        <f t="shared" si="4"/>
        <v>2.0807421571206056E-3</v>
      </c>
      <c r="N21" s="54">
        <f t="shared" si="5"/>
        <v>1162880</v>
      </c>
      <c r="O21" s="12">
        <v>16</v>
      </c>
      <c r="P21" s="13">
        <v>31545436</v>
      </c>
      <c r="Q21" s="13">
        <v>985794.875</v>
      </c>
      <c r="R21" s="13">
        <v>33037.84375</v>
      </c>
      <c r="S21" s="14">
        <v>1684320</v>
      </c>
      <c r="T21" s="14">
        <v>751312</v>
      </c>
      <c r="U21" s="14">
        <v>411568</v>
      </c>
      <c r="V21" s="14">
        <v>521440</v>
      </c>
      <c r="W21" s="15">
        <v>68.839996874999997</v>
      </c>
      <c r="X21" s="15">
        <v>70.960471874999996</v>
      </c>
      <c r="Y21" s="15">
        <v>31.511981250000002</v>
      </c>
      <c r="Z21" s="15">
        <v>40.439912499999998</v>
      </c>
      <c r="AA21" s="15">
        <v>39.227078124999998</v>
      </c>
      <c r="AB21" s="16">
        <v>7995.79</v>
      </c>
      <c r="AC21" s="16">
        <v>0</v>
      </c>
      <c r="AD21" s="16">
        <v>54.061999999999998</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4.0655999999999999</v>
      </c>
      <c r="J22" s="21">
        <f t="shared" si="1"/>
        <v>1.03828969794287E-2</v>
      </c>
      <c r="K22" s="21">
        <f t="shared" si="2"/>
        <v>5.5810369721552809E-3</v>
      </c>
      <c r="L22" s="21">
        <f t="shared" si="3"/>
        <v>3.9387255113509448E-3</v>
      </c>
      <c r="M22" s="21">
        <f t="shared" si="4"/>
        <v>4.8018600072734195E-3</v>
      </c>
      <c r="N22" s="18">
        <f t="shared" si="5"/>
        <v>1398624</v>
      </c>
      <c r="O22" s="21">
        <v>16</v>
      </c>
      <c r="P22" s="22">
        <v>32600579</v>
      </c>
      <c r="Q22" s="22">
        <v>1018768.09375</v>
      </c>
      <c r="R22" s="22">
        <v>35285.59375</v>
      </c>
      <c r="S22" s="23">
        <v>2601984</v>
      </c>
      <c r="T22" s="23">
        <v>987056</v>
      </c>
      <c r="U22" s="23">
        <v>411568</v>
      </c>
      <c r="V22" s="23">
        <v>1203360</v>
      </c>
      <c r="W22" s="24">
        <v>70.051181249999999</v>
      </c>
      <c r="X22" s="24">
        <v>72.501681250000004</v>
      </c>
      <c r="Y22" s="24">
        <v>33.310659375</v>
      </c>
      <c r="Z22" s="24">
        <v>41.682621875000002</v>
      </c>
      <c r="AA22" s="24">
        <v>40.405306250000002</v>
      </c>
      <c r="AB22" s="25">
        <v>8274.67</v>
      </c>
      <c r="AC22" s="25">
        <v>0</v>
      </c>
      <c r="AD22" s="25">
        <v>55.924999999999997</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7.6336500000000003</v>
      </c>
      <c r="J23" s="12">
        <f t="shared" si="1"/>
        <v>1.94951302457241E-2</v>
      </c>
      <c r="K23" s="12">
        <f t="shared" si="2"/>
        <v>8.2534083774795722E-3</v>
      </c>
      <c r="L23" s="12">
        <f t="shared" si="3"/>
        <v>6.6110969166752352E-3</v>
      </c>
      <c r="M23" s="12">
        <f t="shared" si="4"/>
        <v>1.1241721868244528E-2</v>
      </c>
      <c r="N23" s="54">
        <f t="shared" si="5"/>
        <v>2068328</v>
      </c>
      <c r="O23" s="12">
        <v>16</v>
      </c>
      <c r="P23" s="13">
        <v>32844561</v>
      </c>
      <c r="Q23" s="13">
        <v>1026392.53125</v>
      </c>
      <c r="R23" s="13">
        <v>37184.71875</v>
      </c>
      <c r="S23" s="14">
        <v>4885536</v>
      </c>
      <c r="T23" s="14">
        <v>1656760</v>
      </c>
      <c r="U23" s="14">
        <v>411568</v>
      </c>
      <c r="V23" s="14">
        <v>2817208</v>
      </c>
      <c r="W23" s="15">
        <v>71.043290624999997</v>
      </c>
      <c r="X23" s="15">
        <v>73.804865625000005</v>
      </c>
      <c r="Y23" s="15">
        <v>35.156068750000003</v>
      </c>
      <c r="Z23" s="15">
        <v>42.6891125</v>
      </c>
      <c r="AA23" s="15">
        <v>41.408475000000003</v>
      </c>
      <c r="AB23" s="16">
        <v>8685.5</v>
      </c>
      <c r="AC23" s="16">
        <v>0</v>
      </c>
      <c r="AD23" s="16">
        <v>56.746000000000002</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15.627675</v>
      </c>
      <c r="J24" s="40">
        <f t="shared" si="1"/>
        <v>3.9910601031334474E-2</v>
      </c>
      <c r="K24" s="40">
        <f t="shared" si="2"/>
        <v>1.431080058848962E-2</v>
      </c>
      <c r="L24" s="40">
        <f t="shared" si="3"/>
        <v>1.0695040226012397E-2</v>
      </c>
      <c r="M24" s="40">
        <f t="shared" si="4"/>
        <v>2.559980044284485E-2</v>
      </c>
      <c r="N24" s="37">
        <f t="shared" si="5"/>
        <v>3586328</v>
      </c>
      <c r="O24" s="40">
        <v>16</v>
      </c>
      <c r="P24" s="41">
        <v>31330577</v>
      </c>
      <c r="Q24" s="41">
        <v>979080.53125</v>
      </c>
      <c r="R24" s="41">
        <v>17954.65625</v>
      </c>
      <c r="S24" s="42">
        <v>10001712</v>
      </c>
      <c r="T24" s="42">
        <v>2680208</v>
      </c>
      <c r="U24" s="42">
        <v>906120</v>
      </c>
      <c r="V24" s="42">
        <v>6415384</v>
      </c>
      <c r="W24" s="43">
        <v>71.781303124999994</v>
      </c>
      <c r="X24" s="43">
        <v>75.790837499999995</v>
      </c>
      <c r="Y24" s="43">
        <v>36.237465624999999</v>
      </c>
      <c r="Z24" s="43">
        <v>43.457821875</v>
      </c>
      <c r="AA24" s="43">
        <v>41.899443750000003</v>
      </c>
      <c r="AB24" s="44">
        <v>9342.1200000000008</v>
      </c>
      <c r="AC24" s="44">
        <v>0</v>
      </c>
      <c r="AD24" s="44">
        <v>55.835999999999999</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2.04867</v>
      </c>
      <c r="J25" s="12">
        <f t="shared" si="1"/>
        <v>8.7307043665851309E-3</v>
      </c>
      <c r="K25" s="12">
        <f t="shared" si="2"/>
        <v>5.6717807818948314E-3</v>
      </c>
      <c r="L25" s="12">
        <f t="shared" si="3"/>
        <v>3.5053415578927714E-3</v>
      </c>
      <c r="M25" s="12">
        <f t="shared" si="4"/>
        <v>3.0589235846902991E-3</v>
      </c>
      <c r="N25" s="54">
        <f t="shared" si="5"/>
        <v>1419616</v>
      </c>
      <c r="O25" s="12">
        <v>16</v>
      </c>
      <c r="P25" s="13">
        <v>23412684</v>
      </c>
      <c r="Q25" s="13">
        <v>731646.375</v>
      </c>
      <c r="R25" s="13">
        <v>14608.71875</v>
      </c>
      <c r="S25" s="14">
        <v>2185248</v>
      </c>
      <c r="T25" s="14">
        <v>877368</v>
      </c>
      <c r="U25" s="14">
        <v>542248</v>
      </c>
      <c r="V25" s="14">
        <v>765632</v>
      </c>
      <c r="W25" s="15">
        <v>66.251328125000001</v>
      </c>
      <c r="X25" s="15">
        <v>68.010481249999998</v>
      </c>
      <c r="Y25" s="15">
        <v>25.910528124999999</v>
      </c>
      <c r="Z25" s="15">
        <v>32.464300000000001</v>
      </c>
      <c r="AA25" s="15">
        <v>31.666946875000001</v>
      </c>
      <c r="AB25" s="16">
        <v>7649.77</v>
      </c>
      <c r="AC25" s="16">
        <v>0</v>
      </c>
      <c r="AD25" s="16">
        <v>47.036999999999999</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3.1635525000000002</v>
      </c>
      <c r="J26" s="21">
        <f t="shared" si="1"/>
        <v>1.3481937855131038E-2</v>
      </c>
      <c r="K26" s="21">
        <f t="shared" si="2"/>
        <v>7.1436784037139083E-3</v>
      </c>
      <c r="L26" s="21">
        <f t="shared" si="3"/>
        <v>4.9772391797118483E-3</v>
      </c>
      <c r="M26" s="21">
        <f t="shared" si="4"/>
        <v>6.3382594514171308E-3</v>
      </c>
      <c r="N26" s="18">
        <f t="shared" si="5"/>
        <v>1788024</v>
      </c>
      <c r="O26" s="21">
        <v>16</v>
      </c>
      <c r="P26" s="22">
        <v>24648707</v>
      </c>
      <c r="Q26" s="22">
        <v>770272.09375</v>
      </c>
      <c r="R26" s="22">
        <v>17797.59375</v>
      </c>
      <c r="S26" s="23">
        <v>3374456</v>
      </c>
      <c r="T26" s="23">
        <v>1245776</v>
      </c>
      <c r="U26" s="23">
        <v>542248</v>
      </c>
      <c r="V26" s="23">
        <v>1586432</v>
      </c>
      <c r="W26" s="24">
        <v>68.002734375000003</v>
      </c>
      <c r="X26" s="24">
        <v>70.010190625000007</v>
      </c>
      <c r="Y26" s="24">
        <v>27.926349999999999</v>
      </c>
      <c r="Z26" s="24">
        <v>33.678340624999997</v>
      </c>
      <c r="AA26" s="24">
        <v>33.052799999999998</v>
      </c>
      <c r="AB26" s="25">
        <v>8069.73</v>
      </c>
      <c r="AC26" s="25">
        <v>0</v>
      </c>
      <c r="AD26" s="25">
        <v>48.838999999999999</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5.3401125</v>
      </c>
      <c r="J27" s="12">
        <f t="shared" si="1"/>
        <v>2.2757664007285624E-2</v>
      </c>
      <c r="K27" s="12">
        <f t="shared" si="2"/>
        <v>9.3062501848322071E-3</v>
      </c>
      <c r="L27" s="12">
        <f t="shared" si="3"/>
        <v>7.1398109608301471E-3</v>
      </c>
      <c r="M27" s="12">
        <f t="shared" si="4"/>
        <v>1.3451413822453417E-2</v>
      </c>
      <c r="N27" s="54">
        <f t="shared" si="5"/>
        <v>2329304</v>
      </c>
      <c r="O27" s="12">
        <v>16</v>
      </c>
      <c r="P27" s="13">
        <v>24857847</v>
      </c>
      <c r="Q27" s="13">
        <v>776807.71875</v>
      </c>
      <c r="R27" s="13">
        <v>18658.4375</v>
      </c>
      <c r="S27" s="14">
        <v>5696120</v>
      </c>
      <c r="T27" s="14">
        <v>1787056</v>
      </c>
      <c r="U27" s="14">
        <v>542248</v>
      </c>
      <c r="V27" s="14">
        <v>3366816</v>
      </c>
      <c r="W27" s="15">
        <v>69.296153125000004</v>
      </c>
      <c r="X27" s="15">
        <v>71.689296874999997</v>
      </c>
      <c r="Y27" s="15">
        <v>30.20244375</v>
      </c>
      <c r="Z27" s="15">
        <v>34.930668750000002</v>
      </c>
      <c r="AA27" s="15">
        <v>34.361665625000001</v>
      </c>
      <c r="AB27" s="16">
        <v>8562.7999999999993</v>
      </c>
      <c r="AC27" s="16">
        <v>0</v>
      </c>
      <c r="AD27" s="16">
        <v>49.613</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10.2942675</v>
      </c>
      <c r="J28" s="21">
        <f t="shared" si="1"/>
        <v>4.3870514144808775E-2</v>
      </c>
      <c r="K28" s="21">
        <f t="shared" si="2"/>
        <v>1.3064158136671132E-2</v>
      </c>
      <c r="L28" s="21">
        <f t="shared" si="3"/>
        <v>1.0897718912669073E-2</v>
      </c>
      <c r="M28" s="21">
        <f t="shared" si="4"/>
        <v>3.0806356008137643E-2</v>
      </c>
      <c r="N28" s="18">
        <f t="shared" si="5"/>
        <v>3269888</v>
      </c>
      <c r="O28" s="21">
        <v>16</v>
      </c>
      <c r="P28" s="22">
        <v>25537404</v>
      </c>
      <c r="Q28" s="22">
        <v>798043.875</v>
      </c>
      <c r="R28" s="22">
        <v>21046.25</v>
      </c>
      <c r="S28" s="23">
        <v>10980552</v>
      </c>
      <c r="T28" s="23">
        <v>2727640</v>
      </c>
      <c r="U28" s="23">
        <v>542248</v>
      </c>
      <c r="V28" s="23">
        <v>7710664</v>
      </c>
      <c r="W28" s="24">
        <v>70.432884375</v>
      </c>
      <c r="X28" s="24">
        <v>72.951309374999994</v>
      </c>
      <c r="Y28" s="24">
        <v>32.697575000000001</v>
      </c>
      <c r="Z28" s="24">
        <v>36.426771875</v>
      </c>
      <c r="AA28" s="24">
        <v>35.862790625000002</v>
      </c>
      <c r="AB28" s="25">
        <v>9207.48</v>
      </c>
      <c r="AC28" s="25">
        <v>0</v>
      </c>
      <c r="AD28" s="25">
        <v>51.424999999999997</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23.849924999999999</v>
      </c>
      <c r="J29" s="30">
        <f t="shared" si="1"/>
        <v>0.10163991484242356</v>
      </c>
      <c r="K29" s="30">
        <f t="shared" si="2"/>
        <v>2.1617407603333579E-2</v>
      </c>
      <c r="L29" s="30">
        <f t="shared" si="3"/>
        <v>1.7254836143436775E-2</v>
      </c>
      <c r="M29" s="30">
        <f t="shared" si="4"/>
        <v>8.0022507239089977E-2</v>
      </c>
      <c r="N29" s="27">
        <f t="shared" si="5"/>
        <v>5410720</v>
      </c>
      <c r="O29" s="30">
        <v>16</v>
      </c>
      <c r="P29" s="31">
        <v>24583774</v>
      </c>
      <c r="Q29" s="31">
        <v>768242.9375</v>
      </c>
      <c r="R29" s="31">
        <v>9806.6875</v>
      </c>
      <c r="S29" s="32">
        <v>25439920</v>
      </c>
      <c r="T29" s="32">
        <v>4318792</v>
      </c>
      <c r="U29" s="32">
        <v>1091928</v>
      </c>
      <c r="V29" s="32">
        <v>20029200</v>
      </c>
      <c r="W29" s="33">
        <v>71.135999999999996</v>
      </c>
      <c r="X29" s="33">
        <v>74.866600000000005</v>
      </c>
      <c r="Y29" s="33">
        <v>35.733812499999999</v>
      </c>
      <c r="Z29" s="33">
        <v>38.377409374999999</v>
      </c>
      <c r="AA29" s="33">
        <v>37.76160625</v>
      </c>
      <c r="AB29" s="34">
        <v>10096.1</v>
      </c>
      <c r="AC29" s="34">
        <v>0</v>
      </c>
      <c r="AD29" s="34">
        <v>51.825000000000003</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3.65442</v>
      </c>
      <c r="J30" s="21">
        <f t="shared" si="1"/>
        <v>1.0383095299454038E-2</v>
      </c>
      <c r="K30" s="21">
        <f t="shared" si="2"/>
        <v>8.2362449740930443E-3</v>
      </c>
      <c r="L30" s="21">
        <f t="shared" si="3"/>
        <v>5.1776539713828959E-3</v>
      </c>
      <c r="M30" s="21">
        <f t="shared" si="4"/>
        <v>2.146850325360993E-3</v>
      </c>
      <c r="N30" s="18">
        <f t="shared" si="5"/>
        <v>3092072</v>
      </c>
      <c r="O30" s="21">
        <v>16</v>
      </c>
      <c r="P30" s="22">
        <v>86257126</v>
      </c>
      <c r="Q30" s="22">
        <v>2695535.1875</v>
      </c>
      <c r="R30" s="22">
        <v>32930.59375</v>
      </c>
      <c r="S30" s="23">
        <v>3898048</v>
      </c>
      <c r="T30" s="23">
        <v>1943808</v>
      </c>
      <c r="U30" s="23">
        <v>1148264</v>
      </c>
      <c r="V30" s="23">
        <v>805976</v>
      </c>
      <c r="W30" s="24">
        <v>73.633009375</v>
      </c>
      <c r="X30" s="24">
        <v>75.669715624999995</v>
      </c>
      <c r="Y30" s="24">
        <v>33.194768750000001</v>
      </c>
      <c r="Z30" s="24">
        <v>41.822787499999997</v>
      </c>
      <c r="AA30" s="24">
        <v>43.457965625</v>
      </c>
      <c r="AB30" s="25">
        <v>24710.7</v>
      </c>
      <c r="AC30" s="25">
        <v>0</v>
      </c>
      <c r="AD30" s="25">
        <v>165.10300000000001</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4.8781800000000004</v>
      </c>
      <c r="J31" s="12">
        <f t="shared" si="1"/>
        <v>1.3860094851683906E-2</v>
      </c>
      <c r="K31" s="12">
        <f t="shared" si="2"/>
        <v>1.0154233174583053E-2</v>
      </c>
      <c r="L31" s="12">
        <f t="shared" si="3"/>
        <v>7.095642171872904E-3</v>
      </c>
      <c r="M31" s="12">
        <f t="shared" si="4"/>
        <v>3.7058616771008519E-3</v>
      </c>
      <c r="N31" s="54">
        <f t="shared" si="5"/>
        <v>3812128</v>
      </c>
      <c r="O31" s="12">
        <v>16</v>
      </c>
      <c r="P31" s="13">
        <v>90463055</v>
      </c>
      <c r="Q31" s="13">
        <v>2826970.46875</v>
      </c>
      <c r="R31" s="13">
        <v>39929.25</v>
      </c>
      <c r="S31" s="14">
        <v>5203392</v>
      </c>
      <c r="T31" s="14">
        <v>2663864</v>
      </c>
      <c r="U31" s="14">
        <v>1148264</v>
      </c>
      <c r="V31" s="14">
        <v>1391264</v>
      </c>
      <c r="W31" s="15">
        <v>75.236975000000001</v>
      </c>
      <c r="X31" s="15">
        <v>77.560318749999993</v>
      </c>
      <c r="Y31" s="15">
        <v>35.162234374999997</v>
      </c>
      <c r="Z31" s="15">
        <v>42.443596874999997</v>
      </c>
      <c r="AA31" s="15">
        <v>44.625512499999999</v>
      </c>
      <c r="AB31" s="16">
        <v>25792.7</v>
      </c>
      <c r="AC31" s="16">
        <v>0</v>
      </c>
      <c r="AD31" s="16">
        <v>166.70500000000001</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7.0718025000000004</v>
      </c>
      <c r="J32" s="21">
        <f t="shared" si="1"/>
        <v>2.0092709457702539E-2</v>
      </c>
      <c r="K32" s="21">
        <f t="shared" si="2"/>
        <v>1.3031439223205508E-2</v>
      </c>
      <c r="L32" s="21">
        <f t="shared" si="3"/>
        <v>9.972848220495361E-3</v>
      </c>
      <c r="M32" s="21">
        <f t="shared" si="4"/>
        <v>7.0612702344970291E-3</v>
      </c>
      <c r="N32" s="18">
        <f t="shared" si="5"/>
        <v>4892296</v>
      </c>
      <c r="O32" s="21">
        <v>16</v>
      </c>
      <c r="P32" s="22">
        <v>91578144</v>
      </c>
      <c r="Q32" s="22">
        <v>2861817</v>
      </c>
      <c r="R32" s="22">
        <v>42558.21875</v>
      </c>
      <c r="S32" s="23">
        <v>7543256</v>
      </c>
      <c r="T32" s="23">
        <v>3744032</v>
      </c>
      <c r="U32" s="23">
        <v>1148264</v>
      </c>
      <c r="V32" s="23">
        <v>2650960</v>
      </c>
      <c r="W32" s="24">
        <v>76.450556250000005</v>
      </c>
      <c r="X32" s="24">
        <v>79.112556249999997</v>
      </c>
      <c r="Y32" s="24">
        <v>36.9545125</v>
      </c>
      <c r="Z32" s="24">
        <v>43.078393749999996</v>
      </c>
      <c r="AA32" s="24">
        <v>46.069584374999998</v>
      </c>
      <c r="AB32" s="25">
        <v>27017</v>
      </c>
      <c r="AC32" s="25">
        <v>0</v>
      </c>
      <c r="AD32" s="25">
        <v>171.58600000000001</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11.8329825</v>
      </c>
      <c r="J33" s="12">
        <f t="shared" si="1"/>
        <v>3.3620378876612948E-2</v>
      </c>
      <c r="K33" s="12">
        <f t="shared" si="2"/>
        <v>1.8229400979039249E-2</v>
      </c>
      <c r="L33" s="12">
        <f t="shared" si="3"/>
        <v>1.5170809976329098E-2</v>
      </c>
      <c r="M33" s="12">
        <f t="shared" si="4"/>
        <v>1.53909778975737E-2</v>
      </c>
      <c r="N33" s="54">
        <f t="shared" si="5"/>
        <v>6843728</v>
      </c>
      <c r="O33" s="12">
        <v>16</v>
      </c>
      <c r="P33" s="13">
        <v>93892836</v>
      </c>
      <c r="Q33" s="13">
        <v>2934151.125</v>
      </c>
      <c r="R33" s="13">
        <v>47454.25</v>
      </c>
      <c r="S33" s="14">
        <v>12621848</v>
      </c>
      <c r="T33" s="14">
        <v>5695464</v>
      </c>
      <c r="U33" s="14">
        <v>1148264</v>
      </c>
      <c r="V33" s="14">
        <v>5778120</v>
      </c>
      <c r="W33" s="15">
        <v>77.563806249999999</v>
      </c>
      <c r="X33" s="15">
        <v>80.260215625000001</v>
      </c>
      <c r="Y33" s="15">
        <v>38.703218749999998</v>
      </c>
      <c r="Z33" s="15">
        <v>43.68636875</v>
      </c>
      <c r="AA33" s="15">
        <v>47.341265624999998</v>
      </c>
      <c r="AB33" s="16">
        <v>28561.8</v>
      </c>
      <c r="AC33" s="16">
        <v>0</v>
      </c>
      <c r="AD33" s="16">
        <v>175.517</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24.410677499999998</v>
      </c>
      <c r="J34" s="40">
        <f t="shared" si="1"/>
        <v>6.9356666942151812E-2</v>
      </c>
      <c r="K34" s="40">
        <f t="shared" si="2"/>
        <v>3.0677412258404656E-2</v>
      </c>
      <c r="L34" s="40">
        <f t="shared" si="3"/>
        <v>2.4356193488958316E-2</v>
      </c>
      <c r="M34" s="40">
        <f t="shared" si="4"/>
        <v>3.8679254683747159E-2</v>
      </c>
      <c r="N34" s="37">
        <f t="shared" si="5"/>
        <v>11516992</v>
      </c>
      <c r="O34" s="40">
        <v>16</v>
      </c>
      <c r="P34" s="41">
        <v>91994509</v>
      </c>
      <c r="Q34" s="41">
        <v>2874828.40625</v>
      </c>
      <c r="R34" s="41">
        <v>18636.9375</v>
      </c>
      <c r="S34" s="42">
        <v>26038056</v>
      </c>
      <c r="T34" s="42">
        <v>9143864</v>
      </c>
      <c r="U34" s="42">
        <v>2373128</v>
      </c>
      <c r="V34" s="42">
        <v>14521064</v>
      </c>
      <c r="W34" s="43">
        <v>78.478309374999995</v>
      </c>
      <c r="X34" s="43">
        <v>81.904306250000005</v>
      </c>
      <c r="Y34" s="43">
        <v>40.500409374999997</v>
      </c>
      <c r="Z34" s="43">
        <v>44.367156250000001</v>
      </c>
      <c r="AA34" s="43">
        <v>48.78515625</v>
      </c>
      <c r="AB34" s="44">
        <v>30810.799999999999</v>
      </c>
      <c r="AC34" s="44">
        <v>0</v>
      </c>
      <c r="AD34" s="44">
        <v>179.291</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4.3448250000000002</v>
      </c>
      <c r="J35" s="12">
        <f t="shared" si="1"/>
        <v>1.3909392287969969E-2</v>
      </c>
      <c r="K35" s="12">
        <f t="shared" si="2"/>
        <v>1.0627739960644578E-2</v>
      </c>
      <c r="L35" s="12">
        <f t="shared" si="3"/>
        <v>6.8191101222519453E-3</v>
      </c>
      <c r="M35" s="12">
        <f t="shared" si="4"/>
        <v>3.2816523273253894E-3</v>
      </c>
      <c r="N35" s="54">
        <f t="shared" si="5"/>
        <v>3541064</v>
      </c>
      <c r="O35" s="12">
        <v>16</v>
      </c>
      <c r="P35" s="13">
        <v>75171639</v>
      </c>
      <c r="Q35" s="13">
        <v>2349113.71875</v>
      </c>
      <c r="R35" s="13">
        <v>30593.28125</v>
      </c>
      <c r="S35" s="14">
        <v>4634480</v>
      </c>
      <c r="T35" s="14">
        <v>2272064</v>
      </c>
      <c r="U35" s="14">
        <v>1269000</v>
      </c>
      <c r="V35" s="14">
        <v>1093416</v>
      </c>
      <c r="W35" s="15">
        <v>73.209165624999997</v>
      </c>
      <c r="X35" s="15">
        <v>75.382359374999993</v>
      </c>
      <c r="Y35" s="15">
        <v>31.812024999999998</v>
      </c>
      <c r="Z35" s="15">
        <v>42.256781250000003</v>
      </c>
      <c r="AA35" s="15">
        <v>43.453665624999999</v>
      </c>
      <c r="AB35" s="16">
        <v>23021.1</v>
      </c>
      <c r="AC35" s="16">
        <v>0</v>
      </c>
      <c r="AD35" s="16">
        <v>143.709</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5.8538100000000002</v>
      </c>
      <c r="J36" s="21">
        <f t="shared" si="1"/>
        <v>1.8740211554951345E-2</v>
      </c>
      <c r="K36" s="21">
        <f t="shared" si="2"/>
        <v>1.316348909137734E-2</v>
      </c>
      <c r="L36" s="21">
        <f t="shared" si="3"/>
        <v>9.3548592529847079E-3</v>
      </c>
      <c r="M36" s="21">
        <f t="shared" si="4"/>
        <v>5.5767224635740048E-3</v>
      </c>
      <c r="N36" s="18">
        <f t="shared" si="5"/>
        <v>4385952</v>
      </c>
      <c r="O36" s="21">
        <v>16</v>
      </c>
      <c r="P36" s="22">
        <v>79962035</v>
      </c>
      <c r="Q36" s="22">
        <v>2498813.59375</v>
      </c>
      <c r="R36" s="22">
        <v>38421.15625</v>
      </c>
      <c r="S36" s="23">
        <v>6244064</v>
      </c>
      <c r="T36" s="23">
        <v>3116952</v>
      </c>
      <c r="U36" s="23">
        <v>1269000</v>
      </c>
      <c r="V36" s="23">
        <v>1858112</v>
      </c>
      <c r="W36" s="24">
        <v>74.936625000000006</v>
      </c>
      <c r="X36" s="24">
        <v>77.345193750000007</v>
      </c>
      <c r="Y36" s="24">
        <v>34.068940625000003</v>
      </c>
      <c r="Z36" s="24">
        <v>42.997875000000001</v>
      </c>
      <c r="AA36" s="24">
        <v>44.790540624999998</v>
      </c>
      <c r="AB36" s="25">
        <v>24391.9</v>
      </c>
      <c r="AC36" s="25">
        <v>0</v>
      </c>
      <c r="AD36" s="25">
        <v>151.453</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8.4145350000000008</v>
      </c>
      <c r="J37" s="12">
        <f t="shared" si="1"/>
        <v>2.6938039676132727E-2</v>
      </c>
      <c r="K37" s="12">
        <f t="shared" si="2"/>
        <v>1.6845320668609678E-2</v>
      </c>
      <c r="L37" s="12">
        <f t="shared" si="3"/>
        <v>1.3036690830217048E-2</v>
      </c>
      <c r="M37" s="12">
        <f t="shared" si="4"/>
        <v>1.0092719007523046E-2</v>
      </c>
      <c r="N37" s="54">
        <f t="shared" si="5"/>
        <v>5612704</v>
      </c>
      <c r="O37" s="12">
        <v>16</v>
      </c>
      <c r="P37" s="13">
        <v>81699300</v>
      </c>
      <c r="Q37" s="13">
        <v>2553103.125</v>
      </c>
      <c r="R37" s="13">
        <v>41943.78125</v>
      </c>
      <c r="S37" s="14">
        <v>8975504</v>
      </c>
      <c r="T37" s="14">
        <v>4343704</v>
      </c>
      <c r="U37" s="14">
        <v>1269000</v>
      </c>
      <c r="V37" s="14">
        <v>3362800</v>
      </c>
      <c r="W37" s="15">
        <v>76.252565625000003</v>
      </c>
      <c r="X37" s="15">
        <v>78.956403124999994</v>
      </c>
      <c r="Y37" s="15">
        <v>36.14614375</v>
      </c>
      <c r="Z37" s="15">
        <v>43.582515624999999</v>
      </c>
      <c r="AA37" s="15">
        <v>46.119703125000001</v>
      </c>
      <c r="AB37" s="16">
        <v>25432.799999999999</v>
      </c>
      <c r="AC37" s="16">
        <v>0</v>
      </c>
      <c r="AD37" s="16">
        <v>151.95599999999999</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13.766512499999999</v>
      </c>
      <c r="J38" s="21">
        <f t="shared" si="1"/>
        <v>4.4071699734682564E-2</v>
      </c>
      <c r="K38" s="21">
        <f t="shared" si="2"/>
        <v>2.3096419720180117E-2</v>
      </c>
      <c r="L38" s="21">
        <f t="shared" si="3"/>
        <v>1.9287789881787483E-2</v>
      </c>
      <c r="M38" s="21">
        <f t="shared" si="4"/>
        <v>2.0975280014502447E-2</v>
      </c>
      <c r="N38" s="18">
        <f t="shared" si="5"/>
        <v>7695512</v>
      </c>
      <c r="O38" s="21">
        <v>16</v>
      </c>
      <c r="P38" s="22">
        <v>83829905</v>
      </c>
      <c r="Q38" s="22">
        <v>2619684.53125</v>
      </c>
      <c r="R38" s="22">
        <v>46889.03125</v>
      </c>
      <c r="S38" s="23">
        <v>14684280</v>
      </c>
      <c r="T38" s="23">
        <v>6426512</v>
      </c>
      <c r="U38" s="23">
        <v>1269000</v>
      </c>
      <c r="V38" s="23">
        <v>6988768</v>
      </c>
      <c r="W38" s="24">
        <v>77.428778124999994</v>
      </c>
      <c r="X38" s="24">
        <v>80.151403125000002</v>
      </c>
      <c r="Y38" s="24">
        <v>38.094128124999997</v>
      </c>
      <c r="Z38" s="24">
        <v>44.192028125</v>
      </c>
      <c r="AA38" s="24">
        <v>47.263537499999998</v>
      </c>
      <c r="AB38" s="25">
        <v>26722</v>
      </c>
      <c r="AC38" s="25">
        <v>0</v>
      </c>
      <c r="AD38" s="25">
        <v>156.90700000000001</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27.58728</v>
      </c>
      <c r="J39" s="30">
        <f t="shared" si="1"/>
        <v>8.8317089797188178E-2</v>
      </c>
      <c r="K39" s="30">
        <f t="shared" si="2"/>
        <v>3.7550004886240981E-2</v>
      </c>
      <c r="L39" s="30">
        <f t="shared" si="3"/>
        <v>2.9801168903612431E-2</v>
      </c>
      <c r="M39" s="30">
        <f t="shared" si="4"/>
        <v>5.0767084910947197E-2</v>
      </c>
      <c r="N39" s="27">
        <f t="shared" si="5"/>
        <v>12511312</v>
      </c>
      <c r="O39" s="30">
        <v>16</v>
      </c>
      <c r="P39" s="31">
        <v>81969625</v>
      </c>
      <c r="Q39" s="31">
        <v>2561550.78125</v>
      </c>
      <c r="R39" s="31">
        <v>18543.34375</v>
      </c>
      <c r="S39" s="32">
        <v>29426432</v>
      </c>
      <c r="T39" s="32">
        <v>9929472</v>
      </c>
      <c r="U39" s="32">
        <v>2581840</v>
      </c>
      <c r="V39" s="32">
        <v>16915120</v>
      </c>
      <c r="W39" s="33">
        <v>78.304287500000001</v>
      </c>
      <c r="X39" s="33">
        <v>81.862468750000005</v>
      </c>
      <c r="Y39" s="33">
        <v>40.158625000000001</v>
      </c>
      <c r="Z39" s="33">
        <v>45.129540624999997</v>
      </c>
      <c r="AA39" s="33">
        <v>48.632187500000001</v>
      </c>
      <c r="AB39" s="34">
        <v>28969.599999999999</v>
      </c>
      <c r="AC39" s="34">
        <v>0</v>
      </c>
      <c r="AD39" s="34">
        <v>158.98099999999999</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1.758315744465936E-2</v>
      </c>
      <c r="K40" s="48">
        <f>AVERAGE(K5:K24)</f>
        <v>9.5047237884959487E-3</v>
      </c>
      <c r="L40" s="48">
        <f>AVERAGE(L5:L24)</f>
        <v>6.9537995636637859E-3</v>
      </c>
      <c r="M40" s="48">
        <f>AVERAGE(M5:M24)</f>
        <v>8.0784336561634147E-3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3.8096147043246827E-2</v>
      </c>
      <c r="K41" s="48">
        <f>AVERAGE(K25:K29)</f>
        <v>1.136065502208913E-2</v>
      </c>
      <c r="L41" s="48">
        <f>AVERAGE(L25:L29)</f>
        <v>8.7549893509081232E-3</v>
      </c>
      <c r="M41" s="48">
        <f>AVERAGE(M25:M29)</f>
        <v>2.6735492021157693E-2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3.3928937847853002E-2</v>
      </c>
      <c r="K42" s="48">
        <f>AVERAGE(K30:K39)</f>
        <v>1.8161170493637819E-2</v>
      </c>
      <c r="L42" s="48">
        <f>AVERAGE(L30:L39)</f>
        <v>1.4007276681989219E-2</v>
      </c>
      <c r="M42" s="48">
        <f>AVERAGE(M30:M39)</f>
        <v>1.576776735421518E-2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2.5183807502512898E-2</v>
      </c>
      <c r="K43" s="48">
        <f>AVERAGE(K5:K39)</f>
        <v>1.2243127309049796E-2</v>
      </c>
      <c r="L43" s="48">
        <f>AVERAGE(L5:L39)</f>
        <v>9.2263915670773855E-3</v>
      </c>
      <c r="M43" s="48">
        <f>AVERAGE(M5:M39)</f>
        <v>1.2940680193463103E-2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474685.92</v>
      </c>
      <c r="AC44" s="49">
        <f>SUM(AC5:AC24,AC25:AC29,AC30:AC39)</f>
        <v>0</v>
      </c>
      <c r="AD44" s="49">
        <f>SUM(AD5:AD24,AD25:AD29,AD30:AD39)</f>
        <v>2890.5650000000005</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11588.969200017615</v>
      </c>
      <c r="AC46" s="49" t="e">
        <f>GEOMEAN(AC5:AC24,AC25:AC29,AC30:AC39)</f>
        <v>#NUM!</v>
      </c>
      <c r="AD46" s="49">
        <f>GEOMEAN(AD5:AD24,AD25:AD29,AD30:AD39)</f>
        <v>70.457312264190008</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2020-08-05T14:19:43Z</dcterms:modified>
</cp:coreProperties>
</file>