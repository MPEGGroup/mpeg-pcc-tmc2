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7Meeting\mpeg-pcc-tmc2_integration\test\"/>
    </mc:Choice>
  </mc:AlternateContent>
  <xr:revisionPtr revIDLastSave="0" documentId="13_ncr:1_{F07BEC06-0538-4584-B23F-9ACEE6F22E6F}" xr6:coauthVersionLast="36" xr6:coauthVersionMax="36" xr10:uidLastSave="{00000000-0000-0000-0000-000000000000}"/>
  <bookViews>
    <workbookView xWindow="240" yWindow="15" windowWidth="16095" windowHeight="9660" firstSheet="1" activeTab="5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F29" i="7" l="1"/>
  <c r="CE29" i="7"/>
  <c r="CD29" i="7"/>
  <c r="CC29" i="7"/>
  <c r="CB29" i="7"/>
  <c r="CA29" i="7"/>
  <c r="BZ29" i="7"/>
  <c r="BY29" i="7"/>
  <c r="BX29" i="7"/>
  <c r="BW29" i="7"/>
  <c r="BV29" i="7"/>
  <c r="BU29" i="7"/>
  <c r="CF28" i="7"/>
  <c r="CE28" i="7"/>
  <c r="CD28" i="7"/>
  <c r="CC28" i="7"/>
  <c r="CB28" i="7"/>
  <c r="CA28" i="7"/>
  <c r="BZ28" i="7"/>
  <c r="BY28" i="7"/>
  <c r="BX28" i="7"/>
  <c r="BW28" i="7"/>
  <c r="BV28" i="7"/>
  <c r="BU28" i="7"/>
  <c r="CF27" i="7"/>
  <c r="CE27" i="7"/>
  <c r="CD27" i="7"/>
  <c r="CC27" i="7"/>
  <c r="CB27" i="7"/>
  <c r="CA27" i="7"/>
  <c r="BZ27" i="7"/>
  <c r="BY27" i="7"/>
  <c r="BX27" i="7"/>
  <c r="BW27" i="7"/>
  <c r="BV27" i="7"/>
  <c r="BU27" i="7"/>
  <c r="CF26" i="7"/>
  <c r="CE26" i="7"/>
  <c r="CD26" i="7"/>
  <c r="CC26" i="7"/>
  <c r="CB26" i="7"/>
  <c r="CA26" i="7"/>
  <c r="BZ26" i="7"/>
  <c r="BY26" i="7"/>
  <c r="BX26" i="7"/>
  <c r="BW26" i="7"/>
  <c r="BV26" i="7"/>
  <c r="BU26" i="7"/>
  <c r="CF25" i="7"/>
  <c r="CE25" i="7"/>
  <c r="CD25" i="7"/>
  <c r="CC25" i="7"/>
  <c r="CB25" i="7"/>
  <c r="CA25" i="7"/>
  <c r="BZ25" i="7"/>
  <c r="BY25" i="7"/>
  <c r="BX25" i="7"/>
  <c r="BW25" i="7"/>
  <c r="BV25" i="7"/>
  <c r="BU25" i="7"/>
  <c r="CF24" i="7"/>
  <c r="CE24" i="7"/>
  <c r="CD24" i="7"/>
  <c r="CC24" i="7"/>
  <c r="CB24" i="7"/>
  <c r="CA24" i="7"/>
  <c r="BZ24" i="7"/>
  <c r="BY24" i="7"/>
  <c r="BX24" i="7"/>
  <c r="BW24" i="7"/>
  <c r="BV24" i="7"/>
  <c r="BU24" i="7"/>
  <c r="CF23" i="7"/>
  <c r="CE23" i="7"/>
  <c r="CD23" i="7"/>
  <c r="CC23" i="7"/>
  <c r="CB23" i="7"/>
  <c r="CA23" i="7"/>
  <c r="BZ23" i="7"/>
  <c r="BY23" i="7"/>
  <c r="BX23" i="7"/>
  <c r="BW23" i="7"/>
  <c r="BV23" i="7"/>
  <c r="BU23" i="7"/>
  <c r="CF22" i="7"/>
  <c r="CE22" i="7"/>
  <c r="CD22" i="7"/>
  <c r="CC22" i="7"/>
  <c r="CB22" i="7"/>
  <c r="CA22" i="7"/>
  <c r="BZ22" i="7"/>
  <c r="BY22" i="7"/>
  <c r="BX22" i="7"/>
  <c r="BW22" i="7"/>
  <c r="BV22" i="7"/>
  <c r="BU22" i="7"/>
  <c r="CF21" i="7"/>
  <c r="CE21" i="7"/>
  <c r="CD21" i="7"/>
  <c r="CC21" i="7"/>
  <c r="CB21" i="7"/>
  <c r="CA21" i="7"/>
  <c r="BZ21" i="7"/>
  <c r="BY21" i="7"/>
  <c r="BX21" i="7"/>
  <c r="BW21" i="7"/>
  <c r="BV21" i="7"/>
  <c r="BU21" i="7"/>
  <c r="CF20" i="7"/>
  <c r="CE20" i="7"/>
  <c r="CD20" i="7"/>
  <c r="CC20" i="7"/>
  <c r="CB20" i="7"/>
  <c r="CA20" i="7"/>
  <c r="BZ20" i="7"/>
  <c r="BY20" i="7"/>
  <c r="BX20" i="7"/>
  <c r="BW20" i="7"/>
  <c r="BV20" i="7"/>
  <c r="BU20" i="7"/>
  <c r="CF19" i="7"/>
  <c r="CE19" i="7"/>
  <c r="CD19" i="7"/>
  <c r="CC19" i="7"/>
  <c r="CB19" i="7"/>
  <c r="CA19" i="7"/>
  <c r="BZ19" i="7"/>
  <c r="BY19" i="7"/>
  <c r="BX19" i="7"/>
  <c r="BW19" i="7"/>
  <c r="BV19" i="7"/>
  <c r="BU19" i="7"/>
  <c r="CF18" i="7"/>
  <c r="CE18" i="7"/>
  <c r="CD18" i="7"/>
  <c r="CC18" i="7"/>
  <c r="CB18" i="7"/>
  <c r="CA18" i="7"/>
  <c r="BZ18" i="7"/>
  <c r="BY18" i="7"/>
  <c r="BX18" i="7"/>
  <c r="BW18" i="7"/>
  <c r="BV18" i="7"/>
  <c r="BU18" i="7"/>
  <c r="CF17" i="7"/>
  <c r="CE17" i="7"/>
  <c r="CD17" i="7"/>
  <c r="CC17" i="7"/>
  <c r="CB17" i="7"/>
  <c r="CA17" i="7"/>
  <c r="BZ17" i="7"/>
  <c r="BY17" i="7"/>
  <c r="BX17" i="7"/>
  <c r="BW17" i="7"/>
  <c r="BV17" i="7"/>
  <c r="BU17" i="7"/>
  <c r="CF16" i="7"/>
  <c r="CE16" i="7"/>
  <c r="CD16" i="7"/>
  <c r="CC16" i="7"/>
  <c r="CB16" i="7"/>
  <c r="CA16" i="7"/>
  <c r="BZ16" i="7"/>
  <c r="BY16" i="7"/>
  <c r="BX16" i="7"/>
  <c r="BW16" i="7"/>
  <c r="BV16" i="7"/>
  <c r="BU16" i="7"/>
  <c r="CF15" i="7"/>
  <c r="CE15" i="7"/>
  <c r="CD15" i="7"/>
  <c r="CC15" i="7"/>
  <c r="CB15" i="7"/>
  <c r="CA15" i="7"/>
  <c r="BZ15" i="7"/>
  <c r="BY15" i="7"/>
  <c r="BX15" i="7"/>
  <c r="BW15" i="7"/>
  <c r="BV15" i="7"/>
  <c r="BU15" i="7"/>
  <c r="CF14" i="7"/>
  <c r="CE14" i="7"/>
  <c r="CD14" i="7"/>
  <c r="CC14" i="7"/>
  <c r="CB14" i="7"/>
  <c r="CA14" i="7"/>
  <c r="BZ14" i="7"/>
  <c r="BY14" i="7"/>
  <c r="BX14" i="7"/>
  <c r="BW14" i="7"/>
  <c r="BV14" i="7"/>
  <c r="BU14" i="7"/>
  <c r="CF13" i="7"/>
  <c r="CE13" i="7"/>
  <c r="CD13" i="7"/>
  <c r="CC13" i="7"/>
  <c r="CB13" i="7"/>
  <c r="CA13" i="7"/>
  <c r="BZ13" i="7"/>
  <c r="BY13" i="7"/>
  <c r="BX13" i="7"/>
  <c r="BW13" i="7"/>
  <c r="BV13" i="7"/>
  <c r="BU13" i="7"/>
  <c r="CF12" i="7"/>
  <c r="CE12" i="7"/>
  <c r="CD12" i="7"/>
  <c r="CC12" i="7"/>
  <c r="CB12" i="7"/>
  <c r="CA12" i="7"/>
  <c r="BZ12" i="7"/>
  <c r="BY12" i="7"/>
  <c r="BX12" i="7"/>
  <c r="BW12" i="7"/>
  <c r="BV12" i="7"/>
  <c r="BU12" i="7"/>
  <c r="CF11" i="7"/>
  <c r="CE11" i="7"/>
  <c r="CD11" i="7"/>
  <c r="CC11" i="7"/>
  <c r="CB11" i="7"/>
  <c r="CA11" i="7"/>
  <c r="BZ11" i="7"/>
  <c r="BY11" i="7"/>
  <c r="BX11" i="7"/>
  <c r="BW11" i="7"/>
  <c r="BV11" i="7"/>
  <c r="BU11" i="7"/>
  <c r="CF10" i="7"/>
  <c r="CE10" i="7"/>
  <c r="CD10" i="7"/>
  <c r="CC10" i="7"/>
  <c r="CB10" i="7"/>
  <c r="CA10" i="7"/>
  <c r="BZ10" i="7"/>
  <c r="BY10" i="7"/>
  <c r="BX10" i="7"/>
  <c r="BW10" i="7"/>
  <c r="BV10" i="7"/>
  <c r="BU10" i="7"/>
  <c r="CF9" i="7"/>
  <c r="CE9" i="7"/>
  <c r="CD9" i="7"/>
  <c r="CC9" i="7"/>
  <c r="CB9" i="7"/>
  <c r="CA9" i="7"/>
  <c r="BZ9" i="7"/>
  <c r="BY9" i="7"/>
  <c r="BX9" i="7"/>
  <c r="BW9" i="7"/>
  <c r="BV9" i="7"/>
  <c r="BU9" i="7"/>
  <c r="CF8" i="7"/>
  <c r="CE8" i="7"/>
  <c r="CD8" i="7"/>
  <c r="CC8" i="7"/>
  <c r="CB8" i="7"/>
  <c r="CA8" i="7"/>
  <c r="BZ8" i="7"/>
  <c r="BY8" i="7"/>
  <c r="BX8" i="7"/>
  <c r="BW8" i="7"/>
  <c r="BV8" i="7"/>
  <c r="BU8" i="7"/>
  <c r="CF7" i="7"/>
  <c r="CE7" i="7"/>
  <c r="CD7" i="7"/>
  <c r="CC7" i="7"/>
  <c r="CB7" i="7"/>
  <c r="CA7" i="7"/>
  <c r="BZ7" i="7"/>
  <c r="BY7" i="7"/>
  <c r="BX7" i="7"/>
  <c r="BW7" i="7"/>
  <c r="BV7" i="7"/>
  <c r="BU7" i="7"/>
  <c r="CF6" i="7"/>
  <c r="CE6" i="7"/>
  <c r="CD6" i="7"/>
  <c r="CC6" i="7"/>
  <c r="CB6" i="7"/>
  <c r="CA6" i="7"/>
  <c r="BZ6" i="7"/>
  <c r="BY6" i="7"/>
  <c r="BX6" i="7"/>
  <c r="BW6" i="7"/>
  <c r="BV6" i="7"/>
  <c r="BU6" i="7"/>
  <c r="CF5" i="7"/>
  <c r="CE5" i="7"/>
  <c r="CD5" i="7"/>
  <c r="CC5" i="7"/>
  <c r="CB5" i="7"/>
  <c r="CA5" i="7"/>
  <c r="BZ5" i="7"/>
  <c r="BY5" i="7"/>
  <c r="BX5" i="7"/>
  <c r="BW5" i="7"/>
  <c r="BV5" i="7"/>
  <c r="BU5" i="7"/>
  <c r="BU6" i="3"/>
  <c r="BV6" i="3"/>
  <c r="BW6" i="3"/>
  <c r="BX6" i="3"/>
  <c r="BY6" i="3"/>
  <c r="BZ6" i="3"/>
  <c r="CA6" i="3"/>
  <c r="CB6" i="3"/>
  <c r="CC6" i="3"/>
  <c r="CD6" i="3"/>
  <c r="CE6" i="3"/>
  <c r="CF6" i="3"/>
  <c r="BU7" i="3"/>
  <c r="BV7" i="3"/>
  <c r="BW7" i="3"/>
  <c r="BX7" i="3"/>
  <c r="BY7" i="3"/>
  <c r="BZ7" i="3"/>
  <c r="CA7" i="3"/>
  <c r="CB7" i="3"/>
  <c r="CC7" i="3"/>
  <c r="CD7" i="3"/>
  <c r="CE7" i="3"/>
  <c r="CF7" i="3"/>
  <c r="BU8" i="3"/>
  <c r="BV8" i="3"/>
  <c r="BW8" i="3"/>
  <c r="BX8" i="3"/>
  <c r="BY8" i="3"/>
  <c r="BZ8" i="3"/>
  <c r="CA8" i="3"/>
  <c r="CB8" i="3"/>
  <c r="CC8" i="3"/>
  <c r="CD8" i="3"/>
  <c r="CE8" i="3"/>
  <c r="CF8" i="3"/>
  <c r="BU9" i="3"/>
  <c r="BV9" i="3"/>
  <c r="BW9" i="3"/>
  <c r="BX9" i="3"/>
  <c r="BY9" i="3"/>
  <c r="BZ9" i="3"/>
  <c r="CA9" i="3"/>
  <c r="CB9" i="3"/>
  <c r="CC9" i="3"/>
  <c r="CD9" i="3"/>
  <c r="CE9" i="3"/>
  <c r="CF9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BV5" i="3"/>
  <c r="BW5" i="3"/>
  <c r="BX5" i="3"/>
  <c r="BY5" i="3"/>
  <c r="BZ5" i="3"/>
  <c r="CA5" i="3"/>
  <c r="CB5" i="3"/>
  <c r="CC5" i="3"/>
  <c r="CD5" i="3"/>
  <c r="CE5" i="3"/>
  <c r="CF5" i="3"/>
  <c r="BU5" i="3"/>
  <c r="H1" i="5" l="1"/>
  <c r="AE1" i="5"/>
  <c r="H1" i="6"/>
  <c r="AE1" i="6"/>
  <c r="I1" i="7"/>
  <c r="AG1" i="7"/>
  <c r="AG1" i="3"/>
  <c r="I1" i="3"/>
  <c r="BH6" i="6" l="1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BF6" i="6" s="1" a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R15" i="7"/>
  <c r="BL15" i="7"/>
  <c r="BP10" i="7"/>
  <c r="BS10" i="7"/>
  <c r="BK5" i="7"/>
  <c r="BL10" i="7"/>
  <c r="BO25" i="7"/>
  <c r="BP5" i="7"/>
  <c r="BK15" i="7"/>
  <c r="BM25" i="7"/>
  <c r="BR20" i="7"/>
  <c r="BK20" i="7"/>
  <c r="BR25" i="7"/>
  <c r="BO10" i="7"/>
  <c r="BM15" i="7"/>
  <c r="BO20" i="7"/>
  <c r="BM20" i="7"/>
  <c r="BQ25" i="7"/>
  <c r="BP15" i="7"/>
  <c r="BR10" i="7"/>
  <c r="BL5" i="7"/>
  <c r="BK10" i="7"/>
  <c r="BS15" i="7"/>
  <c r="BL20" i="7"/>
  <c r="BJ25" i="7"/>
  <c r="BP20" i="7"/>
  <c r="BQ20" i="7"/>
  <c r="BQ10" i="7"/>
  <c r="BM5" i="7"/>
  <c r="BR5" i="7"/>
  <c r="BS20" i="7"/>
  <c r="BL25" i="7"/>
  <c r="BP25" i="7"/>
  <c r="BS25" i="7"/>
  <c r="BQ5" i="7"/>
  <c r="BQ15" i="7"/>
  <c r="BK25" i="7"/>
  <c r="BM10" i="7"/>
  <c r="BO5" i="7"/>
  <c r="BO15" i="7"/>
  <c r="BS5" i="7"/>
  <c r="BR10" i="3"/>
  <c r="BR15" i="3"/>
  <c r="BK20" i="3"/>
  <c r="BO10" i="3"/>
  <c r="BQ10" i="3"/>
  <c r="BS10" i="3"/>
  <c r="BL5" i="3"/>
  <c r="BQ15" i="3"/>
  <c r="BP20" i="3"/>
  <c r="BQ20" i="3"/>
  <c r="BO20" i="3"/>
  <c r="BO5" i="3"/>
  <c r="BM25" i="3"/>
  <c r="BM10" i="3"/>
  <c r="BK15" i="3"/>
  <c r="BL15" i="3"/>
  <c r="BL10" i="3"/>
  <c r="BM20" i="3"/>
  <c r="BP15" i="3"/>
  <c r="BO15" i="3"/>
  <c r="BJ10" i="3"/>
  <c r="BK25" i="3"/>
  <c r="BJ15" i="3"/>
  <c r="BR5" i="3"/>
  <c r="BL25" i="3"/>
  <c r="BR25" i="3"/>
  <c r="BS5" i="3"/>
  <c r="BP10" i="3"/>
  <c r="BM5" i="3"/>
  <c r="BR20" i="3"/>
  <c r="BQ25" i="3"/>
  <c r="BP5" i="3"/>
  <c r="BK5" i="3"/>
  <c r="BQ5" i="3"/>
  <c r="BP25" i="3"/>
  <c r="BS25" i="3"/>
  <c r="BS20" i="3"/>
  <c r="BL20" i="3"/>
  <c r="BS15" i="3"/>
  <c r="BM15" i="3"/>
  <c r="BK10" i="3"/>
  <c r="BO25" i="3"/>
  <c r="BE9" i="6" l="1"/>
  <c r="BC34" i="3"/>
  <c r="BG5" i="3" a="1"/>
  <c r="BF5" i="5" a="1"/>
  <c r="BE8" i="6"/>
  <c r="BF8" i="6" a="1"/>
  <c r="BF8" i="6" s="1"/>
  <c r="BG5" i="7" a="1"/>
  <c r="BG10" i="3" a="1"/>
  <c r="BF7" i="5" a="1"/>
  <c r="BF9" i="6" a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5" i="7"/>
  <c r="BJ5" i="7"/>
  <c r="BI10" i="7"/>
  <c r="BI20" i="7"/>
  <c r="BI15" i="7"/>
  <c r="BJ10" i="7"/>
  <c r="BI25" i="7"/>
  <c r="BJ20" i="7"/>
  <c r="BJ15" i="7"/>
  <c r="BJ20" i="3"/>
  <c r="BI25" i="3"/>
  <c r="BI20" i="3"/>
  <c r="BI10" i="3"/>
  <c r="BJ25" i="3"/>
  <c r="BI15" i="3"/>
  <c r="BI5" i="3"/>
  <c r="BJ5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<sst xmlns="http://schemas.openxmlformats.org/spreadsheetml/2006/main" count="1381" uniqueCount="551">
  <si>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</si>
  <si>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</si>
  <si>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</si>
  <si>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</si>
  <si>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</si>
  <si>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</si>
  <si>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</si>
  <si>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</si>
  <si>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</si>
  <si>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</si>
  <si>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</si>
  <si>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</si>
  <si>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</si>
  <si>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</si>
  <si>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</si>
  <si>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</si>
  <si>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</si>
  <si>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</si>
  <si>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</si>
  <si>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</si>
  <si>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</si>
  <si>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</si>
  <si>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</si>
  <si>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</si>
  <si>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</si>
  <si>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</si>
  <si>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</si>
  <si>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</si>
  <si>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</si>
  <si>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</si>
  <si>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</si>
  <si>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</si>
  <si>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</si>
  <si>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</si>
  <si>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</si>
  <si>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</si>
  <si>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</si>
  <si>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</si>
  <si>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</si>
  <si>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</si>
  <si>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</si>
  <si>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</si>
  <si>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</si>
  <si>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</si>
  <si>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</si>
  <si>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</si>
  <si>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</si>
  <si>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</si>
  <si>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</si>
  <si>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</si>
  <si>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</si>
  <si>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</si>
  <si>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</si>
  <si>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</si>
  <si>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</si>
  <si>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</si>
  <si>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</si>
  <si>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</si>
  <si>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</si>
  <si>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</si>
  <si>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</si>
  <si>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</si>
  <si>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</si>
  <si>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</si>
  <si>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</si>
  <si>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</si>
  <si>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</si>
  <si>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</si>
  <si>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</si>
  <si>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</si>
  <si>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</si>
  <si>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</si>
  <si>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</si>
  <si>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</si>
  <si>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</si>
  <si>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</si>
  <si>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</si>
  <si>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</si>
  <si>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</si>
  <si>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</si>
  <si>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</si>
  <si>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</si>
  <si>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</si>
  <si>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</si>
  <si>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</si>
  <si>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</si>
  <si>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</si>
  <si>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</si>
  <si>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</si>
  <si>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</si>
  <si>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</si>
  <si>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</si>
  <si>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</si>
  <si>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</si>
  <si>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</si>
  <si>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</si>
  <si>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</si>
  <si>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</si>
  <si>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</si>
  <si>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</si>
  <si>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</si>
  <si>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</si>
  <si>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</si>
  <si>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</si>
  <si>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</si>
  <si>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</si>
  <si>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</si>
  <si>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</si>
  <si>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</si>
  <si>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</si>
  <si>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</si>
  <si>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</si>
  <si>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</si>
  <si>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</si>
  <si>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</si>
  <si>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</si>
  <si>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</si>
  <si>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</si>
  <si>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</si>
  <si>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</si>
  <si>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</si>
  <si>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</si>
  <si>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</si>
  <si>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</si>
  <si>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</si>
  <si>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</si>
  <si>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</si>
  <si>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</si>
  <si>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</si>
  <si>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</si>
  <si>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</si>
  <si>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</si>
  <si>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</si>
  <si>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</si>
  <si>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</si>
  <si>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</si>
  <si>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</si>
  <si>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</si>
  <si>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</si>
  <si>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</si>
  <si>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</si>
  <si>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</si>
  <si>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</si>
  <si>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</si>
  <si>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</si>
  <si>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</si>
  <si>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</si>
  <si>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</si>
  <si>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</si>
  <si>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</si>
  <si>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</si>
  <si>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</si>
  <si>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</si>
  <si>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</si>
  <si>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</si>
  <si>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</si>
  <si>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</si>
  <si>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</si>
  <si>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</si>
  <si>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</si>
  <si>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</si>
  <si>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</si>
  <si>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</si>
  <si>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</si>
  <si>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</si>
  <si>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</si>
  <si>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</si>
  <si>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</si>
  <si>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</si>
  <si>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</si>
  <si>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</si>
  <si>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</si>
  <si>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</si>
  <si>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</si>
  <si>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</si>
  <si>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</si>
  <si>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</si>
  <si>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</si>
  <si>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</si>
  <si>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</si>
  <si>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</si>
  <si>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</si>
  <si>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</si>
  <si>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</si>
  <si>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</si>
  <si>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</si>
  <si>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</si>
  <si>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</si>
  <si>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</si>
  <si>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</si>
  <si>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</si>
  <si>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</si>
  <si>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</si>
  <si>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</si>
  <si>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</si>
  <si>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</si>
  <si>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</si>
  <si>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</si>
  <si>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</si>
  <si>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</si>
  <si>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</si>
  <si>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</si>
  <si>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</si>
  <si>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</si>
  <si>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</si>
  <si>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</si>
  <si>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</si>
  <si>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</si>
  <si>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</si>
  <si>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</si>
  <si>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</si>
  <si>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</si>
  <si>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</si>
  <si>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</si>
  <si>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</si>
  <si>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</si>
  <si>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</si>
  <si>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</si>
  <si>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</si>
  <si>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</si>
  <si>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</si>
  <si>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</si>
  <si>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</si>
  <si>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</si>
  <si>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</si>
  <si>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</si>
  <si>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</si>
  <si>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</si>
  <si>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</si>
  <si>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</si>
  <si>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</si>
  <si>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</si>
  <si>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</si>
  <si>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</si>
  <si>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</si>
  <si>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</si>
  <si>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</si>
  <si>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</si>
  <si>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</si>
  <si>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</si>
  <si>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</si>
  <si>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</si>
  <si>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</si>
  <si>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</si>
  <si>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</si>
  <si>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</si>
  <si>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</si>
  <si>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</si>
  <si>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</si>
  <si>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</si>
  <si>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</si>
  <si>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</si>
  <si>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</si>
  <si>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</si>
  <si>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</si>
  <si>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</si>
  <si>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</si>
  <si>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</si>
  <si>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</si>
  <si>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</si>
  <si>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</si>
  <si>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</si>
  <si>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</si>
  <si>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</si>
  <si>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</si>
  <si>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</si>
  <si>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</si>
  <si>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</si>
  <si>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</si>
  <si>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</si>
  <si>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</si>
  <si>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</si>
  <si>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</si>
  <si>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</si>
  <si>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</si>
  <si>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</si>
  <si>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</si>
  <si>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</si>
  <si>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</si>
  <si>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</si>
  <si>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</si>
  <si>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</si>
  <si>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</si>
  <si>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</si>
  <si>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</si>
  <si>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</si>
  <si>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</si>
  <si>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</si>
  <si>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</si>
  <si>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</si>
  <si>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</si>
  <si>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</si>
  <si>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</si>
  <si>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</si>
  <si>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</si>
  <si>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</si>
  <si>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</si>
  <si>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</si>
  <si>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</si>
  <si>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</si>
  <si>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</si>
  <si>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</si>
  <si>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</si>
  <si>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</si>
  <si>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</si>
  <si>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</si>
  <si>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</si>
  <si>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</si>
  <si>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</si>
  <si>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</si>
  <si>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</si>
  <si>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</si>
  <si>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</si>
  <si>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</si>
  <si>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</si>
  <si>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</si>
  <si>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</si>
  <si>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</si>
  <si>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</si>
  <si>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</si>
  <si>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</si>
  <si>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</si>
  <si>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</si>
  <si>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</si>
  <si>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</si>
  <si>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</si>
  <si>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</si>
  <si>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</si>
  <si>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</si>
  <si>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</si>
  <si>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</si>
  <si>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</si>
  <si>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</si>
  <si>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</si>
  <si>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</si>
  <si>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</si>
  <si>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</si>
  <si>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</si>
  <si>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</si>
  <si>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</si>
  <si>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</si>
  <si>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</si>
  <si>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</si>
  <si>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</si>
  <si>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</si>
  <si>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</si>
  <si>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</si>
  <si>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</si>
  <si>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</si>
  <si>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</si>
  <si>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</si>
  <si>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</si>
  <si>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</si>
  <si>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</si>
  <si>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</si>
  <si>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</si>
  <si>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</si>
  <si>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</si>
  <si>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</si>
  <si>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</si>
  <si>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</si>
  <si>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</si>
  <si>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</si>
  <si>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</si>
  <si>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</si>
  <si>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</si>
  <si>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</si>
  <si>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</si>
  <si>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</si>
  <si>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</si>
  <si>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</si>
  <si>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</si>
  <si>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</si>
  <si>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</si>
  <si>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</si>
  <si>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</si>
  <si>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</si>
  <si>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</si>
  <si>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</si>
  <si>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</si>
  <si>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</si>
  <si>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</si>
  <si>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</si>
  <si>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</si>
  <si>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</si>
  <si>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</si>
  <si>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</si>
  <si>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</si>
  <si>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</si>
  <si>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</si>
  <si>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</si>
  <si>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</si>
  <si>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</si>
  <si>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</si>
  <si>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</si>
  <si>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</si>
  <si>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</si>
  <si>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</si>
  <si>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</si>
  <si>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</si>
  <si>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</si>
  <si>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</si>
  <si>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</si>
  <si>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</si>
  <si>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</si>
  <si>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</si>
  <si>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</si>
  <si>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</si>
  <si>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</si>
  <si>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</si>
  <si>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</si>
  <si>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</si>
  <si>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</si>
  <si>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</si>
  <si>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</si>
  <si>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</si>
  <si>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</si>
  <si>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</si>
  <si>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</si>
  <si>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</si>
  <si>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</si>
  <si>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</si>
  <si>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</si>
  <si>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</si>
  <si>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</si>
  <si>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</si>
  <si>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</si>
  <si>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</si>
  <si>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</si>
  <si>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</si>
  <si>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</si>
  <si>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</si>
  <si>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</si>
  <si>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</si>
  <si>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</si>
  <si>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</si>
  <si>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</si>
  <si>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</si>
  <si>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</si>
  <si>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</si>
  <si>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</si>
  <si>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</si>
  <si>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</si>
  <si>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</si>
  <si>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</si>
  <si>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</si>
  <si>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</si>
  <si>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</si>
  <si>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</si>
  <si>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</si>
  <si>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</si>
  <si>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</si>
  <si>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</si>
  <si>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</si>
  <si>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</si>
  <si>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</si>
  <si>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</si>
  <si>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</si>
  <si>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</si>
  <si>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</si>
  <si>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</si>
  <si>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</si>
  <si>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</si>
  <si>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</si>
  <si>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</si>
  <si>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</si>
  <si>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</si>
  <si>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</si>
  <si>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</si>
  <si>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</si>
  <si>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</si>
  <si>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</si>
  <si>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</si>
  <si>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</si>
  <si>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</si>
  <si>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</si>
  <si>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</si>
  <si>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</si>
  <si>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</si>
  <si>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</si>
  <si>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</si>
  <si>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</si>
  <si>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</si>
  <si>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</si>
  <si>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</si>
  <si>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</si>
  <si>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</si>
  <si>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</si>
  <si>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</si>
  <si>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</si>
  <si>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</si>
  <si>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</si>
  <si>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</si>
  <si>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</si>
  <si>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</si>
  <si>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</si>
  <si>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</si>
  <si>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</si>
  <si>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</si>
  <si>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</si>
  <si>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</si>
  <si>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</si>
  <si>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</si>
  <si>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</si>
  <si>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</si>
  <si>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</si>
  <si>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</si>
  <si>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</si>
  <si>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</si>
  <si>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</si>
  <si>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</si>
  <si>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</si>
  <si>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</si>
  <si>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</si>
  <si>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</si>
  <si>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</si>
  <si>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</si>
  <si>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</si>
  <si>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</si>
  <si>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</si>
  <si>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</si>
  <si>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</si>
  <si>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</si>
  <si>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</si>
  <si>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</si>
  <si>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</si>
  <si>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</si>
  <si>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</si>
  <si>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</si>
  <si>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</si>
  <si>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</si>
  <si>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</si>
  <si>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</si>
  <si>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</si>
  <si>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</si>
  <si>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</si>
  <si>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</si>
  <si>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</si>
  <si>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</si>
  <si>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</si>
  <si>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</si>
  <si>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</si>
  <si>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</si>
  <si>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</si>
  <si>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</si>
  <si>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</si>
  <si>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</si>
  <si>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</si>
  <si>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tested-rc0.8 (additional projection plane, CTC)</t>
  </si>
  <si>
    <t>tested-rc0.9 (2 patch orientations, CTC)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</si>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</sst>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65.996200000000002</c:v>
                </c:pt>
                <c:pt idx="1">
                  <c:v>67.830699999999993</c:v>
                </c:pt>
                <c:pt idx="2">
                  <c:v>69.250600000000006</c:v>
                </c:pt>
                <c:pt idx="3">
                  <c:v>70.379800000000003</c:v>
                </c:pt>
                <c:pt idx="4">
                  <c:v>71.497100000000003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65.996243750000005</c:v>
                </c:pt>
                <c:pt idx="1">
                  <c:v>67.830737499999998</c:v>
                </c:pt>
                <c:pt idx="2">
                  <c:v>69.250596874999999</c:v>
                </c:pt>
                <c:pt idx="3">
                  <c:v>70.379759374999907</c:v>
                </c:pt>
                <c:pt idx="4">
                  <c:v>71.497065624999905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67.799599999999998</c:v>
                </c:pt>
                <c:pt idx="1">
                  <c:v>69.850399999999993</c:v>
                </c:pt>
                <c:pt idx="2">
                  <c:v>71.669700000000006</c:v>
                </c:pt>
                <c:pt idx="3">
                  <c:v>72.996700000000004</c:v>
                </c:pt>
                <c:pt idx="4">
                  <c:v>75.069800000000001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67.799565625</c:v>
                </c:pt>
                <c:pt idx="1">
                  <c:v>69.850415624999997</c:v>
                </c:pt>
                <c:pt idx="2">
                  <c:v>71.669684375000003</c:v>
                </c:pt>
                <c:pt idx="3">
                  <c:v>72.996671874999905</c:v>
                </c:pt>
                <c:pt idx="4">
                  <c:v>75.069756249999998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29.587199999999999</c:v>
                </c:pt>
                <c:pt idx="1">
                  <c:v>32.045299999999997</c:v>
                </c:pt>
                <c:pt idx="2">
                  <c:v>34.6023</c:v>
                </c:pt>
                <c:pt idx="3">
                  <c:v>37.257100000000001</c:v>
                </c:pt>
                <c:pt idx="4">
                  <c:v>39.335700000000003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29.58718125</c:v>
                </c:pt>
                <c:pt idx="1">
                  <c:v>32.045284374999902</c:v>
                </c:pt>
                <c:pt idx="2">
                  <c:v>34.602318750000002</c:v>
                </c:pt>
                <c:pt idx="3">
                  <c:v>37.257087499999997</c:v>
                </c:pt>
                <c:pt idx="4">
                  <c:v>39.335715624999999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43.18</c:v>
                </c:pt>
                <c:pt idx="1">
                  <c:v>43.979700000000001</c:v>
                </c:pt>
                <c:pt idx="2">
                  <c:v>44.831899999999997</c:v>
                </c:pt>
                <c:pt idx="3">
                  <c:v>46.1935</c:v>
                </c:pt>
                <c:pt idx="4">
                  <c:v>47.947400000000002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43.17996875</c:v>
                </c:pt>
                <c:pt idx="1">
                  <c:v>43.979681249999999</c:v>
                </c:pt>
                <c:pt idx="2">
                  <c:v>44.831874999999897</c:v>
                </c:pt>
                <c:pt idx="3">
                  <c:v>46.193543750000003</c:v>
                </c:pt>
                <c:pt idx="4">
                  <c:v>47.947415624999998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43.414299999999997</c:v>
                </c:pt>
                <c:pt idx="1">
                  <c:v>44.391800000000003</c:v>
                </c:pt>
                <c:pt idx="2">
                  <c:v>45.299399999999999</c:v>
                </c:pt>
                <c:pt idx="3">
                  <c:v>46.690199999999997</c:v>
                </c:pt>
                <c:pt idx="4">
                  <c:v>48.551299999999998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43.4143468749999</c:v>
                </c:pt>
                <c:pt idx="1">
                  <c:v>44.391762499999999</c:v>
                </c:pt>
                <c:pt idx="2">
                  <c:v>45.299362500000001</c:v>
                </c:pt>
                <c:pt idx="3">
                  <c:v>46.690234375000003</c:v>
                </c:pt>
                <c:pt idx="4">
                  <c:v>48.551328124999998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G20" sqref="G20"/>
    </sheetView>
  </sheetViews>
  <sheetFormatPr defaultRowHeight="15"/>
  <cols>
    <col min="2" max="2" width="16.7109375" customWidth="1"/>
    <col min="3" max="12" width="24.7109375" customWidth="1"/>
  </cols>
  <sheetData>
    <row r="1" spans="2:12">
      <c r="B1" t="s">
        <v>0</v>
      </c>
      <c r="C1" s="82" t="s">
        <v>548</v>
      </c>
      <c r="D1" s="82"/>
      <c r="E1" s="82"/>
    </row>
    <row r="2" spans="2:12">
      <c r="B2" t="s">
        <v>1</v>
      </c>
      <c r="C2" s="83" t="s">
        <v>549</v>
      </c>
      <c r="D2" s="83"/>
      <c r="E2" s="83"/>
    </row>
    <row r="4" spans="2:12" s="1" customFormat="1">
      <c r="B4" s="1" t="s">
        <v>294</v>
      </c>
    </row>
    <row r="6" spans="2:12">
      <c r="B6" s="78" t="s">
        <v>295</v>
      </c>
      <c r="C6" s="79" t="s">
        <v>296</v>
      </c>
      <c r="D6" s="79"/>
      <c r="E6" s="79"/>
      <c r="F6" s="79"/>
      <c r="G6" s="79"/>
      <c r="H6" s="79"/>
      <c r="I6" s="79"/>
      <c r="J6" s="79"/>
      <c r="K6" s="79"/>
      <c r="L6" s="79"/>
    </row>
    <row r="7" spans="2:12">
      <c r="B7" s="78"/>
      <c r="C7" s="80" t="s">
        <v>235</v>
      </c>
      <c r="D7" s="80"/>
      <c r="E7" s="81" t="s">
        <v>240</v>
      </c>
      <c r="F7" s="81"/>
      <c r="G7" s="81"/>
      <c r="H7" s="80" t="s">
        <v>247</v>
      </c>
      <c r="I7" s="80"/>
      <c r="J7" s="81" t="s">
        <v>252</v>
      </c>
      <c r="K7" s="81"/>
      <c r="L7" s="81"/>
    </row>
    <row r="8" spans="2:12">
      <c r="B8" s="78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>
      <c r="B9" s="4" t="s">
        <v>286</v>
      </c>
      <c r="C9" s="5">
        <f>'C2 lossyG,lossyA,intra'!$BI$30:$BI$30</f>
        <v>7.3154271059416853E-5</v>
      </c>
      <c r="D9" s="5">
        <f>'C2 lossyG,lossyA,intra'!$BJ$30:$BJ$30</f>
        <v>6.9222800805956997E-5</v>
      </c>
      <c r="E9" s="5">
        <f>'C2 lossyG,lossyA,intra'!$BK$30:$BK$30</f>
        <v>1.3458123900800256E-5</v>
      </c>
      <c r="F9" s="5">
        <f>'C2 lossyG,lossyA,intra'!$BL$30:$BL$30</f>
        <v>2.2971527584958462E-5</v>
      </c>
      <c r="G9" s="5">
        <f>'C2 lossyG,lossyA,intra'!$BM$30:$BM$30</f>
        <v>1.7336477928453498E-5</v>
      </c>
      <c r="H9" s="5">
        <f>'C2 lossyG,lossyA,intra'!$BO$30:$BO$30</f>
        <v>3.5614189110022565E-6</v>
      </c>
      <c r="I9" s="5">
        <f>'C2 lossyG,lossyA,intra'!$BP$30:$BP$30</f>
        <v>4.1561101688791791E-6</v>
      </c>
      <c r="J9" s="5">
        <f>'C2 lossyG,lossyA,intra'!$BQ$30:$BQ$30</f>
        <v>7.3189131102879834E-7</v>
      </c>
      <c r="K9" s="5">
        <f>'C2 lossyG,lossyA,intra'!$BR$30:$BR$30</f>
        <v>8.8196829166331536E-6</v>
      </c>
      <c r="L9" s="5">
        <f>'C2 lossyG,lossyA,intra'!$BS$30:$BS$30</f>
        <v>4.08668159812553E-6</v>
      </c>
    </row>
    <row r="10" spans="2:12">
      <c r="B10" s="4" t="s">
        <v>287</v>
      </c>
      <c r="C10" s="5">
        <f>'C2 lossyG,lossyA,intra'!$BI$31:$BI$31</f>
        <v>7.1891696017845064E-5</v>
      </c>
      <c r="D10" s="5">
        <f>'C2 lossyG,lossyA,intra'!$BJ$31:$BJ$31</f>
        <v>6.9631886357335304E-5</v>
      </c>
      <c r="E10" s="5">
        <f>'C2 lossyG,lossyA,intra'!$BK$31:$BK$31</f>
        <v>8.4030222367026397E-6</v>
      </c>
      <c r="F10" s="5">
        <f>'C2 lossyG,lossyA,intra'!$BL$31:$BL$31</f>
        <v>2.7576442818144642E-7</v>
      </c>
      <c r="G10" s="5">
        <f>'C2 lossyG,lossyA,intra'!$BM$31:$BM$31</f>
        <v>9.4352012420806375E-6</v>
      </c>
      <c r="H10" s="5">
        <f>'C2 lossyG,lossyA,intra'!$BO$31:$BO$31</f>
        <v>-1.0812756589428929E-5</v>
      </c>
      <c r="I10" s="5">
        <f>'C2 lossyG,lossyA,intra'!$BP$31:$BP$31</f>
        <v>-3.4686249593685048E-6</v>
      </c>
      <c r="J10" s="5">
        <f>'C2 lossyG,lossyA,intra'!$BQ$31:$BQ$31</f>
        <v>2.8827266047581901E-6</v>
      </c>
      <c r="K10" s="5">
        <f>'C2 lossyG,lossyA,intra'!$BR$31:$BR$31</f>
        <v>-3.8181665381609164E-6</v>
      </c>
      <c r="L10" s="5">
        <f>'C2 lossyG,lossyA,intra'!$BS$31:$BS$31</f>
        <v>3.7579456222402996E-6</v>
      </c>
    </row>
    <row r="11" spans="2:12">
      <c r="B11" s="6" t="s">
        <v>288</v>
      </c>
      <c r="C11" s="7">
        <f>'C2 lossyG,lossyA,intra'!$BI$32:$BI$32</f>
        <v>7.2901756051102501E-5</v>
      </c>
      <c r="D11" s="7">
        <f>'C2 lossyG,lossyA,intra'!$BJ$32:$BJ$32</f>
        <v>6.9304617916232653E-5</v>
      </c>
      <c r="E11" s="7">
        <f>'C2 lossyG,lossyA,intra'!$BK$32:$BK$32</f>
        <v>1.2447103567980733E-5</v>
      </c>
      <c r="F11" s="7">
        <f>'C2 lossyG,lossyA,intra'!$BL$32:$BL$32</f>
        <v>1.843237495360306E-5</v>
      </c>
      <c r="G11" s="7">
        <f>'C2 lossyG,lossyA,intra'!$BM$32:$BM$32</f>
        <v>1.5756222591178924E-5</v>
      </c>
      <c r="H11" s="7">
        <f>'C2 lossyG,lossyA,intra'!$BO$32:$BO$32</f>
        <v>6.8658381091601939E-7</v>
      </c>
      <c r="I11" s="7">
        <f>'C2 lossyG,lossyA,intra'!$BP$32:$BP$32</f>
        <v>2.6311631432296422E-6</v>
      </c>
      <c r="J11" s="7">
        <f>'C2 lossyG,lossyA,intra'!$BQ$32:$BQ$32</f>
        <v>1.1620583697746768E-6</v>
      </c>
      <c r="K11" s="7">
        <f>'C2 lossyG,lossyA,intra'!$BR$32:$BR$32</f>
        <v>6.2921130256743394E-6</v>
      </c>
      <c r="L11" s="7">
        <f>'C2 lossyG,lossyA,intra'!$BS$32:$BS$32</f>
        <v>4.0209344029484838E-6</v>
      </c>
    </row>
    <row r="12" spans="2:12">
      <c r="B12" t="s">
        <v>297</v>
      </c>
      <c r="C12" s="76">
        <f>'C2 lossyG,lossyA,intra'!AZ36</f>
        <v>2.8359446268444475</v>
      </c>
      <c r="D12" s="76"/>
      <c r="E12" s="76"/>
      <c r="F12" s="76"/>
      <c r="G12" s="76"/>
      <c r="H12" s="76"/>
      <c r="I12" s="76"/>
      <c r="J12" s="76"/>
      <c r="K12" s="76"/>
      <c r="L12" s="76"/>
    </row>
    <row r="13" spans="2:12">
      <c r="B13" s="9" t="s">
        <v>298</v>
      </c>
      <c r="C13" s="77">
        <f>'C2 lossyG,lossyA,intra'!BB36</f>
        <v>1.3216639775217915</v>
      </c>
      <c r="D13" s="77"/>
      <c r="E13" s="77"/>
      <c r="F13" s="77"/>
      <c r="G13" s="77"/>
      <c r="H13" s="77"/>
      <c r="I13" s="77"/>
      <c r="J13" s="77"/>
      <c r="K13" s="77"/>
      <c r="L13" s="77"/>
    </row>
    <row r="15" spans="2:12">
      <c r="B15" s="78" t="s">
        <v>379</v>
      </c>
      <c r="C15" s="79" t="s">
        <v>380</v>
      </c>
      <c r="D15" s="79"/>
      <c r="E15" s="79"/>
    </row>
    <row r="16" spans="2:12">
      <c r="B16" s="78"/>
      <c r="C16" s="80" t="s">
        <v>355</v>
      </c>
      <c r="D16" s="80"/>
      <c r="E16" s="80"/>
    </row>
    <row r="17" spans="2:5">
      <c r="B17" s="78"/>
      <c r="C17" s="2" t="s">
        <v>122</v>
      </c>
      <c r="D17" s="2" t="s">
        <v>116</v>
      </c>
      <c r="E17" s="2" t="s">
        <v>148</v>
      </c>
    </row>
    <row r="18" spans="2:5">
      <c r="B18" s="4" t="s">
        <v>286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>
      <c r="B19" s="4" t="s">
        <v>287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>
      <c r="B20" s="6" t="s">
        <v>288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>
      <c r="B21" t="s">
        <v>297</v>
      </c>
      <c r="C21" s="76" t="e">
        <f>'CW losslG,losslA,intra'!AW16</f>
        <v>#NUM!</v>
      </c>
      <c r="D21" s="76"/>
      <c r="E21" s="76"/>
    </row>
    <row r="22" spans="2:5">
      <c r="B22" s="9" t="s">
        <v>298</v>
      </c>
      <c r="C22" s="77" t="e">
        <f>'CW losslG,losslA,intra'!AY16</f>
        <v>#NUM!</v>
      </c>
      <c r="D22" s="77"/>
      <c r="E22" s="77"/>
    </row>
    <row r="24" spans="2:5" s="1" customFormat="1">
      <c r="B24" s="1" t="s">
        <v>454</v>
      </c>
    </row>
    <row r="26" spans="2:5">
      <c r="B26" s="78" t="s">
        <v>455</v>
      </c>
      <c r="C26" s="79" t="s">
        <v>456</v>
      </c>
      <c r="D26" s="79"/>
      <c r="E26" s="79"/>
    </row>
    <row r="27" spans="2:5">
      <c r="B27" s="78"/>
      <c r="C27" s="80" t="s">
        <v>355</v>
      </c>
      <c r="D27" s="80"/>
      <c r="E27" s="80"/>
    </row>
    <row r="28" spans="2:5">
      <c r="B28" s="78"/>
      <c r="C28" s="2" t="s">
        <v>116</v>
      </c>
      <c r="D28" s="2" t="s">
        <v>122</v>
      </c>
      <c r="E28" s="2" t="s">
        <v>148</v>
      </c>
    </row>
    <row r="29" spans="2:5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>
      <c r="B32" t="s">
        <v>297</v>
      </c>
      <c r="C32" s="76" t="e">
        <f>'CW losslG,losslA,interLD'!AW16</f>
        <v>#NUM!</v>
      </c>
      <c r="D32" s="76"/>
      <c r="E32" s="76"/>
    </row>
    <row r="33" spans="2:12">
      <c r="B33" s="9" t="s">
        <v>298</v>
      </c>
      <c r="C33" s="77" t="e">
        <f>'CW losslG,losslA,interLD'!AY16</f>
        <v>#NUM!</v>
      </c>
      <c r="D33" s="77"/>
      <c r="E33" s="77"/>
    </row>
    <row r="35" spans="2:12" s="1" customFormat="1">
      <c r="B35" s="1" t="s">
        <v>541</v>
      </c>
    </row>
    <row r="37" spans="2:12">
      <c r="B37" s="78" t="s">
        <v>542</v>
      </c>
      <c r="C37" s="79" t="s">
        <v>543</v>
      </c>
      <c r="D37" s="79"/>
      <c r="E37" s="79"/>
      <c r="F37" s="79"/>
      <c r="G37" s="79"/>
      <c r="H37" s="79"/>
      <c r="I37" s="79"/>
      <c r="J37" s="79"/>
      <c r="K37" s="79"/>
      <c r="L37" s="79"/>
    </row>
    <row r="38" spans="2:12">
      <c r="B38" s="78"/>
      <c r="C38" s="80" t="s">
        <v>235</v>
      </c>
      <c r="D38" s="80"/>
      <c r="E38" s="81" t="s">
        <v>240</v>
      </c>
      <c r="F38" s="81"/>
      <c r="G38" s="81"/>
      <c r="H38" s="80" t="s">
        <v>247</v>
      </c>
      <c r="I38" s="80"/>
      <c r="J38" s="81" t="s">
        <v>252</v>
      </c>
      <c r="K38" s="81"/>
      <c r="L38" s="81"/>
    </row>
    <row r="39" spans="2:12">
      <c r="B39" s="78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>
      <c r="B40" s="4" t="s">
        <v>286</v>
      </c>
      <c r="C40" s="5">
        <f>'C2 lossyG,lossyA,interRA'!$BI$30:$BI$30</f>
        <v>1.0467829810945073E-4</v>
      </c>
      <c r="D40" s="5">
        <f>'C2 lossyG,lossyA,interRA'!$BJ$30:$BJ$30</f>
        <v>9.8555015813794888E-5</v>
      </c>
      <c r="E40" s="5">
        <f>'C2 lossyG,lossyA,interRA'!$BK$30:$BK$30</f>
        <v>5.9253146406590407E-5</v>
      </c>
      <c r="F40" s="5">
        <f>'C2 lossyG,lossyA,interRA'!$BL$30:$BL$30</f>
        <v>4.972815206472081E-5</v>
      </c>
      <c r="G40" s="5">
        <f>'C2 lossyG,lossyA,interRA'!$BM$30:$BM$30</f>
        <v>6.5053812989823712E-5</v>
      </c>
      <c r="H40" s="5">
        <f>'C2 lossyG,lossyA,interRA'!$BO$30:$BO$30</f>
        <v>3.6164362797463934E-6</v>
      </c>
      <c r="I40" s="5">
        <f>'C2 lossyG,lossyA,interRA'!$BP$30:$BP$30</f>
        <v>1.8439159335803534E-6</v>
      </c>
      <c r="J40" s="5">
        <f>'C2 lossyG,lossyA,interRA'!$BQ$30:$BQ$30</f>
        <v>2.7851560226721528E-6</v>
      </c>
      <c r="K40" s="5">
        <f>'C2 lossyG,lossyA,interRA'!$BR$30:$BR$30</f>
        <v>-9.7838232332447816E-7</v>
      </c>
      <c r="L40" s="5">
        <f>'C2 lossyG,lossyA,interRA'!$BS$30:$BS$30</f>
        <v>6.4862608549209888E-6</v>
      </c>
    </row>
    <row r="41" spans="2:12">
      <c r="B41" s="4" t="s">
        <v>287</v>
      </c>
      <c r="C41" s="5">
        <f>'C2 lossyG,lossyA,interRA'!$BI$31:$BI$31</f>
        <v>9.0237770760781544E-5</v>
      </c>
      <c r="D41" s="5">
        <f>'C2 lossyG,lossyA,interRA'!$BJ$31:$BJ$31</f>
        <v>8.0744673743637918E-5</v>
      </c>
      <c r="E41" s="5">
        <f>'C2 lossyG,lossyA,interRA'!$BK$31:$BK$31</f>
        <v>2.1210632463741774E-5</v>
      </c>
      <c r="F41" s="5">
        <f>'C2 lossyG,lossyA,interRA'!$BL$31:$BL$31</f>
        <v>3.1840726730791857E-6</v>
      </c>
      <c r="G41" s="5">
        <f>'C2 lossyG,lossyA,interRA'!$BM$31:$BM$31</f>
        <v>1.5635393264989972E-5</v>
      </c>
      <c r="H41" s="5">
        <f>'C2 lossyG,lossyA,interRA'!$BO$31:$BO$31</f>
        <v>1.0168988598735496E-5</v>
      </c>
      <c r="I41" s="5">
        <f>'C2 lossyG,lossyA,interRA'!$BP$31:$BP$31</f>
        <v>7.3081398666019481E-7</v>
      </c>
      <c r="J41" s="5">
        <f>'C2 lossyG,lossyA,interRA'!$BQ$31:$BQ$31</f>
        <v>2.954016623091249E-6</v>
      </c>
      <c r="K41" s="5">
        <f>'C2 lossyG,lossyA,interRA'!$BR$31:$BR$31</f>
        <v>-9.5648192453001712E-6</v>
      </c>
      <c r="L41" s="5">
        <f>'C2 lossyG,lossyA,interRA'!$BS$31:$BS$31</f>
        <v>-6.2378452481137714E-7</v>
      </c>
    </row>
    <row r="42" spans="2:12">
      <c r="B42" s="6" t="s">
        <v>288</v>
      </c>
      <c r="C42" s="7">
        <f>'C2 lossyG,lossyA,interRA'!$BI$32:$BI$32</f>
        <v>1.0179019263971689E-4</v>
      </c>
      <c r="D42" s="7">
        <f>'C2 lossyG,lossyA,interRA'!$BJ$32:$BJ$32</f>
        <v>9.49929473997635E-5</v>
      </c>
      <c r="E42" s="7">
        <f>'C2 lossyG,lossyA,interRA'!$BK$32:$BK$32</f>
        <v>5.1644643618020678E-5</v>
      </c>
      <c r="F42" s="7">
        <f>'C2 lossyG,lossyA,interRA'!$BL$32:$BL$32</f>
        <v>4.0419336186392486E-5</v>
      </c>
      <c r="G42" s="7">
        <f>'C2 lossyG,lossyA,interRA'!$BM$32:$BM$32</f>
        <v>5.5170129044856962E-5</v>
      </c>
      <c r="H42" s="7">
        <f>'C2 lossyG,lossyA,interRA'!$BO$32:$BO$32</f>
        <v>4.9269467435442136E-6</v>
      </c>
      <c r="I42" s="7">
        <f>'C2 lossyG,lossyA,interRA'!$BP$32:$BP$32</f>
        <v>1.6212955441963217E-6</v>
      </c>
      <c r="J42" s="7">
        <f>'C2 lossyG,lossyA,interRA'!$BQ$32:$BQ$32</f>
        <v>2.8189281427559719E-6</v>
      </c>
      <c r="K42" s="7">
        <f>'C2 lossyG,lossyA,interRA'!$BR$32:$BR$32</f>
        <v>-2.695669707719617E-6</v>
      </c>
      <c r="L42" s="7">
        <f>'C2 lossyG,lossyA,interRA'!$BS$32:$BS$32</f>
        <v>5.0642517789745158E-6</v>
      </c>
    </row>
    <row r="43" spans="2:12">
      <c r="B43" t="s">
        <v>297</v>
      </c>
      <c r="C43" s="76">
        <f>'C2 lossyG,lossyA,interRA'!AZ36</f>
        <v>3.0865024200216711</v>
      </c>
      <c r="D43" s="76"/>
      <c r="E43" s="76"/>
      <c r="F43" s="76"/>
      <c r="G43" s="76"/>
      <c r="H43" s="76"/>
      <c r="I43" s="76"/>
      <c r="J43" s="76"/>
      <c r="K43" s="76"/>
      <c r="L43" s="76"/>
    </row>
    <row r="44" spans="2:12">
      <c r="B44" s="9" t="s">
        <v>298</v>
      </c>
      <c r="C44" s="77">
        <f>'C2 lossyG,lossyA,interRA'!BB36</f>
        <v>1.2668466100255849</v>
      </c>
      <c r="D44" s="77"/>
      <c r="E44" s="77"/>
      <c r="F44" s="77"/>
      <c r="G44" s="77"/>
      <c r="H44" s="77"/>
      <c r="I44" s="77"/>
      <c r="J44" s="77"/>
      <c r="K44" s="77"/>
      <c r="L44" s="77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phoneticPr fontId="2"/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>
      <selection activeCell="B2" sqref="B2"/>
    </sheetView>
  </sheetViews>
  <sheetFormatPr defaultRowHeight="1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>
      <c r="A2" t="s">
        <v>81</v>
      </c>
      <c r="B2" s="10" t="s">
        <v>276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>
      <c r="I10" t="s">
        <v>19</v>
      </c>
      <c r="J10" t="s">
        <v>20</v>
      </c>
    </row>
    <row r="11" spans="1:16">
      <c r="I11" t="s">
        <v>21</v>
      </c>
      <c r="J11" t="s">
        <v>22</v>
      </c>
    </row>
    <row r="12" spans="1:16">
      <c r="I12" t="s">
        <v>23</v>
      </c>
      <c r="J12" t="s">
        <v>24</v>
      </c>
    </row>
    <row r="13" spans="1:16">
      <c r="I13" t="s">
        <v>25</v>
      </c>
      <c r="J13" t="s">
        <v>26</v>
      </c>
    </row>
    <row r="14" spans="1:16">
      <c r="I14" t="s">
        <v>27</v>
      </c>
      <c r="J14" t="s">
        <v>28</v>
      </c>
    </row>
    <row r="15" spans="1:16">
      <c r="I15" t="s">
        <v>29</v>
      </c>
      <c r="J15" t="s">
        <v>30</v>
      </c>
    </row>
    <row r="16" spans="1:16">
      <c r="I16" t="s">
        <v>31</v>
      </c>
      <c r="J16" t="s">
        <v>32</v>
      </c>
    </row>
    <row r="17" spans="9:10">
      <c r="I17" t="s">
        <v>33</v>
      </c>
      <c r="J17" t="s">
        <v>34</v>
      </c>
    </row>
    <row r="18" spans="9:10">
      <c r="I18" t="s">
        <v>35</v>
      </c>
      <c r="J18" t="s">
        <v>36</v>
      </c>
    </row>
    <row r="19" spans="9:10">
      <c r="I19" t="s">
        <v>37</v>
      </c>
      <c r="J19" t="s">
        <v>38</v>
      </c>
    </row>
    <row r="20" spans="9:10">
      <c r="I20" t="s">
        <v>39</v>
      </c>
      <c r="J20" t="s">
        <v>40</v>
      </c>
    </row>
    <row r="21" spans="9:10">
      <c r="I21" t="s">
        <v>41</v>
      </c>
      <c r="J21" t="s">
        <v>42</v>
      </c>
    </row>
    <row r="22" spans="9:10">
      <c r="I22" t="s">
        <v>43</v>
      </c>
      <c r="J22" t="s">
        <v>44</v>
      </c>
    </row>
    <row r="23" spans="9:10">
      <c r="I23" t="s">
        <v>45</v>
      </c>
      <c r="J23" t="s">
        <v>46</v>
      </c>
    </row>
    <row r="24" spans="9:10">
      <c r="I24" t="s">
        <v>47</v>
      </c>
      <c r="J24" t="s">
        <v>48</v>
      </c>
    </row>
    <row r="25" spans="9:10">
      <c r="I25" t="s">
        <v>49</v>
      </c>
      <c r="J25" t="s">
        <v>50</v>
      </c>
    </row>
    <row r="26" spans="9:10">
      <c r="I26" t="s">
        <v>51</v>
      </c>
      <c r="J26" t="s">
        <v>52</v>
      </c>
    </row>
    <row r="27" spans="9:10">
      <c r="I27" t="s">
        <v>53</v>
      </c>
      <c r="J27" t="s">
        <v>54</v>
      </c>
    </row>
    <row r="28" spans="9:10">
      <c r="I28" t="s">
        <v>55</v>
      </c>
      <c r="J28" t="s">
        <v>56</v>
      </c>
    </row>
    <row r="29" spans="9:10">
      <c r="I29" t="s">
        <v>57</v>
      </c>
      <c r="J29" t="s">
        <v>58</v>
      </c>
    </row>
    <row r="30" spans="9:10">
      <c r="I30" t="s">
        <v>59</v>
      </c>
      <c r="J30" t="s">
        <v>60</v>
      </c>
    </row>
    <row r="31" spans="9:10">
      <c r="I31" t="s">
        <v>61</v>
      </c>
      <c r="J31" t="s">
        <v>62</v>
      </c>
    </row>
    <row r="32" spans="9:10">
      <c r="I32" t="s">
        <v>63</v>
      </c>
      <c r="J32" t="s">
        <v>64</v>
      </c>
    </row>
    <row r="33" spans="9:10">
      <c r="I33" t="s">
        <v>65</v>
      </c>
      <c r="J33" t="s">
        <v>66</v>
      </c>
    </row>
    <row r="34" spans="9:10">
      <c r="I34" t="s">
        <v>67</v>
      </c>
      <c r="J34" t="s">
        <v>68</v>
      </c>
    </row>
    <row r="35" spans="9:10">
      <c r="I35" t="s">
        <v>69</v>
      </c>
      <c r="J35" t="s">
        <v>70</v>
      </c>
    </row>
    <row r="36" spans="9:10">
      <c r="I36" t="s">
        <v>71</v>
      </c>
      <c r="J36" t="s">
        <v>72</v>
      </c>
    </row>
    <row r="37" spans="9:10">
      <c r="I37" t="s">
        <v>73</v>
      </c>
      <c r="J37" t="s">
        <v>74</v>
      </c>
    </row>
    <row r="38" spans="9:10">
      <c r="I38" t="s">
        <v>75</v>
      </c>
      <c r="J38" t="s">
        <v>76</v>
      </c>
    </row>
    <row r="39" spans="9:10">
      <c r="I39" t="s">
        <v>77</v>
      </c>
      <c r="J39" t="s">
        <v>78</v>
      </c>
    </row>
  </sheetData>
  <phoneticPr fontId="2"/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CF63"/>
  <sheetViews>
    <sheetView zoomScale="80" zoomScaleNormal="80" workbookViewId="0">
      <pane xSplit="2" topLeftCell="AE1" activePane="topRight" state="frozen"/>
      <selection pane="topRight" activeCell="P5" sqref="P5:AE29"/>
    </sheetView>
  </sheetViews>
  <sheetFormatPr defaultRowHeight="15" outlineLevelRow="2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84">
      <c r="A1" s="88" t="s">
        <v>259</v>
      </c>
      <c r="B1" s="88"/>
      <c r="C1" s="88"/>
      <c r="D1" s="88"/>
      <c r="E1" s="88"/>
      <c r="F1" s="88"/>
      <c r="G1" s="88"/>
      <c r="I1" s="82" t="str">
        <f>Summary!C1</f>
        <v>tested-rc0.8 (additional projection plane, CTC)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G1" s="83" t="str">
        <f>Summary!C2</f>
        <v>tested-rc0.9 (2 patch orientations, CTC)</v>
      </c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</row>
    <row r="2" spans="1:84" ht="30" customHeight="1" thickBot="1">
      <c r="A2" s="86" t="s">
        <v>91</v>
      </c>
      <c r="B2" s="85" t="s">
        <v>94</v>
      </c>
      <c r="C2" s="86" t="s">
        <v>97</v>
      </c>
      <c r="D2" s="85" t="s">
        <v>100</v>
      </c>
      <c r="E2" s="86" t="s">
        <v>103</v>
      </c>
      <c r="F2" s="85" t="s">
        <v>106</v>
      </c>
      <c r="G2" s="86" t="s">
        <v>109</v>
      </c>
      <c r="I2" s="85" t="s">
        <v>112</v>
      </c>
      <c r="J2" s="84" t="s">
        <v>115</v>
      </c>
      <c r="K2" s="84"/>
      <c r="L2" s="84"/>
      <c r="M2" s="84"/>
      <c r="N2" s="86" t="s">
        <v>128</v>
      </c>
      <c r="O2" s="85" t="s">
        <v>131</v>
      </c>
      <c r="P2" s="86" t="s">
        <v>22</v>
      </c>
      <c r="Q2" s="85" t="s">
        <v>24</v>
      </c>
      <c r="R2" s="86" t="s">
        <v>20</v>
      </c>
      <c r="S2" s="87" t="s">
        <v>140</v>
      </c>
      <c r="T2" s="87"/>
      <c r="U2" s="87"/>
      <c r="V2" s="87"/>
      <c r="W2" s="84" t="s">
        <v>151</v>
      </c>
      <c r="X2" s="84"/>
      <c r="Y2" s="87" t="s">
        <v>158</v>
      </c>
      <c r="Z2" s="87"/>
      <c r="AA2" s="87"/>
      <c r="AB2" s="84" t="s">
        <v>168</v>
      </c>
      <c r="AC2" s="84"/>
      <c r="AD2" s="87" t="s">
        <v>175</v>
      </c>
      <c r="AE2" s="87"/>
      <c r="AG2" s="86" t="s">
        <v>112</v>
      </c>
      <c r="AH2" s="87" t="s">
        <v>115</v>
      </c>
      <c r="AI2" s="87"/>
      <c r="AJ2" s="87"/>
      <c r="AK2" s="87"/>
      <c r="AL2" s="85" t="s">
        <v>190</v>
      </c>
      <c r="AM2" s="86" t="s">
        <v>131</v>
      </c>
      <c r="AN2" s="85" t="s">
        <v>22</v>
      </c>
      <c r="AO2" s="86" t="s">
        <v>24</v>
      </c>
      <c r="AP2" s="85" t="s">
        <v>20</v>
      </c>
      <c r="AQ2" s="84" t="s">
        <v>140</v>
      </c>
      <c r="AR2" s="84"/>
      <c r="AS2" s="84"/>
      <c r="AT2" s="84"/>
      <c r="AU2" s="87" t="s">
        <v>151</v>
      </c>
      <c r="AV2" s="87"/>
      <c r="AW2" s="84" t="s">
        <v>158</v>
      </c>
      <c r="AX2" s="84"/>
      <c r="AY2" s="84"/>
      <c r="AZ2" s="87" t="s">
        <v>168</v>
      </c>
      <c r="BA2" s="87"/>
      <c r="BB2" s="84" t="s">
        <v>175</v>
      </c>
      <c r="BC2" s="84"/>
      <c r="BE2" s="85" t="s">
        <v>227</v>
      </c>
      <c r="BF2" s="86" t="s">
        <v>230</v>
      </c>
      <c r="BG2" s="85" t="s">
        <v>230</v>
      </c>
      <c r="BI2" s="84" t="s">
        <v>235</v>
      </c>
      <c r="BJ2" s="84"/>
      <c r="BK2" s="87" t="s">
        <v>240</v>
      </c>
      <c r="BL2" s="87"/>
      <c r="BM2" s="87"/>
      <c r="BO2" s="84" t="s">
        <v>247</v>
      </c>
      <c r="BP2" s="84"/>
      <c r="BQ2" s="87" t="s">
        <v>252</v>
      </c>
      <c r="BR2" s="87"/>
      <c r="BS2" s="87"/>
      <c r="BU2" s="85" t="s">
        <v>22</v>
      </c>
      <c r="BV2" s="86" t="s">
        <v>24</v>
      </c>
      <c r="BW2" s="85" t="s">
        <v>20</v>
      </c>
      <c r="BX2" s="84" t="s">
        <v>140</v>
      </c>
      <c r="BY2" s="84"/>
      <c r="BZ2" s="84"/>
      <c r="CA2" s="84"/>
      <c r="CB2" s="87" t="s">
        <v>151</v>
      </c>
      <c r="CC2" s="87"/>
      <c r="CD2" s="84" t="s">
        <v>158</v>
      </c>
      <c r="CE2" s="84"/>
      <c r="CF2" s="84"/>
    </row>
    <row r="3" spans="1:84" ht="30.75" thickBot="1">
      <c r="A3" s="86"/>
      <c r="B3" s="85"/>
      <c r="C3" s="86"/>
      <c r="D3" s="85"/>
      <c r="E3" s="86"/>
      <c r="F3" s="85"/>
      <c r="G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85"/>
      <c r="R3" s="86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6"/>
      <c r="AH3" s="12" t="s">
        <v>116</v>
      </c>
      <c r="AI3" s="12" t="s">
        <v>119</v>
      </c>
      <c r="AJ3" s="12" t="s">
        <v>122</v>
      </c>
      <c r="AK3" s="12" t="s">
        <v>125</v>
      </c>
      <c r="AL3" s="85"/>
      <c r="AM3" s="86"/>
      <c r="AN3" s="85"/>
      <c r="AO3" s="86"/>
      <c r="AP3" s="85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5"/>
      <c r="BF3" s="86"/>
      <c r="BG3" s="85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85"/>
      <c r="BV3" s="86"/>
      <c r="BW3" s="85"/>
      <c r="BX3" s="75" t="s">
        <v>116</v>
      </c>
      <c r="BY3" s="75" t="s">
        <v>122</v>
      </c>
      <c r="BZ3" s="75" t="s">
        <v>145</v>
      </c>
      <c r="CA3" s="75" t="s">
        <v>148</v>
      </c>
      <c r="CB3" s="74" t="s">
        <v>152</v>
      </c>
      <c r="CC3" s="74" t="s">
        <v>155</v>
      </c>
      <c r="CD3" s="75" t="s">
        <v>159</v>
      </c>
      <c r="CE3" s="75" t="s">
        <v>162</v>
      </c>
      <c r="CF3" s="75" t="s">
        <v>165</v>
      </c>
    </row>
    <row r="4" spans="1:84" ht="121.5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2.2488225000000002</v>
      </c>
      <c r="J5" s="18">
        <f t="shared" ref="J5:J29" si="1">IF(ISBLANK(S5),"·",S5/D5)</f>
        <v>9.6086814388571279E-2</v>
      </c>
      <c r="K5" s="18">
        <f t="shared" ref="K5:K29" si="2">IF(N5="","·",N5/D5)</f>
        <v>6.1031693165864064E-2</v>
      </c>
      <c r="L5" s="18">
        <f t="shared" ref="L5:L29" si="3">IF(T5="","·",T5/D5)</f>
        <v>3.3929035018388828E-2</v>
      </c>
      <c r="M5" s="18">
        <f t="shared" ref="M5:M29" si="4">IF(ISBLANK(V5),"·",V5/D5)</f>
        <v>3.5051275737661168E-2</v>
      </c>
      <c r="N5" s="15">
        <f t="shared" ref="N5:N29" si="5">IF(OR(ISBLANK(T5),ISBLANK(U5)),"",T5+U5)</f>
        <v>1523616</v>
      </c>
      <c r="O5" s="18">
        <f t="shared" ref="O5:O29" si="6">IF(ISBLANK(S5),"·",S5/P5)</f>
        <v>0.11071691150762263</v>
      </c>
      <c r="P5" s="58">
        <v>21665561</v>
      </c>
      <c r="Q5" s="58">
        <v>677049</v>
      </c>
      <c r="R5" s="58">
        <v>13554.7</v>
      </c>
      <c r="S5" s="59">
        <v>2398744</v>
      </c>
      <c r="T5" s="59">
        <v>847016</v>
      </c>
      <c r="U5" s="59">
        <v>676600</v>
      </c>
      <c r="V5" s="59">
        <v>875032</v>
      </c>
      <c r="W5" s="60">
        <v>66.333200000000005</v>
      </c>
      <c r="X5" s="60">
        <v>68.402900000000002</v>
      </c>
      <c r="Y5" s="60">
        <v>32.165599999999998</v>
      </c>
      <c r="Z5" s="60">
        <v>44.153799999999997</v>
      </c>
      <c r="AA5" s="60">
        <v>43.731200000000001</v>
      </c>
      <c r="AB5" s="61">
        <v>2434.83</v>
      </c>
      <c r="AC5" s="61">
        <v>1096.52</v>
      </c>
      <c r="AD5" s="61">
        <v>5.0049999999999999</v>
      </c>
      <c r="AE5" s="61">
        <v>18.509</v>
      </c>
      <c r="AF5">
        <v>32</v>
      </c>
      <c r="AG5" s="17">
        <f t="shared" ref="AG5:AG29" si="7">IF(OR(ISBLANK(AQ5),ISBLANK(G5)),"·",AQ5*G5/F5/1000000)</f>
        <v>2.2488299999999999</v>
      </c>
      <c r="AH5" s="18">
        <f t="shared" ref="AH5:AH29" si="8">IF(ISBLANK(AQ5),"·",AQ5/D5)</f>
        <v>9.6087134845658451E-2</v>
      </c>
      <c r="AI5" s="18">
        <f t="shared" ref="AI5:AI29" si="9">IF(AL5="","·",AL5/D5)</f>
        <v>6.1039384135956165E-2</v>
      </c>
      <c r="AJ5" s="18">
        <f t="shared" ref="AJ5:AJ29" si="10">IF(AR5="","·",AR5/D5)</f>
        <v>3.3931278217999024E-2</v>
      </c>
      <c r="AK5" s="18">
        <f t="shared" ref="AK5:AK29" si="11">IF(ISBLANK(AT5),"·",AT5/D5)</f>
        <v>3.5053518937271363E-2</v>
      </c>
      <c r="AL5" s="15">
        <f t="shared" ref="AL5:AL29" si="12">IF(OR(ISBLANK(AR5),ISBLANK(AS5)),"",AR5+AS5)</f>
        <v>1523808</v>
      </c>
      <c r="AM5" s="18">
        <f t="shared" ref="AM5:AM29" si="13">IF(ISBLANK(AQ5),"·",AQ5/AN5)</f>
        <v>0.11071728075723496</v>
      </c>
      <c r="AN5" s="58">
        <v>21665561</v>
      </c>
      <c r="AO5" s="58">
        <v>677048.78125</v>
      </c>
      <c r="AP5" s="58">
        <v>13554.6875</v>
      </c>
      <c r="AQ5" s="59">
        <v>2398752</v>
      </c>
      <c r="AR5" s="59">
        <v>847072</v>
      </c>
      <c r="AS5" s="59">
        <v>676736</v>
      </c>
      <c r="AT5" s="59">
        <v>875088</v>
      </c>
      <c r="AU5" s="60">
        <v>66.333168749999999</v>
      </c>
      <c r="AV5" s="60">
        <v>68.402850000000001</v>
      </c>
      <c r="AW5" s="60">
        <v>32.165624999999899</v>
      </c>
      <c r="AX5" s="60">
        <v>44.153831250000003</v>
      </c>
      <c r="AY5" s="60">
        <v>43.731209374999999</v>
      </c>
      <c r="AZ5" s="61">
        <v>6740.31</v>
      </c>
      <c r="BA5" s="61">
        <v>1127.43</v>
      </c>
      <c r="BB5" s="61">
        <v>6.2</v>
      </c>
      <c r="BC5" s="61">
        <v>19.512</v>
      </c>
      <c r="BD5">
        <v>32</v>
      </c>
      <c r="BE5" s="23">
        <f t="shared" ref="BE5:BE29" si="14">(AP5/AO5) - (R5/Q5)</f>
        <v>-1.1994065102216567E-8</v>
      </c>
      <c r="BF5" s="23">
        <f t="shared" ref="BF5:BF29" si="15">(AL5/AQ5) - (N5/S5)</f>
        <v>7.7923278748670555E-5</v>
      </c>
      <c r="BG5" s="23">
        <f t="array" ref="BG5">AVERAGE(AL5:AL9/AQ5:AQ9) - AVERAGE(N5:N9/S5:S9)</f>
        <v>3.743197402317211E-5</v>
      </c>
      <c r="BI5" s="24">
        <f>IF( OR(ISBLANK(N5:N9),ISBLANK(AL5:AL9), ISBLANK(W5:W9),ISBLANK(AU5:AU9)), "·", bdRateExtend( N5:N9,W5:W9, AL5:AL9,AU5:AU9))</f>
        <v>9.1305158846921586E-5</v>
      </c>
      <c r="BJ5" s="24">
        <f>IF( OR(ISBLANK(N5:N9),ISBLANK(AL5:AL9), ISBLANK(X5:X9),ISBLANK(AV5:AV9)), "·", bdRateExtend( N5:N9,X5:X9, AL5:AL9,AV5:AV9))</f>
        <v>8.2692120875194064E-5</v>
      </c>
      <c r="BK5" s="24">
        <f>IF( OR(ISBLANK(V5:V9),ISBLANK(AT5:AT9), ISBLANK(Y5:Y9),ISBLANK(AW5:AW9)), "·", bdRateExtend( V5:V9,Y5:Y9, AT5:AT9,AW5:AW9))</f>
        <v>1.5581831138034019E-5</v>
      </c>
      <c r="BL5" s="24">
        <f>IF( OR(ISBLANK(V5:V9),ISBLANK(AT5:AT9), ISBLANK(Z5:Z9),ISBLANK(AX5:AX9)), "·", bdRateExtend( V5:V9,Z5:Z9, AT5:AT9,AX5:AX9))</f>
        <v>2.791532265189467E-5</v>
      </c>
      <c r="BM5" s="24">
        <f>IF( OR(ISBLANK(V5:V9),ISBLANK(AT5:AT9), ISBLANK(AA5:AA9),ISBLANK(AY5:AY9)), "·", bdRateExtend( V5:V9,AA5:AA9, AT5:AT9,AY5:AY9))</f>
        <v>1.7177117301869771E-5</v>
      </c>
      <c r="BO5" s="24">
        <f>IF( OR(ISBLANK(S5:S9),ISBLANK(AQ5:AQ9), ISBLANK(W5:W9),ISBLANK(AU5:AU9)), "·", bdRateExtend( S5:S9,W5:W9, AQ5:AQ9,AU5:AU9))</f>
        <v>6.0652174396214065E-6</v>
      </c>
      <c r="BP5" s="24">
        <f>IF( OR(ISBLANK(S5:S9),ISBLANK(AQ5:AQ9), ISBLANK(X5:X9),ISBLANK(AV5:AV9)), "·", bdRateExtend( S5:S9,X5:X9, AQ5:AQ9,AV5:AV9))</f>
        <v>-1.2147754024915969E-8</v>
      </c>
      <c r="BQ5" s="24">
        <f>IF( OR(ISBLANK(S5:S9),ISBLANK(AQ5:AQ9), ISBLANK(Y5:Y9),ISBLANK(AW5:AW9)), "·", bdRateExtend( S5:S9,Y5:Y9, AQ5:AQ9,AW5:AW9))</f>
        <v>-1.9386236839169513E-6</v>
      </c>
      <c r="BR5" s="24">
        <f>IF( OR(ISBLANK(S5:S9),ISBLANK(AQ5:AQ9), ISBLANK(Z5:Z9),ISBLANK(AX5:AX9)), "·", bdRateExtend( S5:S9,Z5:Z9, AQ5:AQ9,AX5:AX9))</f>
        <v>8.7463002345078422E-6</v>
      </c>
      <c r="BS5" s="24">
        <f>IF( OR(ISBLANK(S5:S9),ISBLANK(AQ5:AQ9), ISBLANK(AA5:AA9),ISBLANK(AY5:AY9)), "·", bdRateExtend( S5:S9,AA5:AA9, AQ5:AQ9,AY5:AY9))</f>
        <v>5.1550316726434176E-7</v>
      </c>
      <c r="BU5">
        <f>AN5-P5</f>
        <v>0</v>
      </c>
      <c r="BV5" s="4">
        <f t="shared" ref="BV5:CF5" si="16">AO5-Q5</f>
        <v>-0.21875</v>
      </c>
      <c r="BW5" s="4">
        <f t="shared" si="16"/>
        <v>-1.2500000000727596E-2</v>
      </c>
      <c r="BX5" s="4">
        <f t="shared" si="16"/>
        <v>8</v>
      </c>
      <c r="BY5" s="4">
        <f t="shared" si="16"/>
        <v>56</v>
      </c>
      <c r="BZ5" s="4">
        <f t="shared" si="16"/>
        <v>136</v>
      </c>
      <c r="CA5" s="4">
        <f t="shared" si="16"/>
        <v>56</v>
      </c>
      <c r="CB5" s="4">
        <f t="shared" si="16"/>
        <v>-3.1250000006366463E-5</v>
      </c>
      <c r="CC5" s="4">
        <f t="shared" si="16"/>
        <v>-5.0000000001659828E-5</v>
      </c>
      <c r="CD5" s="4">
        <f t="shared" si="16"/>
        <v>2.4999999901353931E-5</v>
      </c>
      <c r="CE5" s="4">
        <f t="shared" si="16"/>
        <v>3.1250000006366463E-5</v>
      </c>
      <c r="CF5" s="4">
        <f t="shared" si="16"/>
        <v>9.3749999976466825E-6</v>
      </c>
    </row>
    <row r="6" spans="1:84" outlineLevel="1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3.4893675000000002</v>
      </c>
      <c r="J6" s="28">
        <f t="shared" si="1"/>
        <v>0.14909233934915406</v>
      </c>
      <c r="K6" s="28">
        <f t="shared" si="2"/>
        <v>7.3699041364640866E-2</v>
      </c>
      <c r="L6" s="28">
        <f t="shared" si="3"/>
        <v>4.6596383217165638E-2</v>
      </c>
      <c r="M6" s="28">
        <f t="shared" si="4"/>
        <v>7.5389452499467144E-2</v>
      </c>
      <c r="N6" s="25">
        <f t="shared" si="5"/>
        <v>1839848</v>
      </c>
      <c r="O6" s="28">
        <f t="shared" si="6"/>
        <v>0.1540485128864631</v>
      </c>
      <c r="P6" s="62">
        <v>24161168</v>
      </c>
      <c r="Q6" s="62">
        <v>755036</v>
      </c>
      <c r="R6" s="62">
        <v>19192.3</v>
      </c>
      <c r="S6" s="63">
        <v>3721992</v>
      </c>
      <c r="T6" s="63">
        <v>1163248</v>
      </c>
      <c r="U6" s="63">
        <v>676600</v>
      </c>
      <c r="V6" s="63">
        <v>1882048</v>
      </c>
      <c r="W6" s="64">
        <v>68.238100000000003</v>
      </c>
      <c r="X6" s="64">
        <v>70.356700000000004</v>
      </c>
      <c r="Y6" s="64">
        <v>34.445500000000003</v>
      </c>
      <c r="Z6" s="64">
        <v>45.472099999999998</v>
      </c>
      <c r="AA6" s="64">
        <v>45.189900000000002</v>
      </c>
      <c r="AB6" s="65">
        <v>2257.06</v>
      </c>
      <c r="AC6" s="65">
        <v>992.74800000000005</v>
      </c>
      <c r="AD6" s="65">
        <v>4.8479999999999999</v>
      </c>
      <c r="AE6" s="65">
        <v>17.329999999999998</v>
      </c>
      <c r="AF6">
        <v>32</v>
      </c>
      <c r="AG6" s="27">
        <f t="shared" si="7"/>
        <v>3.4893749999999999</v>
      </c>
      <c r="AH6" s="28">
        <f t="shared" si="8"/>
        <v>0.14909265980624123</v>
      </c>
      <c r="AI6" s="28">
        <f t="shared" si="9"/>
        <v>7.3706732334732974E-2</v>
      </c>
      <c r="AJ6" s="28">
        <f t="shared" si="10"/>
        <v>4.6598626416775833E-2</v>
      </c>
      <c r="AK6" s="28">
        <f t="shared" si="11"/>
        <v>7.5391695699077332E-2</v>
      </c>
      <c r="AL6" s="25">
        <f t="shared" si="12"/>
        <v>1840040</v>
      </c>
      <c r="AM6" s="28">
        <f t="shared" si="13"/>
        <v>0.15404884399628363</v>
      </c>
      <c r="AN6" s="62">
        <v>24161168</v>
      </c>
      <c r="AO6" s="62">
        <v>755036.5</v>
      </c>
      <c r="AP6" s="62">
        <v>19192.28125</v>
      </c>
      <c r="AQ6" s="63">
        <v>3722000</v>
      </c>
      <c r="AR6" s="63">
        <v>1163304</v>
      </c>
      <c r="AS6" s="63">
        <v>676736</v>
      </c>
      <c r="AT6" s="63">
        <v>1882104</v>
      </c>
      <c r="AU6" s="64">
        <v>68.2381125</v>
      </c>
      <c r="AV6" s="64">
        <v>70.356650000000002</v>
      </c>
      <c r="AW6" s="64">
        <v>34.445496874999897</v>
      </c>
      <c r="AX6" s="64">
        <v>45.472078124999904</v>
      </c>
      <c r="AY6" s="64">
        <v>45.189937499999999</v>
      </c>
      <c r="AZ6" s="65">
        <v>6675.28</v>
      </c>
      <c r="BA6" s="65">
        <v>1220.79</v>
      </c>
      <c r="BB6" s="65">
        <v>5.1639999999999997</v>
      </c>
      <c r="BC6" s="65">
        <v>15.68</v>
      </c>
      <c r="BD6">
        <v>32</v>
      </c>
      <c r="BE6" s="33">
        <f t="shared" si="14"/>
        <v>-4.1666232603043696E-8</v>
      </c>
      <c r="BF6" s="33">
        <f t="shared" si="15"/>
        <v>5.0522690819287952E-5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7">AN6-P6</f>
        <v>0</v>
      </c>
      <c r="BV6" s="4">
        <f t="shared" ref="BV6:BV29" si="18">AO6-Q6</f>
        <v>0.5</v>
      </c>
      <c r="BW6" s="4">
        <f t="shared" ref="BW6:BW29" si="19">AP6-R6</f>
        <v>-1.8749999999272404E-2</v>
      </c>
      <c r="BX6" s="4">
        <f t="shared" ref="BX6:BX29" si="20">AQ6-S6</f>
        <v>8</v>
      </c>
      <c r="BY6" s="4">
        <f t="shared" ref="BY6:BY29" si="21">AR6-T6</f>
        <v>56</v>
      </c>
      <c r="BZ6" s="4">
        <f t="shared" ref="BZ6:BZ29" si="22">AS6-U6</f>
        <v>136</v>
      </c>
      <c r="CA6" s="4">
        <f t="shared" ref="CA6:CA29" si="23">AT6-V6</f>
        <v>56</v>
      </c>
      <c r="CB6" s="4">
        <f t="shared" ref="CB6:CB29" si="24">AU6-W6</f>
        <v>1.2499999996862243E-5</v>
      </c>
      <c r="CC6" s="4">
        <f t="shared" ref="CC6:CC29" si="25">AV6-X6</f>
        <v>-5.0000000001659828E-5</v>
      </c>
      <c r="CD6" s="4">
        <f t="shared" ref="CD6:CD29" si="26">AW6-Y6</f>
        <v>-3.1250001057969712E-6</v>
      </c>
      <c r="CE6" s="4">
        <f t="shared" ref="CE6:CE29" si="27">AX6-Z6</f>
        <v>-2.1875000093984909E-5</v>
      </c>
      <c r="CF6" s="4">
        <f t="shared" ref="CF6:CF29" si="28">AY6-AA6</f>
        <v>3.7499999997692157E-5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5.7166499999999996</v>
      </c>
      <c r="J7" s="18">
        <f t="shared" si="1"/>
        <v>0.24425880098337063</v>
      </c>
      <c r="K7" s="18">
        <f t="shared" si="2"/>
        <v>9.1614515280014797E-2</v>
      </c>
      <c r="L7" s="18">
        <f t="shared" si="3"/>
        <v>6.4511857132539568E-2</v>
      </c>
      <c r="M7" s="18">
        <f t="shared" si="4"/>
        <v>0.15264044021830978</v>
      </c>
      <c r="N7" s="15">
        <f t="shared" si="5"/>
        <v>2287096</v>
      </c>
      <c r="O7" s="18">
        <f t="shared" si="6"/>
        <v>0.24536718423153209</v>
      </c>
      <c r="P7" s="58">
        <v>24851571</v>
      </c>
      <c r="Q7" s="58">
        <v>776612</v>
      </c>
      <c r="R7" s="58">
        <v>21049.5</v>
      </c>
      <c r="S7" s="59">
        <v>6097760</v>
      </c>
      <c r="T7" s="59">
        <v>1610496</v>
      </c>
      <c r="U7" s="59">
        <v>676600</v>
      </c>
      <c r="V7" s="59">
        <v>3810568</v>
      </c>
      <c r="W7" s="60">
        <v>69.677400000000006</v>
      </c>
      <c r="X7" s="60">
        <v>72.041300000000007</v>
      </c>
      <c r="Y7" s="60">
        <v>36.986199999999997</v>
      </c>
      <c r="Z7" s="60">
        <v>46.565600000000003</v>
      </c>
      <c r="AA7" s="60">
        <v>46.444800000000001</v>
      </c>
      <c r="AB7" s="61">
        <v>2838.72</v>
      </c>
      <c r="AC7" s="61">
        <v>1398.71</v>
      </c>
      <c r="AD7" s="61">
        <v>6.05</v>
      </c>
      <c r="AE7" s="61">
        <v>21.774999999999999</v>
      </c>
      <c r="AF7">
        <v>32</v>
      </c>
      <c r="AG7" s="17">
        <f t="shared" si="7"/>
        <v>5.7166575000000002</v>
      </c>
      <c r="AH7" s="18">
        <f t="shared" si="8"/>
        <v>0.2442591214404578</v>
      </c>
      <c r="AI7" s="18">
        <f t="shared" si="9"/>
        <v>9.1622206250106905E-2</v>
      </c>
      <c r="AJ7" s="18">
        <f t="shared" si="10"/>
        <v>6.4514100332149771E-2</v>
      </c>
      <c r="AK7" s="18">
        <f t="shared" si="11"/>
        <v>0.15264268341791998</v>
      </c>
      <c r="AL7" s="15">
        <f t="shared" si="12"/>
        <v>2287288</v>
      </c>
      <c r="AM7" s="18">
        <f t="shared" si="13"/>
        <v>0.24536750614277061</v>
      </c>
      <c r="AN7" s="58">
        <v>24851571</v>
      </c>
      <c r="AO7" s="58">
        <v>776611.59375</v>
      </c>
      <c r="AP7" s="58">
        <v>21049.5</v>
      </c>
      <c r="AQ7" s="59">
        <v>6097768</v>
      </c>
      <c r="AR7" s="59">
        <v>1610552</v>
      </c>
      <c r="AS7" s="59">
        <v>676736</v>
      </c>
      <c r="AT7" s="59">
        <v>3810624</v>
      </c>
      <c r="AU7" s="60">
        <v>69.677409374999897</v>
      </c>
      <c r="AV7" s="60">
        <v>72.041343749999996</v>
      </c>
      <c r="AW7" s="60">
        <v>36.986228124999897</v>
      </c>
      <c r="AX7" s="60">
        <v>46.565628125000003</v>
      </c>
      <c r="AY7" s="60">
        <v>46.444781249999998</v>
      </c>
      <c r="AZ7" s="61">
        <v>6834.72</v>
      </c>
      <c r="BA7" s="61">
        <v>1282.18</v>
      </c>
      <c r="BB7" s="61">
        <v>8.4120000000000008</v>
      </c>
      <c r="BC7" s="61">
        <v>28.571999999999999</v>
      </c>
      <c r="BD7">
        <v>32</v>
      </c>
      <c r="BE7" s="23">
        <f t="shared" si="14"/>
        <v>1.4178398927144897E-8</v>
      </c>
      <c r="BF7" s="23">
        <f t="shared" si="15"/>
        <v>3.0994853852495119E-5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0</v>
      </c>
      <c r="BV7" s="4">
        <f t="shared" si="18"/>
        <v>-0.40625</v>
      </c>
      <c r="BW7" s="4">
        <f t="shared" si="19"/>
        <v>0</v>
      </c>
      <c r="BX7" s="4">
        <f t="shared" si="20"/>
        <v>8</v>
      </c>
      <c r="BY7" s="4">
        <f t="shared" si="21"/>
        <v>56</v>
      </c>
      <c r="BZ7" s="4">
        <f t="shared" si="22"/>
        <v>136</v>
      </c>
      <c r="CA7" s="4">
        <f t="shared" si="23"/>
        <v>56</v>
      </c>
      <c r="CB7" s="4">
        <f t="shared" si="24"/>
        <v>9.3749998910652721E-6</v>
      </c>
      <c r="CC7" s="4">
        <f t="shared" si="25"/>
        <v>4.3749999989017851E-5</v>
      </c>
      <c r="CD7" s="4">
        <f t="shared" si="26"/>
        <v>2.8124999900569492E-5</v>
      </c>
      <c r="CE7" s="4">
        <f t="shared" si="27"/>
        <v>2.8125000000045475E-5</v>
      </c>
      <c r="CF7" s="4">
        <f t="shared" si="28"/>
        <v>-1.8750000002398792E-5</v>
      </c>
    </row>
    <row r="8" spans="1:84" outlineLevel="1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9.9381299999999992</v>
      </c>
      <c r="J8" s="28">
        <f t="shared" si="1"/>
        <v>0.42463255889670792</v>
      </c>
      <c r="K8" s="28">
        <f t="shared" si="2"/>
        <v>0.12106356021975505</v>
      </c>
      <c r="L8" s="28">
        <f t="shared" si="3"/>
        <v>9.396090207227982E-2</v>
      </c>
      <c r="M8" s="28">
        <f t="shared" si="4"/>
        <v>0.3035651531919068</v>
      </c>
      <c r="N8" s="25">
        <f t="shared" si="5"/>
        <v>3022272</v>
      </c>
      <c r="O8" s="28">
        <f t="shared" si="6"/>
        <v>0.40887703717783497</v>
      </c>
      <c r="P8" s="62">
        <v>25926308</v>
      </c>
      <c r="Q8" s="62">
        <v>810197</v>
      </c>
      <c r="R8" s="62">
        <v>24362.7</v>
      </c>
      <c r="S8" s="63">
        <v>10600672</v>
      </c>
      <c r="T8" s="63">
        <v>2345672</v>
      </c>
      <c r="U8" s="63">
        <v>676600</v>
      </c>
      <c r="V8" s="63">
        <v>7578304</v>
      </c>
      <c r="W8" s="64">
        <v>70.749799999999993</v>
      </c>
      <c r="X8" s="64">
        <v>73.293700000000001</v>
      </c>
      <c r="Y8" s="64">
        <v>39.614100000000001</v>
      </c>
      <c r="Z8" s="64">
        <v>47.886400000000002</v>
      </c>
      <c r="AA8" s="64">
        <v>47.917000000000002</v>
      </c>
      <c r="AB8" s="65">
        <v>2435.6799999999998</v>
      </c>
      <c r="AC8" s="65">
        <v>1353.01</v>
      </c>
      <c r="AD8" s="65">
        <v>5.3929999999999998</v>
      </c>
      <c r="AE8" s="65">
        <v>19.759</v>
      </c>
      <c r="AF8">
        <v>32</v>
      </c>
      <c r="AG8" s="27">
        <f t="shared" si="7"/>
        <v>9.9381374999999998</v>
      </c>
      <c r="AH8" s="28">
        <f t="shared" si="8"/>
        <v>0.42463287935379507</v>
      </c>
      <c r="AI8" s="28">
        <f t="shared" si="9"/>
        <v>0.12107125118984716</v>
      </c>
      <c r="AJ8" s="28">
        <f t="shared" si="10"/>
        <v>9.3963145271890008E-2</v>
      </c>
      <c r="AK8" s="28">
        <f t="shared" si="11"/>
        <v>0.30356739639151703</v>
      </c>
      <c r="AL8" s="25">
        <f t="shared" si="12"/>
        <v>3022464</v>
      </c>
      <c r="AM8" s="28">
        <f t="shared" si="13"/>
        <v>0.40887734574471613</v>
      </c>
      <c r="AN8" s="62">
        <v>25926308</v>
      </c>
      <c r="AO8" s="62">
        <v>810197.125</v>
      </c>
      <c r="AP8" s="62">
        <v>24362.6875</v>
      </c>
      <c r="AQ8" s="63">
        <v>10600680</v>
      </c>
      <c r="AR8" s="63">
        <v>2345728</v>
      </c>
      <c r="AS8" s="63">
        <v>676736</v>
      </c>
      <c r="AT8" s="63">
        <v>7578360</v>
      </c>
      <c r="AU8" s="64">
        <v>70.749765624999995</v>
      </c>
      <c r="AV8" s="64">
        <v>73.293743750000004</v>
      </c>
      <c r="AW8" s="64">
        <v>39.614121875000002</v>
      </c>
      <c r="AX8" s="64">
        <v>47.886353124999999</v>
      </c>
      <c r="AY8" s="64">
        <v>47.917003124999901</v>
      </c>
      <c r="AZ8" s="65">
        <v>8355.43</v>
      </c>
      <c r="BA8" s="65">
        <v>1408.56</v>
      </c>
      <c r="BB8" s="65">
        <v>9.4</v>
      </c>
      <c r="BC8" s="65">
        <v>27.135999999999999</v>
      </c>
      <c r="BD8">
        <v>32</v>
      </c>
      <c r="BE8" s="33">
        <f t="shared" si="14"/>
        <v>-2.0067661633121903E-8</v>
      </c>
      <c r="BF8" s="33">
        <f t="shared" si="15"/>
        <v>1.7896888180324311E-5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0</v>
      </c>
      <c r="BV8" s="4">
        <f t="shared" si="18"/>
        <v>0.125</v>
      </c>
      <c r="BW8" s="4">
        <f t="shared" si="19"/>
        <v>-1.2500000000727596E-2</v>
      </c>
      <c r="BX8" s="4">
        <f t="shared" si="20"/>
        <v>8</v>
      </c>
      <c r="BY8" s="4">
        <f t="shared" si="21"/>
        <v>56</v>
      </c>
      <c r="BZ8" s="4">
        <f t="shared" si="22"/>
        <v>136</v>
      </c>
      <c r="CA8" s="4">
        <f t="shared" si="23"/>
        <v>56</v>
      </c>
      <c r="CB8" s="4">
        <f t="shared" si="24"/>
        <v>-3.4374999998476596E-5</v>
      </c>
      <c r="CC8" s="4">
        <f t="shared" si="25"/>
        <v>4.3750000003228706E-5</v>
      </c>
      <c r="CD8" s="4">
        <f t="shared" si="26"/>
        <v>2.1875000001614353E-5</v>
      </c>
      <c r="CE8" s="4">
        <f t="shared" si="27"/>
        <v>-4.6875000002444267E-5</v>
      </c>
      <c r="CF8" s="4">
        <f t="shared" si="28"/>
        <v>3.1249998997395778E-6</v>
      </c>
    </row>
    <row r="9" spans="1:84" ht="15.75" outlineLevel="1" thickBot="1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18.132832499999999</v>
      </c>
      <c r="J9" s="38">
        <f t="shared" si="1"/>
        <v>0.77477262468093988</v>
      </c>
      <c r="K9" s="38">
        <f t="shared" si="2"/>
        <v>0.19590086515802679</v>
      </c>
      <c r="L9" s="38">
        <f t="shared" si="3"/>
        <v>0.14376313798950272</v>
      </c>
      <c r="M9" s="38">
        <f t="shared" si="4"/>
        <v>0.57886791403786708</v>
      </c>
      <c r="N9" s="35">
        <f t="shared" si="5"/>
        <v>4890536</v>
      </c>
      <c r="O9" s="38">
        <f t="shared" si="6"/>
        <v>0.77391467739137176</v>
      </c>
      <c r="P9" s="66">
        <v>24992016</v>
      </c>
      <c r="Q9" s="66">
        <v>781000</v>
      </c>
      <c r="R9" s="66">
        <v>10306.299999999999</v>
      </c>
      <c r="S9" s="67">
        <v>19341688</v>
      </c>
      <c r="T9" s="67">
        <v>3588952</v>
      </c>
      <c r="U9" s="67">
        <v>1301584</v>
      </c>
      <c r="V9" s="67">
        <v>14451056</v>
      </c>
      <c r="W9" s="68">
        <v>72.062200000000004</v>
      </c>
      <c r="X9" s="68">
        <v>75.321200000000005</v>
      </c>
      <c r="Y9" s="68">
        <v>42.0396</v>
      </c>
      <c r="Z9" s="68">
        <v>49.434699999999999</v>
      </c>
      <c r="AA9" s="68">
        <v>49.581299999999999</v>
      </c>
      <c r="AB9" s="69">
        <v>2445.39</v>
      </c>
      <c r="AC9" s="69">
        <v>1544.21</v>
      </c>
      <c r="AD9" s="69">
        <v>5.3239999999999998</v>
      </c>
      <c r="AE9" s="69">
        <v>20.969000000000001</v>
      </c>
      <c r="AF9">
        <v>32</v>
      </c>
      <c r="AG9" s="37">
        <f t="shared" si="7"/>
        <v>18.132840000000002</v>
      </c>
      <c r="AH9" s="38">
        <f t="shared" si="8"/>
        <v>0.77477294513802708</v>
      </c>
      <c r="AI9" s="38">
        <f t="shared" si="9"/>
        <v>0.19590855612811892</v>
      </c>
      <c r="AJ9" s="38">
        <f t="shared" si="10"/>
        <v>0.14376538118911289</v>
      </c>
      <c r="AK9" s="38">
        <f t="shared" si="11"/>
        <v>0.57887015723747726</v>
      </c>
      <c r="AL9" s="35">
        <f t="shared" si="12"/>
        <v>4890728</v>
      </c>
      <c r="AM9" s="38">
        <f t="shared" si="13"/>
        <v>0.7739149974935996</v>
      </c>
      <c r="AN9" s="66">
        <v>24992016</v>
      </c>
      <c r="AO9" s="66">
        <v>781000.5</v>
      </c>
      <c r="AP9" s="66">
        <v>10306.34375</v>
      </c>
      <c r="AQ9" s="67">
        <v>19341696</v>
      </c>
      <c r="AR9" s="67">
        <v>3589008</v>
      </c>
      <c r="AS9" s="67">
        <v>1301720</v>
      </c>
      <c r="AT9" s="67">
        <v>14451112</v>
      </c>
      <c r="AU9" s="68">
        <v>72.062162499999999</v>
      </c>
      <c r="AV9" s="68">
        <v>75.321165625000006</v>
      </c>
      <c r="AW9" s="68">
        <v>42.039612499999997</v>
      </c>
      <c r="AX9" s="68">
        <v>49.434653124999997</v>
      </c>
      <c r="AY9" s="68">
        <v>49.581253124999897</v>
      </c>
      <c r="AZ9" s="69">
        <v>8364.2999999999993</v>
      </c>
      <c r="BA9" s="69">
        <v>1638.86</v>
      </c>
      <c r="BB9" s="69">
        <v>6.7039999999999997</v>
      </c>
      <c r="BC9" s="69">
        <v>23.66</v>
      </c>
      <c r="BD9">
        <v>32</v>
      </c>
      <c r="BE9" s="43">
        <f t="shared" si="14"/>
        <v>4.7569568258423733E-8</v>
      </c>
      <c r="BF9" s="43">
        <f t="shared" si="15"/>
        <v>9.8221585148605683E-6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0</v>
      </c>
      <c r="BV9" s="4">
        <f t="shared" si="18"/>
        <v>0.5</v>
      </c>
      <c r="BW9" s="4">
        <f t="shared" si="19"/>
        <v>4.3750000000727596E-2</v>
      </c>
      <c r="BX9" s="4">
        <f t="shared" si="20"/>
        <v>8</v>
      </c>
      <c r="BY9" s="4">
        <f t="shared" si="21"/>
        <v>56</v>
      </c>
      <c r="BZ9" s="4">
        <f t="shared" si="22"/>
        <v>136</v>
      </c>
      <c r="CA9" s="4">
        <f t="shared" si="23"/>
        <v>56</v>
      </c>
      <c r="CB9" s="4">
        <f t="shared" si="24"/>
        <v>-3.7500000004797585E-5</v>
      </c>
      <c r="CC9" s="4">
        <f t="shared" si="25"/>
        <v>-3.4374999998476596E-5</v>
      </c>
      <c r="CD9" s="4">
        <f t="shared" si="26"/>
        <v>1.2499999996862243E-5</v>
      </c>
      <c r="CE9" s="4">
        <f t="shared" si="27"/>
        <v>-4.6875000002444267E-5</v>
      </c>
      <c r="CF9" s="4">
        <f t="shared" si="28"/>
        <v>-4.687500010192025E-5</v>
      </c>
    </row>
    <row r="10" spans="1:84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3.2629649999999999</v>
      </c>
      <c r="J10" s="28">
        <f t="shared" si="1"/>
        <v>0.1536317994398447</v>
      </c>
      <c r="K10" s="28">
        <f t="shared" si="2"/>
        <v>7.9618662526497158E-2</v>
      </c>
      <c r="L10" s="28">
        <f t="shared" si="3"/>
        <v>4.0423417759485644E-2</v>
      </c>
      <c r="M10" s="28">
        <f t="shared" si="4"/>
        <v>7.4008899398709915E-2</v>
      </c>
      <c r="N10" s="25">
        <f t="shared" si="5"/>
        <v>1803744</v>
      </c>
      <c r="O10" s="28">
        <f t="shared" si="6"/>
        <v>0.16845792264256165</v>
      </c>
      <c r="P10" s="62">
        <v>20660922</v>
      </c>
      <c r="Q10" s="62">
        <v>645654</v>
      </c>
      <c r="R10" s="62">
        <v>18447.7</v>
      </c>
      <c r="S10" s="63">
        <v>3480496</v>
      </c>
      <c r="T10" s="63">
        <v>915784</v>
      </c>
      <c r="U10" s="63">
        <v>887960</v>
      </c>
      <c r="V10" s="63">
        <v>1676656</v>
      </c>
      <c r="W10" s="64">
        <v>65.910399999999996</v>
      </c>
      <c r="X10" s="64">
        <v>67.841200000000001</v>
      </c>
      <c r="Y10" s="64">
        <v>32.503599999999999</v>
      </c>
      <c r="Z10" s="64">
        <v>39.235999999999997</v>
      </c>
      <c r="AA10" s="64">
        <v>32.222700000000003</v>
      </c>
      <c r="AB10" s="65">
        <v>2583.2199999999998</v>
      </c>
      <c r="AC10" s="65">
        <v>1250.78</v>
      </c>
      <c r="AD10" s="65">
        <v>5.452</v>
      </c>
      <c r="AE10" s="65">
        <v>20.599</v>
      </c>
      <c r="AF10">
        <v>32</v>
      </c>
      <c r="AG10" s="27">
        <f t="shared" si="7"/>
        <v>3.2629725000000001</v>
      </c>
      <c r="AH10" s="28">
        <f t="shared" si="8"/>
        <v>0.15363215256606449</v>
      </c>
      <c r="AI10" s="28">
        <f t="shared" si="9"/>
        <v>7.9627137555772429E-2</v>
      </c>
      <c r="AJ10" s="28">
        <f t="shared" si="10"/>
        <v>4.0425889643024265E-2</v>
      </c>
      <c r="AK10" s="28">
        <f t="shared" si="11"/>
        <v>7.4011371282248536E-2</v>
      </c>
      <c r="AL10" s="25">
        <f t="shared" si="12"/>
        <v>1803936</v>
      </c>
      <c r="AM10" s="28">
        <f t="shared" si="13"/>
        <v>0.16845830984696616</v>
      </c>
      <c r="AN10" s="62">
        <v>20660922</v>
      </c>
      <c r="AO10" s="62">
        <v>645653.8125</v>
      </c>
      <c r="AP10" s="62">
        <v>18447.71875</v>
      </c>
      <c r="AQ10" s="63">
        <v>3480504</v>
      </c>
      <c r="AR10" s="63">
        <v>915840</v>
      </c>
      <c r="AS10" s="63">
        <v>888096</v>
      </c>
      <c r="AT10" s="63">
        <v>1676712</v>
      </c>
      <c r="AU10" s="64">
        <v>65.910393749999997</v>
      </c>
      <c r="AV10" s="64">
        <v>67.841156249999997</v>
      </c>
      <c r="AW10" s="64">
        <v>32.503643750000002</v>
      </c>
      <c r="AX10" s="64">
        <v>39.236006249999903</v>
      </c>
      <c r="AY10" s="64">
        <v>32.222728125000003</v>
      </c>
      <c r="AZ10" s="65">
        <v>7944.55</v>
      </c>
      <c r="BA10" s="65">
        <v>1137.0999999999999</v>
      </c>
      <c r="BB10" s="65">
        <v>5.34</v>
      </c>
      <c r="BC10" s="65">
        <v>17.34</v>
      </c>
      <c r="BD10">
        <v>32</v>
      </c>
      <c r="BE10" s="33">
        <f t="shared" si="14"/>
        <v>3.7337766767286951E-8</v>
      </c>
      <c r="BF10" s="33">
        <f t="shared" si="15"/>
        <v>5.3973232895354606E-5</v>
      </c>
      <c r="BG10" s="33">
        <f t="array" ref="BG10">AVERAGE(AL10:AL14/AQ10:AQ14) - AVERAGE(N10:N14/S10:S14)</f>
        <v>2.7538581773345339E-5</v>
      </c>
      <c r="BI10" s="34">
        <f>IF( OR(ISBLANK(N10:N14),ISBLANK(AL10:AL14), ISBLANK(W10:W14),ISBLANK(AU10:AU14)), "·", bdRateExtend( N10:N14,W10:W14, AL10:AL14,AU10:AU14))</f>
        <v>7.9961563907549049E-5</v>
      </c>
      <c r="BJ10" s="34">
        <f>IF( OR(ISBLANK(N10:N14),ISBLANK(AL10:AL14), ISBLANK(X10:X14),ISBLANK(AV10:AV14)), "·", bdRateExtend( N10:N14,X10:X14, AL10:AL14,AV10:AV14))</f>
        <v>7.3476815872108858E-5</v>
      </c>
      <c r="BK10" s="34">
        <f>IF( OR(ISBLANK(V10:V14),ISBLANK(AT10:AT14), ISBLANK(Y10:Y14),ISBLANK(AW10:AW14)), "·", bdRateExtend( V10:V14,Y10:Y14, AT10:AT14,AW10:AW14))</f>
        <v>1.3589226244503649E-5</v>
      </c>
      <c r="BL10" s="34">
        <f>IF( OR(ISBLANK(V10:V14),ISBLANK(AT10:AT14), ISBLANK(Z10:Z14),ISBLANK(AX10:AX14)), "·", bdRateExtend( V10:V14,Z10:Z14, AT10:AT14,AX10:AX14))</f>
        <v>2.1951889122906465E-5</v>
      </c>
      <c r="BM10" s="34">
        <f>IF( OR(ISBLANK(V10:V14),ISBLANK(AT10:AT14), ISBLANK(AA10:AA14),ISBLANK(AY10:AY14)), "·", bdRateExtend( V10:V14,AA10:AA14, AT10:AT14,AY10:AY14))</f>
        <v>1.6327509494429293E-5</v>
      </c>
      <c r="BO10" s="34">
        <f>IF( OR(ISBLANK(S10:S14),ISBLANK(AQ10:AQ14), ISBLANK(W10:W14),ISBLANK(AU10:AU14)), "·", bdRateExtend( S10:S14,W10:W14, AQ10:AQ14,AU10:AU14))</f>
        <v>1.1493237505044718E-5</v>
      </c>
      <c r="BP10" s="34">
        <f>IF( OR(ISBLANK(S10:S14),ISBLANK(AQ10:AQ14), ISBLANK(X10:X14),ISBLANK(AV10:AV14)), "·", bdRateExtend( S10:S14,X10:X14, AQ10:AQ14,AV10:AV14))</f>
        <v>5.9490408206297474E-6</v>
      </c>
      <c r="BQ10" s="34">
        <f>IF( OR(ISBLANK(S10:S14),ISBLANK(AQ10:AQ14), ISBLANK(Y10:Y14),ISBLANK(AW10:AW14)), "·", bdRateExtend( S10:S14,Y10:Y14, AQ10:AQ14,AW10:AW14))</f>
        <v>1.8006667943382126E-6</v>
      </c>
      <c r="BR10" s="34">
        <f>IF( OR(ISBLANK(S10:S14),ISBLANK(AQ10:AQ14), ISBLANK(Z10:Z14),ISBLANK(AX10:AX14)), "·", bdRateExtend( S10:S14,Z10:Z14, AQ10:AQ14,AX10:AX14))</f>
        <v>1.0120613820774338E-5</v>
      </c>
      <c r="BS10" s="34">
        <f>IF( OR(ISBLANK(S10:S14),ISBLANK(AQ10:AQ14), ISBLANK(AA10:AA14),ISBLANK(AY10:AY14)), "·", bdRateExtend( S10:S14,AA10:AA14, AQ10:AQ14,AY10:AY14))</f>
        <v>4.2539249378581445E-6</v>
      </c>
      <c r="BU10" s="4">
        <f t="shared" si="17"/>
        <v>0</v>
      </c>
      <c r="BV10" s="4">
        <f t="shared" si="18"/>
        <v>-0.1875</v>
      </c>
      <c r="BW10" s="4">
        <f t="shared" si="19"/>
        <v>1.8749999999272404E-2</v>
      </c>
      <c r="BX10" s="4">
        <f t="shared" si="20"/>
        <v>8</v>
      </c>
      <c r="BY10" s="4">
        <f t="shared" si="21"/>
        <v>56</v>
      </c>
      <c r="BZ10" s="4">
        <f t="shared" si="22"/>
        <v>136</v>
      </c>
      <c r="CA10" s="4">
        <f t="shared" si="23"/>
        <v>56</v>
      </c>
      <c r="CB10" s="4">
        <f t="shared" si="24"/>
        <v>-6.2499999984311216E-6</v>
      </c>
      <c r="CC10" s="4">
        <f t="shared" si="25"/>
        <v>-4.3750000003228706E-5</v>
      </c>
      <c r="CD10" s="4">
        <f t="shared" si="26"/>
        <v>4.3750000003228706E-5</v>
      </c>
      <c r="CE10" s="4">
        <f t="shared" si="27"/>
        <v>6.249999906060566E-6</v>
      </c>
      <c r="CF10" s="4">
        <f t="shared" si="28"/>
        <v>2.8125000000045475E-5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</v>
      </c>
      <c r="J11" s="18">
        <f t="shared" si="1"/>
        <v>0.22156551535306729</v>
      </c>
      <c r="K11" s="18">
        <f t="shared" si="2"/>
        <v>9.5641058497609496E-2</v>
      </c>
      <c r="L11" s="18">
        <f t="shared" si="3"/>
        <v>5.6445813730597975E-2</v>
      </c>
      <c r="M11" s="18">
        <f t="shared" si="4"/>
        <v>0.12592021934082018</v>
      </c>
      <c r="N11" s="15">
        <f t="shared" si="5"/>
        <v>2166728</v>
      </c>
      <c r="O11" s="18">
        <f t="shared" si="6"/>
        <v>0.22600665990953195</v>
      </c>
      <c r="P11" s="58">
        <v>22209611</v>
      </c>
      <c r="Q11" s="58">
        <v>694050</v>
      </c>
      <c r="R11" s="58">
        <v>23853.4</v>
      </c>
      <c r="S11" s="59">
        <v>5019520</v>
      </c>
      <c r="T11" s="59">
        <v>1278768</v>
      </c>
      <c r="U11" s="59">
        <v>887960</v>
      </c>
      <c r="V11" s="59">
        <v>2852696</v>
      </c>
      <c r="W11" s="60">
        <v>67.633200000000002</v>
      </c>
      <c r="X11" s="60">
        <v>69.747600000000006</v>
      </c>
      <c r="Y11" s="60">
        <v>34.396799999999999</v>
      </c>
      <c r="Z11" s="60">
        <v>40.080599999999997</v>
      </c>
      <c r="AA11" s="60">
        <v>33.994300000000003</v>
      </c>
      <c r="AB11" s="61">
        <v>2223.2399999999998</v>
      </c>
      <c r="AC11" s="61">
        <v>1181.75</v>
      </c>
      <c r="AD11" s="61">
        <v>4.9329999999999998</v>
      </c>
      <c r="AE11" s="61">
        <v>18.631</v>
      </c>
      <c r="AF11">
        <v>32</v>
      </c>
      <c r="AG11" s="17">
        <f t="shared" si="7"/>
        <v>4.7058074999999997</v>
      </c>
      <c r="AH11" s="18">
        <f t="shared" si="8"/>
        <v>0.22156586847928708</v>
      </c>
      <c r="AI11" s="18">
        <f t="shared" si="9"/>
        <v>9.5649533526884753E-2</v>
      </c>
      <c r="AJ11" s="18">
        <f t="shared" si="10"/>
        <v>5.6448285614136597E-2</v>
      </c>
      <c r="AK11" s="18">
        <f t="shared" si="11"/>
        <v>0.12592269122435878</v>
      </c>
      <c r="AL11" s="15">
        <f t="shared" si="12"/>
        <v>2166920</v>
      </c>
      <c r="AM11" s="18">
        <f t="shared" si="13"/>
        <v>0.22600702011394977</v>
      </c>
      <c r="AN11" s="58">
        <v>22209611</v>
      </c>
      <c r="AO11" s="58">
        <v>694050.34375</v>
      </c>
      <c r="AP11" s="58">
        <v>23853.375</v>
      </c>
      <c r="AQ11" s="59">
        <v>5019528</v>
      </c>
      <c r="AR11" s="59">
        <v>1278824</v>
      </c>
      <c r="AS11" s="59">
        <v>888096</v>
      </c>
      <c r="AT11" s="59">
        <v>2852752</v>
      </c>
      <c r="AU11" s="60">
        <v>67.633171875000002</v>
      </c>
      <c r="AV11" s="60">
        <v>69.747609374999996</v>
      </c>
      <c r="AW11" s="60">
        <v>34.396753124999996</v>
      </c>
      <c r="AX11" s="60">
        <v>40.080587499999901</v>
      </c>
      <c r="AY11" s="60">
        <v>33.994296874999897</v>
      </c>
      <c r="AZ11" s="61">
        <v>7930.01</v>
      </c>
      <c r="BA11" s="61">
        <v>1201.5</v>
      </c>
      <c r="BB11" s="61">
        <v>7.1239999999999997</v>
      </c>
      <c r="BC11" s="61">
        <v>21.952000000000002</v>
      </c>
      <c r="BD11">
        <v>32</v>
      </c>
      <c r="BE11" s="23">
        <f t="shared" si="14"/>
        <v>-5.3042468410591237E-8</v>
      </c>
      <c r="BF11" s="23">
        <f t="shared" si="15"/>
        <v>3.7562638721677644E-5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0</v>
      </c>
      <c r="BV11" s="4">
        <f t="shared" si="18"/>
        <v>0.34375</v>
      </c>
      <c r="BW11" s="4">
        <f t="shared" si="19"/>
        <v>-2.5000000001455192E-2</v>
      </c>
      <c r="BX11" s="4">
        <f t="shared" si="20"/>
        <v>8</v>
      </c>
      <c r="BY11" s="4">
        <f t="shared" si="21"/>
        <v>56</v>
      </c>
      <c r="BZ11" s="4">
        <f t="shared" si="22"/>
        <v>136</v>
      </c>
      <c r="CA11" s="4">
        <f t="shared" si="23"/>
        <v>56</v>
      </c>
      <c r="CB11" s="4">
        <f t="shared" si="24"/>
        <v>-2.8125000000045475E-5</v>
      </c>
      <c r="CC11" s="4">
        <f t="shared" si="25"/>
        <v>9.3749999905412551E-6</v>
      </c>
      <c r="CD11" s="4">
        <f t="shared" si="26"/>
        <v>-4.6875000002444267E-5</v>
      </c>
      <c r="CE11" s="4">
        <f t="shared" si="27"/>
        <v>-1.2500000096338226E-5</v>
      </c>
      <c r="CF11" s="4">
        <f t="shared" si="28"/>
        <v>-3.1250001057969712E-6</v>
      </c>
    </row>
    <row r="12" spans="1:84" outlineLevel="1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7.300065</v>
      </c>
      <c r="J12" s="28">
        <f t="shared" si="1"/>
        <v>0.34371258103529456</v>
      </c>
      <c r="K12" s="28">
        <f t="shared" si="2"/>
        <v>0.11955653173375395</v>
      </c>
      <c r="L12" s="28">
        <f t="shared" si="3"/>
        <v>8.036128696674244E-2</v>
      </c>
      <c r="M12" s="28">
        <f t="shared" si="4"/>
        <v>0.22415181178690299</v>
      </c>
      <c r="N12" s="25">
        <f t="shared" si="5"/>
        <v>2708528</v>
      </c>
      <c r="O12" s="28">
        <f t="shared" si="6"/>
        <v>0.34275232094149466</v>
      </c>
      <c r="P12" s="62">
        <v>22718259</v>
      </c>
      <c r="Q12" s="62">
        <v>709946</v>
      </c>
      <c r="R12" s="62">
        <v>25700.6</v>
      </c>
      <c r="S12" s="63">
        <v>7786736</v>
      </c>
      <c r="T12" s="63">
        <v>1820568</v>
      </c>
      <c r="U12" s="63">
        <v>887960</v>
      </c>
      <c r="V12" s="63">
        <v>5078112</v>
      </c>
      <c r="W12" s="64">
        <v>69.0197</v>
      </c>
      <c r="X12" s="64">
        <v>71.363100000000003</v>
      </c>
      <c r="Y12" s="64">
        <v>36.5124</v>
      </c>
      <c r="Z12" s="64">
        <v>41.018799999999999</v>
      </c>
      <c r="AA12" s="64">
        <v>35.786299999999997</v>
      </c>
      <c r="AB12" s="65">
        <v>2065.64</v>
      </c>
      <c r="AC12" s="65">
        <v>1075.42</v>
      </c>
      <c r="AD12" s="65">
        <v>4.6289999999999996</v>
      </c>
      <c r="AE12" s="65">
        <v>17.811</v>
      </c>
      <c r="AF12">
        <v>32</v>
      </c>
      <c r="AG12" s="27">
        <f t="shared" si="7"/>
        <v>7.3000724999999997</v>
      </c>
      <c r="AH12" s="28">
        <f t="shared" si="8"/>
        <v>0.34371293416151438</v>
      </c>
      <c r="AI12" s="28">
        <f t="shared" si="9"/>
        <v>0.11956500676302922</v>
      </c>
      <c r="AJ12" s="28">
        <f t="shared" si="10"/>
        <v>8.0363758850281061E-2</v>
      </c>
      <c r="AK12" s="28">
        <f t="shared" si="11"/>
        <v>0.2241542836704416</v>
      </c>
      <c r="AL12" s="25">
        <f t="shared" si="12"/>
        <v>2708720</v>
      </c>
      <c r="AM12" s="28">
        <f t="shared" si="13"/>
        <v>0.3427526730811547</v>
      </c>
      <c r="AN12" s="62">
        <v>22718259</v>
      </c>
      <c r="AO12" s="62">
        <v>709945.59375</v>
      </c>
      <c r="AP12" s="62">
        <v>25700.59375</v>
      </c>
      <c r="AQ12" s="63">
        <v>7786744</v>
      </c>
      <c r="AR12" s="63">
        <v>1820624</v>
      </c>
      <c r="AS12" s="63">
        <v>888096</v>
      </c>
      <c r="AT12" s="63">
        <v>5078168</v>
      </c>
      <c r="AU12" s="64">
        <v>69.019671875</v>
      </c>
      <c r="AV12" s="64">
        <v>71.3631406249999</v>
      </c>
      <c r="AW12" s="64">
        <v>36.512412500000003</v>
      </c>
      <c r="AX12" s="64">
        <v>41.018809374999996</v>
      </c>
      <c r="AY12" s="64">
        <v>35.786293749999899</v>
      </c>
      <c r="AZ12" s="65">
        <v>5898.56</v>
      </c>
      <c r="BA12" s="65">
        <v>1304.79</v>
      </c>
      <c r="BB12" s="65">
        <v>6.2039999999999997</v>
      </c>
      <c r="BC12" s="65">
        <v>21.044</v>
      </c>
      <c r="BD12">
        <v>32</v>
      </c>
      <c r="BE12" s="33">
        <f t="shared" si="14"/>
        <v>1.191157118080044E-8</v>
      </c>
      <c r="BF12" s="33">
        <f t="shared" si="15"/>
        <v>2.4299924401172124E-5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0</v>
      </c>
      <c r="BV12" s="4">
        <f t="shared" si="18"/>
        <v>-0.40625</v>
      </c>
      <c r="BW12" s="4">
        <f t="shared" si="19"/>
        <v>-6.2499999985448085E-3</v>
      </c>
      <c r="BX12" s="4">
        <f t="shared" si="20"/>
        <v>8</v>
      </c>
      <c r="BY12" s="4">
        <f t="shared" si="21"/>
        <v>56</v>
      </c>
      <c r="BZ12" s="4">
        <f t="shared" si="22"/>
        <v>136</v>
      </c>
      <c r="CA12" s="4">
        <f t="shared" si="23"/>
        <v>56</v>
      </c>
      <c r="CB12" s="4">
        <f t="shared" si="24"/>
        <v>-2.8125000000045475E-5</v>
      </c>
      <c r="CC12" s="4">
        <f t="shared" si="25"/>
        <v>4.0624999897431735E-5</v>
      </c>
      <c r="CD12" s="4">
        <f t="shared" si="26"/>
        <v>1.2500000003967671E-5</v>
      </c>
      <c r="CE12" s="4">
        <f t="shared" si="27"/>
        <v>9.3749999976466825E-6</v>
      </c>
      <c r="CF12" s="4">
        <f t="shared" si="28"/>
        <v>-6.2500000979071046E-6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12.6498525</v>
      </c>
      <c r="J13" s="18">
        <f t="shared" si="1"/>
        <v>0.59559927925172906</v>
      </c>
      <c r="K13" s="18">
        <f t="shared" si="2"/>
        <v>0.16115126916432548</v>
      </c>
      <c r="L13" s="18">
        <f t="shared" si="3"/>
        <v>0.12195602439731397</v>
      </c>
      <c r="M13" s="18">
        <f t="shared" si="4"/>
        <v>0.43444377257276595</v>
      </c>
      <c r="N13" s="15">
        <f t="shared" si="5"/>
        <v>3650848</v>
      </c>
      <c r="O13" s="18">
        <f t="shared" si="6"/>
        <v>0.5720240922738753</v>
      </c>
      <c r="P13" s="58">
        <v>23588475</v>
      </c>
      <c r="Q13" s="58">
        <v>737140</v>
      </c>
      <c r="R13" s="58">
        <v>29305.5</v>
      </c>
      <c r="S13" s="59">
        <v>13493176</v>
      </c>
      <c r="T13" s="59">
        <v>2762888</v>
      </c>
      <c r="U13" s="59">
        <v>887960</v>
      </c>
      <c r="V13" s="59">
        <v>9842232</v>
      </c>
      <c r="W13" s="60">
        <v>70.058099999999996</v>
      </c>
      <c r="X13" s="60">
        <v>72.605800000000002</v>
      </c>
      <c r="Y13" s="60">
        <v>38.843400000000003</v>
      </c>
      <c r="Z13" s="60">
        <v>42.1999</v>
      </c>
      <c r="AA13" s="60">
        <v>37.872900000000001</v>
      </c>
      <c r="AB13" s="61">
        <v>2021.63</v>
      </c>
      <c r="AC13" s="61">
        <v>1156.3900000000001</v>
      </c>
      <c r="AD13" s="61">
        <v>4.6509999999999998</v>
      </c>
      <c r="AE13" s="61">
        <v>18.024000000000001</v>
      </c>
      <c r="AF13">
        <v>32</v>
      </c>
      <c r="AG13" s="17">
        <f t="shared" si="7"/>
        <v>12.64986</v>
      </c>
      <c r="AH13" s="18">
        <f t="shared" si="8"/>
        <v>0.59559963237794888</v>
      </c>
      <c r="AI13" s="18">
        <f t="shared" si="9"/>
        <v>0.16115974419360074</v>
      </c>
      <c r="AJ13" s="18">
        <f t="shared" si="10"/>
        <v>0.12195849628085258</v>
      </c>
      <c r="AK13" s="18">
        <f t="shared" si="11"/>
        <v>0.43444624445630459</v>
      </c>
      <c r="AL13" s="15">
        <f t="shared" si="12"/>
        <v>3651040</v>
      </c>
      <c r="AM13" s="18">
        <f t="shared" si="13"/>
        <v>0.57202443142254855</v>
      </c>
      <c r="AN13" s="58">
        <v>23588475</v>
      </c>
      <c r="AO13" s="58">
        <v>737139.84375</v>
      </c>
      <c r="AP13" s="58">
        <v>29305.53125</v>
      </c>
      <c r="AQ13" s="59">
        <v>13493184</v>
      </c>
      <c r="AR13" s="59">
        <v>2762944</v>
      </c>
      <c r="AS13" s="59">
        <v>888096</v>
      </c>
      <c r="AT13" s="59">
        <v>9842288</v>
      </c>
      <c r="AU13" s="60">
        <v>70.058049999999994</v>
      </c>
      <c r="AV13" s="60">
        <v>72.60575</v>
      </c>
      <c r="AW13" s="60">
        <v>38.843421874999997</v>
      </c>
      <c r="AX13" s="60">
        <v>42.199859374999903</v>
      </c>
      <c r="AY13" s="60">
        <v>37.872881249999999</v>
      </c>
      <c r="AZ13" s="61">
        <v>5910.68</v>
      </c>
      <c r="BA13" s="61">
        <v>1437.54</v>
      </c>
      <c r="BB13" s="61">
        <v>6.3360000000000003</v>
      </c>
      <c r="BC13" s="61">
        <v>21.404</v>
      </c>
      <c r="BD13">
        <v>32</v>
      </c>
      <c r="BE13" s="23">
        <f t="shared" si="14"/>
        <v>5.0820512423332964E-8</v>
      </c>
      <c r="BF13" s="23">
        <f t="shared" si="15"/>
        <v>1.4068987747695161E-5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0</v>
      </c>
      <c r="BV13" s="4">
        <f t="shared" si="18"/>
        <v>-0.15625</v>
      </c>
      <c r="BW13" s="4">
        <f t="shared" si="19"/>
        <v>3.125E-2</v>
      </c>
      <c r="BX13" s="4">
        <f t="shared" si="20"/>
        <v>8</v>
      </c>
      <c r="BY13" s="4">
        <f t="shared" si="21"/>
        <v>56</v>
      </c>
      <c r="BZ13" s="4">
        <f t="shared" si="22"/>
        <v>136</v>
      </c>
      <c r="CA13" s="4">
        <f t="shared" si="23"/>
        <v>56</v>
      </c>
      <c r="CB13" s="4">
        <f t="shared" si="24"/>
        <v>-5.0000000001659828E-5</v>
      </c>
      <c r="CC13" s="4">
        <f t="shared" si="25"/>
        <v>-5.0000000001659828E-5</v>
      </c>
      <c r="CD13" s="4">
        <f t="shared" si="26"/>
        <v>2.1874999994508926E-5</v>
      </c>
      <c r="CE13" s="4">
        <f t="shared" si="27"/>
        <v>-4.0625000096383701E-5</v>
      </c>
      <c r="CF13" s="4">
        <f t="shared" si="28"/>
        <v>-1.8750000002398792E-5</v>
      </c>
    </row>
    <row r="14" spans="1:84" ht="15.75" outlineLevel="1" thickBot="1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22.875877500000001</v>
      </c>
      <c r="J14" s="48">
        <f t="shared" si="1"/>
        <v>1.0770762861662495</v>
      </c>
      <c r="K14" s="48">
        <f t="shared" si="2"/>
        <v>0.26420621264669469</v>
      </c>
      <c r="L14" s="48">
        <f t="shared" si="3"/>
        <v>0.19156497109728102</v>
      </c>
      <c r="M14" s="48">
        <f t="shared" si="4"/>
        <v>0.81286583600491713</v>
      </c>
      <c r="N14" s="45">
        <f t="shared" si="5"/>
        <v>5985536</v>
      </c>
      <c r="O14" s="48">
        <f t="shared" si="6"/>
        <v>1.0898605099056258</v>
      </c>
      <c r="P14" s="70">
        <v>22389045</v>
      </c>
      <c r="Q14" s="70">
        <v>699658</v>
      </c>
      <c r="R14" s="70">
        <v>13460.2</v>
      </c>
      <c r="S14" s="71">
        <v>24400936</v>
      </c>
      <c r="T14" s="71">
        <v>4339864</v>
      </c>
      <c r="U14" s="71">
        <v>1645672</v>
      </c>
      <c r="V14" s="71">
        <v>18415304</v>
      </c>
      <c r="W14" s="72">
        <v>71.168800000000005</v>
      </c>
      <c r="X14" s="72">
        <v>74.761099999999999</v>
      </c>
      <c r="Y14" s="72">
        <v>41.099800000000002</v>
      </c>
      <c r="Z14" s="72">
        <v>43.5152</v>
      </c>
      <c r="AA14" s="72">
        <v>39.698300000000003</v>
      </c>
      <c r="AB14" s="73">
        <v>2150.9699999999998</v>
      </c>
      <c r="AC14" s="73">
        <v>1342.57</v>
      </c>
      <c r="AD14" s="73">
        <v>4.6820000000000004</v>
      </c>
      <c r="AE14" s="73">
        <v>20.068000000000001</v>
      </c>
      <c r="AF14">
        <v>32</v>
      </c>
      <c r="AG14" s="47">
        <f t="shared" si="7"/>
        <v>22.875885</v>
      </c>
      <c r="AH14" s="48">
        <f t="shared" si="8"/>
        <v>1.0770766392924693</v>
      </c>
      <c r="AI14" s="48">
        <f t="shared" si="9"/>
        <v>0.26421468767596995</v>
      </c>
      <c r="AJ14" s="48">
        <f t="shared" si="10"/>
        <v>0.19156744298081965</v>
      </c>
      <c r="AK14" s="48">
        <f t="shared" si="11"/>
        <v>0.81286830788845577</v>
      </c>
      <c r="AL14" s="45">
        <f t="shared" si="12"/>
        <v>5985728</v>
      </c>
      <c r="AM14" s="48">
        <f t="shared" si="13"/>
        <v>1.0898608672232335</v>
      </c>
      <c r="AN14" s="70">
        <v>22389045</v>
      </c>
      <c r="AO14" s="70">
        <v>699657.65625</v>
      </c>
      <c r="AP14" s="70">
        <v>13460.21875</v>
      </c>
      <c r="AQ14" s="71">
        <v>24400944</v>
      </c>
      <c r="AR14" s="71">
        <v>4339920</v>
      </c>
      <c r="AS14" s="71">
        <v>1645808</v>
      </c>
      <c r="AT14" s="71">
        <v>18415360</v>
      </c>
      <c r="AU14" s="72">
        <v>71.168831249999997</v>
      </c>
      <c r="AV14" s="72">
        <v>74.761062499999994</v>
      </c>
      <c r="AW14" s="72">
        <v>41.099753124999999</v>
      </c>
      <c r="AX14" s="72">
        <v>43.515153124999998</v>
      </c>
      <c r="AY14" s="72">
        <v>39.69825625</v>
      </c>
      <c r="AZ14" s="73">
        <v>5779.28</v>
      </c>
      <c r="BA14" s="73">
        <v>1677.58</v>
      </c>
      <c r="BB14" s="73">
        <v>5.8559999999999999</v>
      </c>
      <c r="BC14" s="73">
        <v>21.867999999999999</v>
      </c>
      <c r="BD14">
        <v>32</v>
      </c>
      <c r="BE14" s="53">
        <f t="shared" si="14"/>
        <v>3.6250801249693154E-8</v>
      </c>
      <c r="BF14" s="53">
        <f t="shared" si="15"/>
        <v>7.7881251011879815E-6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0</v>
      </c>
      <c r="BV14" s="4">
        <f t="shared" si="18"/>
        <v>-0.34375</v>
      </c>
      <c r="BW14" s="4">
        <f t="shared" si="19"/>
        <v>1.8749999999272404E-2</v>
      </c>
      <c r="BX14" s="4">
        <f t="shared" si="20"/>
        <v>8</v>
      </c>
      <c r="BY14" s="4">
        <f t="shared" si="21"/>
        <v>56</v>
      </c>
      <c r="BZ14" s="4">
        <f t="shared" si="22"/>
        <v>136</v>
      </c>
      <c r="CA14" s="4">
        <f t="shared" si="23"/>
        <v>56</v>
      </c>
      <c r="CB14" s="4">
        <f t="shared" si="24"/>
        <v>3.1249999992155608E-5</v>
      </c>
      <c r="CC14" s="4">
        <f t="shared" si="25"/>
        <v>-3.7500000004797585E-5</v>
      </c>
      <c r="CD14" s="4">
        <f t="shared" si="26"/>
        <v>-4.6875000002444267E-5</v>
      </c>
      <c r="CE14" s="4">
        <f t="shared" si="27"/>
        <v>-4.6875000002444267E-5</v>
      </c>
      <c r="CF14" s="4">
        <f t="shared" si="28"/>
        <v>-4.3750000003228706E-5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4.538265</v>
      </c>
      <c r="J15" s="18">
        <f t="shared" si="1"/>
        <v>0.14259621221078836</v>
      </c>
      <c r="K15" s="18">
        <f t="shared" si="2"/>
        <v>7.9609946094167508E-2</v>
      </c>
      <c r="L15" s="18">
        <f t="shared" si="3"/>
        <v>4.1411914638857315E-2</v>
      </c>
      <c r="M15" s="18">
        <f t="shared" si="4"/>
        <v>6.2983438238764677E-2</v>
      </c>
      <c r="N15" s="15">
        <f t="shared" si="5"/>
        <v>2702576</v>
      </c>
      <c r="O15" s="18">
        <f t="shared" si="6"/>
        <v>0.15668405739159325</v>
      </c>
      <c r="P15" s="58">
        <v>30895396</v>
      </c>
      <c r="Q15" s="58">
        <v>965481</v>
      </c>
      <c r="R15" s="58">
        <v>29621.599999999999</v>
      </c>
      <c r="S15" s="59">
        <v>4840816</v>
      </c>
      <c r="T15" s="59">
        <v>1405840</v>
      </c>
      <c r="U15" s="59">
        <v>1296736</v>
      </c>
      <c r="V15" s="59">
        <v>2138144</v>
      </c>
      <c r="W15" s="60">
        <v>65.996200000000002</v>
      </c>
      <c r="X15" s="60">
        <v>67.799599999999998</v>
      </c>
      <c r="Y15" s="60">
        <v>29.587199999999999</v>
      </c>
      <c r="Z15" s="60">
        <v>43.18</v>
      </c>
      <c r="AA15" s="60">
        <v>43.414299999999997</v>
      </c>
      <c r="AB15" s="61">
        <v>3274.36</v>
      </c>
      <c r="AC15" s="61">
        <v>1266.1300000000001</v>
      </c>
      <c r="AD15" s="61">
        <v>6.4710000000000001</v>
      </c>
      <c r="AE15" s="61">
        <v>23.245000000000001</v>
      </c>
      <c r="AF15">
        <v>32</v>
      </c>
      <c r="AG15" s="17">
        <f t="shared" si="7"/>
        <v>4.5382724999999997</v>
      </c>
      <c r="AH15" s="18">
        <f t="shared" si="8"/>
        <v>0.14259644786727638</v>
      </c>
      <c r="AI15" s="18">
        <f t="shared" si="9"/>
        <v>7.9615601849879869E-2</v>
      </c>
      <c r="AJ15" s="18">
        <f t="shared" si="10"/>
        <v>4.141356423427342E-2</v>
      </c>
      <c r="AK15" s="18">
        <f t="shared" si="11"/>
        <v>6.2985087834180789E-2</v>
      </c>
      <c r="AL15" s="15">
        <f t="shared" si="12"/>
        <v>2702768</v>
      </c>
      <c r="AM15" s="18">
        <f t="shared" si="13"/>
        <v>0.15668431632985058</v>
      </c>
      <c r="AN15" s="58">
        <v>30895396</v>
      </c>
      <c r="AO15" s="58">
        <v>965481.125</v>
      </c>
      <c r="AP15" s="58">
        <v>29621.5625</v>
      </c>
      <c r="AQ15" s="59">
        <v>4840824</v>
      </c>
      <c r="AR15" s="59">
        <v>1405896</v>
      </c>
      <c r="AS15" s="59">
        <v>1296872</v>
      </c>
      <c r="AT15" s="59">
        <v>2138200</v>
      </c>
      <c r="AU15" s="60">
        <v>65.996243750000005</v>
      </c>
      <c r="AV15" s="60">
        <v>67.799565625</v>
      </c>
      <c r="AW15" s="60">
        <v>29.58718125</v>
      </c>
      <c r="AX15" s="60">
        <v>43.17996875</v>
      </c>
      <c r="AY15" s="60">
        <v>43.4143468749999</v>
      </c>
      <c r="AZ15" s="61">
        <v>7367.24</v>
      </c>
      <c r="BA15" s="61">
        <v>1642.54</v>
      </c>
      <c r="BB15" s="61">
        <v>12.112</v>
      </c>
      <c r="BC15" s="61">
        <v>37.671999999999997</v>
      </c>
      <c r="BD15">
        <v>32</v>
      </c>
      <c r="BE15" s="23">
        <f t="shared" si="14"/>
        <v>-4.2812937677688678E-8</v>
      </c>
      <c r="BF15" s="23">
        <f t="shared" si="15"/>
        <v>3.8740033769024684E-5</v>
      </c>
      <c r="BG15" s="23">
        <f t="array" ref="BG15">AVERAGE(AL15:AL19/AQ15:AQ19) - AVERAGE(N15:N19/S15:S19)</f>
        <v>1.8039350191179082E-5</v>
      </c>
      <c r="BI15" s="24">
        <f>IF( OR(ISBLANK(N15:N19),ISBLANK(AL15:AL19), ISBLANK(W15:W19),ISBLANK(AU15:AU19)), "·", bdRateExtend( N15:N19,W15:W19, AL15:AL19,AU15:AU19))</f>
        <v>5.2405248790909909E-5</v>
      </c>
      <c r="BJ15" s="24">
        <f>IF( OR(ISBLANK(N15:N19),ISBLANK(AL15:AL19), ISBLANK(X15:X19),ISBLANK(AV15:AV19)), "·", bdRateExtend( N15:N19,X15:X19, AL15:AL19,AV15:AV19))</f>
        <v>5.0550415397365711E-5</v>
      </c>
      <c r="BK15" s="24">
        <f>IF( OR(ISBLANK(V15:V19),ISBLANK(AT15:AT19), ISBLANK(Y15:Y19),ISBLANK(AW15:AW19)), "·", bdRateExtend( V15:V19,Y15:Y19, AT15:AT19,AW15:AW19))</f>
        <v>9.9542330009860791E-6</v>
      </c>
      <c r="BL15" s="24">
        <f>IF( OR(ISBLANK(V15:V19),ISBLANK(AT15:AT19), ISBLANK(Z15:Z19),ISBLANK(AX15:AX19)), "·", bdRateExtend( V15:V19,Z15:Z19, AT15:AT19,AX15:AX19))</f>
        <v>6.8368817263131376E-6</v>
      </c>
      <c r="BM15" s="24">
        <f>IF( OR(ISBLANK(V15:V19),ISBLANK(AT15:AT19), ISBLANK(AA15:AA19),ISBLANK(AY15:AY19)), "·", bdRateExtend( V15:V19,AA15:AA19, AT15:AT19,AY15:AY19))</f>
        <v>8.3631668241768153E-6</v>
      </c>
      <c r="BO15" s="24">
        <f>IF( OR(ISBLANK(S15:S19),ISBLANK(AQ15:AQ19), ISBLANK(W15:W19),ISBLANK(AU15:AU19)), "·", bdRateExtend( S15:S19,W15:W19, AQ15:AQ19,AU15:AU19))</f>
        <v>2.2247085618154472E-6</v>
      </c>
      <c r="BP15" s="24">
        <f>IF( OR(ISBLANK(S15:S19),ISBLANK(AQ15:AQ19), ISBLANK(X15:X19),ISBLANK(AV15:AV19)), "·", bdRateExtend( S15:S19,X15:X19, AQ15:AQ19,AV15:AV19))</f>
        <v>5.3311026633195979E-6</v>
      </c>
      <c r="BQ15" s="24">
        <f>IF( OR(ISBLANK(S15:S19),ISBLANK(AQ15:AQ19), ISBLANK(Y15:Y19),ISBLANK(AW15:AW19)), "·", bdRateExtend( S15:S19,Y15:Y19, AQ15:AQ19,AW15:AW19))</f>
        <v>1.4371560448367404E-6</v>
      </c>
      <c r="BR15" s="24">
        <f>IF( OR(ISBLANK(S15:S19),ISBLANK(AQ15:AQ19), ISBLANK(Z15:Z19),ISBLANK(AX15:AX19)), "·", bdRateExtend( S15:S19,Z15:Z19, AQ15:AQ19,AX15:AX19))</f>
        <v>-9.2666228834747955E-7</v>
      </c>
      <c r="BS15" s="24">
        <f>IF( OR(ISBLANK(S15:S19),ISBLANK(AQ15:AQ19), ISBLANK(AA15:AA19),ISBLANK(AY15:AY19)), "·", bdRateExtend( S15:S19,AA15:AA19, AQ15:AQ19,AY15:AY19))</f>
        <v>7.947456723833568E-7</v>
      </c>
      <c r="BU15" s="4">
        <f t="shared" si="17"/>
        <v>0</v>
      </c>
      <c r="BV15" s="4">
        <f t="shared" si="18"/>
        <v>0.125</v>
      </c>
      <c r="BW15" s="4">
        <f t="shared" si="19"/>
        <v>-3.7499999998544808E-2</v>
      </c>
      <c r="BX15" s="4">
        <f t="shared" si="20"/>
        <v>8</v>
      </c>
      <c r="BY15" s="4">
        <f t="shared" si="21"/>
        <v>56</v>
      </c>
      <c r="BZ15" s="4">
        <f t="shared" si="22"/>
        <v>136</v>
      </c>
      <c r="CA15" s="4">
        <f t="shared" si="23"/>
        <v>56</v>
      </c>
      <c r="CB15" s="4">
        <f t="shared" si="24"/>
        <v>4.3750000003228706E-5</v>
      </c>
      <c r="CC15" s="4">
        <f t="shared" si="25"/>
        <v>-3.4374999998476596E-5</v>
      </c>
      <c r="CD15" s="4">
        <f t="shared" si="26"/>
        <v>-1.8749999998846079E-5</v>
      </c>
      <c r="CE15" s="4">
        <f t="shared" si="27"/>
        <v>-3.1249999999261036E-5</v>
      </c>
      <c r="CF15" s="4">
        <f t="shared" si="28"/>
        <v>4.6874999902968284E-5</v>
      </c>
    </row>
    <row r="16" spans="1:84" outlineLevel="1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7.2577274999999997</v>
      </c>
      <c r="J16" s="28">
        <f t="shared" si="1"/>
        <v>0.22804407648254885</v>
      </c>
      <c r="K16" s="28">
        <f t="shared" si="2"/>
        <v>9.5813450553583604E-2</v>
      </c>
      <c r="L16" s="28">
        <f t="shared" si="3"/>
        <v>5.7615419098273411E-2</v>
      </c>
      <c r="M16" s="28">
        <f t="shared" si="4"/>
        <v>0.13222779805110907</v>
      </c>
      <c r="N16" s="25">
        <f t="shared" si="5"/>
        <v>3252648</v>
      </c>
      <c r="O16" s="28">
        <f t="shared" si="6"/>
        <v>0.23094398916705378</v>
      </c>
      <c r="P16" s="62">
        <v>33521444</v>
      </c>
      <c r="Q16" s="62">
        <v>1047550</v>
      </c>
      <c r="R16" s="62">
        <v>37744.800000000003</v>
      </c>
      <c r="S16" s="63">
        <v>7741576</v>
      </c>
      <c r="T16" s="63">
        <v>1955912</v>
      </c>
      <c r="U16" s="63">
        <v>1296736</v>
      </c>
      <c r="V16" s="63">
        <v>4488832</v>
      </c>
      <c r="W16" s="64">
        <v>67.830699999999993</v>
      </c>
      <c r="X16" s="64">
        <v>69.850399999999993</v>
      </c>
      <c r="Y16" s="64">
        <v>32.045299999999997</v>
      </c>
      <c r="Z16" s="64">
        <v>43.979700000000001</v>
      </c>
      <c r="AA16" s="64">
        <v>44.391800000000003</v>
      </c>
      <c r="AB16" s="65">
        <v>3115.94</v>
      </c>
      <c r="AC16" s="65">
        <v>1372.53</v>
      </c>
      <c r="AD16" s="65">
        <v>6.8929999999999998</v>
      </c>
      <c r="AE16" s="65">
        <v>23.202999999999999</v>
      </c>
      <c r="AF16">
        <v>32</v>
      </c>
      <c r="AG16" s="27">
        <f t="shared" si="7"/>
        <v>7.2577350000000003</v>
      </c>
      <c r="AH16" s="28">
        <f t="shared" si="8"/>
        <v>0.22804431213903686</v>
      </c>
      <c r="AI16" s="28">
        <f t="shared" si="9"/>
        <v>9.5819106309295965E-2</v>
      </c>
      <c r="AJ16" s="28">
        <f t="shared" si="10"/>
        <v>5.7617068693689516E-2</v>
      </c>
      <c r="AK16" s="28">
        <f t="shared" si="11"/>
        <v>0.13222944764652517</v>
      </c>
      <c r="AL16" s="25">
        <f t="shared" si="12"/>
        <v>3252840</v>
      </c>
      <c r="AM16" s="28">
        <f t="shared" si="13"/>
        <v>0.23094422782025739</v>
      </c>
      <c r="AN16" s="62">
        <v>33521444</v>
      </c>
      <c r="AO16" s="62">
        <v>1047545.125</v>
      </c>
      <c r="AP16" s="62">
        <v>37744.8125</v>
      </c>
      <c r="AQ16" s="63">
        <v>7741584</v>
      </c>
      <c r="AR16" s="63">
        <v>1955968</v>
      </c>
      <c r="AS16" s="63">
        <v>1296872</v>
      </c>
      <c r="AT16" s="63">
        <v>4488888</v>
      </c>
      <c r="AU16" s="64">
        <v>67.830737499999998</v>
      </c>
      <c r="AV16" s="64">
        <v>69.850415624999997</v>
      </c>
      <c r="AW16" s="64">
        <v>32.045284374999902</v>
      </c>
      <c r="AX16" s="64">
        <v>43.979681249999999</v>
      </c>
      <c r="AY16" s="64">
        <v>44.391762499999999</v>
      </c>
      <c r="AZ16" s="65">
        <v>10178.9</v>
      </c>
      <c r="BA16" s="65">
        <v>1632.4</v>
      </c>
      <c r="BB16" s="65">
        <v>9.9120000000000008</v>
      </c>
      <c r="BC16" s="65">
        <v>31.423999999999999</v>
      </c>
      <c r="BD16">
        <v>32</v>
      </c>
      <c r="BE16" s="33">
        <f t="shared" si="14"/>
        <v>1.7961381150455313E-7</v>
      </c>
      <c r="BF16" s="33">
        <f t="shared" si="15"/>
        <v>2.4366947943332828E-5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0</v>
      </c>
      <c r="BV16" s="4">
        <f t="shared" si="18"/>
        <v>-4.875</v>
      </c>
      <c r="BW16" s="4">
        <f t="shared" si="19"/>
        <v>1.2499999997089617E-2</v>
      </c>
      <c r="BX16" s="4">
        <f t="shared" si="20"/>
        <v>8</v>
      </c>
      <c r="BY16" s="4">
        <f t="shared" si="21"/>
        <v>56</v>
      </c>
      <c r="BZ16" s="4">
        <f t="shared" si="22"/>
        <v>136</v>
      </c>
      <c r="CA16" s="4">
        <f t="shared" si="23"/>
        <v>56</v>
      </c>
      <c r="CB16" s="4">
        <f t="shared" si="24"/>
        <v>3.7500000004797585E-5</v>
      </c>
      <c r="CC16" s="4">
        <f t="shared" si="25"/>
        <v>1.5625000003183231E-5</v>
      </c>
      <c r="CD16" s="4">
        <f t="shared" si="26"/>
        <v>-1.5625000095553787E-5</v>
      </c>
      <c r="CE16" s="4">
        <f t="shared" si="27"/>
        <v>-1.8750000002398792E-5</v>
      </c>
      <c r="CF16" s="4">
        <f t="shared" si="28"/>
        <v>-3.7500000004797585E-5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12.2187225</v>
      </c>
      <c r="J17" s="18">
        <f t="shared" si="1"/>
        <v>0.38392283098380869</v>
      </c>
      <c r="K17" s="18">
        <f t="shared" si="2"/>
        <v>0.11977028912517772</v>
      </c>
      <c r="L17" s="18">
        <f t="shared" si="3"/>
        <v>8.1572257669867532E-2</v>
      </c>
      <c r="M17" s="18">
        <f t="shared" si="4"/>
        <v>0.2641497139807748</v>
      </c>
      <c r="N17" s="15">
        <f t="shared" si="5"/>
        <v>4065928</v>
      </c>
      <c r="O17" s="18">
        <f t="shared" si="6"/>
        <v>0.38390314260972463</v>
      </c>
      <c r="P17" s="58">
        <v>33949459</v>
      </c>
      <c r="Q17" s="58">
        <v>1060920</v>
      </c>
      <c r="R17" s="58">
        <v>39535.1</v>
      </c>
      <c r="S17" s="59">
        <v>13033304</v>
      </c>
      <c r="T17" s="59">
        <v>2769192</v>
      </c>
      <c r="U17" s="59">
        <v>1296736</v>
      </c>
      <c r="V17" s="59">
        <v>8967280</v>
      </c>
      <c r="W17" s="60">
        <v>69.250600000000006</v>
      </c>
      <c r="X17" s="60">
        <v>71.669700000000006</v>
      </c>
      <c r="Y17" s="60">
        <v>34.6023</v>
      </c>
      <c r="Z17" s="60">
        <v>44.831899999999997</v>
      </c>
      <c r="AA17" s="60">
        <v>45.299399999999999</v>
      </c>
      <c r="AB17" s="61">
        <v>3133.17</v>
      </c>
      <c r="AC17" s="61">
        <v>1490.75</v>
      </c>
      <c r="AD17" s="61">
        <v>7.1040000000000001</v>
      </c>
      <c r="AE17" s="61">
        <v>23.981999999999999</v>
      </c>
      <c r="AF17">
        <v>32</v>
      </c>
      <c r="AG17" s="17">
        <f t="shared" si="7"/>
        <v>12.218730000000001</v>
      </c>
      <c r="AH17" s="18">
        <f t="shared" si="8"/>
        <v>0.38392306664029668</v>
      </c>
      <c r="AI17" s="18">
        <f t="shared" si="9"/>
        <v>0.11977594488089008</v>
      </c>
      <c r="AJ17" s="18">
        <f t="shared" si="10"/>
        <v>8.1573907265283629E-2</v>
      </c>
      <c r="AK17" s="18">
        <f t="shared" si="11"/>
        <v>0.2641513635761909</v>
      </c>
      <c r="AL17" s="15">
        <f t="shared" si="12"/>
        <v>4066120</v>
      </c>
      <c r="AM17" s="18">
        <f t="shared" si="13"/>
        <v>0.38390337825412768</v>
      </c>
      <c r="AN17" s="58">
        <v>33949459</v>
      </c>
      <c r="AO17" s="58">
        <v>1060920.59375</v>
      </c>
      <c r="AP17" s="58">
        <v>39535.09375</v>
      </c>
      <c r="AQ17" s="59">
        <v>13033312</v>
      </c>
      <c r="AR17" s="59">
        <v>2769248</v>
      </c>
      <c r="AS17" s="59">
        <v>1296872</v>
      </c>
      <c r="AT17" s="59">
        <v>8967336</v>
      </c>
      <c r="AU17" s="60">
        <v>69.250596874999999</v>
      </c>
      <c r="AV17" s="60">
        <v>71.669684375000003</v>
      </c>
      <c r="AW17" s="60">
        <v>34.602318750000002</v>
      </c>
      <c r="AX17" s="60">
        <v>44.831874999999897</v>
      </c>
      <c r="AY17" s="60">
        <v>45.299362500000001</v>
      </c>
      <c r="AZ17" s="61">
        <v>10254.700000000001</v>
      </c>
      <c r="BA17" s="61">
        <v>1751.42</v>
      </c>
      <c r="BB17" s="61">
        <v>8.2840000000000007</v>
      </c>
      <c r="BC17" s="61">
        <v>25.024000000000001</v>
      </c>
      <c r="BD17">
        <v>32</v>
      </c>
      <c r="BE17" s="23">
        <f t="shared" si="14"/>
        <v>-2.6746626483054037E-8</v>
      </c>
      <c r="BF17" s="23">
        <f t="shared" si="15"/>
        <v>1.4539994446671756E-5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0</v>
      </c>
      <c r="BV17" s="4">
        <f t="shared" si="18"/>
        <v>0.59375</v>
      </c>
      <c r="BW17" s="4">
        <f t="shared" si="19"/>
        <v>-6.2499999985448085E-3</v>
      </c>
      <c r="BX17" s="4">
        <f t="shared" si="20"/>
        <v>8</v>
      </c>
      <c r="BY17" s="4">
        <f t="shared" si="21"/>
        <v>56</v>
      </c>
      <c r="BZ17" s="4">
        <f t="shared" si="22"/>
        <v>136</v>
      </c>
      <c r="CA17" s="4">
        <f t="shared" si="23"/>
        <v>56</v>
      </c>
      <c r="CB17" s="4">
        <f t="shared" si="24"/>
        <v>-3.1250000063209882E-6</v>
      </c>
      <c r="CC17" s="4">
        <f t="shared" si="25"/>
        <v>-1.5625000003183231E-5</v>
      </c>
      <c r="CD17" s="4">
        <f t="shared" si="26"/>
        <v>1.8750000002398792E-5</v>
      </c>
      <c r="CE17" s="4">
        <f t="shared" si="27"/>
        <v>-2.5000000100305897E-5</v>
      </c>
      <c r="CF17" s="4">
        <f t="shared" si="28"/>
        <v>-3.7499999997692157E-5</v>
      </c>
    </row>
    <row r="18" spans="1:84" outlineLevel="1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22.058272500000001</v>
      </c>
      <c r="J18" s="28">
        <f t="shared" si="1"/>
        <v>0.69309000387006869</v>
      </c>
      <c r="K18" s="28">
        <f t="shared" si="2"/>
        <v>0.159077320013086</v>
      </c>
      <c r="L18" s="28">
        <f t="shared" si="3"/>
        <v>0.12087928855777581</v>
      </c>
      <c r="M18" s="28">
        <f t="shared" si="4"/>
        <v>0.53400985597912654</v>
      </c>
      <c r="N18" s="25">
        <f t="shared" si="5"/>
        <v>5400312</v>
      </c>
      <c r="O18" s="28">
        <f t="shared" si="6"/>
        <v>0.66452745725756457</v>
      </c>
      <c r="P18" s="62">
        <v>35406850</v>
      </c>
      <c r="Q18" s="62">
        <v>1106460</v>
      </c>
      <c r="R18" s="62">
        <v>45080.3</v>
      </c>
      <c r="S18" s="63">
        <v>23528824</v>
      </c>
      <c r="T18" s="63">
        <v>4103576</v>
      </c>
      <c r="U18" s="63">
        <v>1296736</v>
      </c>
      <c r="V18" s="63">
        <v>18128416</v>
      </c>
      <c r="W18" s="64">
        <v>70.379800000000003</v>
      </c>
      <c r="X18" s="64">
        <v>72.996700000000004</v>
      </c>
      <c r="Y18" s="64">
        <v>37.257100000000001</v>
      </c>
      <c r="Z18" s="64">
        <v>46.1935</v>
      </c>
      <c r="AA18" s="64">
        <v>46.690199999999997</v>
      </c>
      <c r="AB18" s="65">
        <v>3382.93</v>
      </c>
      <c r="AC18" s="65">
        <v>1971.82</v>
      </c>
      <c r="AD18" s="65">
        <v>7.891</v>
      </c>
      <c r="AE18" s="65">
        <v>27.363</v>
      </c>
      <c r="AF18">
        <v>32</v>
      </c>
      <c r="AG18" s="27">
        <f t="shared" si="7"/>
        <v>22.05828</v>
      </c>
      <c r="AH18" s="28">
        <f t="shared" si="8"/>
        <v>0.69309023952655668</v>
      </c>
      <c r="AI18" s="28">
        <f t="shared" si="9"/>
        <v>0.15908297576879837</v>
      </c>
      <c r="AJ18" s="28">
        <f t="shared" si="10"/>
        <v>0.12088093815319191</v>
      </c>
      <c r="AK18" s="28">
        <f t="shared" si="11"/>
        <v>0.53401150557454258</v>
      </c>
      <c r="AL18" s="25">
        <f t="shared" si="12"/>
        <v>5400504</v>
      </c>
      <c r="AM18" s="28">
        <f t="shared" si="13"/>
        <v>0.66452768320254418</v>
      </c>
      <c r="AN18" s="62">
        <v>35406850</v>
      </c>
      <c r="AO18" s="62">
        <v>1106464.0625</v>
      </c>
      <c r="AP18" s="62">
        <v>45080.28125</v>
      </c>
      <c r="AQ18" s="63">
        <v>23528832</v>
      </c>
      <c r="AR18" s="63">
        <v>4103632</v>
      </c>
      <c r="AS18" s="63">
        <v>1296872</v>
      </c>
      <c r="AT18" s="63">
        <v>18128472</v>
      </c>
      <c r="AU18" s="64">
        <v>70.379759374999907</v>
      </c>
      <c r="AV18" s="64">
        <v>72.996671874999905</v>
      </c>
      <c r="AW18" s="64">
        <v>37.257087499999997</v>
      </c>
      <c r="AX18" s="64">
        <v>46.193543750000003</v>
      </c>
      <c r="AY18" s="64">
        <v>46.690234375000003</v>
      </c>
      <c r="AZ18" s="65">
        <v>10287.5</v>
      </c>
      <c r="BA18" s="65">
        <v>2009.21</v>
      </c>
      <c r="BB18" s="65">
        <v>12.523999999999999</v>
      </c>
      <c r="BC18" s="65">
        <v>37.991999999999997</v>
      </c>
      <c r="BD18">
        <v>32</v>
      </c>
      <c r="BE18" s="33">
        <f t="shared" si="14"/>
        <v>-1.6653745045502877E-7</v>
      </c>
      <c r="BF18" s="33">
        <f t="shared" si="15"/>
        <v>8.0821626867177976E-6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0</v>
      </c>
      <c r="BV18" s="4">
        <f t="shared" si="18"/>
        <v>4.0625</v>
      </c>
      <c r="BW18" s="4">
        <f t="shared" si="19"/>
        <v>-1.8750000002910383E-2</v>
      </c>
      <c r="BX18" s="4">
        <f t="shared" si="20"/>
        <v>8</v>
      </c>
      <c r="BY18" s="4">
        <f t="shared" si="21"/>
        <v>56</v>
      </c>
      <c r="BZ18" s="4">
        <f t="shared" si="22"/>
        <v>136</v>
      </c>
      <c r="CA18" s="4">
        <f t="shared" si="23"/>
        <v>56</v>
      </c>
      <c r="CB18" s="4">
        <f t="shared" si="24"/>
        <v>-4.0625000096383701E-5</v>
      </c>
      <c r="CC18" s="4">
        <f t="shared" si="25"/>
        <v>-2.8125000099521458E-5</v>
      </c>
      <c r="CD18" s="4">
        <f t="shared" si="26"/>
        <v>-1.2500000003967671E-5</v>
      </c>
      <c r="CE18" s="4">
        <f t="shared" si="27"/>
        <v>4.3750000003228706E-5</v>
      </c>
      <c r="CF18" s="4">
        <f t="shared" si="28"/>
        <v>3.4375000005582024E-5</v>
      </c>
    </row>
    <row r="19" spans="1:84" ht="15.75" outlineLevel="1" thickBot="1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39.9489825</v>
      </c>
      <c r="J19" s="38">
        <f t="shared" si="1"/>
        <v>1.2552315887624612</v>
      </c>
      <c r="K19" s="38">
        <f t="shared" si="2"/>
        <v>0.25496405973444225</v>
      </c>
      <c r="L19" s="38">
        <f t="shared" si="3"/>
        <v>0.18415965397143927</v>
      </c>
      <c r="M19" s="38">
        <f t="shared" si="4"/>
        <v>1.0002647011501626</v>
      </c>
      <c r="N19" s="35">
        <f t="shared" si="5"/>
        <v>8655448</v>
      </c>
      <c r="O19" s="38">
        <f t="shared" si="6"/>
        <v>1.265302095055727</v>
      </c>
      <c r="P19" s="66">
        <v>33677529</v>
      </c>
      <c r="Q19" s="66">
        <v>1052420</v>
      </c>
      <c r="R19" s="66">
        <v>20028</v>
      </c>
      <c r="S19" s="67">
        <v>42612248</v>
      </c>
      <c r="T19" s="67">
        <v>6251800</v>
      </c>
      <c r="U19" s="67">
        <v>2403648</v>
      </c>
      <c r="V19" s="67">
        <v>33956704</v>
      </c>
      <c r="W19" s="68">
        <v>71.497100000000003</v>
      </c>
      <c r="X19" s="68">
        <v>75.069800000000001</v>
      </c>
      <c r="Y19" s="68">
        <v>39.335700000000003</v>
      </c>
      <c r="Z19" s="68">
        <v>47.947400000000002</v>
      </c>
      <c r="AA19" s="68">
        <v>48.551299999999998</v>
      </c>
      <c r="AB19" s="69">
        <v>2848.7</v>
      </c>
      <c r="AC19" s="69">
        <v>1839.53</v>
      </c>
      <c r="AD19" s="69">
        <v>6.1920000000000002</v>
      </c>
      <c r="AE19" s="69">
        <v>23.984999999999999</v>
      </c>
      <c r="AF19">
        <v>32</v>
      </c>
      <c r="AG19" s="37">
        <f t="shared" si="7"/>
        <v>39.948990000000002</v>
      </c>
      <c r="AH19" s="38">
        <f t="shared" si="8"/>
        <v>1.2552318244189491</v>
      </c>
      <c r="AI19" s="38">
        <f t="shared" si="9"/>
        <v>0.25496971549015457</v>
      </c>
      <c r="AJ19" s="38">
        <f t="shared" si="10"/>
        <v>0.18416130356685537</v>
      </c>
      <c r="AK19" s="38">
        <f t="shared" si="11"/>
        <v>1.0002663507455789</v>
      </c>
      <c r="AL19" s="35">
        <f t="shared" si="12"/>
        <v>8655640</v>
      </c>
      <c r="AM19" s="38">
        <f t="shared" si="13"/>
        <v>1.2653023326028463</v>
      </c>
      <c r="AN19" s="66">
        <v>33677529</v>
      </c>
      <c r="AO19" s="66">
        <v>1052422.78125</v>
      </c>
      <c r="AP19" s="66">
        <v>20027.96875</v>
      </c>
      <c r="AQ19" s="67">
        <v>42612256</v>
      </c>
      <c r="AR19" s="67">
        <v>6251856</v>
      </c>
      <c r="AS19" s="67">
        <v>2403784</v>
      </c>
      <c r="AT19" s="67">
        <v>33956760</v>
      </c>
      <c r="AU19" s="68">
        <v>71.497065624999905</v>
      </c>
      <c r="AV19" s="68">
        <v>75.069756249999998</v>
      </c>
      <c r="AW19" s="68">
        <v>39.335715624999999</v>
      </c>
      <c r="AX19" s="68">
        <v>47.947415624999998</v>
      </c>
      <c r="AY19" s="68">
        <v>48.551328124999998</v>
      </c>
      <c r="AZ19" s="69">
        <v>9334.5400000000009</v>
      </c>
      <c r="BA19" s="69">
        <v>2476.94</v>
      </c>
      <c r="BB19" s="69">
        <v>9.1479999999999997</v>
      </c>
      <c r="BC19" s="69">
        <v>30.827999999999999</v>
      </c>
      <c r="BD19">
        <v>32</v>
      </c>
      <c r="BE19" s="43">
        <f t="shared" si="14"/>
        <v>-7.9985317074510176E-8</v>
      </c>
      <c r="BF19" s="43">
        <f t="shared" si="15"/>
        <v>4.467612110314878E-6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0</v>
      </c>
      <c r="BV19" s="4">
        <f t="shared" si="18"/>
        <v>2.78125</v>
      </c>
      <c r="BW19" s="4">
        <f t="shared" si="19"/>
        <v>-3.125E-2</v>
      </c>
      <c r="BX19" s="4">
        <f t="shared" si="20"/>
        <v>8</v>
      </c>
      <c r="BY19" s="4">
        <f t="shared" si="21"/>
        <v>56</v>
      </c>
      <c r="BZ19" s="4">
        <f t="shared" si="22"/>
        <v>136</v>
      </c>
      <c r="CA19" s="4">
        <f t="shared" si="23"/>
        <v>56</v>
      </c>
      <c r="CB19" s="4">
        <f t="shared" si="24"/>
        <v>-3.4375000097952579E-5</v>
      </c>
      <c r="CC19" s="4">
        <f t="shared" si="25"/>
        <v>-4.3750000003228706E-5</v>
      </c>
      <c r="CD19" s="4">
        <f t="shared" si="26"/>
        <v>1.5624999996077804E-5</v>
      </c>
      <c r="CE19" s="4">
        <f t="shared" si="27"/>
        <v>1.5624999996077804E-5</v>
      </c>
      <c r="CF19" s="4">
        <f t="shared" si="28"/>
        <v>2.8125000000045475E-5</v>
      </c>
    </row>
    <row r="20" spans="1:84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5.3420125000000001</v>
      </c>
      <c r="J20" s="28">
        <f t="shared" si="1"/>
        <v>0.10614485854438063</v>
      </c>
      <c r="K20" s="28">
        <f t="shared" si="2"/>
        <v>5.9847170612850317E-2</v>
      </c>
      <c r="L20" s="28">
        <f t="shared" si="3"/>
        <v>2.9250122393470801E-2</v>
      </c>
      <c r="M20" s="28">
        <f t="shared" si="4"/>
        <v>4.629470745763932E-2</v>
      </c>
      <c r="N20" s="25">
        <f t="shared" si="5"/>
        <v>1927656</v>
      </c>
      <c r="O20" s="28">
        <f t="shared" si="6"/>
        <v>0.11309422642172766</v>
      </c>
      <c r="P20" s="62">
        <v>30230438</v>
      </c>
      <c r="Q20" s="62">
        <v>944701</v>
      </c>
      <c r="R20" s="62">
        <v>27161</v>
      </c>
      <c r="S20" s="63">
        <v>3418888</v>
      </c>
      <c r="T20" s="63">
        <v>942136</v>
      </c>
      <c r="U20" s="63">
        <v>985520</v>
      </c>
      <c r="V20" s="63">
        <v>1491136</v>
      </c>
      <c r="W20" s="64">
        <v>67.065799999999996</v>
      </c>
      <c r="X20" s="64">
        <v>68.733999999999995</v>
      </c>
      <c r="Y20" s="64">
        <v>30.882400000000001</v>
      </c>
      <c r="Z20" s="64">
        <v>39.533900000000003</v>
      </c>
      <c r="AA20" s="64">
        <v>38.395600000000002</v>
      </c>
      <c r="AB20" s="65">
        <v>2996.73</v>
      </c>
      <c r="AC20" s="65">
        <v>986.601</v>
      </c>
      <c r="AD20" s="65">
        <v>5.51</v>
      </c>
      <c r="AE20" s="65">
        <v>16.614999999999998</v>
      </c>
      <c r="AF20">
        <v>32</v>
      </c>
      <c r="AG20" s="27">
        <f t="shared" si="7"/>
        <v>5.3420249999999996</v>
      </c>
      <c r="AH20" s="28">
        <f t="shared" si="8"/>
        <v>0.10614510691720488</v>
      </c>
      <c r="AI20" s="28">
        <f t="shared" si="9"/>
        <v>5.9853131560632322E-2</v>
      </c>
      <c r="AJ20" s="28">
        <f t="shared" si="10"/>
        <v>2.9251861003240551E-2</v>
      </c>
      <c r="AK20" s="28">
        <f t="shared" si="11"/>
        <v>4.6296446067409069E-2</v>
      </c>
      <c r="AL20" s="25">
        <f t="shared" si="12"/>
        <v>1927848</v>
      </c>
      <c r="AM20" s="28">
        <f t="shared" si="13"/>
        <v>0.11309449105567045</v>
      </c>
      <c r="AN20" s="62">
        <v>30230438</v>
      </c>
      <c r="AO20" s="62">
        <v>944701.1875</v>
      </c>
      <c r="AP20" s="62">
        <v>27161</v>
      </c>
      <c r="AQ20" s="63">
        <v>3418896</v>
      </c>
      <c r="AR20" s="63">
        <v>942192</v>
      </c>
      <c r="AS20" s="63">
        <v>985656</v>
      </c>
      <c r="AT20" s="63">
        <v>1491192</v>
      </c>
      <c r="AU20" s="64">
        <v>67.065771874999996</v>
      </c>
      <c r="AV20" s="64">
        <v>68.733975000000001</v>
      </c>
      <c r="AW20" s="64">
        <v>30.882368750000001</v>
      </c>
      <c r="AX20" s="64">
        <v>39.533853124999901</v>
      </c>
      <c r="AY20" s="64">
        <v>38.3956374999999</v>
      </c>
      <c r="AZ20" s="65">
        <v>10212.5</v>
      </c>
      <c r="BA20" s="65">
        <v>1173.28</v>
      </c>
      <c r="BB20" s="65">
        <v>8.1080000000000005</v>
      </c>
      <c r="BC20" s="65">
        <v>20.544</v>
      </c>
      <c r="BD20">
        <v>32</v>
      </c>
      <c r="BE20" s="33">
        <f t="shared" si="14"/>
        <v>-5.7063471829710277E-9</v>
      </c>
      <c r="BF20" s="33">
        <f t="shared" si="15"/>
        <v>5.4839163447062411E-5</v>
      </c>
      <c r="BG20" s="33">
        <f t="array" ref="BG20">AVERAGE(AL20:AL24/AQ20:AQ24) - AVERAGE(N20:N24/S20:S24)</f>
        <v>2.6116118489849516E-5</v>
      </c>
      <c r="BI20" s="34">
        <f>IF( OR(ISBLANK(N20:N24),ISBLANK(AL20:AL24), ISBLANK(W20:W24),ISBLANK(AU20:AU24)), "·", bdRateExtend( N20:N24,W20:W24, AL20:AL24,AU20:AU24))</f>
        <v>6.894511269228687E-5</v>
      </c>
      <c r="BJ20" s="34">
        <f>IF( OR(ISBLANK(N20:N24),ISBLANK(AL20:AL24), ISBLANK(X20:X24),ISBLANK(AV20:AV24)), "·", bdRateExtend( N20:N24,X20:X24, AL20:AL24,AV20:AV24))</f>
        <v>7.0171851079159353E-5</v>
      </c>
      <c r="BK20" s="34">
        <f>IF( OR(ISBLANK(V20:V24),ISBLANK(AT20:AT24), ISBLANK(Y20:Y24),ISBLANK(AW20:AW24)), "·", bdRateExtend( V20:V24,Y20:Y24, AT20:AT24,AW20:AW24))</f>
        <v>1.4707205219677277E-5</v>
      </c>
      <c r="BL20" s="34">
        <f>IF( OR(ISBLANK(V20:V24),ISBLANK(AT20:AT24), ISBLANK(Z20:Z24),ISBLANK(AX20:AX24)), "·", bdRateExtend( V20:V24,Z20:Z24, AT20:AT24,AX20:AX24))</f>
        <v>3.5182016838719576E-5</v>
      </c>
      <c r="BM20" s="34">
        <f>IF( OR(ISBLANK(V20:V24),ISBLANK(AT20:AT24), ISBLANK(AA20:AA24),ISBLANK(AY20:AY24)), "·", bdRateExtend( V20:V24,AA20:AA24, AT20:AT24,AY20:AY24))</f>
        <v>2.7478118093338111E-5</v>
      </c>
      <c r="BO20" s="34">
        <f>IF( OR(ISBLANK(S20:S24),ISBLANK(AQ20:AQ24), ISBLANK(W20:W24),ISBLANK(AU20:AU24)), "·", bdRateExtend( S20:S24,W20:W24, AQ20:AQ24,AU20:AU24))</f>
        <v>-5.5374878624725454E-6</v>
      </c>
      <c r="BP20" s="34">
        <f>IF( OR(ISBLANK(S20:S24),ISBLANK(AQ20:AQ24), ISBLANK(X20:X24),ISBLANK(AV20:AV24)), "·", bdRateExtend( S20:S24,X20:X24, AQ20:AQ24,AV20:AV24))</f>
        <v>5.3564449455922869E-6</v>
      </c>
      <c r="BQ20" s="34">
        <f>IF( OR(ISBLANK(S20:S24),ISBLANK(AQ20:AQ24), ISBLANK(Y20:Y24),ISBLANK(AW20:AW24)), "·", bdRateExtend( S20:S24,Y20:Y24, AQ20:AQ24,AW20:AW24))</f>
        <v>1.6283660888571916E-6</v>
      </c>
      <c r="BR20" s="34">
        <f>IF( OR(ISBLANK(S20:S24),ISBLANK(AQ20:AQ24), ISBLANK(Z20:Z24),ISBLANK(AX20:AX24)), "·", bdRateExtend( S20:S24,Z20:Z24, AQ20:AQ24,AX20:AX24))</f>
        <v>1.7338479899597914E-5</v>
      </c>
      <c r="BS20" s="34">
        <f>IF( OR(ISBLANK(S20:S24),ISBLANK(AQ20:AQ24), ISBLANK(AA20:AA24),ISBLANK(AY20:AY24)), "·", bdRateExtend( S20:S24,AA20:AA24, AQ20:AQ24,AY20:AY24))</f>
        <v>1.0782552614996277E-5</v>
      </c>
      <c r="BU20" s="4">
        <f t="shared" si="17"/>
        <v>0</v>
      </c>
      <c r="BV20" s="4">
        <f t="shared" si="18"/>
        <v>0.1875</v>
      </c>
      <c r="BW20" s="4">
        <f t="shared" si="19"/>
        <v>0</v>
      </c>
      <c r="BX20" s="4">
        <f t="shared" si="20"/>
        <v>8</v>
      </c>
      <c r="BY20" s="4">
        <f t="shared" si="21"/>
        <v>56</v>
      </c>
      <c r="BZ20" s="4">
        <f t="shared" si="22"/>
        <v>136</v>
      </c>
      <c r="CA20" s="4">
        <f t="shared" si="23"/>
        <v>56</v>
      </c>
      <c r="CB20" s="4">
        <f t="shared" si="24"/>
        <v>-2.8125000000045475E-5</v>
      </c>
      <c r="CC20" s="4">
        <f t="shared" si="25"/>
        <v>-2.4999999993724487E-5</v>
      </c>
      <c r="CD20" s="4">
        <f t="shared" si="26"/>
        <v>-3.1249999999261036E-5</v>
      </c>
      <c r="CE20" s="4">
        <f t="shared" si="27"/>
        <v>-4.687500010192025E-5</v>
      </c>
      <c r="CF20" s="4">
        <f t="shared" si="28"/>
        <v>3.7499999898216174E-5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8.4036249999999999</v>
      </c>
      <c r="J21" s="18">
        <f t="shared" si="1"/>
        <v>0.16697856601515268</v>
      </c>
      <c r="K21" s="18">
        <f t="shared" si="2"/>
        <v>7.0821275479520218E-2</v>
      </c>
      <c r="L21" s="18">
        <f t="shared" si="3"/>
        <v>4.0224227260140695E-2</v>
      </c>
      <c r="M21" s="18">
        <f t="shared" si="4"/>
        <v>9.6154310061741452E-2</v>
      </c>
      <c r="N21" s="15">
        <f t="shared" si="5"/>
        <v>2281128</v>
      </c>
      <c r="O21" s="18">
        <f t="shared" si="6"/>
        <v>0.17029343504990174</v>
      </c>
      <c r="P21" s="58">
        <v>31582662</v>
      </c>
      <c r="Q21" s="58">
        <v>986958</v>
      </c>
      <c r="R21" s="58">
        <v>32537.8</v>
      </c>
      <c r="S21" s="59">
        <v>5378320</v>
      </c>
      <c r="T21" s="59">
        <v>1295608</v>
      </c>
      <c r="U21" s="59">
        <v>985520</v>
      </c>
      <c r="V21" s="59">
        <v>3097096</v>
      </c>
      <c r="W21" s="60">
        <v>68.659700000000001</v>
      </c>
      <c r="X21" s="60">
        <v>70.740399999999994</v>
      </c>
      <c r="Y21" s="60">
        <v>32.778799999999997</v>
      </c>
      <c r="Z21" s="60">
        <v>40.701999999999998</v>
      </c>
      <c r="AA21" s="60">
        <v>39.686</v>
      </c>
      <c r="AB21" s="61">
        <v>3319.81</v>
      </c>
      <c r="AC21" s="61">
        <v>1245.9000000000001</v>
      </c>
      <c r="AD21" s="61">
        <v>6.1449999999999996</v>
      </c>
      <c r="AE21" s="61">
        <v>18.623000000000001</v>
      </c>
      <c r="AF21">
        <v>32</v>
      </c>
      <c r="AG21" s="17">
        <f t="shared" si="7"/>
        <v>8.4036375000000003</v>
      </c>
      <c r="AH21" s="18">
        <f t="shared" si="8"/>
        <v>0.1669788143879769</v>
      </c>
      <c r="AI21" s="18">
        <f t="shared" si="9"/>
        <v>7.0827236427302223E-2</v>
      </c>
      <c r="AJ21" s="18">
        <f t="shared" si="10"/>
        <v>4.0225965869910452E-2</v>
      </c>
      <c r="AK21" s="18">
        <f t="shared" si="11"/>
        <v>9.6156048671511202E-2</v>
      </c>
      <c r="AL21" s="15">
        <f t="shared" si="12"/>
        <v>2281320</v>
      </c>
      <c r="AM21" s="18">
        <f t="shared" si="13"/>
        <v>0.17029368835343897</v>
      </c>
      <c r="AN21" s="58">
        <v>31582662</v>
      </c>
      <c r="AO21" s="58">
        <v>986958.1875</v>
      </c>
      <c r="AP21" s="58">
        <v>32537.78125</v>
      </c>
      <c r="AQ21" s="59">
        <v>5378328</v>
      </c>
      <c r="AR21" s="59">
        <v>1295664</v>
      </c>
      <c r="AS21" s="59">
        <v>985656</v>
      </c>
      <c r="AT21" s="59">
        <v>3097152</v>
      </c>
      <c r="AU21" s="60">
        <v>68.659734374999999</v>
      </c>
      <c r="AV21" s="60">
        <v>70.740428124999994</v>
      </c>
      <c r="AW21" s="60">
        <v>32.778812499999901</v>
      </c>
      <c r="AX21" s="60">
        <v>40.701953125000003</v>
      </c>
      <c r="AY21" s="60">
        <v>39.685953124999997</v>
      </c>
      <c r="AZ21" s="61">
        <v>10244.200000000001</v>
      </c>
      <c r="BA21" s="61">
        <v>1277.29</v>
      </c>
      <c r="BB21" s="61">
        <v>8.1920000000000002</v>
      </c>
      <c r="BC21" s="61">
        <v>20.504000000000001</v>
      </c>
      <c r="BD21">
        <v>32</v>
      </c>
      <c r="BE21" s="23">
        <f t="shared" si="14"/>
        <v>-2.5260904021329189E-8</v>
      </c>
      <c r="BF21" s="23">
        <f t="shared" si="15"/>
        <v>3.5067948358225021E-5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0</v>
      </c>
      <c r="BV21" s="4">
        <f t="shared" si="18"/>
        <v>0.1875</v>
      </c>
      <c r="BW21" s="4">
        <f t="shared" si="19"/>
        <v>-1.8749999999272404E-2</v>
      </c>
      <c r="BX21" s="4">
        <f t="shared" si="20"/>
        <v>8</v>
      </c>
      <c r="BY21" s="4">
        <f t="shared" si="21"/>
        <v>56</v>
      </c>
      <c r="BZ21" s="4">
        <f t="shared" si="22"/>
        <v>136</v>
      </c>
      <c r="CA21" s="4">
        <f t="shared" si="23"/>
        <v>56</v>
      </c>
      <c r="CB21" s="4">
        <f t="shared" si="24"/>
        <v>3.4374999998476596E-5</v>
      </c>
      <c r="CC21" s="4">
        <f t="shared" si="25"/>
        <v>2.8125000000045475E-5</v>
      </c>
      <c r="CD21" s="4">
        <f t="shared" si="26"/>
        <v>1.2499999904491688E-5</v>
      </c>
      <c r="CE21" s="4">
        <f t="shared" si="27"/>
        <v>-4.687499999533884E-5</v>
      </c>
      <c r="CF21" s="4">
        <f t="shared" si="28"/>
        <v>-4.6875000002444267E-5</v>
      </c>
    </row>
    <row r="22" spans="1:84" outlineLevel="1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13.930999999999999</v>
      </c>
      <c r="J22" s="28">
        <f t="shared" si="1"/>
        <v>0.2768065451703392</v>
      </c>
      <c r="K22" s="28">
        <f t="shared" si="2"/>
        <v>8.7322917549877838E-2</v>
      </c>
      <c r="L22" s="28">
        <f t="shared" si="3"/>
        <v>5.6725869330498321E-2</v>
      </c>
      <c r="M22" s="28">
        <f t="shared" si="4"/>
        <v>0.18948064714657037</v>
      </c>
      <c r="N22" s="25">
        <f t="shared" si="5"/>
        <v>2812640</v>
      </c>
      <c r="O22" s="28">
        <f t="shared" si="6"/>
        <v>0.27091126235944668</v>
      </c>
      <c r="P22" s="62">
        <v>32910555</v>
      </c>
      <c r="Q22" s="62">
        <v>1028450</v>
      </c>
      <c r="R22" s="62">
        <v>34769.599999999999</v>
      </c>
      <c r="S22" s="63">
        <v>8915840</v>
      </c>
      <c r="T22" s="63">
        <v>1827120</v>
      </c>
      <c r="U22" s="63">
        <v>985520</v>
      </c>
      <c r="V22" s="63">
        <v>6103104</v>
      </c>
      <c r="W22" s="64">
        <v>69.831599999999995</v>
      </c>
      <c r="X22" s="64">
        <v>72.240399999999994</v>
      </c>
      <c r="Y22" s="64">
        <v>34.624699999999997</v>
      </c>
      <c r="Z22" s="64">
        <v>41.744999999999997</v>
      </c>
      <c r="AA22" s="64">
        <v>40.748399999999997</v>
      </c>
      <c r="AB22" s="65">
        <v>3090.43</v>
      </c>
      <c r="AC22" s="65">
        <v>1177.99</v>
      </c>
      <c r="AD22" s="65">
        <v>6.0410000000000004</v>
      </c>
      <c r="AE22" s="65">
        <v>17.911000000000001</v>
      </c>
      <c r="AF22">
        <v>32</v>
      </c>
      <c r="AG22" s="27">
        <f t="shared" si="7"/>
        <v>13.9310125</v>
      </c>
      <c r="AH22" s="28">
        <f t="shared" si="8"/>
        <v>0.27680679354316345</v>
      </c>
      <c r="AI22" s="28">
        <f t="shared" si="9"/>
        <v>8.7328878497659843E-2</v>
      </c>
      <c r="AJ22" s="28">
        <f t="shared" si="10"/>
        <v>5.6727607940268071E-2</v>
      </c>
      <c r="AK22" s="28">
        <f t="shared" si="11"/>
        <v>0.1894823857563401</v>
      </c>
      <c r="AL22" s="25">
        <f t="shared" si="12"/>
        <v>2812832</v>
      </c>
      <c r="AM22" s="28">
        <f t="shared" si="13"/>
        <v>0.27091150544255482</v>
      </c>
      <c r="AN22" s="62">
        <v>32910555</v>
      </c>
      <c r="AO22" s="62">
        <v>1028454.84375</v>
      </c>
      <c r="AP22" s="62">
        <v>34769.59375</v>
      </c>
      <c r="AQ22" s="63">
        <v>8915848</v>
      </c>
      <c r="AR22" s="63">
        <v>1827176</v>
      </c>
      <c r="AS22" s="63">
        <v>985656</v>
      </c>
      <c r="AT22" s="63">
        <v>6103160</v>
      </c>
      <c r="AU22" s="64">
        <v>69.831643749999998</v>
      </c>
      <c r="AV22" s="64">
        <v>72.240359374999898</v>
      </c>
      <c r="AW22" s="64">
        <v>34.624715625</v>
      </c>
      <c r="AX22" s="64">
        <v>41.744956250000001</v>
      </c>
      <c r="AY22" s="64">
        <v>40.748353125000001</v>
      </c>
      <c r="AZ22" s="65">
        <v>10274.6</v>
      </c>
      <c r="BA22" s="65">
        <v>1385.82</v>
      </c>
      <c r="BB22" s="65">
        <v>7.92</v>
      </c>
      <c r="BC22" s="65">
        <v>21.027999999999999</v>
      </c>
      <c r="BD22">
        <v>32</v>
      </c>
      <c r="BE22" s="33">
        <f t="shared" si="14"/>
        <v>-1.6530271794434892E-7</v>
      </c>
      <c r="BF22" s="33">
        <f t="shared" si="15"/>
        <v>2.1251626982798921E-5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0</v>
      </c>
      <c r="BV22" s="4">
        <f t="shared" si="18"/>
        <v>4.84375</v>
      </c>
      <c r="BW22" s="4">
        <f t="shared" si="19"/>
        <v>-6.2499999985448085E-3</v>
      </c>
      <c r="BX22" s="4">
        <f t="shared" si="20"/>
        <v>8</v>
      </c>
      <c r="BY22" s="4">
        <f t="shared" si="21"/>
        <v>56</v>
      </c>
      <c r="BZ22" s="4">
        <f t="shared" si="22"/>
        <v>136</v>
      </c>
      <c r="CA22" s="4">
        <f t="shared" si="23"/>
        <v>56</v>
      </c>
      <c r="CB22" s="4">
        <f t="shared" si="24"/>
        <v>4.3750000003228706E-5</v>
      </c>
      <c r="CC22" s="4">
        <f t="shared" si="25"/>
        <v>-4.0625000096383701E-5</v>
      </c>
      <c r="CD22" s="4">
        <f t="shared" si="26"/>
        <v>1.5625000003183231E-5</v>
      </c>
      <c r="CE22" s="4">
        <f t="shared" si="27"/>
        <v>-4.3749999996123279E-5</v>
      </c>
      <c r="CF22" s="4">
        <f t="shared" si="28"/>
        <v>-4.687499999533884E-5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24.305</v>
      </c>
      <c r="J23" s="18">
        <f t="shared" si="1"/>
        <v>0.48293611947204756</v>
      </c>
      <c r="K23" s="18">
        <f t="shared" si="2"/>
        <v>0.11576235104499606</v>
      </c>
      <c r="L23" s="18">
        <f t="shared" si="3"/>
        <v>8.5165302825616546E-2</v>
      </c>
      <c r="M23" s="18">
        <f t="shared" si="4"/>
        <v>0.36717078795316049</v>
      </c>
      <c r="N23" s="15">
        <f t="shared" si="5"/>
        <v>3728664</v>
      </c>
      <c r="O23" s="18">
        <f t="shared" si="6"/>
        <v>0.47201741929743835</v>
      </c>
      <c r="P23" s="58">
        <v>32954716</v>
      </c>
      <c r="Q23" s="58">
        <v>1029830</v>
      </c>
      <c r="R23" s="58">
        <v>36665.5</v>
      </c>
      <c r="S23" s="59">
        <v>15555200</v>
      </c>
      <c r="T23" s="59">
        <v>2743144</v>
      </c>
      <c r="U23" s="59">
        <v>985520</v>
      </c>
      <c r="V23" s="59">
        <v>11826440</v>
      </c>
      <c r="W23" s="60">
        <v>70.837199999999996</v>
      </c>
      <c r="X23" s="60">
        <v>73.567999999999998</v>
      </c>
      <c r="Y23" s="60">
        <v>36.275599999999997</v>
      </c>
      <c r="Z23" s="60">
        <v>42.939700000000002</v>
      </c>
      <c r="AA23" s="60">
        <v>41.844200000000001</v>
      </c>
      <c r="AB23" s="61">
        <v>3026.29</v>
      </c>
      <c r="AC23" s="61">
        <v>1297.43</v>
      </c>
      <c r="AD23" s="61">
        <v>5.7560000000000002</v>
      </c>
      <c r="AE23" s="61">
        <v>18.091000000000001</v>
      </c>
      <c r="AF23">
        <v>32</v>
      </c>
      <c r="AG23" s="17">
        <f t="shared" si="7"/>
        <v>24.3050125</v>
      </c>
      <c r="AH23" s="18">
        <f t="shared" si="8"/>
        <v>0.48293636784487182</v>
      </c>
      <c r="AI23" s="18">
        <f t="shared" si="9"/>
        <v>0.11576831199277807</v>
      </c>
      <c r="AJ23" s="18">
        <f t="shared" si="10"/>
        <v>8.5167041435386295E-2</v>
      </c>
      <c r="AK23" s="18">
        <f t="shared" si="11"/>
        <v>0.36717252656293026</v>
      </c>
      <c r="AL23" s="15">
        <f t="shared" si="12"/>
        <v>3728856</v>
      </c>
      <c r="AM23" s="18">
        <f t="shared" si="13"/>
        <v>0.47201766205480272</v>
      </c>
      <c r="AN23" s="58">
        <v>32954716</v>
      </c>
      <c r="AO23" s="58">
        <v>1029834.875</v>
      </c>
      <c r="AP23" s="58">
        <v>36665.46875</v>
      </c>
      <c r="AQ23" s="59">
        <v>15555208</v>
      </c>
      <c r="AR23" s="59">
        <v>2743200</v>
      </c>
      <c r="AS23" s="59">
        <v>985656</v>
      </c>
      <c r="AT23" s="59">
        <v>11826496</v>
      </c>
      <c r="AU23" s="60">
        <v>70.837203125000002</v>
      </c>
      <c r="AV23" s="60">
        <v>73.567968750000006</v>
      </c>
      <c r="AW23" s="60">
        <v>36.275565624999999</v>
      </c>
      <c r="AX23" s="60">
        <v>42.939684374999899</v>
      </c>
      <c r="AY23" s="60">
        <v>41.844209374999998</v>
      </c>
      <c r="AZ23" s="61">
        <v>9978.82</v>
      </c>
      <c r="BA23" s="61">
        <v>1566.79</v>
      </c>
      <c r="BB23" s="61">
        <v>8.6720000000000006</v>
      </c>
      <c r="BC23" s="61">
        <v>21.34</v>
      </c>
      <c r="BD23">
        <v>32</v>
      </c>
      <c r="BE23" s="23">
        <f t="shared" si="14"/>
        <v>-1.9888316020455488E-7</v>
      </c>
      <c r="BF23" s="23">
        <f t="shared" si="15"/>
        <v>1.2219853153971894E-5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0</v>
      </c>
      <c r="BV23" s="4">
        <f t="shared" si="18"/>
        <v>4.875</v>
      </c>
      <c r="BW23" s="4">
        <f t="shared" si="19"/>
        <v>-3.125E-2</v>
      </c>
      <c r="BX23" s="4">
        <f t="shared" si="20"/>
        <v>8</v>
      </c>
      <c r="BY23" s="4">
        <f t="shared" si="21"/>
        <v>56</v>
      </c>
      <c r="BZ23" s="4">
        <f t="shared" si="22"/>
        <v>136</v>
      </c>
      <c r="CA23" s="4">
        <f t="shared" si="23"/>
        <v>56</v>
      </c>
      <c r="CB23" s="4">
        <f t="shared" si="24"/>
        <v>3.1250000063209882E-6</v>
      </c>
      <c r="CC23" s="4">
        <f t="shared" si="25"/>
        <v>-3.1249999992155608E-5</v>
      </c>
      <c r="CD23" s="4">
        <f t="shared" si="26"/>
        <v>-3.4374999998476596E-5</v>
      </c>
      <c r="CE23" s="4">
        <f t="shared" si="27"/>
        <v>-1.5625000102659214E-5</v>
      </c>
      <c r="CF23" s="4">
        <f t="shared" si="28"/>
        <v>9.3749999976466825E-6</v>
      </c>
    </row>
    <row r="24" spans="1:84" ht="15.75" outlineLevel="1" thickBot="1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41.250999999999998</v>
      </c>
      <c r="J24" s="48">
        <f t="shared" si="1"/>
        <v>0.81965018985152982</v>
      </c>
      <c r="K24" s="48">
        <f t="shared" si="2"/>
        <v>0.19082682785400634</v>
      </c>
      <c r="L24" s="48">
        <f t="shared" si="3"/>
        <v>0.13218476218441788</v>
      </c>
      <c r="M24" s="48">
        <f t="shared" si="4"/>
        <v>0.62882038152363251</v>
      </c>
      <c r="N24" s="45">
        <f t="shared" si="5"/>
        <v>6146464</v>
      </c>
      <c r="O24" s="48">
        <f t="shared" si="6"/>
        <v>0.83586230958671248</v>
      </c>
      <c r="P24" s="70">
        <v>31584915</v>
      </c>
      <c r="Q24" s="70">
        <v>987029</v>
      </c>
      <c r="R24" s="70">
        <v>18072.7</v>
      </c>
      <c r="S24" s="71">
        <v>26400640</v>
      </c>
      <c r="T24" s="71">
        <v>4257624</v>
      </c>
      <c r="U24" s="71">
        <v>1888840</v>
      </c>
      <c r="V24" s="71">
        <v>20254080</v>
      </c>
      <c r="W24" s="72">
        <v>71.893799999999999</v>
      </c>
      <c r="X24" s="72">
        <v>75.707499999999996</v>
      </c>
      <c r="Y24" s="72">
        <v>37.303699999999999</v>
      </c>
      <c r="Z24" s="72">
        <v>43.7971</v>
      </c>
      <c r="AA24" s="72">
        <v>42.423999999999999</v>
      </c>
      <c r="AB24" s="73">
        <v>3058.3</v>
      </c>
      <c r="AC24" s="73">
        <v>1481.33</v>
      </c>
      <c r="AD24" s="73">
        <v>5.5860000000000003</v>
      </c>
      <c r="AE24" s="73">
        <v>19.256</v>
      </c>
      <c r="AF24">
        <v>32</v>
      </c>
      <c r="AG24" s="47">
        <f t="shared" si="7"/>
        <v>41.251012500000002</v>
      </c>
      <c r="AH24" s="48">
        <f t="shared" si="8"/>
        <v>0.81965043822435413</v>
      </c>
      <c r="AI24" s="48">
        <f t="shared" si="9"/>
        <v>0.19083278880178833</v>
      </c>
      <c r="AJ24" s="48">
        <f t="shared" si="10"/>
        <v>0.13218650079418762</v>
      </c>
      <c r="AK24" s="48">
        <f t="shared" si="11"/>
        <v>0.62882212013340233</v>
      </c>
      <c r="AL24" s="45">
        <f t="shared" si="12"/>
        <v>6146656</v>
      </c>
      <c r="AM24" s="48">
        <f t="shared" si="13"/>
        <v>0.83586256287218119</v>
      </c>
      <c r="AN24" s="70">
        <v>31584915</v>
      </c>
      <c r="AO24" s="70">
        <v>987028.59375</v>
      </c>
      <c r="AP24" s="70">
        <v>18072.71875</v>
      </c>
      <c r="AQ24" s="71">
        <v>26400648</v>
      </c>
      <c r="AR24" s="71">
        <v>4257680</v>
      </c>
      <c r="AS24" s="71">
        <v>1888976</v>
      </c>
      <c r="AT24" s="71">
        <v>20254136</v>
      </c>
      <c r="AU24" s="72">
        <v>71.893762499999994</v>
      </c>
      <c r="AV24" s="72">
        <v>75.707471874999996</v>
      </c>
      <c r="AW24" s="72">
        <v>37.303737499999997</v>
      </c>
      <c r="AX24" s="72">
        <v>43.797081249999898</v>
      </c>
      <c r="AY24" s="72">
        <v>42.424003124999999</v>
      </c>
      <c r="AZ24" s="73">
        <v>6340.95</v>
      </c>
      <c r="BA24" s="73">
        <v>1978.58</v>
      </c>
      <c r="BB24" s="73">
        <v>7.4359999999999999</v>
      </c>
      <c r="BC24" s="73">
        <v>22.42</v>
      </c>
      <c r="BD24">
        <v>32</v>
      </c>
      <c r="BE24" s="53">
        <f t="shared" si="14"/>
        <v>2.6532685656194266E-8</v>
      </c>
      <c r="BF24" s="53">
        <f t="shared" si="15"/>
        <v>7.2020005078554661E-6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0</v>
      </c>
      <c r="BV24" s="4">
        <f t="shared" si="18"/>
        <v>-0.40625</v>
      </c>
      <c r="BW24" s="4">
        <f t="shared" si="19"/>
        <v>1.8749999999272404E-2</v>
      </c>
      <c r="BX24" s="4">
        <f t="shared" si="20"/>
        <v>8</v>
      </c>
      <c r="BY24" s="4">
        <f t="shared" si="21"/>
        <v>56</v>
      </c>
      <c r="BZ24" s="4">
        <f t="shared" si="22"/>
        <v>136</v>
      </c>
      <c r="CA24" s="4">
        <f t="shared" si="23"/>
        <v>56</v>
      </c>
      <c r="CB24" s="4">
        <f t="shared" si="24"/>
        <v>-3.7500000004797585E-5</v>
      </c>
      <c r="CC24" s="4">
        <f t="shared" si="25"/>
        <v>-2.8125000000045475E-5</v>
      </c>
      <c r="CD24" s="4">
        <f t="shared" si="26"/>
        <v>3.7499999997692157E-5</v>
      </c>
      <c r="CE24" s="4">
        <f t="shared" si="27"/>
        <v>-1.8750000101874775E-5</v>
      </c>
      <c r="CF24" s="4">
        <f t="shared" si="28"/>
        <v>3.1249999992155608E-6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4.7024549999999996</v>
      </c>
      <c r="J25" s="18">
        <f t="shared" si="1"/>
        <v>0.19816178689913658</v>
      </c>
      <c r="K25" s="18">
        <f t="shared" si="2"/>
        <v>6.9616450556580792E-2</v>
      </c>
      <c r="L25" s="18">
        <f t="shared" si="3"/>
        <v>3.7703880247189445E-2</v>
      </c>
      <c r="M25" s="18">
        <f t="shared" si="4"/>
        <v>0.12854154373617871</v>
      </c>
      <c r="N25" s="15">
        <f t="shared" si="5"/>
        <v>1762160</v>
      </c>
      <c r="O25" s="18">
        <f t="shared" si="6"/>
        <v>0.21862107101029399</v>
      </c>
      <c r="P25" s="58">
        <v>22943589</v>
      </c>
      <c r="Q25" s="58">
        <v>716987</v>
      </c>
      <c r="R25" s="58">
        <v>16957</v>
      </c>
      <c r="S25" s="59">
        <v>5015952</v>
      </c>
      <c r="T25" s="59">
        <v>954376</v>
      </c>
      <c r="U25" s="59">
        <v>807784</v>
      </c>
      <c r="V25" s="59">
        <v>3253696</v>
      </c>
      <c r="W25" s="60">
        <v>66.188299999999998</v>
      </c>
      <c r="X25" s="60">
        <v>68.025700000000001</v>
      </c>
      <c r="Y25" s="60">
        <v>27.4923</v>
      </c>
      <c r="Z25" s="60">
        <v>33.271599999999999</v>
      </c>
      <c r="AA25" s="60">
        <v>32.724600000000002</v>
      </c>
      <c r="AB25" s="61">
        <v>2331.3000000000002</v>
      </c>
      <c r="AC25" s="61">
        <v>1201.92</v>
      </c>
      <c r="AD25" s="61">
        <v>4.9160000000000004</v>
      </c>
      <c r="AE25" s="61">
        <v>21.227</v>
      </c>
      <c r="AF25">
        <v>32</v>
      </c>
      <c r="AG25" s="17">
        <f t="shared" si="7"/>
        <v>4.7024625000000002</v>
      </c>
      <c r="AH25" s="18">
        <f t="shared" si="8"/>
        <v>0.19816210294966802</v>
      </c>
      <c r="AI25" s="18">
        <f t="shared" si="9"/>
        <v>6.9624035769334944E-2</v>
      </c>
      <c r="AJ25" s="18">
        <f t="shared" si="10"/>
        <v>3.7706092600909402E-2</v>
      </c>
      <c r="AK25" s="18">
        <f t="shared" si="11"/>
        <v>0.12854375608989868</v>
      </c>
      <c r="AL25" s="15">
        <f t="shared" si="12"/>
        <v>1762352</v>
      </c>
      <c r="AM25" s="18">
        <f t="shared" si="13"/>
        <v>0.21862141969157484</v>
      </c>
      <c r="AN25" s="58">
        <v>22943589</v>
      </c>
      <c r="AO25" s="58">
        <v>716987.15625</v>
      </c>
      <c r="AP25" s="58">
        <v>16957.03125</v>
      </c>
      <c r="AQ25" s="59">
        <v>5015960</v>
      </c>
      <c r="AR25" s="59">
        <v>954432</v>
      </c>
      <c r="AS25" s="59">
        <v>807920</v>
      </c>
      <c r="AT25" s="59">
        <v>3253752</v>
      </c>
      <c r="AU25" s="60">
        <v>66.188337499999903</v>
      </c>
      <c r="AV25" s="60">
        <v>68.025690624999996</v>
      </c>
      <c r="AW25" s="60">
        <v>27.492265625000002</v>
      </c>
      <c r="AX25" s="60">
        <v>33.271618750000002</v>
      </c>
      <c r="AY25" s="60">
        <v>32.724562499999998</v>
      </c>
      <c r="AZ25" s="61">
        <v>5342.43</v>
      </c>
      <c r="BA25" s="61">
        <v>1589.39</v>
      </c>
      <c r="BB25" s="61">
        <v>6.74</v>
      </c>
      <c r="BC25" s="61">
        <v>24.48</v>
      </c>
      <c r="BD25">
        <v>32</v>
      </c>
      <c r="BE25" s="23">
        <f t="shared" si="14"/>
        <v>3.8431136672317789E-8</v>
      </c>
      <c r="BF25" s="23">
        <f t="shared" si="15"/>
        <v>3.771750783210237E-5</v>
      </c>
      <c r="BG25" s="23">
        <f t="array" ref="BG25">AVERAGE(AL25:AL29/AQ25:AQ29) - AVERAGE(N25:N29/S25:S29)</f>
        <v>1.6402594156333938E-5</v>
      </c>
      <c r="BI25" s="24">
        <f>IF( OR(ISBLANK(N25:N29),ISBLANK(AL25:AL29), ISBLANK(W25:W29),ISBLANK(AU25:AU29)), "·", bdRateExtend( N25:N29,W25:W29, AL25:AL29,AU25:AU29))</f>
        <v>7.1891696017845064E-5</v>
      </c>
      <c r="BJ25" s="24">
        <f>IF( OR(ISBLANK(N25:N29),ISBLANK(AL25:AL29), ISBLANK(X25:X29),ISBLANK(AV25:AV29)), "·", bdRateExtend( N25:N29,X25:X29, AL25:AL29,AV25:AV29))</f>
        <v>6.9631886357335304E-5</v>
      </c>
      <c r="BK25" s="24">
        <f>IF( OR(ISBLANK(V25:V29),ISBLANK(AT25:AT29), ISBLANK(Y25:Y29),ISBLANK(AW25:AW29)), "·", bdRateExtend( V25:V29,Y25:Y29, AT25:AT29,AW25:AW29))</f>
        <v>8.4030222367026397E-6</v>
      </c>
      <c r="BL25" s="24">
        <f>IF( OR(ISBLANK(V25:V29),ISBLANK(AT25:AT29), ISBLANK(Z25:Z29),ISBLANK(AX25:AX29)), "·", bdRateExtend( V25:V29,Z25:Z29, AT25:AT29,AX25:AX29))</f>
        <v>2.7576442818144642E-7</v>
      </c>
      <c r="BM25" s="24">
        <f>IF( OR(ISBLANK(V25:V29),ISBLANK(AT25:AT29), ISBLANK(AA25:AA29),ISBLANK(AY25:AY29)), "·", bdRateExtend( V25:V29,AA25:AA29, AT25:AT29,AY25:AY29))</f>
        <v>9.4352012420806375E-6</v>
      </c>
      <c r="BO25" s="24">
        <f>IF( OR(ISBLANK(S25:S29),ISBLANK(AQ25:AQ29), ISBLANK(W25:W29),ISBLANK(AU25:AU29)), "·", bdRateExtend( S25:S29,W25:W29, AQ25:AQ29,AU25:AU29))</f>
        <v>-1.0812756589428929E-5</v>
      </c>
      <c r="BP25" s="24">
        <f>IF( OR(ISBLANK(S25:S29),ISBLANK(AQ25:AQ29), ISBLANK(X25:X29),ISBLANK(AV25:AV29)), "·", bdRateExtend( S25:S29,X25:X29, AQ25:AQ29,AV25:AV29))</f>
        <v>-3.4686249593685048E-6</v>
      </c>
      <c r="BQ25" s="24">
        <f>IF( OR(ISBLANK(S25:S29),ISBLANK(AQ25:AQ29), ISBLANK(Y25:Y29),ISBLANK(AW25:AW29)), "·", bdRateExtend( S25:S29,Y25:Y29, AQ25:AQ29,AW25:AW29))</f>
        <v>2.8827266047581901E-6</v>
      </c>
      <c r="BR25" s="24">
        <f>IF( OR(ISBLANK(S25:S29),ISBLANK(AQ25:AQ29), ISBLANK(Z25:Z29),ISBLANK(AX25:AX29)), "·", bdRateExtend( S25:S29,Z25:Z29, AQ25:AQ29,AX25:AX29))</f>
        <v>-3.8181665381609164E-6</v>
      </c>
      <c r="BS25" s="24">
        <f>IF( OR(ISBLANK(S25:S29),ISBLANK(AQ25:AQ29), ISBLANK(AA25:AA29),ISBLANK(AY25:AY29)), "·", bdRateExtend( S25:S29,AA25:AA29, AQ25:AQ29,AY25:AY29))</f>
        <v>3.7579456222402996E-6</v>
      </c>
      <c r="BU25" s="4">
        <f t="shared" si="17"/>
        <v>0</v>
      </c>
      <c r="BV25" s="4">
        <f t="shared" si="18"/>
        <v>0.15625</v>
      </c>
      <c r="BW25" s="4">
        <f t="shared" si="19"/>
        <v>3.125E-2</v>
      </c>
      <c r="BX25" s="4">
        <f t="shared" si="20"/>
        <v>8</v>
      </c>
      <c r="BY25" s="4">
        <f t="shared" si="21"/>
        <v>56</v>
      </c>
      <c r="BZ25" s="4">
        <f t="shared" si="22"/>
        <v>136</v>
      </c>
      <c r="CA25" s="4">
        <f t="shared" si="23"/>
        <v>56</v>
      </c>
      <c r="CB25" s="4">
        <f t="shared" si="24"/>
        <v>3.7499999905321602E-5</v>
      </c>
      <c r="CC25" s="4">
        <f t="shared" si="25"/>
        <v>-9.3750000047521098E-6</v>
      </c>
      <c r="CD25" s="4">
        <f t="shared" si="26"/>
        <v>-3.4374999998476596E-5</v>
      </c>
      <c r="CE25" s="4">
        <f t="shared" si="27"/>
        <v>1.8750000002398792E-5</v>
      </c>
      <c r="CF25" s="4">
        <f t="shared" si="28"/>
        <v>-3.7500000004797585E-5</v>
      </c>
    </row>
    <row r="26" spans="1:84" outlineLevel="1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8.1052874999999993</v>
      </c>
      <c r="J26" s="28">
        <f t="shared" si="1"/>
        <v>0.3415573895616727</v>
      </c>
      <c r="K26" s="28">
        <f t="shared" si="2"/>
        <v>8.420660728919982E-2</v>
      </c>
      <c r="L26" s="28">
        <f t="shared" si="3"/>
        <v>5.2294036979808479E-2</v>
      </c>
      <c r="M26" s="28">
        <f t="shared" si="4"/>
        <v>0.25734698966609576</v>
      </c>
      <c r="N26" s="25">
        <f t="shared" si="5"/>
        <v>2131472</v>
      </c>
      <c r="O26" s="28">
        <f t="shared" si="6"/>
        <v>0.34707058383267786</v>
      </c>
      <c r="P26" s="62">
        <v>24910322</v>
      </c>
      <c r="Q26" s="62">
        <v>778448</v>
      </c>
      <c r="R26" s="62">
        <v>22364.400000000001</v>
      </c>
      <c r="S26" s="63">
        <v>8645640</v>
      </c>
      <c r="T26" s="63">
        <v>1323688</v>
      </c>
      <c r="U26" s="63">
        <v>807784</v>
      </c>
      <c r="V26" s="63">
        <v>6514072</v>
      </c>
      <c r="W26" s="64">
        <v>68.016499999999994</v>
      </c>
      <c r="X26" s="64">
        <v>69.989900000000006</v>
      </c>
      <c r="Y26" s="64">
        <v>29.9102</v>
      </c>
      <c r="Z26" s="64">
        <v>34.460500000000003</v>
      </c>
      <c r="AA26" s="64">
        <v>34.047600000000003</v>
      </c>
      <c r="AB26" s="65">
        <v>2550.4899999999998</v>
      </c>
      <c r="AC26" s="65">
        <v>1482.53</v>
      </c>
      <c r="AD26" s="65">
        <v>5.6120000000000001</v>
      </c>
      <c r="AE26" s="65">
        <v>23.797999999999998</v>
      </c>
      <c r="AF26">
        <v>32</v>
      </c>
      <c r="AG26" s="27">
        <f t="shared" si="7"/>
        <v>8.1052949999999999</v>
      </c>
      <c r="AH26" s="28">
        <f t="shared" si="8"/>
        <v>0.34155770561220411</v>
      </c>
      <c r="AI26" s="28">
        <f t="shared" si="9"/>
        <v>8.4214192501953986E-2</v>
      </c>
      <c r="AJ26" s="28">
        <f t="shared" si="10"/>
        <v>5.2296249333528444E-2</v>
      </c>
      <c r="AK26" s="28">
        <f t="shared" si="11"/>
        <v>0.25734920201981576</v>
      </c>
      <c r="AL26" s="25">
        <f t="shared" si="12"/>
        <v>2131664</v>
      </c>
      <c r="AM26" s="28">
        <f t="shared" si="13"/>
        <v>0.34707090498468868</v>
      </c>
      <c r="AN26" s="62">
        <v>24910322</v>
      </c>
      <c r="AO26" s="62">
        <v>778447.5625</v>
      </c>
      <c r="AP26" s="62">
        <v>22364.375</v>
      </c>
      <c r="AQ26" s="63">
        <v>8645648</v>
      </c>
      <c r="AR26" s="63">
        <v>1323744</v>
      </c>
      <c r="AS26" s="63">
        <v>807920</v>
      </c>
      <c r="AT26" s="63">
        <v>6514128</v>
      </c>
      <c r="AU26" s="64">
        <v>68.016528124999994</v>
      </c>
      <c r="AV26" s="64">
        <v>69.989903124999898</v>
      </c>
      <c r="AW26" s="64">
        <v>29.910231249999899</v>
      </c>
      <c r="AX26" s="64">
        <v>34.4604874999999</v>
      </c>
      <c r="AY26" s="64">
        <v>34.047587499999999</v>
      </c>
      <c r="AZ26" s="65">
        <v>5599.96</v>
      </c>
      <c r="BA26" s="65">
        <v>1688.77</v>
      </c>
      <c r="BB26" s="65">
        <v>6.4960000000000004</v>
      </c>
      <c r="BC26" s="65">
        <v>24.228000000000002</v>
      </c>
      <c r="BD26">
        <v>32</v>
      </c>
      <c r="BE26" s="33">
        <f t="shared" si="14"/>
        <v>-1.5968777619668195E-8</v>
      </c>
      <c r="BF26" s="33">
        <f t="shared" si="15"/>
        <v>2.1979578891800911E-5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0</v>
      </c>
      <c r="BV26" s="4">
        <f t="shared" si="18"/>
        <v>-0.4375</v>
      </c>
      <c r="BW26" s="4">
        <f t="shared" si="19"/>
        <v>-2.5000000001455192E-2</v>
      </c>
      <c r="BX26" s="4">
        <f t="shared" si="20"/>
        <v>8</v>
      </c>
      <c r="BY26" s="4">
        <f t="shared" si="21"/>
        <v>56</v>
      </c>
      <c r="BZ26" s="4">
        <f t="shared" si="22"/>
        <v>136</v>
      </c>
      <c r="CA26" s="4">
        <f t="shared" si="23"/>
        <v>56</v>
      </c>
      <c r="CB26" s="4">
        <f t="shared" si="24"/>
        <v>2.8125000000045475E-5</v>
      </c>
      <c r="CC26" s="4">
        <f t="shared" si="25"/>
        <v>3.1249998926341505E-6</v>
      </c>
      <c r="CD26" s="4">
        <f t="shared" si="26"/>
        <v>3.1249999899785053E-5</v>
      </c>
      <c r="CE26" s="4">
        <f t="shared" si="27"/>
        <v>-1.2500000103443654E-5</v>
      </c>
      <c r="CF26" s="4">
        <f t="shared" si="28"/>
        <v>-1.2500000003967671E-5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14.654159999999999</v>
      </c>
      <c r="J27" s="18">
        <f t="shared" si="1"/>
        <v>0.61752734074134707</v>
      </c>
      <c r="K27" s="18">
        <f t="shared" si="2"/>
        <v>0.10547111914441329</v>
      </c>
      <c r="L27" s="18">
        <f t="shared" si="3"/>
        <v>7.3558548835021942E-2</v>
      </c>
      <c r="M27" s="18">
        <f t="shared" si="4"/>
        <v>0.5120524289905567</v>
      </c>
      <c r="N27" s="15">
        <f t="shared" si="5"/>
        <v>2669728</v>
      </c>
      <c r="O27" s="18">
        <f t="shared" si="6"/>
        <v>0.61871718863366576</v>
      </c>
      <c r="P27" s="58">
        <v>25263730</v>
      </c>
      <c r="Q27" s="58">
        <v>789492</v>
      </c>
      <c r="R27" s="58">
        <v>23753.8</v>
      </c>
      <c r="S27" s="59">
        <v>15631104</v>
      </c>
      <c r="T27" s="59">
        <v>1861944</v>
      </c>
      <c r="U27" s="59">
        <v>807784</v>
      </c>
      <c r="V27" s="59">
        <v>12961280</v>
      </c>
      <c r="W27" s="60">
        <v>69.394400000000005</v>
      </c>
      <c r="X27" s="60">
        <v>71.733000000000004</v>
      </c>
      <c r="Y27" s="60">
        <v>32.411200000000001</v>
      </c>
      <c r="Z27" s="60">
        <v>35.725200000000001</v>
      </c>
      <c r="AA27" s="60">
        <v>35.386699999999998</v>
      </c>
      <c r="AB27" s="61">
        <v>2519.85</v>
      </c>
      <c r="AC27" s="61">
        <v>1597.13</v>
      </c>
      <c r="AD27" s="61">
        <v>5.5830000000000002</v>
      </c>
      <c r="AE27" s="61">
        <v>24.672999999999998</v>
      </c>
      <c r="AF27">
        <v>32</v>
      </c>
      <c r="AG27" s="17">
        <f t="shared" si="7"/>
        <v>14.6541675</v>
      </c>
      <c r="AH27" s="18">
        <f t="shared" si="8"/>
        <v>0.61752765679187849</v>
      </c>
      <c r="AI27" s="18">
        <f t="shared" si="9"/>
        <v>0.10547870435716744</v>
      </c>
      <c r="AJ27" s="18">
        <f t="shared" si="10"/>
        <v>7.3560761188741899E-2</v>
      </c>
      <c r="AK27" s="18">
        <f t="shared" si="11"/>
        <v>0.5120546413442767</v>
      </c>
      <c r="AL27" s="15">
        <f t="shared" si="12"/>
        <v>2669920</v>
      </c>
      <c r="AM27" s="18">
        <f t="shared" si="13"/>
        <v>0.61871750529316139</v>
      </c>
      <c r="AN27" s="58">
        <v>25263730</v>
      </c>
      <c r="AO27" s="58">
        <v>789491.5625</v>
      </c>
      <c r="AP27" s="58">
        <v>23753.8125</v>
      </c>
      <c r="AQ27" s="59">
        <v>15631112</v>
      </c>
      <c r="AR27" s="59">
        <v>1862000</v>
      </c>
      <c r="AS27" s="59">
        <v>807920</v>
      </c>
      <c r="AT27" s="59">
        <v>12961336</v>
      </c>
      <c r="AU27" s="60">
        <v>69.394446875</v>
      </c>
      <c r="AV27" s="60">
        <v>71.733012499999901</v>
      </c>
      <c r="AW27" s="60">
        <v>32.411193749999903</v>
      </c>
      <c r="AX27" s="60">
        <v>35.725224999999902</v>
      </c>
      <c r="AY27" s="60">
        <v>35.386656250000001</v>
      </c>
      <c r="AZ27" s="61">
        <v>5594.85</v>
      </c>
      <c r="BA27" s="61">
        <v>1835.58</v>
      </c>
      <c r="BB27" s="61">
        <v>6.9240000000000004</v>
      </c>
      <c r="BC27" s="61">
        <v>27.911999999999999</v>
      </c>
      <c r="BD27">
        <v>32</v>
      </c>
      <c r="BE27" s="23">
        <f t="shared" si="14"/>
        <v>3.2506058327691489E-8</v>
      </c>
      <c r="BF27" s="23">
        <f t="shared" si="15"/>
        <v>1.2195781915164128E-5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0</v>
      </c>
      <c r="BV27" s="4">
        <f t="shared" si="18"/>
        <v>-0.4375</v>
      </c>
      <c r="BW27" s="4">
        <f t="shared" si="19"/>
        <v>1.2500000000727596E-2</v>
      </c>
      <c r="BX27" s="4">
        <f t="shared" si="20"/>
        <v>8</v>
      </c>
      <c r="BY27" s="4">
        <f t="shared" si="21"/>
        <v>56</v>
      </c>
      <c r="BZ27" s="4">
        <f t="shared" si="22"/>
        <v>136</v>
      </c>
      <c r="CA27" s="4">
        <f t="shared" si="23"/>
        <v>56</v>
      </c>
      <c r="CB27" s="4">
        <f t="shared" si="24"/>
        <v>4.687499999533884E-5</v>
      </c>
      <c r="CC27" s="4">
        <f t="shared" si="25"/>
        <v>1.249999989738626E-5</v>
      </c>
      <c r="CD27" s="4">
        <f t="shared" si="26"/>
        <v>-6.2500000979071046E-6</v>
      </c>
      <c r="CE27" s="4">
        <f t="shared" si="27"/>
        <v>2.4999999901353931E-5</v>
      </c>
      <c r="CF27" s="4">
        <f t="shared" si="28"/>
        <v>-4.3749999996123279E-5</v>
      </c>
    </row>
    <row r="28" spans="1:84" outlineLevel="1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27.8188575</v>
      </c>
      <c r="J28" s="28">
        <f t="shared" si="1"/>
        <v>1.1722886261947105</v>
      </c>
      <c r="K28" s="28">
        <f t="shared" si="2"/>
        <v>0.14073983004698723</v>
      </c>
      <c r="L28" s="28">
        <f t="shared" si="3"/>
        <v>0.10882725973759588</v>
      </c>
      <c r="M28" s="28">
        <f t="shared" si="4"/>
        <v>1.0315450035413463</v>
      </c>
      <c r="N28" s="25">
        <f t="shared" si="5"/>
        <v>3562464</v>
      </c>
      <c r="O28" s="28">
        <f t="shared" si="6"/>
        <v>1.1329631910310591</v>
      </c>
      <c r="P28" s="62">
        <v>26191008</v>
      </c>
      <c r="Q28" s="62">
        <v>818469</v>
      </c>
      <c r="R28" s="62">
        <v>27045</v>
      </c>
      <c r="S28" s="63">
        <v>29673448</v>
      </c>
      <c r="T28" s="63">
        <v>2754680</v>
      </c>
      <c r="U28" s="63">
        <v>807784</v>
      </c>
      <c r="V28" s="63">
        <v>26110888</v>
      </c>
      <c r="W28" s="64">
        <v>70.457099999999997</v>
      </c>
      <c r="X28" s="64">
        <v>73.018100000000004</v>
      </c>
      <c r="Y28" s="64">
        <v>34.880299999999998</v>
      </c>
      <c r="Z28" s="64">
        <v>37.548400000000001</v>
      </c>
      <c r="AA28" s="64">
        <v>37.157200000000003</v>
      </c>
      <c r="AB28" s="65">
        <v>2548.46</v>
      </c>
      <c r="AC28" s="65">
        <v>1840.86</v>
      </c>
      <c r="AD28" s="65">
        <v>5.681</v>
      </c>
      <c r="AE28" s="65">
        <v>25.823</v>
      </c>
      <c r="AF28">
        <v>32</v>
      </c>
      <c r="AG28" s="27">
        <f t="shared" si="7"/>
        <v>27.818864999999999</v>
      </c>
      <c r="AH28" s="28">
        <f t="shared" si="8"/>
        <v>1.1722889422452418</v>
      </c>
      <c r="AI28" s="28">
        <f t="shared" si="9"/>
        <v>0.14074741525974138</v>
      </c>
      <c r="AJ28" s="28">
        <f t="shared" si="10"/>
        <v>0.10882947209131585</v>
      </c>
      <c r="AK28" s="28">
        <f t="shared" si="11"/>
        <v>1.0315472158950663</v>
      </c>
      <c r="AL28" s="25">
        <f t="shared" si="12"/>
        <v>3562656</v>
      </c>
      <c r="AM28" s="28">
        <f t="shared" si="13"/>
        <v>1.1329634964794024</v>
      </c>
      <c r="AN28" s="62">
        <v>26191008</v>
      </c>
      <c r="AO28" s="62">
        <v>818469</v>
      </c>
      <c r="AP28" s="62">
        <v>27045</v>
      </c>
      <c r="AQ28" s="63">
        <v>29673456</v>
      </c>
      <c r="AR28" s="63">
        <v>2754736</v>
      </c>
      <c r="AS28" s="63">
        <v>807920</v>
      </c>
      <c r="AT28" s="63">
        <v>26110944</v>
      </c>
      <c r="AU28" s="64">
        <v>70.457109374999902</v>
      </c>
      <c r="AV28" s="64">
        <v>73.018118749999999</v>
      </c>
      <c r="AW28" s="64">
        <v>34.880259375000001</v>
      </c>
      <c r="AX28" s="64">
        <v>37.548418749999897</v>
      </c>
      <c r="AY28" s="64">
        <v>37.157228124999897</v>
      </c>
      <c r="AZ28" s="65">
        <v>6002.55</v>
      </c>
      <c r="BA28" s="65">
        <v>2092.46</v>
      </c>
      <c r="BB28" s="65">
        <v>6.3159999999999998</v>
      </c>
      <c r="BC28" s="65">
        <v>24.995999999999999</v>
      </c>
      <c r="BD28">
        <v>32</v>
      </c>
      <c r="BE28" s="33">
        <f t="shared" si="14"/>
        <v>0</v>
      </c>
      <c r="BF28" s="33">
        <f t="shared" si="15"/>
        <v>6.4380621890985923E-6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0</v>
      </c>
      <c r="BV28" s="4">
        <f t="shared" si="18"/>
        <v>0</v>
      </c>
      <c r="BW28" s="4">
        <f t="shared" si="19"/>
        <v>0</v>
      </c>
      <c r="BX28" s="4">
        <f t="shared" si="20"/>
        <v>8</v>
      </c>
      <c r="BY28" s="4">
        <f t="shared" si="21"/>
        <v>56</v>
      </c>
      <c r="BZ28" s="4">
        <f t="shared" si="22"/>
        <v>136</v>
      </c>
      <c r="CA28" s="4">
        <f t="shared" si="23"/>
        <v>56</v>
      </c>
      <c r="CB28" s="4">
        <f t="shared" si="24"/>
        <v>9.3749999052761268E-6</v>
      </c>
      <c r="CC28" s="4">
        <f t="shared" si="25"/>
        <v>1.8749999995293365E-5</v>
      </c>
      <c r="CD28" s="4">
        <f t="shared" si="26"/>
        <v>-4.0624999996907718E-5</v>
      </c>
      <c r="CE28" s="4">
        <f t="shared" si="27"/>
        <v>1.8749999895817382E-5</v>
      </c>
      <c r="CF28" s="4">
        <f t="shared" si="28"/>
        <v>2.8124999893464064E-5</v>
      </c>
    </row>
    <row r="29" spans="1:84" ht="15.75" outlineLevel="1" thickBot="1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48.662205</v>
      </c>
      <c r="J29" s="38">
        <f t="shared" si="1"/>
        <v>2.0506287667297398</v>
      </c>
      <c r="K29" s="38">
        <f t="shared" si="2"/>
        <v>0.22523815197669064</v>
      </c>
      <c r="L29" s="38">
        <f t="shared" si="3"/>
        <v>0.1658639509919404</v>
      </c>
      <c r="M29" s="38">
        <f t="shared" si="4"/>
        <v>1.825386822146672</v>
      </c>
      <c r="N29" s="35">
        <f t="shared" si="5"/>
        <v>5701320</v>
      </c>
      <c r="O29" s="38">
        <f t="shared" si="6"/>
        <v>2.0708682486935279</v>
      </c>
      <c r="P29" s="66">
        <v>25065019</v>
      </c>
      <c r="Q29" s="66">
        <v>783282</v>
      </c>
      <c r="R29" s="66">
        <v>12136.6</v>
      </c>
      <c r="S29" s="67">
        <v>51906352</v>
      </c>
      <c r="T29" s="67">
        <v>4198416</v>
      </c>
      <c r="U29" s="67">
        <v>1502904</v>
      </c>
      <c r="V29" s="67">
        <v>46204936</v>
      </c>
      <c r="W29" s="68">
        <v>71.492800000000003</v>
      </c>
      <c r="X29" s="68">
        <v>74.934799999999996</v>
      </c>
      <c r="Y29" s="68">
        <v>36.557699999999997</v>
      </c>
      <c r="Z29" s="68">
        <v>39.620199999999997</v>
      </c>
      <c r="AA29" s="68">
        <v>39.0184</v>
      </c>
      <c r="AB29" s="69">
        <v>2495.73</v>
      </c>
      <c r="AC29" s="69">
        <v>2157</v>
      </c>
      <c r="AD29" s="69">
        <v>5.4329999999999998</v>
      </c>
      <c r="AE29" s="69">
        <v>26.898</v>
      </c>
      <c r="AF29">
        <v>32</v>
      </c>
      <c r="AG29" s="37">
        <f t="shared" si="7"/>
        <v>48.662212500000003</v>
      </c>
      <c r="AH29" s="38">
        <f t="shared" si="8"/>
        <v>2.0506290827802713</v>
      </c>
      <c r="AI29" s="38">
        <f t="shared" si="9"/>
        <v>0.22524573718944479</v>
      </c>
      <c r="AJ29" s="38">
        <f t="shared" si="10"/>
        <v>0.16586616334566034</v>
      </c>
      <c r="AK29" s="38">
        <f t="shared" si="11"/>
        <v>1.825389034500392</v>
      </c>
      <c r="AL29" s="35">
        <f t="shared" si="12"/>
        <v>5701512</v>
      </c>
      <c r="AM29" s="38">
        <f t="shared" si="13"/>
        <v>2.0708685678634433</v>
      </c>
      <c r="AN29" s="66">
        <v>25065019</v>
      </c>
      <c r="AO29" s="66">
        <v>783281.84375</v>
      </c>
      <c r="AP29" s="66">
        <v>12136.59375</v>
      </c>
      <c r="AQ29" s="67">
        <v>51906360</v>
      </c>
      <c r="AR29" s="67">
        <v>4198472</v>
      </c>
      <c r="AS29" s="67">
        <v>1503040</v>
      </c>
      <c r="AT29" s="67">
        <v>46204992</v>
      </c>
      <c r="AU29" s="68">
        <v>71.492812499999999</v>
      </c>
      <c r="AV29" s="68">
        <v>74.934843749999999</v>
      </c>
      <c r="AW29" s="68">
        <v>36.5576875</v>
      </c>
      <c r="AX29" s="68">
        <v>39.620221874999899</v>
      </c>
      <c r="AY29" s="68">
        <v>39.018403124999999</v>
      </c>
      <c r="AZ29" s="69">
        <v>6041.01</v>
      </c>
      <c r="BA29" s="69">
        <v>2451.75</v>
      </c>
      <c r="BB29" s="69">
        <v>5.3639999999999999</v>
      </c>
      <c r="BC29" s="69">
        <v>21.84</v>
      </c>
      <c r="BD29">
        <v>32</v>
      </c>
      <c r="BE29" s="43">
        <f t="shared" si="14"/>
        <v>-4.8883770451674247E-9</v>
      </c>
      <c r="BF29" s="43">
        <f t="shared" si="15"/>
        <v>3.6820399534759352E-6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0</v>
      </c>
      <c r="BV29" s="4">
        <f t="shared" si="18"/>
        <v>-0.15625</v>
      </c>
      <c r="BW29" s="4">
        <f t="shared" si="19"/>
        <v>-6.2500000003637979E-3</v>
      </c>
      <c r="BX29" s="4">
        <f t="shared" si="20"/>
        <v>8</v>
      </c>
      <c r="BY29" s="4">
        <f t="shared" si="21"/>
        <v>56</v>
      </c>
      <c r="BZ29" s="4">
        <f t="shared" si="22"/>
        <v>136</v>
      </c>
      <c r="CA29" s="4">
        <f t="shared" si="23"/>
        <v>56</v>
      </c>
      <c r="CB29" s="4">
        <f t="shared" si="24"/>
        <v>1.2499999996862243E-5</v>
      </c>
      <c r="CC29" s="4">
        <f t="shared" si="25"/>
        <v>4.3750000003228706E-5</v>
      </c>
      <c r="CD29" s="4">
        <f t="shared" si="26"/>
        <v>-1.2499999996862243E-5</v>
      </c>
      <c r="CE29" s="4">
        <f t="shared" si="27"/>
        <v>2.187499990213837E-5</v>
      </c>
      <c r="CF29" s="4">
        <f t="shared" si="28"/>
        <v>3.1249999992155608E-6</v>
      </c>
    </row>
    <row r="30" spans="1:84">
      <c r="B30" s="55" t="s">
        <v>286</v>
      </c>
      <c r="J30" s="56">
        <f>AVERAGE(J5:J24)</f>
        <v>0.43179147954540281</v>
      </c>
      <c r="K30" s="56">
        <f>AVERAGE(K5:K24)</f>
        <v>0.12486495089094449</v>
      </c>
      <c r="L30" s="56">
        <f>AVERAGE(L5:L24)</f>
        <v>8.5135082365582759E-2</v>
      </c>
      <c r="M30" s="56">
        <f>AVERAGE(M5:M24)</f>
        <v>0.30692305581660051</v>
      </c>
      <c r="AH30" s="56">
        <f>AVERAGE(AH5:AH24)</f>
        <v>0.43179176894855759</v>
      </c>
      <c r="AI30" s="56">
        <f>AVERAGE(AI5:AI24)</f>
        <v>0.12487189656665994</v>
      </c>
      <c r="AJ30" s="56">
        <f>AVERAGE(AJ5:AJ24)</f>
        <v>8.5137108187666427E-2</v>
      </c>
      <c r="AK30" s="56">
        <f>AVERAGE(AK5:AK24)</f>
        <v>0.30692508163868409</v>
      </c>
      <c r="BG30" s="8">
        <f>AVERAGE(BG5:BG24)</f>
        <v>2.7281506119386512E-5</v>
      </c>
      <c r="BI30" s="5">
        <f>AVERAGE(BI5:BI24)</f>
        <v>7.3154271059416853E-5</v>
      </c>
      <c r="BJ30" s="5">
        <f>AVERAGE(BJ5:BJ24)</f>
        <v>6.9222800805956997E-5</v>
      </c>
      <c r="BK30" s="5">
        <f>AVERAGE(BK5:BK24)</f>
        <v>1.3458123900800256E-5</v>
      </c>
      <c r="BL30" s="5">
        <f>AVERAGE(BL5:BL24)</f>
        <v>2.2971527584958462E-5</v>
      </c>
      <c r="BM30" s="5">
        <f>AVERAGE(BM5:BM24)</f>
        <v>1.7336477928453498E-5</v>
      </c>
      <c r="BO30" s="5">
        <f>AVERAGE(BO5:BO24)</f>
        <v>3.5614189110022565E-6</v>
      </c>
      <c r="BP30" s="5">
        <f>AVERAGE(BP5:BP24)</f>
        <v>4.1561101688791791E-6</v>
      </c>
      <c r="BQ30" s="5">
        <f>AVERAGE(BQ5:BQ24)</f>
        <v>7.3189131102879834E-7</v>
      </c>
      <c r="BR30" s="5">
        <f>AVERAGE(BR5:BR24)</f>
        <v>8.8196829166331536E-6</v>
      </c>
      <c r="BS30" s="5">
        <f>AVERAGE(BS5:BS24)</f>
        <v>4.08668159812553E-6</v>
      </c>
    </row>
    <row r="31" spans="1:84">
      <c r="B31" s="55" t="s">
        <v>287</v>
      </c>
      <c r="J31" s="56">
        <f>AVERAGE(J25:J29)</f>
        <v>0.87603278202532131</v>
      </c>
      <c r="K31" s="56">
        <f>AVERAGE(K25:K29)</f>
        <v>0.12505443180277434</v>
      </c>
      <c r="L31" s="56">
        <f>AVERAGE(L25:L29)</f>
        <v>8.7649535358311242E-2</v>
      </c>
      <c r="M31" s="56">
        <f>AVERAGE(M25:M29)</f>
        <v>0.75097455761616982</v>
      </c>
      <c r="AH31" s="56">
        <f>AVERAGE(AH25:AH29)</f>
        <v>0.87603309807585283</v>
      </c>
      <c r="AI31" s="56">
        <f>AVERAGE(AI25:AI29)</f>
        <v>0.12506201701552849</v>
      </c>
      <c r="AJ31" s="56">
        <f>AVERAGE(AJ25:AJ29)</f>
        <v>8.7651747712031186E-2</v>
      </c>
      <c r="AK31" s="56">
        <f>AVERAGE(AK25:AK29)</f>
        <v>0.75097676996988993</v>
      </c>
      <c r="BG31" s="8">
        <f>AVERAGE(BG25:BG29)</f>
        <v>1.6402594156333938E-5</v>
      </c>
      <c r="BI31" s="5">
        <f>AVERAGE(BI25:BI29)</f>
        <v>7.1891696017845064E-5</v>
      </c>
      <c r="BJ31" s="5">
        <f>AVERAGE(BJ25:BJ29)</f>
        <v>6.9631886357335304E-5</v>
      </c>
      <c r="BK31" s="5">
        <f>AVERAGE(BK25:BK29)</f>
        <v>8.4030222367026397E-6</v>
      </c>
      <c r="BL31" s="5">
        <f>AVERAGE(BL25:BL29)</f>
        <v>2.7576442818144642E-7</v>
      </c>
      <c r="BM31" s="5">
        <f>AVERAGE(BM25:BM29)</f>
        <v>9.4352012420806375E-6</v>
      </c>
      <c r="BO31" s="5">
        <f>AVERAGE(BO25:BO29)</f>
        <v>-1.0812756589428929E-5</v>
      </c>
      <c r="BP31" s="5">
        <f>AVERAGE(BP25:BP29)</f>
        <v>-3.4686249593685048E-6</v>
      </c>
      <c r="BQ31" s="5">
        <f>AVERAGE(BQ25:BQ29)</f>
        <v>2.8827266047581901E-6</v>
      </c>
      <c r="BR31" s="5">
        <f>AVERAGE(BR25:BR29)</f>
        <v>-3.8181665381609164E-6</v>
      </c>
      <c r="BS31" s="5">
        <f>AVERAGE(BS25:BS29)</f>
        <v>3.7579456222402996E-6</v>
      </c>
    </row>
    <row r="32" spans="1:84">
      <c r="B32" s="55" t="s">
        <v>288</v>
      </c>
      <c r="J32" s="56">
        <f>AVERAGE(J5:J29)</f>
        <v>0.52063974004138658</v>
      </c>
      <c r="K32" s="56">
        <f>AVERAGE(K5:K29)</f>
        <v>0.12490284707331047</v>
      </c>
      <c r="L32" s="56">
        <f>AVERAGE(L5:L29)</f>
        <v>8.5637972964128437E-2</v>
      </c>
      <c r="M32" s="56">
        <f>AVERAGE(M5:M29)</f>
        <v>0.39573335617651439</v>
      </c>
      <c r="AH32" s="56">
        <f>AVERAGE(AH5:AH29)</f>
        <v>0.52064003477401666</v>
      </c>
      <c r="AI32" s="56">
        <f>AVERAGE(AI5:AI29)</f>
        <v>0.12490992065643365</v>
      </c>
      <c r="AJ32" s="56">
        <f>AVERAGE(AJ5:AJ29)</f>
        <v>8.5640036092539382E-2</v>
      </c>
      <c r="AK32" s="56">
        <f>AVERAGE(AK5:AK29)</f>
        <v>0.39573541930492523</v>
      </c>
      <c r="BG32" s="8">
        <f>AVERAGE(BG5:BG29)</f>
        <v>2.5105723726775996E-5</v>
      </c>
      <c r="BI32" s="5">
        <f>AVERAGE(BI5:BI29)</f>
        <v>7.2901756051102501E-5</v>
      </c>
      <c r="BJ32" s="5">
        <f>AVERAGE(BJ5:BJ29)</f>
        <v>6.9304617916232653E-5</v>
      </c>
      <c r="BK32" s="5">
        <f>AVERAGE(BK5:BK29)</f>
        <v>1.2447103567980733E-5</v>
      </c>
      <c r="BL32" s="5">
        <f>AVERAGE(BL5:BL29)</f>
        <v>1.843237495360306E-5</v>
      </c>
      <c r="BM32" s="5">
        <f>AVERAGE(BM5:BM29)</f>
        <v>1.5756222591178924E-5</v>
      </c>
      <c r="BO32" s="5">
        <f>AVERAGE(BO5:BO29)</f>
        <v>6.8658381091601939E-7</v>
      </c>
      <c r="BP32" s="5">
        <f>AVERAGE(BP5:BP29)</f>
        <v>2.6311631432296422E-6</v>
      </c>
      <c r="BQ32" s="5">
        <f>AVERAGE(BQ5:BQ29)</f>
        <v>1.1620583697746768E-6</v>
      </c>
      <c r="BR32" s="5">
        <f>AVERAGE(BR5:BR29)</f>
        <v>6.2921130256743394E-6</v>
      </c>
      <c r="BS32" s="5">
        <f>AVERAGE(BS5:BS29)</f>
        <v>4.0209344029484838E-6</v>
      </c>
    </row>
    <row r="33" spans="1:55" hidden="1" outlineLevel="2">
      <c r="A33" s="55" t="s">
        <v>289</v>
      </c>
      <c r="B33" s="55" t="s">
        <v>290</v>
      </c>
      <c r="AB33" s="57">
        <f>SUM(AB5:AB24,AB25:AB29)</f>
        <v>67148.87</v>
      </c>
      <c r="AC33" s="57">
        <f>SUM(AC5:AC24,AC25:AC29)</f>
        <v>34801.558999999994</v>
      </c>
      <c r="AD33" s="57">
        <f>SUM(AD5:AD24,AD25:AD29)</f>
        <v>141.78100000000001</v>
      </c>
      <c r="AE33" s="57">
        <f>SUM(AE5:AE24,AE25:AE29)</f>
        <v>528.16800000000001</v>
      </c>
      <c r="AZ33" s="57">
        <f>SUM(AZ5:AZ24,AZ25:AZ29)</f>
        <v>193487.87000000002</v>
      </c>
      <c r="BA33" s="57">
        <f>SUM(BA5:BA24,BA25:BA29)</f>
        <v>39988.549999999996</v>
      </c>
      <c r="BB33" s="57">
        <f>SUM(BB5:BB24,BB25:BB29)</f>
        <v>190.88800000000003</v>
      </c>
      <c r="BC33" s="57">
        <f>SUM(BC5:BC24,BC25:BC29)</f>
        <v>610.4</v>
      </c>
    </row>
    <row r="34" spans="1:55" hidden="1" outlineLevel="2">
      <c r="B34" s="55" t="s">
        <v>291</v>
      </c>
      <c r="AZ34" s="8">
        <f>AZ33/AB33</f>
        <v>2.8814761886536591</v>
      </c>
      <c r="BA34" s="8">
        <f>BA33/AC33</f>
        <v>1.1490447884820334</v>
      </c>
      <c r="BB34" s="8">
        <f>BB33/AD33</f>
        <v>1.3463581156854587</v>
      </c>
      <c r="BC34" s="8">
        <f>BC33/AE33</f>
        <v>1.155692885597007</v>
      </c>
    </row>
    <row r="35" spans="1:55" hidden="1" outlineLevel="2">
      <c r="B35" s="55" t="s">
        <v>292</v>
      </c>
      <c r="AB35" s="57">
        <f>GEOMEAN(AB5:AB24,AB25:AB29)</f>
        <v>2655.2223931920635</v>
      </c>
      <c r="AC35" s="57">
        <f>GEOMEAN(AC5:AC24,AC25:AC29)</f>
        <v>1363.3881614111533</v>
      </c>
      <c r="AD35" s="57">
        <f>GEOMEAN(AD5:AD24,AD25:AD29)</f>
        <v>5.6197028193508443</v>
      </c>
      <c r="AE35" s="57">
        <f>GEOMEAN(AE5:AE24,AE25:AE29)</f>
        <v>20.905563507603983</v>
      </c>
      <c r="AZ35" s="57">
        <f>GEOMEAN(AZ5:AZ24,AZ25:AZ29)</f>
        <v>7530.0636790500866</v>
      </c>
      <c r="BA35" s="57">
        <f>GEOMEAN(BA5:BA24,BA25:BA29)</f>
        <v>1559.3380209119814</v>
      </c>
      <c r="BB35" s="57">
        <f>GEOMEAN(BB5:BB24,BB25:BB29)</f>
        <v>7.4273587807136634</v>
      </c>
      <c r="BC35" s="57">
        <f>GEOMEAN(BC5:BC24,BC25:BC29)</f>
        <v>23.870578497452797</v>
      </c>
    </row>
    <row r="36" spans="1:55" outlineLevel="2" collapsed="1">
      <c r="B36" s="55" t="s">
        <v>293</v>
      </c>
      <c r="AZ36" s="8">
        <f>AZ35/AB35</f>
        <v>2.8359446268444475</v>
      </c>
      <c r="BA36" s="8">
        <f>BA35/AC35</f>
        <v>1.1437227233204177</v>
      </c>
      <c r="BB36" s="8">
        <f>BB35/AD35</f>
        <v>1.3216639775217915</v>
      </c>
      <c r="BC36" s="8">
        <f>BC35/AE35</f>
        <v>1.1418289915395177</v>
      </c>
    </row>
    <row r="38" spans="1:55">
      <c r="AR38" s="4"/>
      <c r="AS38" s="4"/>
      <c r="AT38" s="4"/>
      <c r="AU38" s="4"/>
      <c r="AV38" s="4"/>
      <c r="AW38" s="4"/>
      <c r="AX38" s="4"/>
      <c r="AY38" s="4"/>
    </row>
    <row r="39" spans="1:55">
      <c r="AQ39" s="4"/>
      <c r="AR39" s="4"/>
      <c r="AS39" s="4"/>
      <c r="AT39" s="4"/>
      <c r="AU39" s="4"/>
      <c r="AV39" s="4"/>
      <c r="AW39" s="4"/>
      <c r="AX39" s="4"/>
      <c r="AY39" s="4"/>
    </row>
    <row r="40" spans="1:55"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Q48" s="4"/>
      <c r="AR48" s="4"/>
      <c r="AS48" s="4"/>
      <c r="AT48" s="4"/>
      <c r="AU48" s="4"/>
      <c r="AV48" s="4"/>
      <c r="AW48" s="4"/>
      <c r="AX48" s="4"/>
      <c r="AY48" s="4"/>
    </row>
    <row r="49" spans="43:51">
      <c r="AQ49" s="4"/>
      <c r="AR49" s="4"/>
      <c r="AS49" s="4"/>
      <c r="AT49" s="4"/>
      <c r="AU49" s="4"/>
      <c r="AV49" s="4"/>
      <c r="AW49" s="4"/>
      <c r="AX49" s="4"/>
      <c r="AY49" s="4"/>
    </row>
    <row r="50" spans="43:51">
      <c r="AQ50" s="4"/>
      <c r="AR50" s="4"/>
      <c r="AS50" s="4"/>
      <c r="AT50" s="4"/>
      <c r="AU50" s="4"/>
      <c r="AV50" s="4"/>
      <c r="AW50" s="4"/>
      <c r="AX50" s="4"/>
      <c r="AY50" s="4"/>
    </row>
    <row r="51" spans="43:51">
      <c r="AQ51" s="4"/>
      <c r="AR51" s="4"/>
      <c r="AS51" s="4"/>
      <c r="AT51" s="4"/>
      <c r="AU51" s="4"/>
      <c r="AV51" s="4"/>
      <c r="AW51" s="4"/>
      <c r="AX51" s="4"/>
      <c r="AY51" s="4"/>
    </row>
    <row r="52" spans="43:51">
      <c r="AQ52" s="4"/>
      <c r="AR52" s="4"/>
      <c r="AS52" s="4"/>
      <c r="AT52" s="4"/>
      <c r="AU52" s="4"/>
      <c r="AV52" s="4"/>
      <c r="AW52" s="4"/>
      <c r="AX52" s="4"/>
      <c r="AY52" s="4"/>
    </row>
    <row r="53" spans="43:51">
      <c r="AQ53" s="4"/>
      <c r="AR53" s="4"/>
      <c r="AS53" s="4"/>
      <c r="AT53" s="4"/>
      <c r="AU53" s="4"/>
      <c r="AV53" s="4"/>
      <c r="AW53" s="4"/>
      <c r="AX53" s="4"/>
      <c r="AY53" s="4"/>
    </row>
    <row r="54" spans="43:51">
      <c r="AQ54" s="4"/>
      <c r="AR54" s="4"/>
      <c r="AS54" s="4"/>
      <c r="AT54" s="4"/>
      <c r="AU54" s="4"/>
      <c r="AV54" s="4"/>
      <c r="AW54" s="4"/>
      <c r="AX54" s="4"/>
      <c r="AY54" s="4"/>
    </row>
    <row r="55" spans="43:51">
      <c r="AQ55" s="4"/>
      <c r="AR55" s="4"/>
      <c r="AS55" s="4"/>
      <c r="AT55" s="4"/>
      <c r="AU55" s="4"/>
      <c r="AV55" s="4"/>
      <c r="AW55" s="4"/>
      <c r="AX55" s="4"/>
      <c r="AY55" s="4"/>
    </row>
    <row r="56" spans="43:51">
      <c r="AQ56" s="4"/>
      <c r="AR56" s="4"/>
      <c r="AS56" s="4"/>
      <c r="AT56" s="4"/>
      <c r="AU56" s="4"/>
      <c r="AV56" s="4"/>
      <c r="AW56" s="4"/>
      <c r="AX56" s="4"/>
      <c r="AY56" s="4"/>
    </row>
    <row r="57" spans="43:51">
      <c r="AQ57" s="4"/>
      <c r="AR57" s="4"/>
      <c r="AS57" s="4"/>
      <c r="AT57" s="4"/>
      <c r="AU57" s="4"/>
      <c r="AV57" s="4"/>
      <c r="AW57" s="4"/>
      <c r="AX57" s="4"/>
      <c r="AY57" s="4"/>
    </row>
    <row r="58" spans="43:51">
      <c r="AQ58" s="4"/>
      <c r="AR58" s="4"/>
      <c r="AS58" s="4"/>
      <c r="AT58" s="4"/>
      <c r="AU58" s="4"/>
      <c r="AV58" s="4"/>
      <c r="AW58" s="4"/>
      <c r="AX58" s="4"/>
      <c r="AY58" s="4"/>
    </row>
    <row r="59" spans="43:51">
      <c r="AQ59" s="4"/>
      <c r="AR59" s="4"/>
      <c r="AS59" s="4"/>
      <c r="AT59" s="4"/>
      <c r="AU59" s="4"/>
      <c r="AV59" s="4"/>
      <c r="AW59" s="4"/>
      <c r="AX59" s="4"/>
      <c r="AY59" s="4"/>
    </row>
    <row r="60" spans="43:51">
      <c r="AQ60" s="4"/>
      <c r="AR60" s="4"/>
      <c r="AS60" s="4"/>
      <c r="AT60" s="4"/>
      <c r="AU60" s="4"/>
      <c r="AV60" s="4"/>
      <c r="AW60" s="4"/>
      <c r="AX60" s="4"/>
      <c r="AY60" s="4"/>
    </row>
    <row r="61" spans="43:51">
      <c r="AQ61" s="4"/>
      <c r="AR61" s="4"/>
      <c r="AS61" s="4"/>
      <c r="AT61" s="4"/>
      <c r="AU61" s="4"/>
      <c r="AV61" s="4"/>
      <c r="AW61" s="4"/>
      <c r="AX61" s="4"/>
      <c r="AY61" s="4"/>
    </row>
    <row r="62" spans="43:51">
      <c r="AQ62" s="4"/>
      <c r="AR62" s="4"/>
      <c r="AS62" s="4"/>
      <c r="AT62" s="4"/>
      <c r="AU62" s="4"/>
      <c r="AV62" s="4"/>
      <c r="AW62" s="4"/>
      <c r="AX62" s="4"/>
      <c r="AY62" s="4"/>
    </row>
    <row r="63" spans="43:51">
      <c r="AQ63" s="4"/>
      <c r="AR63" s="4"/>
      <c r="AS63" s="4"/>
      <c r="AT63" s="4"/>
      <c r="AU63" s="4"/>
      <c r="AV63" s="4"/>
      <c r="AW63" s="4"/>
      <c r="AX63" s="4"/>
      <c r="AY63" s="4"/>
    </row>
  </sheetData>
  <mergeCells count="47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CD2:CF2"/>
    <mergeCell ref="BU2:BU3"/>
    <mergeCell ref="BV2:BV3"/>
    <mergeCell ref="BW2:BW3"/>
    <mergeCell ref="BX2:CA2"/>
    <mergeCell ref="CB2:CC2"/>
  </mergeCells>
  <phoneticPr fontId="2"/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5"/>
  <sheetData>
    <row r="1" spans="1:2">
      <c r="A1" t="s">
        <v>93</v>
      </c>
      <c r="B1">
        <v>1</v>
      </c>
    </row>
    <row r="2" spans="1:2">
      <c r="A2" t="s">
        <v>96</v>
      </c>
      <c r="B2">
        <v>2</v>
      </c>
    </row>
    <row r="3" spans="1:2">
      <c r="A3" t="s">
        <v>99</v>
      </c>
      <c r="B3">
        <v>3</v>
      </c>
    </row>
    <row r="4" spans="1:2">
      <c r="A4" t="s">
        <v>102</v>
      </c>
      <c r="B4">
        <v>4</v>
      </c>
    </row>
    <row r="5" spans="1:2">
      <c r="A5" t="s">
        <v>105</v>
      </c>
      <c r="B5">
        <v>5</v>
      </c>
    </row>
    <row r="6" spans="1:2">
      <c r="A6" t="s">
        <v>108</v>
      </c>
      <c r="B6">
        <v>6</v>
      </c>
    </row>
    <row r="7" spans="1:2">
      <c r="A7" t="s">
        <v>111</v>
      </c>
      <c r="B7">
        <v>7</v>
      </c>
    </row>
    <row r="8" spans="1:2">
      <c r="A8" t="s">
        <v>114</v>
      </c>
      <c r="B8">
        <v>9</v>
      </c>
    </row>
    <row r="9" spans="1:2">
      <c r="A9" t="s">
        <v>118</v>
      </c>
      <c r="B9">
        <v>10</v>
      </c>
    </row>
    <row r="10" spans="1:2">
      <c r="A10" t="s">
        <v>121</v>
      </c>
      <c r="B10">
        <v>11</v>
      </c>
    </row>
    <row r="11" spans="1:2">
      <c r="A11" t="s">
        <v>124</v>
      </c>
      <c r="B11">
        <v>12</v>
      </c>
    </row>
    <row r="12" spans="1:2">
      <c r="A12" t="s">
        <v>127</v>
      </c>
      <c r="B12">
        <v>13</v>
      </c>
    </row>
    <row r="13" spans="1:2">
      <c r="A13" t="s">
        <v>130</v>
      </c>
      <c r="B13">
        <v>14</v>
      </c>
    </row>
    <row r="14" spans="1:2">
      <c r="A14" t="s">
        <v>133</v>
      </c>
      <c r="B14">
        <v>15</v>
      </c>
    </row>
    <row r="15" spans="1:2">
      <c r="A15" t="s">
        <v>135</v>
      </c>
      <c r="B15">
        <v>16</v>
      </c>
    </row>
    <row r="16" spans="1:2">
      <c r="A16" t="s">
        <v>137</v>
      </c>
      <c r="B16">
        <v>17</v>
      </c>
    </row>
    <row r="17" spans="1:2">
      <c r="A17" t="s">
        <v>139</v>
      </c>
      <c r="B17">
        <v>18</v>
      </c>
    </row>
    <row r="18" spans="1:2">
      <c r="A18" t="s">
        <v>142</v>
      </c>
      <c r="B18">
        <v>19</v>
      </c>
    </row>
    <row r="19" spans="1:2">
      <c r="A19" t="s">
        <v>144</v>
      </c>
      <c r="B19">
        <v>20</v>
      </c>
    </row>
    <row r="20" spans="1:2">
      <c r="A20" t="s">
        <v>147</v>
      </c>
      <c r="B20">
        <v>21</v>
      </c>
    </row>
    <row r="21" spans="1:2">
      <c r="A21" t="s">
        <v>150</v>
      </c>
      <c r="B21">
        <v>22</v>
      </c>
    </row>
    <row r="22" spans="1:2">
      <c r="A22" t="s">
        <v>154</v>
      </c>
      <c r="B22">
        <v>23</v>
      </c>
    </row>
    <row r="23" spans="1:2">
      <c r="A23" t="s">
        <v>157</v>
      </c>
      <c r="B23">
        <v>24</v>
      </c>
    </row>
    <row r="24" spans="1:2">
      <c r="A24" t="s">
        <v>161</v>
      </c>
      <c r="B24">
        <v>25</v>
      </c>
    </row>
    <row r="25" spans="1:2">
      <c r="A25" t="s">
        <v>164</v>
      </c>
      <c r="B25">
        <v>26</v>
      </c>
    </row>
    <row r="26" spans="1:2">
      <c r="A26" t="s">
        <v>167</v>
      </c>
      <c r="B26">
        <v>27</v>
      </c>
    </row>
    <row r="27" spans="1:2">
      <c r="A27" t="s">
        <v>171</v>
      </c>
      <c r="B27">
        <v>28</v>
      </c>
    </row>
    <row r="28" spans="1:2">
      <c r="A28" t="s">
        <v>174</v>
      </c>
      <c r="B28">
        <v>29</v>
      </c>
    </row>
    <row r="29" spans="1:2">
      <c r="A29" t="s">
        <v>177</v>
      </c>
      <c r="B29">
        <v>30</v>
      </c>
    </row>
    <row r="30" spans="1:2">
      <c r="A30" t="s">
        <v>179</v>
      </c>
      <c r="B30">
        <v>31</v>
      </c>
    </row>
    <row r="31" spans="1:2">
      <c r="A31" t="s">
        <v>181</v>
      </c>
      <c r="B31">
        <v>33</v>
      </c>
    </row>
    <row r="32" spans="1:2">
      <c r="A32" t="s">
        <v>183</v>
      </c>
      <c r="B32">
        <v>34</v>
      </c>
    </row>
    <row r="33" spans="1:2">
      <c r="A33" t="s">
        <v>185</v>
      </c>
      <c r="B33">
        <v>35</v>
      </c>
    </row>
    <row r="34" spans="1:2">
      <c r="A34" t="s">
        <v>187</v>
      </c>
      <c r="B34">
        <v>36</v>
      </c>
    </row>
    <row r="35" spans="1:2">
      <c r="A35" t="s">
        <v>189</v>
      </c>
      <c r="B35">
        <v>37</v>
      </c>
    </row>
    <row r="36" spans="1:2">
      <c r="A36" t="s">
        <v>192</v>
      </c>
      <c r="B36">
        <v>38</v>
      </c>
    </row>
    <row r="37" spans="1:2">
      <c r="A37" t="s">
        <v>194</v>
      </c>
      <c r="B37">
        <v>39</v>
      </c>
    </row>
    <row r="38" spans="1:2">
      <c r="A38" t="s">
        <v>196</v>
      </c>
      <c r="B38">
        <v>40</v>
      </c>
    </row>
    <row r="39" spans="1:2">
      <c r="A39" t="s">
        <v>198</v>
      </c>
      <c r="B39">
        <v>41</v>
      </c>
    </row>
    <row r="40" spans="1:2">
      <c r="A40" t="s">
        <v>200</v>
      </c>
      <c r="B40">
        <v>42</v>
      </c>
    </row>
    <row r="41" spans="1:2">
      <c r="A41" t="s">
        <v>202</v>
      </c>
      <c r="B41">
        <v>43</v>
      </c>
    </row>
    <row r="42" spans="1:2">
      <c r="A42" t="s">
        <v>204</v>
      </c>
      <c r="B42">
        <v>44</v>
      </c>
    </row>
    <row r="43" spans="1:2">
      <c r="A43" t="s">
        <v>206</v>
      </c>
      <c r="B43">
        <v>45</v>
      </c>
    </row>
    <row r="44" spans="1:2">
      <c r="A44" t="s">
        <v>208</v>
      </c>
      <c r="B44">
        <v>46</v>
      </c>
    </row>
    <row r="45" spans="1:2">
      <c r="A45" t="s">
        <v>210</v>
      </c>
      <c r="B45">
        <v>47</v>
      </c>
    </row>
    <row r="46" spans="1:2">
      <c r="A46" t="s">
        <v>212</v>
      </c>
      <c r="B46">
        <v>48</v>
      </c>
    </row>
    <row r="47" spans="1:2">
      <c r="A47" t="s">
        <v>214</v>
      </c>
      <c r="B47">
        <v>49</v>
      </c>
    </row>
    <row r="48" spans="1:2">
      <c r="A48" t="s">
        <v>216</v>
      </c>
      <c r="B48">
        <v>50</v>
      </c>
    </row>
    <row r="49" spans="1:2">
      <c r="A49" t="s">
        <v>218</v>
      </c>
      <c r="B49">
        <v>51</v>
      </c>
    </row>
    <row r="50" spans="1:2">
      <c r="A50" t="s">
        <v>220</v>
      </c>
      <c r="B50">
        <v>52</v>
      </c>
    </row>
    <row r="51" spans="1:2">
      <c r="A51" t="s">
        <v>222</v>
      </c>
      <c r="B51">
        <v>53</v>
      </c>
    </row>
    <row r="52" spans="1:2">
      <c r="A52" t="s">
        <v>224</v>
      </c>
      <c r="B52">
        <v>54</v>
      </c>
    </row>
    <row r="53" spans="1:2">
      <c r="A53" t="s">
        <v>226</v>
      </c>
      <c r="B53">
        <v>55</v>
      </c>
    </row>
    <row r="54" spans="1:2">
      <c r="A54" t="s">
        <v>229</v>
      </c>
      <c r="B54">
        <v>57</v>
      </c>
    </row>
    <row r="55" spans="1:2">
      <c r="A55" t="s">
        <v>232</v>
      </c>
      <c r="B55">
        <v>58</v>
      </c>
    </row>
    <row r="56" spans="1:2">
      <c r="A56" t="s">
        <v>234</v>
      </c>
      <c r="B56">
        <v>59</v>
      </c>
    </row>
    <row r="57" spans="1:2">
      <c r="A57" t="s">
        <v>237</v>
      </c>
      <c r="B57">
        <v>61</v>
      </c>
    </row>
    <row r="58" spans="1:2">
      <c r="A58" t="s">
        <v>239</v>
      </c>
      <c r="B58">
        <v>62</v>
      </c>
    </row>
    <row r="59" spans="1:2">
      <c r="A59" t="s">
        <v>242</v>
      </c>
      <c r="B59">
        <v>63</v>
      </c>
    </row>
    <row r="60" spans="1:2">
      <c r="A60" t="s">
        <v>244</v>
      </c>
      <c r="B60">
        <v>64</v>
      </c>
    </row>
    <row r="61" spans="1:2">
      <c r="A61" t="s">
        <v>246</v>
      </c>
      <c r="B61">
        <v>65</v>
      </c>
    </row>
    <row r="62" spans="1:2">
      <c r="A62" t="s">
        <v>249</v>
      </c>
      <c r="B62">
        <v>67</v>
      </c>
    </row>
    <row r="63" spans="1:2">
      <c r="A63" t="s">
        <v>251</v>
      </c>
      <c r="B63">
        <v>68</v>
      </c>
    </row>
    <row r="64" spans="1:2">
      <c r="A64" t="s">
        <v>254</v>
      </c>
      <c r="B64">
        <v>69</v>
      </c>
    </row>
    <row r="65" spans="1:24">
      <c r="A65" t="s">
        <v>256</v>
      </c>
      <c r="B65">
        <v>70</v>
      </c>
    </row>
    <row r="66" spans="1:24">
      <c r="A66" t="s">
        <v>258</v>
      </c>
      <c r="B66">
        <v>71</v>
      </c>
    </row>
    <row r="67" spans="1:24">
      <c r="A67" t="s">
        <v>260</v>
      </c>
      <c r="B67" t="s">
        <v>261</v>
      </c>
    </row>
    <row r="68" spans="1:24">
      <c r="A68" t="s">
        <v>262</v>
      </c>
      <c r="B68" t="s">
        <v>263</v>
      </c>
    </row>
    <row r="69" spans="1:24">
      <c r="A69" t="s">
        <v>271</v>
      </c>
      <c r="B69" t="s">
        <v>272</v>
      </c>
    </row>
    <row r="70" spans="1:24">
      <c r="A70" t="s">
        <v>274</v>
      </c>
      <c r="B70" t="s">
        <v>275</v>
      </c>
    </row>
    <row r="71" spans="1:24">
      <c r="A71" t="s">
        <v>277</v>
      </c>
      <c r="B71" t="s">
        <v>278</v>
      </c>
    </row>
    <row r="72" spans="1:24">
      <c r="A72" t="s">
        <v>280</v>
      </c>
      <c r="B72" t="s">
        <v>281</v>
      </c>
    </row>
    <row r="73" spans="1:24">
      <c r="A73" t="s">
        <v>284</v>
      </c>
      <c r="B73" t="s">
        <v>285</v>
      </c>
    </row>
    <row r="74" spans="1:24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>
      <c r="A75" t="s">
        <v>302</v>
      </c>
      <c r="B75">
        <v>1</v>
      </c>
    </row>
    <row r="76" spans="1:24">
      <c r="A76" t="s">
        <v>303</v>
      </c>
      <c r="B76">
        <v>2</v>
      </c>
    </row>
    <row r="77" spans="1:24">
      <c r="A77" t="s">
        <v>304</v>
      </c>
      <c r="B77">
        <v>3</v>
      </c>
    </row>
    <row r="78" spans="1:24">
      <c r="A78" t="s">
        <v>305</v>
      </c>
      <c r="B78">
        <v>4</v>
      </c>
    </row>
    <row r="79" spans="1:24">
      <c r="A79" t="s">
        <v>306</v>
      </c>
      <c r="B79">
        <v>5</v>
      </c>
    </row>
    <row r="80" spans="1:24">
      <c r="A80" t="s">
        <v>307</v>
      </c>
      <c r="B80">
        <v>6</v>
      </c>
    </row>
    <row r="81" spans="1:2">
      <c r="A81" t="s">
        <v>310</v>
      </c>
      <c r="B81">
        <v>8</v>
      </c>
    </row>
    <row r="82" spans="1:2">
      <c r="A82" t="s">
        <v>311</v>
      </c>
      <c r="B82">
        <v>9</v>
      </c>
    </row>
    <row r="83" spans="1:2">
      <c r="A83" t="s">
        <v>312</v>
      </c>
      <c r="B83">
        <v>10</v>
      </c>
    </row>
    <row r="84" spans="1:2">
      <c r="A84" t="s">
        <v>313</v>
      </c>
      <c r="B84">
        <v>11</v>
      </c>
    </row>
    <row r="85" spans="1:2">
      <c r="A85" t="s">
        <v>314</v>
      </c>
      <c r="B85">
        <v>12</v>
      </c>
    </row>
    <row r="86" spans="1:2">
      <c r="A86" t="s">
        <v>315</v>
      </c>
      <c r="B86">
        <v>13</v>
      </c>
    </row>
    <row r="87" spans="1:2">
      <c r="A87" t="s">
        <v>316</v>
      </c>
      <c r="B87">
        <v>14</v>
      </c>
    </row>
    <row r="88" spans="1:2">
      <c r="A88" t="s">
        <v>317</v>
      </c>
      <c r="B88">
        <v>15</v>
      </c>
    </row>
    <row r="89" spans="1:2">
      <c r="A89" t="s">
        <v>318</v>
      </c>
      <c r="B89">
        <v>16</v>
      </c>
    </row>
    <row r="90" spans="1:2">
      <c r="A90" t="s">
        <v>319</v>
      </c>
      <c r="B90">
        <v>17</v>
      </c>
    </row>
    <row r="91" spans="1:2">
      <c r="A91" t="s">
        <v>320</v>
      </c>
      <c r="B91">
        <v>18</v>
      </c>
    </row>
    <row r="92" spans="1:2">
      <c r="A92" t="s">
        <v>321</v>
      </c>
      <c r="B92">
        <v>19</v>
      </c>
    </row>
    <row r="93" spans="1:2">
      <c r="A93" t="s">
        <v>322</v>
      </c>
      <c r="B93">
        <v>20</v>
      </c>
    </row>
    <row r="94" spans="1:2">
      <c r="A94" t="s">
        <v>323</v>
      </c>
      <c r="B94">
        <v>21</v>
      </c>
    </row>
    <row r="95" spans="1:2">
      <c r="A95" t="s">
        <v>324</v>
      </c>
      <c r="B95">
        <v>22</v>
      </c>
    </row>
    <row r="96" spans="1:2">
      <c r="A96" t="s">
        <v>325</v>
      </c>
      <c r="B96">
        <v>23</v>
      </c>
    </row>
    <row r="97" spans="1:2">
      <c r="A97" t="s">
        <v>326</v>
      </c>
      <c r="B97">
        <v>24</v>
      </c>
    </row>
    <row r="98" spans="1:2">
      <c r="A98" t="s">
        <v>327</v>
      </c>
      <c r="B98">
        <v>25</v>
      </c>
    </row>
    <row r="99" spans="1:2">
      <c r="A99" t="s">
        <v>328</v>
      </c>
      <c r="B99">
        <v>26</v>
      </c>
    </row>
    <row r="100" spans="1:2">
      <c r="A100" t="s">
        <v>329</v>
      </c>
      <c r="B100">
        <v>27</v>
      </c>
    </row>
    <row r="101" spans="1:2">
      <c r="A101" t="s">
        <v>330</v>
      </c>
      <c r="B101">
        <v>28</v>
      </c>
    </row>
    <row r="102" spans="1:2">
      <c r="A102" t="s">
        <v>331</v>
      </c>
      <c r="B102">
        <v>29</v>
      </c>
    </row>
    <row r="103" spans="1:2">
      <c r="A103" t="s">
        <v>333</v>
      </c>
      <c r="B103">
        <v>31</v>
      </c>
    </row>
    <row r="104" spans="1:2">
      <c r="A104" t="s">
        <v>334</v>
      </c>
      <c r="B104">
        <v>32</v>
      </c>
    </row>
    <row r="105" spans="1:2">
      <c r="A105" t="s">
        <v>335</v>
      </c>
      <c r="B105">
        <v>33</v>
      </c>
    </row>
    <row r="106" spans="1:2">
      <c r="A106" t="s">
        <v>336</v>
      </c>
      <c r="B106">
        <v>34</v>
      </c>
    </row>
    <row r="107" spans="1:2">
      <c r="A107" t="s">
        <v>337</v>
      </c>
      <c r="B107">
        <v>35</v>
      </c>
    </row>
    <row r="108" spans="1:2">
      <c r="A108" t="s">
        <v>338</v>
      </c>
      <c r="B108">
        <v>36</v>
      </c>
    </row>
    <row r="109" spans="1:2">
      <c r="A109" t="s">
        <v>339</v>
      </c>
      <c r="B109">
        <v>37</v>
      </c>
    </row>
    <row r="110" spans="1:2">
      <c r="A110" t="s">
        <v>340</v>
      </c>
      <c r="B110">
        <v>38</v>
      </c>
    </row>
    <row r="111" spans="1:2">
      <c r="A111" t="s">
        <v>341</v>
      </c>
      <c r="B111">
        <v>39</v>
      </c>
    </row>
    <row r="112" spans="1:2">
      <c r="A112" t="s">
        <v>342</v>
      </c>
      <c r="B112">
        <v>40</v>
      </c>
    </row>
    <row r="113" spans="1:2">
      <c r="A113" t="s">
        <v>343</v>
      </c>
      <c r="B113">
        <v>41</v>
      </c>
    </row>
    <row r="114" spans="1:2">
      <c r="A114" t="s">
        <v>344</v>
      </c>
      <c r="B114">
        <v>42</v>
      </c>
    </row>
    <row r="115" spans="1:2">
      <c r="A115" t="s">
        <v>345</v>
      </c>
      <c r="B115">
        <v>43</v>
      </c>
    </row>
    <row r="116" spans="1:2">
      <c r="A116" t="s">
        <v>346</v>
      </c>
      <c r="B116">
        <v>44</v>
      </c>
    </row>
    <row r="117" spans="1:2">
      <c r="A117" t="s">
        <v>347</v>
      </c>
      <c r="B117">
        <v>45</v>
      </c>
    </row>
    <row r="118" spans="1:2">
      <c r="A118" t="s">
        <v>348</v>
      </c>
      <c r="B118">
        <v>46</v>
      </c>
    </row>
    <row r="119" spans="1:2">
      <c r="A119" t="s">
        <v>349</v>
      </c>
      <c r="B119">
        <v>47</v>
      </c>
    </row>
    <row r="120" spans="1:2">
      <c r="A120" t="s">
        <v>350</v>
      </c>
      <c r="B120">
        <v>48</v>
      </c>
    </row>
    <row r="121" spans="1:2">
      <c r="A121" t="s">
        <v>351</v>
      </c>
      <c r="B121">
        <v>49</v>
      </c>
    </row>
    <row r="122" spans="1:2">
      <c r="A122" t="s">
        <v>352</v>
      </c>
      <c r="B122">
        <v>50</v>
      </c>
    </row>
    <row r="123" spans="1:2">
      <c r="A123" t="s">
        <v>353</v>
      </c>
      <c r="B123">
        <v>51</v>
      </c>
    </row>
    <row r="124" spans="1:2">
      <c r="A124" t="s">
        <v>354</v>
      </c>
      <c r="B124">
        <v>52</v>
      </c>
    </row>
    <row r="125" spans="1:2">
      <c r="A125" t="s">
        <v>357</v>
      </c>
      <c r="B125">
        <v>54</v>
      </c>
    </row>
    <row r="126" spans="1:2">
      <c r="A126" t="s">
        <v>359</v>
      </c>
      <c r="B126">
        <v>55</v>
      </c>
    </row>
    <row r="127" spans="1:2">
      <c r="A127" t="s">
        <v>361</v>
      </c>
      <c r="B127">
        <v>56</v>
      </c>
    </row>
    <row r="128" spans="1:2">
      <c r="A128" t="s">
        <v>362</v>
      </c>
      <c r="B128">
        <v>57</v>
      </c>
    </row>
    <row r="129" spans="1:23">
      <c r="A129" t="s">
        <v>363</v>
      </c>
      <c r="B129">
        <v>58</v>
      </c>
    </row>
    <row r="130" spans="1:23">
      <c r="A130" t="s">
        <v>365</v>
      </c>
      <c r="B130" t="s">
        <v>366</v>
      </c>
    </row>
    <row r="131" spans="1:23">
      <c r="A131" t="s">
        <v>367</v>
      </c>
      <c r="B131" t="s">
        <v>368</v>
      </c>
    </row>
    <row r="132" spans="1:23">
      <c r="A132" t="s">
        <v>369</v>
      </c>
      <c r="B132" t="s">
        <v>370</v>
      </c>
    </row>
    <row r="133" spans="1:23">
      <c r="A133" t="s">
        <v>371</v>
      </c>
      <c r="B133" t="s">
        <v>372</v>
      </c>
    </row>
    <row r="134" spans="1:23">
      <c r="A134" t="s">
        <v>373</v>
      </c>
      <c r="B134" t="s">
        <v>374</v>
      </c>
    </row>
    <row r="135" spans="1:23">
      <c r="A135" t="s">
        <v>375</v>
      </c>
      <c r="B135" t="s">
        <v>376</v>
      </c>
    </row>
    <row r="136" spans="1:23">
      <c r="A136" t="s">
        <v>377</v>
      </c>
      <c r="B136" t="s">
        <v>378</v>
      </c>
    </row>
    <row r="137" spans="1:2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>
      <c r="A138" t="s">
        <v>384</v>
      </c>
      <c r="B138">
        <v>1</v>
      </c>
    </row>
    <row r="139" spans="1:23">
      <c r="A139" t="s">
        <v>385</v>
      </c>
      <c r="B139">
        <v>2</v>
      </c>
    </row>
    <row r="140" spans="1:23">
      <c r="A140" t="s">
        <v>386</v>
      </c>
      <c r="B140">
        <v>3</v>
      </c>
    </row>
    <row r="141" spans="1:23">
      <c r="A141" t="s">
        <v>387</v>
      </c>
      <c r="B141">
        <v>4</v>
      </c>
    </row>
    <row r="142" spans="1:23">
      <c r="A142" t="s">
        <v>388</v>
      </c>
      <c r="B142">
        <v>5</v>
      </c>
    </row>
    <row r="143" spans="1:23">
      <c r="A143" t="s">
        <v>389</v>
      </c>
      <c r="B143">
        <v>6</v>
      </c>
    </row>
    <row r="144" spans="1:23">
      <c r="A144" t="s">
        <v>390</v>
      </c>
      <c r="B144">
        <v>8</v>
      </c>
    </row>
    <row r="145" spans="1:2">
      <c r="A145" t="s">
        <v>391</v>
      </c>
      <c r="B145">
        <v>9</v>
      </c>
    </row>
    <row r="146" spans="1:2">
      <c r="A146" t="s">
        <v>392</v>
      </c>
      <c r="B146">
        <v>10</v>
      </c>
    </row>
    <row r="147" spans="1:2">
      <c r="A147" t="s">
        <v>393</v>
      </c>
      <c r="B147">
        <v>11</v>
      </c>
    </row>
    <row r="148" spans="1:2">
      <c r="A148" t="s">
        <v>394</v>
      </c>
      <c r="B148">
        <v>12</v>
      </c>
    </row>
    <row r="149" spans="1:2">
      <c r="A149" t="s">
        <v>395</v>
      </c>
      <c r="B149">
        <v>13</v>
      </c>
    </row>
    <row r="150" spans="1:2">
      <c r="A150" t="s">
        <v>396</v>
      </c>
      <c r="B150">
        <v>14</v>
      </c>
    </row>
    <row r="151" spans="1:2">
      <c r="A151" t="s">
        <v>397</v>
      </c>
      <c r="B151">
        <v>15</v>
      </c>
    </row>
    <row r="152" spans="1:2">
      <c r="A152" t="s">
        <v>398</v>
      </c>
      <c r="B152">
        <v>16</v>
      </c>
    </row>
    <row r="153" spans="1:2">
      <c r="A153" t="s">
        <v>399</v>
      </c>
      <c r="B153">
        <v>17</v>
      </c>
    </row>
    <row r="154" spans="1:2">
      <c r="A154" t="s">
        <v>400</v>
      </c>
      <c r="B154">
        <v>18</v>
      </c>
    </row>
    <row r="155" spans="1:2">
      <c r="A155" t="s">
        <v>401</v>
      </c>
      <c r="B155">
        <v>19</v>
      </c>
    </row>
    <row r="156" spans="1:2">
      <c r="A156" t="s">
        <v>402</v>
      </c>
      <c r="B156">
        <v>20</v>
      </c>
    </row>
    <row r="157" spans="1:2">
      <c r="A157" t="s">
        <v>403</v>
      </c>
      <c r="B157">
        <v>21</v>
      </c>
    </row>
    <row r="158" spans="1:2">
      <c r="A158" t="s">
        <v>404</v>
      </c>
      <c r="B158">
        <v>22</v>
      </c>
    </row>
    <row r="159" spans="1:2">
      <c r="A159" t="s">
        <v>405</v>
      </c>
      <c r="B159">
        <v>23</v>
      </c>
    </row>
    <row r="160" spans="1:2">
      <c r="A160" t="s">
        <v>406</v>
      </c>
      <c r="B160">
        <v>24</v>
      </c>
    </row>
    <row r="161" spans="1:2">
      <c r="A161" t="s">
        <v>407</v>
      </c>
      <c r="B161">
        <v>25</v>
      </c>
    </row>
    <row r="162" spans="1:2">
      <c r="A162" t="s">
        <v>408</v>
      </c>
      <c r="B162">
        <v>26</v>
      </c>
    </row>
    <row r="163" spans="1:2">
      <c r="A163" t="s">
        <v>409</v>
      </c>
      <c r="B163">
        <v>27</v>
      </c>
    </row>
    <row r="164" spans="1:2">
      <c r="A164" t="s">
        <v>410</v>
      </c>
      <c r="B164">
        <v>28</v>
      </c>
    </row>
    <row r="165" spans="1:2">
      <c r="A165" t="s">
        <v>411</v>
      </c>
      <c r="B165">
        <v>29</v>
      </c>
    </row>
    <row r="166" spans="1:2">
      <c r="A166" t="s">
        <v>412</v>
      </c>
      <c r="B166">
        <v>31</v>
      </c>
    </row>
    <row r="167" spans="1:2">
      <c r="A167" t="s">
        <v>413</v>
      </c>
      <c r="B167">
        <v>32</v>
      </c>
    </row>
    <row r="168" spans="1:2">
      <c r="A168" t="s">
        <v>414</v>
      </c>
      <c r="B168">
        <v>33</v>
      </c>
    </row>
    <row r="169" spans="1:2">
      <c r="A169" t="s">
        <v>415</v>
      </c>
      <c r="B169">
        <v>34</v>
      </c>
    </row>
    <row r="170" spans="1:2">
      <c r="A170" t="s">
        <v>416</v>
      </c>
      <c r="B170">
        <v>35</v>
      </c>
    </row>
    <row r="171" spans="1:2">
      <c r="A171" t="s">
        <v>417</v>
      </c>
      <c r="B171">
        <v>36</v>
      </c>
    </row>
    <row r="172" spans="1:2">
      <c r="A172" t="s">
        <v>418</v>
      </c>
      <c r="B172">
        <v>37</v>
      </c>
    </row>
    <row r="173" spans="1:2">
      <c r="A173" t="s">
        <v>419</v>
      </c>
      <c r="B173">
        <v>38</v>
      </c>
    </row>
    <row r="174" spans="1:2">
      <c r="A174" t="s">
        <v>420</v>
      </c>
      <c r="B174">
        <v>39</v>
      </c>
    </row>
    <row r="175" spans="1:2">
      <c r="A175" t="s">
        <v>421</v>
      </c>
      <c r="B175">
        <v>40</v>
      </c>
    </row>
    <row r="176" spans="1:2">
      <c r="A176" t="s">
        <v>422</v>
      </c>
      <c r="B176">
        <v>41</v>
      </c>
    </row>
    <row r="177" spans="1:2">
      <c r="A177" t="s">
        <v>423</v>
      </c>
      <c r="B177">
        <v>42</v>
      </c>
    </row>
    <row r="178" spans="1:2">
      <c r="A178" t="s">
        <v>424</v>
      </c>
      <c r="B178">
        <v>43</v>
      </c>
    </row>
    <row r="179" spans="1:2">
      <c r="A179" t="s">
        <v>425</v>
      </c>
      <c r="B179">
        <v>44</v>
      </c>
    </row>
    <row r="180" spans="1:2">
      <c r="A180" t="s">
        <v>426</v>
      </c>
      <c r="B180">
        <v>45</v>
      </c>
    </row>
    <row r="181" spans="1:2">
      <c r="A181" t="s">
        <v>427</v>
      </c>
      <c r="B181">
        <v>46</v>
      </c>
    </row>
    <row r="182" spans="1:2">
      <c r="A182" t="s">
        <v>428</v>
      </c>
      <c r="B182">
        <v>47</v>
      </c>
    </row>
    <row r="183" spans="1:2">
      <c r="A183" t="s">
        <v>429</v>
      </c>
      <c r="B183">
        <v>48</v>
      </c>
    </row>
    <row r="184" spans="1:2">
      <c r="A184" t="s">
        <v>430</v>
      </c>
      <c r="B184">
        <v>49</v>
      </c>
    </row>
    <row r="185" spans="1:2">
      <c r="A185" t="s">
        <v>431</v>
      </c>
      <c r="B185">
        <v>50</v>
      </c>
    </row>
    <row r="186" spans="1:2">
      <c r="A186" t="s">
        <v>432</v>
      </c>
      <c r="B186">
        <v>51</v>
      </c>
    </row>
    <row r="187" spans="1:2">
      <c r="A187" t="s">
        <v>433</v>
      </c>
      <c r="B187">
        <v>52</v>
      </c>
    </row>
    <row r="188" spans="1:2">
      <c r="A188" t="s">
        <v>434</v>
      </c>
      <c r="B188">
        <v>54</v>
      </c>
    </row>
    <row r="189" spans="1:2">
      <c r="A189" t="s">
        <v>435</v>
      </c>
      <c r="B189">
        <v>55</v>
      </c>
    </row>
    <row r="190" spans="1:2">
      <c r="A190" t="s">
        <v>436</v>
      </c>
      <c r="B190">
        <v>56</v>
      </c>
    </row>
    <row r="191" spans="1:2">
      <c r="A191" t="s">
        <v>437</v>
      </c>
      <c r="B191">
        <v>57</v>
      </c>
    </row>
    <row r="192" spans="1:2">
      <c r="A192" t="s">
        <v>438</v>
      </c>
      <c r="B192">
        <v>58</v>
      </c>
    </row>
    <row r="193" spans="1:23">
      <c r="A193" t="s">
        <v>440</v>
      </c>
      <c r="B193" t="s">
        <v>441</v>
      </c>
    </row>
    <row r="194" spans="1:23">
      <c r="A194" t="s">
        <v>442</v>
      </c>
      <c r="B194" t="s">
        <v>443</v>
      </c>
    </row>
    <row r="195" spans="1:23">
      <c r="A195" t="s">
        <v>444</v>
      </c>
      <c r="B195" t="s">
        <v>445</v>
      </c>
    </row>
    <row r="196" spans="1:23">
      <c r="A196" t="s">
        <v>446</v>
      </c>
      <c r="B196" t="s">
        <v>447</v>
      </c>
    </row>
    <row r="197" spans="1:23">
      <c r="A197" t="s">
        <v>448</v>
      </c>
      <c r="B197" t="s">
        <v>449</v>
      </c>
    </row>
    <row r="198" spans="1:23">
      <c r="A198" t="s">
        <v>450</v>
      </c>
      <c r="B198" t="s">
        <v>451</v>
      </c>
    </row>
    <row r="199" spans="1:23">
      <c r="A199" t="s">
        <v>452</v>
      </c>
      <c r="B199" t="s">
        <v>453</v>
      </c>
    </row>
    <row r="200" spans="1:2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>
      <c r="A201" t="s">
        <v>460</v>
      </c>
      <c r="B201">
        <v>1</v>
      </c>
    </row>
    <row r="202" spans="1:23">
      <c r="A202" t="s">
        <v>461</v>
      </c>
      <c r="B202">
        <v>2</v>
      </c>
    </row>
    <row r="203" spans="1:23">
      <c r="A203" t="s">
        <v>462</v>
      </c>
      <c r="B203">
        <v>3</v>
      </c>
    </row>
    <row r="204" spans="1:23">
      <c r="A204" t="s">
        <v>463</v>
      </c>
      <c r="B204">
        <v>4</v>
      </c>
    </row>
    <row r="205" spans="1:23">
      <c r="A205" t="s">
        <v>464</v>
      </c>
      <c r="B205">
        <v>5</v>
      </c>
    </row>
    <row r="206" spans="1:23">
      <c r="A206" t="s">
        <v>465</v>
      </c>
      <c r="B206">
        <v>6</v>
      </c>
    </row>
    <row r="207" spans="1:23">
      <c r="A207" t="s">
        <v>466</v>
      </c>
      <c r="B207">
        <v>7</v>
      </c>
    </row>
    <row r="208" spans="1:23">
      <c r="A208" t="s">
        <v>467</v>
      </c>
      <c r="B208">
        <v>9</v>
      </c>
    </row>
    <row r="209" spans="1:2">
      <c r="A209" t="s">
        <v>468</v>
      </c>
      <c r="B209">
        <v>10</v>
      </c>
    </row>
    <row r="210" spans="1:2">
      <c r="A210" t="s">
        <v>469</v>
      </c>
      <c r="B210">
        <v>11</v>
      </c>
    </row>
    <row r="211" spans="1:2">
      <c r="A211" t="s">
        <v>470</v>
      </c>
      <c r="B211">
        <v>12</v>
      </c>
    </row>
    <row r="212" spans="1:2">
      <c r="A212" t="s">
        <v>471</v>
      </c>
      <c r="B212">
        <v>13</v>
      </c>
    </row>
    <row r="213" spans="1:2">
      <c r="A213" t="s">
        <v>472</v>
      </c>
      <c r="B213">
        <v>14</v>
      </c>
    </row>
    <row r="214" spans="1:2">
      <c r="A214" t="s">
        <v>473</v>
      </c>
      <c r="B214">
        <v>15</v>
      </c>
    </row>
    <row r="215" spans="1:2">
      <c r="A215" t="s">
        <v>474</v>
      </c>
      <c r="B215">
        <v>16</v>
      </c>
    </row>
    <row r="216" spans="1:2">
      <c r="A216" t="s">
        <v>475</v>
      </c>
      <c r="B216">
        <v>17</v>
      </c>
    </row>
    <row r="217" spans="1:2">
      <c r="A217" t="s">
        <v>476</v>
      </c>
      <c r="B217">
        <v>18</v>
      </c>
    </row>
    <row r="218" spans="1:2">
      <c r="A218" t="s">
        <v>477</v>
      </c>
      <c r="B218">
        <v>19</v>
      </c>
    </row>
    <row r="219" spans="1:2">
      <c r="A219" t="s">
        <v>478</v>
      </c>
      <c r="B219">
        <v>20</v>
      </c>
    </row>
    <row r="220" spans="1:2">
      <c r="A220" t="s">
        <v>479</v>
      </c>
      <c r="B220">
        <v>21</v>
      </c>
    </row>
    <row r="221" spans="1:2">
      <c r="A221" t="s">
        <v>480</v>
      </c>
      <c r="B221">
        <v>22</v>
      </c>
    </row>
    <row r="222" spans="1:2">
      <c r="A222" t="s">
        <v>481</v>
      </c>
      <c r="B222">
        <v>23</v>
      </c>
    </row>
    <row r="223" spans="1:2">
      <c r="A223" t="s">
        <v>482</v>
      </c>
      <c r="B223">
        <v>24</v>
      </c>
    </row>
    <row r="224" spans="1:2">
      <c r="A224" t="s">
        <v>483</v>
      </c>
      <c r="B224">
        <v>25</v>
      </c>
    </row>
    <row r="225" spans="1:2">
      <c r="A225" t="s">
        <v>484</v>
      </c>
      <c r="B225">
        <v>26</v>
      </c>
    </row>
    <row r="226" spans="1:2">
      <c r="A226" t="s">
        <v>485</v>
      </c>
      <c r="B226">
        <v>27</v>
      </c>
    </row>
    <row r="227" spans="1:2">
      <c r="A227" t="s">
        <v>486</v>
      </c>
      <c r="B227">
        <v>28</v>
      </c>
    </row>
    <row r="228" spans="1:2">
      <c r="A228" t="s">
        <v>487</v>
      </c>
      <c r="B228">
        <v>29</v>
      </c>
    </row>
    <row r="229" spans="1:2">
      <c r="A229" t="s">
        <v>488</v>
      </c>
      <c r="B229">
        <v>30</v>
      </c>
    </row>
    <row r="230" spans="1:2">
      <c r="A230" t="s">
        <v>489</v>
      </c>
      <c r="B230">
        <v>31</v>
      </c>
    </row>
    <row r="231" spans="1:2">
      <c r="A231" t="s">
        <v>490</v>
      </c>
      <c r="B231">
        <v>33</v>
      </c>
    </row>
    <row r="232" spans="1:2">
      <c r="A232" t="s">
        <v>491</v>
      </c>
      <c r="B232">
        <v>34</v>
      </c>
    </row>
    <row r="233" spans="1:2">
      <c r="A233" t="s">
        <v>492</v>
      </c>
      <c r="B233">
        <v>35</v>
      </c>
    </row>
    <row r="234" spans="1:2">
      <c r="A234" t="s">
        <v>493</v>
      </c>
      <c r="B234">
        <v>36</v>
      </c>
    </row>
    <row r="235" spans="1:2">
      <c r="A235" t="s">
        <v>494</v>
      </c>
      <c r="B235">
        <v>37</v>
      </c>
    </row>
    <row r="236" spans="1:2">
      <c r="A236" t="s">
        <v>495</v>
      </c>
      <c r="B236">
        <v>38</v>
      </c>
    </row>
    <row r="237" spans="1:2">
      <c r="A237" t="s">
        <v>496</v>
      </c>
      <c r="B237">
        <v>39</v>
      </c>
    </row>
    <row r="238" spans="1:2">
      <c r="A238" t="s">
        <v>497</v>
      </c>
      <c r="B238">
        <v>40</v>
      </c>
    </row>
    <row r="239" spans="1:2">
      <c r="A239" t="s">
        <v>498</v>
      </c>
      <c r="B239">
        <v>41</v>
      </c>
    </row>
    <row r="240" spans="1:2">
      <c r="A240" t="s">
        <v>499</v>
      </c>
      <c r="B240">
        <v>42</v>
      </c>
    </row>
    <row r="241" spans="1:2">
      <c r="A241" t="s">
        <v>500</v>
      </c>
      <c r="B241">
        <v>43</v>
      </c>
    </row>
    <row r="242" spans="1:2">
      <c r="A242" t="s">
        <v>501</v>
      </c>
      <c r="B242">
        <v>44</v>
      </c>
    </row>
    <row r="243" spans="1:2">
      <c r="A243" t="s">
        <v>502</v>
      </c>
      <c r="B243">
        <v>45</v>
      </c>
    </row>
    <row r="244" spans="1:2">
      <c r="A244" t="s">
        <v>503</v>
      </c>
      <c r="B244">
        <v>46</v>
      </c>
    </row>
    <row r="245" spans="1:2">
      <c r="A245" t="s">
        <v>504</v>
      </c>
      <c r="B245">
        <v>47</v>
      </c>
    </row>
    <row r="246" spans="1:2">
      <c r="A246" t="s">
        <v>505</v>
      </c>
      <c r="B246">
        <v>48</v>
      </c>
    </row>
    <row r="247" spans="1:2">
      <c r="A247" t="s">
        <v>506</v>
      </c>
      <c r="B247">
        <v>49</v>
      </c>
    </row>
    <row r="248" spans="1:2">
      <c r="A248" t="s">
        <v>507</v>
      </c>
      <c r="B248">
        <v>50</v>
      </c>
    </row>
    <row r="249" spans="1:2">
      <c r="A249" t="s">
        <v>508</v>
      </c>
      <c r="B249">
        <v>51</v>
      </c>
    </row>
    <row r="250" spans="1:2">
      <c r="A250" t="s">
        <v>509</v>
      </c>
      <c r="B250">
        <v>52</v>
      </c>
    </row>
    <row r="251" spans="1:2">
      <c r="A251" t="s">
        <v>510</v>
      </c>
      <c r="B251">
        <v>53</v>
      </c>
    </row>
    <row r="252" spans="1:2">
      <c r="A252" t="s">
        <v>511</v>
      </c>
      <c r="B252">
        <v>54</v>
      </c>
    </row>
    <row r="253" spans="1:2">
      <c r="A253" t="s">
        <v>512</v>
      </c>
      <c r="B253">
        <v>55</v>
      </c>
    </row>
    <row r="254" spans="1:2">
      <c r="A254" t="s">
        <v>513</v>
      </c>
      <c r="B254">
        <v>57</v>
      </c>
    </row>
    <row r="255" spans="1:2">
      <c r="A255" t="s">
        <v>514</v>
      </c>
      <c r="B255">
        <v>58</v>
      </c>
    </row>
    <row r="256" spans="1:2">
      <c r="A256" t="s">
        <v>515</v>
      </c>
      <c r="B256">
        <v>59</v>
      </c>
    </row>
    <row r="257" spans="1:2">
      <c r="A257" t="s">
        <v>516</v>
      </c>
      <c r="B257">
        <v>61</v>
      </c>
    </row>
    <row r="258" spans="1:2">
      <c r="A258" t="s">
        <v>517</v>
      </c>
      <c r="B258">
        <v>62</v>
      </c>
    </row>
    <row r="259" spans="1:2">
      <c r="A259" t="s">
        <v>518</v>
      </c>
      <c r="B259">
        <v>63</v>
      </c>
    </row>
    <row r="260" spans="1:2">
      <c r="A260" t="s">
        <v>519</v>
      </c>
      <c r="B260">
        <v>64</v>
      </c>
    </row>
    <row r="261" spans="1:2">
      <c r="A261" t="s">
        <v>520</v>
      </c>
      <c r="B261">
        <v>65</v>
      </c>
    </row>
    <row r="262" spans="1:2">
      <c r="A262" t="s">
        <v>521</v>
      </c>
      <c r="B262">
        <v>67</v>
      </c>
    </row>
    <row r="263" spans="1:2">
      <c r="A263" t="s">
        <v>522</v>
      </c>
      <c r="B263">
        <v>68</v>
      </c>
    </row>
    <row r="264" spans="1:2">
      <c r="A264" t="s">
        <v>523</v>
      </c>
      <c r="B264">
        <v>69</v>
      </c>
    </row>
    <row r="265" spans="1:2">
      <c r="A265" t="s">
        <v>524</v>
      </c>
      <c r="B265">
        <v>70</v>
      </c>
    </row>
    <row r="266" spans="1:2">
      <c r="A266" t="s">
        <v>525</v>
      </c>
      <c r="B266">
        <v>71</v>
      </c>
    </row>
    <row r="267" spans="1:2">
      <c r="A267" t="s">
        <v>527</v>
      </c>
      <c r="B267" t="s">
        <v>528</v>
      </c>
    </row>
    <row r="268" spans="1:2">
      <c r="A268" t="s">
        <v>529</v>
      </c>
      <c r="B268" t="s">
        <v>530</v>
      </c>
    </row>
    <row r="269" spans="1:2">
      <c r="A269" t="s">
        <v>531</v>
      </c>
      <c r="B269" t="s">
        <v>532</v>
      </c>
    </row>
    <row r="270" spans="1:2">
      <c r="A270" t="s">
        <v>533</v>
      </c>
      <c r="B270" t="s">
        <v>534</v>
      </c>
    </row>
    <row r="271" spans="1:2">
      <c r="A271" t="s">
        <v>535</v>
      </c>
      <c r="B271" t="s">
        <v>536</v>
      </c>
    </row>
    <row r="272" spans="1:2">
      <c r="A272" t="s">
        <v>537</v>
      </c>
      <c r="B272" t="s">
        <v>538</v>
      </c>
    </row>
    <row r="273" spans="1:24">
      <c r="A273" t="s">
        <v>539</v>
      </c>
      <c r="B273" t="s">
        <v>540</v>
      </c>
    </row>
    <row r="274" spans="1:24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AG1" activePane="topRight" state="frozen"/>
      <selection pane="topRight" activeCell="AM5" sqref="AM5:AZ9"/>
    </sheetView>
  </sheetViews>
  <sheetFormatPr defaultRowHeight="15" outlineLevelRow="2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0">
      <c r="A1" s="88" t="s">
        <v>364</v>
      </c>
      <c r="B1" s="88"/>
      <c r="C1" s="88"/>
      <c r="D1" s="88"/>
      <c r="E1" s="88"/>
      <c r="F1" s="88"/>
      <c r="H1" s="82" t="str">
        <f>Summary!C1</f>
        <v>tested-rc0.8 (additional projection plane, CTC)</v>
      </c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E1" s="83" t="str">
        <f>Summary!C2</f>
        <v>tested-rc0.9 (2 patch orientations, CTC)</v>
      </c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</row>
    <row r="2" spans="1:60" ht="30" customHeight="1">
      <c r="A2" s="86" t="s">
        <v>91</v>
      </c>
      <c r="B2" s="85" t="s">
        <v>94</v>
      </c>
      <c r="C2" s="86" t="s">
        <v>100</v>
      </c>
      <c r="D2" s="85" t="s">
        <v>103</v>
      </c>
      <c r="E2" s="86" t="s">
        <v>106</v>
      </c>
      <c r="F2" s="85" t="s">
        <v>109</v>
      </c>
      <c r="H2" s="86" t="s">
        <v>308</v>
      </c>
      <c r="I2" s="85" t="s">
        <v>112</v>
      </c>
      <c r="J2" s="84" t="s">
        <v>115</v>
      </c>
      <c r="K2" s="84"/>
      <c r="L2" s="84"/>
      <c r="M2" s="84"/>
      <c r="N2" s="86" t="s">
        <v>128</v>
      </c>
      <c r="O2" s="85" t="s">
        <v>131</v>
      </c>
      <c r="P2" s="86" t="s">
        <v>22</v>
      </c>
      <c r="Q2" s="87" t="s">
        <v>140</v>
      </c>
      <c r="R2" s="87"/>
      <c r="S2" s="87"/>
      <c r="T2" s="87"/>
      <c r="U2" s="84" t="s">
        <v>151</v>
      </c>
      <c r="V2" s="84"/>
      <c r="W2" s="87" t="s">
        <v>158</v>
      </c>
      <c r="X2" s="87"/>
      <c r="Y2" s="87"/>
      <c r="Z2" s="84" t="s">
        <v>168</v>
      </c>
      <c r="AA2" s="84"/>
      <c r="AB2" s="87" t="s">
        <v>175</v>
      </c>
      <c r="AC2" s="87"/>
      <c r="AE2" s="86" t="s">
        <v>308</v>
      </c>
      <c r="AF2" s="85" t="s">
        <v>112</v>
      </c>
      <c r="AG2" s="84" t="s">
        <v>115</v>
      </c>
      <c r="AH2" s="84"/>
      <c r="AI2" s="84"/>
      <c r="AJ2" s="84"/>
      <c r="AK2" s="86" t="s">
        <v>190</v>
      </c>
      <c r="AL2" s="85" t="s">
        <v>131</v>
      </c>
      <c r="AM2" s="86" t="s">
        <v>22</v>
      </c>
      <c r="AN2" s="87" t="s">
        <v>140</v>
      </c>
      <c r="AO2" s="87"/>
      <c r="AP2" s="87"/>
      <c r="AQ2" s="87"/>
      <c r="AR2" s="84" t="s">
        <v>151</v>
      </c>
      <c r="AS2" s="84"/>
      <c r="AT2" s="87" t="s">
        <v>158</v>
      </c>
      <c r="AU2" s="87"/>
      <c r="AV2" s="87"/>
      <c r="AW2" s="84" t="s">
        <v>168</v>
      </c>
      <c r="AX2" s="84"/>
      <c r="AY2" s="87" t="s">
        <v>175</v>
      </c>
      <c r="AZ2" s="87"/>
      <c r="BB2" s="84" t="s">
        <v>355</v>
      </c>
      <c r="BC2" s="84"/>
      <c r="BD2" s="84"/>
      <c r="BE2" s="85" t="s">
        <v>230</v>
      </c>
      <c r="BF2" s="86" t="s">
        <v>230</v>
      </c>
      <c r="BH2" t="s">
        <v>547</v>
      </c>
    </row>
    <row r="3" spans="1:60" ht="30.75" thickBot="1">
      <c r="A3" s="86"/>
      <c r="B3" s="85"/>
      <c r="C3" s="86"/>
      <c r="D3" s="85"/>
      <c r="E3" s="86"/>
      <c r="F3" s="85"/>
      <c r="H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6"/>
      <c r="AF3" s="85"/>
      <c r="AG3" s="11" t="s">
        <v>116</v>
      </c>
      <c r="AH3" s="11" t="s">
        <v>119</v>
      </c>
      <c r="AI3" s="11" t="s">
        <v>122</v>
      </c>
      <c r="AJ3" s="11" t="s">
        <v>125</v>
      </c>
      <c r="AK3" s="86"/>
      <c r="AL3" s="85"/>
      <c r="AM3" s="86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5"/>
      <c r="BF3" s="86"/>
    </row>
    <row r="4" spans="1:60" ht="121.5" hidden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>
        <f>IF(ISBLANK(AN5),"·",AN5/(C5*D5*3))</f>
        <v>0.2950521679436014</v>
      </c>
      <c r="AF5" s="17">
        <f>IF(OR(ISBLANK(AN5),ISBLANK(F5)),"·",AN5*F5/E5/1000000)</f>
        <v>207.162645</v>
      </c>
      <c r="AG5" s="18">
        <f>IF(ISBLANK(AN5),"·",AN5/C5)</f>
        <v>8.8515650383080402</v>
      </c>
      <c r="AH5" s="18">
        <f>IF(AK5="","·",AK5/C5)</f>
        <v>1.3701716380176028</v>
      </c>
      <c r="AI5" s="18">
        <f>IF(AO5="","·",AO5/C5)</f>
        <v>1.2905172221449788</v>
      </c>
      <c r="AJ5" s="18">
        <f>IF(ISBLANK(AQ5),"·",AQ5/C5)</f>
        <v>7.4813991685180072</v>
      </c>
      <c r="AK5" s="15">
        <f>IF(OR(ISBLANK(AO5),ISBLANK(AP5)),"",AO5+AP5)</f>
        <v>34205432</v>
      </c>
      <c r="AL5" s="18">
        <f>IF(ISBLANK(AN5),"·",AN5/AM5)</f>
        <v>8.8515650383080402</v>
      </c>
      <c r="AM5" s="58">
        <v>24964341</v>
      </c>
      <c r="AN5" s="59">
        <v>220973488</v>
      </c>
      <c r="AO5" s="59">
        <v>32216912</v>
      </c>
      <c r="AP5" s="59">
        <v>1988520</v>
      </c>
      <c r="AQ5" s="59">
        <v>186768200</v>
      </c>
      <c r="AR5" s="60" t="s">
        <v>550</v>
      </c>
      <c r="AS5" s="60" t="s">
        <v>550</v>
      </c>
      <c r="AT5" s="60" t="s">
        <v>550</v>
      </c>
      <c r="AU5" s="60" t="s">
        <v>550</v>
      </c>
      <c r="AV5" s="60" t="s">
        <v>550</v>
      </c>
      <c r="AW5" s="61">
        <v>3390.24</v>
      </c>
      <c r="AX5" s="61">
        <v>4016.19</v>
      </c>
      <c r="AY5" s="61">
        <v>3.2719999999999998</v>
      </c>
      <c r="AZ5" s="61">
        <v>23.744</v>
      </c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220973488</v>
      </c>
    </row>
    <row r="6" spans="1:60" collapsed="1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>
        <f>IF(ISBLANK(AN6),"·",AN6/(C6*D6*3))</f>
        <v>0.42430317639830295</v>
      </c>
      <c r="AF6" s="27">
        <f>IF(OR(ISBLANK(AN6),ISBLANK(F6)),"·",AN6*F6/E6/1000000)</f>
        <v>270.35153250000002</v>
      </c>
      <c r="AG6" s="28">
        <f>IF(ISBLANK(AN6),"·",AN6/C6)</f>
        <v>12.729095291949088</v>
      </c>
      <c r="AH6" s="28">
        <f>IF(AK6="","·",AK6/C6)</f>
        <v>1.6688130708257756</v>
      </c>
      <c r="AI6" s="28">
        <f>IF(AO6="","·",AO6/C6)</f>
        <v>1.5309702509257535</v>
      </c>
      <c r="AJ6" s="28">
        <f>IF(ISBLANK(AQ6),"·",AQ6/C6)</f>
        <v>11.060288577395269</v>
      </c>
      <c r="AK6" s="25">
        <f>IF(OR(ISBLANK(AO6),ISBLANK(AP6)),"",AO6+AP6)</f>
        <v>37806608</v>
      </c>
      <c r="AL6" s="28">
        <f>IF(ISBLANK(AN6),"·",AN6/AM6)</f>
        <v>12.729095291949088</v>
      </c>
      <c r="AM6" s="62">
        <v>22654789</v>
      </c>
      <c r="AN6" s="63">
        <v>288374968</v>
      </c>
      <c r="AO6" s="63">
        <v>34683808</v>
      </c>
      <c r="AP6" s="63">
        <v>3122800</v>
      </c>
      <c r="AQ6" s="63">
        <v>250568504</v>
      </c>
      <c r="AR6" s="64" t="s">
        <v>550</v>
      </c>
      <c r="AS6" s="64" t="s">
        <v>550</v>
      </c>
      <c r="AT6" s="64" t="s">
        <v>550</v>
      </c>
      <c r="AU6" s="64" t="s">
        <v>550</v>
      </c>
      <c r="AV6" s="64" t="s">
        <v>550</v>
      </c>
      <c r="AW6" s="65">
        <v>3129</v>
      </c>
      <c r="AX6" s="65">
        <v>4074.93</v>
      </c>
      <c r="AY6" s="65">
        <v>2.952</v>
      </c>
      <c r="AZ6" s="65">
        <v>23.911999999999999</v>
      </c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288374968</v>
      </c>
    </row>
    <row r="7" spans="1:60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>
        <f>IF(ISBLANK(AN7),"·",AN7/(C7*D7*3))</f>
        <v>0.32849717124825101</v>
      </c>
      <c r="AF7" s="17">
        <f>IF(OR(ISBLANK(AN7),ISBLANK(F7)),"·",AN7*F7/E7/1000000)</f>
        <v>313.64238749999998</v>
      </c>
      <c r="AG7" s="18">
        <f>IF(ISBLANK(AN7),"·",AN7/C7)</f>
        <v>9.8549151374475308</v>
      </c>
      <c r="AH7" s="18">
        <f>IF(AK7="","·",AK7/C7)</f>
        <v>1.6144670460618296</v>
      </c>
      <c r="AI7" s="18">
        <f>IF(AO7="","·",AO7/C7)</f>
        <v>1.5006737124421736</v>
      </c>
      <c r="AJ7" s="18">
        <f>IF(ISBLANK(AQ7),"·",AQ7/C7)</f>
        <v>8.2404523332024855</v>
      </c>
      <c r="AK7" s="15">
        <f>IF(OR(ISBLANK(AO7),ISBLANK(AP7)),"",AO7+AP7)</f>
        <v>54807472</v>
      </c>
      <c r="AL7" s="18">
        <f>IF(ISBLANK(AN7),"·",AN7/AM7)</f>
        <v>9.8549151374475308</v>
      </c>
      <c r="AM7" s="58">
        <v>33947718</v>
      </c>
      <c r="AN7" s="59">
        <v>334551880</v>
      </c>
      <c r="AO7" s="59">
        <v>50944448</v>
      </c>
      <c r="AP7" s="59">
        <v>3863024</v>
      </c>
      <c r="AQ7" s="59">
        <v>279744552</v>
      </c>
      <c r="AR7" s="60" t="s">
        <v>550</v>
      </c>
      <c r="AS7" s="60" t="s">
        <v>550</v>
      </c>
      <c r="AT7" s="60" t="s">
        <v>550</v>
      </c>
      <c r="AU7" s="60" t="s">
        <v>550</v>
      </c>
      <c r="AV7" s="60" t="s">
        <v>550</v>
      </c>
      <c r="AW7" s="61">
        <v>6197.69</v>
      </c>
      <c r="AX7" s="61">
        <v>6585.92</v>
      </c>
      <c r="AY7" s="61">
        <v>4.4880000000000004</v>
      </c>
      <c r="AZ7" s="61">
        <v>30.463999999999999</v>
      </c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334551880</v>
      </c>
    </row>
    <row r="8" spans="1:60" ht="15.75" collapsed="1" thickBot="1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>
        <f>IF(ISBLANK(AN8),"·",AN8/(C8*D8*3))</f>
        <v>0.26317799713996626</v>
      </c>
      <c r="AF8" s="47">
        <f>IF(OR(ISBLANK(AN8),ISBLANK(F8)),"·",AN8*F8/E8/1000000)</f>
        <v>397.35325</v>
      </c>
      <c r="AG8" s="48">
        <f>IF(ISBLANK(AN8),"·",AN8/C8)</f>
        <v>7.8953399141989866</v>
      </c>
      <c r="AH8" s="48">
        <f>IF(AK8="","·",AK8/C8)</f>
        <v>1.2380188131858525</v>
      </c>
      <c r="AI8" s="48">
        <f>IF(AO8="","·",AO8/C8)</f>
        <v>1.0871914351860403</v>
      </c>
      <c r="AJ8" s="48">
        <f>IF(ISBLANK(AQ8),"·",AQ8/C8)</f>
        <v>6.6573255717239705</v>
      </c>
      <c r="AK8" s="45">
        <f>IF(OR(ISBLANK(AO8),ISBLANK(AP8)),"",AO8+AP8)</f>
        <v>39876144</v>
      </c>
      <c r="AL8" s="48">
        <f>IF(ISBLANK(AN8),"·",AN8/AM8)</f>
        <v>7.8953399141989866</v>
      </c>
      <c r="AM8" s="70">
        <v>32209643</v>
      </c>
      <c r="AN8" s="71">
        <v>254306080</v>
      </c>
      <c r="AO8" s="71">
        <v>35018048</v>
      </c>
      <c r="AP8" s="71">
        <v>4858096</v>
      </c>
      <c r="AQ8" s="71">
        <v>214430080</v>
      </c>
      <c r="AR8" s="72" t="s">
        <v>550</v>
      </c>
      <c r="AS8" s="72" t="s">
        <v>550</v>
      </c>
      <c r="AT8" s="72" t="s">
        <v>550</v>
      </c>
      <c r="AU8" s="72" t="s">
        <v>550</v>
      </c>
      <c r="AV8" s="72" t="s">
        <v>550</v>
      </c>
      <c r="AW8" s="73">
        <v>6213.18</v>
      </c>
      <c r="AX8" s="73">
        <v>4605.16</v>
      </c>
      <c r="AY8" s="73">
        <v>4.0999999999999996</v>
      </c>
      <c r="AZ8" s="73">
        <v>25.872</v>
      </c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254306080</v>
      </c>
    </row>
    <row r="9" spans="1:60" ht="15.75" collapsed="1" thickBot="1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>
        <f>IF(ISBLANK(AN9),"·",AN9/(C9*D9*3))</f>
        <v>0.50098941725865564</v>
      </c>
      <c r="AF9" s="37">
        <f>IF(OR(ISBLANK(AN9),ISBLANK(F9)),"·",AN9*F9/E9/1000000)</f>
        <v>356.66011500000002</v>
      </c>
      <c r="AG9" s="38">
        <f>IF(ISBLANK(AN9),"·",AN9/C9)</f>
        <v>15.029682517759669</v>
      </c>
      <c r="AH9" s="38">
        <f>IF(AK9="","·",AK9/C9)</f>
        <v>1.5098546135950401</v>
      </c>
      <c r="AI9" s="38">
        <f>IF(AO9="","·",AO9/C9)</f>
        <v>1.411390018681747</v>
      </c>
      <c r="AJ9" s="38">
        <f>IF(ISBLANK(AQ9),"·",AQ9/C9)</f>
        <v>13.519833593074194</v>
      </c>
      <c r="AK9" s="35">
        <f>IF(OR(ISBLANK(AO9),ISBLANK(AP9)),"",AO9+AP9)</f>
        <v>38218056</v>
      </c>
      <c r="AL9" s="38">
        <f>IF(ISBLANK(AN9),"·",AN9/AM9)</f>
        <v>15.029682517759669</v>
      </c>
      <c r="AM9" s="66">
        <v>25312408</v>
      </c>
      <c r="AN9" s="67">
        <v>380437456</v>
      </c>
      <c r="AO9" s="67">
        <v>35725680</v>
      </c>
      <c r="AP9" s="67">
        <v>2492376</v>
      </c>
      <c r="AQ9" s="67">
        <v>342219544</v>
      </c>
      <c r="AR9" s="68" t="s">
        <v>550</v>
      </c>
      <c r="AS9" s="68" t="s">
        <v>550</v>
      </c>
      <c r="AT9" s="68" t="s">
        <v>550</v>
      </c>
      <c r="AU9" s="68" t="s">
        <v>550</v>
      </c>
      <c r="AV9" s="68" t="s">
        <v>550</v>
      </c>
      <c r="AW9" s="69">
        <v>4939.92</v>
      </c>
      <c r="AX9" s="69">
        <v>5330.96</v>
      </c>
      <c r="AY9" s="69">
        <v>3.7240000000000002</v>
      </c>
      <c r="AZ9" s="69">
        <v>32.316000000000003</v>
      </c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380437456</v>
      </c>
    </row>
    <row r="10" spans="1:60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>
        <f>AVERAGE(AG5:AG8)</f>
        <v>9.832728845475911</v>
      </c>
      <c r="AH10" s="56">
        <f>AVERAGE(AH5:AH8)</f>
        <v>1.4728676420227651</v>
      </c>
      <c r="AI10" s="56">
        <f>AVERAGE(AI5:AI8)</f>
        <v>1.3523381551747367</v>
      </c>
      <c r="AJ10" s="56">
        <f>AVERAGE(AJ5:AJ8)</f>
        <v>8.359866412709934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>
        <f>AVERAGE(AG9:AG9)</f>
        <v>15.029682517759669</v>
      </c>
      <c r="AH11" s="56">
        <f>AVERAGE(AH9:AH9)</f>
        <v>1.5098546135950401</v>
      </c>
      <c r="AI11" s="56">
        <f>AVERAGE(AI9:AI9)</f>
        <v>1.411390018681747</v>
      </c>
      <c r="AJ11" s="56">
        <f>AVERAGE(AJ9:AJ9)</f>
        <v>13.519833593074194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>
        <f>AVERAGE(AG5:AG9)</f>
        <v>10.872119579932662</v>
      </c>
      <c r="AH12" s="56">
        <f>AVERAGE(AH5:AH9)</f>
        <v>1.4802650363372201</v>
      </c>
      <c r="AI12" s="56">
        <f>AVERAGE(AI5:AI9)</f>
        <v>1.3641485278761387</v>
      </c>
      <c r="AJ12" s="56">
        <f>AVERAGE(AJ5:AJ9)</f>
        <v>9.3918598487827865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23870.03</v>
      </c>
      <c r="AX13" s="57">
        <f>SUM(AX5:AX8,AX9:AX9)</f>
        <v>24613.16</v>
      </c>
      <c r="AY13" s="57">
        <f>SUM(AY5:AY8,AY9:AY9)</f>
        <v>18.536000000000001</v>
      </c>
      <c r="AZ13" s="57">
        <f>SUM(AZ5:AZ8,AZ9:AZ9)</f>
        <v>136.30799999999999</v>
      </c>
    </row>
    <row r="14" spans="1:60" hidden="1" outlineLevel="2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>
        <f>GEOMEAN(AW5:AW8,AW9:AW9)</f>
        <v>4581.2072733173836</v>
      </c>
      <c r="AX15" s="57">
        <f>GEOMEAN(AX5:AX8,AX9:AX9)</f>
        <v>4836.3775924754864</v>
      </c>
      <c r="AY15" s="57">
        <f>GEOMEAN(AY5:AY8,AY9:AY9)</f>
        <v>3.6656855291513883</v>
      </c>
      <c r="AZ15" s="57">
        <f>GEOMEAN(AZ5:AZ8,AZ9:AZ9)</f>
        <v>27.042127921644958</v>
      </c>
    </row>
    <row r="16" spans="1:60" outlineLevel="2" collapsed="1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2"/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tabSelected="1" zoomScale="85" zoomScaleNormal="85" workbookViewId="0">
      <pane xSplit="2" topLeftCell="AJ1" activePane="topRight" state="frozen"/>
      <selection pane="topRight" activeCell="AM5" sqref="AM5:AZ9"/>
    </sheetView>
  </sheetViews>
  <sheetFormatPr defaultRowHeight="15" outlineLevelRow="2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0">
      <c r="A1" s="88" t="s">
        <v>439</v>
      </c>
      <c r="B1" s="88"/>
      <c r="C1" s="88"/>
      <c r="D1" s="88"/>
      <c r="E1" s="88"/>
      <c r="F1" s="88"/>
      <c r="H1" s="82" t="str">
        <f>Summary!C1</f>
        <v>tested-rc0.8 (additional projection plane, CTC)</v>
      </c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E1" s="83" t="str">
        <f>Summary!C2</f>
        <v>tested-rc0.9 (2 patch orientations, CTC)</v>
      </c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</row>
    <row r="2" spans="1:60" ht="30" customHeight="1">
      <c r="A2" s="86" t="s">
        <v>91</v>
      </c>
      <c r="B2" s="85" t="s">
        <v>94</v>
      </c>
      <c r="C2" s="86" t="s">
        <v>100</v>
      </c>
      <c r="D2" s="85" t="s">
        <v>103</v>
      </c>
      <c r="E2" s="86" t="s">
        <v>106</v>
      </c>
      <c r="F2" s="85" t="s">
        <v>109</v>
      </c>
      <c r="H2" s="86" t="s">
        <v>308</v>
      </c>
      <c r="I2" s="85" t="s">
        <v>112</v>
      </c>
      <c r="J2" s="84" t="s">
        <v>115</v>
      </c>
      <c r="K2" s="84"/>
      <c r="L2" s="84"/>
      <c r="M2" s="84"/>
      <c r="N2" s="86" t="s">
        <v>128</v>
      </c>
      <c r="O2" s="85" t="s">
        <v>131</v>
      </c>
      <c r="P2" s="86" t="s">
        <v>22</v>
      </c>
      <c r="Q2" s="87" t="s">
        <v>140</v>
      </c>
      <c r="R2" s="87"/>
      <c r="S2" s="87"/>
      <c r="T2" s="87"/>
      <c r="U2" s="84" t="s">
        <v>151</v>
      </c>
      <c r="V2" s="84"/>
      <c r="W2" s="87" t="s">
        <v>158</v>
      </c>
      <c r="X2" s="87"/>
      <c r="Y2" s="87"/>
      <c r="Z2" s="84" t="s">
        <v>168</v>
      </c>
      <c r="AA2" s="84"/>
      <c r="AB2" s="87" t="s">
        <v>175</v>
      </c>
      <c r="AC2" s="87"/>
      <c r="AE2" s="86" t="s">
        <v>308</v>
      </c>
      <c r="AF2" s="85" t="s">
        <v>112</v>
      </c>
      <c r="AG2" s="84" t="s">
        <v>115</v>
      </c>
      <c r="AH2" s="84"/>
      <c r="AI2" s="84"/>
      <c r="AJ2" s="84"/>
      <c r="AK2" s="86" t="s">
        <v>190</v>
      </c>
      <c r="AL2" s="85" t="s">
        <v>131</v>
      </c>
      <c r="AM2" s="86" t="s">
        <v>22</v>
      </c>
      <c r="AN2" s="87" t="s">
        <v>140</v>
      </c>
      <c r="AO2" s="87"/>
      <c r="AP2" s="87"/>
      <c r="AQ2" s="87"/>
      <c r="AR2" s="84" t="s">
        <v>151</v>
      </c>
      <c r="AS2" s="84"/>
      <c r="AT2" s="87" t="s">
        <v>158</v>
      </c>
      <c r="AU2" s="87"/>
      <c r="AV2" s="87"/>
      <c r="AW2" s="84" t="s">
        <v>168</v>
      </c>
      <c r="AX2" s="84"/>
      <c r="AY2" s="87" t="s">
        <v>175</v>
      </c>
      <c r="AZ2" s="87"/>
      <c r="BB2" s="84" t="s">
        <v>355</v>
      </c>
      <c r="BC2" s="84"/>
      <c r="BD2" s="84"/>
      <c r="BE2" s="85" t="s">
        <v>230</v>
      </c>
      <c r="BF2" s="86" t="s">
        <v>230</v>
      </c>
      <c r="BH2" t="s">
        <v>547</v>
      </c>
    </row>
    <row r="3" spans="1:60" ht="30.75" thickBot="1">
      <c r="A3" s="86"/>
      <c r="B3" s="85"/>
      <c r="C3" s="86"/>
      <c r="D3" s="85"/>
      <c r="E3" s="86"/>
      <c r="F3" s="85"/>
      <c r="H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6"/>
      <c r="AF3" s="85"/>
      <c r="AG3" s="11" t="s">
        <v>116</v>
      </c>
      <c r="AH3" s="11" t="s">
        <v>119</v>
      </c>
      <c r="AI3" s="11" t="s">
        <v>122</v>
      </c>
      <c r="AJ3" s="11" t="s">
        <v>125</v>
      </c>
      <c r="AK3" s="86"/>
      <c r="AL3" s="85"/>
      <c r="AM3" s="86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5"/>
      <c r="BF3" s="86"/>
    </row>
    <row r="4" spans="1:60" ht="121.5" hidden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>
        <f>IF(ISBLANK(AN5),"·",AN5/(C5*D5*3))</f>
        <v>0.29250305999799209</v>
      </c>
      <c r="AF5" s="17">
        <f>IF(OR(ISBLANK(AN5),ISBLANK(F5)),"·",AN5*F5/E5/1000000)</f>
        <v>205.37286</v>
      </c>
      <c r="AG5" s="18">
        <f>IF(ISBLANK(AN5),"·",AN5/C5)</f>
        <v>8.7750917999397622</v>
      </c>
      <c r="AH5" s="18">
        <f>IF(AK5="","·",AK5/C5)</f>
        <v>1.3458950909218874</v>
      </c>
      <c r="AI5" s="18">
        <f>IF(AO5="","·",AO5/C5)</f>
        <v>1.2657442870212356</v>
      </c>
      <c r="AJ5" s="18">
        <f>IF(ISBLANK(AQ5),"·",AQ5/C5)</f>
        <v>7.4292024772454441</v>
      </c>
      <c r="AK5" s="15">
        <f>IF(OR(ISBLANK(AO5),ISBLANK(AP5)),"",AO5+AP5)</f>
        <v>33599384</v>
      </c>
      <c r="AL5" s="18">
        <f>IF(ISBLANK(AN5),"·",AN5/AM5)</f>
        <v>8.7750917999397622</v>
      </c>
      <c r="AM5" s="58">
        <v>24964341</v>
      </c>
      <c r="AN5" s="59">
        <v>219064384</v>
      </c>
      <c r="AO5" s="59">
        <v>31598472</v>
      </c>
      <c r="AP5" s="59">
        <v>2000912</v>
      </c>
      <c r="AQ5" s="59">
        <v>185465144</v>
      </c>
      <c r="AR5" s="60" t="s">
        <v>550</v>
      </c>
      <c r="AS5" s="60" t="s">
        <v>550</v>
      </c>
      <c r="AT5" s="60" t="s">
        <v>550</v>
      </c>
      <c r="AU5" s="60" t="s">
        <v>550</v>
      </c>
      <c r="AV5" s="60" t="s">
        <v>550</v>
      </c>
      <c r="AW5" s="61">
        <v>4392.03</v>
      </c>
      <c r="AX5" s="61">
        <v>6898.42</v>
      </c>
      <c r="AY5" s="61">
        <v>3.6640000000000001</v>
      </c>
      <c r="AZ5" s="61">
        <v>25.391999999999999</v>
      </c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219064384</v>
      </c>
    </row>
    <row r="6" spans="1:60" collapsed="1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>
        <f>IF(ISBLANK(AN6),"·",AN6/(C6*D6*3))</f>
        <v>0.42176153866039834</v>
      </c>
      <c r="AF6" s="27">
        <f>IF(OR(ISBLANK(AN6),ISBLANK(F6)),"·",AN6*F6/E6/1000000)</f>
        <v>268.73208749999998</v>
      </c>
      <c r="AG6" s="28">
        <f>IF(ISBLANK(AN6),"·",AN6/C6)</f>
        <v>12.652846159811949</v>
      </c>
      <c r="AH6" s="28">
        <f>IF(AK6="","·",AK6/C6)</f>
        <v>1.6680810401721242</v>
      </c>
      <c r="AI6" s="28">
        <f>IF(AO6="","·",AO6/C6)</f>
        <v>1.5234140560744132</v>
      </c>
      <c r="AJ6" s="28">
        <f>IF(ISBLANK(AQ6),"·",AQ6/C6)</f>
        <v>10.984771475911781</v>
      </c>
      <c r="AK6" s="25">
        <f>IF(OR(ISBLANK(AO6),ISBLANK(AP6)),"",AO6+AP6)</f>
        <v>37790024</v>
      </c>
      <c r="AL6" s="28">
        <f>IF(ISBLANK(AN6),"·",AN6/AM6)</f>
        <v>12.652846159811949</v>
      </c>
      <c r="AM6" s="62">
        <v>22654789</v>
      </c>
      <c r="AN6" s="63">
        <v>286647560</v>
      </c>
      <c r="AO6" s="63">
        <v>34512624</v>
      </c>
      <c r="AP6" s="63">
        <v>3277400</v>
      </c>
      <c r="AQ6" s="63">
        <v>248857680</v>
      </c>
      <c r="AR6" s="64" t="s">
        <v>550</v>
      </c>
      <c r="AS6" s="64" t="s">
        <v>550</v>
      </c>
      <c r="AT6" s="64" t="s">
        <v>550</v>
      </c>
      <c r="AU6" s="64" t="s">
        <v>550</v>
      </c>
      <c r="AV6" s="64" t="s">
        <v>550</v>
      </c>
      <c r="AW6" s="65">
        <v>4086.96</v>
      </c>
      <c r="AX6" s="65">
        <v>9150.7099999999991</v>
      </c>
      <c r="AY6" s="65">
        <v>3.6280000000000001</v>
      </c>
      <c r="AZ6" s="65">
        <v>29.768000000000001</v>
      </c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286647560</v>
      </c>
    </row>
    <row r="7" spans="1:60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>
        <f>IF(ISBLANK(AN7),"·",AN7/(C7*D7*3))</f>
        <v>0.32094374453485602</v>
      </c>
      <c r="AF7" s="17">
        <f>IF(OR(ISBLANK(AN7),ISBLANK(F7)),"·",AN7*F7/E7/1000000)</f>
        <v>306.43052999999998</v>
      </c>
      <c r="AG7" s="18">
        <f>IF(ISBLANK(AN7),"·",AN7/C7)</f>
        <v>9.6283123360456813</v>
      </c>
      <c r="AH7" s="18">
        <f>IF(AK7="","·",AK7/C7)</f>
        <v>1.4795061040627238</v>
      </c>
      <c r="AI7" s="18">
        <f>IF(AO7="","·",AO7/C7)</f>
        <v>1.3674314132101604</v>
      </c>
      <c r="AJ7" s="18">
        <f>IF(ISBLANK(AQ7),"·",AQ7/C7)</f>
        <v>8.1488104737997418</v>
      </c>
      <c r="AK7" s="15">
        <f>IF(OR(ISBLANK(AO7),ISBLANK(AP7)),"",AO7+AP7)</f>
        <v>50225856</v>
      </c>
      <c r="AL7" s="18">
        <f>IF(ISBLANK(AN7),"·",AN7/AM7)</f>
        <v>9.6283123360456813</v>
      </c>
      <c r="AM7" s="58">
        <v>33947718</v>
      </c>
      <c r="AN7" s="59">
        <v>326859232</v>
      </c>
      <c r="AO7" s="59">
        <v>46421176</v>
      </c>
      <c r="AP7" s="59">
        <v>3804680</v>
      </c>
      <c r="AQ7" s="59">
        <v>276633520</v>
      </c>
      <c r="AR7" s="60" t="s">
        <v>550</v>
      </c>
      <c r="AS7" s="60" t="s">
        <v>550</v>
      </c>
      <c r="AT7" s="60" t="s">
        <v>550</v>
      </c>
      <c r="AU7" s="60" t="s">
        <v>550</v>
      </c>
      <c r="AV7" s="60" t="s">
        <v>550</v>
      </c>
      <c r="AW7" s="61">
        <v>5930.6</v>
      </c>
      <c r="AX7" s="61">
        <v>9758.4</v>
      </c>
      <c r="AY7" s="61">
        <v>4.3760000000000003</v>
      </c>
      <c r="AZ7" s="61">
        <v>29.616</v>
      </c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326859232</v>
      </c>
    </row>
    <row r="8" spans="1:60" ht="15.75" collapsed="1" thickBot="1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>
        <f>IF(ISBLANK(AN8),"·",AN8/(C8*D8*3))</f>
        <v>0.24077102624204808</v>
      </c>
      <c r="AF8" s="47">
        <f>IF(OR(ISBLANK(AN8),ISBLANK(F8)),"·",AN8*F8/E8/1000000)</f>
        <v>363.52260000000001</v>
      </c>
      <c r="AG8" s="48">
        <f>IF(ISBLANK(AN8),"·",AN8/C8)</f>
        <v>7.2231307872614421</v>
      </c>
      <c r="AH8" s="48">
        <f>IF(AK8="","·",AK8/C8)</f>
        <v>0.88954727005201517</v>
      </c>
      <c r="AI8" s="48">
        <f>IF(AO8="","·",AO8/C8)</f>
        <v>0.78847194922340491</v>
      </c>
      <c r="AJ8" s="48">
        <f>IF(ISBLANK(AQ8),"·",AQ8/C8)</f>
        <v>6.3335879879202635</v>
      </c>
      <c r="AK8" s="45">
        <f>IF(OR(ISBLANK(AO8),ISBLANK(AP8)),"",AO8+AP8)</f>
        <v>28652000</v>
      </c>
      <c r="AL8" s="48">
        <f>IF(ISBLANK(AN8),"·",AN8/AM8)</f>
        <v>7.2231307872614421</v>
      </c>
      <c r="AM8" s="70">
        <v>32209643</v>
      </c>
      <c r="AN8" s="71">
        <v>232654464</v>
      </c>
      <c r="AO8" s="71">
        <v>25396400</v>
      </c>
      <c r="AP8" s="71">
        <v>3255600</v>
      </c>
      <c r="AQ8" s="71">
        <v>204002608</v>
      </c>
      <c r="AR8" s="72" t="s">
        <v>550</v>
      </c>
      <c r="AS8" s="72" t="s">
        <v>550</v>
      </c>
      <c r="AT8" s="72" t="s">
        <v>550</v>
      </c>
      <c r="AU8" s="72" t="s">
        <v>550</v>
      </c>
      <c r="AV8" s="72" t="s">
        <v>550</v>
      </c>
      <c r="AW8" s="73">
        <v>5868.05</v>
      </c>
      <c r="AX8" s="73">
        <v>6566.12</v>
      </c>
      <c r="AY8" s="73">
        <v>3.7559999999999998</v>
      </c>
      <c r="AZ8" s="73">
        <v>22.364000000000001</v>
      </c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232654464</v>
      </c>
    </row>
    <row r="9" spans="1:60" ht="15.75" collapsed="1" thickBot="1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>
        <f>IF(ISBLANK(AN9),"·",AN9/(C9*D9*3))</f>
        <v>0.49655001346902017</v>
      </c>
      <c r="AF9" s="37">
        <f>IF(OR(ISBLANK(AN9),ISBLANK(F9)),"·",AN9*F9/E9/1000000)</f>
        <v>353.49965250000002</v>
      </c>
      <c r="AG9" s="38">
        <f>IF(ISBLANK(AN9),"·",AN9/C9)</f>
        <v>14.896500404070604</v>
      </c>
      <c r="AH9" s="38">
        <f>IF(AK9="","·",AK9/C9)</f>
        <v>1.5113792413586253</v>
      </c>
      <c r="AI9" s="38">
        <f>IF(AO9="","·",AO9/C9)</f>
        <v>1.4072428036084121</v>
      </c>
      <c r="AJ9" s="38">
        <f>IF(ISBLANK(AQ9),"·",AQ9/C9)</f>
        <v>13.385126851621544</v>
      </c>
      <c r="AK9" s="35">
        <f>IF(OR(ISBLANK(AO9),ISBLANK(AP9)),"",AO9+AP9)</f>
        <v>38256648</v>
      </c>
      <c r="AL9" s="38">
        <f>IF(ISBLANK(AN9),"·",AN9/AM9)</f>
        <v>14.896500404070604</v>
      </c>
      <c r="AM9" s="66">
        <v>25312408</v>
      </c>
      <c r="AN9" s="67">
        <v>377066296</v>
      </c>
      <c r="AO9" s="67">
        <v>35620704</v>
      </c>
      <c r="AP9" s="67">
        <v>2635944</v>
      </c>
      <c r="AQ9" s="67">
        <v>338809792</v>
      </c>
      <c r="AR9" s="68" t="s">
        <v>550</v>
      </c>
      <c r="AS9" s="68" t="s">
        <v>550</v>
      </c>
      <c r="AT9" s="68" t="s">
        <v>550</v>
      </c>
      <c r="AU9" s="68" t="s">
        <v>550</v>
      </c>
      <c r="AV9" s="68" t="s">
        <v>550</v>
      </c>
      <c r="AW9" s="69">
        <v>4646.42</v>
      </c>
      <c r="AX9" s="69">
        <v>10364.6</v>
      </c>
      <c r="AY9" s="69">
        <v>3.32</v>
      </c>
      <c r="AZ9" s="69">
        <v>29.152000000000001</v>
      </c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377066296</v>
      </c>
    </row>
    <row r="10" spans="1:60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>
        <f>AVERAGE(AG5:AG8)</f>
        <v>9.5698452707647075</v>
      </c>
      <c r="AH10" s="56">
        <f>AVERAGE(AH5:AH8)</f>
        <v>1.3457573763021875</v>
      </c>
      <c r="AI10" s="56">
        <f>AVERAGE(AI5:AI8)</f>
        <v>1.2362654263823036</v>
      </c>
      <c r="AJ10" s="56">
        <f>AVERAGE(AJ5:AJ8)</f>
        <v>8.2240931037193068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>
        <f>AVERAGE(AG9:AG9)</f>
        <v>14.896500404070604</v>
      </c>
      <c r="AH11" s="56">
        <f>AVERAGE(AH9:AH9)</f>
        <v>1.5113792413586253</v>
      </c>
      <c r="AI11" s="56">
        <f>AVERAGE(AI9:AI9)</f>
        <v>1.4072428036084121</v>
      </c>
      <c r="AJ11" s="56">
        <f>AVERAGE(AJ9:AJ9)</f>
        <v>13.385126851621544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>
        <f>AVERAGE(AG5:AG9)</f>
        <v>10.635176297425886</v>
      </c>
      <c r="AH12" s="56">
        <f>AVERAGE(AH5:AH9)</f>
        <v>1.3788817493134751</v>
      </c>
      <c r="AI12" s="56">
        <f>AVERAGE(AI5:AI9)</f>
        <v>1.2704609018275252</v>
      </c>
      <c r="AJ12" s="56">
        <f>AVERAGE(AJ5:AJ9)</f>
        <v>9.2562998532997547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24924.059999999998</v>
      </c>
      <c r="AX13" s="57">
        <f>SUM(AX5:AX8,AX9:AX9)</f>
        <v>42738.25</v>
      </c>
      <c r="AY13" s="57">
        <f>SUM(AY5:AY8,AY9:AY9)</f>
        <v>18.744</v>
      </c>
      <c r="AZ13" s="57">
        <f>SUM(AZ5:AZ8,AZ9:AZ9)</f>
        <v>136.292</v>
      </c>
    </row>
    <row r="14" spans="1:60" hidden="1" outlineLevel="2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>
        <f>GEOMEAN(AW5:AW8,AW9:AW9)</f>
        <v>4926.6909235650019</v>
      </c>
      <c r="AX15" s="57">
        <f>GEOMEAN(AX5:AX8,AX9:AX9)</f>
        <v>8404.0548918056593</v>
      </c>
      <c r="AY15" s="57">
        <f>GEOMEAN(AY5:AY8,AY9:AY9)</f>
        <v>3.7334706779459541</v>
      </c>
      <c r="AZ15" s="57">
        <f>GEOMEAN(AZ5:AZ8,AZ9:AZ9)</f>
        <v>27.091818745038228</v>
      </c>
    </row>
    <row r="16" spans="1:60" outlineLevel="2" collapsed="1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2"/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CF36"/>
  <sheetViews>
    <sheetView zoomScale="85" zoomScaleNormal="85" workbookViewId="0">
      <pane xSplit="2" topLeftCell="H1" activePane="topRight" state="frozen"/>
      <selection pane="topRight" activeCell="P5" sqref="P5:AE29"/>
    </sheetView>
  </sheetViews>
  <sheetFormatPr defaultRowHeight="15" outlineLevelRow="2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84">
      <c r="A1" s="88" t="s">
        <v>526</v>
      </c>
      <c r="B1" s="88"/>
      <c r="C1" s="88"/>
      <c r="D1" s="88"/>
      <c r="E1" s="88"/>
      <c r="F1" s="88"/>
      <c r="G1" s="88"/>
      <c r="I1" s="82" t="str">
        <f>Summary!C1</f>
        <v>tested-rc0.8 (additional projection plane, CTC)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G1" s="83" t="str">
        <f>Summary!C2</f>
        <v>tested-rc0.9 (2 patch orientations, CTC)</v>
      </c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</row>
    <row r="2" spans="1:84" ht="30" customHeight="1" thickBot="1">
      <c r="A2" s="86" t="s">
        <v>91</v>
      </c>
      <c r="B2" s="85" t="s">
        <v>94</v>
      </c>
      <c r="C2" s="86" t="s">
        <v>97</v>
      </c>
      <c r="D2" s="85" t="s">
        <v>100</v>
      </c>
      <c r="E2" s="86" t="s">
        <v>103</v>
      </c>
      <c r="F2" s="85" t="s">
        <v>106</v>
      </c>
      <c r="G2" s="86" t="s">
        <v>109</v>
      </c>
      <c r="I2" s="85" t="s">
        <v>112</v>
      </c>
      <c r="J2" s="84" t="s">
        <v>115</v>
      </c>
      <c r="K2" s="84"/>
      <c r="L2" s="84"/>
      <c r="M2" s="84"/>
      <c r="N2" s="86" t="s">
        <v>128</v>
      </c>
      <c r="O2" s="85" t="s">
        <v>131</v>
      </c>
      <c r="P2" s="86" t="s">
        <v>22</v>
      </c>
      <c r="Q2" s="85" t="s">
        <v>24</v>
      </c>
      <c r="R2" s="86" t="s">
        <v>20</v>
      </c>
      <c r="S2" s="87" t="s">
        <v>140</v>
      </c>
      <c r="T2" s="87"/>
      <c r="U2" s="87"/>
      <c r="V2" s="87"/>
      <c r="W2" s="84" t="s">
        <v>151</v>
      </c>
      <c r="X2" s="84"/>
      <c r="Y2" s="87" t="s">
        <v>158</v>
      </c>
      <c r="Z2" s="87"/>
      <c r="AA2" s="87"/>
      <c r="AB2" s="84" t="s">
        <v>168</v>
      </c>
      <c r="AC2" s="84"/>
      <c r="AD2" s="87" t="s">
        <v>175</v>
      </c>
      <c r="AE2" s="87"/>
      <c r="AG2" s="86" t="s">
        <v>112</v>
      </c>
      <c r="AH2" s="87" t="s">
        <v>115</v>
      </c>
      <c r="AI2" s="87"/>
      <c r="AJ2" s="87"/>
      <c r="AK2" s="87"/>
      <c r="AL2" s="85" t="s">
        <v>190</v>
      </c>
      <c r="AM2" s="86" t="s">
        <v>131</v>
      </c>
      <c r="AN2" s="85" t="s">
        <v>22</v>
      </c>
      <c r="AO2" s="86" t="s">
        <v>24</v>
      </c>
      <c r="AP2" s="85" t="s">
        <v>20</v>
      </c>
      <c r="AQ2" s="84" t="s">
        <v>140</v>
      </c>
      <c r="AR2" s="84"/>
      <c r="AS2" s="84"/>
      <c r="AT2" s="84"/>
      <c r="AU2" s="87" t="s">
        <v>151</v>
      </c>
      <c r="AV2" s="87"/>
      <c r="AW2" s="84" t="s">
        <v>158</v>
      </c>
      <c r="AX2" s="84"/>
      <c r="AY2" s="84"/>
      <c r="AZ2" s="87" t="s">
        <v>168</v>
      </c>
      <c r="BA2" s="87"/>
      <c r="BB2" s="84" t="s">
        <v>175</v>
      </c>
      <c r="BC2" s="84"/>
      <c r="BE2" s="85" t="s">
        <v>227</v>
      </c>
      <c r="BF2" s="86" t="s">
        <v>230</v>
      </c>
      <c r="BG2" s="85" t="s">
        <v>230</v>
      </c>
      <c r="BI2" s="84" t="s">
        <v>235</v>
      </c>
      <c r="BJ2" s="84"/>
      <c r="BK2" s="87" t="s">
        <v>240</v>
      </c>
      <c r="BL2" s="87"/>
      <c r="BM2" s="87"/>
      <c r="BO2" s="84" t="s">
        <v>247</v>
      </c>
      <c r="BP2" s="84"/>
      <c r="BQ2" s="87" t="s">
        <v>252</v>
      </c>
      <c r="BR2" s="87"/>
      <c r="BS2" s="87"/>
      <c r="BU2" s="85" t="s">
        <v>22</v>
      </c>
      <c r="BV2" s="86" t="s">
        <v>24</v>
      </c>
      <c r="BW2" s="85" t="s">
        <v>20</v>
      </c>
      <c r="BX2" s="84" t="s">
        <v>140</v>
      </c>
      <c r="BY2" s="84"/>
      <c r="BZ2" s="84"/>
      <c r="CA2" s="84"/>
      <c r="CB2" s="87" t="s">
        <v>151</v>
      </c>
      <c r="CC2" s="87"/>
      <c r="CD2" s="84" t="s">
        <v>158</v>
      </c>
      <c r="CE2" s="84"/>
      <c r="CF2" s="84"/>
    </row>
    <row r="3" spans="1:84" ht="30.75" thickBot="1">
      <c r="A3" s="86"/>
      <c r="B3" s="85"/>
      <c r="C3" s="86"/>
      <c r="D3" s="85"/>
      <c r="E3" s="86"/>
      <c r="F3" s="85"/>
      <c r="G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85"/>
      <c r="R3" s="86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6"/>
      <c r="AH3" s="12" t="s">
        <v>116</v>
      </c>
      <c r="AI3" s="12" t="s">
        <v>119</v>
      </c>
      <c r="AJ3" s="12" t="s">
        <v>122</v>
      </c>
      <c r="AK3" s="12" t="s">
        <v>125</v>
      </c>
      <c r="AL3" s="85"/>
      <c r="AM3" s="86"/>
      <c r="AN3" s="85"/>
      <c r="AO3" s="86"/>
      <c r="AP3" s="85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5"/>
      <c r="BF3" s="86"/>
      <c r="BG3" s="85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85"/>
      <c r="BV3" s="86"/>
      <c r="BW3" s="85"/>
      <c r="BX3" s="75" t="s">
        <v>116</v>
      </c>
      <c r="BY3" s="75" t="s">
        <v>122</v>
      </c>
      <c r="BZ3" s="75" t="s">
        <v>145</v>
      </c>
      <c r="CA3" s="75" t="s">
        <v>148</v>
      </c>
      <c r="CB3" s="74" t="s">
        <v>152</v>
      </c>
      <c r="CC3" s="74" t="s">
        <v>155</v>
      </c>
      <c r="CD3" s="75" t="s">
        <v>159</v>
      </c>
      <c r="CE3" s="75" t="s">
        <v>162</v>
      </c>
      <c r="CF3" s="75" t="s">
        <v>165</v>
      </c>
    </row>
    <row r="4" spans="1:84" ht="123" hidden="1" thickBot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1.2086699999999999</v>
      </c>
      <c r="J5" s="18">
        <f t="shared" ref="J5:J29" si="1">IF(ISBLANK(S5),"·",S5/D5)</f>
        <v>5.1643582340106638E-2</v>
      </c>
      <c r="K5" s="18">
        <f t="shared" ref="K5:K29" si="2">IF(N5="","·",N5/D5)</f>
        <v>4.3433471766789279E-2</v>
      </c>
      <c r="L5" s="18">
        <f t="shared" ref="L5:L29" si="3">IF(T5="","·",T5/D5)</f>
        <v>2.6001247138868998E-2</v>
      </c>
      <c r="M5" s="18">
        <f t="shared" ref="M5:M29" si="4">IF(ISBLANK(V5),"·",V5/D5)</f>
        <v>8.206265088271306E-3</v>
      </c>
      <c r="N5" s="15">
        <f t="shared" ref="N5:N29" si="5">IF(OR(ISBLANK(T5),ISBLANK(U5)),"",T5+U5)</f>
        <v>1084288</v>
      </c>
      <c r="O5" s="18">
        <f t="shared" ref="O5:O29" si="6">IF(ISBLANK(S5),"·",S5/P5)</f>
        <v>5.5326823790369441E-2</v>
      </c>
      <c r="P5" s="58">
        <v>23302404</v>
      </c>
      <c r="Q5" s="58">
        <v>728200</v>
      </c>
      <c r="R5" s="58">
        <v>16212</v>
      </c>
      <c r="S5" s="59">
        <v>1289248</v>
      </c>
      <c r="T5" s="59">
        <v>649104</v>
      </c>
      <c r="U5" s="59">
        <v>435184</v>
      </c>
      <c r="V5" s="59">
        <v>204864</v>
      </c>
      <c r="W5" s="60">
        <v>66.750600000000006</v>
      </c>
      <c r="X5" s="60">
        <v>68.466499999999996</v>
      </c>
      <c r="Y5" s="60">
        <v>31.668500000000002</v>
      </c>
      <c r="Z5" s="60">
        <v>44.340699999999998</v>
      </c>
      <c r="AA5" s="60">
        <v>43.451700000000002</v>
      </c>
      <c r="AB5" s="61">
        <v>2355.48</v>
      </c>
      <c r="AC5" s="61">
        <v>2968.09</v>
      </c>
      <c r="AD5" s="61">
        <v>5.0940000000000003</v>
      </c>
      <c r="AE5" s="61">
        <v>17.283999999999999</v>
      </c>
      <c r="AG5" s="17">
        <f t="shared" ref="AG5:AG29" si="7">IF(OR(ISBLANK(AQ5),ISBLANK(G5)),"·",AQ5*G5/F5/1000000)</f>
        <v>1.2086775000000001</v>
      </c>
      <c r="AH5" s="18">
        <f t="shared" ref="AH5:AH29" si="8">IF(ISBLANK(AQ5),"·",AQ5/D5)</f>
        <v>5.1643902797193803E-2</v>
      </c>
      <c r="AI5" s="18">
        <f t="shared" ref="AI5:AI29" si="9">IF(AL5="","·",AL5/D5)</f>
        <v>4.3441162736881381E-2</v>
      </c>
      <c r="AJ5" s="18">
        <f t="shared" ref="AJ5:AJ29" si="10">IF(AR5="","·",AR5/D5)</f>
        <v>2.6003490338479193E-2</v>
      </c>
      <c r="AK5" s="18">
        <f t="shared" ref="AK5:AK29" si="11">IF(ISBLANK(AT5),"·",AT5/D5)</f>
        <v>8.2085082878815031E-3</v>
      </c>
      <c r="AL5" s="15">
        <f t="shared" ref="AL5:AL29" si="12">IF(OR(ISBLANK(AR5),ISBLANK(AS5)),"",AR5+AS5)</f>
        <v>1084480</v>
      </c>
      <c r="AM5" s="18">
        <f t="shared" ref="AM5:AM29" si="13">IF(ISBLANK(AQ5),"·",AQ5/AN5)</f>
        <v>5.5327167102587359E-2</v>
      </c>
      <c r="AN5" s="58">
        <v>23302404</v>
      </c>
      <c r="AO5" s="58">
        <v>728200.125</v>
      </c>
      <c r="AP5" s="58">
        <v>16212.03125</v>
      </c>
      <c r="AQ5" s="59">
        <v>1289256</v>
      </c>
      <c r="AR5" s="59">
        <v>649160</v>
      </c>
      <c r="AS5" s="59">
        <v>435320</v>
      </c>
      <c r="AT5" s="59">
        <v>204920</v>
      </c>
      <c r="AU5" s="60">
        <v>66.750615624999995</v>
      </c>
      <c r="AV5" s="60">
        <v>68.466490625000006</v>
      </c>
      <c r="AW5" s="60">
        <v>31.668503124999901</v>
      </c>
      <c r="AX5" s="60">
        <v>44.340690625000001</v>
      </c>
      <c r="AY5" s="60">
        <v>43.451671874999903</v>
      </c>
      <c r="AZ5" s="61">
        <v>6002.32</v>
      </c>
      <c r="BA5" s="61">
        <v>3868.27</v>
      </c>
      <c r="BB5" s="61">
        <v>6.508</v>
      </c>
      <c r="BC5" s="61">
        <v>18.96</v>
      </c>
      <c r="BD5">
        <v>32</v>
      </c>
      <c r="BE5" s="23">
        <f t="shared" ref="BE5:BE29" si="14">(AP5/AO5) - (R5/Q5)</f>
        <v>3.9092427628339976E-8</v>
      </c>
      <c r="BF5" s="23">
        <f t="shared" ref="BF5:BF29" si="15">(AL5/AQ5) - (N5/S5)</f>
        <v>1.4370443974220937E-4</v>
      </c>
      <c r="BG5" s="23">
        <f t="array" ref="BG5">AVERAGE(AL5:AL9/AQ5:AQ9) - AVERAGE(N5:N9/S5:S9)</f>
        <v>8.2271445543957711E-5</v>
      </c>
      <c r="BI5" s="24">
        <f>IF( OR(ISBLANK(N5:N9),ISBLANK(AL5:AL9), ISBLANK(W5:W9),ISBLANK(AU5:AU9)), "·", bdRateExtend( N5:N9,W5:W9, AL5:AL9,AU5:AU9))</f>
        <v>1.2281709438055621E-4</v>
      </c>
      <c r="BJ5" s="24">
        <f>IF( OR(ISBLANK(N5:N9),ISBLANK(AL5:AL9), ISBLANK(X5:X9),ISBLANK(AV5:AV9)), "·", bdRateExtend( N5:N9,X5:X9, AL5:AL9,AV5:AV9))</f>
        <v>1.1506619307755095E-4</v>
      </c>
      <c r="BK5" s="24">
        <f>IF( OR(ISBLANK(V5:V9),ISBLANK(AT5:AT9), ISBLANK(Y5:Y9),ISBLANK(AW5:AW9)), "·", bdRateExtend( V5:V9,Y5:Y9, AT5:AT9,AW5:AW9))</f>
        <v>9.9971223413763965E-5</v>
      </c>
      <c r="BL5" s="24">
        <f>IF( OR(ISBLANK(V5:V9),ISBLANK(AT5:AT9), ISBLANK(Z5:Z9),ISBLANK(AX5:AX9)), "·", bdRateExtend( V5:V9,Z5:Z9, AT5:AT9,AX5:AX9))</f>
        <v>9.7153289579710034E-5</v>
      </c>
      <c r="BM5" s="24">
        <f>IF( OR(ISBLANK(V5:V9),ISBLANK(AT5:AT9), ISBLANK(AA5:AA9),ISBLANK(AY5:AY9)), "·", bdRateExtend( V5:V9,AA5:AA9, AT5:AT9,AY5:AY9))</f>
        <v>1.1175533850349417E-4</v>
      </c>
      <c r="BO5" s="24">
        <f>IF( OR(ISBLANK(S5:S9),ISBLANK(AQ5:AQ9), ISBLANK(W5:W9),ISBLANK(AU5:AU9)), "·", bdRateExtend( S5:S9,W5:W9, AQ5:AQ9,AU5:AU9))</f>
        <v>3.9320490512473327E-6</v>
      </c>
      <c r="BP5" s="24">
        <f>IF( OR(ISBLANK(S5:S9),ISBLANK(AQ5:AQ9), ISBLANK(X5:X9),ISBLANK(AV5:AV9)), "·", bdRateExtend( S5:S9,X5:X9, AQ5:AQ9,AV5:AV9))</f>
        <v>-1.952585801601181E-6</v>
      </c>
      <c r="BQ5" s="24">
        <f>IF( OR(ISBLANK(S5:S9),ISBLANK(AQ5:AQ9), ISBLANK(Y5:Y9),ISBLANK(AW5:AW9)), "·", bdRateExtend( S5:S9,Y5:Y9, AQ5:AQ9,AW5:AW9))</f>
        <v>5.0647166640604979E-6</v>
      </c>
      <c r="BR5" s="24">
        <f>IF( OR(ISBLANK(S5:S9),ISBLANK(AQ5:AQ9), ISBLANK(Z5:Z9),ISBLANK(AX5:AX9)), "·", bdRateExtend( S5:S9,Z5:Z9, AQ5:AQ9,AX5:AX9))</f>
        <v>6.2629593264862393E-6</v>
      </c>
      <c r="BS5" s="24">
        <f>IF( OR(ISBLANK(S5:S9),ISBLANK(AQ5:AQ9), ISBLANK(AA5:AA9),ISBLANK(AY5:AY9)), "·", bdRateExtend( S5:S9,AA5:AA9, AQ5:AQ9,AY5:AY9))</f>
        <v>1.0957511129117137E-5</v>
      </c>
      <c r="BU5" s="4">
        <f>AN5-P5</f>
        <v>0</v>
      </c>
      <c r="BV5" s="4">
        <f t="shared" ref="BV5:CF20" si="16">AO5-Q5</f>
        <v>0.125</v>
      </c>
      <c r="BW5" s="4">
        <f t="shared" si="16"/>
        <v>3.125E-2</v>
      </c>
      <c r="BX5" s="4">
        <f t="shared" si="16"/>
        <v>8</v>
      </c>
      <c r="BY5" s="4">
        <f t="shared" si="16"/>
        <v>56</v>
      </c>
      <c r="BZ5" s="4">
        <f t="shared" si="16"/>
        <v>136</v>
      </c>
      <c r="CA5" s="4">
        <f t="shared" si="16"/>
        <v>56</v>
      </c>
      <c r="CB5" s="4">
        <f t="shared" si="16"/>
        <v>1.5624999988972377E-5</v>
      </c>
      <c r="CC5" s="4">
        <f t="shared" si="16"/>
        <v>-9.3749999905412551E-6</v>
      </c>
      <c r="CD5" s="4">
        <f t="shared" si="16"/>
        <v>3.1249998997395778E-6</v>
      </c>
      <c r="CE5" s="4">
        <f t="shared" si="16"/>
        <v>-9.3749999976466825E-6</v>
      </c>
      <c r="CF5" s="4">
        <f t="shared" si="16"/>
        <v>-2.8125000099521458E-5</v>
      </c>
    </row>
    <row r="6" spans="1:84" outlineLevel="1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1.552155</v>
      </c>
      <c r="J6" s="28">
        <f t="shared" si="1"/>
        <v>6.6319876018357538E-2</v>
      </c>
      <c r="K6" s="28">
        <f t="shared" si="2"/>
        <v>5.1897063896058783E-2</v>
      </c>
      <c r="L6" s="28">
        <f t="shared" si="3"/>
        <v>3.4464839268138502E-2</v>
      </c>
      <c r="M6" s="28">
        <f t="shared" si="4"/>
        <v>1.4418966637252712E-2</v>
      </c>
      <c r="N6" s="25">
        <f t="shared" si="5"/>
        <v>1295576</v>
      </c>
      <c r="O6" s="28">
        <f t="shared" si="6"/>
        <v>6.7219941541380793E-2</v>
      </c>
      <c r="P6" s="62">
        <v>24630072</v>
      </c>
      <c r="Q6" s="62">
        <v>769690</v>
      </c>
      <c r="R6" s="62">
        <v>19807.3</v>
      </c>
      <c r="S6" s="63">
        <v>1655632</v>
      </c>
      <c r="T6" s="63">
        <v>860392</v>
      </c>
      <c r="U6" s="63">
        <v>435184</v>
      </c>
      <c r="V6" s="63">
        <v>359960</v>
      </c>
      <c r="W6" s="64">
        <v>68.474699999999999</v>
      </c>
      <c r="X6" s="64">
        <v>70.5</v>
      </c>
      <c r="Y6" s="64">
        <v>33.831899999999997</v>
      </c>
      <c r="Z6" s="64">
        <v>45.376800000000003</v>
      </c>
      <c r="AA6" s="64">
        <v>44.927</v>
      </c>
      <c r="AB6" s="65">
        <v>2373.4</v>
      </c>
      <c r="AC6" s="65">
        <v>3154.96</v>
      </c>
      <c r="AD6" s="65">
        <v>5.0990000000000002</v>
      </c>
      <c r="AE6" s="65">
        <v>17.233000000000001</v>
      </c>
      <c r="AG6" s="27">
        <f t="shared" si="7"/>
        <v>1.5521624999999999</v>
      </c>
      <c r="AH6" s="28">
        <f t="shared" si="8"/>
        <v>6.6320196475444709E-2</v>
      </c>
      <c r="AI6" s="28">
        <f t="shared" si="9"/>
        <v>5.1904754866150885E-2</v>
      </c>
      <c r="AJ6" s="28">
        <f t="shared" si="10"/>
        <v>3.4467082467748697E-2</v>
      </c>
      <c r="AK6" s="28">
        <f t="shared" si="11"/>
        <v>1.4421209836862908E-2</v>
      </c>
      <c r="AL6" s="25">
        <f t="shared" si="12"/>
        <v>1295768</v>
      </c>
      <c r="AM6" s="28">
        <f t="shared" si="13"/>
        <v>6.7220266347577065E-2</v>
      </c>
      <c r="AN6" s="62">
        <v>24630072</v>
      </c>
      <c r="AO6" s="62">
        <v>769689.75</v>
      </c>
      <c r="AP6" s="62">
        <v>19807.3125</v>
      </c>
      <c r="AQ6" s="63">
        <v>1655640</v>
      </c>
      <c r="AR6" s="63">
        <v>860448</v>
      </c>
      <c r="AS6" s="63">
        <v>435320</v>
      </c>
      <c r="AT6" s="63">
        <v>360016</v>
      </c>
      <c r="AU6" s="64">
        <v>68.474656249999995</v>
      </c>
      <c r="AV6" s="64">
        <v>70.500003125000006</v>
      </c>
      <c r="AW6" s="64">
        <v>33.831906250000003</v>
      </c>
      <c r="AX6" s="64">
        <v>45.376818749999899</v>
      </c>
      <c r="AY6" s="64">
        <v>44.926993750000001</v>
      </c>
      <c r="AZ6" s="65">
        <v>5895.1</v>
      </c>
      <c r="BA6" s="65">
        <v>4148.54</v>
      </c>
      <c r="BB6" s="65">
        <v>5.18</v>
      </c>
      <c r="BC6" s="65">
        <v>14.747999999999999</v>
      </c>
      <c r="BD6">
        <v>32</v>
      </c>
      <c r="BE6" s="33">
        <f t="shared" si="14"/>
        <v>2.4598913628270935E-8</v>
      </c>
      <c r="BF6" s="33">
        <f t="shared" si="15"/>
        <v>1.1218609576102434E-4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CF29" si="17">AN6-P6</f>
        <v>0</v>
      </c>
      <c r="BV6" s="4">
        <f t="shared" si="16"/>
        <v>-0.25</v>
      </c>
      <c r="BW6" s="4">
        <f t="shared" si="16"/>
        <v>1.2500000000727596E-2</v>
      </c>
      <c r="BX6" s="4">
        <f t="shared" si="16"/>
        <v>8</v>
      </c>
      <c r="BY6" s="4">
        <f t="shared" si="16"/>
        <v>56</v>
      </c>
      <c r="BZ6" s="4">
        <f t="shared" si="16"/>
        <v>136</v>
      </c>
      <c r="CA6" s="4">
        <f t="shared" si="16"/>
        <v>56</v>
      </c>
      <c r="CB6" s="4">
        <f t="shared" si="16"/>
        <v>-4.3750000003228706E-5</v>
      </c>
      <c r="CC6" s="4">
        <f t="shared" si="16"/>
        <v>3.1250000063209882E-6</v>
      </c>
      <c r="CD6" s="4">
        <f t="shared" si="16"/>
        <v>6.250000005536549E-6</v>
      </c>
      <c r="CE6" s="4">
        <f t="shared" si="16"/>
        <v>1.8749999895817382E-5</v>
      </c>
      <c r="CF6" s="4">
        <f t="shared" si="16"/>
        <v>-6.2499999984311216E-6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2.1322800000000002</v>
      </c>
      <c r="J7" s="18">
        <f t="shared" si="1"/>
        <v>9.1107231711023334E-2</v>
      </c>
      <c r="K7" s="18">
        <f t="shared" si="2"/>
        <v>6.3401152868405378E-2</v>
      </c>
      <c r="L7" s="18">
        <f t="shared" si="3"/>
        <v>4.5968928240485096E-2</v>
      </c>
      <c r="M7" s="18">
        <f t="shared" si="4"/>
        <v>2.7702233357571906E-2</v>
      </c>
      <c r="N7" s="15">
        <f t="shared" si="5"/>
        <v>1582768</v>
      </c>
      <c r="O7" s="18">
        <f t="shared" si="6"/>
        <v>9.1272740814746234E-2</v>
      </c>
      <c r="P7" s="58">
        <v>24919072</v>
      </c>
      <c r="Q7" s="58">
        <v>778721</v>
      </c>
      <c r="R7" s="58">
        <v>21072.3</v>
      </c>
      <c r="S7" s="59">
        <v>2274432</v>
      </c>
      <c r="T7" s="59">
        <v>1147584</v>
      </c>
      <c r="U7" s="59">
        <v>435184</v>
      </c>
      <c r="V7" s="59">
        <v>691568</v>
      </c>
      <c r="W7" s="60">
        <v>69.796599999999998</v>
      </c>
      <c r="X7" s="60">
        <v>72.151700000000005</v>
      </c>
      <c r="Y7" s="60">
        <v>36.257300000000001</v>
      </c>
      <c r="Z7" s="60">
        <v>46.796900000000001</v>
      </c>
      <c r="AA7" s="60">
        <v>46.487699999999997</v>
      </c>
      <c r="AB7" s="61">
        <v>2459.3000000000002</v>
      </c>
      <c r="AC7" s="61">
        <v>3822.46</v>
      </c>
      <c r="AD7" s="61">
        <v>5.3369999999999997</v>
      </c>
      <c r="AE7" s="61">
        <v>18.753</v>
      </c>
      <c r="AG7" s="17">
        <f t="shared" si="7"/>
        <v>2.1322874999999999</v>
      </c>
      <c r="AH7" s="18">
        <f t="shared" si="8"/>
        <v>9.1107552168110506E-2</v>
      </c>
      <c r="AI7" s="18">
        <f t="shared" si="9"/>
        <v>6.3408843838497486E-2</v>
      </c>
      <c r="AJ7" s="18">
        <f t="shared" si="10"/>
        <v>4.5971171440095292E-2</v>
      </c>
      <c r="AK7" s="18">
        <f t="shared" si="11"/>
        <v>2.7704476557182101E-2</v>
      </c>
      <c r="AL7" s="15">
        <f t="shared" si="12"/>
        <v>1582960</v>
      </c>
      <c r="AM7" s="18">
        <f t="shared" si="13"/>
        <v>9.1273061853988785E-2</v>
      </c>
      <c r="AN7" s="58">
        <v>24919072</v>
      </c>
      <c r="AO7" s="58">
        <v>778721</v>
      </c>
      <c r="AP7" s="58">
        <v>21072.28125</v>
      </c>
      <c r="AQ7" s="59">
        <v>2274440</v>
      </c>
      <c r="AR7" s="59">
        <v>1147640</v>
      </c>
      <c r="AS7" s="59">
        <v>435320</v>
      </c>
      <c r="AT7" s="59">
        <v>691624</v>
      </c>
      <c r="AU7" s="60">
        <v>69.796599999999998</v>
      </c>
      <c r="AV7" s="60">
        <v>72.151678125000004</v>
      </c>
      <c r="AW7" s="60">
        <v>36.257321875000002</v>
      </c>
      <c r="AX7" s="60">
        <v>46.796909374999998</v>
      </c>
      <c r="AY7" s="60">
        <v>46.487650000000002</v>
      </c>
      <c r="AZ7" s="61">
        <v>7887.92</v>
      </c>
      <c r="BA7" s="61">
        <v>4072.98</v>
      </c>
      <c r="BB7" s="61">
        <v>6.6959999999999997</v>
      </c>
      <c r="BC7" s="61">
        <v>19.908000000000001</v>
      </c>
      <c r="BD7">
        <v>32</v>
      </c>
      <c r="BE7" s="23">
        <f t="shared" si="14"/>
        <v>-2.4077943191341822E-8</v>
      </c>
      <c r="BF7" s="23">
        <f t="shared" si="15"/>
        <v>8.1968674689569809E-5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7"/>
        <v>0</v>
      </c>
      <c r="BV7" s="4">
        <f t="shared" si="16"/>
        <v>0</v>
      </c>
      <c r="BW7" s="4">
        <f t="shared" si="16"/>
        <v>-1.8749999999272404E-2</v>
      </c>
      <c r="BX7" s="4">
        <f t="shared" si="16"/>
        <v>8</v>
      </c>
      <c r="BY7" s="4">
        <f t="shared" si="16"/>
        <v>56</v>
      </c>
      <c r="BZ7" s="4">
        <f t="shared" si="16"/>
        <v>136</v>
      </c>
      <c r="CA7" s="4">
        <f t="shared" si="16"/>
        <v>56</v>
      </c>
      <c r="CB7" s="4">
        <f t="shared" si="16"/>
        <v>0</v>
      </c>
      <c r="CC7" s="4">
        <f t="shared" si="16"/>
        <v>-2.1875000001614353E-5</v>
      </c>
      <c r="CD7" s="4">
        <f t="shared" si="16"/>
        <v>2.1875000001614353E-5</v>
      </c>
      <c r="CE7" s="4">
        <f t="shared" si="16"/>
        <v>9.3749999976466825E-6</v>
      </c>
      <c r="CF7" s="4">
        <f t="shared" si="16"/>
        <v>-4.99999999945544E-5</v>
      </c>
    </row>
    <row r="8" spans="1:84" outlineLevel="1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3.5141475</v>
      </c>
      <c r="J8" s="28">
        <f t="shared" si="1"/>
        <v>0.15015112956516657</v>
      </c>
      <c r="K8" s="28">
        <f t="shared" si="2"/>
        <v>8.8525629416774915E-2</v>
      </c>
      <c r="L8" s="28">
        <f t="shared" si="3"/>
        <v>7.1093404788854633E-2</v>
      </c>
      <c r="M8" s="28">
        <f t="shared" si="4"/>
        <v>6.1621654663345612E-2</v>
      </c>
      <c r="N8" s="25">
        <f t="shared" si="5"/>
        <v>2209984</v>
      </c>
      <c r="O8" s="28">
        <f t="shared" si="6"/>
        <v>0.14414740073336116</v>
      </c>
      <c r="P8" s="62">
        <v>26004104</v>
      </c>
      <c r="Q8" s="62">
        <v>812628</v>
      </c>
      <c r="R8" s="62">
        <v>24474.799999999999</v>
      </c>
      <c r="S8" s="63">
        <v>3748424</v>
      </c>
      <c r="T8" s="63">
        <v>1774800</v>
      </c>
      <c r="U8" s="63">
        <v>435184</v>
      </c>
      <c r="V8" s="63">
        <v>1538344</v>
      </c>
      <c r="W8" s="64">
        <v>70.793099999999995</v>
      </c>
      <c r="X8" s="64">
        <v>73.333299999999994</v>
      </c>
      <c r="Y8" s="64">
        <v>38.702199999999998</v>
      </c>
      <c r="Z8" s="64">
        <v>48.1081</v>
      </c>
      <c r="AA8" s="64">
        <v>47.963000000000001</v>
      </c>
      <c r="AB8" s="65">
        <v>2104.0500000000002</v>
      </c>
      <c r="AC8" s="65">
        <v>3445.83</v>
      </c>
      <c r="AD8" s="65">
        <v>4.5430000000000001</v>
      </c>
      <c r="AE8" s="65">
        <v>16.148</v>
      </c>
      <c r="AG8" s="27">
        <f t="shared" si="7"/>
        <v>3.5141550000000001</v>
      </c>
      <c r="AH8" s="28">
        <f t="shared" si="8"/>
        <v>0.15015145002225375</v>
      </c>
      <c r="AI8" s="28">
        <f t="shared" si="9"/>
        <v>8.8533320386867009E-2</v>
      </c>
      <c r="AJ8" s="28">
        <f t="shared" si="10"/>
        <v>7.1095647988464822E-2</v>
      </c>
      <c r="AK8" s="28">
        <f t="shared" si="11"/>
        <v>6.1623897862955808E-2</v>
      </c>
      <c r="AL8" s="25">
        <f t="shared" si="12"/>
        <v>2210176</v>
      </c>
      <c r="AM8" s="28">
        <f t="shared" si="13"/>
        <v>0.14414770837710847</v>
      </c>
      <c r="AN8" s="62">
        <v>26004104</v>
      </c>
      <c r="AO8" s="62">
        <v>812628.25</v>
      </c>
      <c r="AP8" s="62">
        <v>24474.75</v>
      </c>
      <c r="AQ8" s="63">
        <v>3748432</v>
      </c>
      <c r="AR8" s="63">
        <v>1774856</v>
      </c>
      <c r="AS8" s="63">
        <v>435320</v>
      </c>
      <c r="AT8" s="63">
        <v>1538400</v>
      </c>
      <c r="AU8" s="64">
        <v>70.793118749999906</v>
      </c>
      <c r="AV8" s="64">
        <v>73.333334374999893</v>
      </c>
      <c r="AW8" s="64">
        <v>38.702150000000003</v>
      </c>
      <c r="AX8" s="64">
        <v>48.108049999999999</v>
      </c>
      <c r="AY8" s="64">
        <v>47.962968750000002</v>
      </c>
      <c r="AZ8" s="65">
        <v>7886.44</v>
      </c>
      <c r="BA8" s="65">
        <v>4409.3</v>
      </c>
      <c r="BB8" s="65">
        <v>5.984</v>
      </c>
      <c r="BC8" s="65">
        <v>18.731999999999999</v>
      </c>
      <c r="BD8">
        <v>32</v>
      </c>
      <c r="BE8" s="33">
        <f t="shared" si="14"/>
        <v>-7.0794390304856902E-8</v>
      </c>
      <c r="BF8" s="33">
        <f t="shared" si="15"/>
        <v>4.9963127310537203E-5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7"/>
        <v>0</v>
      </c>
      <c r="BV8" s="4">
        <f t="shared" si="16"/>
        <v>0.25</v>
      </c>
      <c r="BW8" s="4">
        <f t="shared" si="16"/>
        <v>-4.9999999999272404E-2</v>
      </c>
      <c r="BX8" s="4">
        <f t="shared" si="16"/>
        <v>8</v>
      </c>
      <c r="BY8" s="4">
        <f t="shared" si="16"/>
        <v>56</v>
      </c>
      <c r="BZ8" s="4">
        <f t="shared" si="16"/>
        <v>136</v>
      </c>
      <c r="CA8" s="4">
        <f t="shared" si="16"/>
        <v>56</v>
      </c>
      <c r="CB8" s="4">
        <f t="shared" si="16"/>
        <v>1.8749999910028237E-5</v>
      </c>
      <c r="CC8" s="4">
        <f t="shared" si="16"/>
        <v>3.4374999899000613E-5</v>
      </c>
      <c r="CD8" s="4">
        <f t="shared" si="16"/>
        <v>-4.99999999945544E-5</v>
      </c>
      <c r="CE8" s="4">
        <f t="shared" si="16"/>
        <v>-5.0000000001659828E-5</v>
      </c>
      <c r="CF8" s="4">
        <f t="shared" si="16"/>
        <v>-3.1249999999261036E-5</v>
      </c>
    </row>
    <row r="9" spans="1:84" ht="15.75" outlineLevel="1" thickBot="1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7.4982825000000002</v>
      </c>
      <c r="J9" s="38">
        <f t="shared" si="1"/>
        <v>0.32038370249789488</v>
      </c>
      <c r="K9" s="38">
        <f t="shared" si="2"/>
        <v>0.15073275917838166</v>
      </c>
      <c r="L9" s="38">
        <f t="shared" si="3"/>
        <v>0.11441439611804693</v>
      </c>
      <c r="M9" s="38">
        <f t="shared" si="4"/>
        <v>0.16964709783446716</v>
      </c>
      <c r="N9" s="35">
        <f t="shared" si="5"/>
        <v>3762944</v>
      </c>
      <c r="O9" s="38">
        <f t="shared" si="6"/>
        <v>0.3195975983931747</v>
      </c>
      <c r="P9" s="66">
        <v>25025745</v>
      </c>
      <c r="Q9" s="66">
        <v>782055</v>
      </c>
      <c r="R9" s="66">
        <v>10275.799999999999</v>
      </c>
      <c r="S9" s="67">
        <v>7998168</v>
      </c>
      <c r="T9" s="67">
        <v>2856280</v>
      </c>
      <c r="U9" s="67">
        <v>906664</v>
      </c>
      <c r="V9" s="67">
        <v>4235128</v>
      </c>
      <c r="W9" s="68">
        <v>72.048100000000005</v>
      </c>
      <c r="X9" s="68">
        <v>75.254400000000004</v>
      </c>
      <c r="Y9" s="68">
        <v>41.140900000000002</v>
      </c>
      <c r="Z9" s="68">
        <v>49.543900000000001</v>
      </c>
      <c r="AA9" s="68">
        <v>49.6083</v>
      </c>
      <c r="AB9" s="69">
        <v>2242.0300000000002</v>
      </c>
      <c r="AC9" s="69">
        <v>4136.1499999999996</v>
      </c>
      <c r="AD9" s="69">
        <v>4.8540000000000001</v>
      </c>
      <c r="AE9" s="69">
        <v>18.539000000000001</v>
      </c>
      <c r="AG9" s="37">
        <f t="shared" si="7"/>
        <v>7.4982899999999999</v>
      </c>
      <c r="AH9" s="38">
        <f t="shared" si="8"/>
        <v>0.32038402295498208</v>
      </c>
      <c r="AI9" s="38">
        <f t="shared" si="9"/>
        <v>0.15074045014847379</v>
      </c>
      <c r="AJ9" s="38">
        <f t="shared" si="10"/>
        <v>0.11441663931765714</v>
      </c>
      <c r="AK9" s="38">
        <f t="shared" si="11"/>
        <v>0.16964934103407736</v>
      </c>
      <c r="AL9" s="35">
        <f t="shared" si="12"/>
        <v>3763136</v>
      </c>
      <c r="AM9" s="38">
        <f t="shared" si="13"/>
        <v>0.31959791806397769</v>
      </c>
      <c r="AN9" s="66">
        <v>25025745</v>
      </c>
      <c r="AO9" s="66">
        <v>782054.53125</v>
      </c>
      <c r="AP9" s="66">
        <v>10275.84375</v>
      </c>
      <c r="AQ9" s="67">
        <v>7998176</v>
      </c>
      <c r="AR9" s="67">
        <v>2856336</v>
      </c>
      <c r="AS9" s="67">
        <v>906800</v>
      </c>
      <c r="AT9" s="67">
        <v>4235184</v>
      </c>
      <c r="AU9" s="68">
        <v>72.048096874999999</v>
      </c>
      <c r="AV9" s="68">
        <v>75.254449999999906</v>
      </c>
      <c r="AW9" s="68">
        <v>41.140931249999902</v>
      </c>
      <c r="AX9" s="68">
        <v>49.543940624999998</v>
      </c>
      <c r="AY9" s="68">
        <v>49.608296875000001</v>
      </c>
      <c r="AZ9" s="69">
        <v>7934.92</v>
      </c>
      <c r="BA9" s="69">
        <v>5048.84</v>
      </c>
      <c r="BB9" s="69">
        <v>7.08</v>
      </c>
      <c r="BC9" s="69">
        <v>23.492000000000001</v>
      </c>
      <c r="BD9">
        <v>32</v>
      </c>
      <c r="BE9" s="43">
        <f t="shared" si="14"/>
        <v>6.3817971298132936E-8</v>
      </c>
      <c r="BF9" s="43">
        <f t="shared" si="15"/>
        <v>2.3534890216003745E-5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7"/>
        <v>0</v>
      </c>
      <c r="BV9" s="4">
        <f t="shared" si="16"/>
        <v>-0.46875</v>
      </c>
      <c r="BW9" s="4">
        <f t="shared" si="16"/>
        <v>4.3750000000727596E-2</v>
      </c>
      <c r="BX9" s="4">
        <f t="shared" si="16"/>
        <v>8</v>
      </c>
      <c r="BY9" s="4">
        <f t="shared" si="16"/>
        <v>56</v>
      </c>
      <c r="BZ9" s="4">
        <f t="shared" si="16"/>
        <v>136</v>
      </c>
      <c r="CA9" s="4">
        <f t="shared" si="16"/>
        <v>56</v>
      </c>
      <c r="CB9" s="4">
        <f t="shared" si="16"/>
        <v>-3.1250000063209882E-6</v>
      </c>
      <c r="CC9" s="4">
        <f t="shared" si="16"/>
        <v>4.9999999902183845E-5</v>
      </c>
      <c r="CD9" s="4">
        <f t="shared" si="16"/>
        <v>3.1249999899785053E-5</v>
      </c>
      <c r="CE9" s="4">
        <f t="shared" si="16"/>
        <v>4.0624999996907718E-5</v>
      </c>
      <c r="CF9" s="4">
        <f t="shared" si="16"/>
        <v>-3.1249999992155608E-6</v>
      </c>
    </row>
    <row r="10" spans="1:84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2.0552174999999999</v>
      </c>
      <c r="J10" s="28">
        <f t="shared" si="1"/>
        <v>9.6766824886340808E-2</v>
      </c>
      <c r="K10" s="28">
        <f t="shared" si="2"/>
        <v>7.1227324165323277E-2</v>
      </c>
      <c r="L10" s="28">
        <f t="shared" si="3"/>
        <v>3.9123913270611349E-2</v>
      </c>
      <c r="M10" s="28">
        <f t="shared" si="4"/>
        <v>2.5535263206379895E-2</v>
      </c>
      <c r="N10" s="25">
        <f t="shared" si="5"/>
        <v>1613640</v>
      </c>
      <c r="O10" s="28">
        <f t="shared" si="6"/>
        <v>0.10503687137090377</v>
      </c>
      <c r="P10" s="62">
        <v>20871071</v>
      </c>
      <c r="Q10" s="62">
        <v>652221</v>
      </c>
      <c r="R10" s="62">
        <v>18933.599999999999</v>
      </c>
      <c r="S10" s="63">
        <v>2192232</v>
      </c>
      <c r="T10" s="63">
        <v>886344</v>
      </c>
      <c r="U10" s="63">
        <v>727296</v>
      </c>
      <c r="V10" s="63">
        <v>578496</v>
      </c>
      <c r="W10" s="64">
        <v>65.969899999999996</v>
      </c>
      <c r="X10" s="64">
        <v>67.878600000000006</v>
      </c>
      <c r="Y10" s="64">
        <v>31.036000000000001</v>
      </c>
      <c r="Z10" s="64">
        <v>38.622900000000001</v>
      </c>
      <c r="AA10" s="64">
        <v>30.1112</v>
      </c>
      <c r="AB10" s="65">
        <v>2098.31</v>
      </c>
      <c r="AC10" s="65">
        <v>4100.4399999999996</v>
      </c>
      <c r="AD10" s="65">
        <v>4.7469999999999999</v>
      </c>
      <c r="AE10" s="65">
        <v>20.103000000000002</v>
      </c>
      <c r="AG10" s="27">
        <f t="shared" si="7"/>
        <v>2.0552250000000001</v>
      </c>
      <c r="AH10" s="28">
        <f t="shared" si="8"/>
        <v>9.6767178012560615E-2</v>
      </c>
      <c r="AI10" s="28">
        <f t="shared" si="9"/>
        <v>7.1235799194598548E-2</v>
      </c>
      <c r="AJ10" s="28">
        <f t="shared" si="10"/>
        <v>3.912638515414997E-2</v>
      </c>
      <c r="AK10" s="28">
        <f t="shared" si="11"/>
        <v>2.5537735089918516E-2</v>
      </c>
      <c r="AL10" s="25">
        <f t="shared" si="12"/>
        <v>1613832</v>
      </c>
      <c r="AM10" s="28">
        <f t="shared" si="13"/>
        <v>0.1050372546765808</v>
      </c>
      <c r="AN10" s="62">
        <v>20871071</v>
      </c>
      <c r="AO10" s="62">
        <v>652220.96875</v>
      </c>
      <c r="AP10" s="62">
        <v>18933.5625</v>
      </c>
      <c r="AQ10" s="63">
        <v>2192240</v>
      </c>
      <c r="AR10" s="63">
        <v>886400</v>
      </c>
      <c r="AS10" s="63">
        <v>727432</v>
      </c>
      <c r="AT10" s="63">
        <v>578552</v>
      </c>
      <c r="AU10" s="64">
        <v>65.969918750000005</v>
      </c>
      <c r="AV10" s="64">
        <v>67.878562500000001</v>
      </c>
      <c r="AW10" s="64">
        <v>31.036003124999901</v>
      </c>
      <c r="AX10" s="64">
        <v>38.622875000000001</v>
      </c>
      <c r="AY10" s="64">
        <v>30.1112156249999</v>
      </c>
      <c r="AZ10" s="65">
        <v>6764.04</v>
      </c>
      <c r="BA10" s="65">
        <v>4854.6000000000004</v>
      </c>
      <c r="BB10" s="65">
        <v>6.58</v>
      </c>
      <c r="BC10" s="65">
        <v>23.815999999999999</v>
      </c>
      <c r="BD10">
        <v>32</v>
      </c>
      <c r="BE10" s="33">
        <f t="shared" si="14"/>
        <v>-5.6104958671976402E-8</v>
      </c>
      <c r="BF10" s="33">
        <f t="shared" si="15"/>
        <v>8.4895552568520216E-5</v>
      </c>
      <c r="BG10" s="33">
        <f t="array" ref="BG10">AVERAGE(AL10:AL14/AQ10:AQ14) - AVERAGE(N10:N14/S10:S14)</f>
        <v>4.6568728421458871E-5</v>
      </c>
      <c r="BI10" s="34">
        <f>IF( OR(ISBLANK(N10:N14),ISBLANK(AL10:AL14), ISBLANK(W10:W14),ISBLANK(AU10:AU14)), "·", bdRateExtend( N10:N14,W10:W14, AL10:AL14,AU10:AU14))</f>
        <v>7.9798945003650701E-5</v>
      </c>
      <c r="BJ10" s="34">
        <f>IF( OR(ISBLANK(N10:N14),ISBLANK(AL10:AL14), ISBLANK(X10:X14),ISBLANK(AV10:AV14)), "·", bdRateExtend( N10:N14,X10:X14, AL10:AL14,AV10:AV14))</f>
        <v>7.643264144818751E-5</v>
      </c>
      <c r="BK10" s="34">
        <f>IF( OR(ISBLANK(V10:V14),ISBLANK(AT10:AT14), ISBLANK(Y10:Y14),ISBLANK(AW10:AW14)), "·", bdRateExtend( V10:V14,Y10:Y14, AT10:AT14,AW10:AW14))</f>
        <v>2.8398851677602366E-5</v>
      </c>
      <c r="BL10" s="34">
        <f>IF( OR(ISBLANK(V10:V14),ISBLANK(AT10:AT14), ISBLANK(Z10:Z14),ISBLANK(AX10:AX14)), "·", bdRateExtend( V10:V14,Z10:Z14, AT10:AT14,AX10:AX14))</f>
        <v>3.9243422560675256E-5</v>
      </c>
      <c r="BM10" s="34">
        <f>IF( OR(ISBLANK(V10:V14),ISBLANK(AT10:AT14), ISBLANK(AA10:AA14),ISBLANK(AY10:AY14)), "·", bdRateExtend( V10:V14,AA10:AA14, AT10:AT14,AY10:AY14))</f>
        <v>3.3115752779089291E-5</v>
      </c>
      <c r="BO10" s="34">
        <f>IF( OR(ISBLANK(S10:S14),ISBLANK(AQ10:AQ14), ISBLANK(W10:W14),ISBLANK(AU10:AU14)), "·", bdRateExtend( S10:S14,W10:W14, AQ10:AQ14,AU10:AU14))</f>
        <v>-1.9995846090026248E-6</v>
      </c>
      <c r="BP10" s="34">
        <f>IF( OR(ISBLANK(S10:S14),ISBLANK(AQ10:AQ14), ISBLANK(X10:X14),ISBLANK(AV10:AV14)), "·", bdRateExtend( S10:S14,X10:X14, AQ10:AQ14,AV10:AV14))</f>
        <v>1.2839507441686493E-6</v>
      </c>
      <c r="BQ10" s="34">
        <f>IF( OR(ISBLANK(S10:S14),ISBLANK(AQ10:AQ14), ISBLANK(Y10:Y14),ISBLANK(AW10:AW14)), "·", bdRateExtend( S10:S14,Y10:Y14, AQ10:AQ14,AW10:AW14))</f>
        <v>-3.1233622986848175E-6</v>
      </c>
      <c r="BR10" s="34">
        <f>IF( OR(ISBLANK(S10:S14),ISBLANK(AQ10:AQ14), ISBLANK(Z10:Z14),ISBLANK(AX10:AX14)), "·", bdRateExtend( S10:S14,Z10:Z14, AQ10:AQ14,AX10:AX14))</f>
        <v>5.2401428374260206E-6</v>
      </c>
      <c r="BS10" s="34">
        <f>IF( OR(ISBLANK(S10:S14),ISBLANK(AQ10:AQ14), ISBLANK(AA10:AA14),ISBLANK(AY10:AY14)), "·", bdRateExtend( S10:S14,AA10:AA14, AQ10:AQ14,AY10:AY14))</f>
        <v>-8.6808762045365029E-7</v>
      </c>
      <c r="BU10" s="4">
        <f t="shared" si="17"/>
        <v>0</v>
      </c>
      <c r="BV10" s="4">
        <f t="shared" si="16"/>
        <v>-3.125E-2</v>
      </c>
      <c r="BW10" s="4">
        <f t="shared" si="16"/>
        <v>-3.7499999998544808E-2</v>
      </c>
      <c r="BX10" s="4">
        <f t="shared" si="16"/>
        <v>8</v>
      </c>
      <c r="BY10" s="4">
        <f t="shared" si="16"/>
        <v>56</v>
      </c>
      <c r="BZ10" s="4">
        <f t="shared" si="16"/>
        <v>136</v>
      </c>
      <c r="CA10" s="4">
        <f t="shared" si="16"/>
        <v>56</v>
      </c>
      <c r="CB10" s="4">
        <f t="shared" si="16"/>
        <v>1.875000000950422E-5</v>
      </c>
      <c r="CC10" s="4">
        <f t="shared" si="16"/>
        <v>-3.7500000004797585E-5</v>
      </c>
      <c r="CD10" s="4">
        <f t="shared" si="16"/>
        <v>3.1249998997395778E-6</v>
      </c>
      <c r="CE10" s="4">
        <f t="shared" si="16"/>
        <v>-2.5000000000829914E-5</v>
      </c>
      <c r="CF10" s="4">
        <f t="shared" si="16"/>
        <v>1.5624999900154535E-5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2.7926850000000001</v>
      </c>
      <c r="J11" s="18">
        <f t="shared" si="1"/>
        <v>0.13148937295333007</v>
      </c>
      <c r="K11" s="18">
        <f t="shared" si="2"/>
        <v>8.6264851109405613E-2</v>
      </c>
      <c r="L11" s="18">
        <f t="shared" si="3"/>
        <v>5.4161440214693678E-2</v>
      </c>
      <c r="M11" s="18">
        <f t="shared" si="4"/>
        <v>4.5220284329286847E-2</v>
      </c>
      <c r="N11" s="15">
        <f t="shared" si="5"/>
        <v>1954312</v>
      </c>
      <c r="O11" s="18">
        <f t="shared" si="6"/>
        <v>0.13310842240774146</v>
      </c>
      <c r="P11" s="58">
        <v>22379230</v>
      </c>
      <c r="Q11" s="58">
        <v>699351</v>
      </c>
      <c r="R11" s="58">
        <v>24081.8</v>
      </c>
      <c r="S11" s="59">
        <v>2978864</v>
      </c>
      <c r="T11" s="59">
        <v>1227016</v>
      </c>
      <c r="U11" s="59">
        <v>727296</v>
      </c>
      <c r="V11" s="59">
        <v>1024456</v>
      </c>
      <c r="W11" s="60">
        <v>67.698599999999999</v>
      </c>
      <c r="X11" s="60">
        <v>69.777500000000003</v>
      </c>
      <c r="Y11" s="60">
        <v>32.909599999999998</v>
      </c>
      <c r="Z11" s="60">
        <v>39.656300000000002</v>
      </c>
      <c r="AA11" s="60">
        <v>32.299100000000003</v>
      </c>
      <c r="AB11" s="61">
        <v>2224.2800000000002</v>
      </c>
      <c r="AC11" s="61">
        <v>4845.2700000000004</v>
      </c>
      <c r="AD11" s="61">
        <v>5.0449999999999999</v>
      </c>
      <c r="AE11" s="61">
        <v>22.315999999999999</v>
      </c>
      <c r="AG11" s="17">
        <f t="shared" si="7"/>
        <v>2.7926924999999998</v>
      </c>
      <c r="AH11" s="18">
        <f t="shared" si="8"/>
        <v>0.1314897260795499</v>
      </c>
      <c r="AI11" s="18">
        <f t="shared" si="9"/>
        <v>8.6273326138680884E-2</v>
      </c>
      <c r="AJ11" s="18">
        <f t="shared" si="10"/>
        <v>5.4163912098232299E-2</v>
      </c>
      <c r="AK11" s="18">
        <f t="shared" si="11"/>
        <v>4.5222756212825461E-2</v>
      </c>
      <c r="AL11" s="15">
        <f t="shared" si="12"/>
        <v>1954504</v>
      </c>
      <c r="AM11" s="18">
        <f t="shared" si="13"/>
        <v>0.1331087798820603</v>
      </c>
      <c r="AN11" s="58">
        <v>22379230</v>
      </c>
      <c r="AO11" s="58">
        <v>699350.9375</v>
      </c>
      <c r="AP11" s="58">
        <v>24081.75</v>
      </c>
      <c r="AQ11" s="59">
        <v>2978872</v>
      </c>
      <c r="AR11" s="59">
        <v>1227072</v>
      </c>
      <c r="AS11" s="59">
        <v>727432</v>
      </c>
      <c r="AT11" s="59">
        <v>1024512</v>
      </c>
      <c r="AU11" s="60">
        <v>67.698618749999994</v>
      </c>
      <c r="AV11" s="60">
        <v>69.777518749999999</v>
      </c>
      <c r="AW11" s="60">
        <v>32.909609375000002</v>
      </c>
      <c r="AX11" s="60">
        <v>39.656315624999998</v>
      </c>
      <c r="AY11" s="60">
        <v>32.299137499999901</v>
      </c>
      <c r="AZ11" s="61">
        <v>6724.68</v>
      </c>
      <c r="BA11" s="61">
        <v>5144.04</v>
      </c>
      <c r="BB11" s="61">
        <v>6.76</v>
      </c>
      <c r="BC11" s="61">
        <v>24.771999999999998</v>
      </c>
      <c r="BD11">
        <v>32</v>
      </c>
      <c r="BE11" s="23">
        <f t="shared" si="14"/>
        <v>-6.8417501664086444E-8</v>
      </c>
      <c r="BF11" s="23">
        <f t="shared" si="15"/>
        <v>6.2692027072985823E-5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7"/>
        <v>0</v>
      </c>
      <c r="BV11" s="4">
        <f t="shared" si="16"/>
        <v>-6.25E-2</v>
      </c>
      <c r="BW11" s="4">
        <f t="shared" si="16"/>
        <v>-4.9999999999272404E-2</v>
      </c>
      <c r="BX11" s="4">
        <f t="shared" si="16"/>
        <v>8</v>
      </c>
      <c r="BY11" s="4">
        <f t="shared" si="16"/>
        <v>56</v>
      </c>
      <c r="BZ11" s="4">
        <f t="shared" si="16"/>
        <v>136</v>
      </c>
      <c r="CA11" s="4">
        <f t="shared" si="16"/>
        <v>56</v>
      </c>
      <c r="CB11" s="4">
        <f t="shared" si="16"/>
        <v>1.8749999995293365E-5</v>
      </c>
      <c r="CC11" s="4">
        <f t="shared" si="16"/>
        <v>1.8749999995293365E-5</v>
      </c>
      <c r="CD11" s="4">
        <f t="shared" si="16"/>
        <v>9.3750000047521098E-6</v>
      </c>
      <c r="CE11" s="4">
        <f t="shared" si="16"/>
        <v>1.5624999996077804E-5</v>
      </c>
      <c r="CF11" s="4">
        <f t="shared" si="16"/>
        <v>3.7499999898216174E-5</v>
      </c>
    </row>
    <row r="12" spans="1:84" outlineLevel="1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3.9566625000000002</v>
      </c>
      <c r="J12" s="28">
        <f t="shared" si="1"/>
        <v>0.18629350288806487</v>
      </c>
      <c r="K12" s="28">
        <f t="shared" si="2"/>
        <v>0.10819822687379697</v>
      </c>
      <c r="L12" s="28">
        <f t="shared" si="3"/>
        <v>7.6094815979085045E-2</v>
      </c>
      <c r="M12" s="28">
        <f t="shared" si="4"/>
        <v>7.8091038499630255E-2</v>
      </c>
      <c r="N12" s="25">
        <f t="shared" si="5"/>
        <v>2451208</v>
      </c>
      <c r="O12" s="28">
        <f t="shared" si="6"/>
        <v>0.18578405374815027</v>
      </c>
      <c r="P12" s="62">
        <v>22716912</v>
      </c>
      <c r="Q12" s="62">
        <v>709904</v>
      </c>
      <c r="R12" s="62">
        <v>25579.3</v>
      </c>
      <c r="S12" s="63">
        <v>4220440</v>
      </c>
      <c r="T12" s="63">
        <v>1723912</v>
      </c>
      <c r="U12" s="63">
        <v>727296</v>
      </c>
      <c r="V12" s="63">
        <v>1769136</v>
      </c>
      <c r="W12" s="64">
        <v>69.047799999999995</v>
      </c>
      <c r="X12" s="64">
        <v>71.398099999999999</v>
      </c>
      <c r="Y12" s="64">
        <v>34.942500000000003</v>
      </c>
      <c r="Z12" s="64">
        <v>40.653199999999998</v>
      </c>
      <c r="AA12" s="64">
        <v>34.2119</v>
      </c>
      <c r="AB12" s="65">
        <v>2167.66</v>
      </c>
      <c r="AC12" s="65">
        <v>4591.25</v>
      </c>
      <c r="AD12" s="65">
        <v>4.891</v>
      </c>
      <c r="AE12" s="65">
        <v>21.658000000000001</v>
      </c>
      <c r="AG12" s="27">
        <f t="shared" si="7"/>
        <v>3.9566699999999999</v>
      </c>
      <c r="AH12" s="28">
        <f t="shared" si="8"/>
        <v>0.18629385601428466</v>
      </c>
      <c r="AI12" s="28">
        <f t="shared" si="9"/>
        <v>0.10820670190307224</v>
      </c>
      <c r="AJ12" s="28">
        <f t="shared" si="10"/>
        <v>7.6097287862623667E-2</v>
      </c>
      <c r="AK12" s="28">
        <f t="shared" si="11"/>
        <v>7.8093510383168876E-2</v>
      </c>
      <c r="AL12" s="25">
        <f t="shared" si="12"/>
        <v>2451400</v>
      </c>
      <c r="AM12" s="28">
        <f t="shared" si="13"/>
        <v>0.18578440590869041</v>
      </c>
      <c r="AN12" s="62">
        <v>22716912</v>
      </c>
      <c r="AO12" s="62">
        <v>709903.5</v>
      </c>
      <c r="AP12" s="62">
        <v>25579.28125</v>
      </c>
      <c r="AQ12" s="63">
        <v>4220448</v>
      </c>
      <c r="AR12" s="63">
        <v>1723968</v>
      </c>
      <c r="AS12" s="63">
        <v>727432</v>
      </c>
      <c r="AT12" s="63">
        <v>1769192</v>
      </c>
      <c r="AU12" s="64">
        <v>69.047799999999995</v>
      </c>
      <c r="AV12" s="64">
        <v>71.398093750000001</v>
      </c>
      <c r="AW12" s="64">
        <v>34.942528125000003</v>
      </c>
      <c r="AX12" s="64">
        <v>40.653209374999904</v>
      </c>
      <c r="AY12" s="64">
        <v>34.211896875000001</v>
      </c>
      <c r="AZ12" s="65">
        <v>7837.58</v>
      </c>
      <c r="BA12" s="65">
        <v>5474.32</v>
      </c>
      <c r="BB12" s="65">
        <v>6.8840000000000003</v>
      </c>
      <c r="BC12" s="65">
        <v>25.155999999999999</v>
      </c>
      <c r="BD12">
        <v>32</v>
      </c>
      <c r="BE12" s="33">
        <f t="shared" si="14"/>
        <v>-1.033904580005629E-9</v>
      </c>
      <c r="BF12" s="33">
        <f t="shared" si="15"/>
        <v>4.4391885563710431E-5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7"/>
        <v>0</v>
      </c>
      <c r="BV12" s="4">
        <f t="shared" si="16"/>
        <v>-0.5</v>
      </c>
      <c r="BW12" s="4">
        <f t="shared" si="16"/>
        <v>-1.8749999999272404E-2</v>
      </c>
      <c r="BX12" s="4">
        <f t="shared" si="16"/>
        <v>8</v>
      </c>
      <c r="BY12" s="4">
        <f t="shared" si="16"/>
        <v>56</v>
      </c>
      <c r="BZ12" s="4">
        <f t="shared" si="16"/>
        <v>136</v>
      </c>
      <c r="CA12" s="4">
        <f t="shared" si="16"/>
        <v>56</v>
      </c>
      <c r="CB12" s="4">
        <f t="shared" si="16"/>
        <v>0</v>
      </c>
      <c r="CC12" s="4">
        <f t="shared" si="16"/>
        <v>-6.2499999984311216E-6</v>
      </c>
      <c r="CD12" s="4">
        <f t="shared" si="16"/>
        <v>2.8125000000045475E-5</v>
      </c>
      <c r="CE12" s="4">
        <f t="shared" si="16"/>
        <v>9.3749999052761268E-6</v>
      </c>
      <c r="CF12" s="4">
        <f t="shared" si="16"/>
        <v>-3.1249999992155608E-6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6.4486800000000004</v>
      </c>
      <c r="J13" s="18">
        <f t="shared" si="1"/>
        <v>0.30362639881572062</v>
      </c>
      <c r="K13" s="18">
        <f t="shared" si="2"/>
        <v>0.14838469693979495</v>
      </c>
      <c r="L13" s="18">
        <f t="shared" si="3"/>
        <v>0.116281286045083</v>
      </c>
      <c r="M13" s="18">
        <f t="shared" si="4"/>
        <v>0.15523746436128802</v>
      </c>
      <c r="N13" s="15">
        <f t="shared" si="5"/>
        <v>3361624</v>
      </c>
      <c r="O13" s="18">
        <f t="shared" si="6"/>
        <v>0.29104874905083028</v>
      </c>
      <c r="P13" s="58">
        <v>23633814</v>
      </c>
      <c r="Q13" s="58">
        <v>738557</v>
      </c>
      <c r="R13" s="58">
        <v>29497.8</v>
      </c>
      <c r="S13" s="59">
        <v>6878592</v>
      </c>
      <c r="T13" s="59">
        <v>2634328</v>
      </c>
      <c r="U13" s="59">
        <v>727296</v>
      </c>
      <c r="V13" s="59">
        <v>3516872</v>
      </c>
      <c r="W13" s="60">
        <v>70.054299999999998</v>
      </c>
      <c r="X13" s="60">
        <v>72.591999999999999</v>
      </c>
      <c r="Y13" s="60">
        <v>37.139600000000002</v>
      </c>
      <c r="Z13" s="60">
        <v>41.702199999999998</v>
      </c>
      <c r="AA13" s="60">
        <v>36.228099999999998</v>
      </c>
      <c r="AB13" s="61">
        <v>2256.6799999999998</v>
      </c>
      <c r="AC13" s="61">
        <v>5588.17</v>
      </c>
      <c r="AD13" s="61">
        <v>5.2530000000000001</v>
      </c>
      <c r="AE13" s="61">
        <v>23.143000000000001</v>
      </c>
      <c r="AG13" s="17">
        <f t="shared" si="7"/>
        <v>6.4486875000000001</v>
      </c>
      <c r="AH13" s="18">
        <f t="shared" si="8"/>
        <v>0.30362675194194039</v>
      </c>
      <c r="AI13" s="18">
        <f t="shared" si="9"/>
        <v>0.1483931719690702</v>
      </c>
      <c r="AJ13" s="18">
        <f t="shared" si="10"/>
        <v>0.11628375792862163</v>
      </c>
      <c r="AK13" s="18">
        <f t="shared" si="11"/>
        <v>0.15523993624482665</v>
      </c>
      <c r="AL13" s="15">
        <f t="shared" si="12"/>
        <v>3361816</v>
      </c>
      <c r="AM13" s="18">
        <f t="shared" si="13"/>
        <v>0.29104908754888231</v>
      </c>
      <c r="AN13" s="58">
        <v>23633814</v>
      </c>
      <c r="AO13" s="58">
        <v>738556.6875</v>
      </c>
      <c r="AP13" s="58">
        <v>29497.75</v>
      </c>
      <c r="AQ13" s="59">
        <v>6878600</v>
      </c>
      <c r="AR13" s="59">
        <v>2634384</v>
      </c>
      <c r="AS13" s="59">
        <v>727432</v>
      </c>
      <c r="AT13" s="59">
        <v>3516928</v>
      </c>
      <c r="AU13" s="60">
        <v>70.054337500000003</v>
      </c>
      <c r="AV13" s="60">
        <v>72.592015625000002</v>
      </c>
      <c r="AW13" s="60">
        <v>37.139621874999897</v>
      </c>
      <c r="AX13" s="60">
        <v>41.702190625</v>
      </c>
      <c r="AY13" s="60">
        <v>36.228109375000003</v>
      </c>
      <c r="AZ13" s="61">
        <v>7856.88</v>
      </c>
      <c r="BA13" s="61">
        <v>5936.53</v>
      </c>
      <c r="BB13" s="61">
        <v>6.0519999999999996</v>
      </c>
      <c r="BC13" s="61">
        <v>22.532</v>
      </c>
      <c r="BD13">
        <v>32</v>
      </c>
      <c r="BE13" s="23">
        <f t="shared" si="14"/>
        <v>-5.0800190581901106E-8</v>
      </c>
      <c r="BF13" s="23">
        <f t="shared" si="15"/>
        <v>2.7344275690732722E-5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7"/>
        <v>0</v>
      </c>
      <c r="BV13" s="4">
        <f t="shared" si="16"/>
        <v>-0.3125</v>
      </c>
      <c r="BW13" s="4">
        <f t="shared" si="16"/>
        <v>-4.9999999999272404E-2</v>
      </c>
      <c r="BX13" s="4">
        <f t="shared" si="16"/>
        <v>8</v>
      </c>
      <c r="BY13" s="4">
        <f t="shared" si="16"/>
        <v>56</v>
      </c>
      <c r="BZ13" s="4">
        <f t="shared" si="16"/>
        <v>136</v>
      </c>
      <c r="CA13" s="4">
        <f t="shared" si="16"/>
        <v>56</v>
      </c>
      <c r="CB13" s="4">
        <f t="shared" si="16"/>
        <v>3.7500000004797585E-5</v>
      </c>
      <c r="CC13" s="4">
        <f t="shared" si="16"/>
        <v>1.5625000003183231E-5</v>
      </c>
      <c r="CD13" s="4">
        <f t="shared" si="16"/>
        <v>2.1874999895032943E-5</v>
      </c>
      <c r="CE13" s="4">
        <f t="shared" si="16"/>
        <v>-9.3749999976466825E-6</v>
      </c>
      <c r="CF13" s="4">
        <f t="shared" si="16"/>
        <v>9.3750000047521098E-6</v>
      </c>
    </row>
    <row r="14" spans="1:84" ht="15.75" outlineLevel="1" thickBot="1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13.090125</v>
      </c>
      <c r="J14" s="48">
        <f t="shared" si="1"/>
        <v>0.61632884773281271</v>
      </c>
      <c r="K14" s="48">
        <f t="shared" si="2"/>
        <v>0.24839710491234326</v>
      </c>
      <c r="L14" s="48">
        <f t="shared" si="3"/>
        <v>0.18634188118017783</v>
      </c>
      <c r="M14" s="48">
        <f t="shared" si="4"/>
        <v>0.36792750530583179</v>
      </c>
      <c r="N14" s="45">
        <f t="shared" si="5"/>
        <v>5627384</v>
      </c>
      <c r="O14" s="48">
        <f t="shared" si="6"/>
        <v>0.62316068341127229</v>
      </c>
      <c r="P14" s="70">
        <v>22406420</v>
      </c>
      <c r="Q14" s="70">
        <v>700201</v>
      </c>
      <c r="R14" s="70">
        <v>13452.6</v>
      </c>
      <c r="S14" s="71">
        <v>13962800</v>
      </c>
      <c r="T14" s="71">
        <v>4221536</v>
      </c>
      <c r="U14" s="71">
        <v>1405848</v>
      </c>
      <c r="V14" s="71">
        <v>8335320</v>
      </c>
      <c r="W14" s="72">
        <v>71.156099999999995</v>
      </c>
      <c r="X14" s="72">
        <v>74.731700000000004</v>
      </c>
      <c r="Y14" s="72">
        <v>39.604900000000001</v>
      </c>
      <c r="Z14" s="72">
        <v>43.019599999999997</v>
      </c>
      <c r="AA14" s="72">
        <v>38.466500000000003</v>
      </c>
      <c r="AB14" s="73">
        <v>2136.5700000000002</v>
      </c>
      <c r="AC14" s="73">
        <v>5388.19</v>
      </c>
      <c r="AD14" s="73">
        <v>4.7930000000000001</v>
      </c>
      <c r="AE14" s="73">
        <v>22.946999999999999</v>
      </c>
      <c r="AG14" s="47">
        <f t="shared" si="7"/>
        <v>13.090132499999999</v>
      </c>
      <c r="AH14" s="48">
        <f t="shared" si="8"/>
        <v>0.61632920085903253</v>
      </c>
      <c r="AI14" s="48">
        <f t="shared" si="9"/>
        <v>0.24840557994161852</v>
      </c>
      <c r="AJ14" s="48">
        <f t="shared" si="10"/>
        <v>0.18634435306371647</v>
      </c>
      <c r="AK14" s="48">
        <f t="shared" si="11"/>
        <v>0.36792997718937043</v>
      </c>
      <c r="AL14" s="45">
        <f t="shared" si="12"/>
        <v>5627576</v>
      </c>
      <c r="AM14" s="48">
        <f t="shared" si="13"/>
        <v>0.6231610404517991</v>
      </c>
      <c r="AN14" s="70">
        <v>22406420</v>
      </c>
      <c r="AO14" s="70">
        <v>700200.625</v>
      </c>
      <c r="AP14" s="70">
        <v>13452.625</v>
      </c>
      <c r="AQ14" s="71">
        <v>13962808</v>
      </c>
      <c r="AR14" s="71">
        <v>4221592</v>
      </c>
      <c r="AS14" s="71">
        <v>1405984</v>
      </c>
      <c r="AT14" s="71">
        <v>8335376</v>
      </c>
      <c r="AU14" s="72">
        <v>71.156053125</v>
      </c>
      <c r="AV14" s="72">
        <v>74.731656249999901</v>
      </c>
      <c r="AW14" s="72">
        <v>39.604943749999997</v>
      </c>
      <c r="AX14" s="72">
        <v>43.019550000000002</v>
      </c>
      <c r="AY14" s="72">
        <v>38.466506249999902</v>
      </c>
      <c r="AZ14" s="73">
        <v>7854.54</v>
      </c>
      <c r="BA14" s="73">
        <v>6741.86</v>
      </c>
      <c r="BB14" s="73">
        <v>6.016</v>
      </c>
      <c r="BC14" s="73">
        <v>24.536000000000001</v>
      </c>
      <c r="BD14">
        <v>32</v>
      </c>
      <c r="BE14" s="53">
        <f t="shared" si="14"/>
        <v>4.5993505400077073E-8</v>
      </c>
      <c r="BF14" s="53">
        <f t="shared" si="15"/>
        <v>1.3519901211789254E-5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7"/>
        <v>0</v>
      </c>
      <c r="BV14" s="4">
        <f t="shared" si="16"/>
        <v>-0.375</v>
      </c>
      <c r="BW14" s="4">
        <f t="shared" si="16"/>
        <v>2.4999999999636202E-2</v>
      </c>
      <c r="BX14" s="4">
        <f t="shared" si="16"/>
        <v>8</v>
      </c>
      <c r="BY14" s="4">
        <f t="shared" si="16"/>
        <v>56</v>
      </c>
      <c r="BZ14" s="4">
        <f t="shared" si="16"/>
        <v>136</v>
      </c>
      <c r="CA14" s="4">
        <f t="shared" si="16"/>
        <v>56</v>
      </c>
      <c r="CB14" s="4">
        <f t="shared" si="16"/>
        <v>-4.687499999533884E-5</v>
      </c>
      <c r="CC14" s="4">
        <f t="shared" si="16"/>
        <v>-4.3750000102704689E-5</v>
      </c>
      <c r="CD14" s="4">
        <f t="shared" si="16"/>
        <v>4.3749999996123279E-5</v>
      </c>
      <c r="CE14" s="4">
        <f t="shared" si="16"/>
        <v>-4.99999999945544E-5</v>
      </c>
      <c r="CF14" s="4">
        <f t="shared" si="16"/>
        <v>6.2499998989551386E-6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1.902555</v>
      </c>
      <c r="J15" s="18">
        <f t="shared" si="1"/>
        <v>5.9779923940690212E-2</v>
      </c>
      <c r="K15" s="18">
        <f t="shared" si="2"/>
        <v>4.922958297226341E-2</v>
      </c>
      <c r="L15" s="18">
        <f t="shared" si="3"/>
        <v>2.5807684628463098E-2</v>
      </c>
      <c r="M15" s="18">
        <f t="shared" si="4"/>
        <v>1.0547513090570624E-2</v>
      </c>
      <c r="N15" s="15">
        <f t="shared" si="5"/>
        <v>1671232</v>
      </c>
      <c r="O15" s="18">
        <f t="shared" si="6"/>
        <v>6.2234765586007761E-2</v>
      </c>
      <c r="P15" s="58">
        <v>32608655</v>
      </c>
      <c r="Q15" s="58">
        <v>1019020</v>
      </c>
      <c r="R15" s="58">
        <v>33932.400000000001</v>
      </c>
      <c r="S15" s="59">
        <v>2029392</v>
      </c>
      <c r="T15" s="59">
        <v>876112</v>
      </c>
      <c r="U15" s="59">
        <v>795120</v>
      </c>
      <c r="V15" s="59">
        <v>358064</v>
      </c>
      <c r="W15" s="60">
        <v>66.343000000000004</v>
      </c>
      <c r="X15" s="60">
        <v>67.898200000000003</v>
      </c>
      <c r="Y15" s="60">
        <v>29.3186</v>
      </c>
      <c r="Z15" s="60">
        <v>43.358400000000003</v>
      </c>
      <c r="AA15" s="60">
        <v>43.505400000000002</v>
      </c>
      <c r="AB15" s="61">
        <v>3361.88</v>
      </c>
      <c r="AC15" s="61">
        <v>4330.8</v>
      </c>
      <c r="AD15" s="61">
        <v>7.093</v>
      </c>
      <c r="AE15" s="61">
        <v>24.048999999999999</v>
      </c>
      <c r="AG15" s="17">
        <f t="shared" si="7"/>
        <v>1.9025624999999999</v>
      </c>
      <c r="AH15" s="18">
        <f t="shared" si="8"/>
        <v>5.9780159597178223E-2</v>
      </c>
      <c r="AI15" s="18">
        <f t="shared" si="9"/>
        <v>4.9235238727975764E-2</v>
      </c>
      <c r="AJ15" s="18">
        <f t="shared" si="10"/>
        <v>2.5809334223879203E-2</v>
      </c>
      <c r="AK15" s="18">
        <f t="shared" si="11"/>
        <v>1.0549162685986728E-2</v>
      </c>
      <c r="AL15" s="15">
        <f t="shared" si="12"/>
        <v>1671424</v>
      </c>
      <c r="AM15" s="18">
        <f t="shared" si="13"/>
        <v>6.2235010919646949E-2</v>
      </c>
      <c r="AN15" s="58">
        <v>32608655</v>
      </c>
      <c r="AO15" s="58">
        <v>1019020.46875</v>
      </c>
      <c r="AP15" s="58">
        <v>33932.375</v>
      </c>
      <c r="AQ15" s="59">
        <v>2029400</v>
      </c>
      <c r="AR15" s="59">
        <v>876168</v>
      </c>
      <c r="AS15" s="59">
        <v>795256</v>
      </c>
      <c r="AT15" s="59">
        <v>358120</v>
      </c>
      <c r="AU15" s="60">
        <v>66.342974999999996</v>
      </c>
      <c r="AV15" s="60">
        <v>67.898153124999993</v>
      </c>
      <c r="AW15" s="60">
        <v>29.318606249999998</v>
      </c>
      <c r="AX15" s="60">
        <v>43.358424999999997</v>
      </c>
      <c r="AY15" s="60">
        <v>43.505356249999998</v>
      </c>
      <c r="AZ15" s="61">
        <v>11719.1</v>
      </c>
      <c r="BA15" s="61">
        <v>4653.08</v>
      </c>
      <c r="BB15" s="61">
        <v>9.66</v>
      </c>
      <c r="BC15" s="61">
        <v>27.14</v>
      </c>
      <c r="BD15">
        <v>32</v>
      </c>
      <c r="BE15" s="23">
        <f t="shared" si="14"/>
        <v>-3.9850946945141352E-8</v>
      </c>
      <c r="BF15" s="23">
        <f t="shared" si="15"/>
        <v>9.1362910639603001E-5</v>
      </c>
      <c r="BG15" s="23">
        <f t="array" ref="BG15">AVERAGE(AL15:AL19/AQ15:AQ19) - AVERAGE(N15:N19/S15:S19)</f>
        <v>5.0990794579708343E-5</v>
      </c>
      <c r="BI15" s="24">
        <f>IF( OR(ISBLANK(N15:N19),ISBLANK(AL15:AL19), ISBLANK(W15:W19),ISBLANK(AU15:AU19)), "·", bdRateExtend( N15:N19,W15:W19, AL15:AL19,AU15:AU19))</f>
        <v>9.1186693443212619E-5</v>
      </c>
      <c r="BJ15" s="24">
        <f>IF( OR(ISBLANK(N15:N19),ISBLANK(AL15:AL19), ISBLANK(X15:X19),ISBLANK(AV15:AV19)), "·", bdRateExtend( N15:N19,X15:X19, AL15:AL19,AV15:AV19))</f>
        <v>7.95953702370511E-5</v>
      </c>
      <c r="BK15" s="24">
        <f>IF( OR(ISBLANK(V15:V19),ISBLANK(AT15:AT19), ISBLANK(Y15:Y19),ISBLANK(AW15:AW19)), "·", bdRateExtend( V15:V19,Y15:Y19, AT15:AT19,AW15:AW19))</f>
        <v>5.1409777505950771E-5</v>
      </c>
      <c r="BL15" s="24">
        <f>IF( OR(ISBLANK(V15:V19),ISBLANK(AT15:AT19), ISBLANK(Z15:Z19),ISBLANK(AX15:AX19)), "·", bdRateExtend( V15:V19,Z15:Z19, AT15:AT19,AX15:AX19))</f>
        <v>3.435198104950743E-5</v>
      </c>
      <c r="BM15" s="24">
        <f>IF( OR(ISBLANK(V15:V19),ISBLANK(AT15:AT19), ISBLANK(AA15:AA19),ISBLANK(AY15:AY19)), "·", bdRateExtend( V15:V19,AA15:AA19, AT15:AT19,AY15:AY19))</f>
        <v>5.0267278885796074E-5</v>
      </c>
      <c r="BO15" s="24">
        <f>IF( OR(ISBLANK(S15:S19),ISBLANK(AQ15:AQ19), ISBLANK(W15:W19),ISBLANK(AU15:AU19)), "·", bdRateExtend( S15:S19,W15:W19, AQ15:AQ19,AU15:AU19))</f>
        <v>1.4056362992675986E-5</v>
      </c>
      <c r="BP15" s="24">
        <f>IF( OR(ISBLANK(S15:S19),ISBLANK(AQ15:AQ19), ISBLANK(X15:X19),ISBLANK(AV15:AV19)), "·", bdRateExtend( S15:S19,X15:X19, AQ15:AQ19,AV15:AV19))</f>
        <v>1.7030897776493248E-6</v>
      </c>
      <c r="BQ15" s="24">
        <f>IF( OR(ISBLANK(S15:S19),ISBLANK(AQ15:AQ19), ISBLANK(Y15:Y19),ISBLANK(AW15:AW19)), "·", bdRateExtend( S15:S19,Y15:Y19, AQ15:AQ19,AW15:AW19))</f>
        <v>-7.1134423240692968E-8</v>
      </c>
      <c r="BR15" s="24">
        <f>IF( OR(ISBLANK(S15:S19),ISBLANK(AQ15:AQ19), ISBLANK(Z15:Z19),ISBLANK(AX15:AX19)), "·", bdRateExtend( S15:S19,Z15:Z19, AQ15:AQ19,AX15:AX19))</f>
        <v>-1.1583753802835162E-6</v>
      </c>
      <c r="BS15" s="24">
        <f>IF( OR(ISBLANK(S15:S19),ISBLANK(AQ15:AQ19), ISBLANK(AA15:AA19),ISBLANK(AY15:AY19)), "·", bdRateExtend( S15:S19,AA15:AA19, AQ15:AQ19,AY15:AY19))</f>
        <v>4.5408828954762726E-6</v>
      </c>
      <c r="BU15" s="4">
        <f t="shared" si="17"/>
        <v>0</v>
      </c>
      <c r="BV15" s="4">
        <f t="shared" si="16"/>
        <v>0.46875</v>
      </c>
      <c r="BW15" s="4">
        <f t="shared" si="16"/>
        <v>-2.5000000001455192E-2</v>
      </c>
      <c r="BX15" s="4">
        <f t="shared" si="16"/>
        <v>8</v>
      </c>
      <c r="BY15" s="4">
        <f t="shared" si="16"/>
        <v>56</v>
      </c>
      <c r="BZ15" s="4">
        <f t="shared" si="16"/>
        <v>136</v>
      </c>
      <c r="CA15" s="4">
        <f t="shared" si="16"/>
        <v>56</v>
      </c>
      <c r="CB15" s="4">
        <f t="shared" si="16"/>
        <v>-2.5000000007935341E-5</v>
      </c>
      <c r="CC15" s="4">
        <f t="shared" si="16"/>
        <v>-4.6875000009549694E-5</v>
      </c>
      <c r="CD15" s="4">
        <f t="shared" si="16"/>
        <v>6.2499999984311216E-6</v>
      </c>
      <c r="CE15" s="4">
        <f t="shared" si="16"/>
        <v>2.4999999993724487E-5</v>
      </c>
      <c r="CF15" s="4">
        <f t="shared" si="16"/>
        <v>-4.3750000003228706E-5</v>
      </c>
    </row>
    <row r="16" spans="1:84" outlineLevel="1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2.4427349999999999</v>
      </c>
      <c r="J16" s="28">
        <f t="shared" si="1"/>
        <v>7.6752846833474928E-2</v>
      </c>
      <c r="K16" s="28">
        <f t="shared" si="2"/>
        <v>5.7445746426902686E-2</v>
      </c>
      <c r="L16" s="28">
        <f t="shared" si="3"/>
        <v>3.4023848083102375E-2</v>
      </c>
      <c r="M16" s="28">
        <f t="shared" si="4"/>
        <v>1.9304272528716068E-2</v>
      </c>
      <c r="N16" s="25">
        <f t="shared" si="5"/>
        <v>1950152</v>
      </c>
      <c r="O16" s="28">
        <f t="shared" si="6"/>
        <v>7.6399884895137465E-2</v>
      </c>
      <c r="P16" s="62">
        <v>34104554</v>
      </c>
      <c r="Q16" s="62">
        <v>1065770</v>
      </c>
      <c r="R16" s="62">
        <v>39391.300000000003</v>
      </c>
      <c r="S16" s="63">
        <v>2605584</v>
      </c>
      <c r="T16" s="63">
        <v>1155032</v>
      </c>
      <c r="U16" s="63">
        <v>795120</v>
      </c>
      <c r="V16" s="63">
        <v>655336</v>
      </c>
      <c r="W16" s="64">
        <v>68.094200000000001</v>
      </c>
      <c r="X16" s="64">
        <v>70.090299999999999</v>
      </c>
      <c r="Y16" s="64">
        <v>31.732800000000001</v>
      </c>
      <c r="Z16" s="64">
        <v>43.915599999999998</v>
      </c>
      <c r="AA16" s="64">
        <v>44.425899999999999</v>
      </c>
      <c r="AB16" s="65">
        <v>3373.47</v>
      </c>
      <c r="AC16" s="65">
        <v>4647.45</v>
      </c>
      <c r="AD16" s="65">
        <v>7.6440000000000001</v>
      </c>
      <c r="AE16" s="65">
        <v>24.859000000000002</v>
      </c>
      <c r="AG16" s="27">
        <f t="shared" si="7"/>
        <v>2.4427425</v>
      </c>
      <c r="AH16" s="28">
        <f t="shared" si="8"/>
        <v>7.6753082489962945E-2</v>
      </c>
      <c r="AI16" s="28">
        <f t="shared" si="9"/>
        <v>5.7451402182615047E-2</v>
      </c>
      <c r="AJ16" s="28">
        <f t="shared" si="10"/>
        <v>3.4025497678518479E-2</v>
      </c>
      <c r="AK16" s="28">
        <f t="shared" si="11"/>
        <v>1.9305922124132173E-2</v>
      </c>
      <c r="AL16" s="25">
        <f t="shared" si="12"/>
        <v>1950344</v>
      </c>
      <c r="AM16" s="28">
        <f t="shared" si="13"/>
        <v>7.6400119467916222E-2</v>
      </c>
      <c r="AN16" s="62">
        <v>34104554</v>
      </c>
      <c r="AO16" s="62">
        <v>1065767.3125</v>
      </c>
      <c r="AP16" s="62">
        <v>39391.28125</v>
      </c>
      <c r="AQ16" s="63">
        <v>2605592</v>
      </c>
      <c r="AR16" s="63">
        <v>1155088</v>
      </c>
      <c r="AS16" s="63">
        <v>795256</v>
      </c>
      <c r="AT16" s="63">
        <v>655392</v>
      </c>
      <c r="AU16" s="64">
        <v>68.094181249999906</v>
      </c>
      <c r="AV16" s="64">
        <v>70.090278124999898</v>
      </c>
      <c r="AW16" s="64">
        <v>31.73281875</v>
      </c>
      <c r="AX16" s="64">
        <v>43.915612500000002</v>
      </c>
      <c r="AY16" s="64">
        <v>44.425890625000001</v>
      </c>
      <c r="AZ16" s="65">
        <v>11735.3</v>
      </c>
      <c r="BA16" s="65">
        <v>4953.24</v>
      </c>
      <c r="BB16" s="65">
        <v>10.08</v>
      </c>
      <c r="BC16" s="65">
        <v>28.696000000000002</v>
      </c>
      <c r="BD16">
        <v>32</v>
      </c>
      <c r="BE16" s="33">
        <f t="shared" si="14"/>
        <v>7.5608540997529339E-8</v>
      </c>
      <c r="BF16" s="33">
        <f t="shared" si="15"/>
        <v>7.1389684896061567E-5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7"/>
        <v>0</v>
      </c>
      <c r="BV16" s="4">
        <f t="shared" si="16"/>
        <v>-2.6875</v>
      </c>
      <c r="BW16" s="4">
        <f t="shared" si="16"/>
        <v>-1.8750000002910383E-2</v>
      </c>
      <c r="BX16" s="4">
        <f t="shared" si="16"/>
        <v>8</v>
      </c>
      <c r="BY16" s="4">
        <f t="shared" si="16"/>
        <v>56</v>
      </c>
      <c r="BZ16" s="4">
        <f t="shared" si="16"/>
        <v>136</v>
      </c>
      <c r="CA16" s="4">
        <f t="shared" si="16"/>
        <v>56</v>
      </c>
      <c r="CB16" s="4">
        <f t="shared" si="16"/>
        <v>-1.8750000094769348E-5</v>
      </c>
      <c r="CC16" s="4">
        <f t="shared" si="16"/>
        <v>-2.1875000101090336E-5</v>
      </c>
      <c r="CD16" s="4">
        <f t="shared" si="16"/>
        <v>1.8749999998846079E-5</v>
      </c>
      <c r="CE16" s="4">
        <f t="shared" si="16"/>
        <v>1.2500000003967671E-5</v>
      </c>
      <c r="CF16" s="4">
        <f t="shared" si="16"/>
        <v>-9.3749999976466825E-6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3.4026299999999998</v>
      </c>
      <c r="J17" s="18">
        <f t="shared" si="1"/>
        <v>0.10691357810854915</v>
      </c>
      <c r="K17" s="18">
        <f t="shared" si="2"/>
        <v>6.7353687809000889E-2</v>
      </c>
      <c r="L17" s="18">
        <f t="shared" si="3"/>
        <v>4.3931789465200578E-2</v>
      </c>
      <c r="M17" s="18">
        <f t="shared" si="4"/>
        <v>3.9557062421692088E-2</v>
      </c>
      <c r="N17" s="15">
        <f t="shared" si="5"/>
        <v>2286504</v>
      </c>
      <c r="O17" s="18">
        <f t="shared" si="6"/>
        <v>0.10600142372152302</v>
      </c>
      <c r="P17" s="58">
        <v>34239842</v>
      </c>
      <c r="Q17" s="58">
        <v>1070000</v>
      </c>
      <c r="R17" s="58">
        <v>40498.199999999997</v>
      </c>
      <c r="S17" s="59">
        <v>3629472</v>
      </c>
      <c r="T17" s="59">
        <v>1491384</v>
      </c>
      <c r="U17" s="59">
        <v>795120</v>
      </c>
      <c r="V17" s="59">
        <v>1342872</v>
      </c>
      <c r="W17" s="60">
        <v>69.468400000000003</v>
      </c>
      <c r="X17" s="60">
        <v>71.867199999999997</v>
      </c>
      <c r="Y17" s="60">
        <v>34.163899999999998</v>
      </c>
      <c r="Z17" s="60">
        <v>45.2532</v>
      </c>
      <c r="AA17" s="60">
        <v>45.706000000000003</v>
      </c>
      <c r="AB17" s="61">
        <v>3107.39</v>
      </c>
      <c r="AC17" s="61">
        <v>4492.3999999999996</v>
      </c>
      <c r="AD17" s="61">
        <v>7.2670000000000003</v>
      </c>
      <c r="AE17" s="61">
        <v>23.920999999999999</v>
      </c>
      <c r="AG17" s="17">
        <f t="shared" si="7"/>
        <v>3.4026375</v>
      </c>
      <c r="AH17" s="18">
        <f t="shared" si="8"/>
        <v>0.10691381376503717</v>
      </c>
      <c r="AI17" s="18">
        <f t="shared" si="9"/>
        <v>6.735934356471325E-2</v>
      </c>
      <c r="AJ17" s="18">
        <f t="shared" si="10"/>
        <v>4.3933439060616683E-2</v>
      </c>
      <c r="AK17" s="18">
        <f t="shared" si="11"/>
        <v>3.9558712017108193E-2</v>
      </c>
      <c r="AL17" s="15">
        <f t="shared" si="12"/>
        <v>2286696</v>
      </c>
      <c r="AM17" s="18">
        <f t="shared" si="13"/>
        <v>0.10600165736746098</v>
      </c>
      <c r="AN17" s="58">
        <v>34239842</v>
      </c>
      <c r="AO17" s="58">
        <v>1069995.0625</v>
      </c>
      <c r="AP17" s="58">
        <v>40498.25</v>
      </c>
      <c r="AQ17" s="59">
        <v>3629480</v>
      </c>
      <c r="AR17" s="59">
        <v>1491440</v>
      </c>
      <c r="AS17" s="59">
        <v>795256</v>
      </c>
      <c r="AT17" s="59">
        <v>1342928</v>
      </c>
      <c r="AU17" s="60">
        <v>69.468378125000001</v>
      </c>
      <c r="AV17" s="60">
        <v>71.867181250000002</v>
      </c>
      <c r="AW17" s="60">
        <v>34.163890625000001</v>
      </c>
      <c r="AX17" s="60">
        <v>45.253209374999997</v>
      </c>
      <c r="AY17" s="60">
        <v>45.705962499999998</v>
      </c>
      <c r="AZ17" s="61">
        <v>11133.9</v>
      </c>
      <c r="BA17" s="61">
        <v>5312.52</v>
      </c>
      <c r="BB17" s="61">
        <v>10.116</v>
      </c>
      <c r="BC17" s="61">
        <v>29.187999999999999</v>
      </c>
      <c r="BD17">
        <v>32</v>
      </c>
      <c r="BE17" s="23">
        <f t="shared" si="14"/>
        <v>2.2138268154087148E-7</v>
      </c>
      <c r="BF17" s="23">
        <f t="shared" si="15"/>
        <v>5.1511549769234222E-5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7"/>
        <v>0</v>
      </c>
      <c r="BV17" s="4">
        <f t="shared" si="16"/>
        <v>-4.9375</v>
      </c>
      <c r="BW17" s="4">
        <f t="shared" si="16"/>
        <v>5.0000000002910383E-2</v>
      </c>
      <c r="BX17" s="4">
        <f t="shared" si="16"/>
        <v>8</v>
      </c>
      <c r="BY17" s="4">
        <f t="shared" si="16"/>
        <v>56</v>
      </c>
      <c r="BZ17" s="4">
        <f t="shared" si="16"/>
        <v>136</v>
      </c>
      <c r="CA17" s="4">
        <f t="shared" si="16"/>
        <v>56</v>
      </c>
      <c r="CB17" s="4">
        <f t="shared" si="16"/>
        <v>-2.1875000001614353E-5</v>
      </c>
      <c r="CC17" s="4">
        <f t="shared" si="16"/>
        <v>-1.8749999995293365E-5</v>
      </c>
      <c r="CD17" s="4">
        <f t="shared" si="16"/>
        <v>-9.3749999976466825E-6</v>
      </c>
      <c r="CE17" s="4">
        <f t="shared" si="16"/>
        <v>9.3749999976466825E-6</v>
      </c>
      <c r="CF17" s="4">
        <f t="shared" si="16"/>
        <v>-3.7500000004797585E-5</v>
      </c>
    </row>
    <row r="18" spans="1:84" outlineLevel="1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6.1873950000000004</v>
      </c>
      <c r="J18" s="28">
        <f t="shared" si="1"/>
        <v>0.1944133034214553</v>
      </c>
      <c r="K18" s="28">
        <f t="shared" si="2"/>
        <v>9.5223602364082324E-2</v>
      </c>
      <c r="L18" s="28">
        <f t="shared" si="3"/>
        <v>7.1801704020282006E-2</v>
      </c>
      <c r="M18" s="28">
        <f t="shared" si="4"/>
        <v>9.9186873179516813E-2</v>
      </c>
      <c r="N18" s="25">
        <f t="shared" si="5"/>
        <v>3232624</v>
      </c>
      <c r="O18" s="28">
        <f t="shared" si="6"/>
        <v>0.18559803429223717</v>
      </c>
      <c r="P18" s="62">
        <v>35560118</v>
      </c>
      <c r="Q18" s="62">
        <v>1111250</v>
      </c>
      <c r="R18" s="62">
        <v>45639.4</v>
      </c>
      <c r="S18" s="63">
        <v>6599888</v>
      </c>
      <c r="T18" s="63">
        <v>2437504</v>
      </c>
      <c r="U18" s="63">
        <v>795120</v>
      </c>
      <c r="V18" s="63">
        <v>3367168</v>
      </c>
      <c r="W18" s="64">
        <v>70.493300000000005</v>
      </c>
      <c r="X18" s="64">
        <v>73.121399999999994</v>
      </c>
      <c r="Y18" s="64">
        <v>36.525100000000002</v>
      </c>
      <c r="Z18" s="64">
        <v>46.468600000000002</v>
      </c>
      <c r="AA18" s="64">
        <v>46.962000000000003</v>
      </c>
      <c r="AB18" s="65">
        <v>3889.29</v>
      </c>
      <c r="AC18" s="65">
        <v>6272.35</v>
      </c>
      <c r="AD18" s="65">
        <v>8.8360000000000003</v>
      </c>
      <c r="AE18" s="65">
        <v>29.167999999999999</v>
      </c>
      <c r="AG18" s="27">
        <f t="shared" si="7"/>
        <v>6.1874025000000001</v>
      </c>
      <c r="AH18" s="28">
        <f t="shared" si="8"/>
        <v>0.19441353907794331</v>
      </c>
      <c r="AI18" s="28">
        <f t="shared" si="9"/>
        <v>9.5229258119794685E-2</v>
      </c>
      <c r="AJ18" s="28">
        <f t="shared" si="10"/>
        <v>7.1803353615698118E-2</v>
      </c>
      <c r="AK18" s="28">
        <f t="shared" si="11"/>
        <v>9.9188522774932911E-2</v>
      </c>
      <c r="AL18" s="25">
        <f t="shared" si="12"/>
        <v>3232816</v>
      </c>
      <c r="AM18" s="28">
        <f t="shared" si="13"/>
        <v>0.18559825926336915</v>
      </c>
      <c r="AN18" s="62">
        <v>35560118</v>
      </c>
      <c r="AO18" s="62">
        <v>1111253.6875</v>
      </c>
      <c r="AP18" s="62">
        <v>45639.40625</v>
      </c>
      <c r="AQ18" s="63">
        <v>6599896</v>
      </c>
      <c r="AR18" s="63">
        <v>2437560</v>
      </c>
      <c r="AS18" s="63">
        <v>795256</v>
      </c>
      <c r="AT18" s="63">
        <v>3367224</v>
      </c>
      <c r="AU18" s="64">
        <v>70.4932625</v>
      </c>
      <c r="AV18" s="64">
        <v>73.121421874999996</v>
      </c>
      <c r="AW18" s="64">
        <v>36.5251375</v>
      </c>
      <c r="AX18" s="64">
        <v>46.468596875000003</v>
      </c>
      <c r="AY18" s="64">
        <v>46.962015624999999</v>
      </c>
      <c r="AZ18" s="65">
        <v>11686.1</v>
      </c>
      <c r="BA18" s="65">
        <v>5855.42</v>
      </c>
      <c r="BB18" s="65">
        <v>10.14</v>
      </c>
      <c r="BC18" s="65">
        <v>29.812000000000001</v>
      </c>
      <c r="BD18">
        <v>32</v>
      </c>
      <c r="BE18" s="33">
        <f t="shared" si="14"/>
        <v>-1.3066037893305626E-7</v>
      </c>
      <c r="BF18" s="33">
        <f t="shared" si="15"/>
        <v>2.8497661385129547E-5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7"/>
        <v>0</v>
      </c>
      <c r="BV18" s="4">
        <f t="shared" si="16"/>
        <v>3.6875</v>
      </c>
      <c r="BW18" s="4">
        <f t="shared" si="16"/>
        <v>6.2499999985448085E-3</v>
      </c>
      <c r="BX18" s="4">
        <f t="shared" si="16"/>
        <v>8</v>
      </c>
      <c r="BY18" s="4">
        <f t="shared" si="16"/>
        <v>56</v>
      </c>
      <c r="BZ18" s="4">
        <f t="shared" si="16"/>
        <v>136</v>
      </c>
      <c r="CA18" s="4">
        <f t="shared" si="16"/>
        <v>56</v>
      </c>
      <c r="CB18" s="4">
        <f t="shared" si="16"/>
        <v>-3.7500000004797585E-5</v>
      </c>
      <c r="CC18" s="4">
        <f t="shared" si="16"/>
        <v>2.1875000001614353E-5</v>
      </c>
      <c r="CD18" s="4">
        <f t="shared" si="16"/>
        <v>3.7499999997692157E-5</v>
      </c>
      <c r="CE18" s="4">
        <f t="shared" si="16"/>
        <v>-3.1249999992155608E-6</v>
      </c>
      <c r="CF18" s="4">
        <f t="shared" si="16"/>
        <v>1.5624999996077804E-5</v>
      </c>
    </row>
    <row r="19" spans="1:84" ht="15.75" outlineLevel="1" thickBot="1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14.540940000000001</v>
      </c>
      <c r="J19" s="38">
        <f t="shared" si="1"/>
        <v>0.4568889137113723</v>
      </c>
      <c r="K19" s="38">
        <f t="shared" si="2"/>
        <v>0.16535426622785071</v>
      </c>
      <c r="L19" s="38">
        <f t="shared" si="3"/>
        <v>0.1167020416512238</v>
      </c>
      <c r="M19" s="38">
        <f t="shared" si="4"/>
        <v>0.29153181960566538</v>
      </c>
      <c r="N19" s="35">
        <f t="shared" si="5"/>
        <v>5613400</v>
      </c>
      <c r="O19" s="38">
        <f t="shared" si="6"/>
        <v>0.46137573075231081</v>
      </c>
      <c r="P19" s="66">
        <v>33617581</v>
      </c>
      <c r="Q19" s="66">
        <v>1050550</v>
      </c>
      <c r="R19" s="66">
        <v>19923.599999999999</v>
      </c>
      <c r="S19" s="67">
        <v>15510336</v>
      </c>
      <c r="T19" s="67">
        <v>3961768</v>
      </c>
      <c r="U19" s="67">
        <v>1651632</v>
      </c>
      <c r="V19" s="67">
        <v>9896840</v>
      </c>
      <c r="W19" s="68">
        <v>71.522999999999996</v>
      </c>
      <c r="X19" s="68">
        <v>75.136300000000006</v>
      </c>
      <c r="Y19" s="68">
        <v>38.813000000000002</v>
      </c>
      <c r="Z19" s="68">
        <v>48.258600000000001</v>
      </c>
      <c r="AA19" s="68">
        <v>48.851900000000001</v>
      </c>
      <c r="AB19" s="69">
        <v>3326.45</v>
      </c>
      <c r="AC19" s="69">
        <v>6218.12</v>
      </c>
      <c r="AD19" s="69">
        <v>7.2679999999999998</v>
      </c>
      <c r="AE19" s="69">
        <v>27.773</v>
      </c>
      <c r="AG19" s="37">
        <f t="shared" si="7"/>
        <v>14.5409475</v>
      </c>
      <c r="AH19" s="38">
        <f t="shared" si="8"/>
        <v>0.45688914936786029</v>
      </c>
      <c r="AI19" s="38">
        <f t="shared" si="9"/>
        <v>0.16535992198356309</v>
      </c>
      <c r="AJ19" s="38">
        <f t="shared" si="10"/>
        <v>0.1167036912466399</v>
      </c>
      <c r="AK19" s="38">
        <f t="shared" si="11"/>
        <v>0.29153346920108147</v>
      </c>
      <c r="AL19" s="35">
        <f t="shared" si="12"/>
        <v>5613592</v>
      </c>
      <c r="AM19" s="38">
        <f t="shared" si="13"/>
        <v>0.46137596872303216</v>
      </c>
      <c r="AN19" s="66">
        <v>33617581</v>
      </c>
      <c r="AO19" s="66">
        <v>1050549.40625</v>
      </c>
      <c r="AP19" s="66">
        <v>19923.5625</v>
      </c>
      <c r="AQ19" s="67">
        <v>15510344</v>
      </c>
      <c r="AR19" s="67">
        <v>3961824</v>
      </c>
      <c r="AS19" s="67">
        <v>1651768</v>
      </c>
      <c r="AT19" s="67">
        <v>9896896</v>
      </c>
      <c r="AU19" s="68">
        <v>71.522968749999905</v>
      </c>
      <c r="AV19" s="68">
        <v>75.1362968749999</v>
      </c>
      <c r="AW19" s="68">
        <v>38.812965624999997</v>
      </c>
      <c r="AX19" s="68">
        <v>48.258624999999903</v>
      </c>
      <c r="AY19" s="68">
        <v>48.851871874999901</v>
      </c>
      <c r="AZ19" s="69">
        <v>11480.3</v>
      </c>
      <c r="BA19" s="69">
        <v>7189.76</v>
      </c>
      <c r="BB19" s="69">
        <v>8.48</v>
      </c>
      <c r="BC19" s="69">
        <v>28.204000000000001</v>
      </c>
      <c r="BD19">
        <v>32</v>
      </c>
      <c r="BE19" s="43">
        <f t="shared" si="14"/>
        <v>-2.4977004155907201E-8</v>
      </c>
      <c r="BF19" s="43">
        <f t="shared" si="15"/>
        <v>1.2192166208124799E-5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7"/>
        <v>0</v>
      </c>
      <c r="BV19" s="4">
        <f t="shared" si="16"/>
        <v>-0.59375</v>
      </c>
      <c r="BW19" s="4">
        <f t="shared" si="16"/>
        <v>-3.7499999998544808E-2</v>
      </c>
      <c r="BX19" s="4">
        <f t="shared" si="16"/>
        <v>8</v>
      </c>
      <c r="BY19" s="4">
        <f t="shared" si="16"/>
        <v>56</v>
      </c>
      <c r="BZ19" s="4">
        <f t="shared" si="16"/>
        <v>136</v>
      </c>
      <c r="CA19" s="4">
        <f t="shared" si="16"/>
        <v>56</v>
      </c>
      <c r="CB19" s="4">
        <f t="shared" si="16"/>
        <v>-3.1250000091631591E-5</v>
      </c>
      <c r="CC19" s="4">
        <f t="shared" si="16"/>
        <v>-3.1250001057969712E-6</v>
      </c>
      <c r="CD19" s="4">
        <f t="shared" si="16"/>
        <v>-3.4375000005582024E-5</v>
      </c>
      <c r="CE19" s="4">
        <f t="shared" si="16"/>
        <v>2.4999999901353931E-5</v>
      </c>
      <c r="CF19" s="4">
        <f t="shared" si="16"/>
        <v>-2.8125000099521458E-5</v>
      </c>
    </row>
    <row r="20" spans="1:84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2.2821625000000001</v>
      </c>
      <c r="J20" s="28">
        <f t="shared" si="1"/>
        <v>4.5346171641827887E-2</v>
      </c>
      <c r="K20" s="28">
        <f t="shared" si="2"/>
        <v>3.3990566117109711E-2</v>
      </c>
      <c r="L20" s="28">
        <f t="shared" si="3"/>
        <v>1.8869628576758831E-2</v>
      </c>
      <c r="M20" s="28">
        <f t="shared" si="4"/>
        <v>1.135262505082717E-2</v>
      </c>
      <c r="N20" s="25">
        <f t="shared" si="5"/>
        <v>1094824</v>
      </c>
      <c r="O20" s="28">
        <f t="shared" si="6"/>
        <v>4.7418777976849798E-2</v>
      </c>
      <c r="P20" s="62">
        <v>30801806</v>
      </c>
      <c r="Q20" s="62">
        <v>962556</v>
      </c>
      <c r="R20" s="62">
        <v>28246.1</v>
      </c>
      <c r="S20" s="63">
        <v>1460584</v>
      </c>
      <c r="T20" s="63">
        <v>607784</v>
      </c>
      <c r="U20" s="63">
        <v>487040</v>
      </c>
      <c r="V20" s="63">
        <v>365664</v>
      </c>
      <c r="W20" s="64">
        <v>67.130600000000001</v>
      </c>
      <c r="X20" s="64">
        <v>68.790599999999998</v>
      </c>
      <c r="Y20" s="64">
        <v>30.0411</v>
      </c>
      <c r="Z20" s="64">
        <v>39.297600000000003</v>
      </c>
      <c r="AA20" s="64">
        <v>37.967500000000001</v>
      </c>
      <c r="AB20" s="65">
        <v>3120.64</v>
      </c>
      <c r="AC20" s="65">
        <v>3157.46</v>
      </c>
      <c r="AD20" s="65">
        <v>5.8049999999999997</v>
      </c>
      <c r="AE20" s="65">
        <v>18.062999999999999</v>
      </c>
      <c r="AG20" s="27">
        <f t="shared" si="7"/>
        <v>2.2821750000000001</v>
      </c>
      <c r="AH20" s="28">
        <f t="shared" si="8"/>
        <v>4.5346420014652132E-2</v>
      </c>
      <c r="AI20" s="28">
        <f t="shared" si="9"/>
        <v>3.3996527064891716E-2</v>
      </c>
      <c r="AJ20" s="28">
        <f t="shared" si="10"/>
        <v>1.8871367186528581E-2</v>
      </c>
      <c r="AK20" s="28">
        <f t="shared" si="11"/>
        <v>1.1354363660596922E-2</v>
      </c>
      <c r="AL20" s="25">
        <f t="shared" si="12"/>
        <v>1095016</v>
      </c>
      <c r="AM20" s="28">
        <f t="shared" si="13"/>
        <v>4.7419037701880211E-2</v>
      </c>
      <c r="AN20" s="62">
        <v>30801806</v>
      </c>
      <c r="AO20" s="62">
        <v>962556.4375</v>
      </c>
      <c r="AP20" s="62">
        <v>28246.0625</v>
      </c>
      <c r="AQ20" s="63">
        <v>1460592</v>
      </c>
      <c r="AR20" s="63">
        <v>607840</v>
      </c>
      <c r="AS20" s="63">
        <v>487176</v>
      </c>
      <c r="AT20" s="63">
        <v>365720</v>
      </c>
      <c r="AU20" s="64">
        <v>67.130621874999903</v>
      </c>
      <c r="AV20" s="64">
        <v>68.790568749999906</v>
      </c>
      <c r="AW20" s="64">
        <v>30.041068749999901</v>
      </c>
      <c r="AX20" s="64">
        <v>39.297615624999999</v>
      </c>
      <c r="AY20" s="64">
        <v>37.967503125</v>
      </c>
      <c r="AZ20" s="65">
        <v>10096.700000000001</v>
      </c>
      <c r="BA20" s="65">
        <v>3588.12</v>
      </c>
      <c r="BB20" s="65">
        <v>11.728</v>
      </c>
      <c r="BC20" s="65">
        <v>28.888000000000002</v>
      </c>
      <c r="BD20">
        <v>32</v>
      </c>
      <c r="BE20" s="33">
        <f t="shared" si="14"/>
        <v>-5.2296558871595122E-8</v>
      </c>
      <c r="BF20" s="33">
        <f t="shared" si="15"/>
        <v>1.273479267572819E-4</v>
      </c>
      <c r="BG20" s="33">
        <f t="array" ref="BG20">AVERAGE(AL20:AL24/AQ20:AQ24) - AVERAGE(N20:N24/S20:S24)</f>
        <v>6.5174558028568974E-5</v>
      </c>
      <c r="BI20" s="34">
        <f>IF( OR(ISBLANK(N20:N24),ISBLANK(AL20:AL24), ISBLANK(W20:W24),ISBLANK(AU20:AU24)), "·", bdRateExtend( N20:N24,W20:W24, AL20:AL24,AU20:AU24))</f>
        <v>1.2491045961038338E-4</v>
      </c>
      <c r="BJ20" s="34">
        <f>IF( OR(ISBLANK(N20:N24),ISBLANK(AL20:AL24), ISBLANK(X20:X24),ISBLANK(AV20:AV24)), "·", bdRateExtend( N20:N24,X20:X24, AL20:AL24,AV20:AV24))</f>
        <v>1.2312585849238999E-4</v>
      </c>
      <c r="BK20" s="34">
        <f>IF( OR(ISBLANK(V20:V24),ISBLANK(AT20:AT24), ISBLANK(Y20:Y24),ISBLANK(AW20:AW24)), "·", bdRateExtend( V20:V24,Y20:Y24, AT20:AT24,AW20:AW24))</f>
        <v>5.7232733029044525E-5</v>
      </c>
      <c r="BL20" s="34">
        <f>IF( OR(ISBLANK(V20:V24),ISBLANK(AT20:AT24), ISBLANK(Z20:Z24),ISBLANK(AX20:AX24)), "·", bdRateExtend( V20:V24,Z20:Z24, AT20:AT24,AX20:AX24))</f>
        <v>2.8163915068990519E-5</v>
      </c>
      <c r="BM20" s="34">
        <f>IF( OR(ISBLANK(V20:V24),ISBLANK(AT20:AT24), ISBLANK(AA20:AA24),ISBLANK(AY20:AY24)), "·", bdRateExtend( V20:V24,AA20:AA24, AT20:AT24,AY20:AY24))</f>
        <v>6.5076881790915309E-5</v>
      </c>
      <c r="BO20" s="34">
        <f>IF( OR(ISBLANK(S20:S24),ISBLANK(AQ20:AQ24), ISBLANK(W20:W24),ISBLANK(AU20:AU24)), "·", bdRateExtend( S20:S24,W20:W24, AQ20:AQ24,AU20:AU24))</f>
        <v>-1.5230823159351203E-6</v>
      </c>
      <c r="BP20" s="34">
        <f>IF( OR(ISBLANK(S20:S24),ISBLANK(AQ20:AQ24), ISBLANK(X20:X24),ISBLANK(AV20:AV24)), "·", bdRateExtend( S20:S24,X20:X24, AQ20:AQ24,AV20:AV24))</f>
        <v>6.3412090141046207E-6</v>
      </c>
      <c r="BQ20" s="34">
        <f>IF( OR(ISBLANK(S20:S24),ISBLANK(AQ20:AQ24), ISBLANK(Y20:Y24),ISBLANK(AW20:AW24)), "·", bdRateExtend( S20:S24,Y20:Y24, AQ20:AQ24,AW20:AW24))</f>
        <v>9.2704041485536237E-6</v>
      </c>
      <c r="BR20" s="34">
        <f>IF( OR(ISBLANK(S20:S24),ISBLANK(AQ20:AQ24), ISBLANK(Z20:Z24),ISBLANK(AX20:AX24)), "·", bdRateExtend( S20:S24,Z20:Z24, AQ20:AQ24,AX20:AX24))</f>
        <v>-1.4258256076926656E-5</v>
      </c>
      <c r="BS20" s="34">
        <f>IF( OR(ISBLANK(S20:S24),ISBLANK(AQ20:AQ24), ISBLANK(AA20:AA24),ISBLANK(AY20:AY24)), "·", bdRateExtend( S20:S24,AA20:AA24, AQ20:AQ24,AY20:AY24))</f>
        <v>1.1314737015544196E-5</v>
      </c>
      <c r="BU20" s="4">
        <f t="shared" si="17"/>
        <v>0</v>
      </c>
      <c r="BV20" s="4">
        <f t="shared" si="16"/>
        <v>0.4375</v>
      </c>
      <c r="BW20" s="4">
        <f t="shared" si="16"/>
        <v>-3.7499999998544808E-2</v>
      </c>
      <c r="BX20" s="4">
        <f t="shared" si="16"/>
        <v>8</v>
      </c>
      <c r="BY20" s="4">
        <f t="shared" si="16"/>
        <v>56</v>
      </c>
      <c r="BZ20" s="4">
        <f t="shared" si="16"/>
        <v>136</v>
      </c>
      <c r="CA20" s="4">
        <f t="shared" si="16"/>
        <v>56</v>
      </c>
      <c r="CB20" s="4">
        <f t="shared" si="16"/>
        <v>2.187499990213837E-5</v>
      </c>
      <c r="CC20" s="4">
        <f t="shared" si="16"/>
        <v>-3.1250000091631591E-5</v>
      </c>
      <c r="CD20" s="4">
        <f t="shared" si="16"/>
        <v>-3.1250000098737019E-5</v>
      </c>
      <c r="CE20" s="4">
        <f t="shared" si="16"/>
        <v>1.5624999996077804E-5</v>
      </c>
      <c r="CF20" s="4">
        <f t="shared" si="16"/>
        <v>3.1249999992155608E-6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3.1210874999999998</v>
      </c>
      <c r="J21" s="18">
        <f t="shared" si="1"/>
        <v>6.201546536855438E-2</v>
      </c>
      <c r="K21" s="18">
        <f t="shared" si="2"/>
        <v>3.9556601108556216E-2</v>
      </c>
      <c r="L21" s="18">
        <f t="shared" si="3"/>
        <v>2.4435663568205337E-2</v>
      </c>
      <c r="M21" s="18">
        <f t="shared" si="4"/>
        <v>2.2455883786107161E-2</v>
      </c>
      <c r="N21" s="15">
        <f t="shared" si="5"/>
        <v>1274104</v>
      </c>
      <c r="O21" s="18">
        <f t="shared" si="6"/>
        <v>6.3156690592903547E-2</v>
      </c>
      <c r="P21" s="58">
        <v>31627623</v>
      </c>
      <c r="Q21" s="58">
        <v>988363</v>
      </c>
      <c r="R21" s="58">
        <v>32273</v>
      </c>
      <c r="S21" s="59">
        <v>1997496</v>
      </c>
      <c r="T21" s="59">
        <v>787064</v>
      </c>
      <c r="U21" s="59">
        <v>487040</v>
      </c>
      <c r="V21" s="59">
        <v>723296</v>
      </c>
      <c r="W21" s="60">
        <v>68.790999999999997</v>
      </c>
      <c r="X21" s="60">
        <v>70.898099999999999</v>
      </c>
      <c r="Y21" s="60">
        <v>31.547499999999999</v>
      </c>
      <c r="Z21" s="60">
        <v>40.477499999999999</v>
      </c>
      <c r="AA21" s="60">
        <v>39.232799999999997</v>
      </c>
      <c r="AB21" s="61">
        <v>3749.46</v>
      </c>
      <c r="AC21" s="61">
        <v>4070.29</v>
      </c>
      <c r="AD21" s="61">
        <v>6.9939999999999998</v>
      </c>
      <c r="AE21" s="61">
        <v>21.731999999999999</v>
      </c>
      <c r="AG21" s="17">
        <f t="shared" si="7"/>
        <v>3.1211000000000002</v>
      </c>
      <c r="AH21" s="18">
        <f t="shared" si="8"/>
        <v>6.2015713741378632E-2</v>
      </c>
      <c r="AI21" s="18">
        <f t="shared" si="9"/>
        <v>3.9562562056338221E-2</v>
      </c>
      <c r="AJ21" s="18">
        <f t="shared" si="10"/>
        <v>2.4437402177975086E-2</v>
      </c>
      <c r="AK21" s="18">
        <f t="shared" si="11"/>
        <v>2.2457622395876911E-2</v>
      </c>
      <c r="AL21" s="15">
        <f t="shared" si="12"/>
        <v>1274296</v>
      </c>
      <c r="AM21" s="18">
        <f t="shared" si="13"/>
        <v>6.3156943536351123E-2</v>
      </c>
      <c r="AN21" s="58">
        <v>31627623</v>
      </c>
      <c r="AO21" s="58">
        <v>988363.21875</v>
      </c>
      <c r="AP21" s="58">
        <v>32272.96875</v>
      </c>
      <c r="AQ21" s="59">
        <v>1997504</v>
      </c>
      <c r="AR21" s="59">
        <v>787120</v>
      </c>
      <c r="AS21" s="59">
        <v>487176</v>
      </c>
      <c r="AT21" s="59">
        <v>723352</v>
      </c>
      <c r="AU21" s="60">
        <v>68.791021874999998</v>
      </c>
      <c r="AV21" s="60">
        <v>70.898106249999998</v>
      </c>
      <c r="AW21" s="60">
        <v>31.547462499999899</v>
      </c>
      <c r="AX21" s="60">
        <v>40.477543749999903</v>
      </c>
      <c r="AY21" s="60">
        <v>39.232834375000003</v>
      </c>
      <c r="AZ21" s="61">
        <v>11480.8</v>
      </c>
      <c r="BA21" s="61">
        <v>3804.04</v>
      </c>
      <c r="BB21" s="61">
        <v>7.1</v>
      </c>
      <c r="BC21" s="61">
        <v>19.231999999999999</v>
      </c>
      <c r="BD21">
        <v>32</v>
      </c>
      <c r="BE21" s="23">
        <f t="shared" si="14"/>
        <v>-3.8844869224008427E-8</v>
      </c>
      <c r="BF21" s="23">
        <f t="shared" si="15"/>
        <v>9.3565367222492313E-5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7"/>
        <v>0</v>
      </c>
      <c r="BV21" s="4">
        <f t="shared" si="17"/>
        <v>0.21875</v>
      </c>
      <c r="BW21" s="4">
        <f t="shared" si="17"/>
        <v>-3.125E-2</v>
      </c>
      <c r="BX21" s="4">
        <f t="shared" si="17"/>
        <v>8</v>
      </c>
      <c r="BY21" s="4">
        <f t="shared" si="17"/>
        <v>56</v>
      </c>
      <c r="BZ21" s="4">
        <f t="shared" si="17"/>
        <v>136</v>
      </c>
      <c r="CA21" s="4">
        <f t="shared" si="17"/>
        <v>56</v>
      </c>
      <c r="CB21" s="4">
        <f t="shared" si="17"/>
        <v>2.1875000001614353E-5</v>
      </c>
      <c r="CC21" s="4">
        <f t="shared" si="17"/>
        <v>6.2499999984311216E-6</v>
      </c>
      <c r="CD21" s="4">
        <f t="shared" si="17"/>
        <v>-3.7500000100720854E-5</v>
      </c>
      <c r="CE21" s="4">
        <f t="shared" si="17"/>
        <v>4.3749999903752723E-5</v>
      </c>
      <c r="CF21" s="4">
        <f t="shared" si="17"/>
        <v>3.4375000005582024E-5</v>
      </c>
    </row>
    <row r="22" spans="1:84" outlineLevel="1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5.10365</v>
      </c>
      <c r="J22" s="28">
        <f t="shared" si="1"/>
        <v>0.10140863715875398</v>
      </c>
      <c r="K22" s="28">
        <f t="shared" si="2"/>
        <v>4.6556244041574754E-2</v>
      </c>
      <c r="L22" s="28">
        <f t="shared" si="3"/>
        <v>3.1435306501223871E-2</v>
      </c>
      <c r="M22" s="28">
        <f t="shared" si="4"/>
        <v>5.4849412643288221E-2</v>
      </c>
      <c r="N22" s="25">
        <f t="shared" si="5"/>
        <v>1499560</v>
      </c>
      <c r="O22" s="28">
        <f t="shared" si="6"/>
        <v>9.9745744751672083E-2</v>
      </c>
      <c r="P22" s="62">
        <v>32746620</v>
      </c>
      <c r="Q22" s="62">
        <v>1023330</v>
      </c>
      <c r="R22" s="62">
        <v>34640.199999999997</v>
      </c>
      <c r="S22" s="63">
        <v>3266336</v>
      </c>
      <c r="T22" s="63">
        <v>1012520</v>
      </c>
      <c r="U22" s="63">
        <v>487040</v>
      </c>
      <c r="V22" s="63">
        <v>1766680</v>
      </c>
      <c r="W22" s="64">
        <v>70.003500000000003</v>
      </c>
      <c r="X22" s="64">
        <v>72.4499</v>
      </c>
      <c r="Y22" s="64">
        <v>33.569600000000001</v>
      </c>
      <c r="Z22" s="64">
        <v>41.681899999999999</v>
      </c>
      <c r="AA22" s="64">
        <v>40.572000000000003</v>
      </c>
      <c r="AB22" s="65">
        <v>3778.36</v>
      </c>
      <c r="AC22" s="65">
        <v>4321.47</v>
      </c>
      <c r="AD22" s="65">
        <v>7.1210000000000004</v>
      </c>
      <c r="AE22" s="65">
        <v>21.952999999999999</v>
      </c>
      <c r="AG22" s="27">
        <f t="shared" si="7"/>
        <v>5.1036625000000004</v>
      </c>
      <c r="AH22" s="28">
        <f t="shared" si="8"/>
        <v>0.10140888553157823</v>
      </c>
      <c r="AI22" s="28">
        <f t="shared" si="9"/>
        <v>4.6562204989356759E-2</v>
      </c>
      <c r="AJ22" s="28">
        <f t="shared" si="10"/>
        <v>3.1437045110993621E-2</v>
      </c>
      <c r="AK22" s="28">
        <f t="shared" si="11"/>
        <v>5.4851151253057971E-2</v>
      </c>
      <c r="AL22" s="25">
        <f t="shared" si="12"/>
        <v>1499752</v>
      </c>
      <c r="AM22" s="28">
        <f t="shared" si="13"/>
        <v>9.9745989051694489E-2</v>
      </c>
      <c r="AN22" s="62">
        <v>32746620</v>
      </c>
      <c r="AO22" s="62">
        <v>1023331.875</v>
      </c>
      <c r="AP22" s="62">
        <v>34640.1875</v>
      </c>
      <c r="AQ22" s="63">
        <v>3266344</v>
      </c>
      <c r="AR22" s="63">
        <v>1012576</v>
      </c>
      <c r="AS22" s="63">
        <v>487176</v>
      </c>
      <c r="AT22" s="63">
        <v>1766736</v>
      </c>
      <c r="AU22" s="64">
        <v>70.003465624999905</v>
      </c>
      <c r="AV22" s="64">
        <v>72.449924999999993</v>
      </c>
      <c r="AW22" s="64">
        <v>33.569618749999997</v>
      </c>
      <c r="AX22" s="64">
        <v>41.681912499999903</v>
      </c>
      <c r="AY22" s="64">
        <v>40.571950000000001</v>
      </c>
      <c r="AZ22" s="65">
        <v>11482.4</v>
      </c>
      <c r="BA22" s="65">
        <v>4023.62</v>
      </c>
      <c r="BB22" s="65">
        <v>7.7679999999999998</v>
      </c>
      <c r="BC22" s="65">
        <v>20.936</v>
      </c>
      <c r="BD22">
        <v>32</v>
      </c>
      <c r="BE22" s="33">
        <f t="shared" si="14"/>
        <v>-7.4237527847298423E-8</v>
      </c>
      <c r="BF22" s="33">
        <f t="shared" si="15"/>
        <v>5.7656889901891439E-5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7"/>
        <v>0</v>
      </c>
      <c r="BV22" s="4">
        <f t="shared" si="17"/>
        <v>1.875</v>
      </c>
      <c r="BW22" s="4">
        <f t="shared" si="17"/>
        <v>-1.2499999997089617E-2</v>
      </c>
      <c r="BX22" s="4">
        <f t="shared" si="17"/>
        <v>8</v>
      </c>
      <c r="BY22" s="4">
        <f t="shared" si="17"/>
        <v>56</v>
      </c>
      <c r="BZ22" s="4">
        <f t="shared" si="17"/>
        <v>136</v>
      </c>
      <c r="CA22" s="4">
        <f t="shared" si="17"/>
        <v>56</v>
      </c>
      <c r="CB22" s="4">
        <f t="shared" si="17"/>
        <v>-3.4375000097952579E-5</v>
      </c>
      <c r="CC22" s="4">
        <f t="shared" si="17"/>
        <v>2.4999999993724487E-5</v>
      </c>
      <c r="CD22" s="4">
        <f t="shared" si="17"/>
        <v>1.8749999995293365E-5</v>
      </c>
      <c r="CE22" s="4">
        <f t="shared" si="17"/>
        <v>1.2499999904491688E-5</v>
      </c>
      <c r="CF22" s="4">
        <f t="shared" si="17"/>
        <v>-5.0000000001659828E-5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9.4714875000000003</v>
      </c>
      <c r="J23" s="18">
        <f t="shared" si="1"/>
        <v>0.18819680801802119</v>
      </c>
      <c r="K23" s="18">
        <f t="shared" si="2"/>
        <v>6.6084805721069312E-2</v>
      </c>
      <c r="L23" s="18">
        <f t="shared" si="3"/>
        <v>5.0963868180718429E-2</v>
      </c>
      <c r="M23" s="18">
        <f t="shared" si="4"/>
        <v>0.12210902182306088</v>
      </c>
      <c r="N23" s="15">
        <f t="shared" si="5"/>
        <v>2128568</v>
      </c>
      <c r="O23" s="18">
        <f t="shared" si="6"/>
        <v>0.18341035955710547</v>
      </c>
      <c r="P23" s="58">
        <v>33050216</v>
      </c>
      <c r="Q23" s="58">
        <v>1032820</v>
      </c>
      <c r="R23" s="58">
        <v>36820.699999999997</v>
      </c>
      <c r="S23" s="59">
        <v>6061752</v>
      </c>
      <c r="T23" s="59">
        <v>1641528</v>
      </c>
      <c r="U23" s="59">
        <v>487040</v>
      </c>
      <c r="V23" s="59">
        <v>3933088</v>
      </c>
      <c r="W23" s="60">
        <v>70.935599999999994</v>
      </c>
      <c r="X23" s="60">
        <v>73.669300000000007</v>
      </c>
      <c r="Y23" s="60">
        <v>35.486600000000003</v>
      </c>
      <c r="Z23" s="60">
        <v>42.753900000000002</v>
      </c>
      <c r="AA23" s="60">
        <v>41.608899999999998</v>
      </c>
      <c r="AB23" s="61">
        <v>3214.4</v>
      </c>
      <c r="AC23" s="61">
        <v>3670.59</v>
      </c>
      <c r="AD23" s="61">
        <v>6.0709999999999997</v>
      </c>
      <c r="AE23" s="61">
        <v>19.274999999999999</v>
      </c>
      <c r="AG23" s="17">
        <f t="shared" si="7"/>
        <v>9.4715000000000007</v>
      </c>
      <c r="AH23" s="18">
        <f t="shared" si="8"/>
        <v>0.18819705639084544</v>
      </c>
      <c r="AI23" s="18">
        <f t="shared" si="9"/>
        <v>6.6090766668851317E-2</v>
      </c>
      <c r="AJ23" s="18">
        <f t="shared" si="10"/>
        <v>5.0965606790488178E-2</v>
      </c>
      <c r="AK23" s="18">
        <f t="shared" si="11"/>
        <v>0.12211076043283063</v>
      </c>
      <c r="AL23" s="15">
        <f t="shared" si="12"/>
        <v>2128760</v>
      </c>
      <c r="AM23" s="18">
        <f t="shared" si="13"/>
        <v>0.18341060161301215</v>
      </c>
      <c r="AN23" s="58">
        <v>33050216</v>
      </c>
      <c r="AO23" s="58">
        <v>1032819.25</v>
      </c>
      <c r="AP23" s="58">
        <v>36820.71875</v>
      </c>
      <c r="AQ23" s="59">
        <v>6061760</v>
      </c>
      <c r="AR23" s="59">
        <v>1641584</v>
      </c>
      <c r="AS23" s="59">
        <v>487176</v>
      </c>
      <c r="AT23" s="59">
        <v>3933144</v>
      </c>
      <c r="AU23" s="60">
        <v>70.935637499999999</v>
      </c>
      <c r="AV23" s="60">
        <v>73.669268750000001</v>
      </c>
      <c r="AW23" s="60">
        <v>35.486553125</v>
      </c>
      <c r="AX23" s="60">
        <v>42.753943749999998</v>
      </c>
      <c r="AY23" s="60">
        <v>41.608881250000003</v>
      </c>
      <c r="AZ23" s="61">
        <v>8075.64</v>
      </c>
      <c r="BA23" s="61">
        <v>4365.7299999999996</v>
      </c>
      <c r="BB23" s="61">
        <v>7.1239999999999997</v>
      </c>
      <c r="BC23" s="61">
        <v>19.579999999999998</v>
      </c>
      <c r="BD23">
        <v>32</v>
      </c>
      <c r="BE23" s="23">
        <f t="shared" si="14"/>
        <v>4.4042541190447704E-8</v>
      </c>
      <c r="BF23" s="23">
        <f t="shared" si="15"/>
        <v>3.1210543043502792E-5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7"/>
        <v>0</v>
      </c>
      <c r="BV23" s="4">
        <f t="shared" si="17"/>
        <v>-0.75</v>
      </c>
      <c r="BW23" s="4">
        <f t="shared" si="17"/>
        <v>1.8750000002910383E-2</v>
      </c>
      <c r="BX23" s="4">
        <f t="shared" si="17"/>
        <v>8</v>
      </c>
      <c r="BY23" s="4">
        <f t="shared" si="17"/>
        <v>56</v>
      </c>
      <c r="BZ23" s="4">
        <f t="shared" si="17"/>
        <v>136</v>
      </c>
      <c r="CA23" s="4">
        <f t="shared" si="17"/>
        <v>56</v>
      </c>
      <c r="CB23" s="4">
        <f t="shared" si="17"/>
        <v>3.7500000004797585E-5</v>
      </c>
      <c r="CC23" s="4">
        <f t="shared" si="17"/>
        <v>-3.1250000006366463E-5</v>
      </c>
      <c r="CD23" s="4">
        <f t="shared" si="17"/>
        <v>-4.6875000002444267E-5</v>
      </c>
      <c r="CE23" s="4">
        <f t="shared" si="17"/>
        <v>4.3749999996123279E-5</v>
      </c>
      <c r="CF23" s="4">
        <f t="shared" si="17"/>
        <v>-1.8749999995293365E-5</v>
      </c>
    </row>
    <row r="24" spans="1:84" ht="15.75" outlineLevel="1" thickBot="1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18.404050000000002</v>
      </c>
      <c r="J24" s="48">
        <f t="shared" si="1"/>
        <v>0.36568527009132018</v>
      </c>
      <c r="K24" s="48">
        <f t="shared" si="2"/>
        <v>0.11235790474299887</v>
      </c>
      <c r="L24" s="48">
        <f t="shared" si="3"/>
        <v>8.0884348826840452E-2</v>
      </c>
      <c r="M24" s="48">
        <f t="shared" si="4"/>
        <v>0.25332438487443032</v>
      </c>
      <c r="N24" s="45">
        <f t="shared" si="5"/>
        <v>3619008</v>
      </c>
      <c r="O24" s="48">
        <f t="shared" si="6"/>
        <v>0.37401188172660838</v>
      </c>
      <c r="P24" s="70">
        <v>31492561</v>
      </c>
      <c r="Q24" s="70">
        <v>984143</v>
      </c>
      <c r="R24" s="70">
        <v>17732.5</v>
      </c>
      <c r="S24" s="71">
        <v>11778592</v>
      </c>
      <c r="T24" s="71">
        <v>2605256</v>
      </c>
      <c r="U24" s="71">
        <v>1013752</v>
      </c>
      <c r="V24" s="71">
        <v>8159488</v>
      </c>
      <c r="W24" s="72">
        <v>71.941299999999998</v>
      </c>
      <c r="X24" s="72">
        <v>75.855599999999995</v>
      </c>
      <c r="Y24" s="72">
        <v>36.955399999999997</v>
      </c>
      <c r="Z24" s="72">
        <v>43.621299999999998</v>
      </c>
      <c r="AA24" s="72">
        <v>42.239199999999997</v>
      </c>
      <c r="AB24" s="73">
        <v>3261.05</v>
      </c>
      <c r="AC24" s="73">
        <v>4623.22</v>
      </c>
      <c r="AD24" s="73">
        <v>6.19</v>
      </c>
      <c r="AE24" s="73">
        <v>21.495999999999999</v>
      </c>
      <c r="AG24" s="47">
        <f t="shared" si="7"/>
        <v>18.404062499999998</v>
      </c>
      <c r="AH24" s="48">
        <f t="shared" si="8"/>
        <v>0.36568551846414443</v>
      </c>
      <c r="AI24" s="48">
        <f t="shared" si="9"/>
        <v>0.11236386569078087</v>
      </c>
      <c r="AJ24" s="48">
        <f t="shared" si="10"/>
        <v>8.0886087436610216E-2</v>
      </c>
      <c r="AK24" s="48">
        <f t="shared" si="11"/>
        <v>0.25332612348420008</v>
      </c>
      <c r="AL24" s="45">
        <f t="shared" si="12"/>
        <v>3619200</v>
      </c>
      <c r="AM24" s="48">
        <f t="shared" si="13"/>
        <v>0.37401213575485337</v>
      </c>
      <c r="AN24" s="70">
        <v>31492561</v>
      </c>
      <c r="AO24" s="70">
        <v>984142.53125</v>
      </c>
      <c r="AP24" s="70">
        <v>17732.5</v>
      </c>
      <c r="AQ24" s="71">
        <v>11778600</v>
      </c>
      <c r="AR24" s="71">
        <v>2605312</v>
      </c>
      <c r="AS24" s="71">
        <v>1013888</v>
      </c>
      <c r="AT24" s="71">
        <v>8159544</v>
      </c>
      <c r="AU24" s="72">
        <v>71.941287500000001</v>
      </c>
      <c r="AV24" s="72">
        <v>75.855562500000005</v>
      </c>
      <c r="AW24" s="72">
        <v>36.955393749999899</v>
      </c>
      <c r="AX24" s="72">
        <v>43.6213499999999</v>
      </c>
      <c r="AY24" s="72">
        <v>42.239159375</v>
      </c>
      <c r="AZ24" s="73">
        <v>8043.7</v>
      </c>
      <c r="BA24" s="73">
        <v>4895.3</v>
      </c>
      <c r="BB24" s="73">
        <v>7.44</v>
      </c>
      <c r="BC24" s="73">
        <v>22.771999999999998</v>
      </c>
      <c r="BD24">
        <v>32</v>
      </c>
      <c r="BE24" s="53">
        <f t="shared" si="14"/>
        <v>8.582129049083953E-9</v>
      </c>
      <c r="BF24" s="53">
        <f t="shared" si="15"/>
        <v>1.6092063217620911E-5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7"/>
        <v>0</v>
      </c>
      <c r="BV24" s="4">
        <f t="shared" si="17"/>
        <v>-0.46875</v>
      </c>
      <c r="BW24" s="4">
        <f t="shared" si="17"/>
        <v>0</v>
      </c>
      <c r="BX24" s="4">
        <f t="shared" si="17"/>
        <v>8</v>
      </c>
      <c r="BY24" s="4">
        <f t="shared" si="17"/>
        <v>56</v>
      </c>
      <c r="BZ24" s="4">
        <f t="shared" si="17"/>
        <v>136</v>
      </c>
      <c r="CA24" s="4">
        <f t="shared" si="17"/>
        <v>56</v>
      </c>
      <c r="CB24" s="4">
        <f t="shared" si="17"/>
        <v>-1.2499999996862243E-5</v>
      </c>
      <c r="CC24" s="4">
        <f t="shared" si="17"/>
        <v>-3.749999999058673E-5</v>
      </c>
      <c r="CD24" s="4">
        <f t="shared" si="17"/>
        <v>-6.2500000979071046E-6</v>
      </c>
      <c r="CE24" s="4">
        <f t="shared" si="17"/>
        <v>4.9999999902183845E-5</v>
      </c>
      <c r="CF24" s="4">
        <f t="shared" si="17"/>
        <v>-4.0624999996907718E-5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2.2620149999999999</v>
      </c>
      <c r="J25" s="18">
        <f t="shared" si="1"/>
        <v>9.5321472378289737E-2</v>
      </c>
      <c r="K25" s="18">
        <f t="shared" si="2"/>
        <v>6.1183274226616451E-2</v>
      </c>
      <c r="L25" s="18">
        <f t="shared" si="3"/>
        <v>3.5995943175378652E-2</v>
      </c>
      <c r="M25" s="18">
        <f t="shared" si="4"/>
        <v>3.4134405545296204E-2</v>
      </c>
      <c r="N25" s="15">
        <f t="shared" si="5"/>
        <v>1548696</v>
      </c>
      <c r="O25" s="18">
        <f t="shared" si="6"/>
        <v>0.10358448985384887</v>
      </c>
      <c r="P25" s="58">
        <v>23293217</v>
      </c>
      <c r="Q25" s="58">
        <v>727913</v>
      </c>
      <c r="R25" s="58">
        <v>18038</v>
      </c>
      <c r="S25" s="59">
        <v>2412816</v>
      </c>
      <c r="T25" s="59">
        <v>911144</v>
      </c>
      <c r="U25" s="59">
        <v>637552</v>
      </c>
      <c r="V25" s="59">
        <v>864024</v>
      </c>
      <c r="W25" s="60">
        <v>66.258600000000001</v>
      </c>
      <c r="X25" s="60">
        <v>68.024600000000007</v>
      </c>
      <c r="Y25" s="60">
        <v>26.005600000000001</v>
      </c>
      <c r="Z25" s="60">
        <v>32.538899999999998</v>
      </c>
      <c r="AA25" s="60">
        <v>31.726500000000001</v>
      </c>
      <c r="AB25" s="61">
        <v>2491.4</v>
      </c>
      <c r="AC25" s="61">
        <v>5590.31</v>
      </c>
      <c r="AD25" s="61">
        <v>5.476</v>
      </c>
      <c r="AE25" s="61">
        <v>27.645</v>
      </c>
      <c r="AG25" s="17">
        <f t="shared" si="7"/>
        <v>2.2620225</v>
      </c>
      <c r="AH25" s="18">
        <f t="shared" si="8"/>
        <v>9.532178842882115E-2</v>
      </c>
      <c r="AI25" s="18">
        <f t="shared" si="9"/>
        <v>6.1190859439370603E-2</v>
      </c>
      <c r="AJ25" s="18">
        <f t="shared" si="10"/>
        <v>3.5998155529098616E-2</v>
      </c>
      <c r="AK25" s="18">
        <f t="shared" si="11"/>
        <v>3.4136617899016168E-2</v>
      </c>
      <c r="AL25" s="15">
        <f t="shared" si="12"/>
        <v>1548888</v>
      </c>
      <c r="AM25" s="18">
        <f t="shared" si="13"/>
        <v>0.1035848333014714</v>
      </c>
      <c r="AN25" s="58">
        <v>23293217</v>
      </c>
      <c r="AO25" s="58">
        <v>727913.03125</v>
      </c>
      <c r="AP25" s="58">
        <v>18037.96875</v>
      </c>
      <c r="AQ25" s="59">
        <v>2412824</v>
      </c>
      <c r="AR25" s="59">
        <v>911200</v>
      </c>
      <c r="AS25" s="59">
        <v>637688</v>
      </c>
      <c r="AT25" s="59">
        <v>864080</v>
      </c>
      <c r="AU25" s="60">
        <v>66.258609374999907</v>
      </c>
      <c r="AV25" s="60">
        <v>68.024615624999996</v>
      </c>
      <c r="AW25" s="60">
        <v>26.0055624999999</v>
      </c>
      <c r="AX25" s="60">
        <v>32.538881249999903</v>
      </c>
      <c r="AY25" s="60">
        <v>31.726471875000001</v>
      </c>
      <c r="AZ25" s="61">
        <v>6924.89</v>
      </c>
      <c r="BA25" s="61">
        <v>6161.92</v>
      </c>
      <c r="BB25" s="61">
        <v>6.78</v>
      </c>
      <c r="BC25" s="61">
        <v>29.332000000000001</v>
      </c>
      <c r="BD25">
        <v>32</v>
      </c>
      <c r="BE25" s="23">
        <f t="shared" si="14"/>
        <v>-4.3994800458940775E-8</v>
      </c>
      <c r="BF25" s="23">
        <f t="shared" si="15"/>
        <v>7.744663529707374E-5</v>
      </c>
      <c r="BG25" s="23">
        <f t="array" ref="BG25">AVERAGE(AL25:AL29/AQ25:AQ29) - AVERAGE(N25:N29/S25:S29)</f>
        <v>3.5972366979941661E-5</v>
      </c>
      <c r="BI25" s="24">
        <f>IF( OR(ISBLANK(N25:N29),ISBLANK(AL25:AL29), ISBLANK(W25:W29),ISBLANK(AU25:AU29)), "·", bdRateExtend( N25:N29,W25:W29, AL25:AL29,AU25:AU29))</f>
        <v>9.0237770760781544E-5</v>
      </c>
      <c r="BJ25" s="24">
        <f>IF( OR(ISBLANK(N25:N29),ISBLANK(AL25:AL29), ISBLANK(X25:X29),ISBLANK(AV25:AV29)), "·", bdRateExtend( N25:N29,X25:X29, AL25:AL29,AV25:AV29))</f>
        <v>8.0744673743637918E-5</v>
      </c>
      <c r="BK25" s="24">
        <f>IF( OR(ISBLANK(V25:V29),ISBLANK(AT25:AT29), ISBLANK(Y25:Y29),ISBLANK(AW25:AW29)), "·", bdRateExtend( V25:V29,Y25:Y29, AT25:AT29,AW25:AW29))</f>
        <v>2.1210632463741774E-5</v>
      </c>
      <c r="BL25" s="24">
        <f>IF( OR(ISBLANK(V25:V29),ISBLANK(AT25:AT29), ISBLANK(Z25:Z29),ISBLANK(AX25:AX29)), "·", bdRateExtend( V25:V29,Z25:Z29, AT25:AT29,AX25:AX29))</f>
        <v>3.1840726730791857E-6</v>
      </c>
      <c r="BM25" s="24">
        <f>IF( OR(ISBLANK(V25:V29),ISBLANK(AT25:AT29), ISBLANK(AA25:AA29),ISBLANK(AY25:AY29)), "·", bdRateExtend( V25:V29,AA25:AA29, AT25:AT29,AY25:AY29))</f>
        <v>1.5635393264989972E-5</v>
      </c>
      <c r="BO25" s="24">
        <f>IF( OR(ISBLANK(S25:S29),ISBLANK(AQ25:AQ29), ISBLANK(W25:W29),ISBLANK(AU25:AU29)), "·", bdRateExtend( S25:S29,W25:W29, AQ25:AQ29,AU25:AU29))</f>
        <v>1.0168988598735496E-5</v>
      </c>
      <c r="BP25" s="24">
        <f>IF( OR(ISBLANK(S25:S29),ISBLANK(AQ25:AQ29), ISBLANK(X25:X29),ISBLANK(AV25:AV29)), "·", bdRateExtend( S25:S29,X25:X29, AQ25:AQ29,AV25:AV29))</f>
        <v>7.3081398666019481E-7</v>
      </c>
      <c r="BQ25" s="24">
        <f>IF( OR(ISBLANK(S25:S29),ISBLANK(AQ25:AQ29), ISBLANK(Y25:Y29),ISBLANK(AW25:AW29)), "·", bdRateExtend( S25:S29,Y25:Y29, AQ25:AQ29,AW25:AW29))</f>
        <v>2.954016623091249E-6</v>
      </c>
      <c r="BR25" s="24">
        <f>IF( OR(ISBLANK(S25:S29),ISBLANK(AQ25:AQ29), ISBLANK(Z25:Z29),ISBLANK(AX25:AX29)), "·", bdRateExtend( S25:S29,Z25:Z29, AQ25:AQ29,AX25:AX29))</f>
        <v>-9.5648192453001712E-6</v>
      </c>
      <c r="BS25" s="24">
        <f>IF( OR(ISBLANK(S25:S29),ISBLANK(AQ25:AQ29), ISBLANK(AA25:AA29),ISBLANK(AY25:AY29)), "·", bdRateExtend( S25:S29,AA25:AA29, AQ25:AQ29,AY25:AY29))</f>
        <v>-6.2378452481137714E-7</v>
      </c>
      <c r="BU25" s="4">
        <f t="shared" si="17"/>
        <v>0</v>
      </c>
      <c r="BV25" s="4">
        <f t="shared" si="17"/>
        <v>3.125E-2</v>
      </c>
      <c r="BW25" s="4">
        <f t="shared" si="17"/>
        <v>-3.125E-2</v>
      </c>
      <c r="BX25" s="4">
        <f t="shared" si="17"/>
        <v>8</v>
      </c>
      <c r="BY25" s="4">
        <f t="shared" si="17"/>
        <v>56</v>
      </c>
      <c r="BZ25" s="4">
        <f t="shared" si="17"/>
        <v>136</v>
      </c>
      <c r="CA25" s="4">
        <f t="shared" si="17"/>
        <v>56</v>
      </c>
      <c r="CB25" s="4">
        <f t="shared" si="17"/>
        <v>9.3749999052761268E-6</v>
      </c>
      <c r="CC25" s="4">
        <f t="shared" si="17"/>
        <v>1.5624999988972377E-5</v>
      </c>
      <c r="CD25" s="4">
        <f t="shared" si="17"/>
        <v>-3.7500000100720854E-5</v>
      </c>
      <c r="CE25" s="4">
        <f t="shared" si="17"/>
        <v>-1.8750000094769348E-5</v>
      </c>
      <c r="CF25" s="4">
        <f t="shared" si="17"/>
        <v>-2.8125000000045475E-5</v>
      </c>
    </row>
    <row r="26" spans="1:84" outlineLevel="1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3.463425</v>
      </c>
      <c r="J26" s="28">
        <f t="shared" si="1"/>
        <v>0.14594897490590386</v>
      </c>
      <c r="K26" s="28">
        <f t="shared" si="2"/>
        <v>7.4952647729129518E-2</v>
      </c>
      <c r="L26" s="28">
        <f t="shared" si="3"/>
        <v>4.9765316677891726E-2</v>
      </c>
      <c r="M26" s="28">
        <f t="shared" si="4"/>
        <v>7.0992534570397253E-2</v>
      </c>
      <c r="N26" s="25">
        <f t="shared" si="5"/>
        <v>1897232</v>
      </c>
      <c r="O26" s="28">
        <f t="shared" si="6"/>
        <v>0.14802505245238515</v>
      </c>
      <c r="P26" s="62">
        <v>24957397</v>
      </c>
      <c r="Q26" s="62">
        <v>779919</v>
      </c>
      <c r="R26" s="62">
        <v>22437.599999999999</v>
      </c>
      <c r="S26" s="63">
        <v>3694320</v>
      </c>
      <c r="T26" s="63">
        <v>1259680</v>
      </c>
      <c r="U26" s="63">
        <v>637552</v>
      </c>
      <c r="V26" s="63">
        <v>1796992</v>
      </c>
      <c r="W26" s="64">
        <v>68.061999999999998</v>
      </c>
      <c r="X26" s="64">
        <v>70.0488</v>
      </c>
      <c r="Y26" s="64">
        <v>28.064599999999999</v>
      </c>
      <c r="Z26" s="64">
        <v>33.763100000000001</v>
      </c>
      <c r="AA26" s="64">
        <v>33.1616</v>
      </c>
      <c r="AB26" s="65">
        <v>2429.5</v>
      </c>
      <c r="AC26" s="65">
        <v>5405.64</v>
      </c>
      <c r="AD26" s="65">
        <v>5.4020000000000001</v>
      </c>
      <c r="AE26" s="65">
        <v>26.884</v>
      </c>
      <c r="AG26" s="27">
        <f t="shared" si="7"/>
        <v>3.4634325000000001</v>
      </c>
      <c r="AH26" s="28">
        <f t="shared" si="8"/>
        <v>0.14594929095643527</v>
      </c>
      <c r="AI26" s="28">
        <f t="shared" si="9"/>
        <v>7.4960232941883684E-2</v>
      </c>
      <c r="AJ26" s="28">
        <f t="shared" si="10"/>
        <v>4.976752903161169E-2</v>
      </c>
      <c r="AK26" s="28">
        <f t="shared" si="11"/>
        <v>7.0994746924117211E-2</v>
      </c>
      <c r="AL26" s="25">
        <f t="shared" si="12"/>
        <v>1897424</v>
      </c>
      <c r="AM26" s="28">
        <f t="shared" si="13"/>
        <v>0.14802537299863444</v>
      </c>
      <c r="AN26" s="62">
        <v>24957397</v>
      </c>
      <c r="AO26" s="62">
        <v>779918.65625</v>
      </c>
      <c r="AP26" s="62">
        <v>22437.59375</v>
      </c>
      <c r="AQ26" s="63">
        <v>3694328</v>
      </c>
      <c r="AR26" s="63">
        <v>1259736</v>
      </c>
      <c r="AS26" s="63">
        <v>637688</v>
      </c>
      <c r="AT26" s="63">
        <v>1797048</v>
      </c>
      <c r="AU26" s="64">
        <v>68.062037500000002</v>
      </c>
      <c r="AV26" s="64">
        <v>70.048765625000001</v>
      </c>
      <c r="AW26" s="64">
        <v>28.064584374999999</v>
      </c>
      <c r="AX26" s="64">
        <v>33.763143749999998</v>
      </c>
      <c r="AY26" s="64">
        <v>33.161640624999997</v>
      </c>
      <c r="AZ26" s="65">
        <v>6952.96</v>
      </c>
      <c r="BA26" s="65">
        <v>6691.01</v>
      </c>
      <c r="BB26" s="65">
        <v>6.8760000000000003</v>
      </c>
      <c r="BC26" s="65">
        <v>30.004000000000001</v>
      </c>
      <c r="BD26">
        <v>32</v>
      </c>
      <c r="BE26" s="33">
        <f t="shared" si="14"/>
        <v>4.6663742835073574E-9</v>
      </c>
      <c r="BF26" s="33">
        <f t="shared" si="15"/>
        <v>5.0859471536157663E-5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7"/>
        <v>0</v>
      </c>
      <c r="BV26" s="4">
        <f t="shared" si="17"/>
        <v>-0.34375</v>
      </c>
      <c r="BW26" s="4">
        <f t="shared" si="17"/>
        <v>-6.2499999985448085E-3</v>
      </c>
      <c r="BX26" s="4">
        <f t="shared" si="17"/>
        <v>8</v>
      </c>
      <c r="BY26" s="4">
        <f t="shared" si="17"/>
        <v>56</v>
      </c>
      <c r="BZ26" s="4">
        <f t="shared" si="17"/>
        <v>136</v>
      </c>
      <c r="CA26" s="4">
        <f t="shared" si="17"/>
        <v>56</v>
      </c>
      <c r="CB26" s="4">
        <f t="shared" si="17"/>
        <v>3.7500000004797585E-5</v>
      </c>
      <c r="CC26" s="4">
        <f t="shared" si="17"/>
        <v>-3.4374999998476596E-5</v>
      </c>
      <c r="CD26" s="4">
        <f t="shared" si="17"/>
        <v>-1.5624999999630518E-5</v>
      </c>
      <c r="CE26" s="4">
        <f t="shared" si="17"/>
        <v>4.3749999996123279E-5</v>
      </c>
      <c r="CF26" s="4">
        <f t="shared" si="17"/>
        <v>4.0624999996907718E-5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5.8895625000000003</v>
      </c>
      <c r="J27" s="18">
        <f t="shared" si="1"/>
        <v>0.24818658106332672</v>
      </c>
      <c r="K27" s="18">
        <f t="shared" si="2"/>
        <v>9.472982578346556E-2</v>
      </c>
      <c r="L27" s="18">
        <f t="shared" si="3"/>
        <v>6.9542494732227761E-2</v>
      </c>
      <c r="M27" s="18">
        <f t="shared" si="4"/>
        <v>0.1534529626734841</v>
      </c>
      <c r="N27" s="15">
        <f t="shared" si="5"/>
        <v>2397840</v>
      </c>
      <c r="O27" s="18">
        <f t="shared" si="6"/>
        <v>0.24866201966109025</v>
      </c>
      <c r="P27" s="58">
        <v>25264011</v>
      </c>
      <c r="Q27" s="58">
        <v>789500</v>
      </c>
      <c r="R27" s="58">
        <v>23649.9</v>
      </c>
      <c r="S27" s="59">
        <v>6282200</v>
      </c>
      <c r="T27" s="59">
        <v>1760288</v>
      </c>
      <c r="U27" s="59">
        <v>637552</v>
      </c>
      <c r="V27" s="59">
        <v>3884264</v>
      </c>
      <c r="W27" s="60">
        <v>69.418400000000005</v>
      </c>
      <c r="X27" s="60">
        <v>71.767499999999998</v>
      </c>
      <c r="Y27" s="60">
        <v>30.349299999999999</v>
      </c>
      <c r="Z27" s="60">
        <v>35.025300000000001</v>
      </c>
      <c r="AA27" s="60">
        <v>34.500500000000002</v>
      </c>
      <c r="AB27" s="61">
        <v>2892.71</v>
      </c>
      <c r="AC27" s="61">
        <v>7455.49</v>
      </c>
      <c r="AD27" s="61">
        <v>6.4740000000000002</v>
      </c>
      <c r="AE27" s="61">
        <v>32.484000000000002</v>
      </c>
      <c r="AG27" s="17">
        <f t="shared" si="7"/>
        <v>5.88957</v>
      </c>
      <c r="AH27" s="18">
        <f t="shared" si="8"/>
        <v>0.24818689711385816</v>
      </c>
      <c r="AI27" s="18">
        <f t="shared" si="9"/>
        <v>9.4737410996219726E-2</v>
      </c>
      <c r="AJ27" s="18">
        <f t="shared" si="10"/>
        <v>6.9544707085947732E-2</v>
      </c>
      <c r="AK27" s="18">
        <f t="shared" si="11"/>
        <v>0.15345517502720404</v>
      </c>
      <c r="AL27" s="15">
        <f t="shared" si="12"/>
        <v>2398032</v>
      </c>
      <c r="AM27" s="18">
        <f t="shared" si="13"/>
        <v>0.24866233631706383</v>
      </c>
      <c r="AN27" s="58">
        <v>25264011</v>
      </c>
      <c r="AO27" s="58">
        <v>789500.34375</v>
      </c>
      <c r="AP27" s="58">
        <v>23649.9375</v>
      </c>
      <c r="AQ27" s="59">
        <v>6282208</v>
      </c>
      <c r="AR27" s="59">
        <v>1760344</v>
      </c>
      <c r="AS27" s="59">
        <v>637688</v>
      </c>
      <c r="AT27" s="59">
        <v>3884320</v>
      </c>
      <c r="AU27" s="60">
        <v>69.418368749999999</v>
      </c>
      <c r="AV27" s="60">
        <v>71.767524999999907</v>
      </c>
      <c r="AW27" s="60">
        <v>30.349296874999901</v>
      </c>
      <c r="AX27" s="60">
        <v>35.025328125000001</v>
      </c>
      <c r="AY27" s="60">
        <v>34.500487499999899</v>
      </c>
      <c r="AZ27" s="61">
        <v>7067.31</v>
      </c>
      <c r="BA27" s="61">
        <v>7055.68</v>
      </c>
      <c r="BB27" s="61">
        <v>7.1040000000000001</v>
      </c>
      <c r="BC27" s="61">
        <v>31.004000000000001</v>
      </c>
      <c r="BD27">
        <v>32</v>
      </c>
      <c r="BE27" s="23">
        <f t="shared" si="14"/>
        <v>3.4455694453844332E-8</v>
      </c>
      <c r="BF27" s="23">
        <f t="shared" si="15"/>
        <v>3.007644707880841E-5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7"/>
        <v>0</v>
      </c>
      <c r="BV27" s="4">
        <f t="shared" si="17"/>
        <v>0.34375</v>
      </c>
      <c r="BW27" s="4">
        <f t="shared" si="17"/>
        <v>3.7499999998544808E-2</v>
      </c>
      <c r="BX27" s="4">
        <f t="shared" si="17"/>
        <v>8</v>
      </c>
      <c r="BY27" s="4">
        <f t="shared" si="17"/>
        <v>56</v>
      </c>
      <c r="BZ27" s="4">
        <f t="shared" si="17"/>
        <v>136</v>
      </c>
      <c r="CA27" s="4">
        <f t="shared" si="17"/>
        <v>56</v>
      </c>
      <c r="CB27" s="4">
        <f t="shared" si="17"/>
        <v>-3.1250000006366463E-5</v>
      </c>
      <c r="CC27" s="4">
        <f t="shared" si="17"/>
        <v>2.4999999908459358E-5</v>
      </c>
      <c r="CD27" s="4">
        <f t="shared" si="17"/>
        <v>-3.1250000986915438E-6</v>
      </c>
      <c r="CE27" s="4">
        <f t="shared" si="17"/>
        <v>2.8125000000045475E-5</v>
      </c>
      <c r="CF27" s="4">
        <f t="shared" si="17"/>
        <v>-1.2500000103443654E-5</v>
      </c>
    </row>
    <row r="28" spans="1:84" outlineLevel="1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11.87412</v>
      </c>
      <c r="J28" s="28">
        <f t="shared" si="1"/>
        <v>0.50037625815765929</v>
      </c>
      <c r="K28" s="28">
        <f t="shared" si="2"/>
        <v>0.12905259744548997</v>
      </c>
      <c r="L28" s="28">
        <f t="shared" si="3"/>
        <v>0.10386526639425218</v>
      </c>
      <c r="M28" s="28">
        <f t="shared" si="4"/>
        <v>0.37131986810579221</v>
      </c>
      <c r="N28" s="25">
        <f t="shared" si="5"/>
        <v>3266632</v>
      </c>
      <c r="O28" s="28">
        <f t="shared" si="6"/>
        <v>0.48285008593398826</v>
      </c>
      <c r="P28" s="62">
        <v>26231181</v>
      </c>
      <c r="Q28" s="62">
        <v>819724</v>
      </c>
      <c r="R28" s="62">
        <v>27138.6</v>
      </c>
      <c r="S28" s="63">
        <v>12665728</v>
      </c>
      <c r="T28" s="63">
        <v>2629080</v>
      </c>
      <c r="U28" s="63">
        <v>637552</v>
      </c>
      <c r="V28" s="63">
        <v>9399000</v>
      </c>
      <c r="W28" s="64">
        <v>70.447000000000003</v>
      </c>
      <c r="X28" s="64">
        <v>72.997600000000006</v>
      </c>
      <c r="Y28" s="64">
        <v>32.8322</v>
      </c>
      <c r="Z28" s="64">
        <v>36.566699999999997</v>
      </c>
      <c r="AA28" s="64">
        <v>36.046300000000002</v>
      </c>
      <c r="AB28" s="65">
        <v>2345.04</v>
      </c>
      <c r="AC28" s="65">
        <v>6383.79</v>
      </c>
      <c r="AD28" s="65">
        <v>5.476</v>
      </c>
      <c r="AE28" s="65">
        <v>28.137</v>
      </c>
      <c r="AG28" s="27">
        <f t="shared" si="7"/>
        <v>11.8741275</v>
      </c>
      <c r="AH28" s="28">
        <f t="shared" si="8"/>
        <v>0.50037657420819071</v>
      </c>
      <c r="AI28" s="28">
        <f t="shared" si="9"/>
        <v>0.12906018265824412</v>
      </c>
      <c r="AJ28" s="28">
        <f t="shared" si="10"/>
        <v>0.10386747874797214</v>
      </c>
      <c r="AK28" s="28">
        <f t="shared" si="11"/>
        <v>0.3713220804595122</v>
      </c>
      <c r="AL28" s="25">
        <f t="shared" si="12"/>
        <v>3266824</v>
      </c>
      <c r="AM28" s="28">
        <f t="shared" si="13"/>
        <v>0.48285039091453791</v>
      </c>
      <c r="AN28" s="62">
        <v>26231181</v>
      </c>
      <c r="AO28" s="62">
        <v>819724.40625</v>
      </c>
      <c r="AP28" s="62">
        <v>27138.5625</v>
      </c>
      <c r="AQ28" s="63">
        <v>12665736</v>
      </c>
      <c r="AR28" s="63">
        <v>2629136</v>
      </c>
      <c r="AS28" s="63">
        <v>637688</v>
      </c>
      <c r="AT28" s="63">
        <v>9399056</v>
      </c>
      <c r="AU28" s="64">
        <v>70.446950000000001</v>
      </c>
      <c r="AV28" s="64">
        <v>72.997609374999996</v>
      </c>
      <c r="AW28" s="64">
        <v>32.832218750000003</v>
      </c>
      <c r="AX28" s="64">
        <v>36.566724999999998</v>
      </c>
      <c r="AY28" s="64">
        <v>36.046299999999903</v>
      </c>
      <c r="AZ28" s="65">
        <v>7255.56</v>
      </c>
      <c r="BA28" s="65">
        <v>7622.68</v>
      </c>
      <c r="BB28" s="65">
        <v>7.3840000000000003</v>
      </c>
      <c r="BC28" s="65">
        <v>32.951999999999998</v>
      </c>
      <c r="BD28">
        <v>32</v>
      </c>
      <c r="BE28" s="33">
        <f t="shared" si="14"/>
        <v>-6.2154691421456576E-8</v>
      </c>
      <c r="BF28" s="33">
        <f t="shared" si="15"/>
        <v>1.499610532695872E-5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7"/>
        <v>0</v>
      </c>
      <c r="BV28" s="4">
        <f t="shared" si="17"/>
        <v>0.40625</v>
      </c>
      <c r="BW28" s="4">
        <f t="shared" si="17"/>
        <v>-3.7499999998544808E-2</v>
      </c>
      <c r="BX28" s="4">
        <f t="shared" si="17"/>
        <v>8</v>
      </c>
      <c r="BY28" s="4">
        <f t="shared" si="17"/>
        <v>56</v>
      </c>
      <c r="BZ28" s="4">
        <f t="shared" si="17"/>
        <v>136</v>
      </c>
      <c r="CA28" s="4">
        <f t="shared" si="17"/>
        <v>56</v>
      </c>
      <c r="CB28" s="4">
        <f t="shared" si="17"/>
        <v>-5.0000000001659828E-5</v>
      </c>
      <c r="CC28" s="4">
        <f t="shared" si="17"/>
        <v>9.3749999905412551E-6</v>
      </c>
      <c r="CD28" s="4">
        <f t="shared" si="17"/>
        <v>1.8750000002398792E-5</v>
      </c>
      <c r="CE28" s="4">
        <f t="shared" si="17"/>
        <v>2.5000000000829914E-5</v>
      </c>
      <c r="CF28" s="4">
        <f t="shared" si="17"/>
        <v>-9.9475983006414026E-14</v>
      </c>
    </row>
    <row r="29" spans="1:84" ht="15.75" outlineLevel="1" thickBot="1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27.553619999999999</v>
      </c>
      <c r="J29" s="38">
        <f t="shared" si="1"/>
        <v>1.1611114991509301</v>
      </c>
      <c r="K29" s="38">
        <f t="shared" si="2"/>
        <v>0.21132118287600293</v>
      </c>
      <c r="L29" s="38">
        <f t="shared" si="3"/>
        <v>0.16190415388373955</v>
      </c>
      <c r="M29" s="38">
        <f t="shared" si="4"/>
        <v>0.94978652366855021</v>
      </c>
      <c r="N29" s="35">
        <f t="shared" si="5"/>
        <v>5349048</v>
      </c>
      <c r="O29" s="38">
        <f t="shared" si="6"/>
        <v>1.1722854988415961</v>
      </c>
      <c r="P29" s="66">
        <v>25071135</v>
      </c>
      <c r="Q29" s="66">
        <v>783473</v>
      </c>
      <c r="R29" s="66">
        <v>12108.5</v>
      </c>
      <c r="S29" s="67">
        <v>29390528</v>
      </c>
      <c r="T29" s="67">
        <v>4098184</v>
      </c>
      <c r="U29" s="67">
        <v>1250864</v>
      </c>
      <c r="V29" s="67">
        <v>24041384</v>
      </c>
      <c r="W29" s="68">
        <v>71.482799999999997</v>
      </c>
      <c r="X29" s="68">
        <v>74.907200000000003</v>
      </c>
      <c r="Y29" s="68">
        <v>35.524500000000003</v>
      </c>
      <c r="Z29" s="68">
        <v>38.552999999999997</v>
      </c>
      <c r="AA29" s="68">
        <v>37.999200000000002</v>
      </c>
      <c r="AB29" s="69">
        <v>2504.54</v>
      </c>
      <c r="AC29" s="69">
        <v>7954.23</v>
      </c>
      <c r="AD29" s="69">
        <v>5.61</v>
      </c>
      <c r="AE29" s="69">
        <v>32.136000000000003</v>
      </c>
      <c r="AG29" s="37">
        <f t="shared" si="7"/>
        <v>27.553627500000001</v>
      </c>
      <c r="AH29" s="38">
        <f t="shared" si="8"/>
        <v>1.1611118152014617</v>
      </c>
      <c r="AI29" s="38">
        <f t="shared" si="9"/>
        <v>0.21132876808875711</v>
      </c>
      <c r="AJ29" s="38">
        <f t="shared" si="10"/>
        <v>0.16190636623745952</v>
      </c>
      <c r="AK29" s="38">
        <f t="shared" si="11"/>
        <v>0.94978873602227021</v>
      </c>
      <c r="AL29" s="35">
        <f t="shared" si="12"/>
        <v>5349240</v>
      </c>
      <c r="AM29" s="38">
        <f t="shared" si="13"/>
        <v>1.1722858179336515</v>
      </c>
      <c r="AN29" s="66">
        <v>25071135</v>
      </c>
      <c r="AO29" s="66">
        <v>783472.96875</v>
      </c>
      <c r="AP29" s="66">
        <v>12108.53125</v>
      </c>
      <c r="AQ29" s="67">
        <v>29390536</v>
      </c>
      <c r="AR29" s="67">
        <v>4098240</v>
      </c>
      <c r="AS29" s="67">
        <v>1251000</v>
      </c>
      <c r="AT29" s="67">
        <v>24041440</v>
      </c>
      <c r="AU29" s="68">
        <v>71.482781250000002</v>
      </c>
      <c r="AV29" s="68">
        <v>74.907206250000002</v>
      </c>
      <c r="AW29" s="68">
        <v>35.524450000000002</v>
      </c>
      <c r="AX29" s="68">
        <v>38.553015625</v>
      </c>
      <c r="AY29" s="68">
        <v>37.999199999999902</v>
      </c>
      <c r="AZ29" s="69">
        <v>7035.17</v>
      </c>
      <c r="BA29" s="69">
        <v>8530.4500000000007</v>
      </c>
      <c r="BB29" s="69">
        <v>7.1239999999999997</v>
      </c>
      <c r="BC29" s="69">
        <v>36.631999999999998</v>
      </c>
      <c r="BD29">
        <v>32</v>
      </c>
      <c r="BE29" s="43">
        <f t="shared" si="14"/>
        <v>4.050294906930707E-8</v>
      </c>
      <c r="BF29" s="43">
        <f t="shared" si="15"/>
        <v>6.4831756606265056E-6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7"/>
        <v>0</v>
      </c>
      <c r="BV29" s="4">
        <f t="shared" si="17"/>
        <v>-3.125E-2</v>
      </c>
      <c r="BW29" s="4">
        <f t="shared" si="17"/>
        <v>3.125E-2</v>
      </c>
      <c r="BX29" s="4">
        <f t="shared" si="17"/>
        <v>8</v>
      </c>
      <c r="BY29" s="4">
        <f t="shared" si="17"/>
        <v>56</v>
      </c>
      <c r="BZ29" s="4">
        <f t="shared" si="17"/>
        <v>136</v>
      </c>
      <c r="CA29" s="4">
        <f t="shared" si="17"/>
        <v>56</v>
      </c>
      <c r="CB29" s="4">
        <f t="shared" si="17"/>
        <v>-1.8749999995293365E-5</v>
      </c>
      <c r="CC29" s="4">
        <f t="shared" si="17"/>
        <v>6.2499999984311216E-6</v>
      </c>
      <c r="CD29" s="4">
        <f t="shared" si="17"/>
        <v>-5.0000000001659828E-5</v>
      </c>
      <c r="CE29" s="4">
        <f t="shared" si="17"/>
        <v>1.5625000003183231E-5</v>
      </c>
      <c r="CF29" s="4">
        <f t="shared" si="17"/>
        <v>-9.9475983006414026E-14</v>
      </c>
    </row>
    <row r="30" spans="1:84">
      <c r="B30" s="55" t="s">
        <v>286</v>
      </c>
      <c r="J30" s="56">
        <f>AVERAGE(J5:J24)</f>
        <v>0.18357556938514188</v>
      </c>
      <c r="K30" s="56">
        <f>AVERAGE(K5:K24)</f>
        <v>8.9680764432924137E-2</v>
      </c>
      <c r="L30" s="56">
        <f>AVERAGE(L5:L24)</f>
        <v>6.3140101787303199E-2</v>
      </c>
      <c r="M30" s="56">
        <f>AVERAGE(M5:M24)</f>
        <v>9.3891332114360002E-2</v>
      </c>
      <c r="AH30" s="56">
        <f>AVERAGE(AH5:AH24)</f>
        <v>0.18357585878829669</v>
      </c>
      <c r="AI30" s="56">
        <f>AVERAGE(AI5:AI24)</f>
        <v>8.9687710108639587E-2</v>
      </c>
      <c r="AJ30" s="56">
        <f>AVERAGE(AJ5:AJ24)</f>
        <v>6.3142127609386853E-2</v>
      </c>
      <c r="AK30" s="56">
        <f>AVERAGE(AK5:AK24)</f>
        <v>9.3893357936443683E-2</v>
      </c>
      <c r="BG30" s="8">
        <f>AVERAGE(BG5:BG24)</f>
        <v>6.1251381643423475E-5</v>
      </c>
      <c r="BI30" s="5">
        <f>AVERAGE(BI5:BI24)</f>
        <v>1.0467829810945073E-4</v>
      </c>
      <c r="BJ30" s="5">
        <f>AVERAGE(BJ5:BJ24)</f>
        <v>9.8555015813794888E-5</v>
      </c>
      <c r="BK30" s="5">
        <f>AVERAGE(BK5:BK24)</f>
        <v>5.9253146406590407E-5</v>
      </c>
      <c r="BL30" s="5">
        <f>AVERAGE(BL5:BL24)</f>
        <v>4.972815206472081E-5</v>
      </c>
      <c r="BM30" s="5">
        <f>AVERAGE(BM5:BM24)</f>
        <v>6.5053812989823712E-5</v>
      </c>
      <c r="BO30" s="5">
        <f>AVERAGE(BO5:BO24)</f>
        <v>3.6164362797463934E-6</v>
      </c>
      <c r="BP30" s="5">
        <f>AVERAGE(BP5:BP24)</f>
        <v>1.8439159335803534E-6</v>
      </c>
      <c r="BQ30" s="5">
        <f>AVERAGE(BQ5:BQ24)</f>
        <v>2.7851560226721528E-6</v>
      </c>
      <c r="BR30" s="5">
        <f>AVERAGE(BR5:BR24)</f>
        <v>-9.7838232332447816E-7</v>
      </c>
      <c r="BS30" s="5">
        <f>AVERAGE(BS5:BS24)</f>
        <v>6.4862608549209888E-6</v>
      </c>
    </row>
    <row r="31" spans="1:84">
      <c r="B31" s="55" t="s">
        <v>287</v>
      </c>
      <c r="J31" s="56">
        <f>AVERAGE(J25:J29)</f>
        <v>0.43018895713122196</v>
      </c>
      <c r="K31" s="56">
        <f>AVERAGE(K25:K29)</f>
        <v>0.11424790561214089</v>
      </c>
      <c r="L31" s="56">
        <f>AVERAGE(L25:L29)</f>
        <v>8.421463497269796E-2</v>
      </c>
      <c r="M31" s="56">
        <f>AVERAGE(M25:M29)</f>
        <v>0.31593725891270397</v>
      </c>
      <c r="AH31" s="56">
        <f>AVERAGE(AH25:AH29)</f>
        <v>0.43018927318175343</v>
      </c>
      <c r="AI31" s="56">
        <f>AVERAGE(AI25:AI29)</f>
        <v>0.11425549082489506</v>
      </c>
      <c r="AJ31" s="56">
        <f>AVERAGE(AJ25:AJ29)</f>
        <v>8.4216847326417946E-2</v>
      </c>
      <c r="AK31" s="56">
        <f>AVERAGE(AK25:AK29)</f>
        <v>0.31593947126642397</v>
      </c>
      <c r="BG31" s="8">
        <f>AVERAGE(BG25:BG29)</f>
        <v>3.5972366979941661E-5</v>
      </c>
      <c r="BI31" s="5">
        <f>AVERAGE(BI25:BI29)</f>
        <v>9.0237770760781544E-5</v>
      </c>
      <c r="BJ31" s="5">
        <f>AVERAGE(BJ25:BJ29)</f>
        <v>8.0744673743637918E-5</v>
      </c>
      <c r="BK31" s="5">
        <f>AVERAGE(BK25:BK29)</f>
        <v>2.1210632463741774E-5</v>
      </c>
      <c r="BL31" s="5">
        <f>AVERAGE(BL25:BL29)</f>
        <v>3.1840726730791857E-6</v>
      </c>
      <c r="BM31" s="5">
        <f>AVERAGE(BM25:BM29)</f>
        <v>1.5635393264989972E-5</v>
      </c>
      <c r="BO31" s="5">
        <f>AVERAGE(BO25:BO29)</f>
        <v>1.0168988598735496E-5</v>
      </c>
      <c r="BP31" s="5">
        <f>AVERAGE(BP25:BP29)</f>
        <v>7.3081398666019481E-7</v>
      </c>
      <c r="BQ31" s="5">
        <f>AVERAGE(BQ25:BQ29)</f>
        <v>2.954016623091249E-6</v>
      </c>
      <c r="BR31" s="5">
        <f>AVERAGE(BR25:BR29)</f>
        <v>-9.5648192453001712E-6</v>
      </c>
      <c r="BS31" s="5">
        <f>AVERAGE(BS25:BS29)</f>
        <v>-6.2378452481137714E-7</v>
      </c>
    </row>
    <row r="32" spans="1:84">
      <c r="B32" s="55" t="s">
        <v>288</v>
      </c>
      <c r="J32" s="56">
        <f>AVERAGE(J5:J29)</f>
        <v>0.23289824693435787</v>
      </c>
      <c r="K32" s="56">
        <f>AVERAGE(K5:K29)</f>
        <v>9.4594192668767507E-2</v>
      </c>
      <c r="L32" s="56">
        <f>AVERAGE(L5:L29)</f>
        <v>6.7355008424382148E-2</v>
      </c>
      <c r="M32" s="56">
        <f>AVERAGE(M5:M29)</f>
        <v>0.1383005174740288</v>
      </c>
      <c r="AH32" s="56">
        <f>AVERAGE(AH5:AH29)</f>
        <v>0.23289854166698803</v>
      </c>
      <c r="AI32" s="56">
        <f>AVERAGE(AI5:AI29)</f>
        <v>9.4601266251890678E-2</v>
      </c>
      <c r="AJ32" s="56">
        <f>AVERAGE(AJ5:AJ29)</f>
        <v>6.735707155279308E-2</v>
      </c>
      <c r="AK32" s="56">
        <f>AVERAGE(AK5:AK29)</f>
        <v>0.13830258060243972</v>
      </c>
      <c r="BG32" s="8">
        <f>AVERAGE(BG5:BG29)</f>
        <v>5.6195578710727112E-5</v>
      </c>
      <c r="BI32" s="5">
        <f>AVERAGE(BI5:BI29)</f>
        <v>1.0179019263971689E-4</v>
      </c>
      <c r="BJ32" s="5">
        <f>AVERAGE(BJ5:BJ29)</f>
        <v>9.49929473997635E-5</v>
      </c>
      <c r="BK32" s="5">
        <f>AVERAGE(BK5:BK29)</f>
        <v>5.1644643618020678E-5</v>
      </c>
      <c r="BL32" s="5">
        <f>AVERAGE(BL5:BL29)</f>
        <v>4.0419336186392486E-5</v>
      </c>
      <c r="BM32" s="5">
        <f>AVERAGE(BM5:BM29)</f>
        <v>5.5170129044856962E-5</v>
      </c>
      <c r="BO32" s="5">
        <f>AVERAGE(BO5:BO29)</f>
        <v>4.9269467435442136E-6</v>
      </c>
      <c r="BP32" s="5">
        <f>AVERAGE(BP5:BP29)</f>
        <v>1.6212955441963217E-6</v>
      </c>
      <c r="BQ32" s="5">
        <f>AVERAGE(BQ5:BQ29)</f>
        <v>2.8189281427559719E-6</v>
      </c>
      <c r="BR32" s="5">
        <f>AVERAGE(BR5:BR29)</f>
        <v>-2.695669707719617E-6</v>
      </c>
      <c r="BS32" s="5">
        <f>AVERAGE(BS5:BS29)</f>
        <v>5.0642517789745158E-6</v>
      </c>
    </row>
    <row r="33" spans="1:55" hidden="1" outlineLevel="2">
      <c r="A33" s="55" t="s">
        <v>289</v>
      </c>
      <c r="B33" s="55" t="s">
        <v>290</v>
      </c>
      <c r="AB33" s="57">
        <f>SUM(AB5:AB24,AB25:AB29)</f>
        <v>69263.34</v>
      </c>
      <c r="AC33" s="57">
        <f>SUM(AC5:AC24,AC25:AC29)</f>
        <v>120634.41999999998</v>
      </c>
      <c r="AD33" s="57">
        <f>SUM(AD5:AD24,AD25:AD29)</f>
        <v>148.38299999999998</v>
      </c>
      <c r="AE33" s="57">
        <f>SUM(AE5:AE24,AE25:AE29)</f>
        <v>577.69900000000007</v>
      </c>
      <c r="AZ33" s="57">
        <f>SUM(AZ5:AZ24,AZ25:AZ29)</f>
        <v>214814.25000000003</v>
      </c>
      <c r="BA33" s="57">
        <f>SUM(BA5:BA24,BA25:BA29)</f>
        <v>134401.84999999998</v>
      </c>
      <c r="BB33" s="57">
        <f>SUM(BB5:BB24,BB25:BB29)</f>
        <v>188.64399999999998</v>
      </c>
      <c r="BC33" s="57">
        <f>SUM(BC5:BC24,BC25:BC29)</f>
        <v>631.02399999999989</v>
      </c>
    </row>
    <row r="34" spans="1:55" hidden="1" outlineLevel="2">
      <c r="B34" s="55" t="s">
        <v>291</v>
      </c>
      <c r="AZ34" s="8">
        <f>AZ33/AB33</f>
        <v>3.1014133883812134</v>
      </c>
      <c r="BA34" s="8">
        <f>BA33/AC33</f>
        <v>1.1141252223038831</v>
      </c>
      <c r="BB34" s="8">
        <f>BB33/AD33</f>
        <v>1.2713316215469428</v>
      </c>
      <c r="BC34" s="8">
        <f>BC33/AE33</f>
        <v>1.0923058547790454</v>
      </c>
    </row>
    <row r="35" spans="1:55" hidden="1" outlineLevel="2">
      <c r="B35" s="55" t="s">
        <v>292</v>
      </c>
      <c r="AB35" s="57">
        <f>GEOMEAN(AB5:AB24,AB25:AB29)</f>
        <v>2713.2435463882298</v>
      </c>
      <c r="AC35" s="57">
        <f>GEOMEAN(AC5:AC24,AC25:AC29)</f>
        <v>4667.2633405438692</v>
      </c>
      <c r="AD35" s="57">
        <f>GEOMEAN(AD5:AD24,AD25:AD29)</f>
        <v>5.8418659699868538</v>
      </c>
      <c r="AE35" s="57">
        <f>GEOMEAN(AE5:AE24,AE25:AE29)</f>
        <v>22.681087041946</v>
      </c>
      <c r="AZ35" s="57">
        <f>GEOMEAN(AZ5:AZ24,AZ25:AZ29)</f>
        <v>8374.4327720354522</v>
      </c>
      <c r="BA35" s="57">
        <f>GEOMEAN(BA5:BA24,BA25:BA29)</f>
        <v>5228.573431129008</v>
      </c>
      <c r="BB35" s="57">
        <f>GEOMEAN(BB5:BB24,BB25:BB29)</f>
        <v>7.4007481003016711</v>
      </c>
      <c r="BC35" s="57">
        <f>GEOMEAN(BC5:BC24,BC25:BC29)</f>
        <v>24.699140583444485</v>
      </c>
    </row>
    <row r="36" spans="1:55" outlineLevel="2" collapsed="1">
      <c r="B36" s="55" t="s">
        <v>293</v>
      </c>
      <c r="AZ36" s="8">
        <f>AZ35/AB35</f>
        <v>3.0865024200216711</v>
      </c>
      <c r="BA36" s="8">
        <f>BA35/AC35</f>
        <v>1.1202653567260961</v>
      </c>
      <c r="BB36" s="8">
        <f>BB35/AD35</f>
        <v>1.2668466100255849</v>
      </c>
      <c r="BC36" s="8">
        <f>BC35/AE35</f>
        <v>1.0889751685078557</v>
      </c>
    </row>
  </sheetData>
  <mergeCells count="47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CD2:CF2"/>
    <mergeCell ref="BU2:BU3"/>
    <mergeCell ref="BV2:BV3"/>
    <mergeCell ref="BW2:BW3"/>
    <mergeCell ref="BX2:CA2"/>
    <mergeCell ref="CB2:CC2"/>
  </mergeCells>
  <phoneticPr fontId="2"/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Graziosi, Danillo</cp:lastModifiedBy>
  <dcterms:created xsi:type="dcterms:W3CDTF">2018-08-31T19:13:00Z</dcterms:created>
  <dcterms:modified xsi:type="dcterms:W3CDTF">2019-04-28T05:26:44Z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