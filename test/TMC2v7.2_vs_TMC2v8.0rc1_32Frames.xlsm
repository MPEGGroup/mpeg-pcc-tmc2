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99367805-1F0E-FA4E-8DEB-2A2F59449925}" xr6:coauthVersionLast="36" xr6:coauthVersionMax="36" xr10:uidLastSave="{00000000-0000-0000-0000-000000000000}"/>
  <bookViews>
    <workbookView xWindow="0" yWindow="460" windowWidth="27320" windowHeight="1370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K38" i="7"/>
  <c r="AJ38" i="7"/>
  <c r="AI38" i="7"/>
  <c r="AH38" i="7"/>
  <c r="AG38" i="7"/>
  <c r="N38" i="7"/>
  <c r="BG38" i="7" s="1"/>
  <c r="M38" i="7"/>
  <c r="L38" i="7"/>
  <c r="K38" i="7"/>
  <c r="J38" i="7"/>
  <c r="I38" i="7"/>
  <c r="BF37" i="7"/>
  <c r="AL37" i="7"/>
  <c r="AI37" i="7" s="1"/>
  <c r="AK37" i="7"/>
  <c r="AJ37" i="7"/>
  <c r="AH37" i="7"/>
  <c r="AG37" i="7"/>
  <c r="N37" i="7"/>
  <c r="K37" i="7" s="1"/>
  <c r="M37" i="7"/>
  <c r="L37" i="7"/>
  <c r="J37" i="7"/>
  <c r="I37" i="7"/>
  <c r="BF36" i="7"/>
  <c r="AL36" i="7"/>
  <c r="AK36" i="7"/>
  <c r="AJ36" i="7"/>
  <c r="AI36" i="7"/>
  <c r="AH36" i="7"/>
  <c r="AG36" i="7"/>
  <c r="N36" i="7"/>
  <c r="BG36" i="7" s="1"/>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K33" i="7"/>
  <c r="AJ33" i="7"/>
  <c r="AI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H42" i="7" s="1"/>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I25" i="7"/>
  <c r="AH25" i="7"/>
  <c r="AG25" i="7"/>
  <c r="N25" i="7"/>
  <c r="K25" i="7" s="1"/>
  <c r="M25" i="7"/>
  <c r="L25" i="7"/>
  <c r="J25" i="7"/>
  <c r="I25" i="7"/>
  <c r="BF24" i="7"/>
  <c r="AL24" i="7"/>
  <c r="AK24" i="7"/>
  <c r="AJ24" i="7"/>
  <c r="AH24" i="7"/>
  <c r="AG24" i="7"/>
  <c r="N24" i="7"/>
  <c r="K24" i="7" s="1"/>
  <c r="M24" i="7"/>
  <c r="L24" i="7"/>
  <c r="J24" i="7"/>
  <c r="I24" i="7"/>
  <c r="BF23" i="7"/>
  <c r="AL23" i="7"/>
  <c r="AK23" i="7"/>
  <c r="AJ23" i="7"/>
  <c r="AI23" i="7"/>
  <c r="AH23" i="7"/>
  <c r="AG23" i="7"/>
  <c r="N23" i="7"/>
  <c r="BG23" i="7" s="1"/>
  <c r="M23" i="7"/>
  <c r="L23" i="7"/>
  <c r="K23" i="7"/>
  <c r="J23" i="7"/>
  <c r="I23" i="7"/>
  <c r="BF22" i="7"/>
  <c r="AL22" i="7"/>
  <c r="AK22" i="7"/>
  <c r="AJ22" i="7"/>
  <c r="AH22" i="7"/>
  <c r="AG22" i="7"/>
  <c r="N22" i="7"/>
  <c r="K22" i="7" s="1"/>
  <c r="M22" i="7"/>
  <c r="L22" i="7"/>
  <c r="J22" i="7"/>
  <c r="I22" i="7"/>
  <c r="BF21" i="7"/>
  <c r="AL21" i="7"/>
  <c r="AK21" i="7"/>
  <c r="AJ21" i="7"/>
  <c r="AI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BG15" i="7" s="1"/>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K7" i="7"/>
  <c r="AJ7" i="7"/>
  <c r="AI7" i="7"/>
  <c r="AH7" i="7"/>
  <c r="AG7" i="7"/>
  <c r="N7" i="7"/>
  <c r="M7" i="7"/>
  <c r="L7" i="7"/>
  <c r="K7" i="7"/>
  <c r="J7" i="7"/>
  <c r="I7" i="7"/>
  <c r="BF6" i="7"/>
  <c r="AL6" i="7"/>
  <c r="AK6" i="7"/>
  <c r="AJ6" i="7"/>
  <c r="AH6" i="7"/>
  <c r="AG6" i="7"/>
  <c r="N6" i="7"/>
  <c r="K6" i="7" s="1"/>
  <c r="M6" i="7"/>
  <c r="L6" i="7"/>
  <c r="J6" i="7"/>
  <c r="I6" i="7"/>
  <c r="BF5" i="7"/>
  <c r="AL5" i="7"/>
  <c r="AI5" i="7" s="1"/>
  <c r="AK5" i="7"/>
  <c r="AJ5" i="7"/>
  <c r="AH5" i="7"/>
  <c r="AG5" i="7"/>
  <c r="N5" i="7"/>
  <c r="K5" i="7" s="1"/>
  <c r="M5" i="7"/>
  <c r="L5" i="7"/>
  <c r="L43" i="7" s="1"/>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BD11" i="5" s="1"/>
  <c r="AG11" i="5"/>
  <c r="AF11" i="5"/>
  <c r="AE11" i="5"/>
  <c r="N11" i="5"/>
  <c r="K11" i="5" s="1"/>
  <c r="M11" i="5"/>
  <c r="BE11" i="5" s="1"/>
  <c r="L11" i="5"/>
  <c r="J11" i="5"/>
  <c r="I11" i="5"/>
  <c r="H11" i="5"/>
  <c r="BB10" i="5"/>
  <c r="AK10" i="5"/>
  <c r="AJ10" i="5"/>
  <c r="AI10" i="5"/>
  <c r="AH10" i="5"/>
  <c r="AG10" i="5"/>
  <c r="AG14" i="5" s="1"/>
  <c r="AF10" i="5"/>
  <c r="AE10" i="5"/>
  <c r="N10" i="5"/>
  <c r="K10" i="5" s="1"/>
  <c r="M10" i="5"/>
  <c r="M14" i="5" s="1"/>
  <c r="L10" i="5"/>
  <c r="J10" i="5"/>
  <c r="I10" i="5"/>
  <c r="H10" i="5"/>
  <c r="AK9" i="5"/>
  <c r="AJ9" i="5"/>
  <c r="AI9" i="5"/>
  <c r="AG9" i="5"/>
  <c r="AF9" i="5"/>
  <c r="AE9" i="5"/>
  <c r="N9" i="5"/>
  <c r="K9" i="5" s="1"/>
  <c r="K13" i="5" s="1"/>
  <c r="M9" i="5"/>
  <c r="L9" i="5"/>
  <c r="L13" i="5" s="1"/>
  <c r="J9" i="5"/>
  <c r="J13" i="5" s="1"/>
  <c r="I9" i="5"/>
  <c r="H9" i="5"/>
  <c r="BG8" i="5" a="1"/>
  <c r="BD8" i="5"/>
  <c r="AK8" i="5"/>
  <c r="AH8" i="5" s="1"/>
  <c r="AJ8" i="5"/>
  <c r="AI8" i="5"/>
  <c r="AG8" i="5"/>
  <c r="AF8" i="5"/>
  <c r="AE8" i="5"/>
  <c r="N8" i="5"/>
  <c r="K8" i="5" s="1"/>
  <c r="M8" i="5"/>
  <c r="L8" i="5"/>
  <c r="J8" i="5"/>
  <c r="I8" i="5"/>
  <c r="H8" i="5"/>
  <c r="AK7" i="5"/>
  <c r="AJ7" i="5"/>
  <c r="AI7" i="5"/>
  <c r="BD7" i="5" s="1"/>
  <c r="AG7" i="5"/>
  <c r="AF7" i="5"/>
  <c r="AE7" i="5"/>
  <c r="N7" i="5"/>
  <c r="K7" i="5" s="1"/>
  <c r="M7" i="5"/>
  <c r="BE7" i="5" s="1"/>
  <c r="L7" i="5"/>
  <c r="J7" i="5"/>
  <c r="I7" i="5"/>
  <c r="H7" i="5"/>
  <c r="AK6" i="5"/>
  <c r="AH6" i="5" s="1"/>
  <c r="AJ6" i="5"/>
  <c r="AI6" i="5"/>
  <c r="AG6" i="5"/>
  <c r="BB6" i="5" s="1"/>
  <c r="AF6" i="5"/>
  <c r="AE6" i="5"/>
  <c r="N6" i="5"/>
  <c r="K6" i="5" s="1"/>
  <c r="M6" i="5"/>
  <c r="L6" i="5"/>
  <c r="J6" i="5"/>
  <c r="I6" i="5"/>
  <c r="H6" i="5"/>
  <c r="AK5" i="5"/>
  <c r="AJ5" i="5"/>
  <c r="AJ12" i="5" s="1"/>
  <c r="AI5" i="5"/>
  <c r="AG5" i="5"/>
  <c r="AF5" i="5"/>
  <c r="AE5" i="5"/>
  <c r="N5" i="5"/>
  <c r="K5" i="5" s="1"/>
  <c r="M5" i="5"/>
  <c r="M12" i="5" s="1"/>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BE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BE34" i="3" s="1"/>
  <c r="AK34" i="3"/>
  <c r="AJ34" i="3"/>
  <c r="AH34" i="3"/>
  <c r="AG34" i="3"/>
  <c r="N34" i="3"/>
  <c r="M34" i="3"/>
  <c r="L34" i="3"/>
  <c r="K34" i="3"/>
  <c r="J34" i="3"/>
  <c r="I34" i="3"/>
  <c r="BF33" i="3"/>
  <c r="AL33" i="3"/>
  <c r="AI33" i="3" s="1"/>
  <c r="BE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K42" i="3" s="1"/>
  <c r="AJ30" i="3"/>
  <c r="AH30" i="3"/>
  <c r="AG30" i="3"/>
  <c r="N30" i="3"/>
  <c r="M30" i="3"/>
  <c r="L30" i="3"/>
  <c r="K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J41" i="3" s="1"/>
  <c r="AH25" i="3"/>
  <c r="AG25" i="3"/>
  <c r="N25" i="3"/>
  <c r="M25" i="3"/>
  <c r="M41" i="3" s="1"/>
  <c r="L25" i="3"/>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BG22" i="3" s="1"/>
  <c r="M22" i="3"/>
  <c r="L22" i="3"/>
  <c r="K22" i="3"/>
  <c r="J22" i="3"/>
  <c r="I22" i="3"/>
  <c r="BF21" i="3"/>
  <c r="AL21" i="3"/>
  <c r="AI21" i="3" s="1"/>
  <c r="AK21" i="3"/>
  <c r="AJ21" i="3"/>
  <c r="AH21" i="3"/>
  <c r="AG21" i="3"/>
  <c r="N21" i="3"/>
  <c r="K21" i="3" s="1"/>
  <c r="M21" i="3"/>
  <c r="L21" i="3"/>
  <c r="J21" i="3"/>
  <c r="I21" i="3"/>
  <c r="BH20" i="3" a="1"/>
  <c r="BH20" i="3" s="1"/>
  <c r="BF20" i="3"/>
  <c r="AL20" i="3"/>
  <c r="AK20" i="3"/>
  <c r="AJ20" i="3"/>
  <c r="AI20" i="3"/>
  <c r="AH20" i="3"/>
  <c r="AG20" i="3"/>
  <c r="N20" i="3"/>
  <c r="BG20" i="3" s="1"/>
  <c r="M20" i="3"/>
  <c r="L20" i="3"/>
  <c r="K20" i="3"/>
  <c r="J20" i="3"/>
  <c r="I20" i="3"/>
  <c r="BF19" i="3"/>
  <c r="AL19" i="3"/>
  <c r="BG19" i="3" s="1"/>
  <c r="AK19" i="3"/>
  <c r="AJ19" i="3"/>
  <c r="AH19" i="3"/>
  <c r="AG19" i="3"/>
  <c r="N19" i="3"/>
  <c r="K19" i="3" s="1"/>
  <c r="M19" i="3"/>
  <c r="L19" i="3"/>
  <c r="J19" i="3"/>
  <c r="I19" i="3"/>
  <c r="BF18" i="3"/>
  <c r="AL18" i="3"/>
  <c r="AK18" i="3"/>
  <c r="AJ18" i="3"/>
  <c r="AI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BG16" i="3" s="1"/>
  <c r="M16" i="3"/>
  <c r="L16" i="3"/>
  <c r="K16" i="3"/>
  <c r="J16" i="3"/>
  <c r="I16" i="3"/>
  <c r="BF15" i="3"/>
  <c r="AL15" i="3"/>
  <c r="BG15" i="3" s="1"/>
  <c r="AK15" i="3"/>
  <c r="AJ15" i="3"/>
  <c r="AH15" i="3"/>
  <c r="AG15" i="3"/>
  <c r="N15" i="3"/>
  <c r="M15" i="3"/>
  <c r="L15" i="3"/>
  <c r="J15" i="3"/>
  <c r="I15" i="3"/>
  <c r="BF14" i="3"/>
  <c r="AL14" i="3"/>
  <c r="AK14" i="3"/>
  <c r="AJ14" i="3"/>
  <c r="AI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K10" i="3"/>
  <c r="AJ10" i="3"/>
  <c r="AI10" i="3"/>
  <c r="AH10" i="3"/>
  <c r="AG10" i="3"/>
  <c r="N10" i="3"/>
  <c r="BG10" i="3" s="1"/>
  <c r="M10" i="3"/>
  <c r="L10" i="3"/>
  <c r="K10" i="3"/>
  <c r="J10" i="3"/>
  <c r="I10" i="3"/>
  <c r="BF9" i="3"/>
  <c r="AL9" i="3"/>
  <c r="AK9" i="3"/>
  <c r="AJ9" i="3"/>
  <c r="AH9" i="3"/>
  <c r="AG9" i="3"/>
  <c r="N9" i="3"/>
  <c r="K9" i="3" s="1"/>
  <c r="M9" i="3"/>
  <c r="L9" i="3"/>
  <c r="J9" i="3"/>
  <c r="I9" i="3"/>
  <c r="BF8" i="3"/>
  <c r="AL8" i="3"/>
  <c r="AK8" i="3"/>
  <c r="AJ8" i="3"/>
  <c r="AI8" i="3"/>
  <c r="AH8" i="3"/>
  <c r="AG8" i="3"/>
  <c r="N8" i="3"/>
  <c r="K8" i="3" s="1"/>
  <c r="M8" i="3"/>
  <c r="L8" i="3"/>
  <c r="J8" i="3"/>
  <c r="I8" i="3"/>
  <c r="BF7" i="3"/>
  <c r="AL7" i="3"/>
  <c r="AK7" i="3"/>
  <c r="AJ7" i="3"/>
  <c r="AH7" i="3"/>
  <c r="AG7" i="3"/>
  <c r="N7" i="3"/>
  <c r="K7" i="3" s="1"/>
  <c r="M7" i="3"/>
  <c r="L7" i="3"/>
  <c r="J7" i="3"/>
  <c r="I7" i="3"/>
  <c r="BF6" i="3"/>
  <c r="AL6" i="3"/>
  <c r="AI6" i="3" s="1"/>
  <c r="BE6" i="3" s="1"/>
  <c r="AK6" i="3"/>
  <c r="AJ6" i="3"/>
  <c r="AH6" i="3"/>
  <c r="AG6" i="3"/>
  <c r="N6" i="3"/>
  <c r="M6" i="3"/>
  <c r="L6" i="3"/>
  <c r="K6" i="3"/>
  <c r="J6" i="3"/>
  <c r="I6" i="3"/>
  <c r="BF5" i="3"/>
  <c r="AL5" i="3"/>
  <c r="AK5" i="3"/>
  <c r="AJ5" i="3"/>
  <c r="AH5" i="3"/>
  <c r="AG5" i="3"/>
  <c r="N5" i="3"/>
  <c r="M5" i="3"/>
  <c r="L5" i="3"/>
  <c r="J5" i="3"/>
  <c r="I5" i="3"/>
  <c r="B2" i="2"/>
  <c r="B1" i="2"/>
  <c r="BL15" i="7"/>
  <c r="BM25" i="7"/>
  <c r="BM35" i="7"/>
  <c r="BT25" i="7"/>
  <c r="BJ15" i="7"/>
  <c r="BM30" i="7"/>
  <c r="BM15" i="7"/>
  <c r="BM5" i="7"/>
  <c r="BN15" i="7"/>
  <c r="BQ10" i="7"/>
  <c r="BM20" i="7"/>
  <c r="BM10" i="7"/>
  <c r="BS10" i="7"/>
  <c r="BN25" i="7"/>
  <c r="BS35" i="7"/>
  <c r="BL35" i="7"/>
  <c r="BR15" i="7"/>
  <c r="BT35" i="7"/>
  <c r="BL25" i="7"/>
  <c r="BP5" i="7"/>
  <c r="BR20" i="7"/>
  <c r="BR35" i="7"/>
  <c r="BQ35" i="7"/>
  <c r="BN5" i="7"/>
  <c r="BP15" i="7"/>
  <c r="BQ25" i="7"/>
  <c r="BS30" i="7"/>
  <c r="BL10" i="7"/>
  <c r="BT20" i="7"/>
  <c r="BQ30" i="7"/>
  <c r="BN10" i="7"/>
  <c r="BQ5" i="7"/>
  <c r="BT30" i="7"/>
  <c r="BP35" i="7"/>
  <c r="BL30" i="7"/>
  <c r="BP30" i="7"/>
  <c r="BQ15" i="7"/>
  <c r="BR25" i="7"/>
  <c r="BJ25" i="7"/>
  <c r="BK5" i="7"/>
  <c r="BK15" i="7"/>
  <c r="BP20" i="7"/>
  <c r="BP25" i="7"/>
  <c r="BR30" i="7"/>
  <c r="BQ20" i="7"/>
  <c r="BR5" i="7"/>
  <c r="BS15" i="7"/>
  <c r="BN20" i="7"/>
  <c r="BT10" i="7"/>
  <c r="BR10" i="7"/>
  <c r="BS20" i="7"/>
  <c r="BJ35" i="7"/>
  <c r="BL20" i="7"/>
  <c r="BL5" i="7"/>
  <c r="BS25" i="7"/>
  <c r="BN30" i="7"/>
  <c r="BT5" i="7"/>
  <c r="BS5" i="7"/>
  <c r="BT15" i="7"/>
  <c r="BN35" i="7"/>
  <c r="BP10" i="7"/>
  <c r="BJ5" i="7"/>
  <c r="BK25" i="7"/>
  <c r="BK35" i="7"/>
  <c r="BS35" i="3"/>
  <c r="BP5" i="3"/>
  <c r="BT15" i="3"/>
  <c r="BJ30" i="3"/>
  <c r="BN10" i="3"/>
  <c r="BN20" i="3"/>
  <c r="BR20" i="3"/>
  <c r="BL35" i="3"/>
  <c r="BT35" i="3"/>
  <c r="BQ15" i="3"/>
  <c r="BR35" i="3"/>
  <c r="BK15" i="3"/>
  <c r="BR5" i="3"/>
  <c r="BP30" i="3"/>
  <c r="BN25" i="3"/>
  <c r="BL10" i="3"/>
  <c r="BM35" i="3"/>
  <c r="BT30" i="3"/>
  <c r="BL15" i="3"/>
  <c r="BK30" i="3"/>
  <c r="BP20" i="3"/>
  <c r="BS5" i="3"/>
  <c r="BL20" i="3"/>
  <c r="BT10" i="3"/>
  <c r="BM10" i="3"/>
  <c r="BP15" i="3"/>
  <c r="BT25" i="3"/>
  <c r="BM5" i="3"/>
  <c r="BJ10" i="3"/>
  <c r="BN30" i="3"/>
  <c r="BR30" i="3"/>
  <c r="BL30" i="3"/>
  <c r="BK25" i="3"/>
  <c r="BM20" i="3"/>
  <c r="BQ25" i="3"/>
  <c r="BS20" i="3"/>
  <c r="BK35" i="3"/>
  <c r="BS25" i="3"/>
  <c r="BP10" i="3"/>
  <c r="BN35" i="3"/>
  <c r="BR15" i="3"/>
  <c r="BN5" i="3"/>
  <c r="BS15" i="3"/>
  <c r="BP25" i="3"/>
  <c r="BQ5" i="3"/>
  <c r="BR10" i="3"/>
  <c r="BL25" i="3"/>
  <c r="BQ35" i="3"/>
  <c r="BM15" i="3"/>
  <c r="BR25" i="3"/>
  <c r="BS30" i="3"/>
  <c r="BK20" i="3"/>
  <c r="BK10" i="3"/>
  <c r="BM25" i="3"/>
  <c r="BS10" i="3"/>
  <c r="BQ10" i="3"/>
  <c r="BN15" i="3"/>
  <c r="BQ20" i="3"/>
  <c r="BT5" i="3"/>
  <c r="BJ20" i="3"/>
  <c r="BM30" i="3"/>
  <c r="BT20" i="3"/>
  <c r="BQ30" i="3"/>
  <c r="BP35" i="3"/>
  <c r="BL5" i="3"/>
  <c r="BB7" i="6" l="1"/>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BB14" i="5"/>
  <c r="E21" i="1" s="1"/>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K40" i="7"/>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20" i="7"/>
  <c r="BK20" i="7"/>
  <c r="BK10" i="7"/>
  <c r="BJ30" i="7"/>
  <c r="BJ10" i="7"/>
  <c r="BK30" i="7"/>
  <c r="BK5" i="3"/>
  <c r="BJ5" i="3"/>
  <c r="BJ25" i="3"/>
  <c r="BJ15"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<sst xmlns="http://schemas.openxmlformats.org/spreadsheetml/2006/main" count="1512" uniqueCount="593">
  <si>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</si>
  <si>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</si>
  <si>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</si>
  <si>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</si>
  <si>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</si>
  <si>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</si>
  <si>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</si>
  <si>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</si>
  <si>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</si>
  <si>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</si>
  <si>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</si>
  <si>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</si>
  <si>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</si>
  <si>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</si>
  <si>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</si>
  <si>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</si>
  <si>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</si>
  <si>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</si>
  <si>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</si>
  <si>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</si>
  <si>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</si>
  <si>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</si>
  <si>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</si>
  <si>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</si>
  <si>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</si>
  <si>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</si>
  <si>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</si>
  <si>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</si>
  <si>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</si>
  <si>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</si>
  <si>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</si>
  <si>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</si>
  <si>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</si>
  <si>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</si>
  <si>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</si>
  <si>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</si>
  <si>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</si>
  <si>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</si>
  <si>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</si>
  <si>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</si>
  <si>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</si>
  <si>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</si>
  <si>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</si>
  <si>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</si>
  <si>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</si>
  <si>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</si>
  <si>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</si>
  <si>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</si>
  <si>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</si>
  <si>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</si>
  <si>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</si>
  <si>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</si>
  <si>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</si>
  <si>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</si>
  <si>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</si>
  <si>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</si>
  <si>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</si>
  <si>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</si>
  <si>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</si>
  <si>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</si>
  <si>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</si>
  <si>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</si>
  <si>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</si>
  <si>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</si>
  <si>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</si>
  <si>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</si>
  <si>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</si>
  <si>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</si>
  <si>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</si>
  <si>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</si>
  <si>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</si>
  <si>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</si>
  <si>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</si>
  <si>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</si>
  <si>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</si>
  <si>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</si>
  <si>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</si>
  <si>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</si>
  <si>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</si>
  <si>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</si>
  <si>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</si>
  <si>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</si>
  <si>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</si>
  <si>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</si>
  <si>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</si>
  <si>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</si>
  <si>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</si>
  <si>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</si>
  <si>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</si>
  <si>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</si>
  <si>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</si>
  <si>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</si>
  <si>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</si>
  <si>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</si>
  <si>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</si>
  <si>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</si>
  <si>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</si>
  <si>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</si>
  <si>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</si>
  <si>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</si>
  <si>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</si>
  <si>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</si>
  <si>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</si>
  <si>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</si>
  <si>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</si>
  <si>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</si>
  <si>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</si>
  <si>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</si>
  <si>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</si>
  <si>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</si>
  <si>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</si>
  <si>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</si>
  <si>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</si>
  <si>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</si>
  <si>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</si>
  <si>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</si>
  <si>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</si>
  <si>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</si>
  <si>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</si>
  <si>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</si>
  <si>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</si>
  <si>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</si>
  <si>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</si>
  <si>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</si>
  <si>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</si>
  <si>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</si>
  <si>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</si>
  <si>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</si>
  <si>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</si>
  <si>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</si>
  <si>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</si>
  <si>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</si>
  <si>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</si>
  <si>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</si>
  <si>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</si>
  <si>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</si>
  <si>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</si>
  <si>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</si>
  <si>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</si>
  <si>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</si>
  <si>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</si>
  <si>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</si>
  <si>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</si>
  <si>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</si>
  <si>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</si>
  <si>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</si>
  <si>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</si>
  <si>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</si>
  <si>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</si>
  <si>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</si>
  <si>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</si>
  <si>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</si>
  <si>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</si>
  <si>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</si>
  <si>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</si>
  <si>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</si>
  <si>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</si>
  <si>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</si>
  <si>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</si>
  <si>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</si>
  <si>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</si>
  <si>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</si>
  <si>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</si>
  <si>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</si>
  <si>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</si>
  <si>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</si>
  <si>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</si>
  <si>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</si>
  <si>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</si>
  <si>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</si>
  <si>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</si>
  <si>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</si>
  <si>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</si>
  <si>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</si>
  <si>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</si>
  <si>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</si>
  <si>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</si>
  <si>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</si>
  <si>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</si>
  <si>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</si>
  <si>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</si>
  <si>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</si>
  <si>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</si>
  <si>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</si>
  <si>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</si>
  <si>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</si>
  <si>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</si>
  <si>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</si>
  <si>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</si>
  <si>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</si>
  <si>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</si>
  <si>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</si>
  <si>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</si>
  <si>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</si>
  <si>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</si>
  <si>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</si>
  <si>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</si>
  <si>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</si>
  <si>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</si>
  <si>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</si>
  <si>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</si>
  <si>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</si>
  <si>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</si>
  <si>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</si>
  <si>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</si>
  <si>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</si>
  <si>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</si>
  <si>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</si>
  <si>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</si>
  <si>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</si>
  <si>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</si>
  <si>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</si>
  <si>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</si>
  <si>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</si>
  <si>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</si>
  <si>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</si>
  <si>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</si>
  <si>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</si>
  <si>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</si>
  <si>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</si>
  <si>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</si>
  <si>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</si>
  <si>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</si>
  <si>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</si>
  <si>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</si>
  <si>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</si>
  <si>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</si>
  <si>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</si>
  <si>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</si>
  <si>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</si>
  <si>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</si>
  <si>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</si>
  <si>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</si>
  <si>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</si>
  <si>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</si>
  <si>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</si>
  <si>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</si>
  <si>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</si>
  <si>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</si>
  <si>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</si>
  <si>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</si>
  <si>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</si>
  <si>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</si>
  <si>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</si>
  <si>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</si>
  <si>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</si>
  <si>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</si>
  <si>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</si>
  <si>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</si>
  <si>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</si>
  <si>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</si>
  <si>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</si>
  <si>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</si>
  <si>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</si>
  <si>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</si>
  <si>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</si>
  <si>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</si>
  <si>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</si>
  <si>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</si>
  <si>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</si>
  <si>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</si>
  <si>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</si>
  <si>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</si>
  <si>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</si>
  <si>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</si>
  <si>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</si>
  <si>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</si>
  <si>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</si>
  <si>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</si>
  <si>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</si>
  <si>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</si>
  <si>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</si>
  <si>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</si>
  <si>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</si>
  <si>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</si>
  <si>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</si>
  <si>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</si>
  <si>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</si>
  <si>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</si>
  <si>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</si>
  <si>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</si>
  <si>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</si>
  <si>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</si>
  <si>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</si>
  <si>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</si>
  <si>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</si>
  <si>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</si>
  <si>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</si>
  <si>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</si>
  <si>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</si>
  <si>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</si>
  <si>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</si>
  <si>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</si>
  <si>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</si>
  <si>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</si>
  <si>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</si>
  <si>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</si>
  <si>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</si>
  <si>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</si>
  <si>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</si>
  <si>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</si>
  <si>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</si>
  <si>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</si>
  <si>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</si>
  <si>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</si>
  <si>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</si>
  <si>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</si>
  <si>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</si>
  <si>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</si>
  <si>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</si>
  <si>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</si>
  <si>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</si>
  <si>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</si>
  <si>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</si>
  <si>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</si>
  <si>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</si>
  <si>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</si>
  <si>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</si>
  <si>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</si>
  <si>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</si>
  <si>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</si>
  <si>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</si>
  <si>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</si>
  <si>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</si>
  <si>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</si>
  <si>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</si>
  <si>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</si>
  <si>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</si>
  <si>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</si>
  <si>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</si>
  <si>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</si>
  <si>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</si>
  <si>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</si>
  <si>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</si>
  <si>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</si>
  <si>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</si>
  <si>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</si>
  <si>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</si>
  <si>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</si>
  <si>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</si>
  <si>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</si>
  <si>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</si>
  <si>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</si>
  <si>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</si>
  <si>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</si>
  <si>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</si>
  <si>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</si>
  <si>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</si>
  <si>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</si>
  <si>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</si>
  <si>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</si>
  <si>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</si>
  <si>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</si>
  <si>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</si>
  <si>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</si>
  <si>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</si>
  <si>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</si>
  <si>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</si>
  <si>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</si>
  <si>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</si>
  <si>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</si>
  <si>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</si>
  <si>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</si>
  <si>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</si>
  <si>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</si>
  <si>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</si>
  <si>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</si>
  <si>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</si>
  <si>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</si>
  <si>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</si>
  <si>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</si>
  <si>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</si>
  <si>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</si>
  <si>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</si>
  <si>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</si>
  <si>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</si>
  <si>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</si>
  <si>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</si>
  <si>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</si>
  <si>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</si>
  <si>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</si>
  <si>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</si>
  <si>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</si>
  <si>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</si>
  <si>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</si>
  <si>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</si>
  <si>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</si>
  <si>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</si>
  <si>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</si>
  <si>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</si>
  <si>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</si>
  <si>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</si>
  <si>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</si>
  <si>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</si>
  <si>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</si>
  <si>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</si>
  <si>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</si>
  <si>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</si>
  <si>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</si>
  <si>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</si>
  <si>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</si>
  <si>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</si>
  <si>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</si>
  <si>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</si>
  <si>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</si>
  <si>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</si>
  <si>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</si>
  <si>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</si>
  <si>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</si>
  <si>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</si>
  <si>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</si>
  <si>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</si>
  <si>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</si>
  <si>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</si>
  <si>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</si>
  <si>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</si>
  <si>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</si>
  <si>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</si>
  <si>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</si>
  <si>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</si>
  <si>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</si>
  <si>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</si>
  <si>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</si>
  <si>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</si>
  <si>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</si>
  <si>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</si>
  <si>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</si>
  <si>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</si>
  <si>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</si>
  <si>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</si>
  <si>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</si>
  <si>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</si>
  <si>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</si>
  <si>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</si>
  <si>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</si>
  <si>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</si>
  <si>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</si>
  <si>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</si>
  <si>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</si>
  <si>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</si>
  <si>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</si>
  <si>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</si>
  <si>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</si>
  <si>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</si>
  <si>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</si>
  <si>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</si>
  <si>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</si>
  <si>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</si>
  <si>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</si>
  <si>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</si>
  <si>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</si>
  <si>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</si>
  <si>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</si>
  <si>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</si>
  <si>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</si>
  <si>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</si>
  <si>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</si>
  <si>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</si>
  <si>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</si>
  <si>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</si>
  <si>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</si>
  <si>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</si>
  <si>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</si>
  <si>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</si>
  <si>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</si>
  <si>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</si>
  <si>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</si>
  <si>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</si>
  <si>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</si>
  <si>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</si>
  <si>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</si>
  <si>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</si>
  <si>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</si>
  <si>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</si>
  <si>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</si>
  <si>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</si>
  <si>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</si>
  <si>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</si>
  <si>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</si>
  <si>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</si>
  <si>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</si>
  <si>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</si>
  <si>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</si>
  <si>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</si>
  <si>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</si>
  <si>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</si>
  <si>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</si>
  <si>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</si>
  <si>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</si>
  <si>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</si>
  <si>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</si>
  <si>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</si>
  <si>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</si>
  <si>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</si>
  <si>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</si>
  <si>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</si>
  <si>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</si>
  <si>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</si>
  <si>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</si>
  <si>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</si>
  <si>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</si>
  <si>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</si>
  <si>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</si>
  <si>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</si>
  <si>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</si>
  <si>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</si>
  <si>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</si>
  <si>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</si>
  <si>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</si>
  <si>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</si>
  <si>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</si>
  <si>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</si>
  <si>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</si>
  <si>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</si>
  <si>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</si>
  <si>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</si>
  <si>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</si>
  <si>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</si>
  <si>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</si>
  <si>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</si>
  <si>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</si>
  <si>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</si>
  <si>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</si>
  <si>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</si>
  <si>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</si>
  <si>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</si>
  <si>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</si>
  <si>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</si>
  <si>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</si>
  <si>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</si>
  <si>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</si>
  <si>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</si>
  <si>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</si>
  <si>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</si>
  <si>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</si>
  <si>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</si>
  <si>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</si>
  <si>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</si>
  <si>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</si>
  <si>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</si>
  <si>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</si>
  <si>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</si>
  <si>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</si>
  <si>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</si>
  <si>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</si>
  <si>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</si>
  <si>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</si>
  <si>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</si>
  <si>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</si>
  <si>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</si>
  <si>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</si>
  <si>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</si>
  <si>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</si>
  <si>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</si>
  <si>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</si>
  <si>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</si>
  <si>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</si>
  <si>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</si>
  <si>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</si>
  <si>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</si>
  <si>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</si>
  <si>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</si>
  <si>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</si>
  <si>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</si>
  <si>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</si>
  <si>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</si>
  <si>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</si>
  <si>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</si>
  <si>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</si>
  <si>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</si>
  <si>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</si>
  <si>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</si>
  <si>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</si>
  <si>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</si>
  <si>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</si>
  <si>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</si>
  <si>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</si>
  <si>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</si>
  <si>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</si>
  <si>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</si>
  <si>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</si>
  <si>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</si>
  <si>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</si>
  <si>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</si>
  <si>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</si>
  <si>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</si>
  <si>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</si>
  <si>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</si>
  <si>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</si>
  <si>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</si>
  <si>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</si>
  <si>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t>
  </si>
  <si>
    <t>TMC2v8.0rc1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</si>
</sst>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TMC2v7.2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66.310715999999999</c:v>
                </c:pt>
                <c:pt idx="1">
                  <c:v>67.865996999999993</c:v>
                </c:pt>
                <c:pt idx="2">
                  <c:v>69.139780999999999</c:v>
                </c:pt>
                <c:pt idx="3">
                  <c:v>69.993009000000001</c:v>
                </c:pt>
                <c:pt idx="4">
                  <c:v>72.050933999999998</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TMC2v7.2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67.856668999999997</c:v>
                </c:pt>
                <c:pt idx="1">
                  <c:v>69.604016000000001</c:v>
                </c:pt>
                <c:pt idx="2">
                  <c:v>71.147900000000007</c:v>
                </c:pt>
                <c:pt idx="3">
                  <c:v>72.156830999999997</c:v>
                </c:pt>
                <c:pt idx="4">
                  <c:v>75.361919</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TMC2v7.2</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32.102671999999998</c:v>
                </c:pt>
                <c:pt idx="1">
                  <c:v>34.354219000000001</c:v>
                </c:pt>
                <c:pt idx="2">
                  <c:v>36.897193999999999</c:v>
                </c:pt>
                <c:pt idx="3">
                  <c:v>39.532021999999998</c:v>
                </c:pt>
                <c:pt idx="4">
                  <c:v>42.201324999999997</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TMC2v7.2</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44.122553000000003</c:v>
                </c:pt>
                <c:pt idx="1">
                  <c:v>45.410030999999996</c:v>
                </c:pt>
                <c:pt idx="2">
                  <c:v>46.545869000000003</c:v>
                </c:pt>
                <c:pt idx="3">
                  <c:v>47.866852999999999</c:v>
                </c:pt>
                <c:pt idx="4">
                  <c:v>49.411709000000002</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TMC2v7.2</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43.789549999999998</c:v>
                </c:pt>
                <c:pt idx="1">
                  <c:v>45.179349999999999</c:v>
                </c:pt>
                <c:pt idx="2">
                  <c:v>46.412112</c:v>
                </c:pt>
                <c:pt idx="3">
                  <c:v>47.865900000000003</c:v>
                </c:pt>
                <c:pt idx="4">
                  <c:v>49.554253000000003</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TMC2v7.2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0.14447564058413537</v>
      </c>
      <c r="D9" s="51">
        <f>'C2 lossyG,lossyA,intra'!$BK$40:$BK$40</f>
        <v>0.18171313763700753</v>
      </c>
      <c r="E9" s="51">
        <f>'C2 lossyG,lossyA,intra'!$BL$40:$BL$40</f>
        <v>-2.1170248086605337E-2</v>
      </c>
      <c r="F9" s="51">
        <f>'C2 lossyG,lossyA,intra'!$BM$40:$BM$40</f>
        <v>1.8327224398651532E-3</v>
      </c>
      <c r="G9" s="51">
        <f>'C2 lossyG,lossyA,intra'!$BN$40:$BN$40</f>
        <v>-8.9781433320773596E-4</v>
      </c>
      <c r="H9" s="51">
        <f>'C2 lossyG,lossyA,intra'!$BP$40:$BP$40</f>
        <v>0.28465630751119403</v>
      </c>
      <c r="I9" s="51">
        <f>'C2 lossyG,lossyA,intra'!$BQ$40:$BQ$40</f>
        <v>0.33066779903619647</v>
      </c>
      <c r="J9" s="51">
        <f>'C2 lossyG,lossyA,intra'!$BR$40:$BR$40</f>
        <v>-2.1965527232608667E-2</v>
      </c>
      <c r="K9" s="51">
        <f>'C2 lossyG,lossyA,intra'!$BS$40:$BS$40</f>
        <v>-2.7467958264186243E-3</v>
      </c>
      <c r="L9" s="51">
        <f>'C2 lossyG,lossyA,intra'!$BT$40:$BT$40</f>
        <v>-5.2861322111508735E-3</v>
      </c>
    </row>
    <row r="10" spans="2:12" x14ac:dyDescent="0.2">
      <c r="B10" t="s">
        <v>17</v>
      </c>
      <c r="C10" s="51">
        <f>'C2 lossyG,lossyA,intra'!$BJ$41:$BJ$41</f>
        <v>0.12718939634894633</v>
      </c>
      <c r="D10" s="51">
        <f>'C2 lossyG,lossyA,intra'!$BK$41:$BK$41</f>
        <v>0.16686477704301739</v>
      </c>
      <c r="E10" s="51">
        <f>'C2 lossyG,lossyA,intra'!$BL$41:$BL$41</f>
        <v>-4.1007757660732613E-3</v>
      </c>
      <c r="F10" s="51">
        <f>'C2 lossyG,lossyA,intra'!$BM$41:$BM$41</f>
        <v>4.9814397188985282E-4</v>
      </c>
      <c r="G10" s="51">
        <f>'C2 lossyG,lossyA,intra'!$BN$41:$BN$41</f>
        <v>-1.6088782374024113E-5</v>
      </c>
      <c r="H10" s="51">
        <f>'C2 lossyG,lossyA,intra'!$BP$41:$BP$41</f>
        <v>0.2780220513437337</v>
      </c>
      <c r="I10" s="51">
        <f>'C2 lossyG,lossyA,intra'!$BQ$41:$BQ$41</f>
        <v>0.33920561465655785</v>
      </c>
      <c r="J10" s="51">
        <f>'C2 lossyG,lossyA,intra'!$BR$41:$BR$41</f>
        <v>-5.6924575618138018E-3</v>
      </c>
      <c r="K10" s="51">
        <f>'C2 lossyG,lossyA,intra'!$BS$41:$BS$41</f>
        <v>-1.1443703347587819E-3</v>
      </c>
      <c r="L10" s="51">
        <f>'C2 lossyG,lossyA,intra'!$BT$41:$BT$41</f>
        <v>-1.7157050289089426E-3</v>
      </c>
    </row>
    <row r="11" spans="2:12" x14ac:dyDescent="0.2">
      <c r="B11" t="s">
        <v>18</v>
      </c>
      <c r="C11" s="51">
        <f>'C2 lossyG,lossyA,intra'!$BJ$42:$BJ$42</f>
        <v>7.1429922606077612E-2</v>
      </c>
      <c r="D11" s="51">
        <f>'C2 lossyG,lossyA,intra'!$BK$42:$BK$42</f>
        <v>0.13387525017390589</v>
      </c>
      <c r="E11" s="51">
        <f>'C2 lossyG,lossyA,intra'!$BL$42:$BL$42</f>
        <v>-1.5111950898379356E-3</v>
      </c>
      <c r="F11" s="51">
        <f>'C2 lossyG,lossyA,intra'!$BM$42:$BM$42</f>
        <v>5.0452613370610688E-5</v>
      </c>
      <c r="G11" s="51">
        <f>'C2 lossyG,lossyA,intra'!$BN$42:$BN$42</f>
        <v>1.3163712645541947E-4</v>
      </c>
      <c r="H11" s="51">
        <f>'C2 lossyG,lossyA,intra'!$BP$42:$BP$42</f>
        <v>0.12279828308489438</v>
      </c>
      <c r="I11" s="51">
        <f>'C2 lossyG,lossyA,intra'!$BQ$42:$BQ$42</f>
        <v>0.23468898881287259</v>
      </c>
      <c r="J11" s="51">
        <f>'C2 lossyG,lossyA,intra'!$BR$42:$BR$42</f>
        <v>-3.3026692002973701E-3</v>
      </c>
      <c r="K11" s="51">
        <f>'C2 lossyG,lossyA,intra'!$BS$42:$BS$42</f>
        <v>-1.6550154223352598E-3</v>
      </c>
      <c r="L11" s="51">
        <f>'C2 lossyG,lossyA,intra'!$BT$42:$BT$42</f>
        <v>-1.7208739421668562E-3</v>
      </c>
    </row>
    <row r="12" spans="2:12" x14ac:dyDescent="0.2">
      <c r="B12" s="4" t="s">
        <v>19</v>
      </c>
      <c r="C12" s="5">
        <f>'C2 lossyG,lossyA,intra'!$BJ$43:$BJ$43</f>
        <v>0.12113597198537758</v>
      </c>
      <c r="D12" s="5">
        <f>'C2 lossyG,lossyA,intra'!$BK$43:$BK$43</f>
        <v>0.16592397541983703</v>
      </c>
      <c r="E12" s="5">
        <f>'C2 lossyG,lossyA,intra'!$BL$43:$BL$43</f>
        <v>-1.3114879756024354E-2</v>
      </c>
      <c r="F12" s="5">
        <f>'C2 lossyG,lossyA,intra'!$BM$43:$BM$43</f>
        <v>1.1328484225845267E-3</v>
      </c>
      <c r="G12" s="5">
        <f>'C2 lossyG,lossyA,intra'!$BN$43:$BN$43</f>
        <v>-4.7772455175630412E-4</v>
      </c>
      <c r="H12" s="5">
        <f>'C2 lossyG,lossyA,intra'!$BP$43:$BP$43</f>
        <v>0.23746340679404265</v>
      </c>
      <c r="I12" s="5">
        <f>'C2 lossyG,lossyA,intra'!$BQ$43:$BQ$43</f>
        <v>0.30446496977529847</v>
      </c>
      <c r="J12" s="5">
        <f>'C2 lossyG,lossyA,intra'!$BR$43:$BR$43</f>
        <v>-1.4308557841834744E-2</v>
      </c>
      <c r="K12" s="5">
        <f>'C2 lossyG,lossyA,intra'!$BS$43:$BS$43</f>
        <v>-2.2059406407291143E-3</v>
      </c>
      <c r="L12" s="5">
        <f>'C2 lossyG,lossyA,intra'!$BT$43:$BT$43</f>
        <v>-3.7574259654065928E-3</v>
      </c>
    </row>
    <row r="13" spans="2:12" x14ac:dyDescent="0.2">
      <c r="B13" t="s">
        <v>20</v>
      </c>
      <c r="C13" s="61">
        <f>'C2 lossyG,lossyA,intra'!AZ47</f>
        <v>0.97804444906805277</v>
      </c>
      <c r="D13" s="62"/>
      <c r="E13" s="62"/>
      <c r="F13" s="62"/>
      <c r="G13" s="62"/>
      <c r="H13" s="62"/>
      <c r="I13" s="62"/>
      <c r="J13" s="62"/>
      <c r="K13" s="62"/>
      <c r="L13" s="62"/>
    </row>
    <row r="14" spans="2:12" x14ac:dyDescent="0.2">
      <c r="B14" s="54" t="s">
        <v>21</v>
      </c>
      <c r="C14" s="63">
        <f>'C2 lossyG,lossyA,intra'!BB47</f>
        <v>0.14970650152412066</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0.19203508832819921</v>
      </c>
      <c r="D43" s="51">
        <f>'C2 lossyG,lossyA,interRA'!$BK$40:$BK$40</f>
        <v>0.2216990405655675</v>
      </c>
      <c r="E43" s="51">
        <f>'C2 lossyG,lossyA,interRA'!$BL$40:$BL$40</f>
        <v>-1.6896280404314845E-2</v>
      </c>
      <c r="F43" s="51">
        <f>'C2 lossyG,lossyA,interRA'!$BM$40:$BM$40</f>
        <v>3.8640708503695498E-4</v>
      </c>
      <c r="G43" s="51">
        <f>'C2 lossyG,lossyA,interRA'!$BN$40:$BN$40</f>
        <v>-1.1731644744940872E-3</v>
      </c>
      <c r="H43" s="51">
        <f>'C2 lossyG,lossyA,interRA'!$BP$40:$BP$40</f>
        <v>0.30573653103291298</v>
      </c>
      <c r="I43" s="51">
        <f>'C2 lossyG,lossyA,interRA'!$BQ$40:$BQ$40</f>
        <v>0.34089645325773832</v>
      </c>
      <c r="J43" s="51">
        <f>'C2 lossyG,lossyA,interRA'!$BR$40:$BR$40</f>
        <v>-1.6141225102569684E-2</v>
      </c>
      <c r="K43" s="51">
        <f>'C2 lossyG,lossyA,interRA'!$BS$40:$BS$40</f>
        <v>-3.4848458728295451E-3</v>
      </c>
      <c r="L43" s="51">
        <f>'C2 lossyG,lossyA,interRA'!$BT$40:$BT$40</f>
        <v>-5.0862555378826113E-3</v>
      </c>
    </row>
    <row r="44" spans="2:12" x14ac:dyDescent="0.2">
      <c r="B44" t="s">
        <v>17</v>
      </c>
      <c r="C44" s="51">
        <f>'C2 lossyG,lossyA,interRA'!$BJ$41:$BJ$41</f>
        <v>0.14493585872839376</v>
      </c>
      <c r="D44" s="51">
        <f>'C2 lossyG,lossyA,interRA'!$BK$41:$BK$41</f>
        <v>0.18649345701421494</v>
      </c>
      <c r="E44" s="51">
        <f>'C2 lossyG,lossyA,interRA'!$BL$41:$BL$41</f>
        <v>-2.7215832216812563E-3</v>
      </c>
      <c r="F44" s="51">
        <f>'C2 lossyG,lossyA,interRA'!$BM$41:$BM$41</f>
        <v>7.5067449168142453E-4</v>
      </c>
      <c r="G44" s="51">
        <f>'C2 lossyG,lossyA,interRA'!$BN$41:$BN$41</f>
        <v>3.1585222308883054E-4</v>
      </c>
      <c r="H44" s="51">
        <f>'C2 lossyG,lossyA,interRA'!$BP$41:$BP$41</f>
        <v>0.30013577546280978</v>
      </c>
      <c r="I44" s="51">
        <f>'C2 lossyG,lossyA,interRA'!$BQ$41:$BQ$41</f>
        <v>0.38387652167495734</v>
      </c>
      <c r="J44" s="51">
        <f>'C2 lossyG,lossyA,interRA'!$BR$41:$BR$41</f>
        <v>-4.7234990652416098E-3</v>
      </c>
      <c r="K44" s="51">
        <f>'C2 lossyG,lossyA,interRA'!$BS$41:$BS$41</f>
        <v>-1.7446221095558379E-3</v>
      </c>
      <c r="L44" s="51">
        <f>'C2 lossyG,lossyA,interRA'!$BT$41:$BT$41</f>
        <v>-2.193632364148379E-3</v>
      </c>
    </row>
    <row r="45" spans="2:12" x14ac:dyDescent="0.2">
      <c r="B45" t="s">
        <v>18</v>
      </c>
      <c r="C45" s="51">
        <f>'C2 lossyG,lossyA,interRA'!$BJ$42:$BJ$42</f>
        <v>7.9666300367821741E-2</v>
      </c>
      <c r="D45" s="51">
        <f>'C2 lossyG,lossyA,interRA'!$BK$42:$BK$42</f>
        <v>0.14193883741121482</v>
      </c>
      <c r="E45" s="51">
        <f>'C2 lossyG,lossyA,interRA'!$BL$42:$BL$42</f>
        <v>-8.678109158573033E-4</v>
      </c>
      <c r="F45" s="51">
        <f>'C2 lossyG,lossyA,interRA'!$BM$42:$BM$42</f>
        <v>1.0336660223742022E-4</v>
      </c>
      <c r="G45" s="51">
        <f>'C2 lossyG,lossyA,interRA'!$BN$42:$BN$42</f>
        <v>1.4058671674282985E-4</v>
      </c>
      <c r="H45" s="51">
        <f>'C2 lossyG,lossyA,interRA'!$BP$42:$BP$42</f>
        <v>0.12515034000447089</v>
      </c>
      <c r="I45" s="51">
        <f>'C2 lossyG,lossyA,interRA'!$BQ$42:$BQ$42</f>
        <v>0.22215447483832573</v>
      </c>
      <c r="J45" s="51">
        <f>'C2 lossyG,lossyA,interRA'!$BR$42:$BR$42</f>
        <v>-3.7836805565534259E-3</v>
      </c>
      <c r="K45" s="51">
        <f>'C2 lossyG,lossyA,interRA'!$BS$42:$BS$42</f>
        <v>-2.9133488357219184E-3</v>
      </c>
      <c r="L45" s="51">
        <f>'C2 lossyG,lossyA,interRA'!$BT$42:$BT$42</f>
        <v>-2.9220131332911015E-3</v>
      </c>
    </row>
    <row r="46" spans="2:12" x14ac:dyDescent="0.2">
      <c r="B46" s="4" t="s">
        <v>19</v>
      </c>
      <c r="C46" s="5">
        <f>'C2 lossyG,lossyA,interRA'!$BJ$43:$BJ$43</f>
        <v>0.15320125896811915</v>
      </c>
      <c r="D46" s="5">
        <f>'C2 lossyG,lossyA,interRA'!$BK$43:$BK$43</f>
        <v>0.19388104201413064</v>
      </c>
      <c r="E46" s="5">
        <f>'C2 lossyG,lossyA,interRA'!$BL$43:$BL$43</f>
        <v>-1.0291760952950748E-2</v>
      </c>
      <c r="F46" s="5">
        <f>'C2 lossyG,lossyA,interRA'!$BM$43:$BM$43</f>
        <v>3.5757657661486926E-4</v>
      </c>
      <c r="G46" s="5">
        <f>'C2 lossyG,lossyA,interRA'!$BN$43:$BN$43</f>
        <v>-5.8509032020026552E-4</v>
      </c>
      <c r="H46" s="5">
        <f>'C2 lossyG,lossyA,interRA'!$BP$43:$BP$43</f>
        <v>0.25334036851477193</v>
      </c>
      <c r="I46" s="5">
        <f>'C2 lossyG,lossyA,interRA'!$BQ$43:$BQ$43</f>
        <v>0.31311018348322317</v>
      </c>
      <c r="J46" s="5">
        <f>'C2 lossyG,lossyA,interRA'!$BR$43:$BR$43</f>
        <v>-1.0979394369803885E-2</v>
      </c>
      <c r="K46" s="5">
        <f>'C2 lossyG,lossyA,interRA'!$BS$43:$BS$43</f>
        <v>-3.0729576103311223E-3</v>
      </c>
      <c r="L46" s="5">
        <f>'C2 lossyG,lossyA,interRA'!$BT$43:$BT$43</f>
        <v>-4.054668683180147E-3</v>
      </c>
    </row>
    <row r="47" spans="2:12" x14ac:dyDescent="0.2">
      <c r="B47" t="s">
        <v>20</v>
      </c>
      <c r="C47" s="61">
        <f>'C2 lossyG,lossyA,interRA'!AZ47</f>
        <v>0.94084555821815896</v>
      </c>
      <c r="D47" s="62"/>
      <c r="E47" s="62"/>
      <c r="F47" s="62"/>
      <c r="G47" s="62"/>
      <c r="H47" s="62"/>
      <c r="I47" s="62"/>
      <c r="J47" s="62"/>
      <c r="K47" s="62"/>
      <c r="L47" s="62"/>
    </row>
    <row r="48" spans="2:12" x14ac:dyDescent="0.2">
      <c r="B48" s="54" t="s">
        <v>21</v>
      </c>
      <c r="C48" s="63">
        <f>'C2 lossyG,lossyA,interRA'!BB47</f>
        <v>0.14754231436542362</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I5" activePane="bottomRight" state="frozen"/>
      <selection pane="topRight" activeCell="C1" sqref="C1"/>
      <selection pane="bottomLeft" activeCell="A5" sqref="A5"/>
      <selection pane="bottomRight" activeCell="AN16" sqref="AN16"/>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591</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2.1856575</v>
      </c>
      <c r="J5" s="11">
        <f t="shared" ref="J5:J39" si="1">IF(ISBLANK(S5),"·",S5/D5)</f>
        <v>9.7896423716956511E-3</v>
      </c>
      <c r="K5" s="11">
        <f t="shared" ref="K5:K39" si="2">IF(N5="","·",N5/D5)</f>
        <v>6.211103992753768E-3</v>
      </c>
      <c r="L5" s="11">
        <f t="shared" ref="L5:L39" si="3">IF(T5="","·",T5/D5)</f>
        <v>3.5272086067430685E-3</v>
      </c>
      <c r="M5" s="11">
        <f t="shared" ref="M5:M39" si="4">IF(ISBLANK(V5),"·",V5/D5)</f>
        <v>3.5785383789418835E-3</v>
      </c>
      <c r="N5" s="52">
        <f t="shared" ref="N5:N39" si="5">IF(OR(ISBLANK(T5),ISBLANK(U5)),"",T5+U5)</f>
        <v>1479152</v>
      </c>
      <c r="O5" s="11">
        <v>16</v>
      </c>
      <c r="P5" s="12">
        <v>21785839</v>
      </c>
      <c r="Q5" s="12">
        <v>680807.46875</v>
      </c>
      <c r="R5" s="12">
        <v>13493.8125</v>
      </c>
      <c r="S5" s="13">
        <v>2331368</v>
      </c>
      <c r="T5" s="13">
        <v>839992</v>
      </c>
      <c r="U5" s="13">
        <v>639160</v>
      </c>
      <c r="V5" s="13">
        <v>852216</v>
      </c>
      <c r="W5" s="14">
        <v>66.354628000000005</v>
      </c>
      <c r="X5" s="14">
        <v>68.478525000000005</v>
      </c>
      <c r="Y5" s="14">
        <v>32.104728000000001</v>
      </c>
      <c r="Z5" s="14">
        <v>44.160262000000003</v>
      </c>
      <c r="AA5" s="14">
        <v>43.841844000000002</v>
      </c>
      <c r="AB5" s="15">
        <v>3389.72</v>
      </c>
      <c r="AC5" s="15">
        <v>970.78300000000002</v>
      </c>
      <c r="AD5" s="15">
        <v>54.073999999999998</v>
      </c>
      <c r="AE5" s="15">
        <v>14.635</v>
      </c>
      <c r="AG5" s="10">
        <f t="shared" ref="AG5:AG39" si="6">IF(OR(ISBLANK(AQ5),ISBLANK(G5)),"·",AQ5*G5/F5/1000000)</f>
        <v>2.1761625000000002</v>
      </c>
      <c r="AH5" s="11">
        <f t="shared" ref="AH5:AH39" si="7">IF(ISBLANK(AQ5),"·",AQ5/D5)</f>
        <v>9.7471139086042248E-3</v>
      </c>
      <c r="AI5" s="11">
        <f t="shared" ref="AI5:AI39" si="8">IF(AL5="","·",AL5/D5)</f>
        <v>6.1680380451366989E-3</v>
      </c>
      <c r="AJ5" s="11">
        <f t="shared" ref="AJ5:AJ39" si="9">IF(AR5="","·",AR5/D5)</f>
        <v>3.5272086067430685E-3</v>
      </c>
      <c r="AK5" s="11">
        <f t="shared" ref="AK5:AK39" si="10">IF(ISBLANK(AT5),"·",AT5/D5)</f>
        <v>3.5785383789418835E-3</v>
      </c>
      <c r="AL5" s="52">
        <f t="shared" ref="AL5:AL39" si="11">IF(OR(ISBLANK(AR5),ISBLANK(AS5)),"",AR5+AS5)</f>
        <v>1468896</v>
      </c>
      <c r="AM5" s="11">
        <v>16</v>
      </c>
      <c r="AN5" s="12">
        <v>21785839</v>
      </c>
      <c r="AO5" s="12">
        <v>680807.46875</v>
      </c>
      <c r="AP5" s="12">
        <v>7100.46875</v>
      </c>
      <c r="AQ5" s="13">
        <v>2321240</v>
      </c>
      <c r="AR5" s="13">
        <v>839992</v>
      </c>
      <c r="AS5" s="13">
        <v>628904</v>
      </c>
      <c r="AT5" s="13">
        <v>852216</v>
      </c>
      <c r="AU5" s="14">
        <v>66.310715999999999</v>
      </c>
      <c r="AV5" s="14">
        <v>67.856668999999997</v>
      </c>
      <c r="AW5" s="14">
        <v>32.102671999999998</v>
      </c>
      <c r="AX5" s="14">
        <v>44.122553000000003</v>
      </c>
      <c r="AY5" s="14">
        <v>43.789549999999998</v>
      </c>
      <c r="AZ5" s="15">
        <v>3912.07</v>
      </c>
      <c r="BA5" s="15">
        <v>1225.51</v>
      </c>
      <c r="BB5" s="15">
        <v>9.6129999999999995</v>
      </c>
      <c r="BC5" s="15">
        <v>19.032</v>
      </c>
      <c r="BE5" s="50">
        <f t="shared" ref="BE5:BE43" si="12">AI5/K5</f>
        <v>0.9930662974461042</v>
      </c>
      <c r="BF5" s="16">
        <f t="shared" ref="BF5:BF39" si="13">(AP5/AO5) - (R5/Q5)</f>
        <v>-9.3908249299005653E-3</v>
      </c>
      <c r="BG5" s="16">
        <f t="shared" ref="BG5:BG39" si="14">(AL5/AQ5) - (N5/S5)</f>
        <v>-1.6500761446057721E-3</v>
      </c>
      <c r="BH5" s="16">
        <f t="array" ref="BH5">AVERAGE(AL5:AL9/AQ5:AQ9) - AVERAGE(N5:N9/S5:S9)</f>
        <v>-1.0603278636235336E-3</v>
      </c>
      <c r="BJ5" s="50">
        <f>IF( OR(ISBLANK(N5:N9),ISBLANK(AL5:AL9), ISBLANK(W5:W9),ISBLANK(AU5:AU9)), "·", bdRateExtend( N5:N9,W5:W9, AL5:AL9,AU5:AU9))</f>
        <v>0.11169484684670827</v>
      </c>
      <c r="BK5" s="50">
        <f>IF( OR(ISBLANK(N5:N9),ISBLANK(AL5:AL9), ISBLANK(X5:X9),ISBLANK(AV5:AV9)), "·", bdRateExtend( N5:N9,X5:X9, AL5:AL9,AV5:AV9))</f>
        <v>0.17207298769503798</v>
      </c>
      <c r="BL5" s="50">
        <f>IF( OR(ISBLANK(V5:V9),ISBLANK(AT5:AT9), ISBLANK(Y5:Y9),ISBLANK(AW5:AW9)), "·", bdRateExtend( V5:V9,Y5:Y9, AT5:AT9,AW5:AW9))</f>
        <v>-1.9163177625559635E-3</v>
      </c>
      <c r="BM5" s="50">
        <f>IF( OR(ISBLANK(V5:V9),ISBLANK(AT5:AT9), ISBLANK(Z5:Z9),ISBLANK(AX5:AX9)), "·", bdRateExtend( V5:V9,Z5:Z9, AT5:AT9,AX5:AX9))</f>
        <v>2.0601801095517125E-2</v>
      </c>
      <c r="BN5" s="50">
        <f>IF( OR(ISBLANK(V5:V9),ISBLANK(AT5:AT9), ISBLANK(AA5:AA9),ISBLANK(AY5:AY9)), "·", bdRateExtend( V5:V9,AA5:AA9, AT5:AT9,AY5:AY9))</f>
        <v>3.2427059889121423E-2</v>
      </c>
      <c r="BP5" s="50">
        <f>IF( OR(ISBLANK(S5:S9),ISBLANK(AQ5:AQ9), ISBLANK(W5:W9),ISBLANK(AU5:AU9)), "·", bdRateExtend( S5:S9,W5:W9, AQ5:AQ9,AU5:AU9))</f>
        <v>0.20806263084692089</v>
      </c>
      <c r="BQ5" s="50">
        <f>IF( OR(ISBLANK(S5:S9),ISBLANK(AQ5:AQ9), ISBLANK(X5:X9),ISBLANK(AV5:AV9)), "·", bdRateExtend( S5:S9,X5:X9, AQ5:AQ9,AV5:AV9))</f>
        <v>0.31621084336265648</v>
      </c>
      <c r="BR5" s="50">
        <f>IF( OR(ISBLANK(S5:S9),ISBLANK(AQ5:AQ9), ISBLANK(Y5:Y9),ISBLANK(AW5:AW9)), "·", bdRateExtend( S5:S9,Y5:Y9, AQ5:AQ9,AW5:AW9))</f>
        <v>-3.8211516140804758E-3</v>
      </c>
      <c r="BS5" s="50">
        <f>IF( OR(ISBLANK(S5:S9),ISBLANK(AQ5:AQ9), ISBLANK(Z5:Z9),ISBLANK(AX5:AX9)), "·", bdRateExtend( S5:S9,Z5:Z9, AQ5:AQ9,AX5:AX9))</f>
        <v>1.2949111117071643E-2</v>
      </c>
      <c r="BT5" s="50">
        <f>IF( OR(ISBLANK(S5:S9),ISBLANK(AQ5:AQ9), ISBLANK(AA5:AA9),ISBLANK(AY5:AY9)), "·", bdRateExtend( S5:S9,AA5:AA9, AQ5:AQ9,AY5:AY9))</f>
        <v>2.181576574842703E-2</v>
      </c>
      <c r="BV5" s="58">
        <f>AN5-P5</f>
        <v>0</v>
      </c>
      <c r="BW5" s="58">
        <f t="shared" ref="BW5:CG20" si="15">AO5-Q5</f>
        <v>0</v>
      </c>
      <c r="BX5" s="58">
        <f t="shared" si="15"/>
        <v>-6393.34375</v>
      </c>
      <c r="BY5" s="58">
        <f t="shared" si="15"/>
        <v>-10128</v>
      </c>
      <c r="BZ5" s="58">
        <f t="shared" si="15"/>
        <v>0</v>
      </c>
      <c r="CA5" s="58">
        <f t="shared" si="15"/>
        <v>-10256</v>
      </c>
      <c r="CB5" s="58">
        <f t="shared" si="15"/>
        <v>0</v>
      </c>
      <c r="CC5" s="58">
        <f t="shared" si="15"/>
        <v>-4.3912000000005946E-2</v>
      </c>
      <c r="CD5" s="58">
        <f t="shared" si="15"/>
        <v>-0.62185600000000818</v>
      </c>
      <c r="CE5" s="58">
        <f t="shared" si="15"/>
        <v>-2.0560000000031664E-3</v>
      </c>
      <c r="CF5" s="58">
        <f t="shared" si="15"/>
        <v>-3.7708999999999548E-2</v>
      </c>
      <c r="CG5" s="58">
        <f t="shared" si="15"/>
        <v>-5.2294000000003393E-2</v>
      </c>
      <c r="CJ5" t="s">
        <v>233</v>
      </c>
    </row>
    <row r="6" spans="1:88" outlineLevel="1" x14ac:dyDescent="0.2">
      <c r="A6" s="17"/>
      <c r="B6" s="17" t="s">
        <v>51</v>
      </c>
      <c r="C6" s="18" t="s">
        <v>234</v>
      </c>
      <c r="D6" s="17">
        <v>238146391</v>
      </c>
      <c r="E6" s="18">
        <v>10</v>
      </c>
      <c r="F6" s="18">
        <v>32</v>
      </c>
      <c r="G6" s="18">
        <v>30</v>
      </c>
      <c r="I6" s="19">
        <f t="shared" si="0"/>
        <v>3.4014674999999999</v>
      </c>
      <c r="J6" s="20">
        <f t="shared" si="1"/>
        <v>1.5235301214369442E-2</v>
      </c>
      <c r="K6" s="20">
        <f t="shared" si="2"/>
        <v>7.5753069043989841E-3</v>
      </c>
      <c r="L6" s="20">
        <f t="shared" si="3"/>
        <v>4.8914115183882837E-3</v>
      </c>
      <c r="M6" s="20">
        <f t="shared" si="4"/>
        <v>7.6599943099704589E-3</v>
      </c>
      <c r="N6" s="17">
        <f t="shared" si="5"/>
        <v>1804032</v>
      </c>
      <c r="O6" s="20">
        <v>16</v>
      </c>
      <c r="P6" s="21">
        <v>24191962</v>
      </c>
      <c r="Q6" s="21">
        <v>755998.8125</v>
      </c>
      <c r="R6" s="21">
        <v>19085.96875</v>
      </c>
      <c r="S6" s="22">
        <v>3628232</v>
      </c>
      <c r="T6" s="22">
        <v>1164872</v>
      </c>
      <c r="U6" s="22">
        <v>639160</v>
      </c>
      <c r="V6" s="22">
        <v>1824200</v>
      </c>
      <c r="W6" s="23">
        <v>68.255977999999999</v>
      </c>
      <c r="X6" s="23">
        <v>70.438458999999995</v>
      </c>
      <c r="Y6" s="23">
        <v>34.355628000000003</v>
      </c>
      <c r="Z6" s="23">
        <v>45.457172</v>
      </c>
      <c r="AA6" s="23">
        <v>45.255406000000001</v>
      </c>
      <c r="AB6" s="24">
        <v>4007.02</v>
      </c>
      <c r="AC6" s="24">
        <v>1376.29</v>
      </c>
      <c r="AD6" s="24">
        <v>67.054000000000002</v>
      </c>
      <c r="AE6" s="24">
        <v>20.920999999999999</v>
      </c>
      <c r="AG6" s="19">
        <f t="shared" si="6"/>
        <v>3.3919725000000001</v>
      </c>
      <c r="AH6" s="20">
        <f t="shared" si="7"/>
        <v>1.5192772751278016E-2</v>
      </c>
      <c r="AI6" s="20">
        <f t="shared" si="8"/>
        <v>7.5322409567819149E-3</v>
      </c>
      <c r="AJ6" s="20">
        <f t="shared" si="9"/>
        <v>4.8914115183882837E-3</v>
      </c>
      <c r="AK6" s="20">
        <f t="shared" si="10"/>
        <v>7.6599943099704589E-3</v>
      </c>
      <c r="AL6" s="17">
        <f t="shared" si="11"/>
        <v>1793776</v>
      </c>
      <c r="AM6" s="20">
        <v>16</v>
      </c>
      <c r="AN6" s="21">
        <v>24191962</v>
      </c>
      <c r="AO6" s="21">
        <v>755998.8125</v>
      </c>
      <c r="AP6" s="21">
        <v>10154.1875</v>
      </c>
      <c r="AQ6" s="22">
        <v>3618104</v>
      </c>
      <c r="AR6" s="22">
        <v>1164872</v>
      </c>
      <c r="AS6" s="22">
        <v>628904</v>
      </c>
      <c r="AT6" s="22">
        <v>1824200</v>
      </c>
      <c r="AU6" s="23">
        <v>67.865996999999993</v>
      </c>
      <c r="AV6" s="23">
        <v>69.604016000000001</v>
      </c>
      <c r="AW6" s="23">
        <v>34.354219000000001</v>
      </c>
      <c r="AX6" s="23">
        <v>45.410030999999996</v>
      </c>
      <c r="AY6" s="23">
        <v>45.179349999999999</v>
      </c>
      <c r="AZ6" s="24">
        <v>3332.14</v>
      </c>
      <c r="BA6" s="24">
        <v>998.75300000000004</v>
      </c>
      <c r="BB6" s="24">
        <v>9.2260000000000009</v>
      </c>
      <c r="BC6" s="24">
        <v>15.260999999999999</v>
      </c>
      <c r="BE6" s="49">
        <f t="shared" si="12"/>
        <v>0.99431495671917125</v>
      </c>
      <c r="BF6" s="25">
        <f t="shared" si="13"/>
        <v>-1.1814544020861142E-2</v>
      </c>
      <c r="BG6" s="25">
        <f t="shared" si="14"/>
        <v>-1.4427857528080401E-3</v>
      </c>
      <c r="BH6" s="25"/>
      <c r="BJ6" s="49"/>
      <c r="BK6" s="49"/>
      <c r="BL6" s="49"/>
      <c r="BM6" s="49"/>
      <c r="BN6" s="49"/>
      <c r="BP6" s="49"/>
      <c r="BQ6" s="49"/>
      <c r="BR6" s="49"/>
      <c r="BS6" s="49"/>
      <c r="BT6" s="49"/>
      <c r="BV6" s="58">
        <f t="shared" ref="BV6:CG39" si="16">AN6-P6</f>
        <v>0</v>
      </c>
      <c r="BW6" s="58">
        <f t="shared" si="15"/>
        <v>0</v>
      </c>
      <c r="BX6" s="58">
        <f t="shared" si="15"/>
        <v>-8931.78125</v>
      </c>
      <c r="BY6" s="58">
        <f t="shared" si="15"/>
        <v>-10128</v>
      </c>
      <c r="BZ6" s="58">
        <f t="shared" si="15"/>
        <v>0</v>
      </c>
      <c r="CA6" s="58">
        <f t="shared" si="15"/>
        <v>-10256</v>
      </c>
      <c r="CB6" s="58">
        <f t="shared" si="15"/>
        <v>0</v>
      </c>
      <c r="CC6" s="58">
        <f t="shared" si="15"/>
        <v>-0.38998100000000591</v>
      </c>
      <c r="CD6" s="58">
        <f t="shared" si="15"/>
        <v>-0.83444299999999316</v>
      </c>
      <c r="CE6" s="58">
        <f t="shared" si="15"/>
        <v>-1.4090000000024361E-3</v>
      </c>
      <c r="CF6" s="58">
        <f t="shared" si="15"/>
        <v>-4.714100000000343E-2</v>
      </c>
      <c r="CG6" s="58">
        <f t="shared" si="15"/>
        <v>-7.6056000000001234E-2</v>
      </c>
      <c r="CJ6" t="s">
        <v>233</v>
      </c>
    </row>
    <row r="7" spans="1:88" outlineLevel="1" x14ac:dyDescent="0.2">
      <c r="A7" s="52"/>
      <c r="B7" s="52" t="s">
        <v>51</v>
      </c>
      <c r="C7" s="9" t="s">
        <v>235</v>
      </c>
      <c r="D7" s="52">
        <v>238146391</v>
      </c>
      <c r="E7" s="9">
        <v>10</v>
      </c>
      <c r="F7" s="9">
        <v>32</v>
      </c>
      <c r="G7" s="9">
        <v>30</v>
      </c>
      <c r="I7" s="10">
        <f t="shared" si="0"/>
        <v>5.5771199999999999</v>
      </c>
      <c r="J7" s="11">
        <f t="shared" si="1"/>
        <v>2.498013081373969E-2</v>
      </c>
      <c r="K7" s="11">
        <f t="shared" si="2"/>
        <v>9.522613340800113E-3</v>
      </c>
      <c r="L7" s="11">
        <f t="shared" si="3"/>
        <v>6.8387179547894136E-3</v>
      </c>
      <c r="M7" s="11">
        <f t="shared" si="4"/>
        <v>1.5457517472939575E-2</v>
      </c>
      <c r="N7" s="52">
        <f t="shared" si="5"/>
        <v>2267776</v>
      </c>
      <c r="O7" s="11">
        <v>16</v>
      </c>
      <c r="P7" s="12">
        <v>24808216</v>
      </c>
      <c r="Q7" s="12">
        <v>775256.75</v>
      </c>
      <c r="R7" s="12">
        <v>20954.78125</v>
      </c>
      <c r="S7" s="13">
        <v>5948928</v>
      </c>
      <c r="T7" s="13">
        <v>1628616</v>
      </c>
      <c r="U7" s="13">
        <v>639160</v>
      </c>
      <c r="V7" s="13">
        <v>3681152</v>
      </c>
      <c r="W7" s="14">
        <v>69.683724999999995</v>
      </c>
      <c r="X7" s="14">
        <v>72.129402999999996</v>
      </c>
      <c r="Y7" s="14">
        <v>36.897066000000002</v>
      </c>
      <c r="Z7" s="14">
        <v>46.589962999999997</v>
      </c>
      <c r="AA7" s="14">
        <v>46.485678</v>
      </c>
      <c r="AB7" s="15">
        <v>3322.91</v>
      </c>
      <c r="AC7" s="15">
        <v>1042.68</v>
      </c>
      <c r="AD7" s="15">
        <v>59.536000000000001</v>
      </c>
      <c r="AE7" s="15">
        <v>15.117000000000001</v>
      </c>
      <c r="AG7" s="10">
        <f t="shared" si="6"/>
        <v>5.5676249999999996</v>
      </c>
      <c r="AH7" s="11">
        <f t="shared" si="7"/>
        <v>2.493760235064826E-2</v>
      </c>
      <c r="AI7" s="11">
        <f t="shared" si="8"/>
        <v>9.4795473931830448E-3</v>
      </c>
      <c r="AJ7" s="11">
        <f t="shared" si="9"/>
        <v>6.8387179547894136E-3</v>
      </c>
      <c r="AK7" s="11">
        <f t="shared" si="10"/>
        <v>1.5457517472939575E-2</v>
      </c>
      <c r="AL7" s="52">
        <f t="shared" si="11"/>
        <v>2257520</v>
      </c>
      <c r="AM7" s="11">
        <v>16</v>
      </c>
      <c r="AN7" s="12">
        <v>24808216</v>
      </c>
      <c r="AO7" s="12">
        <v>775256.75</v>
      </c>
      <c r="AP7" s="12">
        <v>11731.46875</v>
      </c>
      <c r="AQ7" s="13">
        <v>5938800</v>
      </c>
      <c r="AR7" s="13">
        <v>1628616</v>
      </c>
      <c r="AS7" s="13">
        <v>628904</v>
      </c>
      <c r="AT7" s="13">
        <v>3681152</v>
      </c>
      <c r="AU7" s="14">
        <v>69.139780999999999</v>
      </c>
      <c r="AV7" s="14">
        <v>71.147900000000007</v>
      </c>
      <c r="AW7" s="14">
        <v>36.897193999999999</v>
      </c>
      <c r="AX7" s="14">
        <v>46.545869000000003</v>
      </c>
      <c r="AY7" s="14">
        <v>46.412112</v>
      </c>
      <c r="AZ7" s="15">
        <v>3724.39</v>
      </c>
      <c r="BA7" s="15">
        <v>1149.25</v>
      </c>
      <c r="BB7" s="15">
        <v>10.577</v>
      </c>
      <c r="BC7" s="15">
        <v>16.971</v>
      </c>
      <c r="BE7" s="50">
        <f t="shared" si="12"/>
        <v>0.99547750747869279</v>
      </c>
      <c r="BF7" s="16">
        <f t="shared" si="13"/>
        <v>-1.1897106990684051E-2</v>
      </c>
      <c r="BG7" s="16">
        <f t="shared" si="14"/>
        <v>-1.0768388209535518E-3</v>
      </c>
      <c r="BH7" s="16"/>
      <c r="BJ7" s="50"/>
      <c r="BK7" s="50"/>
      <c r="BL7" s="50"/>
      <c r="BM7" s="50"/>
      <c r="BN7" s="50"/>
      <c r="BP7" s="50"/>
      <c r="BQ7" s="50"/>
      <c r="BR7" s="50"/>
      <c r="BS7" s="50"/>
      <c r="BT7" s="50"/>
      <c r="BV7" s="58">
        <f t="shared" si="16"/>
        <v>0</v>
      </c>
      <c r="BW7" s="58">
        <f t="shared" si="15"/>
        <v>0</v>
      </c>
      <c r="BX7" s="58">
        <f t="shared" si="15"/>
        <v>-9223.3125</v>
      </c>
      <c r="BY7" s="58">
        <f t="shared" si="15"/>
        <v>-10128</v>
      </c>
      <c r="BZ7" s="58">
        <f t="shared" si="15"/>
        <v>0</v>
      </c>
      <c r="CA7" s="58">
        <f t="shared" si="15"/>
        <v>-10256</v>
      </c>
      <c r="CB7" s="58">
        <f t="shared" si="15"/>
        <v>0</v>
      </c>
      <c r="CC7" s="58">
        <f t="shared" si="15"/>
        <v>-0.54394399999999621</v>
      </c>
      <c r="CD7" s="58">
        <f t="shared" si="15"/>
        <v>-0.98150299999998936</v>
      </c>
      <c r="CE7" s="58">
        <f t="shared" si="15"/>
        <v>1.279999999965753E-4</v>
      </c>
      <c r="CF7" s="58">
        <f t="shared" si="15"/>
        <v>-4.4093999999994082E-2</v>
      </c>
      <c r="CG7" s="58">
        <f t="shared" si="15"/>
        <v>-7.3565999999999576E-2</v>
      </c>
      <c r="CJ7" t="s">
        <v>233</v>
      </c>
    </row>
    <row r="8" spans="1:88" outlineLevel="1" x14ac:dyDescent="0.2">
      <c r="A8" s="17"/>
      <c r="B8" s="17" t="s">
        <v>51</v>
      </c>
      <c r="C8" s="18" t="s">
        <v>236</v>
      </c>
      <c r="D8" s="17">
        <v>238146391</v>
      </c>
      <c r="E8" s="18">
        <v>10</v>
      </c>
      <c r="F8" s="18">
        <v>32</v>
      </c>
      <c r="G8" s="18">
        <v>30</v>
      </c>
      <c r="I8" s="19">
        <f t="shared" si="0"/>
        <v>9.4412924999999994</v>
      </c>
      <c r="J8" s="20">
        <f t="shared" si="1"/>
        <v>4.2287905173419155E-2</v>
      </c>
      <c r="K8" s="20">
        <f t="shared" si="2"/>
        <v>1.2784640519704538E-2</v>
      </c>
      <c r="L8" s="20">
        <f t="shared" si="3"/>
        <v>1.0100745133693839E-2</v>
      </c>
      <c r="M8" s="20">
        <f t="shared" si="4"/>
        <v>2.9503264653714615E-2</v>
      </c>
      <c r="N8" s="17">
        <f t="shared" si="5"/>
        <v>3044616</v>
      </c>
      <c r="O8" s="20">
        <v>16</v>
      </c>
      <c r="P8" s="21">
        <v>25797809</v>
      </c>
      <c r="Q8" s="21">
        <v>806181.53125</v>
      </c>
      <c r="R8" s="21">
        <v>24199.8125</v>
      </c>
      <c r="S8" s="22">
        <v>10070712</v>
      </c>
      <c r="T8" s="22">
        <v>2405456</v>
      </c>
      <c r="U8" s="22">
        <v>639160</v>
      </c>
      <c r="V8" s="22">
        <v>7026096</v>
      </c>
      <c r="W8" s="23">
        <v>70.836841000000007</v>
      </c>
      <c r="X8" s="23">
        <v>73.406981000000002</v>
      </c>
      <c r="Y8" s="23">
        <v>39.525216</v>
      </c>
      <c r="Z8" s="23">
        <v>47.905425000000001</v>
      </c>
      <c r="AA8" s="23">
        <v>47.942124999999997</v>
      </c>
      <c r="AB8" s="24">
        <v>4080.27</v>
      </c>
      <c r="AC8" s="24">
        <v>1545.72</v>
      </c>
      <c r="AD8" s="24">
        <v>70.674000000000007</v>
      </c>
      <c r="AE8" s="24">
        <v>23.140999999999998</v>
      </c>
      <c r="AG8" s="19">
        <f t="shared" si="6"/>
        <v>9.4317975000000001</v>
      </c>
      <c r="AH8" s="20">
        <f t="shared" si="7"/>
        <v>4.2245376710327721E-2</v>
      </c>
      <c r="AI8" s="20">
        <f t="shared" si="8"/>
        <v>1.2741574572087468E-2</v>
      </c>
      <c r="AJ8" s="20">
        <f t="shared" si="9"/>
        <v>1.0100745133693839E-2</v>
      </c>
      <c r="AK8" s="20">
        <f t="shared" si="10"/>
        <v>2.9503264653714615E-2</v>
      </c>
      <c r="AL8" s="17">
        <f t="shared" si="11"/>
        <v>3034360</v>
      </c>
      <c r="AM8" s="20">
        <v>16</v>
      </c>
      <c r="AN8" s="21">
        <v>25797809</v>
      </c>
      <c r="AO8" s="21">
        <v>806181.53125</v>
      </c>
      <c r="AP8" s="21">
        <v>13710.53125</v>
      </c>
      <c r="AQ8" s="22">
        <v>10060584</v>
      </c>
      <c r="AR8" s="22">
        <v>2405456</v>
      </c>
      <c r="AS8" s="22">
        <v>628904</v>
      </c>
      <c r="AT8" s="22">
        <v>7026096</v>
      </c>
      <c r="AU8" s="23">
        <v>69.993009000000001</v>
      </c>
      <c r="AV8" s="23">
        <v>72.156830999999997</v>
      </c>
      <c r="AW8" s="23">
        <v>39.532021999999998</v>
      </c>
      <c r="AX8" s="23">
        <v>47.866852999999999</v>
      </c>
      <c r="AY8" s="23">
        <v>47.865900000000003</v>
      </c>
      <c r="AZ8" s="24">
        <v>3297.22</v>
      </c>
      <c r="BA8" s="24">
        <v>1144.76</v>
      </c>
      <c r="BB8" s="24">
        <v>9.3140000000000001</v>
      </c>
      <c r="BC8" s="24">
        <v>16.274000000000001</v>
      </c>
      <c r="BE8" s="49">
        <f t="shared" si="12"/>
        <v>0.996631430696022</v>
      </c>
      <c r="BF8" s="25">
        <f t="shared" si="13"/>
        <v>-1.3011066172324944E-2</v>
      </c>
      <c r="BG8" s="25">
        <f t="shared" si="14"/>
        <v>-7.150742415841238E-4</v>
      </c>
      <c r="BH8" s="25"/>
      <c r="BJ8" s="49"/>
      <c r="BK8" s="49"/>
      <c r="BL8" s="49"/>
      <c r="BM8" s="49"/>
      <c r="BN8" s="49"/>
      <c r="BP8" s="49"/>
      <c r="BQ8" s="49"/>
      <c r="BR8" s="49"/>
      <c r="BS8" s="49"/>
      <c r="BT8" s="49"/>
      <c r="BV8" s="58">
        <f t="shared" si="16"/>
        <v>0</v>
      </c>
      <c r="BW8" s="58">
        <f t="shared" si="15"/>
        <v>0</v>
      </c>
      <c r="BX8" s="58">
        <f t="shared" si="15"/>
        <v>-10489.28125</v>
      </c>
      <c r="BY8" s="58">
        <f t="shared" si="15"/>
        <v>-10128</v>
      </c>
      <c r="BZ8" s="58">
        <f t="shared" si="15"/>
        <v>0</v>
      </c>
      <c r="CA8" s="58">
        <f t="shared" si="15"/>
        <v>-10256</v>
      </c>
      <c r="CB8" s="58">
        <f t="shared" si="15"/>
        <v>0</v>
      </c>
      <c r="CC8" s="58">
        <f t="shared" si="15"/>
        <v>-0.84383200000000613</v>
      </c>
      <c r="CD8" s="58">
        <f t="shared" si="15"/>
        <v>-1.250150000000005</v>
      </c>
      <c r="CE8" s="58">
        <f t="shared" si="15"/>
        <v>6.8059999999974252E-3</v>
      </c>
      <c r="CF8" s="58">
        <f t="shared" si="15"/>
        <v>-3.8572000000002049E-2</v>
      </c>
      <c r="CG8" s="58">
        <f t="shared" si="15"/>
        <v>-7.622499999999377E-2</v>
      </c>
      <c r="CJ8" t="s">
        <v>233</v>
      </c>
    </row>
    <row r="9" spans="1:88" ht="16" outlineLevel="1" thickBot="1" x14ac:dyDescent="0.25">
      <c r="A9" s="52"/>
      <c r="B9" s="26" t="s">
        <v>51</v>
      </c>
      <c r="C9" s="27" t="s">
        <v>237</v>
      </c>
      <c r="D9" s="26">
        <v>238146391</v>
      </c>
      <c r="E9" s="27">
        <v>10</v>
      </c>
      <c r="F9" s="27">
        <v>32</v>
      </c>
      <c r="G9" s="27">
        <v>30</v>
      </c>
      <c r="I9" s="28">
        <f t="shared" si="0"/>
        <v>16.818832499999999</v>
      </c>
      <c r="J9" s="29">
        <f t="shared" si="1"/>
        <v>7.5332185067629259E-2</v>
      </c>
      <c r="K9" s="29">
        <f t="shared" si="2"/>
        <v>2.068986214449918E-2</v>
      </c>
      <c r="L9" s="29">
        <f t="shared" si="3"/>
        <v>1.5547781280464586E-2</v>
      </c>
      <c r="M9" s="29">
        <f t="shared" si="4"/>
        <v>5.4642322923130086E-2</v>
      </c>
      <c r="N9" s="26">
        <f t="shared" si="5"/>
        <v>4927216</v>
      </c>
      <c r="O9" s="29">
        <v>16</v>
      </c>
      <c r="P9" s="30">
        <v>24868389</v>
      </c>
      <c r="Q9" s="30">
        <v>777137.15625</v>
      </c>
      <c r="R9" s="30">
        <v>10635.96875</v>
      </c>
      <c r="S9" s="31">
        <v>17940088</v>
      </c>
      <c r="T9" s="31">
        <v>3702648</v>
      </c>
      <c r="U9" s="31">
        <v>1224568</v>
      </c>
      <c r="V9" s="31">
        <v>13012872</v>
      </c>
      <c r="W9" s="32">
        <v>71.945244000000002</v>
      </c>
      <c r="X9" s="32">
        <v>75.319241000000005</v>
      </c>
      <c r="Y9" s="32">
        <v>42.127887000000001</v>
      </c>
      <c r="Z9" s="32">
        <v>49.411659</v>
      </c>
      <c r="AA9" s="32">
        <v>49.554577999999999</v>
      </c>
      <c r="AB9" s="33">
        <v>3598.79</v>
      </c>
      <c r="AC9" s="33">
        <v>1328.79</v>
      </c>
      <c r="AD9" s="33">
        <v>62.445999999999998</v>
      </c>
      <c r="AE9" s="33">
        <v>17.969000000000001</v>
      </c>
      <c r="AG9" s="28">
        <f t="shared" si="6"/>
        <v>16.809337500000002</v>
      </c>
      <c r="AH9" s="29">
        <f t="shared" si="7"/>
        <v>7.5289656604537833E-2</v>
      </c>
      <c r="AI9" s="29">
        <f t="shared" si="8"/>
        <v>2.064679619688211E-2</v>
      </c>
      <c r="AJ9" s="29">
        <f t="shared" si="9"/>
        <v>1.5547781280464586E-2</v>
      </c>
      <c r="AK9" s="29">
        <f t="shared" si="10"/>
        <v>5.4642322923130086E-2</v>
      </c>
      <c r="AL9" s="26">
        <f t="shared" si="11"/>
        <v>4916960</v>
      </c>
      <c r="AM9" s="29">
        <v>16</v>
      </c>
      <c r="AN9" s="30">
        <v>24868389</v>
      </c>
      <c r="AO9" s="30">
        <v>777137.15625</v>
      </c>
      <c r="AP9" s="30">
        <v>7681.28125</v>
      </c>
      <c r="AQ9" s="31">
        <v>17929960</v>
      </c>
      <c r="AR9" s="31">
        <v>3702648</v>
      </c>
      <c r="AS9" s="31">
        <v>1214312</v>
      </c>
      <c r="AT9" s="31">
        <v>13012872</v>
      </c>
      <c r="AU9" s="32">
        <v>72.050933999999998</v>
      </c>
      <c r="AV9" s="32">
        <v>75.361919</v>
      </c>
      <c r="AW9" s="32">
        <v>42.201324999999997</v>
      </c>
      <c r="AX9" s="32">
        <v>49.411709000000002</v>
      </c>
      <c r="AY9" s="32">
        <v>49.554253000000003</v>
      </c>
      <c r="AZ9" s="33">
        <v>3534.32</v>
      </c>
      <c r="BA9" s="33">
        <v>1304.98</v>
      </c>
      <c r="BB9" s="33">
        <v>9.1</v>
      </c>
      <c r="BC9" s="33">
        <v>17.067</v>
      </c>
      <c r="BE9" s="34">
        <f t="shared" si="12"/>
        <v>0.99791850002110716</v>
      </c>
      <c r="BF9" s="35">
        <f t="shared" si="13"/>
        <v>-3.8020154823860935E-3</v>
      </c>
      <c r="BG9" s="35">
        <f t="shared" si="14"/>
        <v>-4.1686435816623568E-4</v>
      </c>
      <c r="BH9" s="35"/>
      <c r="BJ9" s="34"/>
      <c r="BK9" s="34"/>
      <c r="BL9" s="34"/>
      <c r="BM9" s="34"/>
      <c r="BN9" s="34"/>
      <c r="BP9" s="34"/>
      <c r="BQ9" s="34"/>
      <c r="BR9" s="34"/>
      <c r="BS9" s="34"/>
      <c r="BT9" s="34"/>
      <c r="BV9" s="58">
        <f t="shared" si="16"/>
        <v>0</v>
      </c>
      <c r="BW9" s="58">
        <f t="shared" si="15"/>
        <v>0</v>
      </c>
      <c r="BX9" s="58">
        <f t="shared" si="15"/>
        <v>-2954.6875</v>
      </c>
      <c r="BY9" s="58">
        <f t="shared" si="15"/>
        <v>-10128</v>
      </c>
      <c r="BZ9" s="58">
        <f t="shared" si="15"/>
        <v>0</v>
      </c>
      <c r="CA9" s="58">
        <f t="shared" si="15"/>
        <v>-10256</v>
      </c>
      <c r="CB9" s="58">
        <f t="shared" si="15"/>
        <v>0</v>
      </c>
      <c r="CC9" s="58">
        <f t="shared" si="15"/>
        <v>0.10568999999999562</v>
      </c>
      <c r="CD9" s="58">
        <f t="shared" si="15"/>
        <v>4.2677999999995109E-2</v>
      </c>
      <c r="CE9" s="58">
        <f t="shared" si="15"/>
        <v>7.3437999999995895E-2</v>
      </c>
      <c r="CF9" s="58">
        <f t="shared" si="15"/>
        <v>5.0000000001659828E-5</v>
      </c>
      <c r="CG9" s="58">
        <f t="shared" si="15"/>
        <v>-3.2499999999657803E-4</v>
      </c>
      <c r="CJ9" t="s">
        <v>233</v>
      </c>
    </row>
    <row r="10" spans="1:88" x14ac:dyDescent="0.2">
      <c r="A10" s="17"/>
      <c r="B10" s="17" t="s">
        <v>59</v>
      </c>
      <c r="C10" s="18" t="s">
        <v>232</v>
      </c>
      <c r="D10" s="17">
        <v>218121242</v>
      </c>
      <c r="E10" s="18">
        <v>10</v>
      </c>
      <c r="F10" s="18">
        <v>32</v>
      </c>
      <c r="G10" s="18">
        <v>30</v>
      </c>
      <c r="I10" s="19">
        <f t="shared" si="0"/>
        <v>3.2118150000000001</v>
      </c>
      <c r="J10" s="20">
        <f t="shared" si="1"/>
        <v>1.5706567451142607E-2</v>
      </c>
      <c r="K10" s="20">
        <f t="shared" si="2"/>
        <v>8.1856126603203558E-3</v>
      </c>
      <c r="L10" s="20">
        <f t="shared" si="3"/>
        <v>4.2806284772576161E-3</v>
      </c>
      <c r="M10" s="20">
        <f t="shared" si="4"/>
        <v>7.520954790822253E-3</v>
      </c>
      <c r="N10" s="17">
        <f t="shared" si="5"/>
        <v>1785456</v>
      </c>
      <c r="O10" s="20">
        <v>16</v>
      </c>
      <c r="P10" s="21">
        <v>20666971</v>
      </c>
      <c r="Q10" s="21">
        <v>645842.84375</v>
      </c>
      <c r="R10" s="21">
        <v>18163.46875</v>
      </c>
      <c r="S10" s="22">
        <v>3425936</v>
      </c>
      <c r="T10" s="22">
        <v>933696</v>
      </c>
      <c r="U10" s="22">
        <v>851760</v>
      </c>
      <c r="V10" s="22">
        <v>1640480</v>
      </c>
      <c r="W10" s="23">
        <v>65.904411999999994</v>
      </c>
      <c r="X10" s="23">
        <v>67.822759000000005</v>
      </c>
      <c r="Y10" s="23">
        <v>32.386865999999998</v>
      </c>
      <c r="Z10" s="23">
        <v>39.175778000000001</v>
      </c>
      <c r="AA10" s="23">
        <v>32.086630999999997</v>
      </c>
      <c r="AB10" s="24">
        <v>3521.37</v>
      </c>
      <c r="AC10" s="24">
        <v>1088.5899999999999</v>
      </c>
      <c r="AD10" s="24">
        <v>54.136000000000003</v>
      </c>
      <c r="AE10" s="24">
        <v>15.983000000000001</v>
      </c>
      <c r="AG10" s="19">
        <f t="shared" si="6"/>
        <v>3.1862474999999999</v>
      </c>
      <c r="AH10" s="20">
        <f t="shared" si="7"/>
        <v>1.5581536070659272E-2</v>
      </c>
      <c r="AI10" s="20">
        <f t="shared" si="8"/>
        <v>8.0599944502424935E-3</v>
      </c>
      <c r="AJ10" s="20">
        <f t="shared" si="9"/>
        <v>4.2806284772576161E-3</v>
      </c>
      <c r="AK10" s="20">
        <f t="shared" si="10"/>
        <v>7.520954790822253E-3</v>
      </c>
      <c r="AL10" s="17">
        <f t="shared" si="11"/>
        <v>1758056</v>
      </c>
      <c r="AM10" s="20">
        <v>16</v>
      </c>
      <c r="AN10" s="21">
        <v>20666971</v>
      </c>
      <c r="AO10" s="21">
        <v>645842.84375</v>
      </c>
      <c r="AP10" s="21">
        <v>8339.9375</v>
      </c>
      <c r="AQ10" s="22">
        <v>3398664</v>
      </c>
      <c r="AR10" s="22">
        <v>933696</v>
      </c>
      <c r="AS10" s="22">
        <v>824360</v>
      </c>
      <c r="AT10" s="22">
        <v>1640480</v>
      </c>
      <c r="AU10" s="23">
        <v>65.672196999999997</v>
      </c>
      <c r="AV10" s="23">
        <v>67.077566000000004</v>
      </c>
      <c r="AW10" s="23">
        <v>32.380341000000001</v>
      </c>
      <c r="AX10" s="23">
        <v>39.169556</v>
      </c>
      <c r="AY10" s="23">
        <v>32.082608999999998</v>
      </c>
      <c r="AZ10" s="24">
        <v>3549.77</v>
      </c>
      <c r="BA10" s="24">
        <v>1072.0899999999999</v>
      </c>
      <c r="BB10" s="24">
        <v>8.984</v>
      </c>
      <c r="BC10" s="24">
        <v>15.856999999999999</v>
      </c>
      <c r="BE10" s="49">
        <f t="shared" si="12"/>
        <v>0.98465378032278572</v>
      </c>
      <c r="BF10" s="25">
        <f t="shared" si="13"/>
        <v>-1.5210405046777295E-2</v>
      </c>
      <c r="BG10" s="25">
        <f t="shared" si="14"/>
        <v>-3.8800430804643016E-3</v>
      </c>
      <c r="BH10" s="25">
        <f t="array" ref="BH10">AVERAGE(AL10:AL14/AQ10:AQ14) - AVERAGE(N10:N14/S10:S14)</f>
        <v>-2.3438955701872155E-3</v>
      </c>
      <c r="BJ10" s="49">
        <f>IF( OR(ISBLANK(N10:N14),ISBLANK(AL10:AL14), ISBLANK(W10:W14),ISBLANK(AU10:AU14)), "·", bdRateExtend( N10:N14,W10:W14, AL10:AL14,AU10:AU14))</f>
        <v>0.15693873146009252</v>
      </c>
      <c r="BK10" s="49">
        <f>IF( OR(ISBLANK(N10:N14),ISBLANK(AL10:AL14), ISBLANK(X10:X14),ISBLANK(AV10:AV14)), "·", bdRateExtend( N10:N14,X10:X14, AL10:AL14,AV10:AV14))</f>
        <v>0.20161573277192524</v>
      </c>
      <c r="BL10" s="49">
        <f>IF( OR(ISBLANK(V10:V14),ISBLANK(AT10:AT14), ISBLANK(Y10:Y14),ISBLANK(AW10:AW14)), "·", bdRateExtend( V10:V14,Y10:Y14, AT10:AT14,AW10:AW14))</f>
        <v>-4.4872760447854931E-3</v>
      </c>
      <c r="BM10" s="49">
        <f>IF( OR(ISBLANK(V10:V14),ISBLANK(AT10:AT14), ISBLANK(Z10:Z14),ISBLANK(AX10:AX14)), "·", bdRateExtend( V10:V14,Z10:Z14, AT10:AT14,AX10:AX14))</f>
        <v>1.189338927002348E-3</v>
      </c>
      <c r="BN10" s="49">
        <f>IF( OR(ISBLANK(V10:V14),ISBLANK(AT10:AT14), ISBLANK(AA10:AA14),ISBLANK(AY10:AY14)), "·", bdRateExtend( V10:V14,AA10:AA14, AT10:AT14,AY10:AY14))</f>
        <v>-1.0060308629721293E-3</v>
      </c>
      <c r="BP10" s="49">
        <f>IF( OR(ISBLANK(S10:S14),ISBLANK(AQ10:AQ14), ISBLANK(W10:W14),ISBLANK(AU10:AU14)), "·", bdRateExtend( S10:S14,W10:W14, AQ10:AQ14,AU10:AU14))</f>
        <v>0.27818229696628749</v>
      </c>
      <c r="BQ10" s="49">
        <f>IF( OR(ISBLANK(S10:S14),ISBLANK(AQ10:AQ14), ISBLANK(X10:X14),ISBLANK(AV10:AV14)), "·", bdRateExtend( S10:S14,X10:X14, AQ10:AQ14,AV10:AV14))</f>
        <v>0.33091085571176926</v>
      </c>
      <c r="BR10" s="49">
        <f>IF( OR(ISBLANK(S10:S14),ISBLANK(AQ10:AQ14), ISBLANK(Y10:Y14),ISBLANK(AW10:AW14)), "·", bdRateExtend( S10:S14,Y10:Y14, AQ10:AQ14,AW10:AW14))</f>
        <v>-8.0234155655569683E-3</v>
      </c>
      <c r="BS10" s="49">
        <f>IF( OR(ISBLANK(S10:S14),ISBLANK(AQ10:AQ14), ISBLANK(Z10:Z14),ISBLANK(AX10:AX14)), "·", bdRateExtend( S10:S14,Z10:Z14, AQ10:AQ14,AX10:AX14))</f>
        <v>-2.6967783528175637E-3</v>
      </c>
      <c r="BT10" s="49">
        <f>IF( OR(ISBLANK(S10:S14),ISBLANK(AQ10:AQ14), ISBLANK(AA10:AA14),ISBLANK(AY10:AY14)), "·", bdRateExtend( S10:S14,AA10:AA14, AQ10:AQ14,AY10:AY14))</f>
        <v>-4.9042881792372706E-3</v>
      </c>
      <c r="BV10" s="58">
        <f t="shared" si="16"/>
        <v>0</v>
      </c>
      <c r="BW10" s="58">
        <f t="shared" si="15"/>
        <v>0</v>
      </c>
      <c r="BX10" s="58">
        <f t="shared" si="15"/>
        <v>-9823.53125</v>
      </c>
      <c r="BY10" s="58">
        <f t="shared" si="15"/>
        <v>-27272</v>
      </c>
      <c r="BZ10" s="58">
        <f t="shared" si="15"/>
        <v>0</v>
      </c>
      <c r="CA10" s="58">
        <f t="shared" si="15"/>
        <v>-27400</v>
      </c>
      <c r="CB10" s="58">
        <f t="shared" si="15"/>
        <v>0</v>
      </c>
      <c r="CC10" s="58">
        <f t="shared" si="15"/>
        <v>-0.23221499999999651</v>
      </c>
      <c r="CD10" s="58">
        <f t="shared" si="15"/>
        <v>-0.74519300000000044</v>
      </c>
      <c r="CE10" s="58">
        <f t="shared" si="15"/>
        <v>-6.5249999999963393E-3</v>
      </c>
      <c r="CF10" s="58">
        <f t="shared" si="15"/>
        <v>-6.22200000000106E-3</v>
      </c>
      <c r="CG10" s="58">
        <f t="shared" si="15"/>
        <v>-4.0219999999990819E-3</v>
      </c>
      <c r="CJ10" t="s">
        <v>238</v>
      </c>
    </row>
    <row r="11" spans="1:88" outlineLevel="1" x14ac:dyDescent="0.2">
      <c r="A11" s="52"/>
      <c r="B11" s="52" t="s">
        <v>59</v>
      </c>
      <c r="C11" s="9" t="s">
        <v>234</v>
      </c>
      <c r="D11" s="52">
        <v>218121242</v>
      </c>
      <c r="E11" s="9">
        <v>10</v>
      </c>
      <c r="F11" s="9">
        <v>32</v>
      </c>
      <c r="G11" s="9">
        <v>30</v>
      </c>
      <c r="I11" s="10">
        <f t="shared" si="0"/>
        <v>4.6275075000000001</v>
      </c>
      <c r="J11" s="11">
        <f t="shared" si="1"/>
        <v>2.2629652915693556E-2</v>
      </c>
      <c r="K11" s="11">
        <f t="shared" si="2"/>
        <v>9.9355385111918621E-3</v>
      </c>
      <c r="L11" s="11">
        <f t="shared" si="3"/>
        <v>6.0305543281291233E-3</v>
      </c>
      <c r="M11" s="11">
        <f t="shared" si="4"/>
        <v>1.2694114404501694E-2</v>
      </c>
      <c r="N11" s="52">
        <f t="shared" si="5"/>
        <v>2167152</v>
      </c>
      <c r="O11" s="11">
        <v>16</v>
      </c>
      <c r="P11" s="12">
        <v>22097663</v>
      </c>
      <c r="Q11" s="12">
        <v>690551.96875</v>
      </c>
      <c r="R11" s="12">
        <v>22957.28125</v>
      </c>
      <c r="S11" s="13">
        <v>4936008</v>
      </c>
      <c r="T11" s="13">
        <v>1315392</v>
      </c>
      <c r="U11" s="13">
        <v>851760</v>
      </c>
      <c r="V11" s="13">
        <v>2768856</v>
      </c>
      <c r="W11" s="14">
        <v>67.607918999999995</v>
      </c>
      <c r="X11" s="14">
        <v>69.699944000000002</v>
      </c>
      <c r="Y11" s="14">
        <v>34.247959000000002</v>
      </c>
      <c r="Z11" s="14">
        <v>40.027191000000002</v>
      </c>
      <c r="AA11" s="14">
        <v>33.861477999999998</v>
      </c>
      <c r="AB11" s="15">
        <v>4191.76</v>
      </c>
      <c r="AC11" s="15">
        <v>1465.99</v>
      </c>
      <c r="AD11" s="15">
        <v>60.981000000000002</v>
      </c>
      <c r="AE11" s="15">
        <v>21.838999999999999</v>
      </c>
      <c r="AG11" s="10">
        <f t="shared" si="6"/>
        <v>4.6019399999999999</v>
      </c>
      <c r="AH11" s="11">
        <f t="shared" si="7"/>
        <v>2.2504621535210219E-2</v>
      </c>
      <c r="AI11" s="11">
        <f t="shared" si="8"/>
        <v>9.8099203011140015E-3</v>
      </c>
      <c r="AJ11" s="11">
        <f t="shared" si="9"/>
        <v>6.0305543281291233E-3</v>
      </c>
      <c r="AK11" s="11">
        <f t="shared" si="10"/>
        <v>1.2694114404501694E-2</v>
      </c>
      <c r="AL11" s="52">
        <f t="shared" si="11"/>
        <v>2139752</v>
      </c>
      <c r="AM11" s="11">
        <v>16</v>
      </c>
      <c r="AN11" s="12">
        <v>22097663</v>
      </c>
      <c r="AO11" s="12">
        <v>690551.96875</v>
      </c>
      <c r="AP11" s="12">
        <v>10758.71875</v>
      </c>
      <c r="AQ11" s="13">
        <v>4908736</v>
      </c>
      <c r="AR11" s="13">
        <v>1315392</v>
      </c>
      <c r="AS11" s="13">
        <v>824360</v>
      </c>
      <c r="AT11" s="13">
        <v>2768856</v>
      </c>
      <c r="AU11" s="14">
        <v>67.043836999999996</v>
      </c>
      <c r="AV11" s="14">
        <v>68.740793999999994</v>
      </c>
      <c r="AW11" s="14">
        <v>34.246262999999999</v>
      </c>
      <c r="AX11" s="14">
        <v>40.023190999999997</v>
      </c>
      <c r="AY11" s="14">
        <v>33.858736999999998</v>
      </c>
      <c r="AZ11" s="15">
        <v>3403.27</v>
      </c>
      <c r="BA11" s="15">
        <v>1115.75</v>
      </c>
      <c r="BB11" s="15">
        <v>9.0350000000000001</v>
      </c>
      <c r="BC11" s="15">
        <v>16.295000000000002</v>
      </c>
      <c r="BE11" s="50">
        <f t="shared" si="12"/>
        <v>0.9873566782579164</v>
      </c>
      <c r="BF11" s="16">
        <f t="shared" si="13"/>
        <v>-1.7664944931054471E-2</v>
      </c>
      <c r="BG11" s="16">
        <f t="shared" si="14"/>
        <v>-3.1426096608720422E-3</v>
      </c>
      <c r="BH11" s="16"/>
      <c r="BJ11" s="50"/>
      <c r="BK11" s="50"/>
      <c r="BL11" s="50"/>
      <c r="BM11" s="50"/>
      <c r="BN11" s="50"/>
      <c r="BP11" s="50"/>
      <c r="BQ11" s="50"/>
      <c r="BR11" s="50"/>
      <c r="BS11" s="50"/>
      <c r="BT11" s="50"/>
      <c r="BV11" s="58">
        <f t="shared" si="16"/>
        <v>0</v>
      </c>
      <c r="BW11" s="58">
        <f t="shared" si="15"/>
        <v>0</v>
      </c>
      <c r="BX11" s="58">
        <f t="shared" si="15"/>
        <v>-12198.5625</v>
      </c>
      <c r="BY11" s="58">
        <f t="shared" si="15"/>
        <v>-27272</v>
      </c>
      <c r="BZ11" s="58">
        <f t="shared" si="15"/>
        <v>0</v>
      </c>
      <c r="CA11" s="58">
        <f t="shared" si="15"/>
        <v>-27400</v>
      </c>
      <c r="CB11" s="58">
        <f t="shared" si="15"/>
        <v>0</v>
      </c>
      <c r="CC11" s="58">
        <f t="shared" si="15"/>
        <v>-0.56408199999999908</v>
      </c>
      <c r="CD11" s="58">
        <f t="shared" si="15"/>
        <v>-0.95915000000000816</v>
      </c>
      <c r="CE11" s="58">
        <f t="shared" si="15"/>
        <v>-1.6960000000025843E-3</v>
      </c>
      <c r="CF11" s="58">
        <f t="shared" si="15"/>
        <v>-4.0000000000048885E-3</v>
      </c>
      <c r="CG11" s="58">
        <f t="shared" si="15"/>
        <v>-2.7410000000003265E-3</v>
      </c>
      <c r="CJ11" t="s">
        <v>238</v>
      </c>
    </row>
    <row r="12" spans="1:88" outlineLevel="1" x14ac:dyDescent="0.2">
      <c r="A12" s="17"/>
      <c r="B12" s="17" t="s">
        <v>59</v>
      </c>
      <c r="C12" s="18" t="s">
        <v>235</v>
      </c>
      <c r="D12" s="17">
        <v>218121242</v>
      </c>
      <c r="E12" s="18">
        <v>10</v>
      </c>
      <c r="F12" s="18">
        <v>32</v>
      </c>
      <c r="G12" s="18">
        <v>30</v>
      </c>
      <c r="I12" s="19">
        <f t="shared" si="0"/>
        <v>7.1472224999999998</v>
      </c>
      <c r="J12" s="20">
        <f t="shared" si="1"/>
        <v>3.495168068041718E-2</v>
      </c>
      <c r="K12" s="20">
        <f t="shared" si="2"/>
        <v>1.2619110246951556E-2</v>
      </c>
      <c r="L12" s="20">
        <f t="shared" si="3"/>
        <v>8.714126063888817E-3</v>
      </c>
      <c r="M12" s="20">
        <f t="shared" si="4"/>
        <v>2.2332570433465624E-2</v>
      </c>
      <c r="N12" s="17">
        <f t="shared" si="5"/>
        <v>2752496</v>
      </c>
      <c r="O12" s="20">
        <v>16</v>
      </c>
      <c r="P12" s="21">
        <v>22510846</v>
      </c>
      <c r="Q12" s="21">
        <v>703463.9375</v>
      </c>
      <c r="R12" s="21">
        <v>24709.6875</v>
      </c>
      <c r="S12" s="22">
        <v>7623704</v>
      </c>
      <c r="T12" s="22">
        <v>1900736</v>
      </c>
      <c r="U12" s="22">
        <v>851760</v>
      </c>
      <c r="V12" s="22">
        <v>4871208</v>
      </c>
      <c r="W12" s="23">
        <v>68.956063</v>
      </c>
      <c r="X12" s="23">
        <v>71.331965999999994</v>
      </c>
      <c r="Y12" s="23">
        <v>36.351883999999998</v>
      </c>
      <c r="Z12" s="23">
        <v>40.928597000000003</v>
      </c>
      <c r="AA12" s="23">
        <v>35.641469000000001</v>
      </c>
      <c r="AB12" s="24">
        <v>3390.44</v>
      </c>
      <c r="AC12" s="24">
        <v>1110.17</v>
      </c>
      <c r="AD12" s="24">
        <v>54.74</v>
      </c>
      <c r="AE12" s="24">
        <v>16.425999999999998</v>
      </c>
      <c r="AG12" s="19">
        <f t="shared" si="6"/>
        <v>7.1216549999999996</v>
      </c>
      <c r="AH12" s="20">
        <f t="shared" si="7"/>
        <v>3.4826649299933843E-2</v>
      </c>
      <c r="AI12" s="20">
        <f t="shared" si="8"/>
        <v>1.2493492036873693E-2</v>
      </c>
      <c r="AJ12" s="20">
        <f t="shared" si="9"/>
        <v>8.714126063888817E-3</v>
      </c>
      <c r="AK12" s="20">
        <f t="shared" si="10"/>
        <v>2.2332570433465624E-2</v>
      </c>
      <c r="AL12" s="17">
        <f t="shared" si="11"/>
        <v>2725096</v>
      </c>
      <c r="AM12" s="20">
        <v>16</v>
      </c>
      <c r="AN12" s="21">
        <v>22510846</v>
      </c>
      <c r="AO12" s="21">
        <v>703463.9375</v>
      </c>
      <c r="AP12" s="21">
        <v>12197.5625</v>
      </c>
      <c r="AQ12" s="22">
        <v>7596432</v>
      </c>
      <c r="AR12" s="22">
        <v>1900736</v>
      </c>
      <c r="AS12" s="22">
        <v>824360</v>
      </c>
      <c r="AT12" s="22">
        <v>4871208</v>
      </c>
      <c r="AU12" s="23">
        <v>68.259377999999998</v>
      </c>
      <c r="AV12" s="23">
        <v>70.223787000000002</v>
      </c>
      <c r="AW12" s="23">
        <v>36.358209000000002</v>
      </c>
      <c r="AX12" s="23">
        <v>40.926215999999997</v>
      </c>
      <c r="AY12" s="23">
        <v>35.641494000000002</v>
      </c>
      <c r="AZ12" s="24">
        <v>3415.85</v>
      </c>
      <c r="BA12" s="24">
        <v>1148.73</v>
      </c>
      <c r="BB12" s="24">
        <v>8.6829999999999998</v>
      </c>
      <c r="BC12" s="24">
        <v>16.234999999999999</v>
      </c>
      <c r="BE12" s="49">
        <f t="shared" si="12"/>
        <v>0.99004539879440323</v>
      </c>
      <c r="BF12" s="25">
        <f t="shared" si="13"/>
        <v>-1.7786448363602152E-2</v>
      </c>
      <c r="BG12" s="25">
        <f t="shared" si="14"/>
        <v>-2.3107685058870731E-3</v>
      </c>
      <c r="BH12" s="25"/>
      <c r="BJ12" s="49"/>
      <c r="BK12" s="49"/>
      <c r="BL12" s="49"/>
      <c r="BM12" s="49"/>
      <c r="BN12" s="49"/>
      <c r="BP12" s="49"/>
      <c r="BQ12" s="49"/>
      <c r="BR12" s="49"/>
      <c r="BS12" s="49"/>
      <c r="BT12" s="49"/>
      <c r="BV12" s="58">
        <f t="shared" si="16"/>
        <v>0</v>
      </c>
      <c r="BW12" s="58">
        <f t="shared" si="15"/>
        <v>0</v>
      </c>
      <c r="BX12" s="58">
        <f t="shared" si="15"/>
        <v>-12512.125</v>
      </c>
      <c r="BY12" s="58">
        <f t="shared" si="15"/>
        <v>-27272</v>
      </c>
      <c r="BZ12" s="58">
        <f t="shared" si="15"/>
        <v>0</v>
      </c>
      <c r="CA12" s="58">
        <f t="shared" si="15"/>
        <v>-27400</v>
      </c>
      <c r="CB12" s="58">
        <f t="shared" si="15"/>
        <v>0</v>
      </c>
      <c r="CC12" s="58">
        <f t="shared" si="15"/>
        <v>-0.69668500000000222</v>
      </c>
      <c r="CD12" s="58">
        <f t="shared" si="15"/>
        <v>-1.1081789999999927</v>
      </c>
      <c r="CE12" s="58">
        <f t="shared" si="15"/>
        <v>6.3250000000039108E-3</v>
      </c>
      <c r="CF12" s="58">
        <f t="shared" si="15"/>
        <v>-2.3810000000068499E-3</v>
      </c>
      <c r="CG12" s="58">
        <f t="shared" si="15"/>
        <v>2.5000000000829914E-5</v>
      </c>
      <c r="CJ12" t="s">
        <v>238</v>
      </c>
    </row>
    <row r="13" spans="1:88" outlineLevel="1" x14ac:dyDescent="0.2">
      <c r="A13" s="52"/>
      <c r="B13" s="52" t="s">
        <v>59</v>
      </c>
      <c r="C13" s="9" t="s">
        <v>236</v>
      </c>
      <c r="D13" s="52">
        <v>218121242</v>
      </c>
      <c r="E13" s="9">
        <v>10</v>
      </c>
      <c r="F13" s="9">
        <v>32</v>
      </c>
      <c r="G13" s="9">
        <v>30</v>
      </c>
      <c r="I13" s="10">
        <f t="shared" si="0"/>
        <v>12.03003</v>
      </c>
      <c r="J13" s="11">
        <f t="shared" si="1"/>
        <v>5.8829813558461216E-2</v>
      </c>
      <c r="K13" s="11">
        <f t="shared" si="2"/>
        <v>1.730054333726928E-2</v>
      </c>
      <c r="L13" s="11">
        <f t="shared" si="3"/>
        <v>1.3395559154206539E-2</v>
      </c>
      <c r="M13" s="11">
        <f t="shared" si="4"/>
        <v>4.152927022119194E-2</v>
      </c>
      <c r="N13" s="52">
        <f t="shared" si="5"/>
        <v>3773616</v>
      </c>
      <c r="O13" s="11">
        <v>16</v>
      </c>
      <c r="P13" s="12">
        <v>23291739</v>
      </c>
      <c r="Q13" s="12">
        <v>727866.84375</v>
      </c>
      <c r="R13" s="12">
        <v>28062.03125</v>
      </c>
      <c r="S13" s="13">
        <v>12832032</v>
      </c>
      <c r="T13" s="13">
        <v>2921856</v>
      </c>
      <c r="U13" s="13">
        <v>851760</v>
      </c>
      <c r="V13" s="13">
        <v>9058416</v>
      </c>
      <c r="W13" s="14">
        <v>70.072275000000005</v>
      </c>
      <c r="X13" s="14">
        <v>72.590205999999995</v>
      </c>
      <c r="Y13" s="14">
        <v>38.665965999999997</v>
      </c>
      <c r="Z13" s="14">
        <v>42.107503000000001</v>
      </c>
      <c r="AA13" s="14">
        <v>37.689275000000002</v>
      </c>
      <c r="AB13" s="15">
        <v>3977.03</v>
      </c>
      <c r="AC13" s="15">
        <v>1399.52</v>
      </c>
      <c r="AD13" s="15">
        <v>62.853000000000002</v>
      </c>
      <c r="AE13" s="15">
        <v>19.303999999999998</v>
      </c>
      <c r="AG13" s="10">
        <f t="shared" si="6"/>
        <v>12.004462500000001</v>
      </c>
      <c r="AH13" s="11">
        <f t="shared" si="7"/>
        <v>5.8704782177977879E-2</v>
      </c>
      <c r="AI13" s="11">
        <f t="shared" si="8"/>
        <v>1.7174925127191418E-2</v>
      </c>
      <c r="AJ13" s="11">
        <f t="shared" si="9"/>
        <v>1.3395559154206539E-2</v>
      </c>
      <c r="AK13" s="11">
        <f t="shared" si="10"/>
        <v>4.152927022119194E-2</v>
      </c>
      <c r="AL13" s="52">
        <f t="shared" si="11"/>
        <v>3746216</v>
      </c>
      <c r="AM13" s="11">
        <v>16</v>
      </c>
      <c r="AN13" s="12">
        <v>23291739</v>
      </c>
      <c r="AO13" s="12">
        <v>727866.84375</v>
      </c>
      <c r="AP13" s="12">
        <v>14213.84375</v>
      </c>
      <c r="AQ13" s="13">
        <v>12804760</v>
      </c>
      <c r="AR13" s="13">
        <v>2921856</v>
      </c>
      <c r="AS13" s="13">
        <v>824360</v>
      </c>
      <c r="AT13" s="13">
        <v>9058416</v>
      </c>
      <c r="AU13" s="14">
        <v>69.091706000000002</v>
      </c>
      <c r="AV13" s="14">
        <v>71.209963000000002</v>
      </c>
      <c r="AW13" s="14">
        <v>38.685997</v>
      </c>
      <c r="AX13" s="14">
        <v>42.106875000000002</v>
      </c>
      <c r="AY13" s="14">
        <v>37.693511999999998</v>
      </c>
      <c r="AZ13" s="15">
        <v>3783.53</v>
      </c>
      <c r="BA13" s="15">
        <v>1319.05</v>
      </c>
      <c r="BB13" s="15">
        <v>8.8729999999999993</v>
      </c>
      <c r="BC13" s="15">
        <v>18.341999999999999</v>
      </c>
      <c r="BE13" s="50">
        <f t="shared" si="12"/>
        <v>0.99273905983014699</v>
      </c>
      <c r="BF13" s="16">
        <f t="shared" si="13"/>
        <v>-1.9025715512268102E-2</v>
      </c>
      <c r="BG13" s="16">
        <f t="shared" si="14"/>
        <v>-1.5134926141536775E-3</v>
      </c>
      <c r="BH13" s="16"/>
      <c r="BJ13" s="50"/>
      <c r="BK13" s="50"/>
      <c r="BL13" s="50"/>
      <c r="BM13" s="50"/>
      <c r="BN13" s="50"/>
      <c r="BP13" s="50"/>
      <c r="BQ13" s="50"/>
      <c r="BR13" s="50"/>
      <c r="BS13" s="50"/>
      <c r="BT13" s="50"/>
      <c r="BV13" s="58">
        <f t="shared" si="16"/>
        <v>0</v>
      </c>
      <c r="BW13" s="58">
        <f t="shared" si="15"/>
        <v>0</v>
      </c>
      <c r="BX13" s="58">
        <f t="shared" si="15"/>
        <v>-13848.1875</v>
      </c>
      <c r="BY13" s="58">
        <f t="shared" si="15"/>
        <v>-27272</v>
      </c>
      <c r="BZ13" s="58">
        <f t="shared" si="15"/>
        <v>0</v>
      </c>
      <c r="CA13" s="58">
        <f t="shared" si="15"/>
        <v>-27400</v>
      </c>
      <c r="CB13" s="58">
        <f t="shared" si="15"/>
        <v>0</v>
      </c>
      <c r="CC13" s="58">
        <f t="shared" si="15"/>
        <v>-0.98056900000000269</v>
      </c>
      <c r="CD13" s="58">
        <f t="shared" si="15"/>
        <v>-1.380242999999993</v>
      </c>
      <c r="CE13" s="58">
        <f t="shared" si="15"/>
        <v>2.0031000000003019E-2</v>
      </c>
      <c r="CF13" s="58">
        <f t="shared" si="15"/>
        <v>-6.2799999999896272E-4</v>
      </c>
      <c r="CG13" s="58">
        <f t="shared" si="15"/>
        <v>4.2369999999962715E-3</v>
      </c>
      <c r="CJ13" t="s">
        <v>238</v>
      </c>
    </row>
    <row r="14" spans="1:88" ht="16" outlineLevel="1" thickBot="1" x14ac:dyDescent="0.25">
      <c r="A14" s="17"/>
      <c r="B14" s="36" t="s">
        <v>59</v>
      </c>
      <c r="C14" s="37" t="s">
        <v>237</v>
      </c>
      <c r="D14" s="36">
        <v>218121242</v>
      </c>
      <c r="E14" s="37">
        <v>10</v>
      </c>
      <c r="F14" s="37">
        <v>32</v>
      </c>
      <c r="G14" s="37">
        <v>30</v>
      </c>
      <c r="I14" s="38">
        <f t="shared" si="0"/>
        <v>21.587354999999999</v>
      </c>
      <c r="J14" s="39">
        <f t="shared" si="1"/>
        <v>0.10556748984585371</v>
      </c>
      <c r="K14" s="39">
        <f t="shared" si="2"/>
        <v>2.838032620408424E-2</v>
      </c>
      <c r="L14" s="39">
        <f t="shared" si="3"/>
        <v>2.1154363315059429E-2</v>
      </c>
      <c r="M14" s="39">
        <f t="shared" si="4"/>
        <v>7.7187163641769474E-2</v>
      </c>
      <c r="N14" s="36">
        <f t="shared" si="5"/>
        <v>6190352</v>
      </c>
      <c r="O14" s="39">
        <v>16</v>
      </c>
      <c r="P14" s="40">
        <v>22124056</v>
      </c>
      <c r="Q14" s="40">
        <v>691376.75</v>
      </c>
      <c r="R14" s="40">
        <v>13278.71875</v>
      </c>
      <c r="S14" s="41">
        <v>23026512</v>
      </c>
      <c r="T14" s="41">
        <v>4614216</v>
      </c>
      <c r="U14" s="41">
        <v>1576136</v>
      </c>
      <c r="V14" s="41">
        <v>16836160</v>
      </c>
      <c r="W14" s="42">
        <v>70.923046999999997</v>
      </c>
      <c r="X14" s="42">
        <v>74.675602999999995</v>
      </c>
      <c r="Y14" s="42">
        <v>40.962909000000003</v>
      </c>
      <c r="Z14" s="42">
        <v>43.423147</v>
      </c>
      <c r="AA14" s="42">
        <v>39.504384000000002</v>
      </c>
      <c r="AB14" s="43">
        <v>3765.11</v>
      </c>
      <c r="AC14" s="43">
        <v>1415.32</v>
      </c>
      <c r="AD14" s="43">
        <v>55.209000000000003</v>
      </c>
      <c r="AE14" s="43">
        <v>19.117000000000001</v>
      </c>
      <c r="AG14" s="38">
        <f t="shared" si="6"/>
        <v>21.561787500000001</v>
      </c>
      <c r="AH14" s="39">
        <f t="shared" si="7"/>
        <v>0.10544245846537037</v>
      </c>
      <c r="AI14" s="39">
        <f t="shared" si="8"/>
        <v>2.8254707994006378E-2</v>
      </c>
      <c r="AJ14" s="39">
        <f t="shared" si="9"/>
        <v>2.1154363315059429E-2</v>
      </c>
      <c r="AK14" s="39">
        <f t="shared" si="10"/>
        <v>7.7187163641769474E-2</v>
      </c>
      <c r="AL14" s="36">
        <f t="shared" si="11"/>
        <v>6162952</v>
      </c>
      <c r="AM14" s="39">
        <v>16</v>
      </c>
      <c r="AN14" s="40">
        <v>22124056</v>
      </c>
      <c r="AO14" s="40">
        <v>691376.75</v>
      </c>
      <c r="AP14" s="40">
        <v>7868.125</v>
      </c>
      <c r="AQ14" s="41">
        <v>22999240</v>
      </c>
      <c r="AR14" s="41">
        <v>4614216</v>
      </c>
      <c r="AS14" s="41">
        <v>1548736</v>
      </c>
      <c r="AT14" s="41">
        <v>16836160</v>
      </c>
      <c r="AU14" s="42">
        <v>71.142968999999994</v>
      </c>
      <c r="AV14" s="42">
        <v>74.803236999999996</v>
      </c>
      <c r="AW14" s="42">
        <v>41.067312000000001</v>
      </c>
      <c r="AX14" s="42">
        <v>43.424922000000002</v>
      </c>
      <c r="AY14" s="42">
        <v>39.533859</v>
      </c>
      <c r="AZ14" s="43">
        <v>3347.9</v>
      </c>
      <c r="BA14" s="43">
        <v>1374.73</v>
      </c>
      <c r="BB14" s="43">
        <v>8.827</v>
      </c>
      <c r="BC14" s="43">
        <v>19.361999999999998</v>
      </c>
      <c r="BE14" s="44">
        <f t="shared" si="12"/>
        <v>0.99557375735660913</v>
      </c>
      <c r="BF14" s="45">
        <f t="shared" si="13"/>
        <v>-7.8258254273086292E-3</v>
      </c>
      <c r="BG14" s="45">
        <f t="shared" si="14"/>
        <v>-8.7256398955887216E-4</v>
      </c>
      <c r="BH14" s="45"/>
      <c r="BJ14" s="44"/>
      <c r="BK14" s="44"/>
      <c r="BL14" s="44"/>
      <c r="BM14" s="44"/>
      <c r="BN14" s="44"/>
      <c r="BP14" s="44"/>
      <c r="BQ14" s="44"/>
      <c r="BR14" s="44"/>
      <c r="BS14" s="44"/>
      <c r="BT14" s="44"/>
      <c r="BV14" s="58">
        <f t="shared" si="16"/>
        <v>0</v>
      </c>
      <c r="BW14" s="58">
        <f t="shared" si="15"/>
        <v>0</v>
      </c>
      <c r="BX14" s="58">
        <f t="shared" si="15"/>
        <v>-5410.59375</v>
      </c>
      <c r="BY14" s="58">
        <f t="shared" si="15"/>
        <v>-27272</v>
      </c>
      <c r="BZ14" s="58">
        <f t="shared" si="15"/>
        <v>0</v>
      </c>
      <c r="CA14" s="58">
        <f t="shared" si="15"/>
        <v>-27400</v>
      </c>
      <c r="CB14" s="58">
        <f t="shared" si="15"/>
        <v>0</v>
      </c>
      <c r="CC14" s="58">
        <f t="shared" si="15"/>
        <v>0.21992199999999684</v>
      </c>
      <c r="CD14" s="58">
        <f t="shared" si="15"/>
        <v>0.12763400000000047</v>
      </c>
      <c r="CE14" s="58">
        <f t="shared" si="15"/>
        <v>0.1044029999999978</v>
      </c>
      <c r="CF14" s="58">
        <f t="shared" si="15"/>
        <v>1.7750000000020805E-3</v>
      </c>
      <c r="CG14" s="58">
        <f t="shared" si="15"/>
        <v>2.947499999999792E-2</v>
      </c>
      <c r="CJ14" t="s">
        <v>238</v>
      </c>
    </row>
    <row r="15" spans="1:88" x14ac:dyDescent="0.2">
      <c r="A15" s="52"/>
      <c r="B15" s="52" t="s">
        <v>64</v>
      </c>
      <c r="C15" s="9" t="s">
        <v>232</v>
      </c>
      <c r="D15" s="52">
        <v>322589704</v>
      </c>
      <c r="E15" s="9">
        <v>10</v>
      </c>
      <c r="F15" s="9">
        <v>32</v>
      </c>
      <c r="G15" s="9">
        <v>30</v>
      </c>
      <c r="I15" s="10">
        <f t="shared" si="0"/>
        <v>4.4272425000000002</v>
      </c>
      <c r="J15" s="11">
        <f t="shared" si="1"/>
        <v>1.4639004101631216E-2</v>
      </c>
      <c r="K15" s="11">
        <f t="shared" si="2"/>
        <v>8.3179096131350792E-3</v>
      </c>
      <c r="L15" s="11">
        <f t="shared" si="3"/>
        <v>4.3923534521734149E-3</v>
      </c>
      <c r="M15" s="11">
        <f t="shared" si="4"/>
        <v>6.3210944884961361E-3</v>
      </c>
      <c r="N15" s="52">
        <f t="shared" si="5"/>
        <v>2683272</v>
      </c>
      <c r="O15" s="11">
        <v>16</v>
      </c>
      <c r="P15" s="12">
        <v>31086837</v>
      </c>
      <c r="Q15" s="12">
        <v>971463.65625</v>
      </c>
      <c r="R15" s="12">
        <v>27944.21875</v>
      </c>
      <c r="S15" s="13">
        <v>4722392</v>
      </c>
      <c r="T15" s="13">
        <v>1416928</v>
      </c>
      <c r="U15" s="13">
        <v>1266344</v>
      </c>
      <c r="V15" s="13">
        <v>2039120</v>
      </c>
      <c r="W15" s="14">
        <v>65.923106000000004</v>
      </c>
      <c r="X15" s="14">
        <v>67.661794</v>
      </c>
      <c r="Y15" s="14">
        <v>29.414641</v>
      </c>
      <c r="Z15" s="14">
        <v>43.125697000000002</v>
      </c>
      <c r="AA15" s="14">
        <v>43.263359000000001</v>
      </c>
      <c r="AB15" s="15">
        <v>4770.25</v>
      </c>
      <c r="AC15" s="15">
        <v>1001.59</v>
      </c>
      <c r="AD15" s="15">
        <v>75.224999999999994</v>
      </c>
      <c r="AE15" s="15">
        <v>15.430999999999999</v>
      </c>
      <c r="AG15" s="10">
        <f t="shared" si="6"/>
        <v>4.3893825</v>
      </c>
      <c r="AH15" s="11">
        <f t="shared" si="7"/>
        <v>1.451381721717938E-2</v>
      </c>
      <c r="AI15" s="11">
        <f t="shared" si="8"/>
        <v>8.1923259398260281E-3</v>
      </c>
      <c r="AJ15" s="11">
        <f t="shared" si="9"/>
        <v>4.3923534521734149E-3</v>
      </c>
      <c r="AK15" s="11">
        <f t="shared" si="10"/>
        <v>6.3210944884961361E-3</v>
      </c>
      <c r="AL15" s="52">
        <f t="shared" si="11"/>
        <v>2642760</v>
      </c>
      <c r="AM15" s="11">
        <v>16</v>
      </c>
      <c r="AN15" s="12">
        <v>31086837</v>
      </c>
      <c r="AO15" s="12">
        <v>971463.65625</v>
      </c>
      <c r="AP15" s="12">
        <v>12877.03125</v>
      </c>
      <c r="AQ15" s="13">
        <v>4682008</v>
      </c>
      <c r="AR15" s="13">
        <v>1416928</v>
      </c>
      <c r="AS15" s="13">
        <v>1225832</v>
      </c>
      <c r="AT15" s="13">
        <v>2039120</v>
      </c>
      <c r="AU15" s="14">
        <v>65.569416000000004</v>
      </c>
      <c r="AV15" s="14">
        <v>66.919168999999997</v>
      </c>
      <c r="AW15" s="14">
        <v>29.411541</v>
      </c>
      <c r="AX15" s="14">
        <v>43.114646999999998</v>
      </c>
      <c r="AY15" s="14">
        <v>43.255347</v>
      </c>
      <c r="AZ15" s="15">
        <v>5940.71</v>
      </c>
      <c r="BA15" s="15">
        <v>1388.06</v>
      </c>
      <c r="BB15" s="15">
        <v>14.109</v>
      </c>
      <c r="BC15" s="15">
        <v>21.545000000000002</v>
      </c>
      <c r="BE15" s="50">
        <f t="shared" si="12"/>
        <v>0.98490201515165088</v>
      </c>
      <c r="BF15" s="16">
        <f t="shared" si="13"/>
        <v>-1.550977991102794E-2</v>
      </c>
      <c r="BG15" s="16">
        <f t="shared" si="14"/>
        <v>-3.7517525354396897E-3</v>
      </c>
      <c r="BH15" s="16">
        <f t="array" ref="BH15">AVERAGE(AL15:AL19/AQ15:AQ19) - AVERAGE(N15:N19/S15:S19)</f>
        <v>-2.2420520957646684E-3</v>
      </c>
      <c r="BJ15" s="50">
        <f>IF( OR(ISBLANK(N15:N19),ISBLANK(AL15:AL19), ISBLANK(W15:W19),ISBLANK(AU15:AU19)), "·", bdRateExtend( N15:N19,W15:W19, AL15:AL19,AU15:AU19))</f>
        <v>0.14928994119346295</v>
      </c>
      <c r="BK15" s="50">
        <f>IF( OR(ISBLANK(N15:N19),ISBLANK(AL15:AL19), ISBLANK(X15:X19),ISBLANK(AV15:AV19)), "·", bdRateExtend( N15:N19,X15:X19, AL15:AL19,AV15:AV19))</f>
        <v>0.1903543863320718</v>
      </c>
      <c r="BL15" s="50">
        <f>IF( OR(ISBLANK(V15:V19),ISBLANK(AT15:AT19), ISBLANK(Y15:Y19),ISBLANK(AW15:AW19)), "·", bdRateExtend( V15:V19,Y15:Y19, AT15:AT19,AW15:AW19))</f>
        <v>-5.1980893336278644E-3</v>
      </c>
      <c r="BM15" s="50">
        <f>IF( OR(ISBLANK(V15:V19),ISBLANK(AT15:AT19), ISBLANK(Z15:Z19),ISBLANK(AX15:AX19)), "·", bdRateExtend( V15:V19,Z15:Z19, AT15:AT19,AX15:AX19))</f>
        <v>1.6864481830827227E-3</v>
      </c>
      <c r="BN15" s="50">
        <f>IF( OR(ISBLANK(V15:V19),ISBLANK(AT15:AT19), ISBLANK(AA15:AA19),ISBLANK(AY15:AY19)), "·", bdRateExtend( V15:V19,AA15:AA19, AT15:AT19,AY15:AY19))</f>
        <v>1.3307840747955879E-3</v>
      </c>
      <c r="BP15" s="50">
        <f>IF( OR(ISBLANK(S15:S19),ISBLANK(AQ15:AQ19), ISBLANK(W15:W19),ISBLANK(AU15:AU19)), "·", bdRateExtend( S15:S19,W15:W19, AQ15:AQ19,AU15:AU19))</f>
        <v>0.30289230497928732</v>
      </c>
      <c r="BQ15" s="50">
        <f>IF( OR(ISBLANK(S15:S19),ISBLANK(AQ15:AQ19), ISBLANK(X15:X19),ISBLANK(AV15:AV19)), "·", bdRateExtend( S15:S19,X15:X19, AQ15:AQ19,AV15:AV19))</f>
        <v>0.35558184620118682</v>
      </c>
      <c r="BR15" s="50">
        <f>IF( OR(ISBLANK(S15:S19),ISBLANK(AQ15:AQ19), ISBLANK(Y15:Y19),ISBLANK(AW15:AW19)), "·", bdRateExtend( S15:S19,Y15:Y19, AQ15:AQ19,AW15:AW19))</f>
        <v>-8.6221104994635978E-3</v>
      </c>
      <c r="BS15" s="50">
        <f>IF( OR(ISBLANK(S15:S19),ISBLANK(AQ15:AQ19), ISBLANK(Z15:Z19),ISBLANK(AX15:AX19)), "·", bdRateExtend( S15:S19,Z15:Z19, AQ15:AQ19,AX15:AX19))</f>
        <v>-2.0134643735882918E-3</v>
      </c>
      <c r="BT15" s="50">
        <f>IF( OR(ISBLANK(S15:S19),ISBLANK(AQ15:AQ19), ISBLANK(AA15:AA19),ISBLANK(AY15:AY19)), "·", bdRateExtend( S15:S19,AA15:AA19, AQ15:AQ19,AY15:AY19))</f>
        <v>-2.3240348170016079E-3</v>
      </c>
      <c r="BV15" s="58">
        <f t="shared" si="16"/>
        <v>0</v>
      </c>
      <c r="BW15" s="58">
        <f t="shared" si="15"/>
        <v>0</v>
      </c>
      <c r="BX15" s="58">
        <f t="shared" si="15"/>
        <v>-15067.1875</v>
      </c>
      <c r="BY15" s="58">
        <f t="shared" si="15"/>
        <v>-40384</v>
      </c>
      <c r="BZ15" s="58">
        <f t="shared" si="15"/>
        <v>0</v>
      </c>
      <c r="CA15" s="58">
        <f t="shared" si="15"/>
        <v>-40512</v>
      </c>
      <c r="CB15" s="58">
        <f t="shared" si="15"/>
        <v>0</v>
      </c>
      <c r="CC15" s="58">
        <f t="shared" si="15"/>
        <v>-0.35369000000000028</v>
      </c>
      <c r="CD15" s="58">
        <f t="shared" si="15"/>
        <v>-0.74262500000000387</v>
      </c>
      <c r="CE15" s="58">
        <f t="shared" si="15"/>
        <v>-3.0999999999998806E-3</v>
      </c>
      <c r="CF15" s="58">
        <f t="shared" si="15"/>
        <v>-1.1050000000004445E-2</v>
      </c>
      <c r="CG15" s="58">
        <f t="shared" si="15"/>
        <v>-8.0120000000007963E-3</v>
      </c>
      <c r="CJ15" t="s">
        <v>233</v>
      </c>
    </row>
    <row r="16" spans="1:88" outlineLevel="1" x14ac:dyDescent="0.2">
      <c r="A16" s="17"/>
      <c r="B16" s="17" t="s">
        <v>64</v>
      </c>
      <c r="C16" s="18" t="s">
        <v>234</v>
      </c>
      <c r="D16" s="17">
        <v>322589704</v>
      </c>
      <c r="E16" s="18">
        <v>10</v>
      </c>
      <c r="F16" s="18">
        <v>32</v>
      </c>
      <c r="G16" s="18">
        <v>30</v>
      </c>
      <c r="I16" s="19">
        <f t="shared" si="0"/>
        <v>7.0232849999999996</v>
      </c>
      <c r="J16" s="20">
        <f t="shared" si="1"/>
        <v>2.3223010242137177E-2</v>
      </c>
      <c r="K16" s="20">
        <f t="shared" si="2"/>
        <v>1.0123298913470592E-2</v>
      </c>
      <c r="L16" s="20">
        <f t="shared" si="3"/>
        <v>6.1977427525089267E-3</v>
      </c>
      <c r="M16" s="20">
        <f t="shared" si="4"/>
        <v>1.3099711328666584E-2</v>
      </c>
      <c r="N16" s="17">
        <f t="shared" si="5"/>
        <v>3265672</v>
      </c>
      <c r="O16" s="20">
        <v>16</v>
      </c>
      <c r="P16" s="21">
        <v>33185472</v>
      </c>
      <c r="Q16" s="21">
        <v>1037046</v>
      </c>
      <c r="R16" s="21">
        <v>34748.59375</v>
      </c>
      <c r="S16" s="22">
        <v>7491504</v>
      </c>
      <c r="T16" s="22">
        <v>1999328</v>
      </c>
      <c r="U16" s="22">
        <v>1266344</v>
      </c>
      <c r="V16" s="22">
        <v>4225832</v>
      </c>
      <c r="W16" s="23">
        <v>67.712850000000003</v>
      </c>
      <c r="X16" s="23">
        <v>69.741403000000005</v>
      </c>
      <c r="Y16" s="23">
        <v>31.808309000000001</v>
      </c>
      <c r="Z16" s="23">
        <v>43.976703000000001</v>
      </c>
      <c r="AA16" s="23">
        <v>44.262891000000003</v>
      </c>
      <c r="AB16" s="24">
        <v>4909.97</v>
      </c>
      <c r="AC16" s="24">
        <v>1081.78</v>
      </c>
      <c r="AD16" s="24">
        <v>79.149000000000001</v>
      </c>
      <c r="AE16" s="24">
        <v>15.548999999999999</v>
      </c>
      <c r="AG16" s="19">
        <f t="shared" si="6"/>
        <v>6.9854250000000002</v>
      </c>
      <c r="AH16" s="20">
        <f t="shared" si="7"/>
        <v>2.309782335768534E-2</v>
      </c>
      <c r="AI16" s="20">
        <f t="shared" si="8"/>
        <v>9.997715240161539E-3</v>
      </c>
      <c r="AJ16" s="20">
        <f t="shared" si="9"/>
        <v>6.1977427525089267E-3</v>
      </c>
      <c r="AK16" s="20">
        <f t="shared" si="10"/>
        <v>1.3099711328666584E-2</v>
      </c>
      <c r="AL16" s="17">
        <f t="shared" si="11"/>
        <v>3225160</v>
      </c>
      <c r="AM16" s="20">
        <v>16</v>
      </c>
      <c r="AN16" s="21">
        <v>33185472</v>
      </c>
      <c r="AO16" s="21">
        <v>1037046</v>
      </c>
      <c r="AP16" s="21">
        <v>16672.375</v>
      </c>
      <c r="AQ16" s="22">
        <v>7451120</v>
      </c>
      <c r="AR16" s="22">
        <v>1999328</v>
      </c>
      <c r="AS16" s="22">
        <v>1225832</v>
      </c>
      <c r="AT16" s="22">
        <v>4225832</v>
      </c>
      <c r="AU16" s="23">
        <v>67.093553</v>
      </c>
      <c r="AV16" s="23">
        <v>68.767433999999994</v>
      </c>
      <c r="AW16" s="23">
        <v>31.809169000000001</v>
      </c>
      <c r="AX16" s="23">
        <v>43.972774999999999</v>
      </c>
      <c r="AY16" s="23">
        <v>44.259444000000002</v>
      </c>
      <c r="AZ16" s="24">
        <v>4761.21</v>
      </c>
      <c r="BA16" s="24">
        <v>1048.9100000000001</v>
      </c>
      <c r="BB16" s="24">
        <v>10.912000000000001</v>
      </c>
      <c r="BC16" s="24">
        <v>15.265000000000001</v>
      </c>
      <c r="BE16" s="49">
        <f t="shared" si="12"/>
        <v>0.98759459002618755</v>
      </c>
      <c r="BF16" s="25">
        <f t="shared" si="13"/>
        <v>-1.7430488859703427E-2</v>
      </c>
      <c r="BG16" s="25">
        <f t="shared" si="14"/>
        <v>-3.074428861602363E-3</v>
      </c>
      <c r="BH16" s="25"/>
      <c r="BJ16" s="49"/>
      <c r="BK16" s="49"/>
      <c r="BL16" s="49"/>
      <c r="BM16" s="49"/>
      <c r="BN16" s="49"/>
      <c r="BP16" s="49"/>
      <c r="BQ16" s="49"/>
      <c r="BR16" s="49"/>
      <c r="BS16" s="49"/>
      <c r="BT16" s="49"/>
      <c r="BV16" s="58">
        <f t="shared" si="16"/>
        <v>0</v>
      </c>
      <c r="BW16" s="58">
        <f t="shared" si="15"/>
        <v>0</v>
      </c>
      <c r="BX16" s="58">
        <f t="shared" si="15"/>
        <v>-18076.21875</v>
      </c>
      <c r="BY16" s="58">
        <f t="shared" si="15"/>
        <v>-40384</v>
      </c>
      <c r="BZ16" s="58">
        <f t="shared" si="15"/>
        <v>0</v>
      </c>
      <c r="CA16" s="58">
        <f t="shared" si="15"/>
        <v>-40512</v>
      </c>
      <c r="CB16" s="58">
        <f t="shared" si="15"/>
        <v>0</v>
      </c>
      <c r="CC16" s="58">
        <f t="shared" si="15"/>
        <v>-0.6192970000000031</v>
      </c>
      <c r="CD16" s="58">
        <f t="shared" si="15"/>
        <v>-0.97396900000001096</v>
      </c>
      <c r="CE16" s="58">
        <f t="shared" si="15"/>
        <v>8.5999999999941679E-4</v>
      </c>
      <c r="CF16" s="58">
        <f t="shared" si="15"/>
        <v>-3.9280000000019299E-3</v>
      </c>
      <c r="CG16" s="58">
        <f t="shared" si="15"/>
        <v>-3.4470000000013101E-3</v>
      </c>
      <c r="CJ16" t="s">
        <v>233</v>
      </c>
    </row>
    <row r="17" spans="1:88" outlineLevel="1" x14ac:dyDescent="0.2">
      <c r="A17" s="52"/>
      <c r="B17" s="52" t="s">
        <v>64</v>
      </c>
      <c r="C17" s="9" t="s">
        <v>235</v>
      </c>
      <c r="D17" s="52">
        <v>322589704</v>
      </c>
      <c r="E17" s="9">
        <v>10</v>
      </c>
      <c r="F17" s="9">
        <v>32</v>
      </c>
      <c r="G17" s="9">
        <v>30</v>
      </c>
      <c r="I17" s="10">
        <f t="shared" si="0"/>
        <v>11.709877499999999</v>
      </c>
      <c r="J17" s="11">
        <f t="shared" si="1"/>
        <v>3.8719574261427761E-2</v>
      </c>
      <c r="K17" s="11">
        <f t="shared" si="2"/>
        <v>1.2882643024465529E-2</v>
      </c>
      <c r="L17" s="11">
        <f t="shared" si="3"/>
        <v>8.9570868635038652E-3</v>
      </c>
      <c r="M17" s="11">
        <f t="shared" si="4"/>
        <v>2.5836931236962232E-2</v>
      </c>
      <c r="N17" s="52">
        <f t="shared" si="5"/>
        <v>4155808</v>
      </c>
      <c r="O17" s="11">
        <v>16</v>
      </c>
      <c r="P17" s="12">
        <v>33604345</v>
      </c>
      <c r="Q17" s="12">
        <v>1050135.78125</v>
      </c>
      <c r="R17" s="12">
        <v>36572.96875</v>
      </c>
      <c r="S17" s="13">
        <v>12490536</v>
      </c>
      <c r="T17" s="13">
        <v>2889464</v>
      </c>
      <c r="U17" s="13">
        <v>1266344</v>
      </c>
      <c r="V17" s="13">
        <v>8334728</v>
      </c>
      <c r="W17" s="14">
        <v>69.134438000000003</v>
      </c>
      <c r="X17" s="14">
        <v>71.597097000000005</v>
      </c>
      <c r="Y17" s="14">
        <v>34.352063000000001</v>
      </c>
      <c r="Z17" s="14">
        <v>44.796078000000001</v>
      </c>
      <c r="AA17" s="14">
        <v>45.206769000000001</v>
      </c>
      <c r="AB17" s="15">
        <v>5733.27</v>
      </c>
      <c r="AC17" s="15">
        <v>1514.9</v>
      </c>
      <c r="AD17" s="15">
        <v>88.995999999999995</v>
      </c>
      <c r="AE17" s="15">
        <v>22.116</v>
      </c>
      <c r="AG17" s="10">
        <f t="shared" si="6"/>
        <v>11.672017500000001</v>
      </c>
      <c r="AH17" s="11">
        <f t="shared" si="7"/>
        <v>3.8594387376975924E-2</v>
      </c>
      <c r="AI17" s="11">
        <f t="shared" si="8"/>
        <v>1.2757059351156477E-2</v>
      </c>
      <c r="AJ17" s="11">
        <f t="shared" si="9"/>
        <v>8.9570868635038652E-3</v>
      </c>
      <c r="AK17" s="11">
        <f t="shared" si="10"/>
        <v>2.5836931236962232E-2</v>
      </c>
      <c r="AL17" s="52">
        <f t="shared" si="11"/>
        <v>4115296</v>
      </c>
      <c r="AM17" s="11">
        <v>16</v>
      </c>
      <c r="AN17" s="12">
        <v>33604345</v>
      </c>
      <c r="AO17" s="12">
        <v>1050135.78125</v>
      </c>
      <c r="AP17" s="12">
        <v>18490.03125</v>
      </c>
      <c r="AQ17" s="13">
        <v>12450152</v>
      </c>
      <c r="AR17" s="13">
        <v>2889464</v>
      </c>
      <c r="AS17" s="13">
        <v>1225832</v>
      </c>
      <c r="AT17" s="13">
        <v>8334728</v>
      </c>
      <c r="AU17" s="14">
        <v>68.452727999999993</v>
      </c>
      <c r="AV17" s="14">
        <v>70.420787000000004</v>
      </c>
      <c r="AW17" s="14">
        <v>34.360577999999997</v>
      </c>
      <c r="AX17" s="14">
        <v>44.793925000000002</v>
      </c>
      <c r="AY17" s="14">
        <v>45.204444000000002</v>
      </c>
      <c r="AZ17" s="15">
        <v>5180.8999999999996</v>
      </c>
      <c r="BA17" s="15">
        <v>1173.48</v>
      </c>
      <c r="BB17" s="15">
        <v>11.721</v>
      </c>
      <c r="BC17" s="15">
        <v>16.280999999999999</v>
      </c>
      <c r="BE17" s="50">
        <f t="shared" si="12"/>
        <v>0.99025171518992217</v>
      </c>
      <c r="BF17" s="16">
        <f t="shared" si="13"/>
        <v>-1.7219618474932336E-2</v>
      </c>
      <c r="BG17" s="16">
        <f t="shared" si="14"/>
        <v>-2.174718428509026E-3</v>
      </c>
      <c r="BH17" s="16"/>
      <c r="BJ17" s="50"/>
      <c r="BK17" s="50"/>
      <c r="BL17" s="50"/>
      <c r="BM17" s="50"/>
      <c r="BN17" s="50"/>
      <c r="BP17" s="50"/>
      <c r="BQ17" s="50"/>
      <c r="BR17" s="50"/>
      <c r="BS17" s="50"/>
      <c r="BT17" s="50"/>
      <c r="BV17" s="58">
        <f t="shared" si="16"/>
        <v>0</v>
      </c>
      <c r="BW17" s="58">
        <f t="shared" si="15"/>
        <v>0</v>
      </c>
      <c r="BX17" s="58">
        <f t="shared" si="15"/>
        <v>-18082.9375</v>
      </c>
      <c r="BY17" s="58">
        <f t="shared" si="15"/>
        <v>-40384</v>
      </c>
      <c r="BZ17" s="58">
        <f t="shared" si="15"/>
        <v>0</v>
      </c>
      <c r="CA17" s="58">
        <f t="shared" si="15"/>
        <v>-40512</v>
      </c>
      <c r="CB17" s="58">
        <f t="shared" si="15"/>
        <v>0</v>
      </c>
      <c r="CC17" s="58">
        <f t="shared" si="15"/>
        <v>-0.68171000000000959</v>
      </c>
      <c r="CD17" s="58">
        <f t="shared" si="15"/>
        <v>-1.1763100000000009</v>
      </c>
      <c r="CE17" s="58">
        <f t="shared" si="15"/>
        <v>8.5149999999956094E-3</v>
      </c>
      <c r="CF17" s="58">
        <f t="shared" si="15"/>
        <v>-2.1529999999998495E-3</v>
      </c>
      <c r="CG17" s="58">
        <f t="shared" si="15"/>
        <v>-2.3249999999990223E-3</v>
      </c>
      <c r="CJ17" t="s">
        <v>233</v>
      </c>
    </row>
    <row r="18" spans="1:88" outlineLevel="1" x14ac:dyDescent="0.2">
      <c r="A18" s="17"/>
      <c r="B18" s="17" t="s">
        <v>64</v>
      </c>
      <c r="C18" s="18" t="s">
        <v>236</v>
      </c>
      <c r="D18" s="17">
        <v>322589704</v>
      </c>
      <c r="E18" s="18">
        <v>10</v>
      </c>
      <c r="F18" s="18">
        <v>32</v>
      </c>
      <c r="G18" s="18">
        <v>30</v>
      </c>
      <c r="I18" s="19">
        <f t="shared" si="0"/>
        <v>20.196885000000002</v>
      </c>
      <c r="J18" s="20">
        <f t="shared" si="1"/>
        <v>6.6782490987375098E-2</v>
      </c>
      <c r="K18" s="20">
        <f t="shared" si="2"/>
        <v>1.7385626169891647E-2</v>
      </c>
      <c r="L18" s="20">
        <f t="shared" si="3"/>
        <v>1.3460070008929981E-2</v>
      </c>
      <c r="M18" s="20">
        <f t="shared" si="4"/>
        <v>4.9396864817483448E-2</v>
      </c>
      <c r="N18" s="17">
        <f t="shared" si="5"/>
        <v>5608424</v>
      </c>
      <c r="O18" s="20">
        <v>16</v>
      </c>
      <c r="P18" s="21">
        <v>34799418</v>
      </c>
      <c r="Q18" s="21">
        <v>1087481.8125</v>
      </c>
      <c r="R18" s="21">
        <v>40860.15625</v>
      </c>
      <c r="S18" s="22">
        <v>21543344</v>
      </c>
      <c r="T18" s="22">
        <v>4342080</v>
      </c>
      <c r="U18" s="22">
        <v>1266344</v>
      </c>
      <c r="V18" s="22">
        <v>15934920</v>
      </c>
      <c r="W18" s="23">
        <v>70.372874999999993</v>
      </c>
      <c r="X18" s="23">
        <v>72.951280999999994</v>
      </c>
      <c r="Y18" s="23">
        <v>37.033180999999999</v>
      </c>
      <c r="Z18" s="23">
        <v>46.138033999999998</v>
      </c>
      <c r="AA18" s="23">
        <v>46.638800000000003</v>
      </c>
      <c r="AB18" s="24">
        <v>4762.1499999999996</v>
      </c>
      <c r="AC18" s="24">
        <v>1298.02</v>
      </c>
      <c r="AD18" s="24">
        <v>83.063999999999993</v>
      </c>
      <c r="AE18" s="24">
        <v>17.048999999999999</v>
      </c>
      <c r="AG18" s="19">
        <f t="shared" si="6"/>
        <v>20.159025</v>
      </c>
      <c r="AH18" s="20">
        <f t="shared" si="7"/>
        <v>6.6657304102923254E-2</v>
      </c>
      <c r="AI18" s="20">
        <f t="shared" si="8"/>
        <v>1.7260042496582594E-2</v>
      </c>
      <c r="AJ18" s="20">
        <f t="shared" si="9"/>
        <v>1.3460070008929981E-2</v>
      </c>
      <c r="AK18" s="20">
        <f t="shared" si="10"/>
        <v>4.9396864817483448E-2</v>
      </c>
      <c r="AL18" s="17">
        <f t="shared" si="11"/>
        <v>5567912</v>
      </c>
      <c r="AM18" s="20">
        <v>16</v>
      </c>
      <c r="AN18" s="21">
        <v>34799418</v>
      </c>
      <c r="AO18" s="21">
        <v>1087481.8125</v>
      </c>
      <c r="AP18" s="21">
        <v>21141.90625</v>
      </c>
      <c r="AQ18" s="22">
        <v>21502960</v>
      </c>
      <c r="AR18" s="22">
        <v>4342080</v>
      </c>
      <c r="AS18" s="22">
        <v>1225832</v>
      </c>
      <c r="AT18" s="22">
        <v>15934920</v>
      </c>
      <c r="AU18" s="23">
        <v>69.353021999999996</v>
      </c>
      <c r="AV18" s="23">
        <v>71.467172000000005</v>
      </c>
      <c r="AW18" s="23">
        <v>37.057555999999998</v>
      </c>
      <c r="AX18" s="23">
        <v>46.137749999999997</v>
      </c>
      <c r="AY18" s="23">
        <v>46.638500000000001</v>
      </c>
      <c r="AZ18" s="24">
        <v>5248.29</v>
      </c>
      <c r="BA18" s="24">
        <v>1413.47</v>
      </c>
      <c r="BB18" s="24">
        <v>12.597</v>
      </c>
      <c r="BC18" s="24">
        <v>18.858000000000001</v>
      </c>
      <c r="BE18" s="49">
        <f t="shared" si="12"/>
        <v>0.99277658037266792</v>
      </c>
      <c r="BF18" s="25">
        <f t="shared" si="13"/>
        <v>-1.8132027380457914E-2</v>
      </c>
      <c r="BG18" s="25">
        <f t="shared" si="14"/>
        <v>-1.3950985559487705E-3</v>
      </c>
      <c r="BH18" s="25"/>
      <c r="BJ18" s="49"/>
      <c r="BK18" s="49"/>
      <c r="BL18" s="49"/>
      <c r="BM18" s="49"/>
      <c r="BN18" s="49"/>
      <c r="BP18" s="49"/>
      <c r="BQ18" s="49"/>
      <c r="BR18" s="49"/>
      <c r="BS18" s="49"/>
      <c r="BT18" s="49"/>
      <c r="BV18" s="58">
        <f t="shared" si="16"/>
        <v>0</v>
      </c>
      <c r="BW18" s="58">
        <f t="shared" si="15"/>
        <v>0</v>
      </c>
      <c r="BX18" s="58">
        <f t="shared" si="15"/>
        <v>-19718.25</v>
      </c>
      <c r="BY18" s="58">
        <f t="shared" si="15"/>
        <v>-40384</v>
      </c>
      <c r="BZ18" s="58">
        <f t="shared" si="15"/>
        <v>0</v>
      </c>
      <c r="CA18" s="58">
        <f t="shared" si="15"/>
        <v>-40512</v>
      </c>
      <c r="CB18" s="58">
        <f t="shared" si="15"/>
        <v>0</v>
      </c>
      <c r="CC18" s="58">
        <f t="shared" si="15"/>
        <v>-1.0198529999999977</v>
      </c>
      <c r="CD18" s="58">
        <f t="shared" si="15"/>
        <v>-1.4841089999999895</v>
      </c>
      <c r="CE18" s="58">
        <f t="shared" si="15"/>
        <v>2.4374999999999147E-2</v>
      </c>
      <c r="CF18" s="58">
        <f t="shared" si="15"/>
        <v>-2.8400000000061709E-4</v>
      </c>
      <c r="CG18" s="58">
        <f t="shared" si="15"/>
        <v>-3.0000000000285354E-4</v>
      </c>
      <c r="CJ18" t="s">
        <v>233</v>
      </c>
    </row>
    <row r="19" spans="1:88" ht="16" outlineLevel="1" thickBot="1" x14ac:dyDescent="0.25">
      <c r="A19" s="52"/>
      <c r="B19" s="26" t="s">
        <v>64</v>
      </c>
      <c r="C19" s="27" t="s">
        <v>237</v>
      </c>
      <c r="D19" s="26">
        <v>322589704</v>
      </c>
      <c r="E19" s="27">
        <v>10</v>
      </c>
      <c r="F19" s="27">
        <v>32</v>
      </c>
      <c r="G19" s="27">
        <v>30</v>
      </c>
      <c r="I19" s="28">
        <f t="shared" si="0"/>
        <v>35.713687499999999</v>
      </c>
      <c r="J19" s="29">
        <f t="shared" si="1"/>
        <v>0.11808994375096361</v>
      </c>
      <c r="K19" s="29">
        <f t="shared" si="2"/>
        <v>2.7855396153623056E-2</v>
      </c>
      <c r="L19" s="29">
        <f t="shared" si="3"/>
        <v>2.0647974555319349E-2</v>
      </c>
      <c r="M19" s="29">
        <f t="shared" si="4"/>
        <v>9.023454759734055E-2</v>
      </c>
      <c r="N19" s="26">
        <f t="shared" si="5"/>
        <v>8985864</v>
      </c>
      <c r="O19" s="29">
        <v>16</v>
      </c>
      <c r="P19" s="30">
        <v>33039030</v>
      </c>
      <c r="Q19" s="30">
        <v>1032469.6875</v>
      </c>
      <c r="R19" s="30">
        <v>17754.53125</v>
      </c>
      <c r="S19" s="31">
        <v>38094600</v>
      </c>
      <c r="T19" s="31">
        <v>6660824</v>
      </c>
      <c r="U19" s="31">
        <v>2325040</v>
      </c>
      <c r="V19" s="31">
        <v>29108736</v>
      </c>
      <c r="W19" s="32">
        <v>71.149227999999994</v>
      </c>
      <c r="X19" s="32">
        <v>75.004366000000005</v>
      </c>
      <c r="Y19" s="32">
        <v>39.539543999999999</v>
      </c>
      <c r="Z19" s="32">
        <v>47.871558999999998</v>
      </c>
      <c r="AA19" s="32">
        <v>48.474975000000001</v>
      </c>
      <c r="AB19" s="33">
        <v>5118.1899999999996</v>
      </c>
      <c r="AC19" s="33">
        <v>1651.37</v>
      </c>
      <c r="AD19" s="33">
        <v>86.103999999999999</v>
      </c>
      <c r="AE19" s="33">
        <v>22.335000000000001</v>
      </c>
      <c r="AG19" s="28">
        <f t="shared" si="6"/>
        <v>35.675827499999997</v>
      </c>
      <c r="AH19" s="29">
        <f t="shared" si="7"/>
        <v>0.11796475686651177</v>
      </c>
      <c r="AI19" s="29">
        <f t="shared" si="8"/>
        <v>2.7729812480314003E-2</v>
      </c>
      <c r="AJ19" s="29">
        <f t="shared" si="9"/>
        <v>2.0647974555319349E-2</v>
      </c>
      <c r="AK19" s="29">
        <f t="shared" si="10"/>
        <v>9.023454759734055E-2</v>
      </c>
      <c r="AL19" s="26">
        <f t="shared" si="11"/>
        <v>8945352</v>
      </c>
      <c r="AM19" s="29">
        <v>16</v>
      </c>
      <c r="AN19" s="30">
        <v>33039030</v>
      </c>
      <c r="AO19" s="30">
        <v>1032469.6875</v>
      </c>
      <c r="AP19" s="30">
        <v>10887.9375</v>
      </c>
      <c r="AQ19" s="31">
        <v>38054216</v>
      </c>
      <c r="AR19" s="31">
        <v>6660824</v>
      </c>
      <c r="AS19" s="31">
        <v>2284528</v>
      </c>
      <c r="AT19" s="31">
        <v>29108736</v>
      </c>
      <c r="AU19" s="32">
        <v>71.345299999999995</v>
      </c>
      <c r="AV19" s="32">
        <v>75.150655999999998</v>
      </c>
      <c r="AW19" s="32">
        <v>39.686556000000003</v>
      </c>
      <c r="AX19" s="32">
        <v>47.870206000000003</v>
      </c>
      <c r="AY19" s="32">
        <v>48.473430999999998</v>
      </c>
      <c r="AZ19" s="33">
        <v>4750.34</v>
      </c>
      <c r="BA19" s="33">
        <v>1531.46</v>
      </c>
      <c r="BB19" s="33">
        <v>11.03</v>
      </c>
      <c r="BC19" s="33">
        <v>19.231999999999999</v>
      </c>
      <c r="BE19" s="34">
        <f t="shared" si="12"/>
        <v>0.99549158545021377</v>
      </c>
      <c r="BF19" s="35">
        <f t="shared" si="13"/>
        <v>-6.6506492472690644E-3</v>
      </c>
      <c r="BG19" s="35">
        <f t="shared" si="14"/>
        <v>-8.1426209732321508E-4</v>
      </c>
      <c r="BH19" s="35"/>
      <c r="BJ19" s="34"/>
      <c r="BK19" s="34"/>
      <c r="BL19" s="34"/>
      <c r="BM19" s="34"/>
      <c r="BN19" s="34"/>
      <c r="BP19" s="34"/>
      <c r="BQ19" s="34"/>
      <c r="BR19" s="34"/>
      <c r="BS19" s="34"/>
      <c r="BT19" s="34"/>
      <c r="BV19" s="58">
        <f t="shared" si="16"/>
        <v>0</v>
      </c>
      <c r="BW19" s="58">
        <f t="shared" si="15"/>
        <v>0</v>
      </c>
      <c r="BX19" s="58">
        <f t="shared" si="15"/>
        <v>-6866.59375</v>
      </c>
      <c r="BY19" s="58">
        <f t="shared" si="15"/>
        <v>-40384</v>
      </c>
      <c r="BZ19" s="58">
        <f t="shared" si="15"/>
        <v>0</v>
      </c>
      <c r="CA19" s="58">
        <f t="shared" si="15"/>
        <v>-40512</v>
      </c>
      <c r="CB19" s="58">
        <f t="shared" si="15"/>
        <v>0</v>
      </c>
      <c r="CC19" s="58">
        <f t="shared" si="15"/>
        <v>0.19607200000000091</v>
      </c>
      <c r="CD19" s="58">
        <f t="shared" si="15"/>
        <v>0.14628999999999337</v>
      </c>
      <c r="CE19" s="58">
        <f t="shared" si="15"/>
        <v>0.1470120000000037</v>
      </c>
      <c r="CF19" s="58">
        <f t="shared" si="15"/>
        <v>-1.3529999999946085E-3</v>
      </c>
      <c r="CG19" s="58">
        <f t="shared" si="15"/>
        <v>-1.5440000000026544E-3</v>
      </c>
      <c r="CJ19" t="s">
        <v>233</v>
      </c>
    </row>
    <row r="20" spans="1:88" x14ac:dyDescent="0.2">
      <c r="A20" s="17"/>
      <c r="B20" s="17" t="s">
        <v>70</v>
      </c>
      <c r="C20" s="18" t="s">
        <v>232</v>
      </c>
      <c r="D20" s="17">
        <v>250602891</v>
      </c>
      <c r="E20" s="18">
        <v>10</v>
      </c>
      <c r="F20" s="18">
        <v>32</v>
      </c>
      <c r="G20" s="18">
        <v>50</v>
      </c>
      <c r="I20" s="19">
        <f t="shared" si="0"/>
        <v>5.1414875000000002</v>
      </c>
      <c r="J20" s="20">
        <f t="shared" si="1"/>
        <v>1.3130542855549101E-2</v>
      </c>
      <c r="K20" s="20">
        <f t="shared" si="2"/>
        <v>7.7059286598573197E-3</v>
      </c>
      <c r="L20" s="20">
        <f t="shared" si="3"/>
        <v>3.7835477324960308E-3</v>
      </c>
      <c r="M20" s="20">
        <f t="shared" si="4"/>
        <v>5.4246141956917808E-3</v>
      </c>
      <c r="N20" s="17">
        <f t="shared" si="5"/>
        <v>1931128</v>
      </c>
      <c r="O20" s="20">
        <v>16</v>
      </c>
      <c r="P20" s="21">
        <v>30274532</v>
      </c>
      <c r="Q20" s="21">
        <v>946079.125</v>
      </c>
      <c r="R20" s="21">
        <v>27842.25</v>
      </c>
      <c r="S20" s="22">
        <v>3290552</v>
      </c>
      <c r="T20" s="22">
        <v>948168</v>
      </c>
      <c r="U20" s="22">
        <v>982960</v>
      </c>
      <c r="V20" s="22">
        <v>1359424</v>
      </c>
      <c r="W20" s="23">
        <v>67.105800000000002</v>
      </c>
      <c r="X20" s="23">
        <v>68.817099999999996</v>
      </c>
      <c r="Y20" s="23">
        <v>30.700693999999999</v>
      </c>
      <c r="Z20" s="23">
        <v>39.522633999999996</v>
      </c>
      <c r="AA20" s="23">
        <v>38.268194000000001</v>
      </c>
      <c r="AB20" s="24">
        <v>5067.82</v>
      </c>
      <c r="AC20" s="24">
        <v>1520.24</v>
      </c>
      <c r="AD20" s="24">
        <v>86.619</v>
      </c>
      <c r="AE20" s="24">
        <v>22.984999999999999</v>
      </c>
      <c r="AG20" s="19">
        <f t="shared" si="6"/>
        <v>5.0912249999999997</v>
      </c>
      <c r="AH20" s="20">
        <f t="shared" si="7"/>
        <v>1.3002180409802215E-2</v>
      </c>
      <c r="AI20" s="20">
        <f t="shared" si="8"/>
        <v>7.5770554458607581E-3</v>
      </c>
      <c r="AJ20" s="20">
        <f t="shared" si="9"/>
        <v>3.7835477324960308E-3</v>
      </c>
      <c r="AK20" s="20">
        <f t="shared" si="10"/>
        <v>5.4246141956917808E-3</v>
      </c>
      <c r="AL20" s="17">
        <f t="shared" si="11"/>
        <v>1898832</v>
      </c>
      <c r="AM20" s="20">
        <v>16</v>
      </c>
      <c r="AN20" s="21">
        <v>30274532</v>
      </c>
      <c r="AO20" s="21">
        <v>946079.125</v>
      </c>
      <c r="AP20" s="21">
        <v>12951.09375</v>
      </c>
      <c r="AQ20" s="22">
        <v>3258384</v>
      </c>
      <c r="AR20" s="22">
        <v>948168</v>
      </c>
      <c r="AS20" s="22">
        <v>950664</v>
      </c>
      <c r="AT20" s="22">
        <v>1359424</v>
      </c>
      <c r="AU20" s="23">
        <v>66.437574999999995</v>
      </c>
      <c r="AV20" s="23">
        <v>67.949375000000003</v>
      </c>
      <c r="AW20" s="23">
        <v>30.729616</v>
      </c>
      <c r="AX20" s="23">
        <v>39.513886999999997</v>
      </c>
      <c r="AY20" s="23">
        <v>38.293602999999997</v>
      </c>
      <c r="AZ20" s="24">
        <v>4204.0200000000004</v>
      </c>
      <c r="BA20" s="24">
        <v>1097.2</v>
      </c>
      <c r="BB20" s="24">
        <v>10.172000000000001</v>
      </c>
      <c r="BC20" s="24">
        <v>15.807</v>
      </c>
      <c r="BE20" s="49">
        <f t="shared" si="12"/>
        <v>0.98327609562908314</v>
      </c>
      <c r="BF20" s="25">
        <f t="shared" si="13"/>
        <v>-1.573986346015192E-2</v>
      </c>
      <c r="BG20" s="25">
        <f t="shared" si="14"/>
        <v>-4.1178537441044494E-3</v>
      </c>
      <c r="BH20" s="25">
        <f t="array" ref="BH20">AVERAGE(AL20:AL24/AQ20:AQ24) - AVERAGE(N20:N24/S20:S24)</f>
        <v>-2.5861957909374955E-3</v>
      </c>
      <c r="BJ20" s="49">
        <f>IF( OR(ISBLANK(N20:N24),ISBLANK(AL20:AL24), ISBLANK(W20:W24),ISBLANK(AU20:AU24)), "·", bdRateExtend( N20:N24,W20:W24, AL20:AL24,AU20:AU24))</f>
        <v>0.15997904283627773</v>
      </c>
      <c r="BK20" s="49">
        <f>IF( OR(ISBLANK(N20:N24),ISBLANK(AL20:AL24), ISBLANK(X20:X24),ISBLANK(AV20:AV24)), "·", bdRateExtend( N20:N24,X20:X24, AL20:AL24,AV20:AV24))</f>
        <v>0.16280944374899509</v>
      </c>
      <c r="BL20" s="49">
        <f>IF( OR(ISBLANK(V20:V24),ISBLANK(AT20:AT24), ISBLANK(Y20:Y24),ISBLANK(AW20:AW24)), "·", bdRateExtend( V20:V24,Y20:Y24, AT20:AT24,AW20:AW24))</f>
        <v>-7.3079309205452025E-2</v>
      </c>
      <c r="BM20" s="49">
        <f>IF( OR(ISBLANK(V20:V24),ISBLANK(AT20:AT24), ISBLANK(Z20:Z24),ISBLANK(AX20:AX24)), "·", bdRateExtend( V20:V24,Z20:Z24, AT20:AT24,AX20:AX24))</f>
        <v>-1.6146698446141583E-2</v>
      </c>
      <c r="BN20" s="49">
        <f>IF( OR(ISBLANK(V20:V24),ISBLANK(AT20:AT24), ISBLANK(AA20:AA24),ISBLANK(AY20:AY24)), "·", bdRateExtend( V20:V24,AA20:AA24, AT20:AT24,AY20:AY24))</f>
        <v>-3.6343070433775826E-2</v>
      </c>
      <c r="BP20" s="49">
        <f>IF( OR(ISBLANK(S20:S24),ISBLANK(AQ20:AQ24), ISBLANK(W20:W24),ISBLANK(AU20:AU24)), "·", bdRateExtend( S20:S24,W20:W24, AQ20:AQ24,AU20:AU24))</f>
        <v>0.34948799725228041</v>
      </c>
      <c r="BQ20" s="49">
        <f>IF( OR(ISBLANK(S20:S24),ISBLANK(AQ20:AQ24), ISBLANK(X20:X24),ISBLANK(AV20:AV24)), "·", bdRateExtend( S20:S24,X20:X24, AQ20:AQ24,AV20:AV24))</f>
        <v>0.31996765086917334</v>
      </c>
      <c r="BR20" s="49">
        <f>IF( OR(ISBLANK(S20:S24),ISBLANK(AQ20:AQ24), ISBLANK(Y20:Y24),ISBLANK(AW20:AW24)), "·", bdRateExtend( S20:S24,Y20:Y24, AQ20:AQ24,AW20:AW24))</f>
        <v>-6.7395431251333626E-2</v>
      </c>
      <c r="BS20" s="49">
        <f>IF( OR(ISBLANK(S20:S24),ISBLANK(AQ20:AQ24), ISBLANK(Z20:Z24),ISBLANK(AX20:AX24)), "·", bdRateExtend( S20:S24,Z20:Z24, AQ20:AQ24,AX20:AX24))</f>
        <v>-1.9226051696340285E-2</v>
      </c>
      <c r="BT20" s="49">
        <f>IF( OR(ISBLANK(S20:S24),ISBLANK(AQ20:AQ24), ISBLANK(AA20:AA24),ISBLANK(AY20:AY24)), "·", bdRateExtend( S20:S24,AA20:AA24, AQ20:AQ24,AY20:AY24))</f>
        <v>-3.5731971596791645E-2</v>
      </c>
      <c r="BV20" s="58">
        <f t="shared" si="16"/>
        <v>0</v>
      </c>
      <c r="BW20" s="58">
        <f t="shared" si="15"/>
        <v>0</v>
      </c>
      <c r="BX20" s="58">
        <f t="shared" si="15"/>
        <v>-14891.15625</v>
      </c>
      <c r="BY20" s="58">
        <f t="shared" si="15"/>
        <v>-32168</v>
      </c>
      <c r="BZ20" s="58">
        <f t="shared" si="15"/>
        <v>0</v>
      </c>
      <c r="CA20" s="58">
        <f t="shared" si="15"/>
        <v>-32296</v>
      </c>
      <c r="CB20" s="58">
        <f t="shared" si="15"/>
        <v>0</v>
      </c>
      <c r="CC20" s="58">
        <f t="shared" si="15"/>
        <v>-0.66822500000000673</v>
      </c>
      <c r="CD20" s="58">
        <f t="shared" si="15"/>
        <v>-0.86772499999999297</v>
      </c>
      <c r="CE20" s="58">
        <f t="shared" si="15"/>
        <v>2.8922000000001447E-2</v>
      </c>
      <c r="CF20" s="58">
        <f t="shared" si="15"/>
        <v>-8.7469999999996162E-3</v>
      </c>
      <c r="CG20" s="58">
        <f t="shared" si="15"/>
        <v>2.540899999999624E-2</v>
      </c>
      <c r="CJ20" t="s">
        <v>239</v>
      </c>
    </row>
    <row r="21" spans="1:88" outlineLevel="1" x14ac:dyDescent="0.2">
      <c r="A21" s="52"/>
      <c r="B21" s="52" t="s">
        <v>70</v>
      </c>
      <c r="C21" s="9" t="s">
        <v>234</v>
      </c>
      <c r="D21" s="52">
        <v>250602891</v>
      </c>
      <c r="E21" s="9">
        <v>10</v>
      </c>
      <c r="F21" s="9">
        <v>32</v>
      </c>
      <c r="G21" s="9">
        <v>50</v>
      </c>
      <c r="I21" s="10">
        <f t="shared" si="0"/>
        <v>7.6273375000000003</v>
      </c>
      <c r="J21" s="11">
        <f t="shared" si="1"/>
        <v>1.9479009122843678E-2</v>
      </c>
      <c r="K21" s="11">
        <f t="shared" si="2"/>
        <v>9.149295887412567E-3</v>
      </c>
      <c r="L21" s="11">
        <f t="shared" si="3"/>
        <v>5.226914960051279E-3</v>
      </c>
      <c r="M21" s="11">
        <f t="shared" si="4"/>
        <v>1.0329713235431111E-2</v>
      </c>
      <c r="N21" s="52">
        <f t="shared" si="5"/>
        <v>2292840</v>
      </c>
      <c r="O21" s="11">
        <v>16</v>
      </c>
      <c r="P21" s="12">
        <v>31505484</v>
      </c>
      <c r="Q21" s="12">
        <v>984546.375</v>
      </c>
      <c r="R21" s="12">
        <v>33029.375</v>
      </c>
      <c r="S21" s="13">
        <v>4881496</v>
      </c>
      <c r="T21" s="13">
        <v>1309880</v>
      </c>
      <c r="U21" s="13">
        <v>982960</v>
      </c>
      <c r="V21" s="13">
        <v>2588656</v>
      </c>
      <c r="W21" s="14">
        <v>68.686527999999996</v>
      </c>
      <c r="X21" s="14">
        <v>70.761815999999996</v>
      </c>
      <c r="Y21" s="14">
        <v>32.514736999999997</v>
      </c>
      <c r="Z21" s="14">
        <v>40.675966000000003</v>
      </c>
      <c r="AA21" s="14">
        <v>39.602231000000003</v>
      </c>
      <c r="AB21" s="15">
        <v>3999.02</v>
      </c>
      <c r="AC21" s="15">
        <v>1143.4100000000001</v>
      </c>
      <c r="AD21" s="15">
        <v>71.858000000000004</v>
      </c>
      <c r="AE21" s="15">
        <v>15.779</v>
      </c>
      <c r="AG21" s="10">
        <f t="shared" si="6"/>
        <v>7.5770749999999998</v>
      </c>
      <c r="AH21" s="11">
        <f t="shared" si="7"/>
        <v>1.9350646677096794E-2</v>
      </c>
      <c r="AI21" s="11">
        <f t="shared" si="8"/>
        <v>9.0204226734160054E-3</v>
      </c>
      <c r="AJ21" s="11">
        <f t="shared" si="9"/>
        <v>5.226914960051279E-3</v>
      </c>
      <c r="AK21" s="11">
        <f t="shared" si="10"/>
        <v>1.0329713235431111E-2</v>
      </c>
      <c r="AL21" s="52">
        <f t="shared" si="11"/>
        <v>2260544</v>
      </c>
      <c r="AM21" s="11">
        <v>16</v>
      </c>
      <c r="AN21" s="12">
        <v>31505484</v>
      </c>
      <c r="AO21" s="12">
        <v>984546.375</v>
      </c>
      <c r="AP21" s="12">
        <v>16204.25</v>
      </c>
      <c r="AQ21" s="13">
        <v>4849328</v>
      </c>
      <c r="AR21" s="13">
        <v>1309880</v>
      </c>
      <c r="AS21" s="13">
        <v>950664</v>
      </c>
      <c r="AT21" s="13">
        <v>2588656</v>
      </c>
      <c r="AU21" s="14">
        <v>67.905122000000006</v>
      </c>
      <c r="AV21" s="14">
        <v>69.758678000000003</v>
      </c>
      <c r="AW21" s="14">
        <v>32.580213000000001</v>
      </c>
      <c r="AX21" s="14">
        <v>40.681666</v>
      </c>
      <c r="AY21" s="14">
        <v>39.634</v>
      </c>
      <c r="AZ21" s="15">
        <v>4411.24</v>
      </c>
      <c r="BA21" s="15">
        <v>1189.07</v>
      </c>
      <c r="BB21" s="15">
        <v>10.321999999999999</v>
      </c>
      <c r="BC21" s="15">
        <v>16.79</v>
      </c>
      <c r="BE21" s="50">
        <f t="shared" si="12"/>
        <v>0.98591441182114758</v>
      </c>
      <c r="BF21" s="16">
        <f t="shared" si="13"/>
        <v>-1.7089215325179576E-2</v>
      </c>
      <c r="BG21" s="16">
        <f t="shared" si="14"/>
        <v>-3.5441367635878906E-3</v>
      </c>
      <c r="BH21" s="16"/>
      <c r="BJ21" s="50"/>
      <c r="BK21" s="50"/>
      <c r="BL21" s="50"/>
      <c r="BM21" s="50"/>
      <c r="BN21" s="50"/>
      <c r="BP21" s="50"/>
      <c r="BQ21" s="50"/>
      <c r="BR21" s="50"/>
      <c r="BS21" s="50"/>
      <c r="BT21" s="50"/>
      <c r="BV21" s="58">
        <f t="shared" si="16"/>
        <v>0</v>
      </c>
      <c r="BW21" s="58">
        <f t="shared" si="16"/>
        <v>0</v>
      </c>
      <c r="BX21" s="58">
        <f t="shared" si="16"/>
        <v>-16825.125</v>
      </c>
      <c r="BY21" s="58">
        <f t="shared" si="16"/>
        <v>-32168</v>
      </c>
      <c r="BZ21" s="58">
        <f t="shared" si="16"/>
        <v>0</v>
      </c>
      <c r="CA21" s="58">
        <f t="shared" si="16"/>
        <v>-32296</v>
      </c>
      <c r="CB21" s="58">
        <f t="shared" si="16"/>
        <v>0</v>
      </c>
      <c r="CC21" s="58">
        <f t="shared" si="16"/>
        <v>-0.78140599999998983</v>
      </c>
      <c r="CD21" s="58">
        <f t="shared" si="16"/>
        <v>-1.0031379999999928</v>
      </c>
      <c r="CE21" s="58">
        <f t="shared" si="16"/>
        <v>6.5476000000003864E-2</v>
      </c>
      <c r="CF21" s="58">
        <f t="shared" si="16"/>
        <v>5.6999999999973738E-3</v>
      </c>
      <c r="CG21" s="58">
        <f t="shared" si="16"/>
        <v>3.176899999999705E-2</v>
      </c>
      <c r="CJ21" t="s">
        <v>239</v>
      </c>
    </row>
    <row r="22" spans="1:88" outlineLevel="1" x14ac:dyDescent="0.2">
      <c r="A22" s="17"/>
      <c r="B22" s="17" t="s">
        <v>70</v>
      </c>
      <c r="C22" s="18" t="s">
        <v>235</v>
      </c>
      <c r="D22" s="17">
        <v>250602891</v>
      </c>
      <c r="E22" s="18">
        <v>10</v>
      </c>
      <c r="F22" s="18">
        <v>32</v>
      </c>
      <c r="G22" s="18">
        <v>50</v>
      </c>
      <c r="I22" s="19">
        <f t="shared" si="0"/>
        <v>12.386075</v>
      </c>
      <c r="J22" s="20">
        <f t="shared" si="1"/>
        <v>3.1632069240573928E-2</v>
      </c>
      <c r="K22" s="20">
        <f t="shared" si="2"/>
        <v>1.1394345805851058E-2</v>
      </c>
      <c r="L22" s="20">
        <f t="shared" si="3"/>
        <v>7.4719648784897699E-3</v>
      </c>
      <c r="M22" s="20">
        <f t="shared" si="4"/>
        <v>2.0237723434722864E-2</v>
      </c>
      <c r="N22" s="17">
        <f t="shared" si="5"/>
        <v>2855456</v>
      </c>
      <c r="O22" s="20">
        <v>16</v>
      </c>
      <c r="P22" s="21">
        <v>32735750</v>
      </c>
      <c r="Q22" s="21">
        <v>1022992.1875</v>
      </c>
      <c r="R22" s="21">
        <v>35066.4375</v>
      </c>
      <c r="S22" s="22">
        <v>7927088</v>
      </c>
      <c r="T22" s="22">
        <v>1872496</v>
      </c>
      <c r="U22" s="22">
        <v>982960</v>
      </c>
      <c r="V22" s="22">
        <v>5071632</v>
      </c>
      <c r="W22" s="23">
        <v>69.861822000000004</v>
      </c>
      <c r="X22" s="23">
        <v>72.258756000000005</v>
      </c>
      <c r="Y22" s="23">
        <v>34.267000000000003</v>
      </c>
      <c r="Z22" s="23">
        <v>41.728212999999997</v>
      </c>
      <c r="AA22" s="23">
        <v>40.647272000000001</v>
      </c>
      <c r="AB22" s="24">
        <v>5365.97</v>
      </c>
      <c r="AC22" s="24">
        <v>1721.51</v>
      </c>
      <c r="AD22" s="24">
        <v>91.203999999999994</v>
      </c>
      <c r="AE22" s="24">
        <v>24.335000000000001</v>
      </c>
      <c r="AG22" s="19">
        <f t="shared" si="6"/>
        <v>12.335812499999999</v>
      </c>
      <c r="AH22" s="20">
        <f t="shared" si="7"/>
        <v>3.1503706794827037E-2</v>
      </c>
      <c r="AI22" s="20">
        <f t="shared" si="8"/>
        <v>1.1265472591854496E-2</v>
      </c>
      <c r="AJ22" s="20">
        <f t="shared" si="9"/>
        <v>7.4719648784897699E-3</v>
      </c>
      <c r="AK22" s="20">
        <f t="shared" si="10"/>
        <v>2.0237723434722864E-2</v>
      </c>
      <c r="AL22" s="17">
        <f t="shared" si="11"/>
        <v>2823160</v>
      </c>
      <c r="AM22" s="20">
        <v>16</v>
      </c>
      <c r="AN22" s="21">
        <v>32735750</v>
      </c>
      <c r="AO22" s="21">
        <v>1022992.1875</v>
      </c>
      <c r="AP22" s="21">
        <v>18295.46875</v>
      </c>
      <c r="AQ22" s="22">
        <v>7894920</v>
      </c>
      <c r="AR22" s="22">
        <v>1872496</v>
      </c>
      <c r="AS22" s="22">
        <v>950664</v>
      </c>
      <c r="AT22" s="22">
        <v>5071632</v>
      </c>
      <c r="AU22" s="23">
        <v>69.124803</v>
      </c>
      <c r="AV22" s="23">
        <v>71.288066000000001</v>
      </c>
      <c r="AW22" s="23">
        <v>34.434283999999998</v>
      </c>
      <c r="AX22" s="23">
        <v>41.757047</v>
      </c>
      <c r="AY22" s="23">
        <v>40.706600000000002</v>
      </c>
      <c r="AZ22" s="24">
        <v>4463.7700000000004</v>
      </c>
      <c r="BA22" s="24">
        <v>1267.3</v>
      </c>
      <c r="BB22" s="24">
        <v>10.314</v>
      </c>
      <c r="BC22" s="24">
        <v>16.885000000000002</v>
      </c>
      <c r="BE22" s="49">
        <f t="shared" si="12"/>
        <v>0.98868972241211206</v>
      </c>
      <c r="BF22" s="25">
        <f t="shared" si="13"/>
        <v>-1.6394034045347977E-2</v>
      </c>
      <c r="BG22" s="25">
        <f t="shared" si="14"/>
        <v>-2.6230289725427958E-3</v>
      </c>
      <c r="BH22" s="25"/>
      <c r="BJ22" s="49"/>
      <c r="BK22" s="49"/>
      <c r="BL22" s="49"/>
      <c r="BM22" s="49"/>
      <c r="BN22" s="49"/>
      <c r="BP22" s="49"/>
      <c r="BQ22" s="49"/>
      <c r="BR22" s="49"/>
      <c r="BS22" s="49"/>
      <c r="BT22" s="49"/>
      <c r="BV22" s="58">
        <f t="shared" si="16"/>
        <v>0</v>
      </c>
      <c r="BW22" s="58">
        <f t="shared" si="16"/>
        <v>0</v>
      </c>
      <c r="BX22" s="58">
        <f t="shared" si="16"/>
        <v>-16770.96875</v>
      </c>
      <c r="BY22" s="58">
        <f t="shared" si="16"/>
        <v>-32168</v>
      </c>
      <c r="BZ22" s="58">
        <f t="shared" si="16"/>
        <v>0</v>
      </c>
      <c r="CA22" s="58">
        <f t="shared" si="16"/>
        <v>-32296</v>
      </c>
      <c r="CB22" s="58">
        <f t="shared" si="16"/>
        <v>0</v>
      </c>
      <c r="CC22" s="58">
        <f t="shared" si="16"/>
        <v>-0.73701900000000364</v>
      </c>
      <c r="CD22" s="58">
        <f t="shared" si="16"/>
        <v>-0.97069000000000472</v>
      </c>
      <c r="CE22" s="58">
        <f t="shared" si="16"/>
        <v>0.1672839999999951</v>
      </c>
      <c r="CF22" s="58">
        <f t="shared" si="16"/>
        <v>2.8834000000003357E-2</v>
      </c>
      <c r="CG22" s="58">
        <f t="shared" si="16"/>
        <v>5.9328000000000713E-2</v>
      </c>
      <c r="CJ22" t="s">
        <v>239</v>
      </c>
    </row>
    <row r="23" spans="1:88" outlineLevel="1" x14ac:dyDescent="0.2">
      <c r="A23" s="52"/>
      <c r="B23" s="52" t="s">
        <v>70</v>
      </c>
      <c r="C23" s="9" t="s">
        <v>236</v>
      </c>
      <c r="D23" s="52">
        <v>250602891</v>
      </c>
      <c r="E23" s="9">
        <v>10</v>
      </c>
      <c r="F23" s="9">
        <v>32</v>
      </c>
      <c r="G23" s="9">
        <v>50</v>
      </c>
      <c r="I23" s="10">
        <f t="shared" si="0"/>
        <v>22.036375</v>
      </c>
      <c r="J23" s="11">
        <f t="shared" si="1"/>
        <v>5.6277403439850979E-2</v>
      </c>
      <c r="K23" s="11">
        <f t="shared" si="2"/>
        <v>1.532240902999E-2</v>
      </c>
      <c r="L23" s="11">
        <f t="shared" si="3"/>
        <v>1.1400028102628712E-2</v>
      </c>
      <c r="M23" s="11">
        <f t="shared" si="4"/>
        <v>4.095499440986098E-2</v>
      </c>
      <c r="N23" s="52">
        <f t="shared" si="5"/>
        <v>3839840</v>
      </c>
      <c r="O23" s="11">
        <v>16</v>
      </c>
      <c r="P23" s="12">
        <v>32798890</v>
      </c>
      <c r="Q23" s="12">
        <v>1024965.3125</v>
      </c>
      <c r="R23" s="12">
        <v>36962.65625</v>
      </c>
      <c r="S23" s="13">
        <v>14103280</v>
      </c>
      <c r="T23" s="13">
        <v>2856880</v>
      </c>
      <c r="U23" s="13">
        <v>982960</v>
      </c>
      <c r="V23" s="13">
        <v>10263440</v>
      </c>
      <c r="W23" s="14">
        <v>70.888133999999994</v>
      </c>
      <c r="X23" s="14">
        <v>73.610840999999994</v>
      </c>
      <c r="Y23" s="14">
        <v>35.678378000000002</v>
      </c>
      <c r="Z23" s="14">
        <v>42.882852999999997</v>
      </c>
      <c r="AA23" s="14">
        <v>41.708516000000003</v>
      </c>
      <c r="AB23" s="15">
        <v>4346.47</v>
      </c>
      <c r="AC23" s="15">
        <v>1394.42</v>
      </c>
      <c r="AD23" s="15">
        <v>81.272999999999996</v>
      </c>
      <c r="AE23" s="15">
        <v>17.853999999999999</v>
      </c>
      <c r="AG23" s="10">
        <f t="shared" si="6"/>
        <v>21.986112500000001</v>
      </c>
      <c r="AH23" s="11">
        <f t="shared" si="7"/>
        <v>5.6149040994104095E-2</v>
      </c>
      <c r="AI23" s="11">
        <f t="shared" si="8"/>
        <v>1.5193535815993439E-2</v>
      </c>
      <c r="AJ23" s="11">
        <f t="shared" si="9"/>
        <v>1.1400028102628712E-2</v>
      </c>
      <c r="AK23" s="11">
        <f t="shared" si="10"/>
        <v>4.095499440986098E-2</v>
      </c>
      <c r="AL23" s="52">
        <f t="shared" si="11"/>
        <v>3807544</v>
      </c>
      <c r="AM23" s="11">
        <v>16</v>
      </c>
      <c r="AN23" s="12">
        <v>32798890</v>
      </c>
      <c r="AO23" s="12">
        <v>1024965.3125</v>
      </c>
      <c r="AP23" s="12">
        <v>19534.5625</v>
      </c>
      <c r="AQ23" s="13">
        <v>14071112</v>
      </c>
      <c r="AR23" s="13">
        <v>2856880</v>
      </c>
      <c r="AS23" s="13">
        <v>950664</v>
      </c>
      <c r="AT23" s="13">
        <v>10263440</v>
      </c>
      <c r="AU23" s="14">
        <v>69.998390999999998</v>
      </c>
      <c r="AV23" s="14">
        <v>72.378030999999993</v>
      </c>
      <c r="AW23" s="14">
        <v>36.012369</v>
      </c>
      <c r="AX23" s="14">
        <v>42.919255999999997</v>
      </c>
      <c r="AY23" s="14">
        <v>41.780734000000002</v>
      </c>
      <c r="AZ23" s="15">
        <v>4436.34</v>
      </c>
      <c r="BA23" s="15">
        <v>1434.46</v>
      </c>
      <c r="BB23" s="15">
        <v>10.449</v>
      </c>
      <c r="BC23" s="15">
        <v>18.521999999999998</v>
      </c>
      <c r="BE23" s="50">
        <f t="shared" si="12"/>
        <v>0.99158923288470358</v>
      </c>
      <c r="BF23" s="16">
        <f t="shared" si="13"/>
        <v>-1.700359371917769E-2</v>
      </c>
      <c r="BG23" s="16">
        <f t="shared" si="14"/>
        <v>-1.6727715334282078E-3</v>
      </c>
      <c r="BH23" s="16"/>
      <c r="BJ23" s="50"/>
      <c r="BK23" s="50"/>
      <c r="BL23" s="50"/>
      <c r="BM23" s="50"/>
      <c r="BN23" s="50"/>
      <c r="BP23" s="50"/>
      <c r="BQ23" s="50"/>
      <c r="BR23" s="50"/>
      <c r="BS23" s="50"/>
      <c r="BT23" s="50"/>
      <c r="BV23" s="58">
        <f t="shared" si="16"/>
        <v>0</v>
      </c>
      <c r="BW23" s="58">
        <f t="shared" si="16"/>
        <v>0</v>
      </c>
      <c r="BX23" s="58">
        <f t="shared" si="16"/>
        <v>-17428.09375</v>
      </c>
      <c r="BY23" s="58">
        <f t="shared" si="16"/>
        <v>-32168</v>
      </c>
      <c r="BZ23" s="58">
        <f t="shared" si="16"/>
        <v>0</v>
      </c>
      <c r="CA23" s="58">
        <f t="shared" si="16"/>
        <v>-32296</v>
      </c>
      <c r="CB23" s="58">
        <f t="shared" si="16"/>
        <v>0</v>
      </c>
      <c r="CC23" s="58">
        <f t="shared" si="16"/>
        <v>-0.88974299999999573</v>
      </c>
      <c r="CD23" s="58">
        <f t="shared" si="16"/>
        <v>-1.2328100000000006</v>
      </c>
      <c r="CE23" s="58">
        <f t="shared" si="16"/>
        <v>0.33399099999999748</v>
      </c>
      <c r="CF23" s="58">
        <f t="shared" si="16"/>
        <v>3.6402999999999963E-2</v>
      </c>
      <c r="CG23" s="58">
        <f t="shared" si="16"/>
        <v>7.2217999999999449E-2</v>
      </c>
      <c r="CJ23" t="s">
        <v>239</v>
      </c>
    </row>
    <row r="24" spans="1:88" ht="16" outlineLevel="1" thickBot="1" x14ac:dyDescent="0.25">
      <c r="A24" s="36"/>
      <c r="B24" s="36" t="s">
        <v>70</v>
      </c>
      <c r="C24" s="37" t="s">
        <v>237</v>
      </c>
      <c r="D24" s="36">
        <v>250602891</v>
      </c>
      <c r="E24" s="37">
        <v>10</v>
      </c>
      <c r="F24" s="37">
        <v>32</v>
      </c>
      <c r="G24" s="37">
        <v>50</v>
      </c>
      <c r="I24" s="38">
        <f t="shared" si="0"/>
        <v>38.637037499999998</v>
      </c>
      <c r="J24" s="39">
        <f t="shared" si="1"/>
        <v>9.8672860082847175E-2</v>
      </c>
      <c r="K24" s="39">
        <f t="shared" si="2"/>
        <v>2.5344895163240556E-2</v>
      </c>
      <c r="L24" s="39">
        <f t="shared" si="3"/>
        <v>1.7906609066213844E-2</v>
      </c>
      <c r="M24" s="39">
        <f t="shared" si="4"/>
        <v>7.3327964919606609E-2</v>
      </c>
      <c r="N24" s="36">
        <f t="shared" si="5"/>
        <v>6351504</v>
      </c>
      <c r="O24" s="39">
        <v>16</v>
      </c>
      <c r="P24" s="40">
        <v>31426902</v>
      </c>
      <c r="Q24" s="40">
        <v>982090.6875</v>
      </c>
      <c r="R24" s="40">
        <v>18270.09375</v>
      </c>
      <c r="S24" s="41">
        <v>24727704</v>
      </c>
      <c r="T24" s="41">
        <v>4487448</v>
      </c>
      <c r="U24" s="41">
        <v>1864056</v>
      </c>
      <c r="V24" s="41">
        <v>18376200</v>
      </c>
      <c r="W24" s="42">
        <v>71.730802999999995</v>
      </c>
      <c r="X24" s="42">
        <v>75.625753000000003</v>
      </c>
      <c r="Y24" s="42">
        <v>36.930331000000002</v>
      </c>
      <c r="Z24" s="42">
        <v>43.832703000000002</v>
      </c>
      <c r="AA24" s="42">
        <v>42.397630999999997</v>
      </c>
      <c r="AB24" s="43">
        <v>4810.5600000000004</v>
      </c>
      <c r="AC24" s="43">
        <v>1622.41</v>
      </c>
      <c r="AD24" s="43">
        <v>81.781000000000006</v>
      </c>
      <c r="AE24" s="43">
        <v>20.806999999999999</v>
      </c>
      <c r="AG24" s="38">
        <f t="shared" si="6"/>
        <v>38.586775000000003</v>
      </c>
      <c r="AH24" s="39">
        <f t="shared" si="7"/>
        <v>9.8544497637100284E-2</v>
      </c>
      <c r="AI24" s="39">
        <f t="shared" si="8"/>
        <v>2.5216021949243994E-2</v>
      </c>
      <c r="AJ24" s="39">
        <f t="shared" si="9"/>
        <v>1.7906609066213844E-2</v>
      </c>
      <c r="AK24" s="39">
        <f t="shared" si="10"/>
        <v>7.3327964919606609E-2</v>
      </c>
      <c r="AL24" s="36">
        <f t="shared" si="11"/>
        <v>6319208</v>
      </c>
      <c r="AM24" s="39">
        <v>16</v>
      </c>
      <c r="AN24" s="40">
        <v>31426902</v>
      </c>
      <c r="AO24" s="40">
        <v>982090.6875</v>
      </c>
      <c r="AP24" s="40">
        <v>10208.84375</v>
      </c>
      <c r="AQ24" s="41">
        <v>24695536</v>
      </c>
      <c r="AR24" s="41">
        <v>4487448</v>
      </c>
      <c r="AS24" s="41">
        <v>1831760</v>
      </c>
      <c r="AT24" s="41">
        <v>18376200</v>
      </c>
      <c r="AU24" s="42">
        <v>72.083425000000005</v>
      </c>
      <c r="AV24" s="42">
        <v>75.967196999999999</v>
      </c>
      <c r="AW24" s="42">
        <v>37.496496999999998</v>
      </c>
      <c r="AX24" s="42">
        <v>43.960991</v>
      </c>
      <c r="AY24" s="42">
        <v>42.626663000000001</v>
      </c>
      <c r="AZ24" s="43">
        <v>4522.08</v>
      </c>
      <c r="BA24" s="43">
        <v>1530.07</v>
      </c>
      <c r="BB24" s="43">
        <v>10.215</v>
      </c>
      <c r="BC24" s="43">
        <v>19.794</v>
      </c>
      <c r="BE24" s="44">
        <f t="shared" si="12"/>
        <v>0.99491522008015743</v>
      </c>
      <c r="BF24" s="45">
        <f t="shared" si="13"/>
        <v>-8.2082541893566206E-3</v>
      </c>
      <c r="BG24" s="45">
        <f t="shared" si="14"/>
        <v>-9.7318794102407846E-4</v>
      </c>
      <c r="BH24" s="45"/>
      <c r="BJ24" s="44"/>
      <c r="BK24" s="44"/>
      <c r="BL24" s="44"/>
      <c r="BM24" s="44"/>
      <c r="BN24" s="44"/>
      <c r="BP24" s="44"/>
      <c r="BQ24" s="44"/>
      <c r="BR24" s="44"/>
      <c r="BS24" s="44"/>
      <c r="BT24" s="44"/>
      <c r="BV24" s="58">
        <f t="shared" si="16"/>
        <v>0</v>
      </c>
      <c r="BW24" s="58">
        <f t="shared" si="16"/>
        <v>0</v>
      </c>
      <c r="BX24" s="58">
        <f t="shared" si="16"/>
        <v>-8061.25</v>
      </c>
      <c r="BY24" s="58">
        <f t="shared" si="16"/>
        <v>-32168</v>
      </c>
      <c r="BZ24" s="58">
        <f t="shared" si="16"/>
        <v>0</v>
      </c>
      <c r="CA24" s="58">
        <f t="shared" si="16"/>
        <v>-32296</v>
      </c>
      <c r="CB24" s="58">
        <f t="shared" si="16"/>
        <v>0</v>
      </c>
      <c r="CC24" s="58">
        <f t="shared" si="16"/>
        <v>0.35262200000001087</v>
      </c>
      <c r="CD24" s="58">
        <f t="shared" si="16"/>
        <v>0.34144399999999564</v>
      </c>
      <c r="CE24" s="58">
        <f t="shared" si="16"/>
        <v>0.56616599999999551</v>
      </c>
      <c r="CF24" s="58">
        <f t="shared" si="16"/>
        <v>0.12828799999999774</v>
      </c>
      <c r="CG24" s="58">
        <f t="shared" si="16"/>
        <v>0.22903200000000368</v>
      </c>
      <c r="CJ24" t="s">
        <v>239</v>
      </c>
    </row>
    <row r="25" spans="1:88" x14ac:dyDescent="0.2">
      <c r="A25" s="52" t="s">
        <v>240</v>
      </c>
      <c r="B25" s="52" t="s">
        <v>73</v>
      </c>
      <c r="C25" s="9" t="s">
        <v>232</v>
      </c>
      <c r="D25" s="52">
        <v>250294582</v>
      </c>
      <c r="E25" s="9">
        <v>10</v>
      </c>
      <c r="F25" s="9">
        <v>32</v>
      </c>
      <c r="G25" s="9">
        <v>30</v>
      </c>
      <c r="I25" s="10">
        <f t="shared" si="0"/>
        <v>4.3893674999999996</v>
      </c>
      <c r="J25" s="11">
        <f t="shared" si="1"/>
        <v>1.8705926283294459E-2</v>
      </c>
      <c r="K25" s="11">
        <f t="shared" si="2"/>
        <v>6.5750684127872973E-3</v>
      </c>
      <c r="L25" s="11">
        <f t="shared" si="3"/>
        <v>3.7261054256460093E-3</v>
      </c>
      <c r="M25" s="11">
        <f t="shared" si="4"/>
        <v>1.2130857870507161E-2</v>
      </c>
      <c r="N25" s="52">
        <f t="shared" si="5"/>
        <v>1645704</v>
      </c>
      <c r="O25" s="11">
        <v>16</v>
      </c>
      <c r="P25" s="12">
        <v>23156910</v>
      </c>
      <c r="Q25" s="12">
        <v>723653.4375</v>
      </c>
      <c r="R25" s="12">
        <v>14060.625</v>
      </c>
      <c r="S25" s="13">
        <v>4681992</v>
      </c>
      <c r="T25" s="13">
        <v>932624</v>
      </c>
      <c r="U25" s="13">
        <v>713080</v>
      </c>
      <c r="V25" s="13">
        <v>3036288</v>
      </c>
      <c r="W25" s="14">
        <v>66.208680999999999</v>
      </c>
      <c r="X25" s="14">
        <v>67.982928000000001</v>
      </c>
      <c r="Y25" s="14">
        <v>27.335812000000001</v>
      </c>
      <c r="Z25" s="14">
        <v>33.167050000000003</v>
      </c>
      <c r="AA25" s="14">
        <v>32.594690999999997</v>
      </c>
      <c r="AB25" s="15">
        <v>1557.95</v>
      </c>
      <c r="AC25" s="15">
        <v>1095.81</v>
      </c>
      <c r="AD25" s="15">
        <v>61.21</v>
      </c>
      <c r="AE25" s="15">
        <v>16.762</v>
      </c>
      <c r="AG25" s="10">
        <f t="shared" si="6"/>
        <v>4.3700774999999998</v>
      </c>
      <c r="AH25" s="11">
        <f t="shared" si="7"/>
        <v>1.8623719150261109E-2</v>
      </c>
      <c r="AI25" s="11">
        <f t="shared" si="8"/>
        <v>6.4923498823478325E-3</v>
      </c>
      <c r="AJ25" s="11">
        <f t="shared" si="9"/>
        <v>3.7261054256460093E-3</v>
      </c>
      <c r="AK25" s="11">
        <f t="shared" si="10"/>
        <v>1.2130857870507161E-2</v>
      </c>
      <c r="AL25" s="52">
        <f t="shared" si="11"/>
        <v>1625000</v>
      </c>
      <c r="AM25" s="11">
        <v>16</v>
      </c>
      <c r="AN25" s="12">
        <v>23156910</v>
      </c>
      <c r="AO25" s="12">
        <v>723653.4375</v>
      </c>
      <c r="AP25" s="12">
        <v>6277.6875</v>
      </c>
      <c r="AQ25" s="13">
        <v>4661416</v>
      </c>
      <c r="AR25" s="13">
        <v>932624</v>
      </c>
      <c r="AS25" s="13">
        <v>692376</v>
      </c>
      <c r="AT25" s="13">
        <v>3036288</v>
      </c>
      <c r="AU25" s="14">
        <v>65.998366000000004</v>
      </c>
      <c r="AV25" s="14">
        <v>67.399255999999994</v>
      </c>
      <c r="AW25" s="14">
        <v>27.334358999999999</v>
      </c>
      <c r="AX25" s="14">
        <v>33.163831000000002</v>
      </c>
      <c r="AY25" s="14">
        <v>32.591763</v>
      </c>
      <c r="AZ25" s="15">
        <v>1802.11</v>
      </c>
      <c r="BA25" s="15">
        <v>1387.4</v>
      </c>
      <c r="BB25" s="15">
        <v>11.339</v>
      </c>
      <c r="BC25" s="15">
        <v>21.14</v>
      </c>
      <c r="BE25" s="50">
        <f t="shared" si="12"/>
        <v>0.98741936581548073</v>
      </c>
      <c r="BF25" s="16">
        <f t="shared" si="13"/>
        <v>-1.0755061880017671E-2</v>
      </c>
      <c r="BG25" s="16">
        <f t="shared" si="14"/>
        <v>-2.890024649500389E-3</v>
      </c>
      <c r="BH25" s="16">
        <f t="array" ref="BH25">AVERAGE(AL25:AL29/AQ25:AQ29) - AVERAGE(N25:N29/S25:S29)</f>
        <v>-1.4201535185515701E-3</v>
      </c>
      <c r="BJ25" s="50">
        <f>IF( OR(ISBLANK(N25:N29),ISBLANK(AL25:AL29), ISBLANK(W25:W29),ISBLANK(AU25:AU29)), "·", bdRateExtend( N25:N29,W25:W29, AL25:AL29,AU25:AU29))</f>
        <v>0.12718939634894633</v>
      </c>
      <c r="BK25" s="50">
        <f>IF( OR(ISBLANK(N25:N29),ISBLANK(AL25:AL29), ISBLANK(X25:X29),ISBLANK(AV25:AV29)), "·", bdRateExtend( N25:N29,X25:X29, AL25:AL29,AV25:AV29))</f>
        <v>0.16686477704301739</v>
      </c>
      <c r="BL25" s="50">
        <f>IF( OR(ISBLANK(V25:V29),ISBLANK(AT25:AT29), ISBLANK(Y25:Y29),ISBLANK(AW25:AW29)), "·", bdRateExtend( V25:V29,Y25:Y29, AT25:AT29,AW25:AW29))</f>
        <v>-4.1007757660732613E-3</v>
      </c>
      <c r="BM25" s="50">
        <f>IF( OR(ISBLANK(V25:V29),ISBLANK(AT25:AT29), ISBLANK(Z25:Z29),ISBLANK(AX25:AX29)), "·", bdRateExtend( V25:V29,Z25:Z29, AT25:AT29,AX25:AX29))</f>
        <v>4.9814397188985282E-4</v>
      </c>
      <c r="BN25" s="50">
        <f>IF( OR(ISBLANK(V25:V29),ISBLANK(AT25:AT29), ISBLANK(AA25:AA29),ISBLANK(AY25:AY29)), "·", bdRateExtend( V25:V29,AA25:AA29, AT25:AT29,AY25:AY29))</f>
        <v>-1.6088782374024113E-5</v>
      </c>
      <c r="BP25" s="50">
        <f>IF( OR(ISBLANK(S25:S29),ISBLANK(AQ25:AQ29), ISBLANK(W25:W29),ISBLANK(AU25:AU29)), "·", bdRateExtend( S25:S29,W25:W29, AQ25:AQ29,AU25:AU29))</f>
        <v>0.2780220513437337</v>
      </c>
      <c r="BQ25" s="50">
        <f>IF( OR(ISBLANK(S25:S29),ISBLANK(AQ25:AQ29), ISBLANK(X25:X29),ISBLANK(AV25:AV29)), "·", bdRateExtend( S25:S29,X25:X29, AQ25:AQ29,AV25:AV29))</f>
        <v>0.33920561465655785</v>
      </c>
      <c r="BR25" s="50">
        <f>IF( OR(ISBLANK(S25:S29),ISBLANK(AQ25:AQ29), ISBLANK(Y25:Y29),ISBLANK(AW25:AW29)), "·", bdRateExtend( S25:S29,Y25:Y29, AQ25:AQ29,AW25:AW29))</f>
        <v>-5.6924575618138018E-3</v>
      </c>
      <c r="BS25" s="50">
        <f>IF( OR(ISBLANK(S25:S29),ISBLANK(AQ25:AQ29), ISBLANK(Z25:Z29),ISBLANK(AX25:AX29)), "·", bdRateExtend( S25:S29,Z25:Z29, AQ25:AQ29,AX25:AX29))</f>
        <v>-1.1443703347587819E-3</v>
      </c>
      <c r="BT25" s="50">
        <f>IF( OR(ISBLANK(S25:S29),ISBLANK(AQ25:AQ29), ISBLANK(AA25:AA29),ISBLANK(AY25:AY29)), "·", bdRateExtend( S25:S29,AA25:AA29, AQ25:AQ29,AY25:AY29))</f>
        <v>-1.7157050289089426E-3</v>
      </c>
      <c r="BV25" s="58">
        <f t="shared" si="16"/>
        <v>0</v>
      </c>
      <c r="BW25" s="58">
        <f t="shared" si="16"/>
        <v>0</v>
      </c>
      <c r="BX25" s="58">
        <f t="shared" si="16"/>
        <v>-7782.9375</v>
      </c>
      <c r="BY25" s="58">
        <f t="shared" si="16"/>
        <v>-20576</v>
      </c>
      <c r="BZ25" s="58">
        <f t="shared" si="16"/>
        <v>0</v>
      </c>
      <c r="CA25" s="58">
        <f t="shared" si="16"/>
        <v>-20704</v>
      </c>
      <c r="CB25" s="58">
        <f t="shared" si="16"/>
        <v>0</v>
      </c>
      <c r="CC25" s="58">
        <f t="shared" si="16"/>
        <v>-0.21031499999999426</v>
      </c>
      <c r="CD25" s="58">
        <f t="shared" si="16"/>
        <v>-0.58367200000000707</v>
      </c>
      <c r="CE25" s="58">
        <f t="shared" si="16"/>
        <v>-1.4530000000014809E-3</v>
      </c>
      <c r="CF25" s="58">
        <f t="shared" si="16"/>
        <v>-3.2190000000014152E-3</v>
      </c>
      <c r="CG25" s="58">
        <f t="shared" si="16"/>
        <v>-2.9279999999971551E-3</v>
      </c>
      <c r="CJ25" t="s">
        <v>241</v>
      </c>
    </row>
    <row r="26" spans="1:88" outlineLevel="1" x14ac:dyDescent="0.2">
      <c r="A26" s="17"/>
      <c r="B26" s="17" t="s">
        <v>73</v>
      </c>
      <c r="C26" s="18" t="s">
        <v>234</v>
      </c>
      <c r="D26" s="17">
        <v>250294582</v>
      </c>
      <c r="E26" s="18">
        <v>10</v>
      </c>
      <c r="F26" s="18">
        <v>32</v>
      </c>
      <c r="G26" s="18">
        <v>30</v>
      </c>
      <c r="I26" s="19">
        <f t="shared" si="0"/>
        <v>7.5169949999999996</v>
      </c>
      <c r="J26" s="20">
        <f t="shared" si="1"/>
        <v>3.2034764539969146E-2</v>
      </c>
      <c r="K26" s="20">
        <f t="shared" si="2"/>
        <v>8.1015577077093899E-3</v>
      </c>
      <c r="L26" s="20">
        <f t="shared" si="3"/>
        <v>5.2525947205681028E-3</v>
      </c>
      <c r="M26" s="20">
        <f t="shared" si="4"/>
        <v>2.3933206832259756E-2</v>
      </c>
      <c r="N26" s="17">
        <f t="shared" si="5"/>
        <v>2027776</v>
      </c>
      <c r="O26" s="20">
        <v>16</v>
      </c>
      <c r="P26" s="21">
        <v>24564301</v>
      </c>
      <c r="Q26" s="21">
        <v>767634.40625</v>
      </c>
      <c r="R26" s="21">
        <v>17714.59375</v>
      </c>
      <c r="S26" s="22">
        <v>8018128</v>
      </c>
      <c r="T26" s="22">
        <v>1314696</v>
      </c>
      <c r="U26" s="22">
        <v>713080</v>
      </c>
      <c r="V26" s="22">
        <v>5990352</v>
      </c>
      <c r="W26" s="23">
        <v>67.941556000000006</v>
      </c>
      <c r="X26" s="23">
        <v>69.941896999999997</v>
      </c>
      <c r="Y26" s="23">
        <v>29.713653000000001</v>
      </c>
      <c r="Z26" s="23">
        <v>34.339922000000001</v>
      </c>
      <c r="AA26" s="23">
        <v>33.891993999999997</v>
      </c>
      <c r="AB26" s="24">
        <v>1821.78</v>
      </c>
      <c r="AC26" s="24">
        <v>1477.01</v>
      </c>
      <c r="AD26" s="24">
        <v>67.536000000000001</v>
      </c>
      <c r="AE26" s="24">
        <v>22.475999999999999</v>
      </c>
      <c r="AG26" s="19">
        <f t="shared" si="6"/>
        <v>7.4977049999999998</v>
      </c>
      <c r="AH26" s="20">
        <f t="shared" si="7"/>
        <v>3.1952557406935797E-2</v>
      </c>
      <c r="AI26" s="20">
        <f t="shared" si="8"/>
        <v>8.018839177269926E-3</v>
      </c>
      <c r="AJ26" s="20">
        <f t="shared" si="9"/>
        <v>5.2525947205681028E-3</v>
      </c>
      <c r="AK26" s="20">
        <f t="shared" si="10"/>
        <v>2.3933206832259756E-2</v>
      </c>
      <c r="AL26" s="17">
        <f t="shared" si="11"/>
        <v>2007072</v>
      </c>
      <c r="AM26" s="20">
        <v>16</v>
      </c>
      <c r="AN26" s="21">
        <v>24564301</v>
      </c>
      <c r="AO26" s="21">
        <v>767634.40625</v>
      </c>
      <c r="AP26" s="21">
        <v>8093.59375</v>
      </c>
      <c r="AQ26" s="22">
        <v>7997552</v>
      </c>
      <c r="AR26" s="22">
        <v>1314696</v>
      </c>
      <c r="AS26" s="22">
        <v>692376</v>
      </c>
      <c r="AT26" s="22">
        <v>5990352</v>
      </c>
      <c r="AU26" s="23">
        <v>67.445565999999999</v>
      </c>
      <c r="AV26" s="23">
        <v>69.147155999999995</v>
      </c>
      <c r="AW26" s="23">
        <v>29.714677999999999</v>
      </c>
      <c r="AX26" s="23">
        <v>34.337040999999999</v>
      </c>
      <c r="AY26" s="23">
        <v>33.889299999999999</v>
      </c>
      <c r="AZ26" s="24">
        <v>1820.03</v>
      </c>
      <c r="BA26" s="24">
        <v>1446.85</v>
      </c>
      <c r="BB26" s="24">
        <v>11.092000000000001</v>
      </c>
      <c r="BC26" s="24">
        <v>21.177</v>
      </c>
      <c r="BE26" s="49">
        <f t="shared" si="12"/>
        <v>0.98978979926776922</v>
      </c>
      <c r="BF26" s="25">
        <f t="shared" si="13"/>
        <v>-1.2533310025797193E-2</v>
      </c>
      <c r="BG26" s="25">
        <f t="shared" si="14"/>
        <v>-1.9381370193385927E-3</v>
      </c>
      <c r="BH26" s="25"/>
      <c r="BJ26" s="49"/>
      <c r="BK26" s="49"/>
      <c r="BL26" s="49"/>
      <c r="BM26" s="49"/>
      <c r="BN26" s="49"/>
      <c r="BP26" s="49"/>
      <c r="BQ26" s="49"/>
      <c r="BR26" s="49"/>
      <c r="BS26" s="49"/>
      <c r="BT26" s="49"/>
      <c r="BV26" s="58">
        <f t="shared" si="16"/>
        <v>0</v>
      </c>
      <c r="BW26" s="58">
        <f t="shared" si="16"/>
        <v>0</v>
      </c>
      <c r="BX26" s="58">
        <f t="shared" si="16"/>
        <v>-9621</v>
      </c>
      <c r="BY26" s="58">
        <f t="shared" si="16"/>
        <v>-20576</v>
      </c>
      <c r="BZ26" s="58">
        <f t="shared" si="16"/>
        <v>0</v>
      </c>
      <c r="CA26" s="58">
        <f t="shared" si="16"/>
        <v>-20704</v>
      </c>
      <c r="CB26" s="58">
        <f t="shared" si="16"/>
        <v>0</v>
      </c>
      <c r="CC26" s="58">
        <f t="shared" si="16"/>
        <v>-0.49599000000000615</v>
      </c>
      <c r="CD26" s="58">
        <f t="shared" si="16"/>
        <v>-0.79474100000000192</v>
      </c>
      <c r="CE26" s="58">
        <f t="shared" si="16"/>
        <v>1.0249999999984993E-3</v>
      </c>
      <c r="CF26" s="58">
        <f t="shared" si="16"/>
        <v>-2.8810000000021319E-3</v>
      </c>
      <c r="CG26" s="58">
        <f t="shared" si="16"/>
        <v>-2.6939999999981978E-3</v>
      </c>
      <c r="CJ26" t="s">
        <v>241</v>
      </c>
    </row>
    <row r="27" spans="1:88" outlineLevel="1" x14ac:dyDescent="0.2">
      <c r="A27" s="52"/>
      <c r="B27" s="52" t="s">
        <v>73</v>
      </c>
      <c r="C27" s="9" t="s">
        <v>235</v>
      </c>
      <c r="D27" s="52">
        <v>250294582</v>
      </c>
      <c r="E27" s="9">
        <v>10</v>
      </c>
      <c r="F27" s="9">
        <v>32</v>
      </c>
      <c r="G27" s="9">
        <v>30</v>
      </c>
      <c r="I27" s="10">
        <f t="shared" si="0"/>
        <v>13.216447499999999</v>
      </c>
      <c r="J27" s="11">
        <f t="shared" si="1"/>
        <v>5.6323808079872861E-2</v>
      </c>
      <c r="K27" s="11">
        <f t="shared" si="2"/>
        <v>1.0397987759878878E-2</v>
      </c>
      <c r="L27" s="11">
        <f t="shared" si="3"/>
        <v>7.5490247727375897E-3</v>
      </c>
      <c r="M27" s="11">
        <f t="shared" si="4"/>
        <v>4.5925820319993982E-2</v>
      </c>
      <c r="N27" s="52">
        <f t="shared" si="5"/>
        <v>2602560</v>
      </c>
      <c r="O27" s="11">
        <v>16</v>
      </c>
      <c r="P27" s="12">
        <v>24852477</v>
      </c>
      <c r="Q27" s="12">
        <v>776639.90625</v>
      </c>
      <c r="R27" s="12">
        <v>18688.75</v>
      </c>
      <c r="S27" s="13">
        <v>14097544</v>
      </c>
      <c r="T27" s="13">
        <v>1889480</v>
      </c>
      <c r="U27" s="13">
        <v>713080</v>
      </c>
      <c r="V27" s="13">
        <v>11494984</v>
      </c>
      <c r="W27" s="14">
        <v>69.263744000000003</v>
      </c>
      <c r="X27" s="14">
        <v>71.649234000000007</v>
      </c>
      <c r="Y27" s="14">
        <v>32.212888</v>
      </c>
      <c r="Z27" s="14">
        <v>35.580181000000003</v>
      </c>
      <c r="AA27" s="14">
        <v>35.204984000000003</v>
      </c>
      <c r="AB27" s="15">
        <v>1604.67</v>
      </c>
      <c r="AC27" s="15">
        <v>1271.32</v>
      </c>
      <c r="AD27" s="15">
        <v>70.06</v>
      </c>
      <c r="AE27" s="15">
        <v>18.914000000000001</v>
      </c>
      <c r="AG27" s="10">
        <f t="shared" si="6"/>
        <v>13.197157499999999</v>
      </c>
      <c r="AH27" s="11">
        <f t="shared" si="7"/>
        <v>5.6241600946839512E-2</v>
      </c>
      <c r="AI27" s="11">
        <f t="shared" si="8"/>
        <v>1.0315269229439414E-2</v>
      </c>
      <c r="AJ27" s="11">
        <f t="shared" si="9"/>
        <v>7.5490247727375897E-3</v>
      </c>
      <c r="AK27" s="11">
        <f t="shared" si="10"/>
        <v>4.5925820319993982E-2</v>
      </c>
      <c r="AL27" s="52">
        <f t="shared" si="11"/>
        <v>2581856</v>
      </c>
      <c r="AM27" s="11">
        <v>16</v>
      </c>
      <c r="AN27" s="12">
        <v>24852477</v>
      </c>
      <c r="AO27" s="12">
        <v>776639.90625</v>
      </c>
      <c r="AP27" s="12">
        <v>8982.78125</v>
      </c>
      <c r="AQ27" s="13">
        <v>14076968</v>
      </c>
      <c r="AR27" s="13">
        <v>1889480</v>
      </c>
      <c r="AS27" s="13">
        <v>692376</v>
      </c>
      <c r="AT27" s="13">
        <v>11494984</v>
      </c>
      <c r="AU27" s="14">
        <v>68.720721999999995</v>
      </c>
      <c r="AV27" s="14">
        <v>70.698402999999999</v>
      </c>
      <c r="AW27" s="14">
        <v>32.221252999999997</v>
      </c>
      <c r="AX27" s="14">
        <v>35.578524999999999</v>
      </c>
      <c r="AY27" s="14">
        <v>35.203963000000002</v>
      </c>
      <c r="AZ27" s="15">
        <v>1918.29</v>
      </c>
      <c r="BA27" s="15">
        <v>1416.48</v>
      </c>
      <c r="BB27" s="15">
        <v>10.595000000000001</v>
      </c>
      <c r="BC27" s="15">
        <v>22.72</v>
      </c>
      <c r="BE27" s="50">
        <f t="shared" si="12"/>
        <v>0.9920447559326202</v>
      </c>
      <c r="BF27" s="16">
        <f t="shared" si="13"/>
        <v>-1.2497386075440287E-2</v>
      </c>
      <c r="BG27" s="16">
        <f t="shared" si="14"/>
        <v>-1.2009295281831256E-3</v>
      </c>
      <c r="BH27" s="16"/>
      <c r="BJ27" s="50"/>
      <c r="BK27" s="50"/>
      <c r="BL27" s="50"/>
      <c r="BM27" s="50"/>
      <c r="BN27" s="50"/>
      <c r="BP27" s="50"/>
      <c r="BQ27" s="50"/>
      <c r="BR27" s="50"/>
      <c r="BS27" s="50"/>
      <c r="BT27" s="50"/>
      <c r="BV27" s="58">
        <f t="shared" si="16"/>
        <v>0</v>
      </c>
      <c r="BW27" s="58">
        <f t="shared" si="16"/>
        <v>0</v>
      </c>
      <c r="BX27" s="58">
        <f t="shared" si="16"/>
        <v>-9705.96875</v>
      </c>
      <c r="BY27" s="58">
        <f t="shared" si="16"/>
        <v>-20576</v>
      </c>
      <c r="BZ27" s="58">
        <f t="shared" si="16"/>
        <v>0</v>
      </c>
      <c r="CA27" s="58">
        <f t="shared" si="16"/>
        <v>-20704</v>
      </c>
      <c r="CB27" s="58">
        <f t="shared" si="16"/>
        <v>0</v>
      </c>
      <c r="CC27" s="58">
        <f t="shared" si="16"/>
        <v>-0.54302200000000767</v>
      </c>
      <c r="CD27" s="58">
        <f t="shared" si="16"/>
        <v>-0.95083100000000798</v>
      </c>
      <c r="CE27" s="58">
        <f t="shared" si="16"/>
        <v>8.3649999999977354E-3</v>
      </c>
      <c r="CF27" s="58">
        <f t="shared" si="16"/>
        <v>-1.6560000000040986E-3</v>
      </c>
      <c r="CG27" s="58">
        <f t="shared" si="16"/>
        <v>-1.0210000000014929E-3</v>
      </c>
      <c r="CJ27" t="s">
        <v>241</v>
      </c>
    </row>
    <row r="28" spans="1:88" outlineLevel="1" x14ac:dyDescent="0.2">
      <c r="A28" s="17"/>
      <c r="B28" s="17" t="s">
        <v>73</v>
      </c>
      <c r="C28" s="18" t="s">
        <v>236</v>
      </c>
      <c r="D28" s="17">
        <v>250294582</v>
      </c>
      <c r="E28" s="18">
        <v>10</v>
      </c>
      <c r="F28" s="18">
        <v>32</v>
      </c>
      <c r="G28" s="18">
        <v>30</v>
      </c>
      <c r="I28" s="19">
        <f t="shared" si="0"/>
        <v>24.485197500000002</v>
      </c>
      <c r="J28" s="20">
        <f t="shared" si="1"/>
        <v>0.10434722074807037</v>
      </c>
      <c r="K28" s="20">
        <f t="shared" si="2"/>
        <v>1.4255106808504548E-2</v>
      </c>
      <c r="L28" s="20">
        <f t="shared" si="3"/>
        <v>1.1406143821363261E-2</v>
      </c>
      <c r="M28" s="20">
        <f t="shared" si="4"/>
        <v>9.0092113939565815E-2</v>
      </c>
      <c r="N28" s="17">
        <f t="shared" si="5"/>
        <v>3567976</v>
      </c>
      <c r="O28" s="20">
        <v>16</v>
      </c>
      <c r="P28" s="21">
        <v>25521142</v>
      </c>
      <c r="Q28" s="21">
        <v>797535.6875</v>
      </c>
      <c r="R28" s="21">
        <v>20922.53125</v>
      </c>
      <c r="S28" s="22">
        <v>26117544</v>
      </c>
      <c r="T28" s="22">
        <v>2854896</v>
      </c>
      <c r="U28" s="22">
        <v>713080</v>
      </c>
      <c r="V28" s="22">
        <v>22549568</v>
      </c>
      <c r="W28" s="23">
        <v>70.432472000000004</v>
      </c>
      <c r="X28" s="23">
        <v>72.970200000000006</v>
      </c>
      <c r="Y28" s="23">
        <v>34.910972000000001</v>
      </c>
      <c r="Z28" s="23">
        <v>37.373078</v>
      </c>
      <c r="AA28" s="23">
        <v>36.936613000000001</v>
      </c>
      <c r="AB28" s="24">
        <v>1539.49</v>
      </c>
      <c r="AC28" s="24">
        <v>1361.73</v>
      </c>
      <c r="AD28" s="24">
        <v>65.055000000000007</v>
      </c>
      <c r="AE28" s="24">
        <v>18.885000000000002</v>
      </c>
      <c r="AG28" s="19">
        <f t="shared" si="6"/>
        <v>24.4659075</v>
      </c>
      <c r="AH28" s="20">
        <f t="shared" si="7"/>
        <v>0.10426501361503702</v>
      </c>
      <c r="AI28" s="20">
        <f t="shared" si="8"/>
        <v>1.4172388278065084E-2</v>
      </c>
      <c r="AJ28" s="20">
        <f t="shared" si="9"/>
        <v>1.1406143821363261E-2</v>
      </c>
      <c r="AK28" s="20">
        <f t="shared" si="10"/>
        <v>9.0092113939565815E-2</v>
      </c>
      <c r="AL28" s="17">
        <f t="shared" si="11"/>
        <v>3547272</v>
      </c>
      <c r="AM28" s="20">
        <v>16</v>
      </c>
      <c r="AN28" s="21">
        <v>25521142</v>
      </c>
      <c r="AO28" s="21">
        <v>797535.6875</v>
      </c>
      <c r="AP28" s="21">
        <v>10318.09375</v>
      </c>
      <c r="AQ28" s="22">
        <v>26096968</v>
      </c>
      <c r="AR28" s="22">
        <v>2854896</v>
      </c>
      <c r="AS28" s="22">
        <v>692376</v>
      </c>
      <c r="AT28" s="22">
        <v>22549568</v>
      </c>
      <c r="AU28" s="23">
        <v>69.619546999999997</v>
      </c>
      <c r="AV28" s="23">
        <v>71.755268999999998</v>
      </c>
      <c r="AW28" s="23">
        <v>34.931538000000003</v>
      </c>
      <c r="AX28" s="23">
        <v>37.372528000000003</v>
      </c>
      <c r="AY28" s="23">
        <v>36.938127999999999</v>
      </c>
      <c r="AZ28" s="24">
        <v>1583.39</v>
      </c>
      <c r="BA28" s="24">
        <v>1398.28</v>
      </c>
      <c r="BB28" s="24">
        <v>9.7539999999999996</v>
      </c>
      <c r="BC28" s="24">
        <v>19.193999999999999</v>
      </c>
      <c r="BE28" s="49">
        <f t="shared" si="12"/>
        <v>0.99419727038522687</v>
      </c>
      <c r="BF28" s="25">
        <f t="shared" si="13"/>
        <v>-1.3296505305287672E-2</v>
      </c>
      <c r="BG28" s="25">
        <f t="shared" si="14"/>
        <v>-6.8563776063057524E-4</v>
      </c>
      <c r="BH28" s="25"/>
      <c r="BJ28" s="49"/>
      <c r="BK28" s="49"/>
      <c r="BL28" s="49"/>
      <c r="BM28" s="49"/>
      <c r="BN28" s="49"/>
      <c r="BP28" s="49"/>
      <c r="BQ28" s="49"/>
      <c r="BR28" s="49"/>
      <c r="BS28" s="49"/>
      <c r="BT28" s="49"/>
      <c r="BV28" s="58">
        <f t="shared" si="16"/>
        <v>0</v>
      </c>
      <c r="BW28" s="58">
        <f t="shared" si="16"/>
        <v>0</v>
      </c>
      <c r="BX28" s="58">
        <f t="shared" si="16"/>
        <v>-10604.4375</v>
      </c>
      <c r="BY28" s="58">
        <f t="shared" si="16"/>
        <v>-20576</v>
      </c>
      <c r="BZ28" s="58">
        <f t="shared" si="16"/>
        <v>0</v>
      </c>
      <c r="CA28" s="58">
        <f t="shared" si="16"/>
        <v>-20704</v>
      </c>
      <c r="CB28" s="58">
        <f t="shared" si="16"/>
        <v>0</v>
      </c>
      <c r="CC28" s="58">
        <f t="shared" si="16"/>
        <v>-0.812925000000007</v>
      </c>
      <c r="CD28" s="58">
        <f t="shared" si="16"/>
        <v>-1.2149310000000071</v>
      </c>
      <c r="CE28" s="58">
        <f t="shared" si="16"/>
        <v>2.0566000000002305E-2</v>
      </c>
      <c r="CF28" s="58">
        <f t="shared" si="16"/>
        <v>-5.4999999999694182E-4</v>
      </c>
      <c r="CG28" s="58">
        <f t="shared" si="16"/>
        <v>1.5149999999977126E-3</v>
      </c>
      <c r="CJ28" t="s">
        <v>241</v>
      </c>
    </row>
    <row r="29" spans="1:88" ht="16" outlineLevel="1" thickBot="1" x14ac:dyDescent="0.25">
      <c r="A29" s="26"/>
      <c r="B29" s="26" t="s">
        <v>73</v>
      </c>
      <c r="C29" s="27" t="s">
        <v>237</v>
      </c>
      <c r="D29" s="26">
        <v>250294582</v>
      </c>
      <c r="E29" s="27">
        <v>10</v>
      </c>
      <c r="F29" s="27">
        <v>32</v>
      </c>
      <c r="G29" s="27">
        <v>30</v>
      </c>
      <c r="I29" s="28">
        <f t="shared" si="0"/>
        <v>44.199554999999997</v>
      </c>
      <c r="J29" s="29">
        <f t="shared" si="1"/>
        <v>0.18836281482113743</v>
      </c>
      <c r="K29" s="29">
        <f t="shared" si="2"/>
        <v>2.2993258399816262E-2</v>
      </c>
      <c r="L29" s="29">
        <f t="shared" si="3"/>
        <v>1.7641772205840237E-2</v>
      </c>
      <c r="M29" s="29">
        <f t="shared" si="4"/>
        <v>0.16536955642132117</v>
      </c>
      <c r="N29" s="26">
        <f t="shared" si="5"/>
        <v>5755088</v>
      </c>
      <c r="O29" s="29">
        <v>16</v>
      </c>
      <c r="P29" s="30">
        <v>24571358</v>
      </c>
      <c r="Q29" s="30">
        <v>767854.9375</v>
      </c>
      <c r="R29" s="30">
        <v>9744.125</v>
      </c>
      <c r="S29" s="31">
        <v>47146192</v>
      </c>
      <c r="T29" s="31">
        <v>4415640</v>
      </c>
      <c r="U29" s="31">
        <v>1339448</v>
      </c>
      <c r="V29" s="31">
        <v>41391104</v>
      </c>
      <c r="W29" s="32">
        <v>71.152737999999999</v>
      </c>
      <c r="X29" s="32">
        <v>74.905512999999999</v>
      </c>
      <c r="Y29" s="32">
        <v>37.369269000000003</v>
      </c>
      <c r="Z29" s="32">
        <v>39.408925000000004</v>
      </c>
      <c r="AA29" s="32">
        <v>38.766097000000002</v>
      </c>
      <c r="AB29" s="33">
        <v>1420.25</v>
      </c>
      <c r="AC29" s="33">
        <v>1494.5</v>
      </c>
      <c r="AD29" s="33">
        <v>58.012999999999998</v>
      </c>
      <c r="AE29" s="33">
        <v>19.001000000000001</v>
      </c>
      <c r="AG29" s="28">
        <f t="shared" si="6"/>
        <v>44.180264999999999</v>
      </c>
      <c r="AH29" s="29">
        <f t="shared" si="7"/>
        <v>0.18828060768810409</v>
      </c>
      <c r="AI29" s="29">
        <f t="shared" si="8"/>
        <v>2.2910539869376797E-2</v>
      </c>
      <c r="AJ29" s="29">
        <f t="shared" si="9"/>
        <v>1.7641772205840237E-2</v>
      </c>
      <c r="AK29" s="29">
        <f t="shared" si="10"/>
        <v>0.16536955642132117</v>
      </c>
      <c r="AL29" s="26">
        <f t="shared" si="11"/>
        <v>5734384</v>
      </c>
      <c r="AM29" s="29">
        <v>16</v>
      </c>
      <c r="AN29" s="30">
        <v>24571358</v>
      </c>
      <c r="AO29" s="30">
        <v>767854.9375</v>
      </c>
      <c r="AP29" s="30">
        <v>5642.21875</v>
      </c>
      <c r="AQ29" s="31">
        <v>47125616</v>
      </c>
      <c r="AR29" s="31">
        <v>4415640</v>
      </c>
      <c r="AS29" s="31">
        <v>1318744</v>
      </c>
      <c r="AT29" s="31">
        <v>41391104</v>
      </c>
      <c r="AU29" s="32">
        <v>71.330986999999993</v>
      </c>
      <c r="AV29" s="32">
        <v>75.058740999999998</v>
      </c>
      <c r="AW29" s="32">
        <v>37.466231000000001</v>
      </c>
      <c r="AX29" s="32">
        <v>39.415649999999999</v>
      </c>
      <c r="AY29" s="32">
        <v>38.777580999999998</v>
      </c>
      <c r="AZ29" s="33">
        <v>1514.38</v>
      </c>
      <c r="BA29" s="33">
        <v>1571.44</v>
      </c>
      <c r="BB29" s="33">
        <v>9.0210000000000008</v>
      </c>
      <c r="BC29" s="33">
        <v>20.035</v>
      </c>
      <c r="BE29" s="34">
        <f t="shared" si="12"/>
        <v>0.99640248767699113</v>
      </c>
      <c r="BF29" s="35">
        <f t="shared" si="13"/>
        <v>-5.3420327846755563E-3</v>
      </c>
      <c r="BG29" s="35">
        <f t="shared" si="14"/>
        <v>-3.8603863510502934E-4</v>
      </c>
      <c r="BH29" s="35"/>
      <c r="BJ29" s="34"/>
      <c r="BK29" s="34"/>
      <c r="BL29" s="34"/>
      <c r="BM29" s="34"/>
      <c r="BN29" s="34"/>
      <c r="BP29" s="34"/>
      <c r="BQ29" s="34"/>
      <c r="BR29" s="34"/>
      <c r="BS29" s="34"/>
      <c r="BT29" s="34"/>
      <c r="BV29" s="58">
        <f t="shared" si="16"/>
        <v>0</v>
      </c>
      <c r="BW29" s="58">
        <f t="shared" si="16"/>
        <v>0</v>
      </c>
      <c r="BX29" s="58">
        <f t="shared" si="16"/>
        <v>-4101.90625</v>
      </c>
      <c r="BY29" s="58">
        <f t="shared" si="16"/>
        <v>-20576</v>
      </c>
      <c r="BZ29" s="58">
        <f t="shared" si="16"/>
        <v>0</v>
      </c>
      <c r="CA29" s="58">
        <f t="shared" si="16"/>
        <v>-20704</v>
      </c>
      <c r="CB29" s="58">
        <f t="shared" si="16"/>
        <v>0</v>
      </c>
      <c r="CC29" s="58">
        <f t="shared" si="16"/>
        <v>0.17824899999999388</v>
      </c>
      <c r="CD29" s="58">
        <f t="shared" si="16"/>
        <v>0.15322799999999859</v>
      </c>
      <c r="CE29" s="58">
        <f t="shared" si="16"/>
        <v>9.6961999999997772E-2</v>
      </c>
      <c r="CF29" s="58">
        <f t="shared" si="16"/>
        <v>6.7249999999958732E-3</v>
      </c>
      <c r="CG29" s="58">
        <f t="shared" si="16"/>
        <v>1.1483999999995831E-2</v>
      </c>
      <c r="CJ29" t="s">
        <v>241</v>
      </c>
    </row>
    <row r="30" spans="1:88" x14ac:dyDescent="0.2">
      <c r="A30" s="17" t="s">
        <v>242</v>
      </c>
      <c r="B30" s="17" t="s">
        <v>77</v>
      </c>
      <c r="C30" s="18" t="s">
        <v>232</v>
      </c>
      <c r="D30" s="17">
        <v>375422539</v>
      </c>
      <c r="E30" s="18">
        <v>11</v>
      </c>
      <c r="F30" s="18">
        <v>32</v>
      </c>
      <c r="G30" s="18">
        <v>30</v>
      </c>
      <c r="I30" s="19">
        <f t="shared" si="0"/>
        <v>5.7329774999999996</v>
      </c>
      <c r="J30" s="20">
        <f t="shared" si="1"/>
        <v>1.6288782277933504E-2</v>
      </c>
      <c r="K30" s="20">
        <f t="shared" si="2"/>
        <v>9.9774936528251434E-3</v>
      </c>
      <c r="L30" s="20">
        <f t="shared" si="3"/>
        <v>6.1752286002199775E-3</v>
      </c>
      <c r="M30" s="20">
        <f t="shared" si="4"/>
        <v>6.3112886251083609E-3</v>
      </c>
      <c r="N30" s="17">
        <f t="shared" si="5"/>
        <v>3745776</v>
      </c>
      <c r="O30" s="20">
        <v>16</v>
      </c>
      <c r="P30" s="21">
        <v>84258322</v>
      </c>
      <c r="Q30" s="21">
        <v>2633072.5625</v>
      </c>
      <c r="R30" s="21">
        <v>32425.28125</v>
      </c>
      <c r="S30" s="22">
        <v>6115176</v>
      </c>
      <c r="T30" s="22">
        <v>2318320</v>
      </c>
      <c r="U30" s="22">
        <v>1427456</v>
      </c>
      <c r="V30" s="22">
        <v>2369400</v>
      </c>
      <c r="W30" s="23">
        <v>73.460730999999996</v>
      </c>
      <c r="X30" s="23">
        <v>75.713605999999999</v>
      </c>
      <c r="Y30" s="23">
        <v>34.745108999999999</v>
      </c>
      <c r="Z30" s="23">
        <v>42.167358999999998</v>
      </c>
      <c r="AA30" s="23">
        <v>43.793906</v>
      </c>
      <c r="AB30" s="24">
        <v>4020.87</v>
      </c>
      <c r="AC30" s="24">
        <v>3267.17</v>
      </c>
      <c r="AD30" s="24">
        <v>222.517</v>
      </c>
      <c r="AE30" s="24">
        <v>46.183</v>
      </c>
      <c r="AG30" s="19">
        <f t="shared" si="6"/>
        <v>5.7125399999999997</v>
      </c>
      <c r="AH30" s="20">
        <f t="shared" si="7"/>
        <v>1.6230714373811211E-2</v>
      </c>
      <c r="AI30" s="20">
        <f t="shared" si="8"/>
        <v>9.9190847995410305E-3</v>
      </c>
      <c r="AJ30" s="20">
        <f t="shared" si="9"/>
        <v>6.1752286002199775E-3</v>
      </c>
      <c r="AK30" s="20">
        <f t="shared" si="10"/>
        <v>6.3112886251083609E-3</v>
      </c>
      <c r="AL30" s="17">
        <f t="shared" si="11"/>
        <v>3723848</v>
      </c>
      <c r="AM30" s="20">
        <v>16</v>
      </c>
      <c r="AN30" s="21">
        <v>84258322</v>
      </c>
      <c r="AO30" s="21">
        <v>2633072.5625</v>
      </c>
      <c r="AP30" s="21">
        <v>17720.34375</v>
      </c>
      <c r="AQ30" s="22">
        <v>6093376</v>
      </c>
      <c r="AR30" s="22">
        <v>2318320</v>
      </c>
      <c r="AS30" s="22">
        <v>1405528</v>
      </c>
      <c r="AT30" s="22">
        <v>2369400</v>
      </c>
      <c r="AU30" s="23">
        <v>73.433344000000005</v>
      </c>
      <c r="AV30" s="23">
        <v>75.204103000000003</v>
      </c>
      <c r="AW30" s="23">
        <v>34.742978000000001</v>
      </c>
      <c r="AX30" s="23">
        <v>42.166187999999998</v>
      </c>
      <c r="AY30" s="23">
        <v>43.791825000000003</v>
      </c>
      <c r="AZ30" s="24">
        <v>3876.67</v>
      </c>
      <c r="BA30" s="24">
        <v>3333.54</v>
      </c>
      <c r="BB30" s="24">
        <v>35.802</v>
      </c>
      <c r="BC30" s="24">
        <v>49.628999999999998</v>
      </c>
      <c r="BE30" s="49">
        <f t="shared" si="12"/>
        <v>0.99414593931938267</v>
      </c>
      <c r="BF30" s="25">
        <f t="shared" si="13"/>
        <v>-5.5847065171793948E-3</v>
      </c>
      <c r="BG30" s="25">
        <f t="shared" si="14"/>
        <v>-1.4072129435681591E-3</v>
      </c>
      <c r="BH30" s="25">
        <f t="array" ref="BH30">AVERAGE(AL30:AL34/AQ30:AQ34) - AVERAGE(N30:N34/S30:S34)</f>
        <v>-9.0545391303326062E-4</v>
      </c>
      <c r="BJ30" s="49">
        <f>IF( OR(ISBLANK(N30:N34),ISBLANK(AL30:AL34), ISBLANK(W30:W34),ISBLANK(AU30:AU34)), "·", bdRateExtend( N30:N34,W30:W34, AL30:AL34,AU30:AU34))</f>
        <v>7.1301193581761346E-2</v>
      </c>
      <c r="BK30" s="49">
        <f>IF( OR(ISBLANK(N30:N34),ISBLANK(AL30:AL34), ISBLANK(X30:X34),ISBLANK(AV30:AV34)), "·", bdRateExtend( N30:N34,X30:X34, AL30:AL34,AV30:AV34))</f>
        <v>0.13156696761235565</v>
      </c>
      <c r="BL30" s="49">
        <f>IF( OR(ISBLANK(V30:V34),ISBLANK(AT30:AT34), ISBLANK(Y30:Y34),ISBLANK(AW30:AW34)), "·", bdRateExtend( V30:V34,Y30:Y34, AT30:AT34,AW30:AW34))</f>
        <v>-1.5203219390259592E-3</v>
      </c>
      <c r="BM30" s="49">
        <f>IF( OR(ISBLANK(V30:V34),ISBLANK(AT30:AT34), ISBLANK(Z30:Z34),ISBLANK(AX30:AX34)), "·", bdRateExtend( V30:V34,Z30:Z34, AT30:AT34,AX30:AX34))</f>
        <v>-6.3507948277474746E-5</v>
      </c>
      <c r="BN30" s="49">
        <f>IF( OR(ISBLANK(V30:V34),ISBLANK(AT30:AT34), ISBLANK(AA30:AA34),ISBLANK(AY30:AY34)), "·", bdRateExtend( V30:V34,AA30:AA34, AT30:AT34,AY30:AY34))</f>
        <v>-1.3648324823756219E-5</v>
      </c>
      <c r="BP30" s="49">
        <f>IF( OR(ISBLANK(S30:S34),ISBLANK(AQ30:AQ34), ISBLANK(W30:W34),ISBLANK(AU30:AU34)), "·", bdRateExtend( S30:S34,W30:W34, AQ30:AQ34,AU30:AU34))</f>
        <v>0.12274912012211758</v>
      </c>
      <c r="BQ30" s="49">
        <f>IF( OR(ISBLANK(S30:S34),ISBLANK(AQ30:AQ34), ISBLANK(X30:X34),ISBLANK(AV30:AV34)), "·", bdRateExtend( S30:S34,X30:X34, AQ30:AQ34,AV30:AV34))</f>
        <v>0.23051142667873781</v>
      </c>
      <c r="BR30" s="49">
        <f>IF( OR(ISBLANK(S30:S34),ISBLANK(AQ30:AQ34), ISBLANK(Y30:Y34),ISBLANK(AW30:AW34)), "·", bdRateExtend( S30:S34,Y30:Y34, AQ30:AQ34,AW30:AW34))</f>
        <v>-3.220412356806257E-3</v>
      </c>
      <c r="BS30" s="49">
        <f>IF( OR(ISBLANK(S30:S34),ISBLANK(AQ30:AQ34), ISBLANK(Z30:Z34),ISBLANK(AX30:AX34)), "·", bdRateExtend( S30:S34,Z30:Z34, AQ30:AQ34,AX30:AX34))</f>
        <v>-1.7022936723537496E-3</v>
      </c>
      <c r="BT30" s="49">
        <f>IF( OR(ISBLANK(S30:S34),ISBLANK(AQ30:AQ34), ISBLANK(AA30:AA34),ISBLANK(AY30:AY34)), "·", bdRateExtend( S30:S34,AA30:AA34, AQ30:AQ34,AY30:AY34))</f>
        <v>-1.7570451954528332E-3</v>
      </c>
      <c r="BV30" s="58">
        <f t="shared" si="16"/>
        <v>0</v>
      </c>
      <c r="BW30" s="58">
        <f t="shared" si="16"/>
        <v>0</v>
      </c>
      <c r="BX30" s="58">
        <f t="shared" si="16"/>
        <v>-14704.9375</v>
      </c>
      <c r="BY30" s="58">
        <f t="shared" si="16"/>
        <v>-21800</v>
      </c>
      <c r="BZ30" s="58">
        <f t="shared" si="16"/>
        <v>0</v>
      </c>
      <c r="CA30" s="58">
        <f t="shared" si="16"/>
        <v>-21928</v>
      </c>
      <c r="CB30" s="58">
        <f t="shared" si="16"/>
        <v>0</v>
      </c>
      <c r="CC30" s="58">
        <f t="shared" si="16"/>
        <v>-2.738699999999028E-2</v>
      </c>
      <c r="CD30" s="58">
        <f t="shared" si="16"/>
        <v>-0.50950299999999515</v>
      </c>
      <c r="CE30" s="58">
        <f t="shared" si="16"/>
        <v>-2.1309999999985507E-3</v>
      </c>
      <c r="CF30" s="58">
        <f t="shared" si="16"/>
        <v>-1.170999999999367E-3</v>
      </c>
      <c r="CG30" s="58">
        <f t="shared" si="16"/>
        <v>-2.0809999999968909E-3</v>
      </c>
      <c r="CJ30" t="s">
        <v>243</v>
      </c>
    </row>
    <row r="31" spans="1:88" outlineLevel="1" x14ac:dyDescent="0.2">
      <c r="A31" s="52"/>
      <c r="B31" s="52" t="s">
        <v>77</v>
      </c>
      <c r="C31" s="9" t="s">
        <v>234</v>
      </c>
      <c r="D31" s="52">
        <v>375422539</v>
      </c>
      <c r="E31" s="9">
        <v>11</v>
      </c>
      <c r="F31" s="9">
        <v>32</v>
      </c>
      <c r="G31" s="9">
        <v>30</v>
      </c>
      <c r="I31" s="10">
        <f t="shared" si="0"/>
        <v>8.1752775</v>
      </c>
      <c r="J31" s="11">
        <f t="shared" si="1"/>
        <v>2.3227950093854116E-2</v>
      </c>
      <c r="K31" s="11">
        <f t="shared" si="2"/>
        <v>1.2273274833933185E-2</v>
      </c>
      <c r="L31" s="11">
        <f t="shared" si="3"/>
        <v>8.4710097813280195E-3</v>
      </c>
      <c r="M31" s="11">
        <f t="shared" si="4"/>
        <v>1.0954675259920929E-2</v>
      </c>
      <c r="N31" s="52">
        <f t="shared" si="5"/>
        <v>4607664</v>
      </c>
      <c r="O31" s="11">
        <v>16</v>
      </c>
      <c r="P31" s="12">
        <v>89857639</v>
      </c>
      <c r="Q31" s="12">
        <v>2808051.21875</v>
      </c>
      <c r="R31" s="12">
        <v>41097.03125</v>
      </c>
      <c r="S31" s="13">
        <v>8720296</v>
      </c>
      <c r="T31" s="13">
        <v>3180208</v>
      </c>
      <c r="U31" s="13">
        <v>1427456</v>
      </c>
      <c r="V31" s="13">
        <v>4112632</v>
      </c>
      <c r="W31" s="14">
        <v>75.170683999999994</v>
      </c>
      <c r="X31" s="14">
        <v>77.575241000000005</v>
      </c>
      <c r="Y31" s="14">
        <v>36.650725000000001</v>
      </c>
      <c r="Z31" s="14">
        <v>42.678502999999999</v>
      </c>
      <c r="AA31" s="14">
        <v>45.052522000000003</v>
      </c>
      <c r="AB31" s="15">
        <v>4002.83</v>
      </c>
      <c r="AC31" s="15">
        <v>3256.13</v>
      </c>
      <c r="AD31" s="15">
        <v>239.76499999999999</v>
      </c>
      <c r="AE31" s="15">
        <v>48.701999999999998</v>
      </c>
      <c r="AG31" s="10">
        <f t="shared" si="6"/>
        <v>8.1548400000000001</v>
      </c>
      <c r="AH31" s="11">
        <f t="shared" si="7"/>
        <v>2.316988218973182E-2</v>
      </c>
      <c r="AI31" s="11">
        <f t="shared" si="8"/>
        <v>1.2214865980649074E-2</v>
      </c>
      <c r="AJ31" s="11">
        <f t="shared" si="9"/>
        <v>8.4710097813280195E-3</v>
      </c>
      <c r="AK31" s="11">
        <f t="shared" si="10"/>
        <v>1.0954675259920929E-2</v>
      </c>
      <c r="AL31" s="52">
        <f t="shared" si="11"/>
        <v>4585736</v>
      </c>
      <c r="AM31" s="11">
        <v>16</v>
      </c>
      <c r="AN31" s="12">
        <v>89857639</v>
      </c>
      <c r="AO31" s="12">
        <v>2808051.21875</v>
      </c>
      <c r="AP31" s="12">
        <v>23410.9375</v>
      </c>
      <c r="AQ31" s="13">
        <v>8698496</v>
      </c>
      <c r="AR31" s="13">
        <v>3180208</v>
      </c>
      <c r="AS31" s="13">
        <v>1405528</v>
      </c>
      <c r="AT31" s="13">
        <v>4112632</v>
      </c>
      <c r="AU31" s="14">
        <v>74.985080999999994</v>
      </c>
      <c r="AV31" s="14">
        <v>76.943641</v>
      </c>
      <c r="AW31" s="14">
        <v>36.649858999999999</v>
      </c>
      <c r="AX31" s="14">
        <v>42.678021999999999</v>
      </c>
      <c r="AY31" s="14">
        <v>45.051355999999998</v>
      </c>
      <c r="AZ31" s="15">
        <v>3653.63</v>
      </c>
      <c r="BA31" s="15">
        <v>3311.77</v>
      </c>
      <c r="BB31" s="15">
        <v>34.011000000000003</v>
      </c>
      <c r="BC31" s="15">
        <v>49.094999999999999</v>
      </c>
      <c r="BE31" s="50">
        <f t="shared" si="12"/>
        <v>0.9952409724320177</v>
      </c>
      <c r="BF31" s="16">
        <f t="shared" si="13"/>
        <v>-6.2983515513911955E-3</v>
      </c>
      <c r="BG31" s="16">
        <f t="shared" si="14"/>
        <v>-1.1966702064454271E-3</v>
      </c>
      <c r="BH31" s="16"/>
      <c r="BJ31" s="50"/>
      <c r="BK31" s="50"/>
      <c r="BL31" s="50"/>
      <c r="BM31" s="50"/>
      <c r="BN31" s="50"/>
      <c r="BP31" s="50"/>
      <c r="BQ31" s="50"/>
      <c r="BR31" s="50"/>
      <c r="BS31" s="50"/>
      <c r="BT31" s="50"/>
      <c r="BV31" s="58">
        <f t="shared" si="16"/>
        <v>0</v>
      </c>
      <c r="BW31" s="58">
        <f t="shared" si="16"/>
        <v>0</v>
      </c>
      <c r="BX31" s="58">
        <f t="shared" si="16"/>
        <v>-17686.09375</v>
      </c>
      <c r="BY31" s="58">
        <f t="shared" si="16"/>
        <v>-21800</v>
      </c>
      <c r="BZ31" s="58">
        <f t="shared" si="16"/>
        <v>0</v>
      </c>
      <c r="CA31" s="58">
        <f t="shared" si="16"/>
        <v>-21928</v>
      </c>
      <c r="CB31" s="58">
        <f t="shared" si="16"/>
        <v>0</v>
      </c>
      <c r="CC31" s="58">
        <f t="shared" si="16"/>
        <v>-0.18560300000000041</v>
      </c>
      <c r="CD31" s="58">
        <f t="shared" si="16"/>
        <v>-0.63160000000000593</v>
      </c>
      <c r="CE31" s="58">
        <f t="shared" si="16"/>
        <v>-8.6600000000203181E-4</v>
      </c>
      <c r="CF31" s="58">
        <f t="shared" si="16"/>
        <v>-4.8100000000061982E-4</v>
      </c>
      <c r="CG31" s="58">
        <f t="shared" si="16"/>
        <v>-1.1660000000048854E-3</v>
      </c>
      <c r="CJ31" t="s">
        <v>243</v>
      </c>
    </row>
    <row r="32" spans="1:88" outlineLevel="1" x14ac:dyDescent="0.2">
      <c r="A32" s="17"/>
      <c r="B32" s="17" t="s">
        <v>77</v>
      </c>
      <c r="C32" s="18" t="s">
        <v>235</v>
      </c>
      <c r="D32" s="17">
        <v>375422539</v>
      </c>
      <c r="E32" s="18">
        <v>11</v>
      </c>
      <c r="F32" s="18">
        <v>32</v>
      </c>
      <c r="G32" s="18">
        <v>30</v>
      </c>
      <c r="I32" s="19">
        <f t="shared" si="0"/>
        <v>12.6639</v>
      </c>
      <c r="J32" s="20">
        <f t="shared" si="1"/>
        <v>3.5981217419660573E-2</v>
      </c>
      <c r="K32" s="20">
        <f t="shared" si="2"/>
        <v>1.5579735877285728E-2</v>
      </c>
      <c r="L32" s="20">
        <f t="shared" si="3"/>
        <v>1.1777470824680562E-2</v>
      </c>
      <c r="M32" s="20">
        <f t="shared" si="4"/>
        <v>2.0401481542374846E-2</v>
      </c>
      <c r="N32" s="17">
        <f t="shared" si="5"/>
        <v>5848984</v>
      </c>
      <c r="O32" s="20">
        <v>16</v>
      </c>
      <c r="P32" s="21">
        <v>91814344</v>
      </c>
      <c r="Q32" s="21">
        <v>2869198.25</v>
      </c>
      <c r="R32" s="21">
        <v>44687.40625</v>
      </c>
      <c r="S32" s="22">
        <v>13508160</v>
      </c>
      <c r="T32" s="22">
        <v>4421528</v>
      </c>
      <c r="U32" s="22">
        <v>1427456</v>
      </c>
      <c r="V32" s="22">
        <v>7659176</v>
      </c>
      <c r="W32" s="23">
        <v>76.466316000000006</v>
      </c>
      <c r="X32" s="23">
        <v>79.123750000000001</v>
      </c>
      <c r="Y32" s="23">
        <v>38.406483999999999</v>
      </c>
      <c r="Z32" s="23">
        <v>43.205109</v>
      </c>
      <c r="AA32" s="23">
        <v>46.226287999999997</v>
      </c>
      <c r="AB32" s="24">
        <v>3779.57</v>
      </c>
      <c r="AC32" s="24">
        <v>3533.51</v>
      </c>
      <c r="AD32" s="24">
        <v>244.81399999999999</v>
      </c>
      <c r="AE32" s="24">
        <v>50.128</v>
      </c>
      <c r="AG32" s="19">
        <f t="shared" si="6"/>
        <v>12.6434625</v>
      </c>
      <c r="AH32" s="20">
        <f t="shared" si="7"/>
        <v>3.592314951553828E-2</v>
      </c>
      <c r="AI32" s="20">
        <f t="shared" si="8"/>
        <v>1.5521327024001615E-2</v>
      </c>
      <c r="AJ32" s="20">
        <f t="shared" si="9"/>
        <v>1.1777470824680562E-2</v>
      </c>
      <c r="AK32" s="20">
        <f t="shared" si="10"/>
        <v>2.0401481542374846E-2</v>
      </c>
      <c r="AL32" s="17">
        <f t="shared" si="11"/>
        <v>5827056</v>
      </c>
      <c r="AM32" s="20">
        <v>16</v>
      </c>
      <c r="AN32" s="21">
        <v>91814344</v>
      </c>
      <c r="AO32" s="21">
        <v>2869198.25</v>
      </c>
      <c r="AP32" s="21">
        <v>26780.46875</v>
      </c>
      <c r="AQ32" s="22">
        <v>13486360</v>
      </c>
      <c r="AR32" s="22">
        <v>4421528</v>
      </c>
      <c r="AS32" s="22">
        <v>1405528</v>
      </c>
      <c r="AT32" s="22">
        <v>7659176</v>
      </c>
      <c r="AU32" s="23">
        <v>76.178538000000003</v>
      </c>
      <c r="AV32" s="23">
        <v>78.419455999999997</v>
      </c>
      <c r="AW32" s="23">
        <v>38.408527999999997</v>
      </c>
      <c r="AX32" s="23">
        <v>43.205294000000002</v>
      </c>
      <c r="AY32" s="23">
        <v>46.226306000000001</v>
      </c>
      <c r="AZ32" s="24">
        <v>3572.52</v>
      </c>
      <c r="BA32" s="24">
        <v>3428.61</v>
      </c>
      <c r="BB32" s="24">
        <v>32.765999999999998</v>
      </c>
      <c r="BC32" s="24">
        <v>46.68</v>
      </c>
      <c r="BE32" s="49">
        <f t="shared" si="12"/>
        <v>0.99625097281852704</v>
      </c>
      <c r="BF32" s="25">
        <f t="shared" si="13"/>
        <v>-6.2410945287590357E-3</v>
      </c>
      <c r="BG32" s="25">
        <f t="shared" si="14"/>
        <v>-9.2602299879301908E-4</v>
      </c>
      <c r="BH32" s="25"/>
      <c r="BJ32" s="49"/>
      <c r="BK32" s="49"/>
      <c r="BL32" s="49"/>
      <c r="BM32" s="49"/>
      <c r="BN32" s="49"/>
      <c r="BP32" s="49"/>
      <c r="BQ32" s="49"/>
      <c r="BR32" s="49"/>
      <c r="BS32" s="49"/>
      <c r="BT32" s="49"/>
      <c r="BV32" s="58">
        <f t="shared" si="16"/>
        <v>0</v>
      </c>
      <c r="BW32" s="58">
        <f t="shared" si="16"/>
        <v>0</v>
      </c>
      <c r="BX32" s="58">
        <f t="shared" si="16"/>
        <v>-17906.9375</v>
      </c>
      <c r="BY32" s="58">
        <f t="shared" si="16"/>
        <v>-21800</v>
      </c>
      <c r="BZ32" s="58">
        <f t="shared" si="16"/>
        <v>0</v>
      </c>
      <c r="CA32" s="58">
        <f t="shared" si="16"/>
        <v>-21928</v>
      </c>
      <c r="CB32" s="58">
        <f t="shared" si="16"/>
        <v>0</v>
      </c>
      <c r="CC32" s="58">
        <f t="shared" si="16"/>
        <v>-0.28777800000000298</v>
      </c>
      <c r="CD32" s="58">
        <f t="shared" si="16"/>
        <v>-0.70429400000000442</v>
      </c>
      <c r="CE32" s="58">
        <f t="shared" si="16"/>
        <v>2.0439999999979364E-3</v>
      </c>
      <c r="CF32" s="58">
        <f t="shared" si="16"/>
        <v>1.8500000000187811E-4</v>
      </c>
      <c r="CG32" s="58">
        <f t="shared" si="16"/>
        <v>1.800000000429236E-5</v>
      </c>
      <c r="CJ32" t="s">
        <v>243</v>
      </c>
    </row>
    <row r="33" spans="1:88" outlineLevel="1" x14ac:dyDescent="0.2">
      <c r="A33" s="52"/>
      <c r="B33" s="52" t="s">
        <v>77</v>
      </c>
      <c r="C33" s="9" t="s">
        <v>236</v>
      </c>
      <c r="D33" s="52">
        <v>375422539</v>
      </c>
      <c r="E33" s="9">
        <v>11</v>
      </c>
      <c r="F33" s="9">
        <v>32</v>
      </c>
      <c r="G33" s="9">
        <v>30</v>
      </c>
      <c r="I33" s="10">
        <f t="shared" si="0"/>
        <v>21.163305000000001</v>
      </c>
      <c r="J33" s="11">
        <f t="shared" si="1"/>
        <v>6.0130092508910341E-2</v>
      </c>
      <c r="K33" s="11">
        <f t="shared" si="2"/>
        <v>2.1049370187121344E-2</v>
      </c>
      <c r="L33" s="11">
        <f t="shared" si="3"/>
        <v>1.7247105134516178E-2</v>
      </c>
      <c r="M33" s="11">
        <f t="shared" si="4"/>
        <v>3.9080722321788997E-2</v>
      </c>
      <c r="N33" s="52">
        <f t="shared" si="5"/>
        <v>7902408</v>
      </c>
      <c r="O33" s="11">
        <v>16</v>
      </c>
      <c r="P33" s="12">
        <v>93918250</v>
      </c>
      <c r="Q33" s="12">
        <v>2934945.3125</v>
      </c>
      <c r="R33" s="12">
        <v>49412.375</v>
      </c>
      <c r="S33" s="13">
        <v>22574192</v>
      </c>
      <c r="T33" s="13">
        <v>6474952</v>
      </c>
      <c r="U33" s="13">
        <v>1427456</v>
      </c>
      <c r="V33" s="13">
        <v>14671784</v>
      </c>
      <c r="W33" s="14">
        <v>77.598421999999999</v>
      </c>
      <c r="X33" s="14">
        <v>80.328506000000004</v>
      </c>
      <c r="Y33" s="14">
        <v>40.000678000000001</v>
      </c>
      <c r="Z33" s="14">
        <v>43.908222000000002</v>
      </c>
      <c r="AA33" s="14">
        <v>47.816415999999997</v>
      </c>
      <c r="AB33" s="15">
        <v>4184.0600000000004</v>
      </c>
      <c r="AC33" s="15">
        <v>4723.45</v>
      </c>
      <c r="AD33" s="15">
        <v>269.44099999999997</v>
      </c>
      <c r="AE33" s="15">
        <v>71.043999999999997</v>
      </c>
      <c r="AG33" s="10">
        <f t="shared" si="6"/>
        <v>21.142867500000001</v>
      </c>
      <c r="AH33" s="11">
        <f t="shared" si="7"/>
        <v>6.0072024604788048E-2</v>
      </c>
      <c r="AI33" s="11">
        <f t="shared" si="8"/>
        <v>2.0990961333837231E-2</v>
      </c>
      <c r="AJ33" s="11">
        <f t="shared" si="9"/>
        <v>1.7247105134516178E-2</v>
      </c>
      <c r="AK33" s="11">
        <f t="shared" si="10"/>
        <v>3.9080722321788997E-2</v>
      </c>
      <c r="AL33" s="52">
        <f t="shared" si="11"/>
        <v>7880480</v>
      </c>
      <c r="AM33" s="11">
        <v>16</v>
      </c>
      <c r="AN33" s="12">
        <v>93918250</v>
      </c>
      <c r="AO33" s="12">
        <v>2934945.3125</v>
      </c>
      <c r="AP33" s="12">
        <v>30131.03125</v>
      </c>
      <c r="AQ33" s="13">
        <v>22552392</v>
      </c>
      <c r="AR33" s="13">
        <v>6474952</v>
      </c>
      <c r="AS33" s="13">
        <v>1405528</v>
      </c>
      <c r="AT33" s="13">
        <v>14671784</v>
      </c>
      <c r="AU33" s="14">
        <v>77.041206000000003</v>
      </c>
      <c r="AV33" s="14">
        <v>79.455269000000001</v>
      </c>
      <c r="AW33" s="14">
        <v>40.005783999999998</v>
      </c>
      <c r="AX33" s="14">
        <v>43.908766</v>
      </c>
      <c r="AY33" s="14">
        <v>47.817641000000002</v>
      </c>
      <c r="AZ33" s="15">
        <v>3608.47</v>
      </c>
      <c r="BA33" s="15">
        <v>3537.71</v>
      </c>
      <c r="BB33" s="15">
        <v>33.646000000000001</v>
      </c>
      <c r="BC33" s="15">
        <v>49.088999999999999</v>
      </c>
      <c r="BE33" s="50">
        <f t="shared" si="12"/>
        <v>0.99722514959997</v>
      </c>
      <c r="BF33" s="16">
        <f t="shared" si="13"/>
        <v>-6.5695751358229078E-3</v>
      </c>
      <c r="BG33" s="16">
        <f t="shared" si="14"/>
        <v>-6.3392870312295457E-4</v>
      </c>
      <c r="BH33" s="16"/>
      <c r="BJ33" s="50"/>
      <c r="BK33" s="50"/>
      <c r="BL33" s="50"/>
      <c r="BM33" s="50"/>
      <c r="BN33" s="50"/>
      <c r="BP33" s="50"/>
      <c r="BQ33" s="50"/>
      <c r="BR33" s="50"/>
      <c r="BS33" s="50"/>
      <c r="BT33" s="50"/>
      <c r="BV33" s="58">
        <f t="shared" si="16"/>
        <v>0</v>
      </c>
      <c r="BW33" s="58">
        <f t="shared" si="16"/>
        <v>0</v>
      </c>
      <c r="BX33" s="58">
        <f t="shared" si="16"/>
        <v>-19281.34375</v>
      </c>
      <c r="BY33" s="58">
        <f t="shared" si="16"/>
        <v>-21800</v>
      </c>
      <c r="BZ33" s="58">
        <f t="shared" si="16"/>
        <v>0</v>
      </c>
      <c r="CA33" s="58">
        <f t="shared" si="16"/>
        <v>-21928</v>
      </c>
      <c r="CB33" s="58">
        <f t="shared" si="16"/>
        <v>0</v>
      </c>
      <c r="CC33" s="58">
        <f t="shared" si="16"/>
        <v>-0.55721599999999682</v>
      </c>
      <c r="CD33" s="58">
        <f t="shared" si="16"/>
        <v>-0.87323700000000315</v>
      </c>
      <c r="CE33" s="58">
        <f t="shared" si="16"/>
        <v>5.1059999999978345E-3</v>
      </c>
      <c r="CF33" s="58">
        <f t="shared" si="16"/>
        <v>5.4399999999787951E-4</v>
      </c>
      <c r="CG33" s="58">
        <f t="shared" si="16"/>
        <v>1.2250000000051386E-3</v>
      </c>
      <c r="CJ33" t="s">
        <v>243</v>
      </c>
    </row>
    <row r="34" spans="1:88" ht="16" outlineLevel="1" thickBot="1" x14ac:dyDescent="0.25">
      <c r="A34" s="17"/>
      <c r="B34" s="36" t="s">
        <v>77</v>
      </c>
      <c r="C34" s="37" t="s">
        <v>237</v>
      </c>
      <c r="D34" s="36">
        <v>375422539</v>
      </c>
      <c r="E34" s="37">
        <v>11</v>
      </c>
      <c r="F34" s="37">
        <v>32</v>
      </c>
      <c r="G34" s="37">
        <v>30</v>
      </c>
      <c r="I34" s="38">
        <f t="shared" si="0"/>
        <v>39.830572500000002</v>
      </c>
      <c r="J34" s="39">
        <f t="shared" si="1"/>
        <v>0.11316833590537301</v>
      </c>
      <c r="K34" s="39">
        <f t="shared" si="2"/>
        <v>3.3717187129246921E-2</v>
      </c>
      <c r="L34" s="39">
        <f t="shared" si="3"/>
        <v>2.6181230424207429E-2</v>
      </c>
      <c r="M34" s="39">
        <f t="shared" si="4"/>
        <v>7.9451148776126093E-2</v>
      </c>
      <c r="N34" s="36">
        <f t="shared" si="5"/>
        <v>12658192</v>
      </c>
      <c r="O34" s="39">
        <v>16</v>
      </c>
      <c r="P34" s="40">
        <v>92079625</v>
      </c>
      <c r="Q34" s="40">
        <v>2877488.28125</v>
      </c>
      <c r="R34" s="40">
        <v>21318.28125</v>
      </c>
      <c r="S34" s="41">
        <v>42485944</v>
      </c>
      <c r="T34" s="41">
        <v>9829024</v>
      </c>
      <c r="U34" s="41">
        <v>2829168</v>
      </c>
      <c r="V34" s="41">
        <v>29827752</v>
      </c>
      <c r="W34" s="42">
        <v>78.535988000000003</v>
      </c>
      <c r="X34" s="42">
        <v>81.998384000000001</v>
      </c>
      <c r="Y34" s="42">
        <v>41.515903000000002</v>
      </c>
      <c r="Z34" s="42">
        <v>44.700215999999998</v>
      </c>
      <c r="AA34" s="42">
        <v>49.230597000000003</v>
      </c>
      <c r="AB34" s="43">
        <v>3523.12</v>
      </c>
      <c r="AC34" s="43">
        <v>3798.45</v>
      </c>
      <c r="AD34" s="43">
        <v>223.96600000000001</v>
      </c>
      <c r="AE34" s="43">
        <v>50.738999999999997</v>
      </c>
      <c r="AG34" s="38">
        <f t="shared" si="6"/>
        <v>39.810135000000002</v>
      </c>
      <c r="AH34" s="39">
        <f t="shared" si="7"/>
        <v>0.11311026800125072</v>
      </c>
      <c r="AI34" s="39">
        <f t="shared" si="8"/>
        <v>3.3658778275962808E-2</v>
      </c>
      <c r="AJ34" s="39">
        <f t="shared" si="9"/>
        <v>2.6181230424207429E-2</v>
      </c>
      <c r="AK34" s="39">
        <f t="shared" si="10"/>
        <v>7.9451148776126093E-2</v>
      </c>
      <c r="AL34" s="36">
        <f t="shared" si="11"/>
        <v>12636264</v>
      </c>
      <c r="AM34" s="39">
        <v>16</v>
      </c>
      <c r="AN34" s="40">
        <v>92079625</v>
      </c>
      <c r="AO34" s="40">
        <v>2877488.28125</v>
      </c>
      <c r="AP34" s="40">
        <v>17118.15625</v>
      </c>
      <c r="AQ34" s="41">
        <v>42464144</v>
      </c>
      <c r="AR34" s="41">
        <v>9829024</v>
      </c>
      <c r="AS34" s="41">
        <v>2807240</v>
      </c>
      <c r="AT34" s="41">
        <v>29827752</v>
      </c>
      <c r="AU34" s="42">
        <v>78.560563000000002</v>
      </c>
      <c r="AV34" s="42">
        <v>81.964675</v>
      </c>
      <c r="AW34" s="42">
        <v>41.538116000000002</v>
      </c>
      <c r="AX34" s="42">
        <v>44.700850000000003</v>
      </c>
      <c r="AY34" s="42">
        <v>49.231721999999998</v>
      </c>
      <c r="AZ34" s="43">
        <v>4105.34</v>
      </c>
      <c r="BA34" s="43">
        <v>5269.17</v>
      </c>
      <c r="BB34" s="43">
        <v>41.738</v>
      </c>
      <c r="BC34" s="43">
        <v>74.507000000000005</v>
      </c>
      <c r="BE34" s="44">
        <f t="shared" si="12"/>
        <v>0.99826768309407854</v>
      </c>
      <c r="BF34" s="45">
        <f t="shared" si="13"/>
        <v>-1.4596497325005398E-3</v>
      </c>
      <c r="BG34" s="45">
        <f t="shared" si="14"/>
        <v>-3.6343471323657672E-4</v>
      </c>
      <c r="BH34" s="45"/>
      <c r="BJ34" s="44"/>
      <c r="BK34" s="44"/>
      <c r="BL34" s="44"/>
      <c r="BM34" s="44"/>
      <c r="BN34" s="44"/>
      <c r="BP34" s="44"/>
      <c r="BQ34" s="44"/>
      <c r="BR34" s="44"/>
      <c r="BS34" s="44"/>
      <c r="BT34" s="44"/>
      <c r="BV34" s="58">
        <f t="shared" si="16"/>
        <v>0</v>
      </c>
      <c r="BW34" s="58">
        <f t="shared" si="16"/>
        <v>0</v>
      </c>
      <c r="BX34" s="58">
        <f t="shared" si="16"/>
        <v>-4200.125</v>
      </c>
      <c r="BY34" s="58">
        <f t="shared" si="16"/>
        <v>-21800</v>
      </c>
      <c r="BZ34" s="58">
        <f t="shared" si="16"/>
        <v>0</v>
      </c>
      <c r="CA34" s="58">
        <f t="shared" si="16"/>
        <v>-21928</v>
      </c>
      <c r="CB34" s="58">
        <f t="shared" si="16"/>
        <v>0</v>
      </c>
      <c r="CC34" s="58">
        <f t="shared" si="16"/>
        <v>2.4574999999998681E-2</v>
      </c>
      <c r="CD34" s="58">
        <f t="shared" si="16"/>
        <v>-3.3709000000001765E-2</v>
      </c>
      <c r="CE34" s="58">
        <f t="shared" si="16"/>
        <v>2.2213000000000704E-2</v>
      </c>
      <c r="CF34" s="58">
        <f t="shared" si="16"/>
        <v>6.3400000000513046E-4</v>
      </c>
      <c r="CG34" s="58">
        <f t="shared" si="16"/>
        <v>1.1249999999947136E-3</v>
      </c>
      <c r="CJ34" t="s">
        <v>243</v>
      </c>
    </row>
    <row r="35" spans="1:88" x14ac:dyDescent="0.2">
      <c r="A35" s="52"/>
      <c r="B35" s="52" t="s">
        <v>82</v>
      </c>
      <c r="C35" s="9" t="s">
        <v>232</v>
      </c>
      <c r="D35" s="52">
        <v>333190689</v>
      </c>
      <c r="E35" s="9">
        <v>11</v>
      </c>
      <c r="F35" s="9">
        <v>32</v>
      </c>
      <c r="G35" s="9">
        <v>30</v>
      </c>
      <c r="I35" s="10">
        <f t="shared" si="0"/>
        <v>6.3759674999999998</v>
      </c>
      <c r="J35" s="11">
        <f t="shared" si="1"/>
        <v>2.0411830896030832E-2</v>
      </c>
      <c r="K35" s="11">
        <f t="shared" si="2"/>
        <v>1.1829190100807409E-2</v>
      </c>
      <c r="L35" s="11">
        <f t="shared" si="3"/>
        <v>7.2102134882886838E-3</v>
      </c>
      <c r="M35" s="11">
        <f t="shared" si="4"/>
        <v>8.5826407952234226E-3</v>
      </c>
      <c r="N35" s="52">
        <f t="shared" si="5"/>
        <v>3941376</v>
      </c>
      <c r="O35" s="11">
        <v>16</v>
      </c>
      <c r="P35" s="12">
        <v>74688855</v>
      </c>
      <c r="Q35" s="12">
        <v>2334026.71875</v>
      </c>
      <c r="R35" s="12">
        <v>31011.90625</v>
      </c>
      <c r="S35" s="13">
        <v>6801032</v>
      </c>
      <c r="T35" s="13">
        <v>2402376</v>
      </c>
      <c r="U35" s="13">
        <v>1539000</v>
      </c>
      <c r="V35" s="13">
        <v>2859656</v>
      </c>
      <c r="W35" s="14">
        <v>73.191281000000004</v>
      </c>
      <c r="X35" s="14">
        <v>75.430569000000006</v>
      </c>
      <c r="Y35" s="14">
        <v>33.996271999999998</v>
      </c>
      <c r="Z35" s="14">
        <v>42.563065999999999</v>
      </c>
      <c r="AA35" s="14">
        <v>44.049106000000002</v>
      </c>
      <c r="AB35" s="15">
        <v>3820.07</v>
      </c>
      <c r="AC35" s="15">
        <v>5094.67</v>
      </c>
      <c r="AD35" s="15">
        <v>220.86799999999999</v>
      </c>
      <c r="AE35" s="15">
        <v>77.695999999999998</v>
      </c>
      <c r="AG35" s="10">
        <f t="shared" si="6"/>
        <v>6.3521625000000004</v>
      </c>
      <c r="AH35" s="11">
        <f t="shared" si="7"/>
        <v>2.0335622283850795E-2</v>
      </c>
      <c r="AI35" s="11">
        <f t="shared" si="8"/>
        <v>1.175259732423075E-2</v>
      </c>
      <c r="AJ35" s="11">
        <f t="shared" si="9"/>
        <v>7.2102134882886838E-3</v>
      </c>
      <c r="AK35" s="11">
        <f t="shared" si="10"/>
        <v>8.5826407952234226E-3</v>
      </c>
      <c r="AL35" s="52">
        <f t="shared" si="11"/>
        <v>3915856</v>
      </c>
      <c r="AM35" s="11">
        <v>16</v>
      </c>
      <c r="AN35" s="12">
        <v>74688855</v>
      </c>
      <c r="AO35" s="12">
        <v>2334026.71875</v>
      </c>
      <c r="AP35" s="12">
        <v>16140.78125</v>
      </c>
      <c r="AQ35" s="13">
        <v>6775640</v>
      </c>
      <c r="AR35" s="13">
        <v>2402376</v>
      </c>
      <c r="AS35" s="13">
        <v>1513480</v>
      </c>
      <c r="AT35" s="13">
        <v>2859656</v>
      </c>
      <c r="AU35" s="14">
        <v>73.156121999999996</v>
      </c>
      <c r="AV35" s="14">
        <v>74.895144000000002</v>
      </c>
      <c r="AW35" s="14">
        <v>33.993366000000002</v>
      </c>
      <c r="AX35" s="14">
        <v>42.561186999999997</v>
      </c>
      <c r="AY35" s="14">
        <v>44.046047000000002</v>
      </c>
      <c r="AZ35" s="15">
        <v>3733.22</v>
      </c>
      <c r="BA35" s="15">
        <v>6215</v>
      </c>
      <c r="BB35" s="15">
        <v>42.78</v>
      </c>
      <c r="BC35" s="15">
        <v>91.649000000000001</v>
      </c>
      <c r="BE35" s="50">
        <f t="shared" si="12"/>
        <v>0.9935251039230969</v>
      </c>
      <c r="BF35" s="16">
        <f t="shared" si="13"/>
        <v>-6.3714459138515377E-3</v>
      </c>
      <c r="BG35" s="16">
        <f t="shared" si="14"/>
        <v>-1.5946348377707809E-3</v>
      </c>
      <c r="BH35" s="16">
        <f t="array" ref="BH35">AVERAGE(AL35:AL39/AQ35:AQ39) - AVERAGE(N35:N39/S35:S39)</f>
        <v>-1.0110065867759421E-3</v>
      </c>
      <c r="BJ35" s="50">
        <f>IF( OR(ISBLANK(N35:N39),ISBLANK(AL35:AL39), ISBLANK(W35:W39),ISBLANK(AU35:AU39)), "·", bdRateExtend( N35:N39,W35:W39, AL35:AL39,AU35:AU39))</f>
        <v>7.1558651630393877E-2</v>
      </c>
      <c r="BK35" s="50">
        <f>IF( OR(ISBLANK(N35:N39),ISBLANK(AL35:AL39), ISBLANK(X35:X39),ISBLANK(AV35:AV39)), "·", bdRateExtend( N35:N39,X35:X39, AL35:AL39,AV35:AV39))</f>
        <v>0.13618353273545614</v>
      </c>
      <c r="BL35" s="50">
        <f>IF( OR(ISBLANK(V35:V39),ISBLANK(AT35:AT39), ISBLANK(Y35:Y39),ISBLANK(AW35:AW39)), "·", bdRateExtend( V35:V39,Y35:Y39, AT35:AT39,AW35:AW39))</f>
        <v>-1.502068240649912E-3</v>
      </c>
      <c r="BM35" s="50">
        <f>IF( OR(ISBLANK(V35:V39),ISBLANK(AT35:AT39), ISBLANK(Z35:Z39),ISBLANK(AX35:AX39)), "·", bdRateExtend( V35:V39,Z35:Z39, AT35:AT39,AX35:AX39))</f>
        <v>1.6441317501869612E-4</v>
      </c>
      <c r="BN35" s="50">
        <f>IF( OR(ISBLANK(V35:V39),ISBLANK(AT35:AT39), ISBLANK(AA35:AA39),ISBLANK(AY35:AY39)), "·", bdRateExtend( V35:V39,AA35:AA39, AT35:AT39,AY35:AY39))</f>
        <v>2.7692257773459517E-4</v>
      </c>
      <c r="BP35" s="50">
        <f>IF( OR(ISBLANK(S35:S39),ISBLANK(AQ35:AQ39), ISBLANK(W35:W39),ISBLANK(AU35:AU39)), "·", bdRateExtend( S35:S39,W35:W39, AQ35:AQ39,AU35:AU39))</f>
        <v>0.12284744604767117</v>
      </c>
      <c r="BQ35" s="50">
        <f>IF( OR(ISBLANK(S35:S39),ISBLANK(AQ35:AQ39), ISBLANK(X35:X39),ISBLANK(AV35:AV39)), "·", bdRateExtend( S35:S39,X35:X39, AQ35:AQ39,AV35:AV39))</f>
        <v>0.23886655094700737</v>
      </c>
      <c r="BR35" s="50">
        <f>IF( OR(ISBLANK(S35:S39),ISBLANK(AQ35:AQ39), ISBLANK(Y35:Y39),ISBLANK(AW35:AW39)), "·", bdRateExtend( S35:S39,Y35:Y39, AQ35:AQ39,AW35:AW39))</f>
        <v>-3.3849260437884832E-3</v>
      </c>
      <c r="BS35" s="50">
        <f>IF( OR(ISBLANK(S35:S39),ISBLANK(AQ35:AQ39), ISBLANK(Z35:Z39),ISBLANK(AX35:AX39)), "·", bdRateExtend( S35:S39,Z35:Z39, AQ35:AQ39,AX35:AX39))</f>
        <v>-1.6077371723167699E-3</v>
      </c>
      <c r="BT35" s="50">
        <f>IF( OR(ISBLANK(S35:S39),ISBLANK(AQ35:AQ39), ISBLANK(AA35:AA39),ISBLANK(AY35:AY39)), "·", bdRateExtend( S35:S39,AA35:AA39, AQ35:AQ39,AY35:AY39))</f>
        <v>-1.6847026888808792E-3</v>
      </c>
      <c r="BV35" s="58">
        <f t="shared" si="16"/>
        <v>0</v>
      </c>
      <c r="BW35" s="58">
        <f t="shared" si="16"/>
        <v>0</v>
      </c>
      <c r="BX35" s="58">
        <f t="shared" si="16"/>
        <v>-14871.125</v>
      </c>
      <c r="BY35" s="58">
        <f t="shared" si="16"/>
        <v>-25392</v>
      </c>
      <c r="BZ35" s="58">
        <f t="shared" si="16"/>
        <v>0</v>
      </c>
      <c r="CA35" s="58">
        <f t="shared" si="16"/>
        <v>-25520</v>
      </c>
      <c r="CB35" s="58">
        <f t="shared" si="16"/>
        <v>0</v>
      </c>
      <c r="CC35" s="58">
        <f t="shared" si="16"/>
        <v>-3.5159000000007268E-2</v>
      </c>
      <c r="CD35" s="58">
        <f t="shared" si="16"/>
        <v>-0.53542500000000359</v>
      </c>
      <c r="CE35" s="58">
        <f t="shared" si="16"/>
        <v>-2.9059999999958563E-3</v>
      </c>
      <c r="CF35" s="58">
        <f t="shared" si="16"/>
        <v>-1.8790000000024065E-3</v>
      </c>
      <c r="CG35" s="58">
        <f t="shared" si="16"/>
        <v>-3.059000000000367E-3</v>
      </c>
      <c r="CJ35" t="s">
        <v>244</v>
      </c>
    </row>
    <row r="36" spans="1:88" outlineLevel="1" x14ac:dyDescent="0.2">
      <c r="A36" s="17"/>
      <c r="B36" s="17" t="s">
        <v>82</v>
      </c>
      <c r="C36" s="18" t="s">
        <v>234</v>
      </c>
      <c r="D36" s="17">
        <v>333190689</v>
      </c>
      <c r="E36" s="18">
        <v>11</v>
      </c>
      <c r="F36" s="18">
        <v>32</v>
      </c>
      <c r="G36" s="18">
        <v>30</v>
      </c>
      <c r="I36" s="19">
        <f t="shared" si="0"/>
        <v>9.0721050000000005</v>
      </c>
      <c r="J36" s="20">
        <f t="shared" si="1"/>
        <v>2.9043164528526184E-2</v>
      </c>
      <c r="K36" s="20">
        <f t="shared" si="2"/>
        <v>1.4424772836314163E-2</v>
      </c>
      <c r="L36" s="20">
        <f t="shared" si="3"/>
        <v>9.8057962237954373E-3</v>
      </c>
      <c r="M36" s="20">
        <f t="shared" si="4"/>
        <v>1.4618391692212023E-2</v>
      </c>
      <c r="N36" s="17">
        <f t="shared" si="5"/>
        <v>4806200</v>
      </c>
      <c r="O36" s="20">
        <v>16</v>
      </c>
      <c r="P36" s="21">
        <v>79945808</v>
      </c>
      <c r="Q36" s="21">
        <v>2498306.5</v>
      </c>
      <c r="R36" s="21">
        <v>39523.15625</v>
      </c>
      <c r="S36" s="22">
        <v>9676912</v>
      </c>
      <c r="T36" s="22">
        <v>3267200</v>
      </c>
      <c r="U36" s="22">
        <v>1539000</v>
      </c>
      <c r="V36" s="22">
        <v>4870712</v>
      </c>
      <c r="W36" s="23">
        <v>74.930581000000004</v>
      </c>
      <c r="X36" s="23">
        <v>77.358816000000004</v>
      </c>
      <c r="Y36" s="23">
        <v>36.098925000000001</v>
      </c>
      <c r="Z36" s="23">
        <v>43.168593999999999</v>
      </c>
      <c r="AA36" s="23">
        <v>45.335743999999998</v>
      </c>
      <c r="AB36" s="24">
        <v>3473.88</v>
      </c>
      <c r="AC36" s="24">
        <v>5003.67</v>
      </c>
      <c r="AD36" s="24">
        <v>204.95400000000001</v>
      </c>
      <c r="AE36" s="24">
        <v>67.701999999999998</v>
      </c>
      <c r="AG36" s="19">
        <f t="shared" si="6"/>
        <v>9.0482999999999993</v>
      </c>
      <c r="AH36" s="20">
        <f t="shared" si="7"/>
        <v>2.8966955916346151E-2</v>
      </c>
      <c r="AI36" s="20">
        <f t="shared" si="8"/>
        <v>1.4348180059737503E-2</v>
      </c>
      <c r="AJ36" s="20">
        <f t="shared" si="9"/>
        <v>9.8057962237954373E-3</v>
      </c>
      <c r="AK36" s="20">
        <f t="shared" si="10"/>
        <v>1.4618391692212023E-2</v>
      </c>
      <c r="AL36" s="17">
        <f t="shared" si="11"/>
        <v>4780680</v>
      </c>
      <c r="AM36" s="20">
        <v>16</v>
      </c>
      <c r="AN36" s="21">
        <v>79945808</v>
      </c>
      <c r="AO36" s="21">
        <v>2498306.5</v>
      </c>
      <c r="AP36" s="21">
        <v>21502.03125</v>
      </c>
      <c r="AQ36" s="22">
        <v>9651520</v>
      </c>
      <c r="AR36" s="22">
        <v>3267200</v>
      </c>
      <c r="AS36" s="22">
        <v>1513480</v>
      </c>
      <c r="AT36" s="22">
        <v>4870712</v>
      </c>
      <c r="AU36" s="23">
        <v>74.752425000000002</v>
      </c>
      <c r="AV36" s="23">
        <v>76.683756000000002</v>
      </c>
      <c r="AW36" s="23">
        <v>36.097391000000002</v>
      </c>
      <c r="AX36" s="23">
        <v>43.167487999999999</v>
      </c>
      <c r="AY36" s="23">
        <v>45.333831000000004</v>
      </c>
      <c r="AZ36" s="24">
        <v>3879.5</v>
      </c>
      <c r="BA36" s="24">
        <v>6565.64</v>
      </c>
      <c r="BB36" s="24">
        <v>42.189</v>
      </c>
      <c r="BC36" s="24">
        <v>96.188000000000002</v>
      </c>
      <c r="BE36" s="49">
        <f t="shared" si="12"/>
        <v>0.99469019183554575</v>
      </c>
      <c r="BF36" s="25">
        <f t="shared" si="13"/>
        <v>-7.213336314019117E-3</v>
      </c>
      <c r="BG36" s="25">
        <f t="shared" si="14"/>
        <v>-1.3374721308541671E-3</v>
      </c>
      <c r="BH36" s="25"/>
      <c r="BJ36" s="49"/>
      <c r="BK36" s="49"/>
      <c r="BL36" s="49"/>
      <c r="BM36" s="49"/>
      <c r="BN36" s="49"/>
      <c r="BP36" s="49"/>
      <c r="BQ36" s="49"/>
      <c r="BR36" s="49"/>
      <c r="BS36" s="49"/>
      <c r="BT36" s="49"/>
      <c r="BV36" s="58">
        <f t="shared" si="16"/>
        <v>0</v>
      </c>
      <c r="BW36" s="58">
        <f t="shared" si="16"/>
        <v>0</v>
      </c>
      <c r="BX36" s="58">
        <f t="shared" si="16"/>
        <v>-18021.125</v>
      </c>
      <c r="BY36" s="58">
        <f t="shared" si="16"/>
        <v>-25392</v>
      </c>
      <c r="BZ36" s="58">
        <f t="shared" si="16"/>
        <v>0</v>
      </c>
      <c r="CA36" s="58">
        <f t="shared" si="16"/>
        <v>-25520</v>
      </c>
      <c r="CB36" s="58">
        <f t="shared" si="16"/>
        <v>0</v>
      </c>
      <c r="CC36" s="58">
        <f t="shared" si="16"/>
        <v>-0.17815600000000131</v>
      </c>
      <c r="CD36" s="58">
        <f t="shared" si="16"/>
        <v>-0.67506000000000199</v>
      </c>
      <c r="CE36" s="58">
        <f t="shared" si="16"/>
        <v>-1.5339999999994802E-3</v>
      </c>
      <c r="CF36" s="58">
        <f t="shared" si="16"/>
        <v>-1.1060000000000514E-3</v>
      </c>
      <c r="CG36" s="58">
        <f t="shared" si="16"/>
        <v>-1.9129999999947245E-3</v>
      </c>
      <c r="CJ36" t="s">
        <v>244</v>
      </c>
    </row>
    <row r="37" spans="1:88" outlineLevel="1" x14ac:dyDescent="0.2">
      <c r="A37" s="52"/>
      <c r="B37" s="52" t="s">
        <v>82</v>
      </c>
      <c r="C37" s="9" t="s">
        <v>235</v>
      </c>
      <c r="D37" s="52">
        <v>333190689</v>
      </c>
      <c r="E37" s="9">
        <v>11</v>
      </c>
      <c r="F37" s="9">
        <v>32</v>
      </c>
      <c r="G37" s="9">
        <v>30</v>
      </c>
      <c r="I37" s="10">
        <f t="shared" si="0"/>
        <v>13.780492499999999</v>
      </c>
      <c r="J37" s="11">
        <f t="shared" si="1"/>
        <v>4.411645488688911E-2</v>
      </c>
      <c r="K37" s="11">
        <f t="shared" si="2"/>
        <v>1.8223870595615595E-2</v>
      </c>
      <c r="L37" s="11">
        <f t="shared" si="3"/>
        <v>1.3604893983096869E-2</v>
      </c>
      <c r="M37" s="11">
        <f t="shared" si="4"/>
        <v>2.5892584291273519E-2</v>
      </c>
      <c r="N37" s="52">
        <f t="shared" si="5"/>
        <v>6072024</v>
      </c>
      <c r="O37" s="11">
        <v>16</v>
      </c>
      <c r="P37" s="12">
        <v>81780101</v>
      </c>
      <c r="Q37" s="12">
        <v>2555628.15625</v>
      </c>
      <c r="R37" s="12">
        <v>43014.71875</v>
      </c>
      <c r="S37" s="13">
        <v>14699192</v>
      </c>
      <c r="T37" s="13">
        <v>4533024</v>
      </c>
      <c r="U37" s="13">
        <v>1539000</v>
      </c>
      <c r="V37" s="13">
        <v>8627168</v>
      </c>
      <c r="W37" s="14">
        <v>76.238812999999993</v>
      </c>
      <c r="X37" s="14">
        <v>78.941209000000001</v>
      </c>
      <c r="Y37" s="14">
        <v>37.928058999999998</v>
      </c>
      <c r="Z37" s="14">
        <v>43.745263000000001</v>
      </c>
      <c r="AA37" s="14">
        <v>46.492668999999999</v>
      </c>
      <c r="AB37" s="15">
        <v>3541.6</v>
      </c>
      <c r="AC37" s="15">
        <v>4886.43</v>
      </c>
      <c r="AD37" s="15">
        <v>228.78299999999999</v>
      </c>
      <c r="AE37" s="15">
        <v>75.295000000000002</v>
      </c>
      <c r="AG37" s="10">
        <f t="shared" si="6"/>
        <v>13.7566875</v>
      </c>
      <c r="AH37" s="11">
        <f t="shared" si="7"/>
        <v>4.4040246274709073E-2</v>
      </c>
      <c r="AI37" s="11">
        <f t="shared" si="8"/>
        <v>1.8147277819038934E-2</v>
      </c>
      <c r="AJ37" s="11">
        <f t="shared" si="9"/>
        <v>1.3604893983096869E-2</v>
      </c>
      <c r="AK37" s="11">
        <f t="shared" si="10"/>
        <v>2.5892584291273519E-2</v>
      </c>
      <c r="AL37" s="52">
        <f t="shared" si="11"/>
        <v>6046504</v>
      </c>
      <c r="AM37" s="11">
        <v>16</v>
      </c>
      <c r="AN37" s="12">
        <v>81780101</v>
      </c>
      <c r="AO37" s="12">
        <v>2555628.15625</v>
      </c>
      <c r="AP37" s="12">
        <v>24762.21875</v>
      </c>
      <c r="AQ37" s="13">
        <v>14673800</v>
      </c>
      <c r="AR37" s="13">
        <v>4533024</v>
      </c>
      <c r="AS37" s="13">
        <v>1513480</v>
      </c>
      <c r="AT37" s="13">
        <v>8627168</v>
      </c>
      <c r="AU37" s="14">
        <v>75.965812</v>
      </c>
      <c r="AV37" s="14">
        <v>78.184669</v>
      </c>
      <c r="AW37" s="14">
        <v>37.929527999999998</v>
      </c>
      <c r="AX37" s="14">
        <v>43.745063000000002</v>
      </c>
      <c r="AY37" s="14">
        <v>46.491900000000001</v>
      </c>
      <c r="AZ37" s="15">
        <v>3142.4</v>
      </c>
      <c r="BA37" s="15">
        <v>4670.3599999999997</v>
      </c>
      <c r="BB37" s="15">
        <v>31.367999999999999</v>
      </c>
      <c r="BC37" s="15">
        <v>65.635999999999996</v>
      </c>
      <c r="BE37" s="50">
        <f t="shared" si="12"/>
        <v>0.99579711806145677</v>
      </c>
      <c r="BF37" s="16">
        <f t="shared" si="13"/>
        <v>-7.1420797095860765E-3</v>
      </c>
      <c r="BG37" s="16">
        <f t="shared" si="14"/>
        <v>-1.0243380303279204E-3</v>
      </c>
      <c r="BH37" s="16"/>
      <c r="BJ37" s="50"/>
      <c r="BK37" s="50"/>
      <c r="BL37" s="50"/>
      <c r="BM37" s="50"/>
      <c r="BN37" s="50"/>
      <c r="BP37" s="50"/>
      <c r="BQ37" s="50"/>
      <c r="BR37" s="50"/>
      <c r="BS37" s="50"/>
      <c r="BT37" s="50"/>
      <c r="BV37" s="58">
        <f t="shared" si="16"/>
        <v>0</v>
      </c>
      <c r="BW37" s="58">
        <f t="shared" si="16"/>
        <v>0</v>
      </c>
      <c r="BX37" s="58">
        <f t="shared" si="16"/>
        <v>-18252.5</v>
      </c>
      <c r="BY37" s="58">
        <f t="shared" si="16"/>
        <v>-25392</v>
      </c>
      <c r="BZ37" s="58">
        <f t="shared" si="16"/>
        <v>0</v>
      </c>
      <c r="CA37" s="58">
        <f t="shared" si="16"/>
        <v>-25520</v>
      </c>
      <c r="CB37" s="58">
        <f t="shared" si="16"/>
        <v>0</v>
      </c>
      <c r="CC37" s="58">
        <f t="shared" si="16"/>
        <v>-0.27300099999999361</v>
      </c>
      <c r="CD37" s="58">
        <f t="shared" si="16"/>
        <v>-0.7565400000000011</v>
      </c>
      <c r="CE37" s="58">
        <f t="shared" si="16"/>
        <v>1.4690000000001646E-3</v>
      </c>
      <c r="CF37" s="58">
        <f t="shared" si="16"/>
        <v>-1.9999999999953388E-4</v>
      </c>
      <c r="CG37" s="58">
        <f t="shared" si="16"/>
        <v>-7.6899999999824331E-4</v>
      </c>
      <c r="CJ37" t="s">
        <v>244</v>
      </c>
    </row>
    <row r="38" spans="1:88" outlineLevel="1" x14ac:dyDescent="0.2">
      <c r="A38" s="17"/>
      <c r="B38" s="17" t="s">
        <v>82</v>
      </c>
      <c r="C38" s="18" t="s">
        <v>236</v>
      </c>
      <c r="D38" s="17">
        <v>333190689</v>
      </c>
      <c r="E38" s="18">
        <v>11</v>
      </c>
      <c r="F38" s="18">
        <v>32</v>
      </c>
      <c r="G38" s="18">
        <v>30</v>
      </c>
      <c r="I38" s="19">
        <f t="shared" si="0"/>
        <v>23.020612499999999</v>
      </c>
      <c r="J38" s="20">
        <f t="shared" si="1"/>
        <v>7.3697497591236713E-2</v>
      </c>
      <c r="K38" s="20">
        <f t="shared" si="2"/>
        <v>2.4418401439783331E-2</v>
      </c>
      <c r="L38" s="20">
        <f t="shared" si="3"/>
        <v>1.9799424827264607E-2</v>
      </c>
      <c r="M38" s="20">
        <f t="shared" si="4"/>
        <v>4.9279096151453379E-2</v>
      </c>
      <c r="N38" s="17">
        <f t="shared" si="5"/>
        <v>8135984</v>
      </c>
      <c r="O38" s="20">
        <v>16</v>
      </c>
      <c r="P38" s="21">
        <v>83963908</v>
      </c>
      <c r="Q38" s="21">
        <v>2623872.125</v>
      </c>
      <c r="R38" s="21">
        <v>48278.125</v>
      </c>
      <c r="S38" s="22">
        <v>24555320</v>
      </c>
      <c r="T38" s="22">
        <v>6596984</v>
      </c>
      <c r="U38" s="22">
        <v>1539000</v>
      </c>
      <c r="V38" s="22">
        <v>16419336</v>
      </c>
      <c r="W38" s="23">
        <v>77.418415999999993</v>
      </c>
      <c r="X38" s="23">
        <v>80.140518999999998</v>
      </c>
      <c r="Y38" s="23">
        <v>39.696711999999998</v>
      </c>
      <c r="Z38" s="23">
        <v>44.531153000000003</v>
      </c>
      <c r="AA38" s="23">
        <v>47.804797000000001</v>
      </c>
      <c r="AB38" s="24">
        <v>3475.08</v>
      </c>
      <c r="AC38" s="24">
        <v>5249.89</v>
      </c>
      <c r="AD38" s="24">
        <v>227.07499999999999</v>
      </c>
      <c r="AE38" s="24">
        <v>74.290999999999997</v>
      </c>
      <c r="AG38" s="19">
        <f t="shared" si="6"/>
        <v>22.996807499999999</v>
      </c>
      <c r="AH38" s="20">
        <f t="shared" si="7"/>
        <v>7.3621288979056676E-2</v>
      </c>
      <c r="AI38" s="20">
        <f t="shared" si="8"/>
        <v>2.4341808663206673E-2</v>
      </c>
      <c r="AJ38" s="20">
        <f t="shared" si="9"/>
        <v>1.9799424827264607E-2</v>
      </c>
      <c r="AK38" s="20">
        <f t="shared" si="10"/>
        <v>4.9279096151453379E-2</v>
      </c>
      <c r="AL38" s="17">
        <f t="shared" si="11"/>
        <v>8110464</v>
      </c>
      <c r="AM38" s="20">
        <v>16</v>
      </c>
      <c r="AN38" s="21">
        <v>83963908</v>
      </c>
      <c r="AO38" s="21">
        <v>2623872.125</v>
      </c>
      <c r="AP38" s="21">
        <v>28209.40625</v>
      </c>
      <c r="AQ38" s="22">
        <v>24529928</v>
      </c>
      <c r="AR38" s="22">
        <v>6596984</v>
      </c>
      <c r="AS38" s="22">
        <v>1513480</v>
      </c>
      <c r="AT38" s="22">
        <v>16419336</v>
      </c>
      <c r="AU38" s="23">
        <v>76.820625000000007</v>
      </c>
      <c r="AV38" s="23">
        <v>79.204147000000006</v>
      </c>
      <c r="AW38" s="23">
        <v>39.702058999999998</v>
      </c>
      <c r="AX38" s="23">
        <v>44.531830999999997</v>
      </c>
      <c r="AY38" s="23">
        <v>47.805700000000002</v>
      </c>
      <c r="AZ38" s="24">
        <v>3170.81</v>
      </c>
      <c r="BA38" s="24">
        <v>4992.41</v>
      </c>
      <c r="BB38" s="24">
        <v>35.959000000000003</v>
      </c>
      <c r="BC38" s="24">
        <v>72.828000000000003</v>
      </c>
      <c r="BE38" s="49">
        <f t="shared" si="12"/>
        <v>0.99686331733199085</v>
      </c>
      <c r="BF38" s="25">
        <f t="shared" si="13"/>
        <v>-7.6485125013476037E-3</v>
      </c>
      <c r="BG38" s="25">
        <f t="shared" si="14"/>
        <v>-6.9738469825325611E-4</v>
      </c>
      <c r="BH38" s="25"/>
      <c r="BJ38" s="49"/>
      <c r="BK38" s="49"/>
      <c r="BL38" s="49"/>
      <c r="BM38" s="49"/>
      <c r="BN38" s="49"/>
      <c r="BP38" s="49"/>
      <c r="BQ38" s="49"/>
      <c r="BR38" s="49"/>
      <c r="BS38" s="49"/>
      <c r="BT38" s="49"/>
      <c r="BV38" s="58">
        <f t="shared" si="16"/>
        <v>0</v>
      </c>
      <c r="BW38" s="58">
        <f t="shared" si="16"/>
        <v>0</v>
      </c>
      <c r="BX38" s="58">
        <f t="shared" si="16"/>
        <v>-20068.71875</v>
      </c>
      <c r="BY38" s="58">
        <f t="shared" si="16"/>
        <v>-25392</v>
      </c>
      <c r="BZ38" s="58">
        <f t="shared" si="16"/>
        <v>0</v>
      </c>
      <c r="CA38" s="58">
        <f t="shared" si="16"/>
        <v>-25520</v>
      </c>
      <c r="CB38" s="58">
        <f t="shared" si="16"/>
        <v>0</v>
      </c>
      <c r="CC38" s="58">
        <f t="shared" si="16"/>
        <v>-0.59779099999998664</v>
      </c>
      <c r="CD38" s="58">
        <f t="shared" si="16"/>
        <v>-0.93637199999999154</v>
      </c>
      <c r="CE38" s="58">
        <f t="shared" si="16"/>
        <v>5.3470000000004347E-3</v>
      </c>
      <c r="CF38" s="58">
        <f t="shared" si="16"/>
        <v>6.7799999999351712E-4</v>
      </c>
      <c r="CG38" s="58">
        <f t="shared" si="16"/>
        <v>9.0300000000098635E-4</v>
      </c>
      <c r="CJ38" t="s">
        <v>244</v>
      </c>
    </row>
    <row r="39" spans="1:88" ht="16" outlineLevel="1" thickBot="1" x14ac:dyDescent="0.25">
      <c r="A39" s="26"/>
      <c r="B39" s="26" t="s">
        <v>82</v>
      </c>
      <c r="C39" s="27" t="s">
        <v>237</v>
      </c>
      <c r="D39" s="26">
        <v>333190689</v>
      </c>
      <c r="E39" s="27">
        <v>11</v>
      </c>
      <c r="F39" s="27">
        <v>32</v>
      </c>
      <c r="G39" s="27">
        <v>30</v>
      </c>
      <c r="I39" s="28">
        <f t="shared" si="0"/>
        <v>42.391522500000001</v>
      </c>
      <c r="J39" s="29">
        <f t="shared" si="1"/>
        <v>0.13571094719276505</v>
      </c>
      <c r="K39" s="29">
        <f t="shared" si="2"/>
        <v>3.9490059099460607E-2</v>
      </c>
      <c r="L39" s="29">
        <f t="shared" si="3"/>
        <v>3.0117168130109423E-2</v>
      </c>
      <c r="M39" s="29">
        <f t="shared" si="4"/>
        <v>9.6220888093304438E-2</v>
      </c>
      <c r="N39" s="26">
        <f t="shared" si="5"/>
        <v>13157720</v>
      </c>
      <c r="O39" s="29">
        <v>16</v>
      </c>
      <c r="P39" s="30">
        <v>82025858</v>
      </c>
      <c r="Q39" s="30">
        <v>2563308.0625</v>
      </c>
      <c r="R39" s="30">
        <v>19366.5625</v>
      </c>
      <c r="S39" s="31">
        <v>45217624</v>
      </c>
      <c r="T39" s="31">
        <v>10034760</v>
      </c>
      <c r="U39" s="31">
        <v>3122960</v>
      </c>
      <c r="V39" s="31">
        <v>32059904</v>
      </c>
      <c r="W39" s="32">
        <v>78.318230999999997</v>
      </c>
      <c r="X39" s="32">
        <v>81.877509000000003</v>
      </c>
      <c r="Y39" s="32">
        <v>41.297905999999998</v>
      </c>
      <c r="Z39" s="32">
        <v>45.537005999999998</v>
      </c>
      <c r="AA39" s="32">
        <v>49.137197</v>
      </c>
      <c r="AB39" s="33">
        <v>3873.53</v>
      </c>
      <c r="AC39" s="33">
        <v>7507.14</v>
      </c>
      <c r="AD39" s="33">
        <v>243.928</v>
      </c>
      <c r="AE39" s="33">
        <v>110.042</v>
      </c>
      <c r="AG39" s="28">
        <f t="shared" si="6"/>
        <v>42.367717499999998</v>
      </c>
      <c r="AH39" s="29">
        <f t="shared" si="7"/>
        <v>0.135634738580585</v>
      </c>
      <c r="AI39" s="29">
        <f t="shared" si="8"/>
        <v>3.941346632288395E-2</v>
      </c>
      <c r="AJ39" s="29">
        <f t="shared" si="9"/>
        <v>3.0117168130109423E-2</v>
      </c>
      <c r="AK39" s="29">
        <f t="shared" si="10"/>
        <v>9.6220888093304438E-2</v>
      </c>
      <c r="AL39" s="26">
        <f t="shared" si="11"/>
        <v>13132200</v>
      </c>
      <c r="AM39" s="29">
        <v>16</v>
      </c>
      <c r="AN39" s="30">
        <v>82025858</v>
      </c>
      <c r="AO39" s="30">
        <v>2563308.0625</v>
      </c>
      <c r="AP39" s="30">
        <v>14962.90625</v>
      </c>
      <c r="AQ39" s="31">
        <v>45192232</v>
      </c>
      <c r="AR39" s="31">
        <v>10034760</v>
      </c>
      <c r="AS39" s="31">
        <v>3097440</v>
      </c>
      <c r="AT39" s="31">
        <v>32059904</v>
      </c>
      <c r="AU39" s="32">
        <v>78.344603000000006</v>
      </c>
      <c r="AV39" s="32">
        <v>81.846731000000005</v>
      </c>
      <c r="AW39" s="32">
        <v>41.327840999999999</v>
      </c>
      <c r="AX39" s="32">
        <v>45.537559000000002</v>
      </c>
      <c r="AY39" s="32">
        <v>49.137734000000002</v>
      </c>
      <c r="AZ39" s="33">
        <v>3278.47</v>
      </c>
      <c r="BA39" s="33">
        <v>5457.24</v>
      </c>
      <c r="BB39" s="33">
        <v>33.741999999999997</v>
      </c>
      <c r="BC39" s="33">
        <v>75.308000000000007</v>
      </c>
      <c r="BE39" s="34">
        <f t="shared" si="12"/>
        <v>0.99806045424283241</v>
      </c>
      <c r="BF39" s="35">
        <f t="shared" si="13"/>
        <v>-1.7179582565293007E-3</v>
      </c>
      <c r="BG39" s="35">
        <f t="shared" si="14"/>
        <v>-4.0120323667408586E-4</v>
      </c>
      <c r="BH39" s="35"/>
      <c r="BJ39" s="34"/>
      <c r="BK39" s="34"/>
      <c r="BL39" s="34"/>
      <c r="BM39" s="34"/>
      <c r="BN39" s="34"/>
      <c r="BP39" s="34"/>
      <c r="BQ39" s="34"/>
      <c r="BR39" s="34"/>
      <c r="BS39" s="34"/>
      <c r="BT39" s="34"/>
      <c r="BV39" s="58">
        <f t="shared" si="16"/>
        <v>0</v>
      </c>
      <c r="BW39" s="58">
        <f t="shared" si="16"/>
        <v>0</v>
      </c>
      <c r="BX39" s="58">
        <f t="shared" si="16"/>
        <v>-4403.65625</v>
      </c>
      <c r="BY39" s="58">
        <f t="shared" si="16"/>
        <v>-25392</v>
      </c>
      <c r="BZ39" s="58">
        <f t="shared" si="16"/>
        <v>0</v>
      </c>
      <c r="CA39" s="58">
        <f t="shared" si="16"/>
        <v>-25520</v>
      </c>
      <c r="CB39" s="58">
        <f t="shared" si="16"/>
        <v>0</v>
      </c>
      <c r="CC39" s="58">
        <f t="shared" si="16"/>
        <v>2.6372000000009166E-2</v>
      </c>
      <c r="CD39" s="58">
        <f t="shared" si="16"/>
        <v>-3.0777999999997974E-2</v>
      </c>
      <c r="CE39" s="58">
        <f t="shared" si="16"/>
        <v>2.9935000000001821E-2</v>
      </c>
      <c r="CF39" s="58">
        <f t="shared" si="16"/>
        <v>5.5300000000357841E-4</v>
      </c>
      <c r="CG39" s="58">
        <f t="shared" si="16"/>
        <v>5.3700000000134196E-4</v>
      </c>
      <c r="CJ39" t="s">
        <v>244</v>
      </c>
    </row>
    <row r="40" spans="1:88" ht="16" x14ac:dyDescent="0.2">
      <c r="B40" s="46" t="s">
        <v>16</v>
      </c>
      <c r="J40" s="47">
        <f>AVERAGE(J5:J24)</f>
        <v>4.4297813858881062E-2</v>
      </c>
      <c r="K40" s="47">
        <f>AVERAGE(K5:K24)</f>
        <v>1.3934320314145566E-2</v>
      </c>
      <c r="L40" s="47">
        <f>AVERAGE(L5:L24)</f>
        <v>9.696269410246797E-3</v>
      </c>
      <c r="M40" s="47">
        <f>AVERAGE(M5:M24)</f>
        <v>3.0363493544735498E-2</v>
      </c>
      <c r="AH40" s="47">
        <f>AVERAGE(AH5:AH24)</f>
        <v>4.419253656543768E-2</v>
      </c>
      <c r="AI40" s="47">
        <f>AVERAGE(AI5:AI24)</f>
        <v>1.3828535052895431E-2</v>
      </c>
      <c r="AJ40" s="47">
        <f>AVERAGE(AJ5:AJ24)</f>
        <v>9.696269410246797E-3</v>
      </c>
      <c r="AK40" s="47">
        <f>AVERAGE(AK5:AK24)</f>
        <v>3.0363493544735498E-2</v>
      </c>
      <c r="BE40" s="51">
        <f t="shared" si="12"/>
        <v>0.992408294135255</v>
      </c>
      <c r="BH40" s="55">
        <f>AVERAGE(BH5:BH24)</f>
        <v>-2.0581178301282282E-3</v>
      </c>
      <c r="BJ40" s="51">
        <f>AVERAGE(BJ5:BJ24)</f>
        <v>0.14447564058413537</v>
      </c>
      <c r="BK40" s="51">
        <f>AVERAGE(BK5:BK24)</f>
        <v>0.18171313763700753</v>
      </c>
      <c r="BL40" s="51">
        <f>AVERAGE(BL5:BL24)</f>
        <v>-2.1170248086605337E-2</v>
      </c>
      <c r="BM40" s="51">
        <f>AVERAGE(BM5:BM24)</f>
        <v>1.8327224398651532E-3</v>
      </c>
      <c r="BN40" s="51">
        <f>AVERAGE(BN5:BN24)</f>
        <v>-8.9781433320773596E-4</v>
      </c>
      <c r="BP40" s="51">
        <f>AVERAGE(BP5:BP24)</f>
        <v>0.28465630751119403</v>
      </c>
      <c r="BQ40" s="51">
        <f>AVERAGE(BQ5:BQ24)</f>
        <v>0.33066779903619647</v>
      </c>
      <c r="BR40" s="51">
        <f>AVERAGE(BR5:BR24)</f>
        <v>-2.1965527232608667E-2</v>
      </c>
      <c r="BS40" s="51">
        <f>AVERAGE(BS5:BS24)</f>
        <v>-2.7467958264186243E-3</v>
      </c>
      <c r="BT40" s="51">
        <f>AVERAGE(BT5:BT24)</f>
        <v>-5.2861322111508735E-3</v>
      </c>
    </row>
    <row r="41" spans="1:88" ht="16" x14ac:dyDescent="0.2">
      <c r="B41" s="46" t="s">
        <v>17</v>
      </c>
      <c r="J41" s="47">
        <f>AVERAGE(J25:J29)</f>
        <v>7.9954906894468852E-2</v>
      </c>
      <c r="K41" s="47">
        <f>AVERAGE(K25:K29)</f>
        <v>1.2464595817739278E-2</v>
      </c>
      <c r="L41" s="47">
        <f>AVERAGE(L25:L29)</f>
        <v>9.1151281892310389E-3</v>
      </c>
      <c r="M41" s="47">
        <f>AVERAGE(M25:M29)</f>
        <v>6.7490311076729578E-2</v>
      </c>
      <c r="AH41" s="47">
        <f>AVERAGE(AH25:AH29)</f>
        <v>7.9872699761435503E-2</v>
      </c>
      <c r="AI41" s="47">
        <f>AVERAGE(AI25:AI29)</f>
        <v>1.2381877287299812E-2</v>
      </c>
      <c r="AJ41" s="47">
        <f>AVERAGE(AJ25:AJ29)</f>
        <v>9.1151281892310389E-3</v>
      </c>
      <c r="AK41" s="47">
        <f>AVERAGE(AK25:AK29)</f>
        <v>6.7490311076729578E-2</v>
      </c>
      <c r="BE41" s="51">
        <f t="shared" si="12"/>
        <v>0.99336372140348561</v>
      </c>
      <c r="BH41" s="55">
        <f>AVERAGE(BH25:BH29)</f>
        <v>-1.4201535185515701E-3</v>
      </c>
      <c r="BJ41" s="51">
        <f>AVERAGE(BJ25:BJ29)</f>
        <v>0.12718939634894633</v>
      </c>
      <c r="BK41" s="51">
        <f>AVERAGE(BK25:BK29)</f>
        <v>0.16686477704301739</v>
      </c>
      <c r="BL41" s="51">
        <f>AVERAGE(BL25:BL29)</f>
        <v>-4.1007757660732613E-3</v>
      </c>
      <c r="BM41" s="51">
        <f>AVERAGE(BM25:BM29)</f>
        <v>4.9814397188985282E-4</v>
      </c>
      <c r="BN41" s="51">
        <f>AVERAGE(BN25:BN29)</f>
        <v>-1.6088782374024113E-5</v>
      </c>
      <c r="BP41" s="51">
        <f>AVERAGE(BP25:BP29)</f>
        <v>0.2780220513437337</v>
      </c>
      <c r="BQ41" s="51">
        <f>AVERAGE(BQ25:BQ29)</f>
        <v>0.33920561465655785</v>
      </c>
      <c r="BR41" s="51">
        <f>AVERAGE(BR25:BR29)</f>
        <v>-5.6924575618138018E-3</v>
      </c>
      <c r="BS41" s="51">
        <f>AVERAGE(BS25:BS29)</f>
        <v>-1.1443703347587819E-3</v>
      </c>
      <c r="BT41" s="51">
        <f>AVERAGE(BT25:BT29)</f>
        <v>-1.7157050289089426E-3</v>
      </c>
    </row>
    <row r="42" spans="1:88" ht="16" x14ac:dyDescent="0.2">
      <c r="B42" s="46" t="s">
        <v>18</v>
      </c>
      <c r="J42" s="47">
        <f>AVERAGE(J30:J39)</f>
        <v>5.517762733011794E-2</v>
      </c>
      <c r="K42" s="47">
        <f>AVERAGE(K30:K39)</f>
        <v>2.0098335575239341E-2</v>
      </c>
      <c r="L42" s="47">
        <f>AVERAGE(L30:L39)</f>
        <v>1.5038954141750719E-2</v>
      </c>
      <c r="M42" s="47">
        <f>AVERAGE(M30:M39)</f>
        <v>3.5079291754878603E-2</v>
      </c>
      <c r="AH42" s="47">
        <f>AVERAGE(AH30:AH39)</f>
        <v>5.5110489071966771E-2</v>
      </c>
      <c r="AI42" s="47">
        <f>AVERAGE(AI30:AI39)</f>
        <v>2.0030834760308959E-2</v>
      </c>
      <c r="AJ42" s="47">
        <f>AVERAGE(AJ30:AJ39)</f>
        <v>1.5038954141750719E-2</v>
      </c>
      <c r="AK42" s="47">
        <f>AVERAGE(AK30:AK39)</f>
        <v>3.5079291754878603E-2</v>
      </c>
      <c r="BE42" s="51">
        <f t="shared" si="12"/>
        <v>0.99664147239070178</v>
      </c>
      <c r="BH42" s="55">
        <f>AVERAGE(BH30:BH39)</f>
        <v>-9.5823024990460137E-4</v>
      </c>
      <c r="BJ42" s="51">
        <f>AVERAGE(BJ30:BJ39)</f>
        <v>7.1429922606077612E-2</v>
      </c>
      <c r="BK42" s="51">
        <f>AVERAGE(BK30:BK39)</f>
        <v>0.13387525017390589</v>
      </c>
      <c r="BL42" s="51">
        <f>AVERAGE(BL30:BL39)</f>
        <v>-1.5111950898379356E-3</v>
      </c>
      <c r="BM42" s="51">
        <f>AVERAGE(BM30:BM39)</f>
        <v>5.0452613370610688E-5</v>
      </c>
      <c r="BN42" s="51">
        <f>AVERAGE(BN30:BN39)</f>
        <v>1.3163712645541947E-4</v>
      </c>
      <c r="BP42" s="51">
        <f>AVERAGE(BP30:BP39)</f>
        <v>0.12279828308489438</v>
      </c>
      <c r="BQ42" s="51">
        <f>AVERAGE(BQ30:BQ39)</f>
        <v>0.23468898881287259</v>
      </c>
      <c r="BR42" s="51">
        <f>AVERAGE(BR30:BR39)</f>
        <v>-3.3026692002973701E-3</v>
      </c>
      <c r="BS42" s="51">
        <f>AVERAGE(BS30:BS39)</f>
        <v>-1.6550154223352598E-3</v>
      </c>
      <c r="BT42" s="51">
        <f>AVERAGE(BT30:BT39)</f>
        <v>-1.7208739421668562E-3</v>
      </c>
    </row>
    <row r="43" spans="1:88" ht="16" x14ac:dyDescent="0.2">
      <c r="B43" s="46" t="s">
        <v>19</v>
      </c>
      <c r="J43" s="47">
        <f>AVERAGE(J5:J39)</f>
        <v>5.2500202427175569E-2</v>
      </c>
      <c r="K43" s="47">
        <f>AVERAGE(K5:K39)</f>
        <v>1.5485506889257174E-2</v>
      </c>
      <c r="L43" s="47">
        <f>AVERAGE(L5:L39)</f>
        <v>1.1139730587674238E-2</v>
      </c>
      <c r="M43" s="47">
        <f>AVERAGE(M5:M39)</f>
        <v>3.7014695537918391E-2</v>
      </c>
      <c r="AH43" s="47">
        <f>AVERAGE(AH5:AH39)</f>
        <v>5.2409117738159976E-2</v>
      </c>
      <c r="AI43" s="47">
        <f>AVERAGE(AI5:AI39)</f>
        <v>1.5393955288499919E-2</v>
      </c>
      <c r="AJ43" s="47">
        <f>AVERAGE(AJ5:AJ39)</f>
        <v>1.1139730587674238E-2</v>
      </c>
      <c r="AK43" s="47">
        <f>AVERAGE(AK5:AK39)</f>
        <v>3.7014695537918391E-2</v>
      </c>
      <c r="BE43" s="51">
        <f t="shared" si="12"/>
        <v>0.99408791708195432</v>
      </c>
      <c r="BH43" s="55">
        <f>AVERAGE(BH5:BH39)</f>
        <v>-1.6527264769819552E-3</v>
      </c>
      <c r="BJ43" s="51">
        <f>AVERAGE(BJ5:BJ39)</f>
        <v>0.12113597198537758</v>
      </c>
      <c r="BK43" s="51">
        <f>AVERAGE(BK5:BK39)</f>
        <v>0.16592397541983703</v>
      </c>
      <c r="BL43" s="51">
        <f>AVERAGE(BL5:BL39)</f>
        <v>-1.3114879756024354E-2</v>
      </c>
      <c r="BM43" s="51">
        <f>AVERAGE(BM5:BM39)</f>
        <v>1.1328484225845267E-3</v>
      </c>
      <c r="BN43" s="51">
        <f>AVERAGE(BN5:BN39)</f>
        <v>-4.7772455175630412E-4</v>
      </c>
      <c r="BP43" s="51">
        <f>AVERAGE(BP5:BP39)</f>
        <v>0.23746340679404265</v>
      </c>
      <c r="BQ43" s="51">
        <f>AVERAGE(BQ5:BQ39)</f>
        <v>0.30446496977529847</v>
      </c>
      <c r="BR43" s="51">
        <f>AVERAGE(BR5:BR39)</f>
        <v>-1.4308557841834744E-2</v>
      </c>
      <c r="BS43" s="51">
        <f>AVERAGE(BS5:BS39)</f>
        <v>-2.2059406407291143E-3</v>
      </c>
      <c r="BT43" s="51">
        <f>AVERAGE(BT5:BT39)</f>
        <v>-3.7574259654065928E-3</v>
      </c>
    </row>
    <row r="44" spans="1:88" ht="16" hidden="1" outlineLevel="2" x14ac:dyDescent="0.2">
      <c r="A44" s="46" t="s">
        <v>245</v>
      </c>
      <c r="B44" s="46" t="s">
        <v>246</v>
      </c>
      <c r="AB44" s="48">
        <f>SUM(AB5:AB24,AB25:AB29,AB30:AB39)</f>
        <v>131766.84000000003</v>
      </c>
      <c r="AC44" s="48">
        <f>SUM(AC5:AC24,AC25:AC29,AC30:AC39)</f>
        <v>79714.382999999987</v>
      </c>
      <c r="AD44" s="48">
        <f>SUM(AD5:AD24,AD25:AD29,AD30:AD39)</f>
        <v>4074.9609999999989</v>
      </c>
      <c r="AE44" s="48">
        <f>SUM(AE5:AE24,AE25:AE29,AE30:AE39)</f>
        <v>1146.5519999999999</v>
      </c>
      <c r="AZ44" s="48">
        <f>SUM(AZ5:AZ24,AZ25:AZ29,AZ30:AZ39)</f>
        <v>127878.59000000001</v>
      </c>
      <c r="BA44" s="48">
        <f>SUM(BA5:BA24,BA25:BA29,BA30:BA39)</f>
        <v>78928.982999999993</v>
      </c>
      <c r="BB44" s="48">
        <f>SUM(BB5:BB24,BB25:BB29,BB30:BB39)</f>
        <v>619.875</v>
      </c>
      <c r="BC44" s="48">
        <f>SUM(BC5:BC24,BC25:BC29,BC30:BC39)</f>
        <v>1124.55</v>
      </c>
    </row>
    <row r="45" spans="1:88" ht="16" hidden="1" outlineLevel="2" x14ac:dyDescent="0.2">
      <c r="B45" s="46" t="s">
        <v>247</v>
      </c>
      <c r="AZ45" s="55">
        <f>AZ44/AB44</f>
        <v>0.97049143775474911</v>
      </c>
      <c r="BA45" s="55">
        <f>BA44/AC44</f>
        <v>0.99014732385245963</v>
      </c>
      <c r="BB45" s="55">
        <f>BB44/AD44</f>
        <v>0.15211802027062349</v>
      </c>
      <c r="BC45" s="55">
        <f>BC44/AE44</f>
        <v>0.9808102903313588</v>
      </c>
    </row>
    <row r="46" spans="1:88" ht="16" hidden="1" outlineLevel="2" x14ac:dyDescent="0.2">
      <c r="B46" s="46" t="s">
        <v>248</v>
      </c>
      <c r="AB46" s="48">
        <f>GEOMEAN(AB5:AB24,AB25:AB29,AB30:AB39)</f>
        <v>3564.4494943737118</v>
      </c>
      <c r="AC46" s="48">
        <f>GEOMEAN(AC5:AC24,AC25:AC29,AC30:AC39)</f>
        <v>1870.7600014454886</v>
      </c>
      <c r="AD46" s="48">
        <f>GEOMEAN(AD5:AD24,AD25:AD29,AD30:AD39)</f>
        <v>97.566352872757079</v>
      </c>
      <c r="AE46" s="48">
        <f>GEOMEAN(AE5:AE24,AE25:AE29,AE30:AE39)</f>
        <v>26.752910588983756</v>
      </c>
      <c r="AZ46" s="48">
        <f>GEOMEAN(AZ5:AZ24,AZ25:AZ29,AZ30:AZ39)</f>
        <v>3486.1900419556364</v>
      </c>
      <c r="BA46" s="48">
        <f>GEOMEAN(BA5:BA24,BA25:BA29,BA30:BA39)</f>
        <v>1832.4852622182455</v>
      </c>
      <c r="BB46" s="48">
        <f>GEOMEAN(BB5:BB24,BB25:BB29,BB30:BB39)</f>
        <v>14.606317355048303</v>
      </c>
      <c r="BC46" s="48">
        <f>GEOMEAN(BC5:BC24,BC25:BC29,BC30:BC39)</f>
        <v>26.003932036293502</v>
      </c>
    </row>
    <row r="47" spans="1:88" ht="16" outlineLevel="2" collapsed="1" x14ac:dyDescent="0.2">
      <c r="B47" s="46" t="s">
        <v>249</v>
      </c>
      <c r="AZ47" s="55">
        <f>AZ46/AB46</f>
        <v>0.97804444906805277</v>
      </c>
      <c r="BA47" s="55">
        <f>BA46/AC46</f>
        <v>0.97954054010259506</v>
      </c>
      <c r="BB47" s="55">
        <f>BB46/AD46</f>
        <v>0.14970650152412066</v>
      </c>
      <c r="BC47" s="55">
        <f>BC46/AE46</f>
        <v>0.97200384794771955</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R5" activePane="bottomRight" state="frozen"/>
      <selection pane="topRight" activeCell="C1" sqref="C1"/>
      <selection pane="bottomLeft" activeCell="A5" sqref="A5"/>
      <selection pane="bottomRight" activeCell="I2" sqref="I2:I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592</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1.0426424999999999</v>
      </c>
      <c r="J5" s="11">
        <f t="shared" ref="J5:J39" si="1">IF(ISBLANK(S5),"·",S5/D5)</f>
        <v>4.6700350793894667E-3</v>
      </c>
      <c r="K5" s="11">
        <f t="shared" ref="K5:K39" si="2">IF(N5="","·",N5/D5)</f>
        <v>4.0576386479860621E-3</v>
      </c>
      <c r="L5" s="11">
        <f t="shared" ref="L5:L39" si="3">IF(T5="","·",T5/D5)</f>
        <v>2.5510359298285567E-3</v>
      </c>
      <c r="M5" s="11">
        <f t="shared" ref="M5:M39" si="4">IF(ISBLANK(V5),"·",V5/D5)</f>
        <v>6.1239643140340516E-4</v>
      </c>
      <c r="N5" s="52">
        <f t="shared" ref="N5:N39" si="5">IF(OR(ISBLANK(T5),ISBLANK(U5)),"",T5+U5)</f>
        <v>966312</v>
      </c>
      <c r="O5" s="11">
        <v>16</v>
      </c>
      <c r="P5" s="12">
        <v>23582209</v>
      </c>
      <c r="Q5" s="12">
        <v>736944.03125</v>
      </c>
      <c r="R5" s="12">
        <v>16984.9375</v>
      </c>
      <c r="S5" s="13">
        <v>1112152</v>
      </c>
      <c r="T5" s="13">
        <v>607520</v>
      </c>
      <c r="U5" s="13">
        <v>358792</v>
      </c>
      <c r="V5" s="13">
        <v>145840</v>
      </c>
      <c r="W5" s="14">
        <v>66.845706000000007</v>
      </c>
      <c r="X5" s="14">
        <v>68.619974999999997</v>
      </c>
      <c r="Y5" s="14">
        <v>31.719308999999999</v>
      </c>
      <c r="Z5" s="14">
        <v>44.569031000000003</v>
      </c>
      <c r="AA5" s="14">
        <v>44.236403000000003</v>
      </c>
      <c r="AB5" s="15">
        <v>3280.25</v>
      </c>
      <c r="AC5" s="15">
        <v>2800.14</v>
      </c>
      <c r="AD5" s="15">
        <v>57.094000000000001</v>
      </c>
      <c r="AE5" s="15">
        <v>13.789</v>
      </c>
      <c r="AG5" s="10">
        <f t="shared" ref="AG5:AG39" si="6">IF(OR(ISBLANK(AQ5),ISBLANK(G5)),"·",AQ5*G5/F5/1000000)</f>
        <v>1.04199</v>
      </c>
      <c r="AH5" s="11">
        <f t="shared" ref="AH5:AH39" si="7">IF(ISBLANK(AQ5),"·",AQ5/D5)</f>
        <v>4.6671125072812883E-3</v>
      </c>
      <c r="AI5" s="11">
        <f t="shared" ref="AI5:AI39" si="8">IF(AL5="","·",AL5/D5)</f>
        <v>4.0541785913522409E-3</v>
      </c>
      <c r="AJ5" s="11">
        <f t="shared" ref="AJ5:AJ39" si="9">IF(AR5="","·",AR5/D5)</f>
        <v>2.5510359298285567E-3</v>
      </c>
      <c r="AK5" s="11">
        <f t="shared" ref="AK5:AK39" si="10">IF(ISBLANK(AT5),"·",AT5/D5)</f>
        <v>6.1239643140340516E-4</v>
      </c>
      <c r="AL5" s="52">
        <f t="shared" ref="AL5:AL39" si="11">IF(OR(ISBLANK(AR5),ISBLANK(AS5)),"",AR5+AS5)</f>
        <v>965488</v>
      </c>
      <c r="AM5" s="11">
        <v>16</v>
      </c>
      <c r="AN5" s="12">
        <v>23582209</v>
      </c>
      <c r="AO5" s="12">
        <v>736944.03125</v>
      </c>
      <c r="AP5" s="12">
        <v>8682.46875</v>
      </c>
      <c r="AQ5" s="13">
        <v>1111456</v>
      </c>
      <c r="AR5" s="13">
        <v>607520</v>
      </c>
      <c r="AS5" s="13">
        <v>357968</v>
      </c>
      <c r="AT5" s="13">
        <v>145840</v>
      </c>
      <c r="AU5" s="14">
        <v>66.473172000000005</v>
      </c>
      <c r="AV5" s="14">
        <v>67.896697000000003</v>
      </c>
      <c r="AW5" s="14">
        <v>31.716272</v>
      </c>
      <c r="AX5" s="14">
        <v>44.529280999999997</v>
      </c>
      <c r="AY5" s="14">
        <v>44.173462000000001</v>
      </c>
      <c r="AZ5" s="15">
        <v>3564.34</v>
      </c>
      <c r="BA5" s="15">
        <v>2889.42</v>
      </c>
      <c r="BB5" s="15">
        <v>11.026</v>
      </c>
      <c r="BC5" s="15">
        <v>15.662000000000001</v>
      </c>
      <c r="BE5" s="50">
        <f t="shared" ref="BE5:BE43" si="12">AI5/K5</f>
        <v>0.99914727334442699</v>
      </c>
      <c r="BF5" s="16">
        <f t="shared" ref="BF5:BF39" si="13">(AP5/AO5) - (R5/Q5)</f>
        <v>-1.1266077745303672E-2</v>
      </c>
      <c r="BG5" s="16">
        <f t="shared" ref="BG5:BG39" si="14">(AL5/AQ5) - (N5/S5)</f>
        <v>-1.9728057206480631E-4</v>
      </c>
      <c r="BH5" s="16">
        <f t="array" ref="BH5">AVERAGE(AL5:AL9/AQ5:AQ9) - AVERAGE(N5:N9/S5:S9)</f>
        <v>-1.4252582547036319E-4</v>
      </c>
      <c r="BJ5" s="50">
        <f>IF( OR(ISBLANK(N5:N9),ISBLANK(AL5:AL9), ISBLANK(W5:W9),ISBLANK(AU5:AU9)), "·", bdRateExtend( N5:N9,W5:W9, AL5:AL9,AU5:AU9))</f>
        <v>0.16824641344577929</v>
      </c>
      <c r="BK5" s="50">
        <f>IF( OR(ISBLANK(N5:N9),ISBLANK(AL5:AL9), ISBLANK(X5:X9),ISBLANK(AV5:AV9)), "·", bdRateExtend( N5:N9,X5:X9, AL5:AL9,AV5:AV9))</f>
        <v>0.2185488448547801</v>
      </c>
      <c r="BL5" s="50">
        <f>IF( OR(ISBLANK(V5:V9),ISBLANK(AT5:AT9), ISBLANK(Y5:Y9),ISBLANK(AW5:AW9)), "·", bdRateExtend( V5:V9,Y5:Y9, AT5:AT9,AW5:AW9))</f>
        <v>-1.9349587434811522E-3</v>
      </c>
      <c r="BM5" s="50">
        <f>IF( OR(ISBLANK(V5:V9),ISBLANK(AT5:AT9), ISBLANK(Z5:Z9),ISBLANK(AX5:AX9)), "·", bdRateExtend( V5:V9,Z5:Z9, AT5:AT9,AX5:AX9))</f>
        <v>1.9591747074535482E-2</v>
      </c>
      <c r="BN5" s="50">
        <f>IF( OR(ISBLANK(V5:V9),ISBLANK(AT5:AT9), ISBLANK(AA5:AA9),ISBLANK(AY5:AY9)), "·", bdRateExtend( V5:V9,AA5:AA9, AT5:AT9,AY5:AY9))</f>
        <v>3.4771420318557178E-2</v>
      </c>
      <c r="BP5" s="50">
        <f>IF( OR(ISBLANK(S5:S9),ISBLANK(AQ5:AQ9), ISBLANK(W5:W9),ISBLANK(AU5:AU9)), "·", bdRateExtend( S5:S9,W5:W9, AQ5:AQ9,AU5:AU9))</f>
        <v>0.23613128916052473</v>
      </c>
      <c r="BQ5" s="50">
        <f>IF( OR(ISBLANK(S5:S9),ISBLANK(AQ5:AQ9), ISBLANK(X5:X9),ISBLANK(AV5:AV9)), "·", bdRateExtend( S5:S9,X5:X9, AQ5:AQ9,AV5:AV9))</f>
        <v>0.30830149999958256</v>
      </c>
      <c r="BR5" s="50">
        <f>IF( OR(ISBLANK(S5:S9),ISBLANK(AQ5:AQ9), ISBLANK(Y5:Y9),ISBLANK(AW5:AW9)), "·", bdRateExtend( S5:S9,Y5:Y9, AQ5:AQ9,AW5:AW9))</f>
        <v>-2.008047238826749E-3</v>
      </c>
      <c r="BS5" s="50">
        <f>IF( OR(ISBLANK(S5:S9),ISBLANK(AQ5:AQ9), ISBLANK(Z5:Z9),ISBLANK(AX5:AX9)), "·", bdRateExtend( S5:S9,Z5:Z9, AQ5:AQ9,AX5:AX9))</f>
        <v>1.0672342918152555E-2</v>
      </c>
      <c r="BT5" s="50">
        <f>IF( OR(ISBLANK(S5:S9),ISBLANK(AQ5:AQ9), ISBLANK(AA5:AA9),ISBLANK(AY5:AY9)), "·", bdRateExtend( S5:S9,AA5:AA9, AQ5:AQ9,AY5:AY9))</f>
        <v>1.9592870379720795E-2</v>
      </c>
      <c r="BV5" s="58">
        <f>AN5-P5</f>
        <v>0</v>
      </c>
      <c r="BW5" s="58">
        <f t="shared" ref="BW5:CG20" si="15">AO5-Q5</f>
        <v>0</v>
      </c>
      <c r="BX5" s="58">
        <f t="shared" si="15"/>
        <v>-8302.46875</v>
      </c>
      <c r="BY5" s="58">
        <f t="shared" si="15"/>
        <v>-696</v>
      </c>
      <c r="BZ5" s="58">
        <f t="shared" si="15"/>
        <v>0</v>
      </c>
      <c r="CA5" s="58">
        <f t="shared" si="15"/>
        <v>-824</v>
      </c>
      <c r="CB5" s="58">
        <f t="shared" si="15"/>
        <v>0</v>
      </c>
      <c r="CC5" s="58">
        <f t="shared" si="15"/>
        <v>-0.3725340000000017</v>
      </c>
      <c r="CD5" s="58">
        <f t="shared" si="15"/>
        <v>-0.72327799999999343</v>
      </c>
      <c r="CE5" s="58">
        <f t="shared" si="15"/>
        <v>-3.0369999999990682E-3</v>
      </c>
      <c r="CF5" s="58">
        <f t="shared" si="15"/>
        <v>-3.9750000000005059E-2</v>
      </c>
      <c r="CG5" s="58">
        <f t="shared" si="15"/>
        <v>-6.2941000000002134E-2</v>
      </c>
      <c r="CJ5" t="s">
        <v>233</v>
      </c>
    </row>
    <row r="6" spans="1:88" outlineLevel="1" x14ac:dyDescent="0.2">
      <c r="A6" s="17"/>
      <c r="B6" s="17" t="s">
        <v>51</v>
      </c>
      <c r="C6" s="18" t="s">
        <v>234</v>
      </c>
      <c r="D6" s="17">
        <v>238146391</v>
      </c>
      <c r="E6" s="18">
        <v>10</v>
      </c>
      <c r="F6" s="18">
        <v>32</v>
      </c>
      <c r="G6" s="18">
        <v>30</v>
      </c>
      <c r="I6" s="19">
        <f t="shared" si="0"/>
        <v>1.3552575</v>
      </c>
      <c r="J6" s="20">
        <f t="shared" si="1"/>
        <v>6.0702494542526995E-3</v>
      </c>
      <c r="K6" s="20">
        <f t="shared" si="2"/>
        <v>4.9478809863635516E-3</v>
      </c>
      <c r="L6" s="20">
        <f t="shared" si="3"/>
        <v>3.4412782682060462E-3</v>
      </c>
      <c r="M6" s="20">
        <f t="shared" si="4"/>
        <v>1.1223684678891481E-3</v>
      </c>
      <c r="N6" s="17">
        <f t="shared" si="5"/>
        <v>1178320</v>
      </c>
      <c r="O6" s="20">
        <v>16</v>
      </c>
      <c r="P6" s="21">
        <v>24777501</v>
      </c>
      <c r="Q6" s="21">
        <v>774296.90625</v>
      </c>
      <c r="R6" s="21">
        <v>19924.3125</v>
      </c>
      <c r="S6" s="22">
        <v>1445608</v>
      </c>
      <c r="T6" s="22">
        <v>819528</v>
      </c>
      <c r="U6" s="22">
        <v>358792</v>
      </c>
      <c r="V6" s="22">
        <v>267288</v>
      </c>
      <c r="W6" s="23">
        <v>68.552897000000002</v>
      </c>
      <c r="X6" s="23">
        <v>70.622062</v>
      </c>
      <c r="Y6" s="23">
        <v>33.797455999999997</v>
      </c>
      <c r="Z6" s="23">
        <v>45.493313000000001</v>
      </c>
      <c r="AA6" s="23">
        <v>45.153953000000001</v>
      </c>
      <c r="AB6" s="24">
        <v>3365.99</v>
      </c>
      <c r="AC6" s="24">
        <v>2929.39</v>
      </c>
      <c r="AD6" s="24">
        <v>60.829000000000001</v>
      </c>
      <c r="AE6" s="24">
        <v>13.981</v>
      </c>
      <c r="AG6" s="19">
        <f t="shared" si="6"/>
        <v>1.3546050000000001</v>
      </c>
      <c r="AH6" s="20">
        <f t="shared" si="7"/>
        <v>6.0673268821445211E-3</v>
      </c>
      <c r="AI6" s="20">
        <f t="shared" si="8"/>
        <v>4.9444209297297304E-3</v>
      </c>
      <c r="AJ6" s="20">
        <f t="shared" si="9"/>
        <v>3.4412782682060462E-3</v>
      </c>
      <c r="AK6" s="20">
        <f t="shared" si="10"/>
        <v>1.1223684678891481E-3</v>
      </c>
      <c r="AL6" s="17">
        <f t="shared" si="11"/>
        <v>1177496</v>
      </c>
      <c r="AM6" s="20">
        <v>16</v>
      </c>
      <c r="AN6" s="21">
        <v>24777501</v>
      </c>
      <c r="AO6" s="21">
        <v>774296.90625</v>
      </c>
      <c r="AP6" s="21">
        <v>10627.34375</v>
      </c>
      <c r="AQ6" s="22">
        <v>1444912</v>
      </c>
      <c r="AR6" s="22">
        <v>819528</v>
      </c>
      <c r="AS6" s="22">
        <v>357968</v>
      </c>
      <c r="AT6" s="22">
        <v>267288</v>
      </c>
      <c r="AU6" s="23">
        <v>67.981033999999994</v>
      </c>
      <c r="AV6" s="23">
        <v>69.728077999999996</v>
      </c>
      <c r="AW6" s="23">
        <v>33.796047000000002</v>
      </c>
      <c r="AX6" s="23">
        <v>45.467806000000003</v>
      </c>
      <c r="AY6" s="23">
        <v>45.101097000000003</v>
      </c>
      <c r="AZ6" s="24">
        <v>3267.66</v>
      </c>
      <c r="BA6" s="24">
        <v>2936.9</v>
      </c>
      <c r="BB6" s="24">
        <v>9.1340000000000003</v>
      </c>
      <c r="BC6" s="24">
        <v>13.967000000000001</v>
      </c>
      <c r="BE6" s="49">
        <f t="shared" si="12"/>
        <v>0.9993006993006992</v>
      </c>
      <c r="BF6" s="25">
        <f t="shared" si="13"/>
        <v>-1.2006981656463259E-2</v>
      </c>
      <c r="BG6" s="25">
        <f t="shared" si="14"/>
        <v>-1.776495949996626E-4</v>
      </c>
      <c r="BH6" s="25"/>
      <c r="BJ6" s="49"/>
      <c r="BK6" s="49"/>
      <c r="BL6" s="49"/>
      <c r="BM6" s="49"/>
      <c r="BN6" s="49"/>
      <c r="BP6" s="49"/>
      <c r="BQ6" s="49"/>
      <c r="BR6" s="49"/>
      <c r="BS6" s="49"/>
      <c r="BT6" s="49"/>
      <c r="BV6" s="58">
        <f t="shared" ref="BV6:CG39" si="16">AN6-P6</f>
        <v>0</v>
      </c>
      <c r="BW6" s="58">
        <f t="shared" si="15"/>
        <v>0</v>
      </c>
      <c r="BX6" s="58">
        <f t="shared" si="15"/>
        <v>-9296.96875</v>
      </c>
      <c r="BY6" s="58">
        <f t="shared" si="15"/>
        <v>-696</v>
      </c>
      <c r="BZ6" s="58">
        <f t="shared" si="15"/>
        <v>0</v>
      </c>
      <c r="CA6" s="58">
        <f t="shared" si="15"/>
        <v>-824</v>
      </c>
      <c r="CB6" s="58">
        <f t="shared" si="15"/>
        <v>0</v>
      </c>
      <c r="CC6" s="58">
        <f t="shared" si="15"/>
        <v>-0.57186300000000756</v>
      </c>
      <c r="CD6" s="58">
        <f t="shared" si="15"/>
        <v>-0.89398400000000322</v>
      </c>
      <c r="CE6" s="58">
        <f t="shared" si="15"/>
        <v>-1.4089999999953307E-3</v>
      </c>
      <c r="CF6" s="58">
        <f t="shared" si="15"/>
        <v>-2.5506999999997504E-2</v>
      </c>
      <c r="CG6" s="58">
        <f t="shared" si="15"/>
        <v>-5.285599999999846E-2</v>
      </c>
      <c r="CJ6" t="s">
        <v>233</v>
      </c>
    </row>
    <row r="7" spans="1:88" outlineLevel="1" x14ac:dyDescent="0.2">
      <c r="A7" s="52"/>
      <c r="B7" s="52" t="s">
        <v>51</v>
      </c>
      <c r="C7" s="9" t="s">
        <v>235</v>
      </c>
      <c r="D7" s="52">
        <v>238146391</v>
      </c>
      <c r="E7" s="9">
        <v>10</v>
      </c>
      <c r="F7" s="9">
        <v>32</v>
      </c>
      <c r="G7" s="9">
        <v>30</v>
      </c>
      <c r="I7" s="10">
        <f t="shared" si="0"/>
        <v>1.8754875</v>
      </c>
      <c r="J7" s="11">
        <f t="shared" si="1"/>
        <v>8.4003792440423761E-3</v>
      </c>
      <c r="K7" s="11">
        <f t="shared" si="2"/>
        <v>6.1465050713281648E-3</v>
      </c>
      <c r="L7" s="11">
        <f t="shared" si="3"/>
        <v>4.6399023531706598E-3</v>
      </c>
      <c r="M7" s="11">
        <f t="shared" si="4"/>
        <v>2.2538741727142109E-3</v>
      </c>
      <c r="N7" s="52">
        <f t="shared" si="5"/>
        <v>1463768</v>
      </c>
      <c r="O7" s="11">
        <v>16</v>
      </c>
      <c r="P7" s="12">
        <v>24923704</v>
      </c>
      <c r="Q7" s="12">
        <v>778865.75</v>
      </c>
      <c r="R7" s="12">
        <v>21104.875</v>
      </c>
      <c r="S7" s="13">
        <v>2000520</v>
      </c>
      <c r="T7" s="13">
        <v>1104976</v>
      </c>
      <c r="U7" s="13">
        <v>358792</v>
      </c>
      <c r="V7" s="13">
        <v>536752</v>
      </c>
      <c r="W7" s="14">
        <v>69.837434000000002</v>
      </c>
      <c r="X7" s="14">
        <v>72.274171999999993</v>
      </c>
      <c r="Y7" s="14">
        <v>36.189746999999997</v>
      </c>
      <c r="Z7" s="14">
        <v>46.884202999999999</v>
      </c>
      <c r="AA7" s="14">
        <v>46.664577999999999</v>
      </c>
      <c r="AB7" s="15">
        <v>4014.4</v>
      </c>
      <c r="AC7" s="15">
        <v>4172.47</v>
      </c>
      <c r="AD7" s="15">
        <v>68.725999999999999</v>
      </c>
      <c r="AE7" s="15">
        <v>20.311</v>
      </c>
      <c r="AG7" s="10">
        <f t="shared" si="6"/>
        <v>1.874835</v>
      </c>
      <c r="AH7" s="11">
        <f t="shared" si="7"/>
        <v>8.3974566719341968E-3</v>
      </c>
      <c r="AI7" s="11">
        <f t="shared" si="8"/>
        <v>6.1430450146943445E-3</v>
      </c>
      <c r="AJ7" s="11">
        <f t="shared" si="9"/>
        <v>4.6399023531706598E-3</v>
      </c>
      <c r="AK7" s="11">
        <f t="shared" si="10"/>
        <v>2.2538741727142109E-3</v>
      </c>
      <c r="AL7" s="52">
        <f t="shared" si="11"/>
        <v>1462944</v>
      </c>
      <c r="AM7" s="11">
        <v>16</v>
      </c>
      <c r="AN7" s="12">
        <v>24923704</v>
      </c>
      <c r="AO7" s="12">
        <v>778865.75</v>
      </c>
      <c r="AP7" s="12">
        <v>11769.4375</v>
      </c>
      <c r="AQ7" s="13">
        <v>1999824</v>
      </c>
      <c r="AR7" s="13">
        <v>1104976</v>
      </c>
      <c r="AS7" s="13">
        <v>357968</v>
      </c>
      <c r="AT7" s="13">
        <v>536752</v>
      </c>
      <c r="AU7" s="14">
        <v>69.243228000000002</v>
      </c>
      <c r="AV7" s="14">
        <v>71.258393999999996</v>
      </c>
      <c r="AW7" s="14">
        <v>36.188816000000003</v>
      </c>
      <c r="AX7" s="14">
        <v>46.833556000000002</v>
      </c>
      <c r="AY7" s="14">
        <v>46.585503000000003</v>
      </c>
      <c r="AZ7" s="15">
        <v>3340.95</v>
      </c>
      <c r="BA7" s="15">
        <v>3182.11</v>
      </c>
      <c r="BB7" s="15">
        <v>9.1460000000000008</v>
      </c>
      <c r="BC7" s="15">
        <v>14.177</v>
      </c>
      <c r="BE7" s="50">
        <f t="shared" si="12"/>
        <v>0.99943706926234221</v>
      </c>
      <c r="BF7" s="16">
        <f t="shared" si="13"/>
        <v>-1.1985939168592277E-2</v>
      </c>
      <c r="BG7" s="16">
        <f t="shared" si="14"/>
        <v>-1.573844214804998E-4</v>
      </c>
      <c r="BH7" s="16"/>
      <c r="BJ7" s="50"/>
      <c r="BK7" s="50"/>
      <c r="BL7" s="50"/>
      <c r="BM7" s="50"/>
      <c r="BN7" s="50"/>
      <c r="BP7" s="50"/>
      <c r="BQ7" s="50"/>
      <c r="BR7" s="50"/>
      <c r="BS7" s="50"/>
      <c r="BT7" s="50"/>
      <c r="BV7" s="58">
        <f t="shared" si="16"/>
        <v>0</v>
      </c>
      <c r="BW7" s="58">
        <f t="shared" si="15"/>
        <v>0</v>
      </c>
      <c r="BX7" s="58">
        <f t="shared" si="15"/>
        <v>-9335.4375</v>
      </c>
      <c r="BY7" s="58">
        <f t="shared" si="15"/>
        <v>-696</v>
      </c>
      <c r="BZ7" s="58">
        <f t="shared" si="15"/>
        <v>0</v>
      </c>
      <c r="CA7" s="58">
        <f t="shared" si="15"/>
        <v>-824</v>
      </c>
      <c r="CB7" s="58">
        <f t="shared" si="15"/>
        <v>0</v>
      </c>
      <c r="CC7" s="58">
        <f t="shared" si="15"/>
        <v>-0.59420599999999979</v>
      </c>
      <c r="CD7" s="58">
        <f t="shared" si="15"/>
        <v>-1.0157779999999974</v>
      </c>
      <c r="CE7" s="58">
        <f t="shared" si="15"/>
        <v>-9.3099999999424199E-4</v>
      </c>
      <c r="CF7" s="58">
        <f t="shared" si="15"/>
        <v>-5.0646999999997888E-2</v>
      </c>
      <c r="CG7" s="58">
        <f t="shared" si="15"/>
        <v>-7.907499999999601E-2</v>
      </c>
      <c r="CJ7" t="s">
        <v>233</v>
      </c>
    </row>
    <row r="8" spans="1:88" outlineLevel="1" x14ac:dyDescent="0.2">
      <c r="A8" s="17"/>
      <c r="B8" s="17" t="s">
        <v>51</v>
      </c>
      <c r="C8" s="18" t="s">
        <v>236</v>
      </c>
      <c r="D8" s="17">
        <v>238146391</v>
      </c>
      <c r="E8" s="18">
        <v>10</v>
      </c>
      <c r="F8" s="18">
        <v>32</v>
      </c>
      <c r="G8" s="18">
        <v>30</v>
      </c>
      <c r="I8" s="19">
        <f t="shared" si="0"/>
        <v>3.0929700000000002</v>
      </c>
      <c r="J8" s="20">
        <f t="shared" si="1"/>
        <v>1.3853529277292302E-2</v>
      </c>
      <c r="K8" s="20">
        <f t="shared" si="2"/>
        <v>8.8610034825176084E-3</v>
      </c>
      <c r="L8" s="20">
        <f t="shared" si="3"/>
        <v>7.3544007643601035E-3</v>
      </c>
      <c r="M8" s="20">
        <f t="shared" si="4"/>
        <v>4.9925257947746942E-3</v>
      </c>
      <c r="N8" s="17">
        <f t="shared" si="5"/>
        <v>2110216</v>
      </c>
      <c r="O8" s="20">
        <v>16</v>
      </c>
      <c r="P8" s="21">
        <v>25894561</v>
      </c>
      <c r="Q8" s="21">
        <v>809205.03125</v>
      </c>
      <c r="R8" s="21">
        <v>24362.65625</v>
      </c>
      <c r="S8" s="22">
        <v>3299168</v>
      </c>
      <c r="T8" s="22">
        <v>1751424</v>
      </c>
      <c r="U8" s="22">
        <v>358792</v>
      </c>
      <c r="V8" s="22">
        <v>1188952</v>
      </c>
      <c r="W8" s="23">
        <v>70.899381000000005</v>
      </c>
      <c r="X8" s="23">
        <v>73.460274999999996</v>
      </c>
      <c r="Y8" s="23">
        <v>38.671903</v>
      </c>
      <c r="Z8" s="23">
        <v>48.122497000000003</v>
      </c>
      <c r="AA8" s="23">
        <v>48.141522000000002</v>
      </c>
      <c r="AB8" s="24">
        <v>3727.54</v>
      </c>
      <c r="AC8" s="24">
        <v>3812.47</v>
      </c>
      <c r="AD8" s="24">
        <v>69.572999999999993</v>
      </c>
      <c r="AE8" s="24">
        <v>16.606000000000002</v>
      </c>
      <c r="AG8" s="19">
        <f t="shared" si="6"/>
        <v>3.0923175000000001</v>
      </c>
      <c r="AH8" s="20">
        <f t="shared" si="7"/>
        <v>1.3850606705184124E-2</v>
      </c>
      <c r="AI8" s="20">
        <f t="shared" si="8"/>
        <v>8.8575434258837873E-3</v>
      </c>
      <c r="AJ8" s="20">
        <f t="shared" si="9"/>
        <v>7.3544007643601035E-3</v>
      </c>
      <c r="AK8" s="20">
        <f t="shared" si="10"/>
        <v>4.9925257947746942E-3</v>
      </c>
      <c r="AL8" s="17">
        <f t="shared" si="11"/>
        <v>2109392</v>
      </c>
      <c r="AM8" s="20">
        <v>16</v>
      </c>
      <c r="AN8" s="21">
        <v>25894561</v>
      </c>
      <c r="AO8" s="21">
        <v>809205.03125</v>
      </c>
      <c r="AP8" s="21">
        <v>13807.84375</v>
      </c>
      <c r="AQ8" s="22">
        <v>3298472</v>
      </c>
      <c r="AR8" s="22">
        <v>1751424</v>
      </c>
      <c r="AS8" s="22">
        <v>357968</v>
      </c>
      <c r="AT8" s="22">
        <v>1188952</v>
      </c>
      <c r="AU8" s="23">
        <v>70.042490999999998</v>
      </c>
      <c r="AV8" s="23">
        <v>72.193843999999999</v>
      </c>
      <c r="AW8" s="23">
        <v>38.673316</v>
      </c>
      <c r="AX8" s="23">
        <v>48.088444000000003</v>
      </c>
      <c r="AY8" s="23">
        <v>48.061722000000003</v>
      </c>
      <c r="AZ8" s="24">
        <v>3457.22</v>
      </c>
      <c r="BA8" s="24">
        <v>3486.17</v>
      </c>
      <c r="BB8" s="24">
        <v>9.4079999999999995</v>
      </c>
      <c r="BC8" s="24">
        <v>14.935</v>
      </c>
      <c r="BE8" s="49">
        <f t="shared" si="12"/>
        <v>0.99960951864643233</v>
      </c>
      <c r="BF8" s="25">
        <f t="shared" si="13"/>
        <v>-1.304343410185637E-2</v>
      </c>
      <c r="BG8" s="25">
        <f t="shared" si="14"/>
        <v>-1.1484833690000862E-4</v>
      </c>
      <c r="BH8" s="25"/>
      <c r="BJ8" s="49"/>
      <c r="BK8" s="49"/>
      <c r="BL8" s="49"/>
      <c r="BM8" s="49"/>
      <c r="BN8" s="49"/>
      <c r="BP8" s="49"/>
      <c r="BQ8" s="49"/>
      <c r="BR8" s="49"/>
      <c r="BS8" s="49"/>
      <c r="BT8" s="49"/>
      <c r="BV8" s="58">
        <f t="shared" si="16"/>
        <v>0</v>
      </c>
      <c r="BW8" s="58">
        <f t="shared" si="15"/>
        <v>0</v>
      </c>
      <c r="BX8" s="58">
        <f t="shared" si="15"/>
        <v>-10554.8125</v>
      </c>
      <c r="BY8" s="58">
        <f t="shared" si="15"/>
        <v>-696</v>
      </c>
      <c r="BZ8" s="58">
        <f t="shared" si="15"/>
        <v>0</v>
      </c>
      <c r="CA8" s="58">
        <f t="shared" si="15"/>
        <v>-824</v>
      </c>
      <c r="CB8" s="58">
        <f t="shared" si="15"/>
        <v>0</v>
      </c>
      <c r="CC8" s="58">
        <f t="shared" si="15"/>
        <v>-0.85689000000000703</v>
      </c>
      <c r="CD8" s="58">
        <f t="shared" si="15"/>
        <v>-1.2664309999999972</v>
      </c>
      <c r="CE8" s="58">
        <f t="shared" si="15"/>
        <v>1.4129999999994425E-3</v>
      </c>
      <c r="CF8" s="58">
        <f t="shared" si="15"/>
        <v>-3.4053000000000111E-2</v>
      </c>
      <c r="CG8" s="58">
        <f t="shared" si="15"/>
        <v>-7.9799999999998761E-2</v>
      </c>
      <c r="CJ8" t="s">
        <v>233</v>
      </c>
    </row>
    <row r="9" spans="1:88" ht="16" outlineLevel="1" thickBot="1" x14ac:dyDescent="0.25">
      <c r="A9" s="52"/>
      <c r="B9" s="26" t="s">
        <v>51</v>
      </c>
      <c r="C9" s="27" t="s">
        <v>237</v>
      </c>
      <c r="D9" s="26">
        <v>238146391</v>
      </c>
      <c r="E9" s="27">
        <v>10</v>
      </c>
      <c r="F9" s="27">
        <v>32</v>
      </c>
      <c r="G9" s="27">
        <v>30</v>
      </c>
      <c r="I9" s="28">
        <f t="shared" si="0"/>
        <v>6.3083549999999997</v>
      </c>
      <c r="J9" s="29">
        <f t="shared" si="1"/>
        <v>2.8255359956305195E-2</v>
      </c>
      <c r="K9" s="29">
        <f t="shared" si="2"/>
        <v>1.5570053295495878E-2</v>
      </c>
      <c r="L9" s="29">
        <f t="shared" si="3"/>
        <v>1.2147654171253009E-2</v>
      </c>
      <c r="M9" s="29">
        <f t="shared" si="4"/>
        <v>1.2685306660809317E-2</v>
      </c>
      <c r="N9" s="26">
        <f t="shared" si="5"/>
        <v>3707952</v>
      </c>
      <c r="O9" s="29">
        <v>16</v>
      </c>
      <c r="P9" s="30">
        <v>24903158</v>
      </c>
      <c r="Q9" s="30">
        <v>778223.6875</v>
      </c>
      <c r="R9" s="30">
        <v>10582.96875</v>
      </c>
      <c r="S9" s="31">
        <v>6728912</v>
      </c>
      <c r="T9" s="31">
        <v>2892920</v>
      </c>
      <c r="U9" s="31">
        <v>815032</v>
      </c>
      <c r="V9" s="31">
        <v>3020960</v>
      </c>
      <c r="W9" s="32">
        <v>71.932044000000005</v>
      </c>
      <c r="X9" s="32">
        <v>75.246166000000002</v>
      </c>
      <c r="Y9" s="32">
        <v>41.135641</v>
      </c>
      <c r="Z9" s="32">
        <v>49.545462000000001</v>
      </c>
      <c r="AA9" s="32">
        <v>49.686588</v>
      </c>
      <c r="AB9" s="33">
        <v>3406.56</v>
      </c>
      <c r="AC9" s="33">
        <v>3796.83</v>
      </c>
      <c r="AD9" s="33">
        <v>60.694000000000003</v>
      </c>
      <c r="AE9" s="33">
        <v>16.239999999999998</v>
      </c>
      <c r="AG9" s="28">
        <f t="shared" si="6"/>
        <v>6.3077025000000004</v>
      </c>
      <c r="AH9" s="29">
        <f t="shared" si="7"/>
        <v>2.8252437384197016E-2</v>
      </c>
      <c r="AI9" s="29">
        <f t="shared" si="8"/>
        <v>1.5566593238862057E-2</v>
      </c>
      <c r="AJ9" s="29">
        <f t="shared" si="9"/>
        <v>1.2147654171253009E-2</v>
      </c>
      <c r="AK9" s="29">
        <f t="shared" si="10"/>
        <v>1.2685306660809317E-2</v>
      </c>
      <c r="AL9" s="26">
        <f t="shared" si="11"/>
        <v>3707128</v>
      </c>
      <c r="AM9" s="29">
        <v>16</v>
      </c>
      <c r="AN9" s="30">
        <v>24903158</v>
      </c>
      <c r="AO9" s="30">
        <v>778223.6875</v>
      </c>
      <c r="AP9" s="30">
        <v>7642.40625</v>
      </c>
      <c r="AQ9" s="31">
        <v>6728216</v>
      </c>
      <c r="AR9" s="31">
        <v>2892920</v>
      </c>
      <c r="AS9" s="31">
        <v>814208</v>
      </c>
      <c r="AT9" s="31">
        <v>3020960</v>
      </c>
      <c r="AU9" s="32">
        <v>72.038393999999997</v>
      </c>
      <c r="AV9" s="32">
        <v>75.291721999999993</v>
      </c>
      <c r="AW9" s="32">
        <v>41.188071999999998</v>
      </c>
      <c r="AX9" s="32">
        <v>49.546219000000001</v>
      </c>
      <c r="AY9" s="32">
        <v>49.689059</v>
      </c>
      <c r="AZ9" s="33">
        <v>3391.75</v>
      </c>
      <c r="BA9" s="33">
        <v>3914.2</v>
      </c>
      <c r="BB9" s="33">
        <v>9.2899999999999991</v>
      </c>
      <c r="BC9" s="33">
        <v>16.622</v>
      </c>
      <c r="BE9" s="34">
        <f t="shared" si="12"/>
        <v>0.99977777490107744</v>
      </c>
      <c r="BF9" s="35">
        <f t="shared" si="13"/>
        <v>-3.7785569203713041E-3</v>
      </c>
      <c r="BG9" s="35">
        <f t="shared" si="14"/>
        <v>-6.5466201906727584E-5</v>
      </c>
      <c r="BH9" s="35"/>
      <c r="BJ9" s="34"/>
      <c r="BK9" s="34"/>
      <c r="BL9" s="34"/>
      <c r="BM9" s="34"/>
      <c r="BN9" s="34"/>
      <c r="BP9" s="34"/>
      <c r="BQ9" s="34"/>
      <c r="BR9" s="34"/>
      <c r="BS9" s="34"/>
      <c r="BT9" s="34"/>
      <c r="BV9" s="58">
        <f t="shared" si="16"/>
        <v>0</v>
      </c>
      <c r="BW9" s="58">
        <f t="shared" si="15"/>
        <v>0</v>
      </c>
      <c r="BX9" s="58">
        <f t="shared" si="15"/>
        <v>-2940.5625</v>
      </c>
      <c r="BY9" s="58">
        <f t="shared" si="15"/>
        <v>-696</v>
      </c>
      <c r="BZ9" s="58">
        <f t="shared" si="15"/>
        <v>0</v>
      </c>
      <c r="CA9" s="58">
        <f t="shared" si="15"/>
        <v>-824</v>
      </c>
      <c r="CB9" s="58">
        <f t="shared" si="15"/>
        <v>0</v>
      </c>
      <c r="CC9" s="58">
        <f t="shared" si="15"/>
        <v>0.10634999999999195</v>
      </c>
      <c r="CD9" s="58">
        <f t="shared" si="15"/>
        <v>4.5555999999990604E-2</v>
      </c>
      <c r="CE9" s="58">
        <f t="shared" si="15"/>
        <v>5.2430999999998562E-2</v>
      </c>
      <c r="CF9" s="58">
        <f t="shared" si="15"/>
        <v>7.5700000000011869E-4</v>
      </c>
      <c r="CG9" s="58">
        <f t="shared" si="15"/>
        <v>2.47099999999989E-3</v>
      </c>
      <c r="CJ9" t="s">
        <v>233</v>
      </c>
    </row>
    <row r="10" spans="1:88" x14ac:dyDescent="0.2">
      <c r="A10" s="17"/>
      <c r="B10" s="17" t="s">
        <v>59</v>
      </c>
      <c r="C10" s="18" t="s">
        <v>232</v>
      </c>
      <c r="D10" s="17">
        <v>218121242</v>
      </c>
      <c r="E10" s="18">
        <v>10</v>
      </c>
      <c r="F10" s="18">
        <v>32</v>
      </c>
      <c r="G10" s="18">
        <v>30</v>
      </c>
      <c r="I10" s="19">
        <f t="shared" si="0"/>
        <v>1.9765725000000001</v>
      </c>
      <c r="J10" s="20">
        <f t="shared" si="1"/>
        <v>9.6659269893575976E-3</v>
      </c>
      <c r="K10" s="20">
        <f t="shared" si="2"/>
        <v>7.2509765004914106E-3</v>
      </c>
      <c r="L10" s="20">
        <f t="shared" si="3"/>
        <v>4.1104845716952226E-3</v>
      </c>
      <c r="M10" s="20">
        <f t="shared" si="4"/>
        <v>2.4149504888661875E-3</v>
      </c>
      <c r="N10" s="17">
        <f t="shared" si="5"/>
        <v>1581592</v>
      </c>
      <c r="O10" s="20">
        <v>16</v>
      </c>
      <c r="P10" s="21">
        <v>20942558</v>
      </c>
      <c r="Q10" s="21">
        <v>654454.9375</v>
      </c>
      <c r="R10" s="21">
        <v>18943.59375</v>
      </c>
      <c r="S10" s="22">
        <v>2108344</v>
      </c>
      <c r="T10" s="22">
        <v>896584</v>
      </c>
      <c r="U10" s="22">
        <v>685008</v>
      </c>
      <c r="V10" s="22">
        <v>526752</v>
      </c>
      <c r="W10" s="23">
        <v>65.984049999999996</v>
      </c>
      <c r="X10" s="23">
        <v>67.859694000000005</v>
      </c>
      <c r="Y10" s="23">
        <v>31.012543999999998</v>
      </c>
      <c r="Z10" s="23">
        <v>38.769036999999997</v>
      </c>
      <c r="AA10" s="23">
        <v>30.066780999999999</v>
      </c>
      <c r="AB10" s="24">
        <v>3792.86</v>
      </c>
      <c r="AC10" s="24">
        <v>3624.36</v>
      </c>
      <c r="AD10" s="24">
        <v>53.113</v>
      </c>
      <c r="AE10" s="24">
        <v>15.522</v>
      </c>
      <c r="AG10" s="19">
        <f t="shared" si="6"/>
        <v>1.9590225000000001</v>
      </c>
      <c r="AH10" s="20">
        <f t="shared" si="7"/>
        <v>9.580103161158416E-3</v>
      </c>
      <c r="AI10" s="20">
        <f t="shared" si="8"/>
        <v>7.1645658426977045E-3</v>
      </c>
      <c r="AJ10" s="20">
        <f t="shared" si="9"/>
        <v>4.1104845716952226E-3</v>
      </c>
      <c r="AK10" s="20">
        <f t="shared" si="10"/>
        <v>2.4149504888661875E-3</v>
      </c>
      <c r="AL10" s="17">
        <f t="shared" si="11"/>
        <v>1562744</v>
      </c>
      <c r="AM10" s="20">
        <v>16</v>
      </c>
      <c r="AN10" s="21">
        <v>20942558</v>
      </c>
      <c r="AO10" s="21">
        <v>654454.9375</v>
      </c>
      <c r="AP10" s="21">
        <v>8696.65625</v>
      </c>
      <c r="AQ10" s="22">
        <v>2089624</v>
      </c>
      <c r="AR10" s="22">
        <v>896584</v>
      </c>
      <c r="AS10" s="22">
        <v>666160</v>
      </c>
      <c r="AT10" s="22">
        <v>526752</v>
      </c>
      <c r="AU10" s="23">
        <v>65.689077999999995</v>
      </c>
      <c r="AV10" s="23">
        <v>67.097362000000004</v>
      </c>
      <c r="AW10" s="23">
        <v>31.003941000000001</v>
      </c>
      <c r="AX10" s="23">
        <v>38.762034</v>
      </c>
      <c r="AY10" s="23">
        <v>30.062325000000001</v>
      </c>
      <c r="AZ10" s="24">
        <v>3407.66</v>
      </c>
      <c r="BA10" s="24">
        <v>3463.86</v>
      </c>
      <c r="BB10" s="24">
        <v>8.5299999999999994</v>
      </c>
      <c r="BC10" s="24">
        <v>14.804</v>
      </c>
      <c r="BE10" s="49">
        <f t="shared" si="12"/>
        <v>0.98808289369192548</v>
      </c>
      <c r="BF10" s="25">
        <f t="shared" si="13"/>
        <v>-1.5657208637072893E-2</v>
      </c>
      <c r="BG10" s="25">
        <f t="shared" si="14"/>
        <v>-2.2994732123299277E-3</v>
      </c>
      <c r="BH10" s="25">
        <f t="array" ref="BH10">AVERAGE(AL10:AL14/AQ10:AQ14) - AVERAGE(N10:N14/S10:S14)</f>
        <v>-1.6959773015017277E-3</v>
      </c>
      <c r="BJ10" s="49">
        <f>IF( OR(ISBLANK(N10:N14),ISBLANK(AL10:AL14), ISBLANK(W10:W14),ISBLANK(AU10:AU14)), "·", bdRateExtend( N10:N14,W10:W14, AL10:AL14,AU10:AU14))</f>
        <v>0.17633244863305153</v>
      </c>
      <c r="BK10" s="49">
        <f>IF( OR(ISBLANK(N10:N14),ISBLANK(AL10:AL14), ISBLANK(X10:X14),ISBLANK(AV10:AV14)), "·", bdRateExtend( N10:N14,X10:X14, AL10:AL14,AV10:AV14))</f>
        <v>0.21780083195363997</v>
      </c>
      <c r="BL10" s="49">
        <f>IF( OR(ISBLANK(V10:V14),ISBLANK(AT10:AT14), ISBLANK(Y10:Y14),ISBLANK(AW10:AW14)), "·", bdRateExtend( V10:V14,Y10:Y14, AT10:AT14,AW10:AW14))</f>
        <v>-2.5813834724980333E-3</v>
      </c>
      <c r="BM10" s="49">
        <f>IF( OR(ISBLANK(V10:V14),ISBLANK(AT10:AT14), ISBLANK(Z10:Z14),ISBLANK(AX10:AX14)), "·", bdRateExtend( V10:V14,Z10:Z14, AT10:AT14,AX10:AX14))</f>
        <v>1.5386646087323097E-3</v>
      </c>
      <c r="BN10" s="49">
        <f>IF( OR(ISBLANK(V10:V14),ISBLANK(AT10:AT14), ISBLANK(AA10:AA14),ISBLANK(AY10:AY14)), "·", bdRateExtend( V10:V14,AA10:AA14, AT10:AT14,AY10:AY14))</f>
        <v>-6.7386858887708012E-4</v>
      </c>
      <c r="BP10" s="49">
        <f>IF( OR(ISBLANK(S10:S14),ISBLANK(AQ10:AQ14), ISBLANK(W10:W14),ISBLANK(AU10:AU14)), "·", bdRateExtend( S10:S14,W10:W14, AQ10:AQ14,AU10:AU14))</f>
        <v>0.26547382497380068</v>
      </c>
      <c r="BQ10" s="49">
        <f>IF( OR(ISBLANK(S10:S14),ISBLANK(AQ10:AQ14), ISBLANK(X10:X14),ISBLANK(AV10:AV14)), "·", bdRateExtend( S10:S14,X10:X14, AQ10:AQ14,AV10:AV14))</f>
        <v>0.32049027772781602</v>
      </c>
      <c r="BR10" s="49">
        <f>IF( OR(ISBLANK(S10:S14),ISBLANK(AQ10:AQ14), ISBLANK(Y10:Y14),ISBLANK(AW10:AW14)), "·", bdRateExtend( S10:S14,Y10:Y14, AQ10:AQ14,AW10:AW14))</f>
        <v>-6.8378582121376708E-3</v>
      </c>
      <c r="BS10" s="49">
        <f>IF( OR(ISBLANK(S10:S14),ISBLANK(AQ10:AQ14), ISBLANK(Z10:Z14),ISBLANK(AX10:AX14)), "·", bdRateExtend( S10:S14,Z10:Z14, AQ10:AQ14,AX10:AX14))</f>
        <v>-3.5179357333733341E-3</v>
      </c>
      <c r="BT10" s="49">
        <f>IF( OR(ISBLANK(S10:S14),ISBLANK(AQ10:AQ14), ISBLANK(AA10:AA14),ISBLANK(AY10:AY14)), "·", bdRateExtend( S10:S14,AA10:AA14, AQ10:AQ14,AY10:AY14))</f>
        <v>-5.3943507762619358E-3</v>
      </c>
      <c r="BV10" s="58">
        <f t="shared" si="16"/>
        <v>0</v>
      </c>
      <c r="BW10" s="58">
        <f t="shared" si="15"/>
        <v>0</v>
      </c>
      <c r="BX10" s="58">
        <f t="shared" si="15"/>
        <v>-10246.9375</v>
      </c>
      <c r="BY10" s="58">
        <f t="shared" si="15"/>
        <v>-18720</v>
      </c>
      <c r="BZ10" s="58">
        <f t="shared" si="15"/>
        <v>0</v>
      </c>
      <c r="CA10" s="58">
        <f t="shared" si="15"/>
        <v>-18848</v>
      </c>
      <c r="CB10" s="58">
        <f t="shared" si="15"/>
        <v>0</v>
      </c>
      <c r="CC10" s="58">
        <f t="shared" si="15"/>
        <v>-0.29497200000000134</v>
      </c>
      <c r="CD10" s="58">
        <f t="shared" si="15"/>
        <v>-0.76233200000000068</v>
      </c>
      <c r="CE10" s="58">
        <f t="shared" si="15"/>
        <v>-8.6029999999972517E-3</v>
      </c>
      <c r="CF10" s="58">
        <f t="shared" si="15"/>
        <v>-7.0029999999974279E-3</v>
      </c>
      <c r="CG10" s="58">
        <f t="shared" si="15"/>
        <v>-4.455999999997573E-3</v>
      </c>
      <c r="CJ10" t="s">
        <v>587</v>
      </c>
    </row>
    <row r="11" spans="1:88" outlineLevel="1" x14ac:dyDescent="0.2">
      <c r="A11" s="52"/>
      <c r="B11" s="52" t="s">
        <v>59</v>
      </c>
      <c r="C11" s="9" t="s">
        <v>234</v>
      </c>
      <c r="D11" s="52">
        <v>218121242</v>
      </c>
      <c r="E11" s="9">
        <v>10</v>
      </c>
      <c r="F11" s="9">
        <v>32</v>
      </c>
      <c r="G11" s="9">
        <v>30</v>
      </c>
      <c r="I11" s="10">
        <f t="shared" si="0"/>
        <v>2.6997675000000001</v>
      </c>
      <c r="J11" s="11">
        <f t="shared" si="1"/>
        <v>1.3202528894457699E-2</v>
      </c>
      <c r="K11" s="11">
        <f t="shared" si="2"/>
        <v>8.8998576305557627E-3</v>
      </c>
      <c r="L11" s="11">
        <f t="shared" si="3"/>
        <v>5.7593657017595747E-3</v>
      </c>
      <c r="M11" s="11">
        <f t="shared" si="4"/>
        <v>4.302671263901936E-3</v>
      </c>
      <c r="N11" s="52">
        <f t="shared" si="5"/>
        <v>1941248</v>
      </c>
      <c r="O11" s="11">
        <v>16</v>
      </c>
      <c r="P11" s="12">
        <v>22233167</v>
      </c>
      <c r="Q11" s="12">
        <v>694786.46875</v>
      </c>
      <c r="R11" s="12">
        <v>23204.09375</v>
      </c>
      <c r="S11" s="13">
        <v>2879752</v>
      </c>
      <c r="T11" s="13">
        <v>1256240</v>
      </c>
      <c r="U11" s="13">
        <v>685008</v>
      </c>
      <c r="V11" s="13">
        <v>938504</v>
      </c>
      <c r="W11" s="14">
        <v>67.674730999999994</v>
      </c>
      <c r="X11" s="14">
        <v>69.753456</v>
      </c>
      <c r="Y11" s="14">
        <v>32.861966000000002</v>
      </c>
      <c r="Z11" s="14">
        <v>39.685718999999999</v>
      </c>
      <c r="AA11" s="14">
        <v>32.241593999999999</v>
      </c>
      <c r="AB11" s="15">
        <v>3972.02</v>
      </c>
      <c r="AC11" s="15">
        <v>4753.7700000000004</v>
      </c>
      <c r="AD11" s="15">
        <v>62.247</v>
      </c>
      <c r="AE11" s="15">
        <v>19.843</v>
      </c>
      <c r="AG11" s="10">
        <f t="shared" si="6"/>
        <v>2.6822175000000001</v>
      </c>
      <c r="AH11" s="11">
        <f t="shared" si="7"/>
        <v>1.3116705066258517E-2</v>
      </c>
      <c r="AI11" s="11">
        <f t="shared" si="8"/>
        <v>8.8134469727620575E-3</v>
      </c>
      <c r="AJ11" s="11">
        <f t="shared" si="9"/>
        <v>5.7593657017595747E-3</v>
      </c>
      <c r="AK11" s="11">
        <f t="shared" si="10"/>
        <v>4.302671263901936E-3</v>
      </c>
      <c r="AL11" s="52">
        <f t="shared" si="11"/>
        <v>1922400</v>
      </c>
      <c r="AM11" s="11">
        <v>16</v>
      </c>
      <c r="AN11" s="12">
        <v>22233167</v>
      </c>
      <c r="AO11" s="12">
        <v>694786.46875</v>
      </c>
      <c r="AP11" s="12">
        <v>10943.53125</v>
      </c>
      <c r="AQ11" s="13">
        <v>2861032</v>
      </c>
      <c r="AR11" s="13">
        <v>1256240</v>
      </c>
      <c r="AS11" s="13">
        <v>666160</v>
      </c>
      <c r="AT11" s="13">
        <v>938504</v>
      </c>
      <c r="AU11" s="14">
        <v>67.081338000000002</v>
      </c>
      <c r="AV11" s="14">
        <v>68.781884000000005</v>
      </c>
      <c r="AW11" s="14">
        <v>32.857422</v>
      </c>
      <c r="AX11" s="14">
        <v>39.681438</v>
      </c>
      <c r="AY11" s="14">
        <v>32.239322000000001</v>
      </c>
      <c r="AZ11" s="15">
        <v>3314.78</v>
      </c>
      <c r="BA11" s="15">
        <v>3577.13</v>
      </c>
      <c r="BB11" s="15">
        <v>8.5519999999999996</v>
      </c>
      <c r="BC11" s="15">
        <v>15.369</v>
      </c>
      <c r="BE11" s="50">
        <f t="shared" si="12"/>
        <v>0.99029078201239618</v>
      </c>
      <c r="BF11" s="16">
        <f t="shared" si="13"/>
        <v>-1.7646518824781014E-2</v>
      </c>
      <c r="BG11" s="16">
        <f t="shared" si="14"/>
        <v>-2.1771169797411005E-3</v>
      </c>
      <c r="BH11" s="16"/>
      <c r="BJ11" s="50"/>
      <c r="BK11" s="50"/>
      <c r="BL11" s="50"/>
      <c r="BM11" s="50"/>
      <c r="BN11" s="50"/>
      <c r="BP11" s="50"/>
      <c r="BQ11" s="50"/>
      <c r="BR11" s="50"/>
      <c r="BS11" s="50"/>
      <c r="BT11" s="50"/>
      <c r="BV11" s="58">
        <f t="shared" si="16"/>
        <v>0</v>
      </c>
      <c r="BW11" s="58">
        <f t="shared" si="15"/>
        <v>0</v>
      </c>
      <c r="BX11" s="58">
        <f t="shared" si="15"/>
        <v>-12260.5625</v>
      </c>
      <c r="BY11" s="58">
        <f t="shared" si="15"/>
        <v>-18720</v>
      </c>
      <c r="BZ11" s="58">
        <f t="shared" si="15"/>
        <v>0</v>
      </c>
      <c r="CA11" s="58">
        <f t="shared" si="15"/>
        <v>-18848</v>
      </c>
      <c r="CB11" s="58">
        <f t="shared" si="15"/>
        <v>0</v>
      </c>
      <c r="CC11" s="58">
        <f t="shared" si="15"/>
        <v>-0.59339299999999184</v>
      </c>
      <c r="CD11" s="58">
        <f t="shared" si="15"/>
        <v>-0.97157199999999477</v>
      </c>
      <c r="CE11" s="58">
        <f t="shared" si="15"/>
        <v>-4.544000000002768E-3</v>
      </c>
      <c r="CF11" s="58">
        <f t="shared" si="15"/>
        <v>-4.280999999998869E-3</v>
      </c>
      <c r="CG11" s="58">
        <f t="shared" si="15"/>
        <v>-2.2719999999978313E-3</v>
      </c>
      <c r="CJ11" t="s">
        <v>587</v>
      </c>
    </row>
    <row r="12" spans="1:88" outlineLevel="1" x14ac:dyDescent="0.2">
      <c r="A12" s="17"/>
      <c r="B12" s="17" t="s">
        <v>59</v>
      </c>
      <c r="C12" s="18" t="s">
        <v>235</v>
      </c>
      <c r="D12" s="17">
        <v>218121242</v>
      </c>
      <c r="E12" s="18">
        <v>10</v>
      </c>
      <c r="F12" s="18">
        <v>32</v>
      </c>
      <c r="G12" s="18">
        <v>30</v>
      </c>
      <c r="I12" s="19">
        <f t="shared" si="0"/>
        <v>3.8493075000000001</v>
      </c>
      <c r="J12" s="20">
        <f t="shared" si="1"/>
        <v>1.8824062995203374E-2</v>
      </c>
      <c r="K12" s="20">
        <f t="shared" si="2"/>
        <v>1.141757665216302E-2</v>
      </c>
      <c r="L12" s="20">
        <f t="shared" si="3"/>
        <v>8.2770847233668322E-3</v>
      </c>
      <c r="M12" s="20">
        <f t="shared" si="4"/>
        <v>7.4064863430403534E-3</v>
      </c>
      <c r="N12" s="17">
        <f t="shared" si="5"/>
        <v>2490416</v>
      </c>
      <c r="O12" s="20">
        <v>16</v>
      </c>
      <c r="P12" s="21">
        <v>22569901</v>
      </c>
      <c r="Q12" s="21">
        <v>705309.40625</v>
      </c>
      <c r="R12" s="21">
        <v>24721.9375</v>
      </c>
      <c r="S12" s="22">
        <v>4105928</v>
      </c>
      <c r="T12" s="22">
        <v>1805408</v>
      </c>
      <c r="U12" s="22">
        <v>685008</v>
      </c>
      <c r="V12" s="22">
        <v>1615512</v>
      </c>
      <c r="W12" s="23">
        <v>69.009450000000001</v>
      </c>
      <c r="X12" s="23">
        <v>71.379971999999995</v>
      </c>
      <c r="Y12" s="23">
        <v>34.860587000000002</v>
      </c>
      <c r="Z12" s="23">
        <v>40.655971999999998</v>
      </c>
      <c r="AA12" s="23">
        <v>34.140081000000002</v>
      </c>
      <c r="AB12" s="24">
        <v>3414.9</v>
      </c>
      <c r="AC12" s="24">
        <v>3946.13</v>
      </c>
      <c r="AD12" s="24">
        <v>57.033000000000001</v>
      </c>
      <c r="AE12" s="24">
        <v>15.938000000000001</v>
      </c>
      <c r="AG12" s="19">
        <f t="shared" si="6"/>
        <v>3.8317575000000001</v>
      </c>
      <c r="AH12" s="20">
        <f t="shared" si="7"/>
        <v>1.8738239167004192E-2</v>
      </c>
      <c r="AI12" s="20">
        <f t="shared" si="8"/>
        <v>1.1331165994369315E-2</v>
      </c>
      <c r="AJ12" s="20">
        <f t="shared" si="9"/>
        <v>8.2770847233668322E-3</v>
      </c>
      <c r="AK12" s="20">
        <f t="shared" si="10"/>
        <v>7.4064863430403534E-3</v>
      </c>
      <c r="AL12" s="17">
        <f t="shared" si="11"/>
        <v>2471568</v>
      </c>
      <c r="AM12" s="20">
        <v>16</v>
      </c>
      <c r="AN12" s="21">
        <v>22569901</v>
      </c>
      <c r="AO12" s="21">
        <v>705309.40625</v>
      </c>
      <c r="AP12" s="21">
        <v>12251.6875</v>
      </c>
      <c r="AQ12" s="22">
        <v>4087208</v>
      </c>
      <c r="AR12" s="22">
        <v>1805408</v>
      </c>
      <c r="AS12" s="22">
        <v>666160</v>
      </c>
      <c r="AT12" s="22">
        <v>1615512</v>
      </c>
      <c r="AU12" s="23">
        <v>68.293499999999995</v>
      </c>
      <c r="AV12" s="23">
        <v>70.262472000000002</v>
      </c>
      <c r="AW12" s="23">
        <v>34.860759000000002</v>
      </c>
      <c r="AX12" s="23">
        <v>40.653066000000003</v>
      </c>
      <c r="AY12" s="23">
        <v>34.139758999999998</v>
      </c>
      <c r="AZ12" s="24">
        <v>3343.99</v>
      </c>
      <c r="BA12" s="24">
        <v>3995.69</v>
      </c>
      <c r="BB12" s="24">
        <v>9.0370000000000008</v>
      </c>
      <c r="BC12" s="24">
        <v>16.239999999999998</v>
      </c>
      <c r="BE12" s="49">
        <f t="shared" si="12"/>
        <v>0.99243178649671382</v>
      </c>
      <c r="BF12" s="25">
        <f t="shared" si="13"/>
        <v>-1.7680538341749926E-2</v>
      </c>
      <c r="BG12" s="25">
        <f t="shared" si="14"/>
        <v>-1.8334133912283335E-3</v>
      </c>
      <c r="BH12" s="25"/>
      <c r="BJ12" s="49"/>
      <c r="BK12" s="49"/>
      <c r="BL12" s="49"/>
      <c r="BM12" s="49"/>
      <c r="BN12" s="49"/>
      <c r="BP12" s="49"/>
      <c r="BQ12" s="49"/>
      <c r="BR12" s="49"/>
      <c r="BS12" s="49"/>
      <c r="BT12" s="49"/>
      <c r="BV12" s="58">
        <f t="shared" si="16"/>
        <v>0</v>
      </c>
      <c r="BW12" s="58">
        <f t="shared" si="15"/>
        <v>0</v>
      </c>
      <c r="BX12" s="58">
        <f t="shared" si="15"/>
        <v>-12470.25</v>
      </c>
      <c r="BY12" s="58">
        <f t="shared" si="15"/>
        <v>-18720</v>
      </c>
      <c r="BZ12" s="58">
        <f t="shared" si="15"/>
        <v>0</v>
      </c>
      <c r="CA12" s="58">
        <f t="shared" si="15"/>
        <v>-18848</v>
      </c>
      <c r="CB12" s="58">
        <f t="shared" si="15"/>
        <v>0</v>
      </c>
      <c r="CC12" s="58">
        <f t="shared" si="15"/>
        <v>-0.71595000000000653</v>
      </c>
      <c r="CD12" s="58">
        <f t="shared" si="15"/>
        <v>-1.1174999999999926</v>
      </c>
      <c r="CE12" s="58">
        <f t="shared" si="15"/>
        <v>1.7199999999917281E-4</v>
      </c>
      <c r="CF12" s="58">
        <f t="shared" si="15"/>
        <v>-2.9059999999958563E-3</v>
      </c>
      <c r="CG12" s="58">
        <f t="shared" si="15"/>
        <v>-3.220000000041523E-4</v>
      </c>
      <c r="CJ12" t="s">
        <v>587</v>
      </c>
    </row>
    <row r="13" spans="1:88" outlineLevel="1" x14ac:dyDescent="0.2">
      <c r="A13" s="52"/>
      <c r="B13" s="52" t="s">
        <v>59</v>
      </c>
      <c r="C13" s="9" t="s">
        <v>236</v>
      </c>
      <c r="D13" s="52">
        <v>218121242</v>
      </c>
      <c r="E13" s="9">
        <v>10</v>
      </c>
      <c r="F13" s="9">
        <v>32</v>
      </c>
      <c r="G13" s="9">
        <v>30</v>
      </c>
      <c r="I13" s="10">
        <f t="shared" si="0"/>
        <v>6.2049824999999998</v>
      </c>
      <c r="J13" s="11">
        <f t="shared" si="1"/>
        <v>3.0343894704212258E-2</v>
      </c>
      <c r="K13" s="11">
        <f t="shared" si="2"/>
        <v>1.5919990039301168E-2</v>
      </c>
      <c r="L13" s="11">
        <f t="shared" si="3"/>
        <v>1.2779498110504982E-2</v>
      </c>
      <c r="M13" s="11">
        <f t="shared" si="4"/>
        <v>1.4423904664911086E-2</v>
      </c>
      <c r="N13" s="52">
        <f t="shared" si="5"/>
        <v>3472488</v>
      </c>
      <c r="O13" s="11">
        <v>16</v>
      </c>
      <c r="P13" s="12">
        <v>23308443</v>
      </c>
      <c r="Q13" s="12">
        <v>728388.84375</v>
      </c>
      <c r="R13" s="12">
        <v>27991.21875</v>
      </c>
      <c r="S13" s="13">
        <v>6618648</v>
      </c>
      <c r="T13" s="13">
        <v>2787480</v>
      </c>
      <c r="U13" s="13">
        <v>685008</v>
      </c>
      <c r="V13" s="13">
        <v>3146160</v>
      </c>
      <c r="W13" s="14">
        <v>70.060288</v>
      </c>
      <c r="X13" s="14">
        <v>72.567171999999999</v>
      </c>
      <c r="Y13" s="14">
        <v>37.050668999999999</v>
      </c>
      <c r="Z13" s="14">
        <v>41.679997</v>
      </c>
      <c r="AA13" s="14">
        <v>36.076627999999999</v>
      </c>
      <c r="AB13" s="15">
        <v>4169.99</v>
      </c>
      <c r="AC13" s="15">
        <v>5687.17</v>
      </c>
      <c r="AD13" s="15">
        <v>66.706000000000003</v>
      </c>
      <c r="AE13" s="15">
        <v>23.655000000000001</v>
      </c>
      <c r="AG13" s="10">
        <f t="shared" si="6"/>
        <v>6.1874324999999999</v>
      </c>
      <c r="AH13" s="11">
        <f t="shared" si="7"/>
        <v>3.0258070876013076E-2</v>
      </c>
      <c r="AI13" s="11">
        <f t="shared" si="8"/>
        <v>1.5833579381507465E-2</v>
      </c>
      <c r="AJ13" s="11">
        <f t="shared" si="9"/>
        <v>1.2779498110504982E-2</v>
      </c>
      <c r="AK13" s="11">
        <f t="shared" si="10"/>
        <v>1.4423904664911086E-2</v>
      </c>
      <c r="AL13" s="52">
        <f t="shared" si="11"/>
        <v>3453640</v>
      </c>
      <c r="AM13" s="11">
        <v>16</v>
      </c>
      <c r="AN13" s="12">
        <v>23308443</v>
      </c>
      <c r="AO13" s="12">
        <v>728388.84375</v>
      </c>
      <c r="AP13" s="12">
        <v>14253.59375</v>
      </c>
      <c r="AQ13" s="13">
        <v>6599928</v>
      </c>
      <c r="AR13" s="13">
        <v>2787480</v>
      </c>
      <c r="AS13" s="13">
        <v>666160</v>
      </c>
      <c r="AT13" s="13">
        <v>3146160</v>
      </c>
      <c r="AU13" s="14">
        <v>69.087850000000003</v>
      </c>
      <c r="AV13" s="14">
        <v>71.201408999999998</v>
      </c>
      <c r="AW13" s="14">
        <v>37.058019000000002</v>
      </c>
      <c r="AX13" s="14">
        <v>41.679237000000001</v>
      </c>
      <c r="AY13" s="14">
        <v>36.078684000000003</v>
      </c>
      <c r="AZ13" s="15">
        <v>3227.14</v>
      </c>
      <c r="BA13" s="15">
        <v>4026.23</v>
      </c>
      <c r="BB13" s="15">
        <v>8.3840000000000003</v>
      </c>
      <c r="BC13" s="15">
        <v>15.535</v>
      </c>
      <c r="BE13" s="50">
        <f t="shared" si="12"/>
        <v>0.99457219146617648</v>
      </c>
      <c r="BF13" s="16">
        <f t="shared" si="13"/>
        <v>-1.8860290239034842E-2</v>
      </c>
      <c r="BG13" s="16">
        <f t="shared" si="14"/>
        <v>-1.3676681743310937E-3</v>
      </c>
      <c r="BH13" s="16"/>
      <c r="BJ13" s="50"/>
      <c r="BK13" s="50"/>
      <c r="BL13" s="50"/>
      <c r="BM13" s="50"/>
      <c r="BN13" s="50"/>
      <c r="BP13" s="50"/>
      <c r="BQ13" s="50"/>
      <c r="BR13" s="50"/>
      <c r="BS13" s="50"/>
      <c r="BT13" s="50"/>
      <c r="BV13" s="58">
        <f t="shared" si="16"/>
        <v>0</v>
      </c>
      <c r="BW13" s="58">
        <f t="shared" si="15"/>
        <v>0</v>
      </c>
      <c r="BX13" s="58">
        <f t="shared" si="15"/>
        <v>-13737.625</v>
      </c>
      <c r="BY13" s="58">
        <f t="shared" si="15"/>
        <v>-18720</v>
      </c>
      <c r="BZ13" s="58">
        <f t="shared" si="15"/>
        <v>0</v>
      </c>
      <c r="CA13" s="58">
        <f t="shared" si="15"/>
        <v>-18848</v>
      </c>
      <c r="CB13" s="58">
        <f t="shared" si="15"/>
        <v>0</v>
      </c>
      <c r="CC13" s="58">
        <f t="shared" si="15"/>
        <v>-0.9724379999999968</v>
      </c>
      <c r="CD13" s="58">
        <f t="shared" si="15"/>
        <v>-1.3657630000000012</v>
      </c>
      <c r="CE13" s="58">
        <f t="shared" si="15"/>
        <v>7.3500000000024102E-3</v>
      </c>
      <c r="CF13" s="58">
        <f t="shared" si="15"/>
        <v>-7.5999999999964984E-4</v>
      </c>
      <c r="CG13" s="58">
        <f t="shared" si="15"/>
        <v>2.0560000000031664E-3</v>
      </c>
      <c r="CJ13" t="s">
        <v>587</v>
      </c>
    </row>
    <row r="14" spans="1:88" ht="16" outlineLevel="1" thickBot="1" x14ac:dyDescent="0.25">
      <c r="A14" s="17"/>
      <c r="B14" s="36" t="s">
        <v>59</v>
      </c>
      <c r="C14" s="37" t="s">
        <v>237</v>
      </c>
      <c r="D14" s="36">
        <v>218121242</v>
      </c>
      <c r="E14" s="37">
        <v>10</v>
      </c>
      <c r="F14" s="37">
        <v>32</v>
      </c>
      <c r="G14" s="37">
        <v>30</v>
      </c>
      <c r="I14" s="38">
        <f t="shared" si="0"/>
        <v>12.240539999999999</v>
      </c>
      <c r="J14" s="39">
        <f t="shared" si="1"/>
        <v>5.9859259374655492E-2</v>
      </c>
      <c r="K14" s="39">
        <f t="shared" si="2"/>
        <v>2.6824237503654046E-2</v>
      </c>
      <c r="L14" s="39">
        <f t="shared" si="3"/>
        <v>2.0741492018461916E-2</v>
      </c>
      <c r="M14" s="39">
        <f t="shared" si="4"/>
        <v>3.3035021871001449E-2</v>
      </c>
      <c r="N14" s="36">
        <f t="shared" si="5"/>
        <v>5850936</v>
      </c>
      <c r="O14" s="39">
        <v>16</v>
      </c>
      <c r="P14" s="40">
        <v>22150010</v>
      </c>
      <c r="Q14" s="40">
        <v>692187.8125</v>
      </c>
      <c r="R14" s="40">
        <v>13331.5625</v>
      </c>
      <c r="S14" s="41">
        <v>13056576</v>
      </c>
      <c r="T14" s="41">
        <v>4524160</v>
      </c>
      <c r="U14" s="41">
        <v>1326776</v>
      </c>
      <c r="V14" s="41">
        <v>7205640</v>
      </c>
      <c r="W14" s="42">
        <v>70.920671999999996</v>
      </c>
      <c r="X14" s="42">
        <v>74.632659000000004</v>
      </c>
      <c r="Y14" s="42">
        <v>39.477800000000002</v>
      </c>
      <c r="Z14" s="42">
        <v>42.980525</v>
      </c>
      <c r="AA14" s="42">
        <v>38.260322000000002</v>
      </c>
      <c r="AB14" s="43">
        <v>3579.18</v>
      </c>
      <c r="AC14" s="43">
        <v>4973.7</v>
      </c>
      <c r="AD14" s="43">
        <v>59.003999999999998</v>
      </c>
      <c r="AE14" s="43">
        <v>19.795000000000002</v>
      </c>
      <c r="AG14" s="38">
        <f t="shared" si="6"/>
        <v>12.222989999999999</v>
      </c>
      <c r="AH14" s="39">
        <f t="shared" si="7"/>
        <v>5.9773435546456317E-2</v>
      </c>
      <c r="AI14" s="39">
        <f t="shared" si="8"/>
        <v>2.6737826845860339E-2</v>
      </c>
      <c r="AJ14" s="39">
        <f t="shared" si="9"/>
        <v>2.0741492018461916E-2</v>
      </c>
      <c r="AK14" s="39">
        <f t="shared" si="10"/>
        <v>3.3035021871001449E-2</v>
      </c>
      <c r="AL14" s="36">
        <f t="shared" si="11"/>
        <v>5832088</v>
      </c>
      <c r="AM14" s="39">
        <v>16</v>
      </c>
      <c r="AN14" s="40">
        <v>22150010</v>
      </c>
      <c r="AO14" s="40">
        <v>692187.8125</v>
      </c>
      <c r="AP14" s="40">
        <v>7929.90625</v>
      </c>
      <c r="AQ14" s="41">
        <v>13037856</v>
      </c>
      <c r="AR14" s="41">
        <v>4524160</v>
      </c>
      <c r="AS14" s="41">
        <v>1307928</v>
      </c>
      <c r="AT14" s="41">
        <v>7205640</v>
      </c>
      <c r="AU14" s="42">
        <v>71.140096999999997</v>
      </c>
      <c r="AV14" s="42">
        <v>74.777918999999997</v>
      </c>
      <c r="AW14" s="42">
        <v>39.540416</v>
      </c>
      <c r="AX14" s="42">
        <v>42.980559</v>
      </c>
      <c r="AY14" s="42">
        <v>38.279640999999998</v>
      </c>
      <c r="AZ14" s="43">
        <v>3338.39</v>
      </c>
      <c r="BA14" s="43">
        <v>4652.74</v>
      </c>
      <c r="BB14" s="43">
        <v>8.5579999999999998</v>
      </c>
      <c r="BC14" s="43">
        <v>18.477</v>
      </c>
      <c r="BE14" s="44">
        <f t="shared" si="12"/>
        <v>0.99677863507650732</v>
      </c>
      <c r="BF14" s="45">
        <f t="shared" si="13"/>
        <v>-7.8037436551947389E-3</v>
      </c>
      <c r="BG14" s="45">
        <f t="shared" si="14"/>
        <v>-8.022147498778498E-4</v>
      </c>
      <c r="BH14" s="45"/>
      <c r="BJ14" s="44"/>
      <c r="BK14" s="44"/>
      <c r="BL14" s="44"/>
      <c r="BM14" s="44"/>
      <c r="BN14" s="44"/>
      <c r="BP14" s="44"/>
      <c r="BQ14" s="44"/>
      <c r="BR14" s="44"/>
      <c r="BS14" s="44"/>
      <c r="BT14" s="44"/>
      <c r="BV14" s="58">
        <f t="shared" si="16"/>
        <v>0</v>
      </c>
      <c r="BW14" s="58">
        <f t="shared" si="15"/>
        <v>0</v>
      </c>
      <c r="BX14" s="58">
        <f t="shared" si="15"/>
        <v>-5401.65625</v>
      </c>
      <c r="BY14" s="58">
        <f t="shared" si="15"/>
        <v>-18720</v>
      </c>
      <c r="BZ14" s="58">
        <f t="shared" si="15"/>
        <v>0</v>
      </c>
      <c r="CA14" s="58">
        <f t="shared" si="15"/>
        <v>-18848</v>
      </c>
      <c r="CB14" s="58">
        <f t="shared" si="15"/>
        <v>0</v>
      </c>
      <c r="CC14" s="58">
        <f t="shared" si="15"/>
        <v>0.21942500000000109</v>
      </c>
      <c r="CD14" s="58">
        <f t="shared" si="15"/>
        <v>0.14525999999999328</v>
      </c>
      <c r="CE14" s="58">
        <f t="shared" si="15"/>
        <v>6.2615999999998451E-2</v>
      </c>
      <c r="CF14" s="58">
        <f t="shared" si="15"/>
        <v>3.399999999942338E-5</v>
      </c>
      <c r="CG14" s="58">
        <f t="shared" si="15"/>
        <v>1.9318999999995867E-2</v>
      </c>
      <c r="CJ14" t="s">
        <v>587</v>
      </c>
    </row>
    <row r="15" spans="1:88" x14ac:dyDescent="0.2">
      <c r="A15" s="52"/>
      <c r="B15" s="52" t="s">
        <v>64</v>
      </c>
      <c r="C15" s="9" t="s">
        <v>232</v>
      </c>
      <c r="D15" s="52">
        <v>322589704</v>
      </c>
      <c r="E15" s="9">
        <v>10</v>
      </c>
      <c r="F15" s="9">
        <v>32</v>
      </c>
      <c r="G15" s="9">
        <v>30</v>
      </c>
      <c r="I15" s="10">
        <f t="shared" si="0"/>
        <v>1.6267125</v>
      </c>
      <c r="J15" s="11">
        <f t="shared" si="1"/>
        <v>5.3788449491246008E-3</v>
      </c>
      <c r="K15" s="11">
        <f t="shared" si="2"/>
        <v>4.5265920824305046E-3</v>
      </c>
      <c r="L15" s="11">
        <f t="shared" si="3"/>
        <v>2.3656551667253461E-3</v>
      </c>
      <c r="M15" s="11">
        <f t="shared" si="4"/>
        <v>8.5225286669409633E-4</v>
      </c>
      <c r="N15" s="52">
        <f t="shared" si="5"/>
        <v>1460232</v>
      </c>
      <c r="O15" s="11">
        <v>16</v>
      </c>
      <c r="P15" s="12">
        <v>32415907</v>
      </c>
      <c r="Q15" s="12">
        <v>1012997.09375</v>
      </c>
      <c r="R15" s="12">
        <v>32038.09375</v>
      </c>
      <c r="S15" s="13">
        <v>1735160</v>
      </c>
      <c r="T15" s="13">
        <v>763136</v>
      </c>
      <c r="U15" s="13">
        <v>697096</v>
      </c>
      <c r="V15" s="13">
        <v>274928</v>
      </c>
      <c r="W15" s="14">
        <v>66.298768999999993</v>
      </c>
      <c r="X15" s="14">
        <v>67.850190999999995</v>
      </c>
      <c r="Y15" s="14">
        <v>29.251728</v>
      </c>
      <c r="Z15" s="14">
        <v>43.488112000000001</v>
      </c>
      <c r="AA15" s="14">
        <v>43.716256000000001</v>
      </c>
      <c r="AB15" s="15">
        <v>5689.56</v>
      </c>
      <c r="AC15" s="15">
        <v>3628.67</v>
      </c>
      <c r="AD15" s="15">
        <v>91.161000000000001</v>
      </c>
      <c r="AE15" s="15">
        <v>19.015999999999998</v>
      </c>
      <c r="AG15" s="10">
        <f t="shared" si="6"/>
        <v>1.6141049999999999</v>
      </c>
      <c r="AH15" s="11">
        <f t="shared" si="7"/>
        <v>5.3371573198132821E-3</v>
      </c>
      <c r="AI15" s="11">
        <f t="shared" si="8"/>
        <v>4.4845076642619688E-3</v>
      </c>
      <c r="AJ15" s="11">
        <f t="shared" si="9"/>
        <v>2.3656551667253461E-3</v>
      </c>
      <c r="AK15" s="11">
        <f t="shared" si="10"/>
        <v>8.5225286669409633E-4</v>
      </c>
      <c r="AL15" s="52">
        <f t="shared" si="11"/>
        <v>1446656</v>
      </c>
      <c r="AM15" s="11">
        <v>16</v>
      </c>
      <c r="AN15" s="12">
        <v>32415907</v>
      </c>
      <c r="AO15" s="12">
        <v>1012997.09375</v>
      </c>
      <c r="AP15" s="12">
        <v>14766.46875</v>
      </c>
      <c r="AQ15" s="13">
        <v>1721712</v>
      </c>
      <c r="AR15" s="13">
        <v>763136</v>
      </c>
      <c r="AS15" s="13">
        <v>683520</v>
      </c>
      <c r="AT15" s="13">
        <v>274928</v>
      </c>
      <c r="AU15" s="14">
        <v>65.648397000000003</v>
      </c>
      <c r="AV15" s="14">
        <v>66.998981000000001</v>
      </c>
      <c r="AW15" s="14">
        <v>29.247952999999999</v>
      </c>
      <c r="AX15" s="14">
        <v>43.481915999999998</v>
      </c>
      <c r="AY15" s="14">
        <v>43.710250000000002</v>
      </c>
      <c r="AZ15" s="15">
        <v>4897.18</v>
      </c>
      <c r="BA15" s="15">
        <v>2781.58</v>
      </c>
      <c r="BB15" s="15">
        <v>11.744999999999999</v>
      </c>
      <c r="BC15" s="15">
        <v>14.474</v>
      </c>
      <c r="BE15" s="50">
        <f t="shared" si="12"/>
        <v>0.99070284721879798</v>
      </c>
      <c r="BF15" s="16">
        <f t="shared" si="13"/>
        <v>-1.7050024236557687E-2</v>
      </c>
      <c r="BG15" s="16">
        <f t="shared" si="14"/>
        <v>-1.3119341719862732E-3</v>
      </c>
      <c r="BH15" s="16">
        <f t="array" ref="BH15">AVERAGE(AL15:AL19/AQ15:AQ19) - AVERAGE(N15:N19/S15:S19)</f>
        <v>-1.1590503556425658E-3</v>
      </c>
      <c r="BJ15" s="50">
        <f>IF( OR(ISBLANK(N15:N19),ISBLANK(AL15:AL19), ISBLANK(W15:W19),ISBLANK(AU15:AU19)), "·", bdRateExtend( N15:N19,W15:W19, AL15:AL19,AU15:AU19))</f>
        <v>0.21449049698841161</v>
      </c>
      <c r="BK15" s="50">
        <f>IF( OR(ISBLANK(N15:N19),ISBLANK(AL15:AL19), ISBLANK(X15:X19),ISBLANK(AV15:AV19)), "·", bdRateExtend( N15:N19,X15:X19, AL15:AL19,AV15:AV19))</f>
        <v>0.24337272516583841</v>
      </c>
      <c r="BL15" s="50">
        <f>IF( OR(ISBLANK(V15:V19),ISBLANK(AT15:AT19), ISBLANK(Y15:Y19),ISBLANK(AW15:AW19)), "·", bdRateExtend( V15:V19,Y15:Y19, AT15:AT19,AW15:AW19))</f>
        <v>-6.4050375086120992E-3</v>
      </c>
      <c r="BM15" s="50">
        <f>IF( OR(ISBLANK(V15:V19),ISBLANK(AT15:AT19), ISBLANK(Z15:Z19),ISBLANK(AX15:AX19)), "·", bdRateExtend( V15:V19,Z15:Z19, AT15:AT19,AX15:AX19))</f>
        <v>1.2218929278380308E-3</v>
      </c>
      <c r="BN15" s="50">
        <f>IF( OR(ISBLANK(V15:V19),ISBLANK(AT15:AT19), ISBLANK(AA15:AA19),ISBLANK(AY15:AY19)), "·", bdRateExtend( V15:V19,AA15:AA19, AT15:AT19,AY15:AY19))</f>
        <v>8.9160154330181207E-4</v>
      </c>
      <c r="BP15" s="50">
        <f>IF( OR(ISBLANK(S15:S19),ISBLANK(AQ15:AQ19), ISBLANK(W15:W19),ISBLANK(AU15:AU19)), "·", bdRateExtend( S15:S19,W15:W19, AQ15:AQ19,AU15:AU19))</f>
        <v>0.33335687238725265</v>
      </c>
      <c r="BQ15" s="50">
        <f>IF( OR(ISBLANK(S15:S19),ISBLANK(AQ15:AQ19), ISBLANK(X15:X19),ISBLANK(AV15:AV19)), "·", bdRateExtend( S15:S19,X15:X19, AQ15:AQ19,AV15:AV19))</f>
        <v>0.37499132624675213</v>
      </c>
      <c r="BR15" s="50">
        <f>IF( OR(ISBLANK(S15:S19),ISBLANK(AQ15:AQ19), ISBLANK(Y15:Y19),ISBLANK(AW15:AW19)), "·", bdRateExtend( S15:S19,Y15:Y19, AQ15:AQ19,AW15:AW19))</f>
        <v>-9.2471489867606005E-3</v>
      </c>
      <c r="BS15" s="50">
        <f>IF( OR(ISBLANK(S15:S19),ISBLANK(AQ15:AQ19), ISBLANK(Z15:Z19),ISBLANK(AX15:AX19)), "·", bdRateExtend( S15:S19,Z15:Z19, AQ15:AQ19,AX15:AX19))</f>
        <v>-2.8789172523532303E-3</v>
      </c>
      <c r="BT15" s="50">
        <f>IF( OR(ISBLANK(S15:S19),ISBLANK(AQ15:AQ19), ISBLANK(AA15:AA19),ISBLANK(AY15:AY19)), "·", bdRateExtend( S15:S19,AA15:AA19, AQ15:AQ19,AY15:AY19))</f>
        <v>-3.1382519746856463E-3</v>
      </c>
      <c r="BV15" s="58">
        <f t="shared" si="16"/>
        <v>0</v>
      </c>
      <c r="BW15" s="58">
        <f t="shared" si="15"/>
        <v>0</v>
      </c>
      <c r="BX15" s="58">
        <f t="shared" si="15"/>
        <v>-17271.625</v>
      </c>
      <c r="BY15" s="58">
        <f t="shared" si="15"/>
        <v>-13448</v>
      </c>
      <c r="BZ15" s="58">
        <f t="shared" si="15"/>
        <v>0</v>
      </c>
      <c r="CA15" s="58">
        <f t="shared" si="15"/>
        <v>-13576</v>
      </c>
      <c r="CB15" s="58">
        <f t="shared" si="15"/>
        <v>0</v>
      </c>
      <c r="CC15" s="58">
        <f t="shared" si="15"/>
        <v>-0.65037199999999018</v>
      </c>
      <c r="CD15" s="58">
        <f t="shared" si="15"/>
        <v>-0.85120999999999469</v>
      </c>
      <c r="CE15" s="58">
        <f t="shared" si="15"/>
        <v>-3.775000000000972E-3</v>
      </c>
      <c r="CF15" s="58">
        <f t="shared" si="15"/>
        <v>-6.1960000000027549E-3</v>
      </c>
      <c r="CG15" s="58">
        <f t="shared" si="15"/>
        <v>-6.0059999999992897E-3</v>
      </c>
      <c r="CJ15" t="s">
        <v>233</v>
      </c>
    </row>
    <row r="16" spans="1:88" outlineLevel="1" x14ac:dyDescent="0.2">
      <c r="A16" s="17"/>
      <c r="B16" s="17" t="s">
        <v>64</v>
      </c>
      <c r="C16" s="18" t="s">
        <v>234</v>
      </c>
      <c r="D16" s="17">
        <v>322589704</v>
      </c>
      <c r="E16" s="18">
        <v>10</v>
      </c>
      <c r="F16" s="18">
        <v>32</v>
      </c>
      <c r="G16" s="18">
        <v>30</v>
      </c>
      <c r="I16" s="19">
        <f t="shared" si="0"/>
        <v>2.1293625</v>
      </c>
      <c r="J16" s="20">
        <f t="shared" si="1"/>
        <v>7.040894274790618E-3</v>
      </c>
      <c r="K16" s="20">
        <f t="shared" si="2"/>
        <v>5.4569131567819657E-3</v>
      </c>
      <c r="L16" s="20">
        <f t="shared" si="3"/>
        <v>3.2959762410768078E-3</v>
      </c>
      <c r="M16" s="20">
        <f t="shared" si="4"/>
        <v>1.5839811180086516E-3</v>
      </c>
      <c r="N16" s="17">
        <f t="shared" si="5"/>
        <v>1760344</v>
      </c>
      <c r="O16" s="20">
        <v>16</v>
      </c>
      <c r="P16" s="21">
        <v>33874164</v>
      </c>
      <c r="Q16" s="21">
        <v>1058567.625</v>
      </c>
      <c r="R16" s="21">
        <v>36864.21875</v>
      </c>
      <c r="S16" s="22">
        <v>2271320</v>
      </c>
      <c r="T16" s="22">
        <v>1063248</v>
      </c>
      <c r="U16" s="22">
        <v>697096</v>
      </c>
      <c r="V16" s="22">
        <v>510976</v>
      </c>
      <c r="W16" s="23">
        <v>68.029634000000001</v>
      </c>
      <c r="X16" s="23">
        <v>70.006816000000001</v>
      </c>
      <c r="Y16" s="23">
        <v>31.568781000000001</v>
      </c>
      <c r="Z16" s="23">
        <v>44.070134000000003</v>
      </c>
      <c r="AA16" s="23">
        <v>44.423062999999999</v>
      </c>
      <c r="AB16" s="24">
        <v>5092.1099999999997</v>
      </c>
      <c r="AC16" s="24">
        <v>3105.25</v>
      </c>
      <c r="AD16" s="24">
        <v>86.966999999999999</v>
      </c>
      <c r="AE16" s="24">
        <v>14.962</v>
      </c>
      <c r="AG16" s="19">
        <f t="shared" si="6"/>
        <v>2.1167549999999999</v>
      </c>
      <c r="AH16" s="20">
        <f t="shared" si="7"/>
        <v>6.9992066454792994E-3</v>
      </c>
      <c r="AI16" s="20">
        <f t="shared" si="8"/>
        <v>5.4148287386134308E-3</v>
      </c>
      <c r="AJ16" s="20">
        <f t="shared" si="9"/>
        <v>3.2959762410768078E-3</v>
      </c>
      <c r="AK16" s="20">
        <f t="shared" si="10"/>
        <v>1.5839811180086516E-3</v>
      </c>
      <c r="AL16" s="17">
        <f t="shared" si="11"/>
        <v>1746768</v>
      </c>
      <c r="AM16" s="20">
        <v>16</v>
      </c>
      <c r="AN16" s="21">
        <v>33874164</v>
      </c>
      <c r="AO16" s="21">
        <v>1058567.625</v>
      </c>
      <c r="AP16" s="21">
        <v>17748.90625</v>
      </c>
      <c r="AQ16" s="22">
        <v>2257872</v>
      </c>
      <c r="AR16" s="22">
        <v>1063248</v>
      </c>
      <c r="AS16" s="22">
        <v>683520</v>
      </c>
      <c r="AT16" s="22">
        <v>510976</v>
      </c>
      <c r="AU16" s="23">
        <v>67.237071999999998</v>
      </c>
      <c r="AV16" s="23">
        <v>68.929309000000003</v>
      </c>
      <c r="AW16" s="23">
        <v>31.567758999999999</v>
      </c>
      <c r="AX16" s="23">
        <v>44.066412</v>
      </c>
      <c r="AY16" s="23">
        <v>44.420158999999998</v>
      </c>
      <c r="AZ16" s="24">
        <v>6294.77</v>
      </c>
      <c r="BA16" s="24">
        <v>4046.15</v>
      </c>
      <c r="BB16" s="24">
        <v>15.178000000000001</v>
      </c>
      <c r="BC16" s="24">
        <v>19.629000000000001</v>
      </c>
      <c r="BE16" s="49">
        <f t="shared" si="12"/>
        <v>0.99228787100703053</v>
      </c>
      <c r="BF16" s="25">
        <f t="shared" si="13"/>
        <v>-1.8057715018442968E-2</v>
      </c>
      <c r="BG16" s="25">
        <f t="shared" si="14"/>
        <v>-1.3966157621793096E-3</v>
      </c>
      <c r="BH16" s="25"/>
      <c r="BJ16" s="49"/>
      <c r="BK16" s="49"/>
      <c r="BL16" s="49"/>
      <c r="BM16" s="49"/>
      <c r="BN16" s="49"/>
      <c r="BP16" s="49"/>
      <c r="BQ16" s="49"/>
      <c r="BR16" s="49"/>
      <c r="BS16" s="49"/>
      <c r="BT16" s="49"/>
      <c r="BV16" s="58">
        <f t="shared" si="16"/>
        <v>0</v>
      </c>
      <c r="BW16" s="58">
        <f t="shared" si="15"/>
        <v>0</v>
      </c>
      <c r="BX16" s="58">
        <f t="shared" si="15"/>
        <v>-19115.3125</v>
      </c>
      <c r="BY16" s="58">
        <f t="shared" si="15"/>
        <v>-13448</v>
      </c>
      <c r="BZ16" s="58">
        <f t="shared" si="15"/>
        <v>0</v>
      </c>
      <c r="CA16" s="58">
        <f t="shared" si="15"/>
        <v>-13576</v>
      </c>
      <c r="CB16" s="58">
        <f t="shared" si="15"/>
        <v>0</v>
      </c>
      <c r="CC16" s="58">
        <f t="shared" si="15"/>
        <v>-0.79256200000000376</v>
      </c>
      <c r="CD16" s="58">
        <f t="shared" si="15"/>
        <v>-1.0775069999999971</v>
      </c>
      <c r="CE16" s="58">
        <f t="shared" si="15"/>
        <v>-1.0220000000025209E-3</v>
      </c>
      <c r="CF16" s="58">
        <f t="shared" si="15"/>
        <v>-3.7220000000033338E-3</v>
      </c>
      <c r="CG16" s="58">
        <f t="shared" si="15"/>
        <v>-2.9040000000009059E-3</v>
      </c>
      <c r="CJ16" t="s">
        <v>233</v>
      </c>
    </row>
    <row r="17" spans="1:88" outlineLevel="1" x14ac:dyDescent="0.2">
      <c r="A17" s="52"/>
      <c r="B17" s="52" t="s">
        <v>64</v>
      </c>
      <c r="C17" s="9" t="s">
        <v>235</v>
      </c>
      <c r="D17" s="52">
        <v>322589704</v>
      </c>
      <c r="E17" s="9">
        <v>10</v>
      </c>
      <c r="F17" s="9">
        <v>32</v>
      </c>
      <c r="G17" s="9">
        <v>30</v>
      </c>
      <c r="I17" s="10">
        <f t="shared" si="0"/>
        <v>2.9996174999999998</v>
      </c>
      <c r="J17" s="11">
        <f t="shared" si="1"/>
        <v>9.9184566659325252E-3</v>
      </c>
      <c r="K17" s="11">
        <f t="shared" si="2"/>
        <v>6.6616633245058562E-3</v>
      </c>
      <c r="L17" s="11">
        <f t="shared" si="3"/>
        <v>4.5007264088006973E-3</v>
      </c>
      <c r="M17" s="11">
        <f t="shared" si="4"/>
        <v>3.2567933414266686E-3</v>
      </c>
      <c r="N17" s="52">
        <f t="shared" si="5"/>
        <v>2148984</v>
      </c>
      <c r="O17" s="11">
        <v>16</v>
      </c>
      <c r="P17" s="12">
        <v>33778649</v>
      </c>
      <c r="Q17" s="12">
        <v>1055582.78125</v>
      </c>
      <c r="R17" s="12">
        <v>37421.1875</v>
      </c>
      <c r="S17" s="13">
        <v>3199592</v>
      </c>
      <c r="T17" s="13">
        <v>1451888</v>
      </c>
      <c r="U17" s="13">
        <v>697096</v>
      </c>
      <c r="V17" s="13">
        <v>1050608</v>
      </c>
      <c r="W17" s="14">
        <v>69.351502999999994</v>
      </c>
      <c r="X17" s="14">
        <v>71.840316000000001</v>
      </c>
      <c r="Y17" s="14">
        <v>33.951681000000001</v>
      </c>
      <c r="Z17" s="14">
        <v>45.159981000000002</v>
      </c>
      <c r="AA17" s="14">
        <v>45.538837999999998</v>
      </c>
      <c r="AB17" s="15">
        <v>5075.76</v>
      </c>
      <c r="AC17" s="15">
        <v>3375.22</v>
      </c>
      <c r="AD17" s="15">
        <v>86.203000000000003</v>
      </c>
      <c r="AE17" s="15">
        <v>14.545</v>
      </c>
      <c r="AG17" s="10">
        <f t="shared" si="6"/>
        <v>2.9870100000000002</v>
      </c>
      <c r="AH17" s="11">
        <f t="shared" si="7"/>
        <v>9.8767690366212066E-3</v>
      </c>
      <c r="AI17" s="11">
        <f t="shared" si="8"/>
        <v>6.6195789063373204E-3</v>
      </c>
      <c r="AJ17" s="11">
        <f t="shared" si="9"/>
        <v>4.5007264088006973E-3</v>
      </c>
      <c r="AK17" s="11">
        <f t="shared" si="10"/>
        <v>3.2567933414266686E-3</v>
      </c>
      <c r="AL17" s="52">
        <f t="shared" si="11"/>
        <v>2135408</v>
      </c>
      <c r="AM17" s="11">
        <v>16</v>
      </c>
      <c r="AN17" s="12">
        <v>33778649</v>
      </c>
      <c r="AO17" s="12">
        <v>1055582.78125</v>
      </c>
      <c r="AP17" s="12">
        <v>19085.90625</v>
      </c>
      <c r="AQ17" s="13">
        <v>3186144</v>
      </c>
      <c r="AR17" s="13">
        <v>1451888</v>
      </c>
      <c r="AS17" s="13">
        <v>683520</v>
      </c>
      <c r="AT17" s="13">
        <v>1050608</v>
      </c>
      <c r="AU17" s="14">
        <v>68.613743999999997</v>
      </c>
      <c r="AV17" s="14">
        <v>70.600312000000002</v>
      </c>
      <c r="AW17" s="14">
        <v>33.957571999999999</v>
      </c>
      <c r="AX17" s="14">
        <v>45.158571999999999</v>
      </c>
      <c r="AY17" s="14">
        <v>45.537469000000002</v>
      </c>
      <c r="AZ17" s="15">
        <v>4665.05</v>
      </c>
      <c r="BA17" s="15">
        <v>3062.94</v>
      </c>
      <c r="BB17" s="15">
        <v>11.994</v>
      </c>
      <c r="BC17" s="15">
        <v>14.49</v>
      </c>
      <c r="BE17" s="50">
        <f t="shared" si="12"/>
        <v>0.99368259605469367</v>
      </c>
      <c r="BF17" s="16">
        <f t="shared" si="13"/>
        <v>-1.7369818431755519E-2</v>
      </c>
      <c r="BG17" s="16">
        <f t="shared" si="14"/>
        <v>-1.4260947173915239E-3</v>
      </c>
      <c r="BH17" s="16"/>
      <c r="BJ17" s="50"/>
      <c r="BK17" s="50"/>
      <c r="BL17" s="50"/>
      <c r="BM17" s="50"/>
      <c r="BN17" s="50"/>
      <c r="BP17" s="50"/>
      <c r="BQ17" s="50"/>
      <c r="BR17" s="50"/>
      <c r="BS17" s="50"/>
      <c r="BT17" s="50"/>
      <c r="BV17" s="58">
        <f t="shared" si="16"/>
        <v>0</v>
      </c>
      <c r="BW17" s="58">
        <f t="shared" si="15"/>
        <v>0</v>
      </c>
      <c r="BX17" s="58">
        <f t="shared" si="15"/>
        <v>-18335.28125</v>
      </c>
      <c r="BY17" s="58">
        <f t="shared" si="15"/>
        <v>-13448</v>
      </c>
      <c r="BZ17" s="58">
        <f t="shared" si="15"/>
        <v>0</v>
      </c>
      <c r="CA17" s="58">
        <f t="shared" si="15"/>
        <v>-13576</v>
      </c>
      <c r="CB17" s="58">
        <f t="shared" si="15"/>
        <v>0</v>
      </c>
      <c r="CC17" s="58">
        <f t="shared" si="15"/>
        <v>-0.73775899999999695</v>
      </c>
      <c r="CD17" s="58">
        <f t="shared" si="15"/>
        <v>-1.240003999999999</v>
      </c>
      <c r="CE17" s="58">
        <f t="shared" si="15"/>
        <v>5.8909999999983143E-3</v>
      </c>
      <c r="CF17" s="58">
        <f t="shared" si="15"/>
        <v>-1.4090000000024361E-3</v>
      </c>
      <c r="CG17" s="58">
        <f t="shared" si="15"/>
        <v>-1.368999999996845E-3</v>
      </c>
      <c r="CJ17" t="s">
        <v>233</v>
      </c>
    </row>
    <row r="18" spans="1:88" outlineLevel="1" x14ac:dyDescent="0.2">
      <c r="A18" s="17"/>
      <c r="B18" s="17" t="s">
        <v>64</v>
      </c>
      <c r="C18" s="18" t="s">
        <v>236</v>
      </c>
      <c r="D18" s="17">
        <v>322589704</v>
      </c>
      <c r="E18" s="18">
        <v>10</v>
      </c>
      <c r="F18" s="18">
        <v>32</v>
      </c>
      <c r="G18" s="18">
        <v>30</v>
      </c>
      <c r="I18" s="19">
        <f t="shared" si="0"/>
        <v>5.2765500000000003</v>
      </c>
      <c r="J18" s="20">
        <f t="shared" si="1"/>
        <v>1.7447302037885252E-2</v>
      </c>
      <c r="K18" s="20">
        <f t="shared" si="2"/>
        <v>9.9237637168977967E-3</v>
      </c>
      <c r="L18" s="20">
        <f t="shared" si="3"/>
        <v>7.7628268011926379E-3</v>
      </c>
      <c r="M18" s="20">
        <f t="shared" si="4"/>
        <v>7.5235383209874551E-3</v>
      </c>
      <c r="N18" s="17">
        <f t="shared" si="5"/>
        <v>3201304</v>
      </c>
      <c r="O18" s="20">
        <v>16</v>
      </c>
      <c r="P18" s="21">
        <v>34914325</v>
      </c>
      <c r="Q18" s="21">
        <v>1091072.65625</v>
      </c>
      <c r="R18" s="21">
        <v>41603.21875</v>
      </c>
      <c r="S18" s="22">
        <v>5628320</v>
      </c>
      <c r="T18" s="22">
        <v>2504208</v>
      </c>
      <c r="U18" s="22">
        <v>697096</v>
      </c>
      <c r="V18" s="22">
        <v>2427016</v>
      </c>
      <c r="W18" s="23">
        <v>70.529849999999996</v>
      </c>
      <c r="X18" s="23">
        <v>73.133384000000007</v>
      </c>
      <c r="Y18" s="23">
        <v>36.284100000000002</v>
      </c>
      <c r="Z18" s="23">
        <v>46.412683999999999</v>
      </c>
      <c r="AA18" s="23">
        <v>47.006613000000002</v>
      </c>
      <c r="AB18" s="24">
        <v>5332.38</v>
      </c>
      <c r="AC18" s="24">
        <v>3802.59</v>
      </c>
      <c r="AD18" s="24">
        <v>91.251999999999995</v>
      </c>
      <c r="AE18" s="24">
        <v>16.547999999999998</v>
      </c>
      <c r="AG18" s="19">
        <f t="shared" si="6"/>
        <v>5.2639424999999997</v>
      </c>
      <c r="AH18" s="20">
        <f t="shared" si="7"/>
        <v>1.7405614408573931E-2</v>
      </c>
      <c r="AI18" s="20">
        <f t="shared" si="8"/>
        <v>9.8816792987292609E-3</v>
      </c>
      <c r="AJ18" s="20">
        <f t="shared" si="9"/>
        <v>7.7628268011926379E-3</v>
      </c>
      <c r="AK18" s="20">
        <f t="shared" si="10"/>
        <v>7.5235383209874551E-3</v>
      </c>
      <c r="AL18" s="17">
        <f t="shared" si="11"/>
        <v>3187728</v>
      </c>
      <c r="AM18" s="20">
        <v>16</v>
      </c>
      <c r="AN18" s="21">
        <v>34914325</v>
      </c>
      <c r="AO18" s="21">
        <v>1091072.65625</v>
      </c>
      <c r="AP18" s="21">
        <v>21612.625</v>
      </c>
      <c r="AQ18" s="22">
        <v>5614872</v>
      </c>
      <c r="AR18" s="22">
        <v>2504208</v>
      </c>
      <c r="AS18" s="22">
        <v>683520</v>
      </c>
      <c r="AT18" s="22">
        <v>2427016</v>
      </c>
      <c r="AU18" s="23">
        <v>69.468108999999998</v>
      </c>
      <c r="AV18" s="23">
        <v>71.583909000000006</v>
      </c>
      <c r="AW18" s="23">
        <v>36.300427999999997</v>
      </c>
      <c r="AX18" s="23">
        <v>46.412402999999998</v>
      </c>
      <c r="AY18" s="23">
        <v>47.007013000000001</v>
      </c>
      <c r="AZ18" s="24">
        <v>4897.37</v>
      </c>
      <c r="BA18" s="24">
        <v>3470.19</v>
      </c>
      <c r="BB18" s="24">
        <v>12.367000000000001</v>
      </c>
      <c r="BC18" s="24">
        <v>15.725</v>
      </c>
      <c r="BE18" s="49">
        <f t="shared" si="12"/>
        <v>0.99575922811454332</v>
      </c>
      <c r="BF18" s="25">
        <f t="shared" si="13"/>
        <v>-1.8321963835760825E-2</v>
      </c>
      <c r="BG18" s="25">
        <f t="shared" si="14"/>
        <v>-1.0555858261727114E-3</v>
      </c>
      <c r="BH18" s="25"/>
      <c r="BJ18" s="49"/>
      <c r="BK18" s="49"/>
      <c r="BL18" s="49"/>
      <c r="BM18" s="49"/>
      <c r="BN18" s="49"/>
      <c r="BP18" s="49"/>
      <c r="BQ18" s="49"/>
      <c r="BR18" s="49"/>
      <c r="BS18" s="49"/>
      <c r="BT18" s="49"/>
      <c r="BV18" s="58">
        <f t="shared" si="16"/>
        <v>0</v>
      </c>
      <c r="BW18" s="58">
        <f t="shared" si="15"/>
        <v>0</v>
      </c>
      <c r="BX18" s="58">
        <f t="shared" si="15"/>
        <v>-19990.59375</v>
      </c>
      <c r="BY18" s="58">
        <f t="shared" si="15"/>
        <v>-13448</v>
      </c>
      <c r="BZ18" s="58">
        <f t="shared" si="15"/>
        <v>0</v>
      </c>
      <c r="CA18" s="58">
        <f t="shared" si="15"/>
        <v>-13576</v>
      </c>
      <c r="CB18" s="58">
        <f t="shared" si="15"/>
        <v>0</v>
      </c>
      <c r="CC18" s="58">
        <f t="shared" si="15"/>
        <v>-1.0617409999999978</v>
      </c>
      <c r="CD18" s="58">
        <f t="shared" si="15"/>
        <v>-1.549475000000001</v>
      </c>
      <c r="CE18" s="58">
        <f t="shared" si="15"/>
        <v>1.6327999999994347E-2</v>
      </c>
      <c r="CF18" s="58">
        <f t="shared" si="15"/>
        <v>-2.8100000000108594E-4</v>
      </c>
      <c r="CG18" s="58">
        <f t="shared" si="15"/>
        <v>3.9999999999906777E-4</v>
      </c>
      <c r="CJ18" t="s">
        <v>233</v>
      </c>
    </row>
    <row r="19" spans="1:88" ht="16" outlineLevel="1" thickBot="1" x14ac:dyDescent="0.25">
      <c r="A19" s="52"/>
      <c r="B19" s="26" t="s">
        <v>64</v>
      </c>
      <c r="C19" s="27" t="s">
        <v>237</v>
      </c>
      <c r="D19" s="26">
        <v>322589704</v>
      </c>
      <c r="E19" s="27">
        <v>10</v>
      </c>
      <c r="F19" s="27">
        <v>32</v>
      </c>
      <c r="G19" s="27">
        <v>30</v>
      </c>
      <c r="I19" s="28">
        <f t="shared" si="0"/>
        <v>11.4147675</v>
      </c>
      <c r="J19" s="29">
        <f t="shared" si="1"/>
        <v>3.7743771264317848E-2</v>
      </c>
      <c r="K19" s="29">
        <f t="shared" si="2"/>
        <v>1.7450451549439409E-2</v>
      </c>
      <c r="L19" s="29">
        <f t="shared" si="3"/>
        <v>1.2811841012755943E-2</v>
      </c>
      <c r="M19" s="29">
        <f t="shared" si="4"/>
        <v>2.0293319714878438E-2</v>
      </c>
      <c r="N19" s="26">
        <f t="shared" si="5"/>
        <v>5629336</v>
      </c>
      <c r="O19" s="29">
        <v>16</v>
      </c>
      <c r="P19" s="30">
        <v>33019287</v>
      </c>
      <c r="Q19" s="30">
        <v>1031852.71875</v>
      </c>
      <c r="R19" s="30">
        <v>17790.15625</v>
      </c>
      <c r="S19" s="31">
        <v>12175752</v>
      </c>
      <c r="T19" s="31">
        <v>4132968</v>
      </c>
      <c r="U19" s="31">
        <v>1496368</v>
      </c>
      <c r="V19" s="31">
        <v>6546416</v>
      </c>
      <c r="W19" s="32">
        <v>71.185569000000001</v>
      </c>
      <c r="X19" s="32">
        <v>75.071019000000007</v>
      </c>
      <c r="Y19" s="32">
        <v>38.708165999999999</v>
      </c>
      <c r="Z19" s="32">
        <v>48.191471999999997</v>
      </c>
      <c r="AA19" s="32">
        <v>48.813738000000001</v>
      </c>
      <c r="AB19" s="33">
        <v>5222.8900000000003</v>
      </c>
      <c r="AC19" s="33">
        <v>4186.43</v>
      </c>
      <c r="AD19" s="33">
        <v>85.254000000000005</v>
      </c>
      <c r="AE19" s="33">
        <v>18.634</v>
      </c>
      <c r="AG19" s="28">
        <f t="shared" si="6"/>
        <v>11.40216</v>
      </c>
      <c r="AH19" s="29">
        <f t="shared" si="7"/>
        <v>3.7702083635006531E-2</v>
      </c>
      <c r="AI19" s="29">
        <f t="shared" si="8"/>
        <v>1.7408367131270874E-2</v>
      </c>
      <c r="AJ19" s="29">
        <f t="shared" si="9"/>
        <v>1.2811841012755943E-2</v>
      </c>
      <c r="AK19" s="29">
        <f t="shared" si="10"/>
        <v>2.0293319714878438E-2</v>
      </c>
      <c r="AL19" s="26">
        <f t="shared" si="11"/>
        <v>5615760</v>
      </c>
      <c r="AM19" s="29">
        <v>16</v>
      </c>
      <c r="AN19" s="30">
        <v>33019287</v>
      </c>
      <c r="AO19" s="30">
        <v>1031852.71875</v>
      </c>
      <c r="AP19" s="30">
        <v>10977.6875</v>
      </c>
      <c r="AQ19" s="31">
        <v>12162304</v>
      </c>
      <c r="AR19" s="31">
        <v>4132968</v>
      </c>
      <c r="AS19" s="31">
        <v>1482792</v>
      </c>
      <c r="AT19" s="31">
        <v>6546416</v>
      </c>
      <c r="AU19" s="32">
        <v>71.384743999999998</v>
      </c>
      <c r="AV19" s="32">
        <v>75.224619000000004</v>
      </c>
      <c r="AW19" s="32">
        <v>38.817034</v>
      </c>
      <c r="AX19" s="32">
        <v>48.190649999999998</v>
      </c>
      <c r="AY19" s="32">
        <v>48.812430999999997</v>
      </c>
      <c r="AZ19" s="33">
        <v>4746.46</v>
      </c>
      <c r="BA19" s="33">
        <v>3935.97</v>
      </c>
      <c r="BB19" s="33">
        <v>10.903</v>
      </c>
      <c r="BC19" s="33">
        <v>16.481999999999999</v>
      </c>
      <c r="BE19" s="34">
        <f t="shared" si="12"/>
        <v>0.99758834789751394</v>
      </c>
      <c r="BF19" s="35">
        <f t="shared" si="13"/>
        <v>-6.6021716338090525E-3</v>
      </c>
      <c r="BG19" s="35">
        <f t="shared" si="14"/>
        <v>-6.0502130048262215E-4</v>
      </c>
      <c r="BH19" s="35"/>
      <c r="BJ19" s="34"/>
      <c r="BK19" s="34"/>
      <c r="BL19" s="34"/>
      <c r="BM19" s="34"/>
      <c r="BN19" s="34"/>
      <c r="BP19" s="34"/>
      <c r="BQ19" s="34"/>
      <c r="BR19" s="34"/>
      <c r="BS19" s="34"/>
      <c r="BT19" s="34"/>
      <c r="BV19" s="58">
        <f t="shared" si="16"/>
        <v>0</v>
      </c>
      <c r="BW19" s="58">
        <f t="shared" si="15"/>
        <v>0</v>
      </c>
      <c r="BX19" s="58">
        <f t="shared" si="15"/>
        <v>-6812.46875</v>
      </c>
      <c r="BY19" s="58">
        <f t="shared" si="15"/>
        <v>-13448</v>
      </c>
      <c r="BZ19" s="58">
        <f t="shared" si="15"/>
        <v>0</v>
      </c>
      <c r="CA19" s="58">
        <f t="shared" si="15"/>
        <v>-13576</v>
      </c>
      <c r="CB19" s="58">
        <f t="shared" si="15"/>
        <v>0</v>
      </c>
      <c r="CC19" s="58">
        <f t="shared" si="15"/>
        <v>0.19917499999999677</v>
      </c>
      <c r="CD19" s="58">
        <f t="shared" si="15"/>
        <v>0.15359999999999729</v>
      </c>
      <c r="CE19" s="58">
        <f t="shared" si="15"/>
        <v>0.10886800000000108</v>
      </c>
      <c r="CF19" s="58">
        <f t="shared" si="15"/>
        <v>-8.2199999999943429E-4</v>
      </c>
      <c r="CG19" s="58">
        <f t="shared" si="15"/>
        <v>-1.3070000000041659E-3</v>
      </c>
      <c r="CJ19" t="s">
        <v>233</v>
      </c>
    </row>
    <row r="20" spans="1:88" x14ac:dyDescent="0.2">
      <c r="A20" s="17"/>
      <c r="B20" s="17" t="s">
        <v>70</v>
      </c>
      <c r="C20" s="18" t="s">
        <v>232</v>
      </c>
      <c r="D20" s="17">
        <v>250602891</v>
      </c>
      <c r="E20" s="18">
        <v>10</v>
      </c>
      <c r="F20" s="18">
        <v>32</v>
      </c>
      <c r="G20" s="18">
        <v>50</v>
      </c>
      <c r="I20" s="19">
        <f t="shared" si="0"/>
        <v>1.9836125</v>
      </c>
      <c r="J20" s="20">
        <f t="shared" si="1"/>
        <v>5.0658314233094784E-3</v>
      </c>
      <c r="K20" s="20">
        <f t="shared" si="2"/>
        <v>3.9497708747502037E-3</v>
      </c>
      <c r="L20" s="20">
        <f t="shared" si="3"/>
        <v>2.2980102013268476E-3</v>
      </c>
      <c r="M20" s="20">
        <f t="shared" si="4"/>
        <v>1.1160605485592743E-3</v>
      </c>
      <c r="N20" s="17">
        <f t="shared" si="5"/>
        <v>989824</v>
      </c>
      <c r="O20" s="20">
        <v>16</v>
      </c>
      <c r="P20" s="21">
        <v>30379563</v>
      </c>
      <c r="Q20" s="21">
        <v>949361.34375</v>
      </c>
      <c r="R20" s="21">
        <v>28806.71875</v>
      </c>
      <c r="S20" s="22">
        <v>1269512</v>
      </c>
      <c r="T20" s="22">
        <v>575888</v>
      </c>
      <c r="U20" s="22">
        <v>413936</v>
      </c>
      <c r="V20" s="22">
        <v>279688</v>
      </c>
      <c r="W20" s="23">
        <v>67.248238000000001</v>
      </c>
      <c r="X20" s="23">
        <v>68.985433999999998</v>
      </c>
      <c r="Y20" s="23">
        <v>30.074031000000002</v>
      </c>
      <c r="Z20" s="23">
        <v>39.563031000000002</v>
      </c>
      <c r="AA20" s="23">
        <v>38.099803000000001</v>
      </c>
      <c r="AB20" s="24">
        <v>4876.4799999999996</v>
      </c>
      <c r="AC20" s="24">
        <v>3051.46</v>
      </c>
      <c r="AD20" s="24">
        <v>79.087999999999994</v>
      </c>
      <c r="AE20" s="24">
        <v>15.356</v>
      </c>
      <c r="AG20" s="19">
        <f t="shared" si="6"/>
        <v>1.9774375</v>
      </c>
      <c r="AH20" s="20">
        <f t="shared" si="7"/>
        <v>5.0500614536007089E-3</v>
      </c>
      <c r="AI20" s="20">
        <f t="shared" si="8"/>
        <v>3.933490136791758E-3</v>
      </c>
      <c r="AJ20" s="20">
        <f t="shared" si="9"/>
        <v>2.2980102013268476E-3</v>
      </c>
      <c r="AK20" s="20">
        <f t="shared" si="10"/>
        <v>1.1160605485592743E-3</v>
      </c>
      <c r="AL20" s="17">
        <f t="shared" si="11"/>
        <v>985744</v>
      </c>
      <c r="AM20" s="20">
        <v>16</v>
      </c>
      <c r="AN20" s="21">
        <v>30379563</v>
      </c>
      <c r="AO20" s="21">
        <v>949361.34375</v>
      </c>
      <c r="AP20" s="21">
        <v>13590.5</v>
      </c>
      <c r="AQ20" s="22">
        <v>1265560</v>
      </c>
      <c r="AR20" s="22">
        <v>575888</v>
      </c>
      <c r="AS20" s="22">
        <v>409856</v>
      </c>
      <c r="AT20" s="22">
        <v>279688</v>
      </c>
      <c r="AU20" s="23">
        <v>66.509299999999996</v>
      </c>
      <c r="AV20" s="23">
        <v>68.040899999999993</v>
      </c>
      <c r="AW20" s="23">
        <v>30.089388</v>
      </c>
      <c r="AX20" s="23">
        <v>39.546562999999999</v>
      </c>
      <c r="AY20" s="23">
        <v>38.118558999999998</v>
      </c>
      <c r="AZ20" s="24">
        <v>5363.9</v>
      </c>
      <c r="BA20" s="24">
        <v>3047.98</v>
      </c>
      <c r="BB20" s="24">
        <v>10.335000000000001</v>
      </c>
      <c r="BC20" s="24">
        <v>15.654999999999999</v>
      </c>
      <c r="BE20" s="49">
        <f t="shared" si="12"/>
        <v>0.99587805508858152</v>
      </c>
      <c r="BF20" s="25">
        <f t="shared" si="13"/>
        <v>-1.6027847405178278E-2</v>
      </c>
      <c r="BG20" s="25">
        <f t="shared" si="14"/>
        <v>-7.8911371924506035E-4</v>
      </c>
      <c r="BH20" s="25">
        <f t="array" ref="BH20">AVERAGE(AL20:AL24/AQ20:AQ24) - AVERAGE(N20:N24/S20:S24)</f>
        <v>-6.1936011900187715E-4</v>
      </c>
      <c r="BJ20" s="49">
        <f>IF( OR(ISBLANK(N20:N24),ISBLANK(AL20:AL24), ISBLANK(W20:W24),ISBLANK(AU20:AU24)), "·", bdRateExtend( N20:N24,W20:W24, AL20:AL24,AU20:AU24))</f>
        <v>0.20907099424555442</v>
      </c>
      <c r="BK20" s="49">
        <f>IF( OR(ISBLANK(N20:N24),ISBLANK(AL20:AL24), ISBLANK(X20:X24),ISBLANK(AV20:AV24)), "·", bdRateExtend( N20:N24,X20:X24, AL20:AL24,AV20:AV24))</f>
        <v>0.2070737602880115</v>
      </c>
      <c r="BL20" s="49">
        <f>IF( OR(ISBLANK(V20:V24),ISBLANK(AT20:AT24), ISBLANK(Y20:Y24),ISBLANK(AW20:AW24)), "·", bdRateExtend( V20:V24,Y20:Y24, AT20:AT24,AW20:AW24))</f>
        <v>-5.6663741892668096E-2</v>
      </c>
      <c r="BM20" s="49">
        <f>IF( OR(ISBLANK(V20:V24),ISBLANK(AT20:AT24), ISBLANK(Z20:Z24),ISBLANK(AX20:AX24)), "·", bdRateExtend( V20:V24,Z20:Z24, AT20:AT24,AX20:AX24))</f>
        <v>-2.0806676270958002E-2</v>
      </c>
      <c r="BN20" s="49">
        <f>IF( OR(ISBLANK(V20:V24),ISBLANK(AT20:AT24), ISBLANK(AA20:AA24),ISBLANK(AY20:AY24)), "·", bdRateExtend( V20:V24,AA20:AA24, AT20:AT24,AY20:AY24))</f>
        <v>-3.9681811170958259E-2</v>
      </c>
      <c r="BP20" s="49">
        <f>IF( OR(ISBLANK(S20:S24),ISBLANK(AQ20:AQ24), ISBLANK(W20:W24),ISBLANK(AU20:AU24)), "·", bdRateExtend( S20:S24,W20:W24, AQ20:AQ24,AU20:AU24))</f>
        <v>0.38798413761007389</v>
      </c>
      <c r="BQ20" s="49">
        <f>IF( OR(ISBLANK(S20:S24),ISBLANK(AQ20:AQ24), ISBLANK(X20:X24),ISBLANK(AV20:AV24)), "·", bdRateExtend( S20:S24,X20:X24, AQ20:AQ24,AV20:AV24))</f>
        <v>0.35980270905680256</v>
      </c>
      <c r="BR20" s="49">
        <f>IF( OR(ISBLANK(S20:S24),ISBLANK(AQ20:AQ24), ISBLANK(Y20:Y24),ISBLANK(AW20:AW24)), "·", bdRateExtend( S20:S24,Y20:Y24, AQ20:AQ24,AW20:AW24))</f>
        <v>-4.6471845972553716E-2</v>
      </c>
      <c r="BS20" s="49">
        <f>IF( OR(ISBLANK(S20:S24),ISBLANK(AQ20:AQ24), ISBLANK(Z20:Z24),ISBLANK(AX20:AX24)), "·", bdRateExtend( S20:S24,Z20:Z24, AQ20:AQ24,AX20:AX24))</f>
        <v>-1.8214873423744171E-2</v>
      </c>
      <c r="BT20" s="49">
        <f>IF( OR(ISBLANK(S20:S24),ISBLANK(AQ20:AQ24), ISBLANK(AA20:AA24),ISBLANK(AY20:AY24)), "·", bdRateExtend( S20:S24,AA20:AA24, AQ20:AQ24,AY20:AY24))</f>
        <v>-3.1405289780303658E-2</v>
      </c>
      <c r="BV20" s="58">
        <f t="shared" si="16"/>
        <v>0</v>
      </c>
      <c r="BW20" s="58">
        <f t="shared" si="15"/>
        <v>0</v>
      </c>
      <c r="BX20" s="58">
        <f t="shared" si="15"/>
        <v>-15216.21875</v>
      </c>
      <c r="BY20" s="58">
        <f t="shared" si="15"/>
        <v>-3952</v>
      </c>
      <c r="BZ20" s="58">
        <f t="shared" si="15"/>
        <v>0</v>
      </c>
      <c r="CA20" s="58">
        <f t="shared" si="15"/>
        <v>-4080</v>
      </c>
      <c r="CB20" s="58">
        <f t="shared" si="15"/>
        <v>0</v>
      </c>
      <c r="CC20" s="58">
        <f t="shared" si="15"/>
        <v>-0.73893800000000454</v>
      </c>
      <c r="CD20" s="58">
        <f t="shared" si="15"/>
        <v>-0.94453400000000443</v>
      </c>
      <c r="CE20" s="58">
        <f t="shared" si="15"/>
        <v>1.5356999999998067E-2</v>
      </c>
      <c r="CF20" s="58">
        <f t="shared" si="15"/>
        <v>-1.6468000000003258E-2</v>
      </c>
      <c r="CG20" s="58">
        <f t="shared" si="15"/>
        <v>1.875599999999622E-2</v>
      </c>
      <c r="CJ20" t="s">
        <v>239</v>
      </c>
    </row>
    <row r="21" spans="1:88" outlineLevel="1" x14ac:dyDescent="0.2">
      <c r="A21" s="52"/>
      <c r="B21" s="52" t="s">
        <v>70</v>
      </c>
      <c r="C21" s="9" t="s">
        <v>234</v>
      </c>
      <c r="D21" s="52">
        <v>250602891</v>
      </c>
      <c r="E21" s="9">
        <v>10</v>
      </c>
      <c r="F21" s="9">
        <v>32</v>
      </c>
      <c r="G21" s="9">
        <v>50</v>
      </c>
      <c r="I21" s="10">
        <f t="shared" si="0"/>
        <v>2.6581250000000001</v>
      </c>
      <c r="J21" s="11">
        <f t="shared" si="1"/>
        <v>6.7884292683598772E-3</v>
      </c>
      <c r="K21" s="11">
        <f t="shared" si="2"/>
        <v>4.6939921375448142E-3</v>
      </c>
      <c r="L21" s="11">
        <f t="shared" si="3"/>
        <v>3.0422314641214573E-3</v>
      </c>
      <c r="M21" s="11">
        <f t="shared" si="4"/>
        <v>2.094437130815063E-3</v>
      </c>
      <c r="N21" s="52">
        <f t="shared" si="5"/>
        <v>1176328</v>
      </c>
      <c r="O21" s="11">
        <v>16</v>
      </c>
      <c r="P21" s="12">
        <v>31696812</v>
      </c>
      <c r="Q21" s="12">
        <v>990525.375</v>
      </c>
      <c r="R21" s="12">
        <v>33593.15625</v>
      </c>
      <c r="S21" s="13">
        <v>1701200</v>
      </c>
      <c r="T21" s="13">
        <v>762392</v>
      </c>
      <c r="U21" s="13">
        <v>413936</v>
      </c>
      <c r="V21" s="13">
        <v>524872</v>
      </c>
      <c r="W21" s="14">
        <v>68.873231000000004</v>
      </c>
      <c r="X21" s="14">
        <v>70.998266000000001</v>
      </c>
      <c r="Y21" s="14">
        <v>31.559334</v>
      </c>
      <c r="Z21" s="14">
        <v>40.555562999999999</v>
      </c>
      <c r="AA21" s="14">
        <v>39.276837</v>
      </c>
      <c r="AB21" s="15">
        <v>4807.49</v>
      </c>
      <c r="AC21" s="15">
        <v>3310.84</v>
      </c>
      <c r="AD21" s="15">
        <v>84.971999999999994</v>
      </c>
      <c r="AE21" s="15">
        <v>16.805</v>
      </c>
      <c r="AG21" s="10">
        <f t="shared" si="6"/>
        <v>2.6519499999999998</v>
      </c>
      <c r="AH21" s="11">
        <f t="shared" si="7"/>
        <v>6.7726592986511076E-3</v>
      </c>
      <c r="AI21" s="11">
        <f t="shared" si="8"/>
        <v>4.6777113995863677E-3</v>
      </c>
      <c r="AJ21" s="11">
        <f t="shared" si="9"/>
        <v>3.0422314641214573E-3</v>
      </c>
      <c r="AK21" s="11">
        <f t="shared" si="10"/>
        <v>2.094437130815063E-3</v>
      </c>
      <c r="AL21" s="52">
        <f t="shared" si="11"/>
        <v>1172248</v>
      </c>
      <c r="AM21" s="11">
        <v>16</v>
      </c>
      <c r="AN21" s="12">
        <v>31696812</v>
      </c>
      <c r="AO21" s="12">
        <v>990525.375</v>
      </c>
      <c r="AP21" s="12">
        <v>16698.375</v>
      </c>
      <c r="AQ21" s="13">
        <v>1697248</v>
      </c>
      <c r="AR21" s="13">
        <v>762392</v>
      </c>
      <c r="AS21" s="13">
        <v>409856</v>
      </c>
      <c r="AT21" s="13">
        <v>524872</v>
      </c>
      <c r="AU21" s="14">
        <v>68.043227999999999</v>
      </c>
      <c r="AV21" s="14">
        <v>69.914643999999996</v>
      </c>
      <c r="AW21" s="14">
        <v>31.589766000000001</v>
      </c>
      <c r="AX21" s="14">
        <v>40.562947000000001</v>
      </c>
      <c r="AY21" s="14">
        <v>39.304761999999997</v>
      </c>
      <c r="AZ21" s="15">
        <v>4640.6899999999996</v>
      </c>
      <c r="BA21" s="15">
        <v>3129.81</v>
      </c>
      <c r="BB21" s="15">
        <v>10.353</v>
      </c>
      <c r="BC21" s="15">
        <v>14.865</v>
      </c>
      <c r="BE21" s="50">
        <f t="shared" si="12"/>
        <v>0.99653157962745076</v>
      </c>
      <c r="BF21" s="16">
        <f t="shared" si="13"/>
        <v>-1.7056384093138449E-2</v>
      </c>
      <c r="BG21" s="16">
        <f t="shared" si="14"/>
        <v>-7.9382172482889146E-4</v>
      </c>
      <c r="BH21" s="16"/>
      <c r="BJ21" s="50"/>
      <c r="BK21" s="50"/>
      <c r="BL21" s="50"/>
      <c r="BM21" s="50"/>
      <c r="BN21" s="50"/>
      <c r="BP21" s="50"/>
      <c r="BQ21" s="50"/>
      <c r="BR21" s="50"/>
      <c r="BS21" s="50"/>
      <c r="BT21" s="50"/>
      <c r="BV21" s="58">
        <f t="shared" si="16"/>
        <v>0</v>
      </c>
      <c r="BW21" s="58">
        <f t="shared" si="16"/>
        <v>0</v>
      </c>
      <c r="BX21" s="58">
        <f t="shared" si="16"/>
        <v>-16894.78125</v>
      </c>
      <c r="BY21" s="58">
        <f t="shared" si="16"/>
        <v>-3952</v>
      </c>
      <c r="BZ21" s="58">
        <f t="shared" si="16"/>
        <v>0</v>
      </c>
      <c r="CA21" s="58">
        <f t="shared" si="16"/>
        <v>-4080</v>
      </c>
      <c r="CB21" s="58">
        <f t="shared" si="16"/>
        <v>0</v>
      </c>
      <c r="CC21" s="58">
        <f t="shared" si="16"/>
        <v>-0.83000300000000493</v>
      </c>
      <c r="CD21" s="58">
        <f t="shared" si="16"/>
        <v>-1.0836220000000054</v>
      </c>
      <c r="CE21" s="58">
        <f t="shared" si="16"/>
        <v>3.0432000000001125E-2</v>
      </c>
      <c r="CF21" s="58">
        <f t="shared" si="16"/>
        <v>7.3840000000018335E-3</v>
      </c>
      <c r="CG21" s="58">
        <f t="shared" si="16"/>
        <v>2.7924999999996203E-2</v>
      </c>
      <c r="CJ21" t="s">
        <v>239</v>
      </c>
    </row>
    <row r="22" spans="1:88" outlineLevel="1" x14ac:dyDescent="0.2">
      <c r="A22" s="17"/>
      <c r="B22" s="17" t="s">
        <v>70</v>
      </c>
      <c r="C22" s="18" t="s">
        <v>235</v>
      </c>
      <c r="D22" s="17">
        <v>250602891</v>
      </c>
      <c r="E22" s="18">
        <v>10</v>
      </c>
      <c r="F22" s="18">
        <v>32</v>
      </c>
      <c r="G22" s="18">
        <v>50</v>
      </c>
      <c r="I22" s="19">
        <f t="shared" si="0"/>
        <v>4.0633625000000002</v>
      </c>
      <c r="J22" s="20">
        <f t="shared" si="1"/>
        <v>1.0377182759635442E-2</v>
      </c>
      <c r="K22" s="20">
        <f t="shared" si="2"/>
        <v>5.5723219888951722E-3</v>
      </c>
      <c r="L22" s="20">
        <f t="shared" si="3"/>
        <v>3.9205613154718157E-3</v>
      </c>
      <c r="M22" s="20">
        <f t="shared" si="4"/>
        <v>4.8048607707402704E-3</v>
      </c>
      <c r="N22" s="17">
        <f t="shared" si="5"/>
        <v>1396440</v>
      </c>
      <c r="O22" s="20">
        <v>16</v>
      </c>
      <c r="P22" s="21">
        <v>32604849</v>
      </c>
      <c r="Q22" s="21">
        <v>1018901.53125</v>
      </c>
      <c r="R22" s="21">
        <v>35090.5625</v>
      </c>
      <c r="S22" s="22">
        <v>2600552</v>
      </c>
      <c r="T22" s="22">
        <v>982504</v>
      </c>
      <c r="U22" s="22">
        <v>413936</v>
      </c>
      <c r="V22" s="22">
        <v>1204112</v>
      </c>
      <c r="W22" s="23">
        <v>70.092033999999998</v>
      </c>
      <c r="X22" s="23">
        <v>72.552463000000003</v>
      </c>
      <c r="Y22" s="23">
        <v>33.366719000000003</v>
      </c>
      <c r="Z22" s="23">
        <v>41.756605999999998</v>
      </c>
      <c r="AA22" s="23">
        <v>40.520646999999997</v>
      </c>
      <c r="AB22" s="24">
        <v>4683.8100000000004</v>
      </c>
      <c r="AC22" s="24">
        <v>3363.45</v>
      </c>
      <c r="AD22" s="24">
        <v>84.230999999999995</v>
      </c>
      <c r="AE22" s="24">
        <v>16.602</v>
      </c>
      <c r="AG22" s="19">
        <f t="shared" si="6"/>
        <v>4.0571875000000004</v>
      </c>
      <c r="AH22" s="20">
        <f t="shared" si="7"/>
        <v>1.0361412789926673E-2</v>
      </c>
      <c r="AI22" s="20">
        <f t="shared" si="8"/>
        <v>5.5560412509367257E-3</v>
      </c>
      <c r="AJ22" s="20">
        <f t="shared" si="9"/>
        <v>3.9205613154718157E-3</v>
      </c>
      <c r="AK22" s="20">
        <f t="shared" si="10"/>
        <v>4.8048607707402704E-3</v>
      </c>
      <c r="AL22" s="17">
        <f t="shared" si="11"/>
        <v>1392360</v>
      </c>
      <c r="AM22" s="20">
        <v>16</v>
      </c>
      <c r="AN22" s="21">
        <v>32604849</v>
      </c>
      <c r="AO22" s="21">
        <v>1018901.53125</v>
      </c>
      <c r="AP22" s="21">
        <v>18203.28125</v>
      </c>
      <c r="AQ22" s="22">
        <v>2596600</v>
      </c>
      <c r="AR22" s="22">
        <v>982504</v>
      </c>
      <c r="AS22" s="22">
        <v>409856</v>
      </c>
      <c r="AT22" s="22">
        <v>1204112</v>
      </c>
      <c r="AU22" s="23">
        <v>69.306600000000003</v>
      </c>
      <c r="AV22" s="23">
        <v>71.502505999999997</v>
      </c>
      <c r="AW22" s="23">
        <v>33.445915999999997</v>
      </c>
      <c r="AX22" s="23">
        <v>41.784962</v>
      </c>
      <c r="AY22" s="23">
        <v>40.568806000000002</v>
      </c>
      <c r="AZ22" s="24">
        <v>4958.8</v>
      </c>
      <c r="BA22" s="24">
        <v>3480.9</v>
      </c>
      <c r="BB22" s="24">
        <v>11.031000000000001</v>
      </c>
      <c r="BC22" s="24">
        <v>16.917000000000002</v>
      </c>
      <c r="BE22" s="49">
        <f t="shared" si="12"/>
        <v>0.99707828478130089</v>
      </c>
      <c r="BF22" s="25">
        <f t="shared" si="13"/>
        <v>-1.6574007136177814E-2</v>
      </c>
      <c r="BG22" s="25">
        <f t="shared" si="14"/>
        <v>-7.5400976133221942E-4</v>
      </c>
      <c r="BH22" s="25"/>
      <c r="BJ22" s="49"/>
      <c r="BK22" s="49"/>
      <c r="BL22" s="49"/>
      <c r="BM22" s="49"/>
      <c r="BN22" s="49"/>
      <c r="BP22" s="49"/>
      <c r="BQ22" s="49"/>
      <c r="BR22" s="49"/>
      <c r="BS22" s="49"/>
      <c r="BT22" s="49"/>
      <c r="BV22" s="58">
        <f t="shared" si="16"/>
        <v>0</v>
      </c>
      <c r="BW22" s="58">
        <f t="shared" si="16"/>
        <v>0</v>
      </c>
      <c r="BX22" s="58">
        <f t="shared" si="16"/>
        <v>-16887.28125</v>
      </c>
      <c r="BY22" s="58">
        <f t="shared" si="16"/>
        <v>-3952</v>
      </c>
      <c r="BZ22" s="58">
        <f t="shared" si="16"/>
        <v>0</v>
      </c>
      <c r="CA22" s="58">
        <f t="shared" si="16"/>
        <v>-4080</v>
      </c>
      <c r="CB22" s="58">
        <f t="shared" si="16"/>
        <v>0</v>
      </c>
      <c r="CC22" s="58">
        <f t="shared" si="16"/>
        <v>-0.78543399999999508</v>
      </c>
      <c r="CD22" s="58">
        <f t="shared" si="16"/>
        <v>-1.0499570000000062</v>
      </c>
      <c r="CE22" s="58">
        <f t="shared" si="16"/>
        <v>7.9196999999993523E-2</v>
      </c>
      <c r="CF22" s="58">
        <f t="shared" si="16"/>
        <v>2.8356000000002268E-2</v>
      </c>
      <c r="CG22" s="58">
        <f t="shared" si="16"/>
        <v>4.8159000000005392E-2</v>
      </c>
      <c r="CJ22" t="s">
        <v>239</v>
      </c>
    </row>
    <row r="23" spans="1:88" outlineLevel="1" x14ac:dyDescent="0.2">
      <c r="A23" s="52"/>
      <c r="B23" s="52" t="s">
        <v>70</v>
      </c>
      <c r="C23" s="9" t="s">
        <v>236</v>
      </c>
      <c r="D23" s="52">
        <v>250602891</v>
      </c>
      <c r="E23" s="9">
        <v>10</v>
      </c>
      <c r="F23" s="9">
        <v>32</v>
      </c>
      <c r="G23" s="9">
        <v>50</v>
      </c>
      <c r="I23" s="10">
        <f t="shared" si="0"/>
        <v>7.6368124999999996</v>
      </c>
      <c r="J23" s="11">
        <f t="shared" si="1"/>
        <v>1.9503206768672114E-2</v>
      </c>
      <c r="K23" s="11">
        <f t="shared" si="2"/>
        <v>8.2705829598749524E-3</v>
      </c>
      <c r="L23" s="11">
        <f t="shared" si="3"/>
        <v>6.6188222864515959E-3</v>
      </c>
      <c r="M23" s="11">
        <f t="shared" si="4"/>
        <v>1.1232623808797162E-2</v>
      </c>
      <c r="N23" s="52">
        <f t="shared" si="5"/>
        <v>2072632</v>
      </c>
      <c r="O23" s="11">
        <v>16</v>
      </c>
      <c r="P23" s="12">
        <v>32813316</v>
      </c>
      <c r="Q23" s="12">
        <v>1025416.125</v>
      </c>
      <c r="R23" s="12">
        <v>37028.40625</v>
      </c>
      <c r="S23" s="13">
        <v>4887560</v>
      </c>
      <c r="T23" s="13">
        <v>1658696</v>
      </c>
      <c r="U23" s="13">
        <v>413936</v>
      </c>
      <c r="V23" s="13">
        <v>2814928</v>
      </c>
      <c r="W23" s="14">
        <v>71.045558999999997</v>
      </c>
      <c r="X23" s="14">
        <v>73.797391000000005</v>
      </c>
      <c r="Y23" s="14">
        <v>35.144280999999999</v>
      </c>
      <c r="Z23" s="14">
        <v>42.778806000000003</v>
      </c>
      <c r="AA23" s="14">
        <v>41.512503000000002</v>
      </c>
      <c r="AB23" s="15">
        <v>5061.55</v>
      </c>
      <c r="AC23" s="15">
        <v>3762.9</v>
      </c>
      <c r="AD23" s="15">
        <v>86.265000000000001</v>
      </c>
      <c r="AE23" s="15">
        <v>17.387</v>
      </c>
      <c r="AG23" s="10">
        <f t="shared" si="6"/>
        <v>7.6306374999999997</v>
      </c>
      <c r="AH23" s="11">
        <f t="shared" si="7"/>
        <v>1.9487436798963344E-2</v>
      </c>
      <c r="AI23" s="11">
        <f t="shared" si="8"/>
        <v>8.2543022219165058E-3</v>
      </c>
      <c r="AJ23" s="11">
        <f t="shared" si="9"/>
        <v>6.6188222864515959E-3</v>
      </c>
      <c r="AK23" s="11">
        <f t="shared" si="10"/>
        <v>1.1232623808797162E-2</v>
      </c>
      <c r="AL23" s="52">
        <f t="shared" si="11"/>
        <v>2068552</v>
      </c>
      <c r="AM23" s="11">
        <v>16</v>
      </c>
      <c r="AN23" s="12">
        <v>32813316</v>
      </c>
      <c r="AO23" s="12">
        <v>1025416.125</v>
      </c>
      <c r="AP23" s="12">
        <v>19528.40625</v>
      </c>
      <c r="AQ23" s="13">
        <v>4883608</v>
      </c>
      <c r="AR23" s="13">
        <v>1658696</v>
      </c>
      <c r="AS23" s="13">
        <v>409856</v>
      </c>
      <c r="AT23" s="13">
        <v>2814928</v>
      </c>
      <c r="AU23" s="14">
        <v>70.111050000000006</v>
      </c>
      <c r="AV23" s="14">
        <v>72.494988000000006</v>
      </c>
      <c r="AW23" s="14">
        <v>35.340397000000003</v>
      </c>
      <c r="AX23" s="14">
        <v>42.808613000000001</v>
      </c>
      <c r="AY23" s="14">
        <v>41.569681000000003</v>
      </c>
      <c r="AZ23" s="15">
        <v>4090.89</v>
      </c>
      <c r="BA23" s="15">
        <v>3361.79</v>
      </c>
      <c r="BB23" s="15">
        <v>10.182</v>
      </c>
      <c r="BC23" s="15">
        <v>15.43</v>
      </c>
      <c r="BE23" s="50">
        <f t="shared" si="12"/>
        <v>0.9980314884649083</v>
      </c>
      <c r="BF23" s="16">
        <f t="shared" si="13"/>
        <v>-1.7066242253602166E-2</v>
      </c>
      <c r="BG23" s="16">
        <f t="shared" si="14"/>
        <v>-4.9228032238979313E-4</v>
      </c>
      <c r="BH23" s="16"/>
      <c r="BJ23" s="50"/>
      <c r="BK23" s="50"/>
      <c r="BL23" s="50"/>
      <c r="BM23" s="50"/>
      <c r="BN23" s="50"/>
      <c r="BP23" s="50"/>
      <c r="BQ23" s="50"/>
      <c r="BR23" s="50"/>
      <c r="BS23" s="50"/>
      <c r="BT23" s="50"/>
      <c r="BV23" s="58">
        <f t="shared" si="16"/>
        <v>0</v>
      </c>
      <c r="BW23" s="58">
        <f t="shared" si="16"/>
        <v>0</v>
      </c>
      <c r="BX23" s="58">
        <f t="shared" si="16"/>
        <v>-17500</v>
      </c>
      <c r="BY23" s="58">
        <f t="shared" si="16"/>
        <v>-3952</v>
      </c>
      <c r="BZ23" s="58">
        <f t="shared" si="16"/>
        <v>0</v>
      </c>
      <c r="CA23" s="58">
        <f t="shared" si="16"/>
        <v>-4080</v>
      </c>
      <c r="CB23" s="58">
        <f t="shared" si="16"/>
        <v>0</v>
      </c>
      <c r="CC23" s="58">
        <f t="shared" si="16"/>
        <v>-0.93450899999999137</v>
      </c>
      <c r="CD23" s="58">
        <f t="shared" si="16"/>
        <v>-1.3024029999999982</v>
      </c>
      <c r="CE23" s="58">
        <f t="shared" si="16"/>
        <v>0.19611600000000351</v>
      </c>
      <c r="CF23" s="58">
        <f t="shared" si="16"/>
        <v>2.9806999999998141E-2</v>
      </c>
      <c r="CG23" s="58">
        <f t="shared" si="16"/>
        <v>5.7178000000000395E-2</v>
      </c>
      <c r="CJ23" t="s">
        <v>239</v>
      </c>
    </row>
    <row r="24" spans="1:88" ht="16" outlineLevel="1" thickBot="1" x14ac:dyDescent="0.25">
      <c r="A24" s="36"/>
      <c r="B24" s="36" t="s">
        <v>70</v>
      </c>
      <c r="C24" s="37" t="s">
        <v>237</v>
      </c>
      <c r="D24" s="36">
        <v>250602891</v>
      </c>
      <c r="E24" s="37">
        <v>10</v>
      </c>
      <c r="F24" s="37">
        <v>32</v>
      </c>
      <c r="G24" s="37">
        <v>50</v>
      </c>
      <c r="I24" s="38">
        <f t="shared" si="0"/>
        <v>15.560762499999999</v>
      </c>
      <c r="J24" s="39">
        <f t="shared" si="1"/>
        <v>3.9739717128801998E-2</v>
      </c>
      <c r="K24" s="39">
        <f t="shared" si="2"/>
        <v>1.4241814951767656E-2</v>
      </c>
      <c r="L24" s="39">
        <f t="shared" si="3"/>
        <v>1.0614817687797545E-2</v>
      </c>
      <c r="M24" s="39">
        <f t="shared" si="4"/>
        <v>2.5497902177034341E-2</v>
      </c>
      <c r="N24" s="36">
        <f t="shared" si="5"/>
        <v>3569040</v>
      </c>
      <c r="O24" s="39">
        <v>16</v>
      </c>
      <c r="P24" s="40">
        <v>31274990</v>
      </c>
      <c r="Q24" s="40">
        <v>977343.4375</v>
      </c>
      <c r="R24" s="40">
        <v>17914.71875</v>
      </c>
      <c r="S24" s="41">
        <v>9958888</v>
      </c>
      <c r="T24" s="41">
        <v>2660104</v>
      </c>
      <c r="U24" s="41">
        <v>908936</v>
      </c>
      <c r="V24" s="41">
        <v>6389848</v>
      </c>
      <c r="W24" s="42">
        <v>71.767975000000007</v>
      </c>
      <c r="X24" s="42">
        <v>75.810796999999994</v>
      </c>
      <c r="Y24" s="42">
        <v>36.616746999999997</v>
      </c>
      <c r="Z24" s="42">
        <v>43.678193999999998</v>
      </c>
      <c r="AA24" s="42">
        <v>42.226711999999999</v>
      </c>
      <c r="AB24" s="43">
        <v>4642.8500000000004</v>
      </c>
      <c r="AC24" s="43">
        <v>4142.54</v>
      </c>
      <c r="AD24" s="43">
        <v>79.427000000000007</v>
      </c>
      <c r="AE24" s="43">
        <v>18.762</v>
      </c>
      <c r="AG24" s="38">
        <f t="shared" si="6"/>
        <v>15.5545875</v>
      </c>
      <c r="AH24" s="39">
        <f t="shared" si="7"/>
        <v>3.9723947159093227E-2</v>
      </c>
      <c r="AI24" s="39">
        <f t="shared" si="8"/>
        <v>1.422553421380921E-2</v>
      </c>
      <c r="AJ24" s="39">
        <f t="shared" si="9"/>
        <v>1.0614817687797545E-2</v>
      </c>
      <c r="AK24" s="39">
        <f t="shared" si="10"/>
        <v>2.5497902177034341E-2</v>
      </c>
      <c r="AL24" s="36">
        <f t="shared" si="11"/>
        <v>3564960</v>
      </c>
      <c r="AM24" s="39">
        <v>16</v>
      </c>
      <c r="AN24" s="40">
        <v>31274990</v>
      </c>
      <c r="AO24" s="40">
        <v>977343.4375</v>
      </c>
      <c r="AP24" s="40">
        <v>10035.59375</v>
      </c>
      <c r="AQ24" s="41">
        <v>9954936</v>
      </c>
      <c r="AR24" s="41">
        <v>2660104</v>
      </c>
      <c r="AS24" s="41">
        <v>904856</v>
      </c>
      <c r="AT24" s="41">
        <v>6389848</v>
      </c>
      <c r="AU24" s="42">
        <v>72.129737000000006</v>
      </c>
      <c r="AV24" s="42">
        <v>76.181831000000003</v>
      </c>
      <c r="AW24" s="42">
        <v>37.135765999999997</v>
      </c>
      <c r="AX24" s="42">
        <v>43.803111999999999</v>
      </c>
      <c r="AY24" s="42">
        <v>42.439605999999998</v>
      </c>
      <c r="AZ24" s="43">
        <v>5267.07</v>
      </c>
      <c r="BA24" s="43">
        <v>5064</v>
      </c>
      <c r="BB24" s="43">
        <v>12.632999999999999</v>
      </c>
      <c r="BC24" s="43">
        <v>24.491</v>
      </c>
      <c r="BE24" s="44">
        <f t="shared" si="12"/>
        <v>0.99885683545154991</v>
      </c>
      <c r="BF24" s="45">
        <f t="shared" si="13"/>
        <v>-8.0617771580422572E-3</v>
      </c>
      <c r="BG24" s="45">
        <f t="shared" si="14"/>
        <v>-2.6757506721308832E-4</v>
      </c>
      <c r="BH24" s="45"/>
      <c r="BJ24" s="44"/>
      <c r="BK24" s="44"/>
      <c r="BL24" s="44"/>
      <c r="BM24" s="44"/>
      <c r="BN24" s="44"/>
      <c r="BP24" s="44"/>
      <c r="BQ24" s="44"/>
      <c r="BR24" s="44"/>
      <c r="BS24" s="44"/>
      <c r="BT24" s="44"/>
      <c r="BV24" s="58">
        <f t="shared" si="16"/>
        <v>0</v>
      </c>
      <c r="BW24" s="58">
        <f t="shared" si="16"/>
        <v>0</v>
      </c>
      <c r="BX24" s="58">
        <f t="shared" si="16"/>
        <v>-7879.125</v>
      </c>
      <c r="BY24" s="58">
        <f t="shared" si="16"/>
        <v>-3952</v>
      </c>
      <c r="BZ24" s="58">
        <f t="shared" si="16"/>
        <v>0</v>
      </c>
      <c r="CA24" s="58">
        <f t="shared" si="16"/>
        <v>-4080</v>
      </c>
      <c r="CB24" s="58">
        <f t="shared" si="16"/>
        <v>0</v>
      </c>
      <c r="CC24" s="58">
        <f t="shared" si="16"/>
        <v>0.36176199999999881</v>
      </c>
      <c r="CD24" s="58">
        <f t="shared" si="16"/>
        <v>0.37103400000000875</v>
      </c>
      <c r="CE24" s="58">
        <f t="shared" si="16"/>
        <v>0.51901900000000012</v>
      </c>
      <c r="CF24" s="58">
        <f t="shared" si="16"/>
        <v>0.12491800000000097</v>
      </c>
      <c r="CG24" s="58">
        <f t="shared" si="16"/>
        <v>0.21289399999999858</v>
      </c>
      <c r="CJ24" t="s">
        <v>239</v>
      </c>
    </row>
    <row r="25" spans="1:88" x14ac:dyDescent="0.2">
      <c r="A25" s="52" t="s">
        <v>240</v>
      </c>
      <c r="B25" s="52" t="s">
        <v>73</v>
      </c>
      <c r="C25" s="9" t="s">
        <v>232</v>
      </c>
      <c r="D25" s="52">
        <v>250294582</v>
      </c>
      <c r="E25" s="9">
        <v>10</v>
      </c>
      <c r="F25" s="9">
        <v>32</v>
      </c>
      <c r="G25" s="9">
        <v>30</v>
      </c>
      <c r="I25" s="10">
        <f t="shared" si="0"/>
        <v>2.0607825000000002</v>
      </c>
      <c r="J25" s="11">
        <f t="shared" si="1"/>
        <v>8.7823235422650903E-3</v>
      </c>
      <c r="K25" s="11">
        <f t="shared" si="2"/>
        <v>5.7151217120632678E-3</v>
      </c>
      <c r="L25" s="11">
        <f t="shared" si="3"/>
        <v>3.5055013695821828E-3</v>
      </c>
      <c r="M25" s="11">
        <f t="shared" si="4"/>
        <v>3.0672018302018221E-3</v>
      </c>
      <c r="N25" s="52">
        <f t="shared" si="5"/>
        <v>1430464</v>
      </c>
      <c r="O25" s="11">
        <v>16</v>
      </c>
      <c r="P25" s="12">
        <v>23423729</v>
      </c>
      <c r="Q25" s="12">
        <v>731991.53125</v>
      </c>
      <c r="R25" s="12">
        <v>14601.28125</v>
      </c>
      <c r="S25" s="13">
        <v>2198168</v>
      </c>
      <c r="T25" s="13">
        <v>877408</v>
      </c>
      <c r="U25" s="13">
        <v>553056</v>
      </c>
      <c r="V25" s="13">
        <v>767704</v>
      </c>
      <c r="W25" s="14">
        <v>66.249555999999998</v>
      </c>
      <c r="X25" s="14">
        <v>68.002122</v>
      </c>
      <c r="Y25" s="14">
        <v>25.914252999999999</v>
      </c>
      <c r="Z25" s="14">
        <v>32.457703000000002</v>
      </c>
      <c r="AA25" s="14">
        <v>31.662741</v>
      </c>
      <c r="AB25" s="15">
        <v>1489.4</v>
      </c>
      <c r="AC25" s="15">
        <v>3716.85</v>
      </c>
      <c r="AD25" s="15">
        <v>57.301000000000002</v>
      </c>
      <c r="AE25" s="15">
        <v>15.395</v>
      </c>
      <c r="AG25" s="10">
        <f t="shared" si="6"/>
        <v>2.0492024999999998</v>
      </c>
      <c r="AH25" s="11">
        <f t="shared" si="7"/>
        <v>8.7329736925747751E-3</v>
      </c>
      <c r="AI25" s="11">
        <f t="shared" si="8"/>
        <v>5.6652604649668368E-3</v>
      </c>
      <c r="AJ25" s="11">
        <f t="shared" si="9"/>
        <v>3.5055013695821828E-3</v>
      </c>
      <c r="AK25" s="11">
        <f t="shared" si="10"/>
        <v>3.0672018302018221E-3</v>
      </c>
      <c r="AL25" s="52">
        <f t="shared" si="11"/>
        <v>1417984</v>
      </c>
      <c r="AM25" s="11">
        <v>16</v>
      </c>
      <c r="AN25" s="12">
        <v>23423729</v>
      </c>
      <c r="AO25" s="12">
        <v>731991.53125</v>
      </c>
      <c r="AP25" s="12">
        <v>6477.15625</v>
      </c>
      <c r="AQ25" s="13">
        <v>2185816</v>
      </c>
      <c r="AR25" s="13">
        <v>877408</v>
      </c>
      <c r="AS25" s="13">
        <v>540576</v>
      </c>
      <c r="AT25" s="13">
        <v>767704</v>
      </c>
      <c r="AU25" s="14">
        <v>65.996093999999999</v>
      </c>
      <c r="AV25" s="14">
        <v>67.396546999999998</v>
      </c>
      <c r="AW25" s="14">
        <v>25.911197000000001</v>
      </c>
      <c r="AX25" s="14">
        <v>32.453209000000001</v>
      </c>
      <c r="AY25" s="14">
        <v>31.658034000000001</v>
      </c>
      <c r="AZ25" s="15">
        <v>1850.53</v>
      </c>
      <c r="BA25" s="15">
        <v>4967.59</v>
      </c>
      <c r="BB25" s="15">
        <v>11.608000000000001</v>
      </c>
      <c r="BC25" s="15">
        <v>22.413</v>
      </c>
      <c r="BE25" s="50">
        <f t="shared" si="12"/>
        <v>0.99127555814057544</v>
      </c>
      <c r="BF25" s="16">
        <f t="shared" si="13"/>
        <v>-1.1098659824829771E-2</v>
      </c>
      <c r="BG25" s="16">
        <f t="shared" si="14"/>
        <v>-2.0321478600697773E-3</v>
      </c>
      <c r="BH25" s="16">
        <f t="array" ref="BH25">AVERAGE(AL25:AL29/AQ25:AQ29) - AVERAGE(N25:N29/S25:S29)</f>
        <v>-1.2542826664646567E-3</v>
      </c>
      <c r="BJ25" s="50">
        <f>IF( OR(ISBLANK(N25:N29),ISBLANK(AL25:AL29), ISBLANK(W25:W29),ISBLANK(AU25:AU29)), "·", bdRateExtend( N25:N29,W25:W29, AL25:AL29,AU25:AU29))</f>
        <v>0.14493585872839376</v>
      </c>
      <c r="BK25" s="50">
        <f>IF( OR(ISBLANK(N25:N29),ISBLANK(AL25:AL29), ISBLANK(X25:X29),ISBLANK(AV25:AV29)), "·", bdRateExtend( N25:N29,X25:X29, AL25:AL29,AV25:AV29))</f>
        <v>0.18649345701421494</v>
      </c>
      <c r="BL25" s="50">
        <f>IF( OR(ISBLANK(V25:V29),ISBLANK(AT25:AT29), ISBLANK(Y25:Y29),ISBLANK(AW25:AW29)), "·", bdRateExtend( V25:V29,Y25:Y29, AT25:AT29,AW25:AW29))</f>
        <v>-2.7215832216812563E-3</v>
      </c>
      <c r="BM25" s="50">
        <f>IF( OR(ISBLANK(V25:V29),ISBLANK(AT25:AT29), ISBLANK(Z25:Z29),ISBLANK(AX25:AX29)), "·", bdRateExtend( V25:V29,Z25:Z29, AT25:AT29,AX25:AX29))</f>
        <v>7.5067449168142453E-4</v>
      </c>
      <c r="BN25" s="50">
        <f>IF( OR(ISBLANK(V25:V29),ISBLANK(AT25:AT29), ISBLANK(AA25:AA29),ISBLANK(AY25:AY29)), "·", bdRateExtend( V25:V29,AA25:AA29, AT25:AT29,AY25:AY29))</f>
        <v>3.1585222308883054E-4</v>
      </c>
      <c r="BP25" s="50">
        <f>IF( OR(ISBLANK(S25:S29),ISBLANK(AQ25:AQ29), ISBLANK(W25:W29),ISBLANK(AU25:AU29)), "·", bdRateExtend( S25:S29,W25:W29, AQ25:AQ29,AU25:AU29))</f>
        <v>0.30013577546280978</v>
      </c>
      <c r="BQ25" s="50">
        <f>IF( OR(ISBLANK(S25:S29),ISBLANK(AQ25:AQ29), ISBLANK(X25:X29),ISBLANK(AV25:AV29)), "·", bdRateExtend( S25:S29,X25:X29, AQ25:AQ29,AV25:AV29))</f>
        <v>0.38387652167495734</v>
      </c>
      <c r="BR25" s="50">
        <f>IF( OR(ISBLANK(S25:S29),ISBLANK(AQ25:AQ29), ISBLANK(Y25:Y29),ISBLANK(AW25:AW29)), "·", bdRateExtend( S25:S29,Y25:Y29, AQ25:AQ29,AW25:AW29))</f>
        <v>-4.7234990652416098E-3</v>
      </c>
      <c r="BS25" s="50">
        <f>IF( OR(ISBLANK(S25:S29),ISBLANK(AQ25:AQ29), ISBLANK(Z25:Z29),ISBLANK(AX25:AX29)), "·", bdRateExtend( S25:S29,Z25:Z29, AQ25:AQ29,AX25:AX29))</f>
        <v>-1.7446221095558379E-3</v>
      </c>
      <c r="BT25" s="50">
        <f>IF( OR(ISBLANK(S25:S29),ISBLANK(AQ25:AQ29), ISBLANK(AA25:AA29),ISBLANK(AY25:AY29)), "·", bdRateExtend( S25:S29,AA25:AA29, AQ25:AQ29,AY25:AY29))</f>
        <v>-2.193632364148379E-3</v>
      </c>
      <c r="BV25" s="58">
        <f t="shared" si="16"/>
        <v>0</v>
      </c>
      <c r="BW25" s="58">
        <f t="shared" si="16"/>
        <v>0</v>
      </c>
      <c r="BX25" s="58">
        <f t="shared" si="16"/>
        <v>-8124.125</v>
      </c>
      <c r="BY25" s="58">
        <f t="shared" si="16"/>
        <v>-12352</v>
      </c>
      <c r="BZ25" s="58">
        <f t="shared" si="16"/>
        <v>0</v>
      </c>
      <c r="CA25" s="58">
        <f t="shared" si="16"/>
        <v>-12480</v>
      </c>
      <c r="CB25" s="58">
        <f t="shared" si="16"/>
        <v>0</v>
      </c>
      <c r="CC25" s="58">
        <f t="shared" si="16"/>
        <v>-0.25346199999999897</v>
      </c>
      <c r="CD25" s="58">
        <f t="shared" si="16"/>
        <v>-0.60557500000000175</v>
      </c>
      <c r="CE25" s="58">
        <f t="shared" si="16"/>
        <v>-3.0559999999972831E-3</v>
      </c>
      <c r="CF25" s="58">
        <f t="shared" si="16"/>
        <v>-4.4940000000011082E-3</v>
      </c>
      <c r="CG25" s="58">
        <f t="shared" si="16"/>
        <v>-4.7069999999997947E-3</v>
      </c>
      <c r="CJ25" t="s">
        <v>579</v>
      </c>
    </row>
    <row r="26" spans="1:88" outlineLevel="1" x14ac:dyDescent="0.2">
      <c r="A26" s="17"/>
      <c r="B26" s="17" t="s">
        <v>73</v>
      </c>
      <c r="C26" s="18" t="s">
        <v>234</v>
      </c>
      <c r="D26" s="17">
        <v>250294582</v>
      </c>
      <c r="E26" s="18">
        <v>10</v>
      </c>
      <c r="F26" s="18">
        <v>32</v>
      </c>
      <c r="G26" s="18">
        <v>30</v>
      </c>
      <c r="I26" s="19">
        <f t="shared" si="0"/>
        <v>3.1715550000000001</v>
      </c>
      <c r="J26" s="20">
        <f t="shared" si="1"/>
        <v>1.3516041669651483E-2</v>
      </c>
      <c r="K26" s="20">
        <f t="shared" si="2"/>
        <v>7.1894484715614021E-3</v>
      </c>
      <c r="L26" s="20">
        <f t="shared" si="3"/>
        <v>4.9798281290803171E-3</v>
      </c>
      <c r="M26" s="20">
        <f t="shared" si="4"/>
        <v>6.3265931980900809E-3</v>
      </c>
      <c r="N26" s="17">
        <f t="shared" si="5"/>
        <v>1799480</v>
      </c>
      <c r="O26" s="20">
        <v>16</v>
      </c>
      <c r="P26" s="21">
        <v>24642332</v>
      </c>
      <c r="Q26" s="21">
        <v>770072.875</v>
      </c>
      <c r="R26" s="21">
        <v>17838.375</v>
      </c>
      <c r="S26" s="22">
        <v>3382992</v>
      </c>
      <c r="T26" s="22">
        <v>1246424</v>
      </c>
      <c r="U26" s="22">
        <v>553056</v>
      </c>
      <c r="V26" s="22">
        <v>1583512</v>
      </c>
      <c r="W26" s="23">
        <v>68.005358999999999</v>
      </c>
      <c r="X26" s="23">
        <v>70.016609000000003</v>
      </c>
      <c r="Y26" s="23">
        <v>27.918291</v>
      </c>
      <c r="Z26" s="23">
        <v>33.668056</v>
      </c>
      <c r="AA26" s="23">
        <v>33.040233999999998</v>
      </c>
      <c r="AB26" s="24">
        <v>1417.61</v>
      </c>
      <c r="AC26" s="24">
        <v>3809.92</v>
      </c>
      <c r="AD26" s="24">
        <v>58.838999999999999</v>
      </c>
      <c r="AE26" s="24">
        <v>15.72</v>
      </c>
      <c r="AG26" s="19">
        <f t="shared" si="6"/>
        <v>3.1599750000000002</v>
      </c>
      <c r="AH26" s="20">
        <f t="shared" si="7"/>
        <v>1.346669181996117E-2</v>
      </c>
      <c r="AI26" s="20">
        <f t="shared" si="8"/>
        <v>7.1395872244649702E-3</v>
      </c>
      <c r="AJ26" s="20">
        <f t="shared" si="9"/>
        <v>4.9798281290803171E-3</v>
      </c>
      <c r="AK26" s="20">
        <f t="shared" si="10"/>
        <v>6.3265931980900809E-3</v>
      </c>
      <c r="AL26" s="17">
        <f t="shared" si="11"/>
        <v>1787000</v>
      </c>
      <c r="AM26" s="20">
        <v>16</v>
      </c>
      <c r="AN26" s="21">
        <v>24642332</v>
      </c>
      <c r="AO26" s="21">
        <v>770072.875</v>
      </c>
      <c r="AP26" s="21">
        <v>8164.0625</v>
      </c>
      <c r="AQ26" s="22">
        <v>3370640</v>
      </c>
      <c r="AR26" s="22">
        <v>1246424</v>
      </c>
      <c r="AS26" s="22">
        <v>540576</v>
      </c>
      <c r="AT26" s="22">
        <v>1583512</v>
      </c>
      <c r="AU26" s="23">
        <v>67.497866000000002</v>
      </c>
      <c r="AV26" s="23">
        <v>69.206725000000006</v>
      </c>
      <c r="AW26" s="23">
        <v>27.916816000000001</v>
      </c>
      <c r="AX26" s="23">
        <v>33.665066000000003</v>
      </c>
      <c r="AY26" s="23">
        <v>33.037537</v>
      </c>
      <c r="AZ26" s="24">
        <v>1454.47</v>
      </c>
      <c r="BA26" s="24">
        <v>3938.6</v>
      </c>
      <c r="BB26" s="24">
        <v>9.4770000000000003</v>
      </c>
      <c r="BC26" s="24">
        <v>16.308</v>
      </c>
      <c r="BE26" s="49">
        <f t="shared" si="12"/>
        <v>0.99306466312490271</v>
      </c>
      <c r="BF26" s="25">
        <f t="shared" si="13"/>
        <v>-1.2562853223469273E-2</v>
      </c>
      <c r="BG26" s="25">
        <f t="shared" si="14"/>
        <v>-1.7532955739171241E-3</v>
      </c>
      <c r="BH26" s="25"/>
      <c r="BJ26" s="49"/>
      <c r="BK26" s="49"/>
      <c r="BL26" s="49"/>
      <c r="BM26" s="49"/>
      <c r="BN26" s="49"/>
      <c r="BP26" s="49"/>
      <c r="BQ26" s="49"/>
      <c r="BR26" s="49"/>
      <c r="BS26" s="49"/>
      <c r="BT26" s="49"/>
      <c r="BV26" s="58">
        <f t="shared" si="16"/>
        <v>0</v>
      </c>
      <c r="BW26" s="58">
        <f t="shared" si="16"/>
        <v>0</v>
      </c>
      <c r="BX26" s="58">
        <f t="shared" si="16"/>
        <v>-9674.3125</v>
      </c>
      <c r="BY26" s="58">
        <f t="shared" si="16"/>
        <v>-12352</v>
      </c>
      <c r="BZ26" s="58">
        <f t="shared" si="16"/>
        <v>0</v>
      </c>
      <c r="CA26" s="58">
        <f t="shared" si="16"/>
        <v>-12480</v>
      </c>
      <c r="CB26" s="58">
        <f t="shared" si="16"/>
        <v>0</v>
      </c>
      <c r="CC26" s="58">
        <f t="shared" si="16"/>
        <v>-0.50749299999999664</v>
      </c>
      <c r="CD26" s="58">
        <f t="shared" si="16"/>
        <v>-0.80988399999999672</v>
      </c>
      <c r="CE26" s="58">
        <f t="shared" si="16"/>
        <v>-1.4749999999992269E-3</v>
      </c>
      <c r="CF26" s="58">
        <f t="shared" si="16"/>
        <v>-2.9899999999969396E-3</v>
      </c>
      <c r="CG26" s="58">
        <f t="shared" si="16"/>
        <v>-2.696999999997729E-3</v>
      </c>
      <c r="CJ26" t="s">
        <v>579</v>
      </c>
    </row>
    <row r="27" spans="1:88" outlineLevel="1" x14ac:dyDescent="0.2">
      <c r="A27" s="52"/>
      <c r="B27" s="52" t="s">
        <v>73</v>
      </c>
      <c r="C27" s="9" t="s">
        <v>235</v>
      </c>
      <c r="D27" s="52">
        <v>250294582</v>
      </c>
      <c r="E27" s="9">
        <v>10</v>
      </c>
      <c r="F27" s="9">
        <v>32</v>
      </c>
      <c r="G27" s="9">
        <v>30</v>
      </c>
      <c r="I27" s="10">
        <f t="shared" si="0"/>
        <v>5.3551425000000004</v>
      </c>
      <c r="J27" s="11">
        <f t="shared" si="1"/>
        <v>2.2821716532401809E-2</v>
      </c>
      <c r="K27" s="11">
        <f t="shared" si="2"/>
        <v>9.3524357630721706E-3</v>
      </c>
      <c r="L27" s="11">
        <f t="shared" si="3"/>
        <v>7.1428154205910857E-3</v>
      </c>
      <c r="M27" s="11">
        <f t="shared" si="4"/>
        <v>1.3469280769329637E-2</v>
      </c>
      <c r="N27" s="52">
        <f t="shared" si="5"/>
        <v>2340864</v>
      </c>
      <c r="O27" s="11">
        <v>16</v>
      </c>
      <c r="P27" s="12">
        <v>24875407</v>
      </c>
      <c r="Q27" s="12">
        <v>777356.46875</v>
      </c>
      <c r="R27" s="12">
        <v>18687.4375</v>
      </c>
      <c r="S27" s="13">
        <v>5712152</v>
      </c>
      <c r="T27" s="13">
        <v>1787808</v>
      </c>
      <c r="U27" s="13">
        <v>553056</v>
      </c>
      <c r="V27" s="13">
        <v>3371288</v>
      </c>
      <c r="W27" s="14">
        <v>69.301755999999997</v>
      </c>
      <c r="X27" s="14">
        <v>71.690518999999995</v>
      </c>
      <c r="Y27" s="14">
        <v>30.205874999999999</v>
      </c>
      <c r="Z27" s="14">
        <v>34.909818999999999</v>
      </c>
      <c r="AA27" s="14">
        <v>34.350633999999999</v>
      </c>
      <c r="AB27" s="15">
        <v>1811.11</v>
      </c>
      <c r="AC27" s="15">
        <v>5598.79</v>
      </c>
      <c r="AD27" s="15">
        <v>70.149000000000001</v>
      </c>
      <c r="AE27" s="15">
        <v>23.367999999999999</v>
      </c>
      <c r="AG27" s="10">
        <f t="shared" si="6"/>
        <v>5.3435625</v>
      </c>
      <c r="AH27" s="11">
        <f t="shared" si="7"/>
        <v>2.2772366682711494E-2</v>
      </c>
      <c r="AI27" s="11">
        <f t="shared" si="8"/>
        <v>9.3025745159757388E-3</v>
      </c>
      <c r="AJ27" s="11">
        <f t="shared" si="9"/>
        <v>7.1428154205910857E-3</v>
      </c>
      <c r="AK27" s="11">
        <f t="shared" si="10"/>
        <v>1.3469280769329637E-2</v>
      </c>
      <c r="AL27" s="52">
        <f t="shared" si="11"/>
        <v>2328384</v>
      </c>
      <c r="AM27" s="11">
        <v>16</v>
      </c>
      <c r="AN27" s="12">
        <v>24875407</v>
      </c>
      <c r="AO27" s="12">
        <v>777356.46875</v>
      </c>
      <c r="AP27" s="12">
        <v>8994.09375</v>
      </c>
      <c r="AQ27" s="13">
        <v>5699800</v>
      </c>
      <c r="AR27" s="13">
        <v>1787808</v>
      </c>
      <c r="AS27" s="13">
        <v>540576</v>
      </c>
      <c r="AT27" s="13">
        <v>3371288</v>
      </c>
      <c r="AU27" s="14">
        <v>68.752431000000001</v>
      </c>
      <c r="AV27" s="14">
        <v>70.733794000000003</v>
      </c>
      <c r="AW27" s="14">
        <v>30.207052999999998</v>
      </c>
      <c r="AX27" s="14">
        <v>34.907881000000003</v>
      </c>
      <c r="AY27" s="14">
        <v>34.349488000000001</v>
      </c>
      <c r="AZ27" s="15">
        <v>1527.26</v>
      </c>
      <c r="BA27" s="15">
        <v>4238.99</v>
      </c>
      <c r="BB27" s="15">
        <v>9.343</v>
      </c>
      <c r="BC27" s="15">
        <v>16.831</v>
      </c>
      <c r="BE27" s="50">
        <f t="shared" si="12"/>
        <v>0.99466863517060367</v>
      </c>
      <c r="BF27" s="16">
        <f t="shared" si="13"/>
        <v>-1.2469625120103562E-2</v>
      </c>
      <c r="BG27" s="16">
        <f t="shared" si="14"/>
        <v>-1.3014664134691767E-3</v>
      </c>
      <c r="BH27" s="16"/>
      <c r="BJ27" s="50"/>
      <c r="BK27" s="50"/>
      <c r="BL27" s="50"/>
      <c r="BM27" s="50"/>
      <c r="BN27" s="50"/>
      <c r="BP27" s="50"/>
      <c r="BQ27" s="50"/>
      <c r="BR27" s="50"/>
      <c r="BS27" s="50"/>
      <c r="BT27" s="50"/>
      <c r="BV27" s="58">
        <f t="shared" si="16"/>
        <v>0</v>
      </c>
      <c r="BW27" s="58">
        <f t="shared" si="16"/>
        <v>0</v>
      </c>
      <c r="BX27" s="58">
        <f t="shared" si="16"/>
        <v>-9693.34375</v>
      </c>
      <c r="BY27" s="58">
        <f t="shared" si="16"/>
        <v>-12352</v>
      </c>
      <c r="BZ27" s="58">
        <f t="shared" si="16"/>
        <v>0</v>
      </c>
      <c r="CA27" s="58">
        <f t="shared" si="16"/>
        <v>-12480</v>
      </c>
      <c r="CB27" s="58">
        <f t="shared" si="16"/>
        <v>0</v>
      </c>
      <c r="CC27" s="58">
        <f t="shared" si="16"/>
        <v>-0.54932499999999607</v>
      </c>
      <c r="CD27" s="58">
        <f t="shared" si="16"/>
        <v>-0.95672499999999161</v>
      </c>
      <c r="CE27" s="58">
        <f t="shared" si="16"/>
        <v>1.1779999999994573E-3</v>
      </c>
      <c r="CF27" s="58">
        <f t="shared" si="16"/>
        <v>-1.9379999999955544E-3</v>
      </c>
      <c r="CG27" s="58">
        <f t="shared" si="16"/>
        <v>-1.1459999999985371E-3</v>
      </c>
      <c r="CJ27" t="s">
        <v>579</v>
      </c>
    </row>
    <row r="28" spans="1:88" outlineLevel="1" x14ac:dyDescent="0.2">
      <c r="A28" s="17"/>
      <c r="B28" s="17" t="s">
        <v>73</v>
      </c>
      <c r="C28" s="18" t="s">
        <v>236</v>
      </c>
      <c r="D28" s="17">
        <v>250294582</v>
      </c>
      <c r="E28" s="18">
        <v>10</v>
      </c>
      <c r="F28" s="18">
        <v>32</v>
      </c>
      <c r="G28" s="18">
        <v>30</v>
      </c>
      <c r="I28" s="19">
        <f t="shared" si="0"/>
        <v>10.3389975</v>
      </c>
      <c r="J28" s="20">
        <f t="shared" si="1"/>
        <v>4.4061137527938977E-2</v>
      </c>
      <c r="K28" s="20">
        <f t="shared" si="2"/>
        <v>1.318660585309833E-2</v>
      </c>
      <c r="L28" s="20">
        <f t="shared" si="3"/>
        <v>1.0976985510617245E-2</v>
      </c>
      <c r="M28" s="20">
        <f t="shared" si="4"/>
        <v>3.0874531674840649E-2</v>
      </c>
      <c r="N28" s="17">
        <f t="shared" si="5"/>
        <v>3300536</v>
      </c>
      <c r="O28" s="20">
        <v>16</v>
      </c>
      <c r="P28" s="21">
        <v>25558634</v>
      </c>
      <c r="Q28" s="21">
        <v>798707.3125</v>
      </c>
      <c r="R28" s="21">
        <v>21108.9375</v>
      </c>
      <c r="S28" s="22">
        <v>11028264</v>
      </c>
      <c r="T28" s="22">
        <v>2747480</v>
      </c>
      <c r="U28" s="22">
        <v>553056</v>
      </c>
      <c r="V28" s="22">
        <v>7727728</v>
      </c>
      <c r="W28" s="23">
        <v>70.462115999999995</v>
      </c>
      <c r="X28" s="23">
        <v>72.993594000000002</v>
      </c>
      <c r="Y28" s="23">
        <v>32.704628</v>
      </c>
      <c r="Z28" s="23">
        <v>36.413840999999998</v>
      </c>
      <c r="AA28" s="23">
        <v>35.864955999999999</v>
      </c>
      <c r="AB28" s="24">
        <v>1631.93</v>
      </c>
      <c r="AC28" s="24">
        <v>4853.5200000000004</v>
      </c>
      <c r="AD28" s="24">
        <v>62.817</v>
      </c>
      <c r="AE28" s="24">
        <v>18.484000000000002</v>
      </c>
      <c r="AG28" s="19">
        <f t="shared" si="6"/>
        <v>10.327417499999999</v>
      </c>
      <c r="AH28" s="20">
        <f t="shared" si="7"/>
        <v>4.4011787678248662E-2</v>
      </c>
      <c r="AI28" s="20">
        <f t="shared" si="8"/>
        <v>1.3136744606001899E-2</v>
      </c>
      <c r="AJ28" s="20">
        <f t="shared" si="9"/>
        <v>1.0976985510617245E-2</v>
      </c>
      <c r="AK28" s="20">
        <f t="shared" si="10"/>
        <v>3.0874531674840649E-2</v>
      </c>
      <c r="AL28" s="17">
        <f t="shared" si="11"/>
        <v>3288056</v>
      </c>
      <c r="AM28" s="20">
        <v>16</v>
      </c>
      <c r="AN28" s="21">
        <v>25558634</v>
      </c>
      <c r="AO28" s="21">
        <v>798707.3125</v>
      </c>
      <c r="AP28" s="21">
        <v>10427.875</v>
      </c>
      <c r="AQ28" s="22">
        <v>11015912</v>
      </c>
      <c r="AR28" s="22">
        <v>2747480</v>
      </c>
      <c r="AS28" s="22">
        <v>540576</v>
      </c>
      <c r="AT28" s="22">
        <v>7727728</v>
      </c>
      <c r="AU28" s="23">
        <v>69.638740999999996</v>
      </c>
      <c r="AV28" s="23">
        <v>71.772581000000002</v>
      </c>
      <c r="AW28" s="23">
        <v>32.711775000000003</v>
      </c>
      <c r="AX28" s="23">
        <v>36.413266</v>
      </c>
      <c r="AY28" s="23">
        <v>35.865124999999999</v>
      </c>
      <c r="AZ28" s="24">
        <v>1462.13</v>
      </c>
      <c r="BA28" s="24">
        <v>4628.91</v>
      </c>
      <c r="BB28" s="24">
        <v>9.0150000000000006</v>
      </c>
      <c r="BC28" s="24">
        <v>17.992000000000001</v>
      </c>
      <c r="BE28" s="49">
        <f t="shared" si="12"/>
        <v>0.99621879597738061</v>
      </c>
      <c r="BF28" s="25">
        <f t="shared" si="13"/>
        <v>-1.3372936910478079E-2</v>
      </c>
      <c r="BG28" s="25">
        <f t="shared" si="14"/>
        <v>-7.9732814060234913E-4</v>
      </c>
      <c r="BH28" s="25"/>
      <c r="BJ28" s="49"/>
      <c r="BK28" s="49"/>
      <c r="BL28" s="49"/>
      <c r="BM28" s="49"/>
      <c r="BN28" s="49"/>
      <c r="BP28" s="49"/>
      <c r="BQ28" s="49"/>
      <c r="BR28" s="49"/>
      <c r="BS28" s="49"/>
      <c r="BT28" s="49"/>
      <c r="BV28" s="58">
        <f t="shared" si="16"/>
        <v>0</v>
      </c>
      <c r="BW28" s="58">
        <f t="shared" si="16"/>
        <v>0</v>
      </c>
      <c r="BX28" s="58">
        <f t="shared" si="16"/>
        <v>-10681.0625</v>
      </c>
      <c r="BY28" s="58">
        <f t="shared" si="16"/>
        <v>-12352</v>
      </c>
      <c r="BZ28" s="58">
        <f t="shared" si="16"/>
        <v>0</v>
      </c>
      <c r="CA28" s="58">
        <f t="shared" si="16"/>
        <v>-12480</v>
      </c>
      <c r="CB28" s="58">
        <f t="shared" si="16"/>
        <v>0</v>
      </c>
      <c r="CC28" s="58">
        <f t="shared" si="16"/>
        <v>-0.82337499999999864</v>
      </c>
      <c r="CD28" s="58">
        <f t="shared" si="16"/>
        <v>-1.2210129999999992</v>
      </c>
      <c r="CE28" s="58">
        <f t="shared" si="16"/>
        <v>7.1470000000033451E-3</v>
      </c>
      <c r="CF28" s="58">
        <f t="shared" si="16"/>
        <v>-5.7499999999777174E-4</v>
      </c>
      <c r="CG28" s="58">
        <f t="shared" si="16"/>
        <v>1.6899999999964166E-4</v>
      </c>
      <c r="CJ28" t="s">
        <v>579</v>
      </c>
    </row>
    <row r="29" spans="1:88" ht="16" outlineLevel="1" thickBot="1" x14ac:dyDescent="0.25">
      <c r="A29" s="26"/>
      <c r="B29" s="26" t="s">
        <v>73</v>
      </c>
      <c r="C29" s="27" t="s">
        <v>237</v>
      </c>
      <c r="D29" s="26">
        <v>250294582</v>
      </c>
      <c r="E29" s="27">
        <v>10</v>
      </c>
      <c r="F29" s="27">
        <v>32</v>
      </c>
      <c r="G29" s="27">
        <v>30</v>
      </c>
      <c r="I29" s="28">
        <f t="shared" si="0"/>
        <v>23.8660575</v>
      </c>
      <c r="J29" s="29">
        <f t="shared" si="1"/>
        <v>0.10170866583120844</v>
      </c>
      <c r="K29" s="29">
        <f t="shared" si="2"/>
        <v>2.1642817661950031E-2</v>
      </c>
      <c r="L29" s="29">
        <f t="shared" si="3"/>
        <v>1.7231247938079619E-2</v>
      </c>
      <c r="M29" s="29">
        <f t="shared" si="4"/>
        <v>8.0065848169258408E-2</v>
      </c>
      <c r="N29" s="26">
        <f t="shared" si="5"/>
        <v>5417080</v>
      </c>
      <c r="O29" s="29">
        <v>16</v>
      </c>
      <c r="P29" s="30">
        <v>24591050</v>
      </c>
      <c r="Q29" s="30">
        <v>768470.3125</v>
      </c>
      <c r="R29" s="30">
        <v>9839.84375</v>
      </c>
      <c r="S29" s="31">
        <v>25457128</v>
      </c>
      <c r="T29" s="31">
        <v>4312888</v>
      </c>
      <c r="U29" s="31">
        <v>1104192</v>
      </c>
      <c r="V29" s="31">
        <v>20040048</v>
      </c>
      <c r="W29" s="32">
        <v>71.138030999999998</v>
      </c>
      <c r="X29" s="32">
        <v>74.865933999999996</v>
      </c>
      <c r="Y29" s="32">
        <v>35.755878000000003</v>
      </c>
      <c r="Z29" s="32">
        <v>38.367171999999997</v>
      </c>
      <c r="AA29" s="32">
        <v>37.762050000000002</v>
      </c>
      <c r="AB29" s="33">
        <v>1811.35</v>
      </c>
      <c r="AC29" s="33">
        <v>6975.87</v>
      </c>
      <c r="AD29" s="33">
        <v>69.799000000000007</v>
      </c>
      <c r="AE29" s="33">
        <v>29.370999999999999</v>
      </c>
      <c r="AG29" s="28">
        <f t="shared" si="6"/>
        <v>23.854477500000002</v>
      </c>
      <c r="AH29" s="29">
        <f t="shared" si="7"/>
        <v>0.10165931598151813</v>
      </c>
      <c r="AI29" s="29">
        <f t="shared" si="8"/>
        <v>2.1592956414853599E-2</v>
      </c>
      <c r="AJ29" s="29">
        <f t="shared" si="9"/>
        <v>1.7231247938079619E-2</v>
      </c>
      <c r="AK29" s="29">
        <f t="shared" si="10"/>
        <v>8.0065848169258408E-2</v>
      </c>
      <c r="AL29" s="26">
        <f t="shared" si="11"/>
        <v>5404600</v>
      </c>
      <c r="AM29" s="29">
        <v>16</v>
      </c>
      <c r="AN29" s="30">
        <v>24591050</v>
      </c>
      <c r="AO29" s="30">
        <v>768470.3125</v>
      </c>
      <c r="AP29" s="30">
        <v>5696.6875</v>
      </c>
      <c r="AQ29" s="31">
        <v>25444776</v>
      </c>
      <c r="AR29" s="31">
        <v>4312888</v>
      </c>
      <c r="AS29" s="31">
        <v>1091712</v>
      </c>
      <c r="AT29" s="31">
        <v>20040048</v>
      </c>
      <c r="AU29" s="32">
        <v>71.318375000000003</v>
      </c>
      <c r="AV29" s="32">
        <v>75.019949999999994</v>
      </c>
      <c r="AW29" s="32">
        <v>35.814599999999999</v>
      </c>
      <c r="AX29" s="32">
        <v>38.370896999999999</v>
      </c>
      <c r="AY29" s="32">
        <v>37.768453000000001</v>
      </c>
      <c r="AZ29" s="33">
        <v>1496.22</v>
      </c>
      <c r="BA29" s="33">
        <v>5195.7700000000004</v>
      </c>
      <c r="BB29" s="33">
        <v>9.0980000000000008</v>
      </c>
      <c r="BC29" s="33">
        <v>20.366</v>
      </c>
      <c r="BE29" s="34">
        <f t="shared" si="12"/>
        <v>0.9976961757995082</v>
      </c>
      <c r="BF29" s="35">
        <f t="shared" si="13"/>
        <v>-5.3914330620286654E-3</v>
      </c>
      <c r="BG29" s="35">
        <f t="shared" si="14"/>
        <v>-3.8717534426516154E-4</v>
      </c>
      <c r="BH29" s="35"/>
      <c r="BJ29" s="34"/>
      <c r="BK29" s="34"/>
      <c r="BL29" s="34"/>
      <c r="BM29" s="34"/>
      <c r="BN29" s="34"/>
      <c r="BP29" s="34"/>
      <c r="BQ29" s="34"/>
      <c r="BR29" s="34"/>
      <c r="BS29" s="34"/>
      <c r="BT29" s="34"/>
      <c r="BV29" s="58">
        <f t="shared" si="16"/>
        <v>0</v>
      </c>
      <c r="BW29" s="58">
        <f t="shared" si="16"/>
        <v>0</v>
      </c>
      <c r="BX29" s="58">
        <f t="shared" si="16"/>
        <v>-4143.15625</v>
      </c>
      <c r="BY29" s="58">
        <f t="shared" si="16"/>
        <v>-12352</v>
      </c>
      <c r="BZ29" s="58">
        <f t="shared" si="16"/>
        <v>0</v>
      </c>
      <c r="CA29" s="58">
        <f t="shared" si="16"/>
        <v>-12480</v>
      </c>
      <c r="CB29" s="58">
        <f t="shared" si="16"/>
        <v>0</v>
      </c>
      <c r="CC29" s="58">
        <f t="shared" si="16"/>
        <v>0.18034400000000517</v>
      </c>
      <c r="CD29" s="58">
        <f t="shared" si="16"/>
        <v>0.1540159999999986</v>
      </c>
      <c r="CE29" s="58">
        <f t="shared" si="16"/>
        <v>5.8721999999995944E-2</v>
      </c>
      <c r="CF29" s="58">
        <f t="shared" si="16"/>
        <v>3.7250000000028649E-3</v>
      </c>
      <c r="CG29" s="58">
        <f t="shared" si="16"/>
        <v>6.4029999999988263E-3</v>
      </c>
      <c r="CJ29" t="s">
        <v>579</v>
      </c>
    </row>
    <row r="30" spans="1:88" x14ac:dyDescent="0.2">
      <c r="A30" s="17" t="s">
        <v>242</v>
      </c>
      <c r="B30" s="17" t="s">
        <v>77</v>
      </c>
      <c r="C30" s="18" t="s">
        <v>232</v>
      </c>
      <c r="D30" s="17">
        <v>375422539</v>
      </c>
      <c r="E30" s="18">
        <v>11</v>
      </c>
      <c r="F30" s="18">
        <v>32</v>
      </c>
      <c r="G30" s="18">
        <v>30</v>
      </c>
      <c r="I30" s="19">
        <f t="shared" si="0"/>
        <v>3.7191225000000001</v>
      </c>
      <c r="J30" s="20">
        <f t="shared" si="1"/>
        <v>1.0566930825642303E-2</v>
      </c>
      <c r="K30" s="20">
        <f t="shared" si="2"/>
        <v>8.3820433594158812E-3</v>
      </c>
      <c r="L30" s="20">
        <f t="shared" si="3"/>
        <v>5.2756768554058494E-3</v>
      </c>
      <c r="M30" s="20">
        <f t="shared" si="4"/>
        <v>2.1848874662264216E-3</v>
      </c>
      <c r="N30" s="17">
        <f t="shared" si="5"/>
        <v>3146808</v>
      </c>
      <c r="O30" s="20">
        <v>16</v>
      </c>
      <c r="P30" s="21">
        <v>86243398</v>
      </c>
      <c r="Q30" s="21">
        <v>2695106.1875</v>
      </c>
      <c r="R30" s="21">
        <v>33846.0625</v>
      </c>
      <c r="S30" s="22">
        <v>3967064</v>
      </c>
      <c r="T30" s="22">
        <v>1980608</v>
      </c>
      <c r="U30" s="22">
        <v>1166200</v>
      </c>
      <c r="V30" s="22">
        <v>820256</v>
      </c>
      <c r="W30" s="23">
        <v>73.637074999999996</v>
      </c>
      <c r="X30" s="23">
        <v>75.742599999999996</v>
      </c>
      <c r="Y30" s="23">
        <v>33.230944000000001</v>
      </c>
      <c r="Z30" s="23">
        <v>41.929219000000003</v>
      </c>
      <c r="AA30" s="23">
        <v>43.316119</v>
      </c>
      <c r="AB30" s="24">
        <v>4169.28</v>
      </c>
      <c r="AC30" s="24">
        <v>17780.8</v>
      </c>
      <c r="AD30" s="24">
        <v>242.79</v>
      </c>
      <c r="AE30" s="24">
        <v>79.113</v>
      </c>
      <c r="AG30" s="19">
        <f t="shared" si="6"/>
        <v>3.6971474999999998</v>
      </c>
      <c r="AH30" s="20">
        <f t="shared" si="7"/>
        <v>1.0504494510384205E-2</v>
      </c>
      <c r="AI30" s="20">
        <f t="shared" si="8"/>
        <v>8.3192660949959647E-3</v>
      </c>
      <c r="AJ30" s="20">
        <f t="shared" si="9"/>
        <v>5.2756768554058494E-3</v>
      </c>
      <c r="AK30" s="20">
        <f t="shared" si="10"/>
        <v>2.1848874662264216E-3</v>
      </c>
      <c r="AL30" s="17">
        <f t="shared" si="11"/>
        <v>3123240</v>
      </c>
      <c r="AM30" s="20">
        <v>16</v>
      </c>
      <c r="AN30" s="21">
        <v>86243398</v>
      </c>
      <c r="AO30" s="21">
        <v>2695106.1875</v>
      </c>
      <c r="AP30" s="21">
        <v>18519.65625</v>
      </c>
      <c r="AQ30" s="22">
        <v>3943624</v>
      </c>
      <c r="AR30" s="22">
        <v>1980608</v>
      </c>
      <c r="AS30" s="22">
        <v>1142632</v>
      </c>
      <c r="AT30" s="22">
        <v>820256</v>
      </c>
      <c r="AU30" s="23">
        <v>73.539400000000001</v>
      </c>
      <c r="AV30" s="23">
        <v>75.220038000000002</v>
      </c>
      <c r="AW30" s="23">
        <v>33.226641000000001</v>
      </c>
      <c r="AX30" s="23">
        <v>41.927596999999999</v>
      </c>
      <c r="AY30" s="23">
        <v>43.313319</v>
      </c>
      <c r="AZ30" s="24">
        <v>3699.86</v>
      </c>
      <c r="BA30" s="24">
        <v>16572.3</v>
      </c>
      <c r="BB30" s="24">
        <v>38.31</v>
      </c>
      <c r="BC30" s="24">
        <v>76.106999999999999</v>
      </c>
      <c r="BE30" s="49">
        <f t="shared" si="12"/>
        <v>0.99251050588405798</v>
      </c>
      <c r="BF30" s="25">
        <f t="shared" si="13"/>
        <v>-5.6867541327627179E-3</v>
      </c>
      <c r="BG30" s="25">
        <f t="shared" si="14"/>
        <v>-1.261430380546269E-3</v>
      </c>
      <c r="BH30" s="25">
        <f t="array" ref="BH30">AVERAGE(AL30:AL34/AQ30:AQ34) - AVERAGE(N30:N34/S30:S34)</f>
        <v>-9.8405726782380132E-4</v>
      </c>
      <c r="BJ30" s="49">
        <f>IF( OR(ISBLANK(N30:N34),ISBLANK(AL30:AL34), ISBLANK(W30:W34),ISBLANK(AU30:AU34)), "·", bdRateExtend( N30:N34,W30:W34, AL30:AL34,AU30:AU34))</f>
        <v>8.5657083434474979E-2</v>
      </c>
      <c r="BK30" s="49">
        <f>IF( OR(ISBLANK(N30:N34),ISBLANK(AL30:AL34), ISBLANK(X30:X34),ISBLANK(AV30:AV34)), "·", bdRateExtend( N30:N34,X30:X34, AL30:AL34,AV30:AV34))</f>
        <v>0.14416500742864025</v>
      </c>
      <c r="BL30" s="49">
        <f>IF( OR(ISBLANK(V30:V34),ISBLANK(AT30:AT34), ISBLANK(Y30:Y34),ISBLANK(AW30:AW34)), "·", bdRateExtend( V30:V34,Y30:Y34, AT30:AT34,AW30:AW34))</f>
        <v>-9.3019353368939406E-4</v>
      </c>
      <c r="BM30" s="49">
        <f>IF( OR(ISBLANK(V30:V34),ISBLANK(AT30:AT34), ISBLANK(Z30:Z34),ISBLANK(AX30:AX34)), "·", bdRateExtend( V30:V34,Z30:Z34, AT30:AT34,AX30:AX34))</f>
        <v>-7.9207501631373134E-5</v>
      </c>
      <c r="BN30" s="49">
        <f>IF( OR(ISBLANK(V30:V34),ISBLANK(AT30:AT34), ISBLANK(AA30:AA34),ISBLANK(AY30:AY34)), "·", bdRateExtend( V30:V34,AA30:AA34, AT30:AT34,AY30:AY34))</f>
        <v>-2.9261508691091898E-5</v>
      </c>
      <c r="BP30" s="49">
        <f>IF( OR(ISBLANK(S30:S34),ISBLANK(AQ30:AQ34), ISBLANK(W30:W34),ISBLANK(AU30:AU34)), "·", bdRateExtend( S30:S34,W30:W34, AQ30:AQ34,AU30:AU34))</f>
        <v>0.13297051736676035</v>
      </c>
      <c r="BQ30" s="49">
        <f>IF( OR(ISBLANK(S30:S34),ISBLANK(AQ30:AQ34), ISBLANK(X30:X34),ISBLANK(AV30:AV34)), "·", bdRateExtend( S30:S34,X30:X34, AQ30:AQ34,AV30:AV34))</f>
        <v>0.22337584648955255</v>
      </c>
      <c r="BR30" s="49">
        <f>IF( OR(ISBLANK(S30:S34),ISBLANK(AQ30:AQ34), ISBLANK(Y30:Y34),ISBLANK(AW30:AW34)), "·", bdRateExtend( S30:S34,Y30:Y34, AQ30:AQ34,AW30:AW34))</f>
        <v>-4.0161346048958046E-3</v>
      </c>
      <c r="BS30" s="49">
        <f>IF( OR(ISBLANK(S30:S34),ISBLANK(AQ30:AQ34), ISBLANK(Z30:Z34),ISBLANK(AX30:AX34)), "·", bdRateExtend( S30:S34,Z30:Z34, AQ30:AQ34,AX30:AX34))</f>
        <v>-3.2499146284032943E-3</v>
      </c>
      <c r="BT30" s="49">
        <f>IF( OR(ISBLANK(S30:S34),ISBLANK(AQ30:AQ34), ISBLANK(AA30:AA34),ISBLANK(AY30:AY34)), "·", bdRateExtend( S30:S34,AA30:AA34, AQ30:AQ34,AY30:AY34))</f>
        <v>-3.1546551301717685E-3</v>
      </c>
      <c r="BV30" s="58">
        <f t="shared" si="16"/>
        <v>0</v>
      </c>
      <c r="BW30" s="58">
        <f t="shared" si="16"/>
        <v>0</v>
      </c>
      <c r="BX30" s="58">
        <f t="shared" si="16"/>
        <v>-15326.40625</v>
      </c>
      <c r="BY30" s="58">
        <f t="shared" si="16"/>
        <v>-23440</v>
      </c>
      <c r="BZ30" s="58">
        <f t="shared" si="16"/>
        <v>0</v>
      </c>
      <c r="CA30" s="58">
        <f t="shared" si="16"/>
        <v>-23568</v>
      </c>
      <c r="CB30" s="58">
        <f t="shared" si="16"/>
        <v>0</v>
      </c>
      <c r="CC30" s="58">
        <f t="shared" si="16"/>
        <v>-9.7674999999995293E-2</v>
      </c>
      <c r="CD30" s="58">
        <f t="shared" si="16"/>
        <v>-0.52256199999999353</v>
      </c>
      <c r="CE30" s="58">
        <f t="shared" si="16"/>
        <v>-4.3030000000001678E-3</v>
      </c>
      <c r="CF30" s="58">
        <f t="shared" si="16"/>
        <v>-1.6220000000046753E-3</v>
      </c>
      <c r="CG30" s="58">
        <f t="shared" si="16"/>
        <v>-2.8000000000005798E-3</v>
      </c>
      <c r="CJ30" t="s">
        <v>588</v>
      </c>
    </row>
    <row r="31" spans="1:88" outlineLevel="1" x14ac:dyDescent="0.2">
      <c r="A31" s="52"/>
      <c r="B31" s="52" t="s">
        <v>77</v>
      </c>
      <c r="C31" s="9" t="s">
        <v>234</v>
      </c>
      <c r="D31" s="52">
        <v>375422539</v>
      </c>
      <c r="E31" s="9">
        <v>11</v>
      </c>
      <c r="F31" s="9">
        <v>32</v>
      </c>
      <c r="G31" s="9">
        <v>30</v>
      </c>
      <c r="I31" s="10">
        <f t="shared" si="0"/>
        <v>4.9565625000000004</v>
      </c>
      <c r="J31" s="11">
        <f t="shared" si="1"/>
        <v>1.4082798582319533E-2</v>
      </c>
      <c r="K31" s="11">
        <f t="shared" si="2"/>
        <v>1.0321894924907532E-2</v>
      </c>
      <c r="L31" s="11">
        <f t="shared" si="3"/>
        <v>7.2155284208974997E-3</v>
      </c>
      <c r="M31" s="11">
        <f t="shared" si="4"/>
        <v>3.7609036574120019E-3</v>
      </c>
      <c r="N31" s="52">
        <f t="shared" si="5"/>
        <v>3875072</v>
      </c>
      <c r="O31" s="11">
        <v>16</v>
      </c>
      <c r="P31" s="12">
        <v>90541792</v>
      </c>
      <c r="Q31" s="12">
        <v>2829431</v>
      </c>
      <c r="R31" s="12">
        <v>41460.6875</v>
      </c>
      <c r="S31" s="13">
        <v>5287000</v>
      </c>
      <c r="T31" s="13">
        <v>2708872</v>
      </c>
      <c r="U31" s="13">
        <v>1166200</v>
      </c>
      <c r="V31" s="13">
        <v>1411928</v>
      </c>
      <c r="W31" s="14">
        <v>75.252650000000003</v>
      </c>
      <c r="X31" s="14">
        <v>77.584663000000006</v>
      </c>
      <c r="Y31" s="14">
        <v>35.168300000000002</v>
      </c>
      <c r="Z31" s="14">
        <v>42.577666000000001</v>
      </c>
      <c r="AA31" s="14">
        <v>44.702897</v>
      </c>
      <c r="AB31" s="15">
        <v>4444.84</v>
      </c>
      <c r="AC31" s="15">
        <v>23155.200000000001</v>
      </c>
      <c r="AD31" s="15">
        <v>274.03800000000001</v>
      </c>
      <c r="AE31" s="15">
        <v>104.39</v>
      </c>
      <c r="AG31" s="10">
        <f t="shared" si="6"/>
        <v>4.9345875000000001</v>
      </c>
      <c r="AH31" s="11">
        <f t="shared" si="7"/>
        <v>1.4020362267061435E-2</v>
      </c>
      <c r="AI31" s="11">
        <f t="shared" si="8"/>
        <v>1.0259117660487614E-2</v>
      </c>
      <c r="AJ31" s="11">
        <f t="shared" si="9"/>
        <v>7.2155284208974997E-3</v>
      </c>
      <c r="AK31" s="11">
        <f t="shared" si="10"/>
        <v>3.7609036574120019E-3</v>
      </c>
      <c r="AL31" s="52">
        <f t="shared" si="11"/>
        <v>3851504</v>
      </c>
      <c r="AM31" s="11">
        <v>16</v>
      </c>
      <c r="AN31" s="12">
        <v>90541792</v>
      </c>
      <c r="AO31" s="12">
        <v>2829431</v>
      </c>
      <c r="AP31" s="12">
        <v>23801.9375</v>
      </c>
      <c r="AQ31" s="13">
        <v>5263560</v>
      </c>
      <c r="AR31" s="13">
        <v>2708872</v>
      </c>
      <c r="AS31" s="13">
        <v>1142632</v>
      </c>
      <c r="AT31" s="13">
        <v>1411928</v>
      </c>
      <c r="AU31" s="14">
        <v>75.004497000000001</v>
      </c>
      <c r="AV31" s="14">
        <v>76.955409000000003</v>
      </c>
      <c r="AW31" s="14">
        <v>35.167090999999999</v>
      </c>
      <c r="AX31" s="14">
        <v>42.577078</v>
      </c>
      <c r="AY31" s="14">
        <v>44.701644000000002</v>
      </c>
      <c r="AZ31" s="15">
        <v>3566.58</v>
      </c>
      <c r="BA31" s="15">
        <v>16572.2</v>
      </c>
      <c r="BB31" s="15">
        <v>38.979999999999997</v>
      </c>
      <c r="BC31" s="15">
        <v>75.677999999999997</v>
      </c>
      <c r="BE31" s="50">
        <f t="shared" si="12"/>
        <v>0.99391804849045384</v>
      </c>
      <c r="BF31" s="16">
        <f t="shared" si="13"/>
        <v>-6.2410958245668474E-3</v>
      </c>
      <c r="BG31" s="16">
        <f t="shared" si="14"/>
        <v>-1.2135903497509926E-3</v>
      </c>
      <c r="BH31" s="16"/>
      <c r="BJ31" s="50"/>
      <c r="BK31" s="50"/>
      <c r="BL31" s="50"/>
      <c r="BM31" s="50"/>
      <c r="BN31" s="50"/>
      <c r="BP31" s="50"/>
      <c r="BQ31" s="50"/>
      <c r="BR31" s="50"/>
      <c r="BS31" s="50"/>
      <c r="BT31" s="50"/>
      <c r="BV31" s="58">
        <f t="shared" si="16"/>
        <v>0</v>
      </c>
      <c r="BW31" s="58">
        <f t="shared" si="16"/>
        <v>0</v>
      </c>
      <c r="BX31" s="58">
        <f t="shared" si="16"/>
        <v>-17658.75</v>
      </c>
      <c r="BY31" s="58">
        <f t="shared" si="16"/>
        <v>-23440</v>
      </c>
      <c r="BZ31" s="58">
        <f t="shared" si="16"/>
        <v>0</v>
      </c>
      <c r="CA31" s="58">
        <f t="shared" si="16"/>
        <v>-23568</v>
      </c>
      <c r="CB31" s="58">
        <f t="shared" si="16"/>
        <v>0</v>
      </c>
      <c r="CC31" s="58">
        <f t="shared" si="16"/>
        <v>-0.24815300000000207</v>
      </c>
      <c r="CD31" s="58">
        <f t="shared" si="16"/>
        <v>-0.62925400000000309</v>
      </c>
      <c r="CE31" s="58">
        <f t="shared" si="16"/>
        <v>-1.2090000000029022E-3</v>
      </c>
      <c r="CF31" s="58">
        <f t="shared" si="16"/>
        <v>-5.8800000000047703E-4</v>
      </c>
      <c r="CG31" s="58">
        <f t="shared" si="16"/>
        <v>-1.2529999999983943E-3</v>
      </c>
      <c r="CJ31" t="s">
        <v>588</v>
      </c>
    </row>
    <row r="32" spans="1:88" outlineLevel="1" x14ac:dyDescent="0.2">
      <c r="A32" s="17"/>
      <c r="B32" s="17" t="s">
        <v>77</v>
      </c>
      <c r="C32" s="18" t="s">
        <v>235</v>
      </c>
      <c r="D32" s="17">
        <v>375422539</v>
      </c>
      <c r="E32" s="18">
        <v>11</v>
      </c>
      <c r="F32" s="18">
        <v>32</v>
      </c>
      <c r="G32" s="18">
        <v>30</v>
      </c>
      <c r="I32" s="19">
        <f t="shared" si="0"/>
        <v>7.1605800000000004</v>
      </c>
      <c r="J32" s="20">
        <f t="shared" si="1"/>
        <v>2.0344947909480736E-2</v>
      </c>
      <c r="K32" s="20">
        <f t="shared" si="2"/>
        <v>1.3213229054422862E-2</v>
      </c>
      <c r="L32" s="20">
        <f t="shared" si="3"/>
        <v>1.0106862550412829E-2</v>
      </c>
      <c r="M32" s="20">
        <f t="shared" si="4"/>
        <v>7.1317188550578739E-3</v>
      </c>
      <c r="N32" s="17">
        <f t="shared" si="5"/>
        <v>4960544</v>
      </c>
      <c r="O32" s="20">
        <v>16</v>
      </c>
      <c r="P32" s="21">
        <v>91787366</v>
      </c>
      <c r="Q32" s="21">
        <v>2868355.1875</v>
      </c>
      <c r="R32" s="21">
        <v>44534.90625</v>
      </c>
      <c r="S32" s="22">
        <v>7637952</v>
      </c>
      <c r="T32" s="22">
        <v>3794344</v>
      </c>
      <c r="U32" s="22">
        <v>1166200</v>
      </c>
      <c r="V32" s="22">
        <v>2677408</v>
      </c>
      <c r="W32" s="23">
        <v>76.469399999999993</v>
      </c>
      <c r="X32" s="23">
        <v>79.114191000000005</v>
      </c>
      <c r="Y32" s="23">
        <v>36.951524999999997</v>
      </c>
      <c r="Z32" s="23">
        <v>43.104759000000001</v>
      </c>
      <c r="AA32" s="23">
        <v>45.735422</v>
      </c>
      <c r="AB32" s="24">
        <v>4380.97</v>
      </c>
      <c r="AC32" s="24">
        <v>23571.7</v>
      </c>
      <c r="AD32" s="24">
        <v>272.99400000000003</v>
      </c>
      <c r="AE32" s="24">
        <v>105.072</v>
      </c>
      <c r="AG32" s="19">
        <f t="shared" si="6"/>
        <v>7.1386050000000001</v>
      </c>
      <c r="AH32" s="20">
        <f t="shared" si="7"/>
        <v>2.0282511594222636E-2</v>
      </c>
      <c r="AI32" s="20">
        <f t="shared" si="8"/>
        <v>1.3150451790002944E-2</v>
      </c>
      <c r="AJ32" s="20">
        <f t="shared" si="9"/>
        <v>1.0106862550412829E-2</v>
      </c>
      <c r="AK32" s="20">
        <f t="shared" si="10"/>
        <v>7.1317188550578739E-3</v>
      </c>
      <c r="AL32" s="17">
        <f t="shared" si="11"/>
        <v>4936976</v>
      </c>
      <c r="AM32" s="20">
        <v>16</v>
      </c>
      <c r="AN32" s="21">
        <v>91787366</v>
      </c>
      <c r="AO32" s="21">
        <v>2868355.1875</v>
      </c>
      <c r="AP32" s="21">
        <v>26911.59375</v>
      </c>
      <c r="AQ32" s="22">
        <v>7614512</v>
      </c>
      <c r="AR32" s="22">
        <v>3794344</v>
      </c>
      <c r="AS32" s="22">
        <v>1142632</v>
      </c>
      <c r="AT32" s="22">
        <v>2677408</v>
      </c>
      <c r="AU32" s="23">
        <v>76.192477999999994</v>
      </c>
      <c r="AV32" s="23">
        <v>78.420991000000001</v>
      </c>
      <c r="AW32" s="23">
        <v>36.951509000000001</v>
      </c>
      <c r="AX32" s="23">
        <v>43.104875</v>
      </c>
      <c r="AY32" s="23">
        <v>45.735500000000002</v>
      </c>
      <c r="AZ32" s="24">
        <v>3593.41</v>
      </c>
      <c r="BA32" s="24">
        <v>18149.900000000001</v>
      </c>
      <c r="BB32" s="24">
        <v>39.152999999999999</v>
      </c>
      <c r="BC32" s="24">
        <v>77.97</v>
      </c>
      <c r="BE32" s="49">
        <f t="shared" si="12"/>
        <v>0.9952489081842637</v>
      </c>
      <c r="BF32" s="25">
        <f t="shared" si="13"/>
        <v>-6.1440481906845437E-3</v>
      </c>
      <c r="BG32" s="25">
        <f t="shared" si="14"/>
        <v>-1.0958888158340008E-3</v>
      </c>
      <c r="BH32" s="25"/>
      <c r="BJ32" s="49"/>
      <c r="BK32" s="49"/>
      <c r="BL32" s="49"/>
      <c r="BM32" s="49"/>
      <c r="BN32" s="49"/>
      <c r="BP32" s="49"/>
      <c r="BQ32" s="49"/>
      <c r="BR32" s="49"/>
      <c r="BS32" s="49"/>
      <c r="BT32" s="49"/>
      <c r="BV32" s="58">
        <f t="shared" si="16"/>
        <v>0</v>
      </c>
      <c r="BW32" s="58">
        <f t="shared" si="16"/>
        <v>0</v>
      </c>
      <c r="BX32" s="58">
        <f t="shared" si="16"/>
        <v>-17623.3125</v>
      </c>
      <c r="BY32" s="58">
        <f t="shared" si="16"/>
        <v>-23440</v>
      </c>
      <c r="BZ32" s="58">
        <f t="shared" si="16"/>
        <v>0</v>
      </c>
      <c r="CA32" s="58">
        <f t="shared" si="16"/>
        <v>-23568</v>
      </c>
      <c r="CB32" s="58">
        <f t="shared" si="16"/>
        <v>0</v>
      </c>
      <c r="CC32" s="58">
        <f t="shared" si="16"/>
        <v>-0.276921999999999</v>
      </c>
      <c r="CD32" s="58">
        <f t="shared" si="16"/>
        <v>-0.69320000000000448</v>
      </c>
      <c r="CE32" s="58">
        <f t="shared" si="16"/>
        <v>-1.599999999513102E-5</v>
      </c>
      <c r="CF32" s="58">
        <f t="shared" si="16"/>
        <v>1.1599999999845068E-4</v>
      </c>
      <c r="CG32" s="58">
        <f t="shared" si="16"/>
        <v>7.8000000002020897E-5</v>
      </c>
      <c r="CJ32" t="s">
        <v>588</v>
      </c>
    </row>
    <row r="33" spans="1:88" outlineLevel="1" x14ac:dyDescent="0.2">
      <c r="A33" s="52"/>
      <c r="B33" s="52" t="s">
        <v>77</v>
      </c>
      <c r="C33" s="9" t="s">
        <v>236</v>
      </c>
      <c r="D33" s="52">
        <v>375422539</v>
      </c>
      <c r="E33" s="9">
        <v>11</v>
      </c>
      <c r="F33" s="9">
        <v>32</v>
      </c>
      <c r="G33" s="9">
        <v>30</v>
      </c>
      <c r="I33" s="10">
        <f t="shared" si="0"/>
        <v>11.997142500000001</v>
      </c>
      <c r="J33" s="11">
        <f t="shared" si="1"/>
        <v>3.4086797329981301E-2</v>
      </c>
      <c r="K33" s="11">
        <f t="shared" si="2"/>
        <v>1.8543265991816223E-2</v>
      </c>
      <c r="L33" s="11">
        <f t="shared" si="3"/>
        <v>1.5436899487806192E-2</v>
      </c>
      <c r="M33" s="11">
        <f t="shared" si="4"/>
        <v>1.5543531338165075E-2</v>
      </c>
      <c r="N33" s="52">
        <f t="shared" si="5"/>
        <v>6961560</v>
      </c>
      <c r="O33" s="11">
        <v>16</v>
      </c>
      <c r="P33" s="12">
        <v>94114766</v>
      </c>
      <c r="Q33" s="12">
        <v>2941086.4375</v>
      </c>
      <c r="R33" s="12">
        <v>49715.25</v>
      </c>
      <c r="S33" s="13">
        <v>12796952</v>
      </c>
      <c r="T33" s="13">
        <v>5795360</v>
      </c>
      <c r="U33" s="13">
        <v>1166200</v>
      </c>
      <c r="V33" s="13">
        <v>5835392</v>
      </c>
      <c r="W33" s="14">
        <v>77.566353000000007</v>
      </c>
      <c r="X33" s="14">
        <v>80.266603000000003</v>
      </c>
      <c r="Y33" s="14">
        <v>38.717027999999999</v>
      </c>
      <c r="Z33" s="14">
        <v>43.694291</v>
      </c>
      <c r="AA33" s="14">
        <v>47.348472000000001</v>
      </c>
      <c r="AB33" s="15">
        <v>4336.6899999999996</v>
      </c>
      <c r="AC33" s="15">
        <v>20323</v>
      </c>
      <c r="AD33" s="15">
        <v>258.65499999999997</v>
      </c>
      <c r="AE33" s="15">
        <v>83.308999999999997</v>
      </c>
      <c r="AG33" s="10">
        <f t="shared" si="6"/>
        <v>11.9751675</v>
      </c>
      <c r="AH33" s="11">
        <f t="shared" si="7"/>
        <v>3.4024361014723198E-2</v>
      </c>
      <c r="AI33" s="11">
        <f t="shared" si="8"/>
        <v>1.8480488727396306E-2</v>
      </c>
      <c r="AJ33" s="11">
        <f t="shared" si="9"/>
        <v>1.5436899487806192E-2</v>
      </c>
      <c r="AK33" s="11">
        <f t="shared" si="10"/>
        <v>1.5543531338165075E-2</v>
      </c>
      <c r="AL33" s="52">
        <f t="shared" si="11"/>
        <v>6937992</v>
      </c>
      <c r="AM33" s="11">
        <v>16</v>
      </c>
      <c r="AN33" s="12">
        <v>94114766</v>
      </c>
      <c r="AO33" s="12">
        <v>2941086.4375</v>
      </c>
      <c r="AP33" s="12">
        <v>30502.53125</v>
      </c>
      <c r="AQ33" s="13">
        <v>12773512</v>
      </c>
      <c r="AR33" s="13">
        <v>5795360</v>
      </c>
      <c r="AS33" s="13">
        <v>1142632</v>
      </c>
      <c r="AT33" s="13">
        <v>5835392</v>
      </c>
      <c r="AU33" s="14">
        <v>77.014634000000001</v>
      </c>
      <c r="AV33" s="14">
        <v>79.409702999999993</v>
      </c>
      <c r="AW33" s="14">
        <v>38.719724999999997</v>
      </c>
      <c r="AX33" s="14">
        <v>43.694921999999998</v>
      </c>
      <c r="AY33" s="14">
        <v>47.349696999999999</v>
      </c>
      <c r="AZ33" s="15">
        <v>4040.5</v>
      </c>
      <c r="BA33" s="15">
        <v>19931.599999999999</v>
      </c>
      <c r="BB33" s="15">
        <v>38.683</v>
      </c>
      <c r="BC33" s="15">
        <v>79.451999999999998</v>
      </c>
      <c r="BE33" s="50">
        <f t="shared" si="12"/>
        <v>0.99661455191077875</v>
      </c>
      <c r="BF33" s="16">
        <f t="shared" si="13"/>
        <v>-6.5325243437358189E-3</v>
      </c>
      <c r="BG33" s="16">
        <f t="shared" si="14"/>
        <v>-8.467997544059358E-4</v>
      </c>
      <c r="BH33" s="16"/>
      <c r="BJ33" s="50"/>
      <c r="BK33" s="50"/>
      <c r="BL33" s="50"/>
      <c r="BM33" s="50"/>
      <c r="BN33" s="50"/>
      <c r="BP33" s="50"/>
      <c r="BQ33" s="50"/>
      <c r="BR33" s="50"/>
      <c r="BS33" s="50"/>
      <c r="BT33" s="50"/>
      <c r="BV33" s="58">
        <f t="shared" si="16"/>
        <v>0</v>
      </c>
      <c r="BW33" s="58">
        <f t="shared" si="16"/>
        <v>0</v>
      </c>
      <c r="BX33" s="58">
        <f t="shared" si="16"/>
        <v>-19212.71875</v>
      </c>
      <c r="BY33" s="58">
        <f t="shared" si="16"/>
        <v>-23440</v>
      </c>
      <c r="BZ33" s="58">
        <f t="shared" si="16"/>
        <v>0</v>
      </c>
      <c r="CA33" s="58">
        <f t="shared" si="16"/>
        <v>-23568</v>
      </c>
      <c r="CB33" s="58">
        <f t="shared" si="16"/>
        <v>0</v>
      </c>
      <c r="CC33" s="58">
        <f t="shared" si="16"/>
        <v>-0.55171900000000562</v>
      </c>
      <c r="CD33" s="58">
        <f t="shared" si="16"/>
        <v>-0.85690000000001021</v>
      </c>
      <c r="CE33" s="58">
        <f t="shared" si="16"/>
        <v>2.696999999997729E-3</v>
      </c>
      <c r="CF33" s="58">
        <f t="shared" si="16"/>
        <v>6.3099999999849388E-4</v>
      </c>
      <c r="CG33" s="58">
        <f t="shared" si="16"/>
        <v>1.2249999999980332E-3</v>
      </c>
      <c r="CJ33" t="s">
        <v>588</v>
      </c>
    </row>
    <row r="34" spans="1:88" ht="16" outlineLevel="1" thickBot="1" x14ac:dyDescent="0.25">
      <c r="A34" s="17"/>
      <c r="B34" s="36" t="s">
        <v>77</v>
      </c>
      <c r="C34" s="37" t="s">
        <v>237</v>
      </c>
      <c r="D34" s="36">
        <v>375422539</v>
      </c>
      <c r="E34" s="37">
        <v>11</v>
      </c>
      <c r="F34" s="37">
        <v>32</v>
      </c>
      <c r="G34" s="37">
        <v>30</v>
      </c>
      <c r="I34" s="38">
        <f t="shared" si="0"/>
        <v>24.630690000000001</v>
      </c>
      <c r="J34" s="39">
        <f t="shared" si="1"/>
        <v>6.9981775921024281E-2</v>
      </c>
      <c r="K34" s="39">
        <f t="shared" si="2"/>
        <v>3.0977404902160124E-2</v>
      </c>
      <c r="L34" s="39">
        <f t="shared" si="3"/>
        <v>2.459758549552615E-2</v>
      </c>
      <c r="M34" s="39">
        <f t="shared" si="4"/>
        <v>3.9004371018864163E-2</v>
      </c>
      <c r="N34" s="36">
        <f t="shared" si="5"/>
        <v>11629616</v>
      </c>
      <c r="O34" s="39">
        <v>16</v>
      </c>
      <c r="P34" s="40">
        <v>92205535</v>
      </c>
      <c r="Q34" s="40">
        <v>2881422.96875</v>
      </c>
      <c r="R34" s="40">
        <v>21180.46875</v>
      </c>
      <c r="S34" s="41">
        <v>26272736</v>
      </c>
      <c r="T34" s="41">
        <v>9234488</v>
      </c>
      <c r="U34" s="41">
        <v>2395128</v>
      </c>
      <c r="V34" s="41">
        <v>14643120</v>
      </c>
      <c r="W34" s="42">
        <v>78.500297000000003</v>
      </c>
      <c r="X34" s="42">
        <v>81.895680999999996</v>
      </c>
      <c r="Y34" s="42">
        <v>40.507772000000003</v>
      </c>
      <c r="Z34" s="42">
        <v>44.376384000000002</v>
      </c>
      <c r="AA34" s="42">
        <v>48.811852999999999</v>
      </c>
      <c r="AB34" s="43">
        <v>4487.8999999999996</v>
      </c>
      <c r="AC34" s="43">
        <v>27290.400000000001</v>
      </c>
      <c r="AD34" s="43">
        <v>280.37</v>
      </c>
      <c r="AE34" s="43">
        <v>122.88800000000001</v>
      </c>
      <c r="AG34" s="38">
        <f t="shared" si="6"/>
        <v>24.608715</v>
      </c>
      <c r="AH34" s="39">
        <f t="shared" si="7"/>
        <v>6.9919339605766184E-2</v>
      </c>
      <c r="AI34" s="39">
        <f t="shared" si="8"/>
        <v>3.0914627637740204E-2</v>
      </c>
      <c r="AJ34" s="39">
        <f t="shared" si="9"/>
        <v>2.459758549552615E-2</v>
      </c>
      <c r="AK34" s="39">
        <f t="shared" si="10"/>
        <v>3.9004371018864163E-2</v>
      </c>
      <c r="AL34" s="36">
        <f t="shared" si="11"/>
        <v>11606048</v>
      </c>
      <c r="AM34" s="39">
        <v>16</v>
      </c>
      <c r="AN34" s="40">
        <v>92205535</v>
      </c>
      <c r="AO34" s="40">
        <v>2881422.96875</v>
      </c>
      <c r="AP34" s="40">
        <v>17022.8125</v>
      </c>
      <c r="AQ34" s="41">
        <v>26249296</v>
      </c>
      <c r="AR34" s="41">
        <v>9234488</v>
      </c>
      <c r="AS34" s="41">
        <v>2371560</v>
      </c>
      <c r="AT34" s="41">
        <v>14643120</v>
      </c>
      <c r="AU34" s="42">
        <v>78.525159000000002</v>
      </c>
      <c r="AV34" s="42">
        <v>81.864528000000007</v>
      </c>
      <c r="AW34" s="42">
        <v>40.523378000000001</v>
      </c>
      <c r="AX34" s="42">
        <v>44.376871999999999</v>
      </c>
      <c r="AY34" s="42">
        <v>48.812624999999997</v>
      </c>
      <c r="AZ34" s="43">
        <v>3679</v>
      </c>
      <c r="BA34" s="43">
        <v>21833.3</v>
      </c>
      <c r="BB34" s="43">
        <v>42.725999999999999</v>
      </c>
      <c r="BC34" s="43">
        <v>95.53</v>
      </c>
      <c r="BE34" s="44">
        <f t="shared" si="12"/>
        <v>0.9979734498542342</v>
      </c>
      <c r="BF34" s="45">
        <f t="shared" si="13"/>
        <v>-1.4429177163822107E-3</v>
      </c>
      <c r="BG34" s="45">
        <f t="shared" si="14"/>
        <v>-5.0257703858191949E-4</v>
      </c>
      <c r="BH34" s="45"/>
      <c r="BJ34" s="44"/>
      <c r="BK34" s="44"/>
      <c r="BL34" s="44"/>
      <c r="BM34" s="44"/>
      <c r="BN34" s="44"/>
      <c r="BP34" s="44"/>
      <c r="BQ34" s="44"/>
      <c r="BR34" s="44"/>
      <c r="BS34" s="44"/>
      <c r="BT34" s="44"/>
      <c r="BV34" s="58">
        <f t="shared" si="16"/>
        <v>0</v>
      </c>
      <c r="BW34" s="58">
        <f t="shared" si="16"/>
        <v>0</v>
      </c>
      <c r="BX34" s="58">
        <f t="shared" si="16"/>
        <v>-4157.65625</v>
      </c>
      <c r="BY34" s="58">
        <f t="shared" si="16"/>
        <v>-23440</v>
      </c>
      <c r="BZ34" s="58">
        <f t="shared" si="16"/>
        <v>0</v>
      </c>
      <c r="CA34" s="58">
        <f t="shared" si="16"/>
        <v>-23568</v>
      </c>
      <c r="CB34" s="58">
        <f t="shared" si="16"/>
        <v>0</v>
      </c>
      <c r="CC34" s="58">
        <f t="shared" si="16"/>
        <v>2.4861999999998829E-2</v>
      </c>
      <c r="CD34" s="58">
        <f t="shared" si="16"/>
        <v>-3.1152999999989106E-2</v>
      </c>
      <c r="CE34" s="58">
        <f t="shared" si="16"/>
        <v>1.5605999999998232E-2</v>
      </c>
      <c r="CF34" s="58">
        <f t="shared" si="16"/>
        <v>4.8799999999715737E-4</v>
      </c>
      <c r="CG34" s="58">
        <f t="shared" si="16"/>
        <v>7.7199999999777447E-4</v>
      </c>
      <c r="CJ34" t="s">
        <v>588</v>
      </c>
    </row>
    <row r="35" spans="1:88" x14ac:dyDescent="0.2">
      <c r="A35" s="52"/>
      <c r="B35" s="52" t="s">
        <v>82</v>
      </c>
      <c r="C35" s="9" t="s">
        <v>232</v>
      </c>
      <c r="D35" s="52">
        <v>333190689</v>
      </c>
      <c r="E35" s="9">
        <v>11</v>
      </c>
      <c r="F35" s="9">
        <v>32</v>
      </c>
      <c r="G35" s="9">
        <v>30</v>
      </c>
      <c r="I35" s="10">
        <f t="shared" si="0"/>
        <v>4.6538174999999997</v>
      </c>
      <c r="J35" s="11">
        <f t="shared" si="1"/>
        <v>1.4898591598998734E-2</v>
      </c>
      <c r="K35" s="11">
        <f t="shared" si="2"/>
        <v>1.1175390318305084E-2</v>
      </c>
      <c r="L35" s="11">
        <f t="shared" si="3"/>
        <v>7.155662143968255E-3</v>
      </c>
      <c r="M35" s="11">
        <f t="shared" si="4"/>
        <v>3.7232012806936512E-3</v>
      </c>
      <c r="N35" s="52">
        <f t="shared" si="5"/>
        <v>3723536</v>
      </c>
      <c r="O35" s="11">
        <v>16</v>
      </c>
      <c r="P35" s="12">
        <v>74793925</v>
      </c>
      <c r="Q35" s="12">
        <v>2337310.15625</v>
      </c>
      <c r="R35" s="12">
        <v>30824.78125</v>
      </c>
      <c r="S35" s="13">
        <v>4964072</v>
      </c>
      <c r="T35" s="13">
        <v>2384200</v>
      </c>
      <c r="U35" s="13">
        <v>1339336</v>
      </c>
      <c r="V35" s="13">
        <v>1240536</v>
      </c>
      <c r="W35" s="14">
        <v>73.186065999999997</v>
      </c>
      <c r="X35" s="14">
        <v>75.395090999999994</v>
      </c>
      <c r="Y35" s="14">
        <v>31.779947</v>
      </c>
      <c r="Z35" s="14">
        <v>42.169849999999997</v>
      </c>
      <c r="AA35" s="14">
        <v>43.305712</v>
      </c>
      <c r="AB35" s="15">
        <v>3769.29</v>
      </c>
      <c r="AC35" s="15">
        <v>19235.7</v>
      </c>
      <c r="AD35" s="15">
        <v>206.47499999999999</v>
      </c>
      <c r="AE35" s="15">
        <v>83.474999999999994</v>
      </c>
      <c r="AG35" s="10">
        <f t="shared" si="6"/>
        <v>4.6299225000000002</v>
      </c>
      <c r="AH35" s="11">
        <f t="shared" si="7"/>
        <v>1.4822094863521231E-2</v>
      </c>
      <c r="AI35" s="11">
        <f t="shared" si="8"/>
        <v>1.1098509418430958E-2</v>
      </c>
      <c r="AJ35" s="11">
        <f t="shared" si="9"/>
        <v>7.155662143968255E-3</v>
      </c>
      <c r="AK35" s="11">
        <f t="shared" si="10"/>
        <v>3.7232012806936512E-3</v>
      </c>
      <c r="AL35" s="52">
        <f t="shared" si="11"/>
        <v>3697920</v>
      </c>
      <c r="AM35" s="11">
        <v>16</v>
      </c>
      <c r="AN35" s="12">
        <v>74793925</v>
      </c>
      <c r="AO35" s="12">
        <v>2337310.15625</v>
      </c>
      <c r="AP35" s="12">
        <v>16065.25</v>
      </c>
      <c r="AQ35" s="13">
        <v>4938584</v>
      </c>
      <c r="AR35" s="13">
        <v>2384200</v>
      </c>
      <c r="AS35" s="13">
        <v>1313720</v>
      </c>
      <c r="AT35" s="13">
        <v>1240536</v>
      </c>
      <c r="AU35" s="14">
        <v>73.150822000000005</v>
      </c>
      <c r="AV35" s="14">
        <v>74.864309000000006</v>
      </c>
      <c r="AW35" s="14">
        <v>31.775300000000001</v>
      </c>
      <c r="AX35" s="14">
        <v>42.166981</v>
      </c>
      <c r="AY35" s="14">
        <v>43.300722</v>
      </c>
      <c r="AZ35" s="15">
        <v>3731.04</v>
      </c>
      <c r="BA35" s="15">
        <v>19991.400000000001</v>
      </c>
      <c r="BB35" s="15">
        <v>38.4</v>
      </c>
      <c r="BC35" s="15">
        <v>81.766000000000005</v>
      </c>
      <c r="BE35" s="50">
        <f t="shared" si="12"/>
        <v>0.9931205177014536</v>
      </c>
      <c r="BF35" s="16">
        <f t="shared" si="13"/>
        <v>-6.3147508303648993E-3</v>
      </c>
      <c r="BG35" s="16">
        <f t="shared" si="14"/>
        <v>-1.3156656186648075E-3</v>
      </c>
      <c r="BH35" s="16">
        <f t="array" ref="BH35">AVERAGE(AL35:AL39/AQ35:AQ39) - AVERAGE(N35:N39/S35:S39)</f>
        <v>-9.7867625966729932E-4</v>
      </c>
      <c r="BJ35" s="50">
        <f>IF( OR(ISBLANK(N35:N39),ISBLANK(AL35:AL39), ISBLANK(W35:W39),ISBLANK(AU35:AU39)), "·", bdRateExtend( N35:N39,W35:W39, AL35:AL39,AU35:AU39))</f>
        <v>7.3675517301168503E-2</v>
      </c>
      <c r="BK35" s="50">
        <f>IF( OR(ISBLANK(N35:N39),ISBLANK(AL35:AL39), ISBLANK(X35:X39),ISBLANK(AV35:AV39)), "·", bdRateExtend( N35:N39,X35:X39, AL35:AL39,AV35:AV39))</f>
        <v>0.1397126673937894</v>
      </c>
      <c r="BL35" s="50">
        <f>IF( OR(ISBLANK(V35:V39),ISBLANK(AT35:AT39), ISBLANK(Y35:Y39),ISBLANK(AW35:AW39)), "·", bdRateExtend( V35:V39,Y35:Y39, AT35:AT39,AW35:AW39))</f>
        <v>-8.0542829802521254E-4</v>
      </c>
      <c r="BM35" s="50">
        <f>IF( OR(ISBLANK(V35:V39),ISBLANK(AT35:AT39), ISBLANK(Z35:Z39),ISBLANK(AX35:AX39)), "·", bdRateExtend( V35:V39,Z35:Z39, AT35:AT39,AX35:AX39))</f>
        <v>2.8594070610621358E-4</v>
      </c>
      <c r="BN35" s="50">
        <f>IF( OR(ISBLANK(V35:V39),ISBLANK(AT35:AT39), ISBLANK(AA35:AA39),ISBLANK(AY35:AY39)), "·", bdRateExtend( V35:V39,AA35:AA39, AT35:AT39,AY35:AY39))</f>
        <v>3.104349421767516E-4</v>
      </c>
      <c r="BP35" s="50">
        <f>IF( OR(ISBLANK(S35:S39),ISBLANK(AQ35:AQ39), ISBLANK(W35:W39),ISBLANK(AU35:AU39)), "·", bdRateExtend( S35:S39,W35:W39, AQ35:AQ39,AU35:AU39))</f>
        <v>0.11733016264218143</v>
      </c>
      <c r="BQ35" s="50">
        <f>IF( OR(ISBLANK(S35:S39),ISBLANK(AQ35:AQ39), ISBLANK(X35:X39),ISBLANK(AV35:AV39)), "·", bdRateExtend( S35:S39,X35:X39, AQ35:AQ39,AV35:AV39))</f>
        <v>0.22093310318709891</v>
      </c>
      <c r="BR35" s="50">
        <f>IF( OR(ISBLANK(S35:S39),ISBLANK(AQ35:AQ39), ISBLANK(Y35:Y39),ISBLANK(AW35:AW39)), "·", bdRateExtend( S35:S39,Y35:Y39, AQ35:AQ39,AW35:AW39))</f>
        <v>-3.5512265082110472E-3</v>
      </c>
      <c r="BS35" s="50">
        <f>IF( OR(ISBLANK(S35:S39),ISBLANK(AQ35:AQ39), ISBLANK(Z35:Z39),ISBLANK(AX35:AX39)), "·", bdRateExtend( S35:S39,Z35:Z39, AQ35:AQ39,AX35:AX39))</f>
        <v>-2.5767830430405425E-3</v>
      </c>
      <c r="BT35" s="50">
        <f>IF( OR(ISBLANK(S35:S39),ISBLANK(AQ35:AQ39), ISBLANK(AA35:AA39),ISBLANK(AY35:AY39)), "·", bdRateExtend( S35:S39,AA35:AA39, AQ35:AQ39,AY35:AY39))</f>
        <v>-2.6893711364104345E-3</v>
      </c>
      <c r="BV35" s="58">
        <f t="shared" si="16"/>
        <v>0</v>
      </c>
      <c r="BW35" s="58">
        <f t="shared" si="16"/>
        <v>0</v>
      </c>
      <c r="BX35" s="58">
        <f t="shared" si="16"/>
        <v>-14759.53125</v>
      </c>
      <c r="BY35" s="58">
        <f t="shared" si="16"/>
        <v>-25488</v>
      </c>
      <c r="BZ35" s="58">
        <f t="shared" si="16"/>
        <v>0</v>
      </c>
      <c r="CA35" s="58">
        <f t="shared" si="16"/>
        <v>-25616</v>
      </c>
      <c r="CB35" s="58">
        <f t="shared" si="16"/>
        <v>0</v>
      </c>
      <c r="CC35" s="58">
        <f t="shared" si="16"/>
        <v>-3.5243999999991615E-2</v>
      </c>
      <c r="CD35" s="58">
        <f t="shared" si="16"/>
        <v>-0.53078199999998787</v>
      </c>
      <c r="CE35" s="58">
        <f t="shared" si="16"/>
        <v>-4.6469999999985134E-3</v>
      </c>
      <c r="CF35" s="58">
        <f t="shared" si="16"/>
        <v>-2.8689999999969018E-3</v>
      </c>
      <c r="CG35" s="58">
        <f t="shared" si="16"/>
        <v>-4.9899999999993838E-3</v>
      </c>
      <c r="CJ35" t="s">
        <v>589</v>
      </c>
    </row>
    <row r="36" spans="1:88" outlineLevel="1" x14ac:dyDescent="0.2">
      <c r="A36" s="17"/>
      <c r="B36" s="17" t="s">
        <v>82</v>
      </c>
      <c r="C36" s="18" t="s">
        <v>234</v>
      </c>
      <c r="D36" s="17">
        <v>333190689</v>
      </c>
      <c r="E36" s="18">
        <v>11</v>
      </c>
      <c r="F36" s="18">
        <v>32</v>
      </c>
      <c r="G36" s="18">
        <v>30</v>
      </c>
      <c r="I36" s="19">
        <f t="shared" si="0"/>
        <v>6.2390774999999996</v>
      </c>
      <c r="J36" s="20">
        <f t="shared" si="1"/>
        <v>1.9973595360583442E-2</v>
      </c>
      <c r="K36" s="20">
        <f t="shared" si="2"/>
        <v>1.3755462416298193E-2</v>
      </c>
      <c r="L36" s="20">
        <f t="shared" si="3"/>
        <v>9.7357342419613652E-3</v>
      </c>
      <c r="M36" s="20">
        <f t="shared" si="4"/>
        <v>6.2181329442852467E-3</v>
      </c>
      <c r="N36" s="17">
        <f t="shared" si="5"/>
        <v>4583192</v>
      </c>
      <c r="O36" s="20">
        <v>16</v>
      </c>
      <c r="P36" s="21">
        <v>79976742</v>
      </c>
      <c r="Q36" s="21">
        <v>2499273.1875</v>
      </c>
      <c r="R36" s="21">
        <v>39105.5</v>
      </c>
      <c r="S36" s="22">
        <v>6655016</v>
      </c>
      <c r="T36" s="22">
        <v>3243856</v>
      </c>
      <c r="U36" s="22">
        <v>1339336</v>
      </c>
      <c r="V36" s="22">
        <v>2071824</v>
      </c>
      <c r="W36" s="23">
        <v>74.938500000000005</v>
      </c>
      <c r="X36" s="23">
        <v>77.355886999999996</v>
      </c>
      <c r="Y36" s="23">
        <v>34.034599999999998</v>
      </c>
      <c r="Z36" s="23">
        <v>42.972333999999996</v>
      </c>
      <c r="AA36" s="23">
        <v>44.820352999999997</v>
      </c>
      <c r="AB36" s="24">
        <v>3295.68</v>
      </c>
      <c r="AC36" s="24">
        <v>20083.599999999999</v>
      </c>
      <c r="AD36" s="24">
        <v>216.45500000000001</v>
      </c>
      <c r="AE36" s="24">
        <v>79.415999999999997</v>
      </c>
      <c r="AG36" s="19">
        <f t="shared" si="6"/>
        <v>6.2151825000000001</v>
      </c>
      <c r="AH36" s="20">
        <f t="shared" si="7"/>
        <v>1.9897098625105938E-2</v>
      </c>
      <c r="AI36" s="20">
        <f t="shared" si="8"/>
        <v>1.3678581516424067E-2</v>
      </c>
      <c r="AJ36" s="20">
        <f t="shared" si="9"/>
        <v>9.7357342419613652E-3</v>
      </c>
      <c r="AK36" s="20">
        <f t="shared" si="10"/>
        <v>6.2181329442852467E-3</v>
      </c>
      <c r="AL36" s="17">
        <f t="shared" si="11"/>
        <v>4557576</v>
      </c>
      <c r="AM36" s="20">
        <v>16</v>
      </c>
      <c r="AN36" s="21">
        <v>79976742</v>
      </c>
      <c r="AO36" s="21">
        <v>2499273.1875</v>
      </c>
      <c r="AP36" s="21">
        <v>21332.21875</v>
      </c>
      <c r="AQ36" s="22">
        <v>6629528</v>
      </c>
      <c r="AR36" s="22">
        <v>3243856</v>
      </c>
      <c r="AS36" s="22">
        <v>1313720</v>
      </c>
      <c r="AT36" s="22">
        <v>2071824</v>
      </c>
      <c r="AU36" s="23">
        <v>74.755184</v>
      </c>
      <c r="AV36" s="23">
        <v>76.682880999999995</v>
      </c>
      <c r="AW36" s="23">
        <v>34.032400000000003</v>
      </c>
      <c r="AX36" s="23">
        <v>42.970987999999998</v>
      </c>
      <c r="AY36" s="23">
        <v>44.818058999999998</v>
      </c>
      <c r="AZ36" s="24">
        <v>3346.7</v>
      </c>
      <c r="BA36" s="24">
        <v>19701.400000000001</v>
      </c>
      <c r="BB36" s="24">
        <v>36.540999999999997</v>
      </c>
      <c r="BC36" s="24">
        <v>81.364000000000004</v>
      </c>
      <c r="BE36" s="49">
        <f t="shared" si="12"/>
        <v>0.99441088219738549</v>
      </c>
      <c r="BF36" s="25">
        <f t="shared" si="13"/>
        <v>-7.1113799559376911E-3</v>
      </c>
      <c r="BG36" s="25">
        <f t="shared" si="14"/>
        <v>-1.216204907193319E-3</v>
      </c>
      <c r="BH36" s="25"/>
      <c r="BJ36" s="49"/>
      <c r="BK36" s="49"/>
      <c r="BL36" s="49"/>
      <c r="BM36" s="49"/>
      <c r="BN36" s="49"/>
      <c r="BP36" s="49"/>
      <c r="BQ36" s="49"/>
      <c r="BR36" s="49"/>
      <c r="BS36" s="49"/>
      <c r="BT36" s="49"/>
      <c r="BV36" s="58">
        <f t="shared" si="16"/>
        <v>0</v>
      </c>
      <c r="BW36" s="58">
        <f t="shared" si="16"/>
        <v>0</v>
      </c>
      <c r="BX36" s="58">
        <f t="shared" si="16"/>
        <v>-17773.28125</v>
      </c>
      <c r="BY36" s="58">
        <f t="shared" si="16"/>
        <v>-25488</v>
      </c>
      <c r="BZ36" s="58">
        <f t="shared" si="16"/>
        <v>0</v>
      </c>
      <c r="CA36" s="58">
        <f t="shared" si="16"/>
        <v>-25616</v>
      </c>
      <c r="CB36" s="58">
        <f t="shared" si="16"/>
        <v>0</v>
      </c>
      <c r="CC36" s="58">
        <f t="shared" si="16"/>
        <v>-0.18331600000000492</v>
      </c>
      <c r="CD36" s="58">
        <f t="shared" si="16"/>
        <v>-0.67300600000000088</v>
      </c>
      <c r="CE36" s="58">
        <f t="shared" si="16"/>
        <v>-2.1999999999948727E-3</v>
      </c>
      <c r="CF36" s="58">
        <f t="shared" si="16"/>
        <v>-1.345999999998071E-3</v>
      </c>
      <c r="CG36" s="58">
        <f t="shared" si="16"/>
        <v>-2.2939999999991301E-3</v>
      </c>
      <c r="CJ36" t="s">
        <v>589</v>
      </c>
    </row>
    <row r="37" spans="1:88" outlineLevel="1" x14ac:dyDescent="0.2">
      <c r="A37" s="52"/>
      <c r="B37" s="52" t="s">
        <v>82</v>
      </c>
      <c r="C37" s="9" t="s">
        <v>235</v>
      </c>
      <c r="D37" s="52">
        <v>333190689</v>
      </c>
      <c r="E37" s="9">
        <v>11</v>
      </c>
      <c r="F37" s="9">
        <v>32</v>
      </c>
      <c r="G37" s="9">
        <v>30</v>
      </c>
      <c r="I37" s="10">
        <f t="shared" si="0"/>
        <v>8.9012700000000002</v>
      </c>
      <c r="J37" s="11">
        <f t="shared" si="1"/>
        <v>2.8496258489384137E-2</v>
      </c>
      <c r="K37" s="11">
        <f t="shared" si="2"/>
        <v>1.7446345867125956E-2</v>
      </c>
      <c r="L37" s="11">
        <f t="shared" si="3"/>
        <v>1.3426617692789128E-2</v>
      </c>
      <c r="M37" s="11">
        <f t="shared" si="4"/>
        <v>1.1049912622258181E-2</v>
      </c>
      <c r="N37" s="52">
        <f t="shared" si="5"/>
        <v>5812960</v>
      </c>
      <c r="O37" s="11">
        <v>16</v>
      </c>
      <c r="P37" s="12">
        <v>81787481</v>
      </c>
      <c r="Q37" s="12">
        <v>2555858.78125</v>
      </c>
      <c r="R37" s="12">
        <v>42911.78125</v>
      </c>
      <c r="S37" s="13">
        <v>9494688</v>
      </c>
      <c r="T37" s="13">
        <v>4473624</v>
      </c>
      <c r="U37" s="13">
        <v>1339336</v>
      </c>
      <c r="V37" s="13">
        <v>3681728</v>
      </c>
      <c r="W37" s="14">
        <v>76.246069000000006</v>
      </c>
      <c r="X37" s="14">
        <v>78.937634000000003</v>
      </c>
      <c r="Y37" s="14">
        <v>36.127488</v>
      </c>
      <c r="Z37" s="14">
        <v>43.536346999999999</v>
      </c>
      <c r="AA37" s="14">
        <v>46.109228000000002</v>
      </c>
      <c r="AB37" s="15">
        <v>3257.52</v>
      </c>
      <c r="AC37" s="15">
        <v>21025.8</v>
      </c>
      <c r="AD37" s="15">
        <v>213.167</v>
      </c>
      <c r="AE37" s="15">
        <v>81.680000000000007</v>
      </c>
      <c r="AG37" s="10">
        <f t="shared" si="6"/>
        <v>8.8773750000000007</v>
      </c>
      <c r="AH37" s="11">
        <f t="shared" si="7"/>
        <v>2.8419761753906633E-2</v>
      </c>
      <c r="AI37" s="11">
        <f t="shared" si="8"/>
        <v>1.7369464967251832E-2</v>
      </c>
      <c r="AJ37" s="11">
        <f t="shared" si="9"/>
        <v>1.3426617692789128E-2</v>
      </c>
      <c r="AK37" s="11">
        <f t="shared" si="10"/>
        <v>1.1049912622258181E-2</v>
      </c>
      <c r="AL37" s="52">
        <f t="shared" si="11"/>
        <v>5787344</v>
      </c>
      <c r="AM37" s="11">
        <v>16</v>
      </c>
      <c r="AN37" s="12">
        <v>81787481</v>
      </c>
      <c r="AO37" s="12">
        <v>2555858.78125</v>
      </c>
      <c r="AP37" s="12">
        <v>24685.15625</v>
      </c>
      <c r="AQ37" s="13">
        <v>9469200</v>
      </c>
      <c r="AR37" s="13">
        <v>4473624</v>
      </c>
      <c r="AS37" s="13">
        <v>1313720</v>
      </c>
      <c r="AT37" s="13">
        <v>3681728</v>
      </c>
      <c r="AU37" s="14">
        <v>75.971521999999993</v>
      </c>
      <c r="AV37" s="14">
        <v>78.183547000000004</v>
      </c>
      <c r="AW37" s="14">
        <v>36.126680999999998</v>
      </c>
      <c r="AX37" s="14">
        <v>43.536019000000003</v>
      </c>
      <c r="AY37" s="14">
        <v>46.108733999999998</v>
      </c>
      <c r="AZ37" s="15">
        <v>3598.41</v>
      </c>
      <c r="BA37" s="15">
        <v>21931.8</v>
      </c>
      <c r="BB37" s="15">
        <v>36.097999999999999</v>
      </c>
      <c r="BC37" s="15">
        <v>81.290999999999997</v>
      </c>
      <c r="BE37" s="50">
        <f t="shared" si="12"/>
        <v>0.99559329498224669</v>
      </c>
      <c r="BF37" s="16">
        <f t="shared" si="13"/>
        <v>-7.1313114533995744E-3</v>
      </c>
      <c r="BG37" s="16">
        <f t="shared" si="14"/>
        <v>-1.0572602579858037E-3</v>
      </c>
      <c r="BH37" s="16"/>
      <c r="BJ37" s="50"/>
      <c r="BK37" s="50"/>
      <c r="BL37" s="50"/>
      <c r="BM37" s="50"/>
      <c r="BN37" s="50"/>
      <c r="BP37" s="50"/>
      <c r="BQ37" s="50"/>
      <c r="BR37" s="50"/>
      <c r="BS37" s="50"/>
      <c r="BT37" s="50"/>
      <c r="BV37" s="58">
        <f t="shared" si="16"/>
        <v>0</v>
      </c>
      <c r="BW37" s="58">
        <f t="shared" si="16"/>
        <v>0</v>
      </c>
      <c r="BX37" s="58">
        <f t="shared" si="16"/>
        <v>-18226.625</v>
      </c>
      <c r="BY37" s="58">
        <f t="shared" si="16"/>
        <v>-25488</v>
      </c>
      <c r="BZ37" s="58">
        <f t="shared" si="16"/>
        <v>0</v>
      </c>
      <c r="CA37" s="58">
        <f t="shared" si="16"/>
        <v>-25616</v>
      </c>
      <c r="CB37" s="58">
        <f t="shared" si="16"/>
        <v>0</v>
      </c>
      <c r="CC37" s="58">
        <f t="shared" si="16"/>
        <v>-0.27454700000001253</v>
      </c>
      <c r="CD37" s="58">
        <f t="shared" si="16"/>
        <v>-0.7540869999999984</v>
      </c>
      <c r="CE37" s="58">
        <f t="shared" si="16"/>
        <v>-8.0700000000177852E-4</v>
      </c>
      <c r="CF37" s="58">
        <f t="shared" si="16"/>
        <v>-3.2799999999610918E-4</v>
      </c>
      <c r="CG37" s="58">
        <f t="shared" si="16"/>
        <v>-4.9400000000332511E-4</v>
      </c>
      <c r="CJ37" t="s">
        <v>589</v>
      </c>
    </row>
    <row r="38" spans="1:88" outlineLevel="1" x14ac:dyDescent="0.2">
      <c r="A38" s="17"/>
      <c r="B38" s="17" t="s">
        <v>82</v>
      </c>
      <c r="C38" s="18" t="s">
        <v>236</v>
      </c>
      <c r="D38" s="17">
        <v>333190689</v>
      </c>
      <c r="E38" s="18">
        <v>11</v>
      </c>
      <c r="F38" s="18">
        <v>32</v>
      </c>
      <c r="G38" s="18">
        <v>30</v>
      </c>
      <c r="I38" s="19">
        <f t="shared" si="0"/>
        <v>14.406495</v>
      </c>
      <c r="J38" s="20">
        <f t="shared" si="1"/>
        <v>4.6120520492696E-2</v>
      </c>
      <c r="K38" s="20">
        <f t="shared" si="2"/>
        <v>2.3715596686436816E-2</v>
      </c>
      <c r="L38" s="20">
        <f t="shared" si="3"/>
        <v>1.9695868512099989E-2</v>
      </c>
      <c r="M38" s="20">
        <f t="shared" si="4"/>
        <v>2.2404923806259185E-2</v>
      </c>
      <c r="N38" s="17">
        <f t="shared" si="5"/>
        <v>7901816</v>
      </c>
      <c r="O38" s="20">
        <v>16</v>
      </c>
      <c r="P38" s="21">
        <v>83859347</v>
      </c>
      <c r="Q38" s="21">
        <v>2620604.59375</v>
      </c>
      <c r="R38" s="21">
        <v>48103.65625</v>
      </c>
      <c r="S38" s="22">
        <v>15366928</v>
      </c>
      <c r="T38" s="22">
        <v>6562480</v>
      </c>
      <c r="U38" s="22">
        <v>1339336</v>
      </c>
      <c r="V38" s="22">
        <v>7465112</v>
      </c>
      <c r="W38" s="23">
        <v>77.415709000000007</v>
      </c>
      <c r="X38" s="23">
        <v>80.131399999999999</v>
      </c>
      <c r="Y38" s="23">
        <v>38.083593999999998</v>
      </c>
      <c r="Z38" s="23">
        <v>44.197806</v>
      </c>
      <c r="AA38" s="23">
        <v>47.240555999999998</v>
      </c>
      <c r="AB38" s="24">
        <v>4048.21</v>
      </c>
      <c r="AC38" s="24">
        <v>29308.799999999999</v>
      </c>
      <c r="AD38" s="24">
        <v>256.78199999999998</v>
      </c>
      <c r="AE38" s="24">
        <v>110.514</v>
      </c>
      <c r="AG38" s="19">
        <f t="shared" si="6"/>
        <v>14.3826</v>
      </c>
      <c r="AH38" s="20">
        <f t="shared" si="7"/>
        <v>4.60440237572185E-2</v>
      </c>
      <c r="AI38" s="20">
        <f t="shared" si="8"/>
        <v>2.3638715786562691E-2</v>
      </c>
      <c r="AJ38" s="20">
        <f t="shared" si="9"/>
        <v>1.9695868512099989E-2</v>
      </c>
      <c r="AK38" s="20">
        <f t="shared" si="10"/>
        <v>2.2404923806259185E-2</v>
      </c>
      <c r="AL38" s="17">
        <f t="shared" si="11"/>
        <v>7876200</v>
      </c>
      <c r="AM38" s="20">
        <v>16</v>
      </c>
      <c r="AN38" s="21">
        <v>83859347</v>
      </c>
      <c r="AO38" s="21">
        <v>2620604.59375</v>
      </c>
      <c r="AP38" s="21">
        <v>28194.9375</v>
      </c>
      <c r="AQ38" s="22">
        <v>15341440</v>
      </c>
      <c r="AR38" s="22">
        <v>6562480</v>
      </c>
      <c r="AS38" s="22">
        <v>1313720</v>
      </c>
      <c r="AT38" s="22">
        <v>7465112</v>
      </c>
      <c r="AU38" s="23">
        <v>76.823316000000005</v>
      </c>
      <c r="AV38" s="23">
        <v>79.200136999999998</v>
      </c>
      <c r="AW38" s="23">
        <v>38.086396999999998</v>
      </c>
      <c r="AX38" s="23">
        <v>44.198371999999999</v>
      </c>
      <c r="AY38" s="23">
        <v>47.241469000000002</v>
      </c>
      <c r="AZ38" s="24">
        <v>3476.13</v>
      </c>
      <c r="BA38" s="24">
        <v>22597.200000000001</v>
      </c>
      <c r="BB38" s="24">
        <v>36.082999999999998</v>
      </c>
      <c r="BC38" s="24">
        <v>81.302999999999997</v>
      </c>
      <c r="BE38" s="49">
        <f t="shared" si="12"/>
        <v>0.99675821355496008</v>
      </c>
      <c r="BF38" s="25">
        <f t="shared" si="13"/>
        <v>-7.5969945246532871E-3</v>
      </c>
      <c r="BG38" s="25">
        <f t="shared" si="14"/>
        <v>-8.1542772394771479E-4</v>
      </c>
      <c r="BH38" s="25"/>
      <c r="BJ38" s="49"/>
      <c r="BK38" s="49"/>
      <c r="BL38" s="49"/>
      <c r="BM38" s="49"/>
      <c r="BN38" s="49"/>
      <c r="BP38" s="49"/>
      <c r="BQ38" s="49"/>
      <c r="BR38" s="49"/>
      <c r="BS38" s="49"/>
      <c r="BT38" s="49"/>
      <c r="BV38" s="58">
        <f t="shared" si="16"/>
        <v>0</v>
      </c>
      <c r="BW38" s="58">
        <f t="shared" si="16"/>
        <v>0</v>
      </c>
      <c r="BX38" s="58">
        <f t="shared" si="16"/>
        <v>-19908.71875</v>
      </c>
      <c r="BY38" s="58">
        <f t="shared" si="16"/>
        <v>-25488</v>
      </c>
      <c r="BZ38" s="58">
        <f t="shared" si="16"/>
        <v>0</v>
      </c>
      <c r="CA38" s="58">
        <f t="shared" si="16"/>
        <v>-25616</v>
      </c>
      <c r="CB38" s="58">
        <f t="shared" si="16"/>
        <v>0</v>
      </c>
      <c r="CC38" s="58">
        <f t="shared" si="16"/>
        <v>-0.59239300000000128</v>
      </c>
      <c r="CD38" s="58">
        <f t="shared" si="16"/>
        <v>-0.93126300000000128</v>
      </c>
      <c r="CE38" s="58">
        <f t="shared" si="16"/>
        <v>2.803000000000111E-3</v>
      </c>
      <c r="CF38" s="58">
        <f t="shared" si="16"/>
        <v>5.6599999999917827E-4</v>
      </c>
      <c r="CG38" s="58">
        <f t="shared" si="16"/>
        <v>9.1300000000416048E-4</v>
      </c>
      <c r="CJ38" t="s">
        <v>589</v>
      </c>
    </row>
    <row r="39" spans="1:88" ht="16" outlineLevel="1" thickBot="1" x14ac:dyDescent="0.25">
      <c r="A39" s="26"/>
      <c r="B39" s="26" t="s">
        <v>82</v>
      </c>
      <c r="C39" s="27" t="s">
        <v>237</v>
      </c>
      <c r="D39" s="26">
        <v>333190689</v>
      </c>
      <c r="E39" s="27">
        <v>11</v>
      </c>
      <c r="F39" s="27">
        <v>32</v>
      </c>
      <c r="G39" s="27">
        <v>30</v>
      </c>
      <c r="I39" s="28">
        <f t="shared" si="0"/>
        <v>28.640317499999998</v>
      </c>
      <c r="J39" s="29">
        <f t="shared" si="1"/>
        <v>9.168825242892667E-2</v>
      </c>
      <c r="K39" s="29">
        <f t="shared" si="2"/>
        <v>3.8473536095722051E-2</v>
      </c>
      <c r="L39" s="29">
        <f t="shared" si="3"/>
        <v>3.036807550165365E-2</v>
      </c>
      <c r="M39" s="29">
        <f t="shared" si="4"/>
        <v>5.3214716333204619E-2</v>
      </c>
      <c r="N39" s="26">
        <f t="shared" si="5"/>
        <v>12819024</v>
      </c>
      <c r="O39" s="29">
        <v>16</v>
      </c>
      <c r="P39" s="30">
        <v>82067544</v>
      </c>
      <c r="Q39" s="30">
        <v>2564610.75</v>
      </c>
      <c r="R39" s="30">
        <v>19264.46875</v>
      </c>
      <c r="S39" s="31">
        <v>30549672</v>
      </c>
      <c r="T39" s="31">
        <v>10118360</v>
      </c>
      <c r="U39" s="31">
        <v>2700664</v>
      </c>
      <c r="V39" s="31">
        <v>17730648</v>
      </c>
      <c r="W39" s="32">
        <v>78.311515999999997</v>
      </c>
      <c r="X39" s="32">
        <v>81.848194000000007</v>
      </c>
      <c r="Y39" s="32">
        <v>40.159621999999999</v>
      </c>
      <c r="Z39" s="32">
        <v>45.117593999999997</v>
      </c>
      <c r="AA39" s="32">
        <v>48.624606</v>
      </c>
      <c r="AB39" s="33">
        <v>3473.81</v>
      </c>
      <c r="AC39" s="33">
        <v>24146.7</v>
      </c>
      <c r="AD39" s="33">
        <v>217.06800000000001</v>
      </c>
      <c r="AE39" s="33">
        <v>91.518000000000001</v>
      </c>
      <c r="AG39" s="28">
        <f t="shared" si="6"/>
        <v>28.616422499999999</v>
      </c>
      <c r="AH39" s="29">
        <f t="shared" si="7"/>
        <v>9.1611755693449162E-2</v>
      </c>
      <c r="AI39" s="29">
        <f t="shared" si="8"/>
        <v>3.8396655195847923E-2</v>
      </c>
      <c r="AJ39" s="29">
        <f t="shared" si="9"/>
        <v>3.036807550165365E-2</v>
      </c>
      <c r="AK39" s="29">
        <f t="shared" si="10"/>
        <v>5.3214716333204619E-2</v>
      </c>
      <c r="AL39" s="26">
        <f t="shared" si="11"/>
        <v>12793408</v>
      </c>
      <c r="AM39" s="29">
        <v>16</v>
      </c>
      <c r="AN39" s="30">
        <v>82067544</v>
      </c>
      <c r="AO39" s="30">
        <v>2564610.75</v>
      </c>
      <c r="AP39" s="30">
        <v>14855.5625</v>
      </c>
      <c r="AQ39" s="31">
        <v>30524184</v>
      </c>
      <c r="AR39" s="31">
        <v>10118360</v>
      </c>
      <c r="AS39" s="31">
        <v>2675048</v>
      </c>
      <c r="AT39" s="31">
        <v>17730648</v>
      </c>
      <c r="AU39" s="32">
        <v>78.338091000000006</v>
      </c>
      <c r="AV39" s="32">
        <v>81.818286999999998</v>
      </c>
      <c r="AW39" s="32">
        <v>40.179453000000002</v>
      </c>
      <c r="AX39" s="32">
        <v>45.117966000000003</v>
      </c>
      <c r="AY39" s="32">
        <v>48.624844000000003</v>
      </c>
      <c r="AZ39" s="33">
        <v>3361.22</v>
      </c>
      <c r="BA39" s="33">
        <v>23121.9</v>
      </c>
      <c r="BB39" s="33">
        <v>36.822000000000003</v>
      </c>
      <c r="BC39" s="33">
        <v>89.13</v>
      </c>
      <c r="BE39" s="34">
        <f t="shared" si="12"/>
        <v>0.99800171994373355</v>
      </c>
      <c r="BF39" s="35">
        <f t="shared" si="13"/>
        <v>-1.7191327182887314E-3</v>
      </c>
      <c r="BG39" s="35">
        <f t="shared" si="14"/>
        <v>-4.8882279054496269E-4</v>
      </c>
      <c r="BH39" s="35"/>
      <c r="BJ39" s="34"/>
      <c r="BK39" s="34"/>
      <c r="BL39" s="34"/>
      <c r="BM39" s="34"/>
      <c r="BN39" s="34"/>
      <c r="BP39" s="34"/>
      <c r="BQ39" s="34"/>
      <c r="BR39" s="34"/>
      <c r="BS39" s="34"/>
      <c r="BT39" s="34"/>
      <c r="BV39" s="58">
        <f t="shared" si="16"/>
        <v>0</v>
      </c>
      <c r="BW39" s="58">
        <f t="shared" si="16"/>
        <v>0</v>
      </c>
      <c r="BX39" s="58">
        <f t="shared" si="16"/>
        <v>-4408.90625</v>
      </c>
      <c r="BY39" s="58">
        <f t="shared" si="16"/>
        <v>-25488</v>
      </c>
      <c r="BZ39" s="58">
        <f t="shared" si="16"/>
        <v>0</v>
      </c>
      <c r="CA39" s="58">
        <f t="shared" si="16"/>
        <v>-25616</v>
      </c>
      <c r="CB39" s="58">
        <f t="shared" si="16"/>
        <v>0</v>
      </c>
      <c r="CC39" s="58">
        <f t="shared" si="16"/>
        <v>2.6575000000008231E-2</v>
      </c>
      <c r="CD39" s="58">
        <f t="shared" si="16"/>
        <v>-2.9907000000008566E-2</v>
      </c>
      <c r="CE39" s="58">
        <f t="shared" si="16"/>
        <v>1.9831000000003485E-2</v>
      </c>
      <c r="CF39" s="58">
        <f t="shared" si="16"/>
        <v>3.7200000000581213E-4</v>
      </c>
      <c r="CG39" s="58">
        <f t="shared" si="16"/>
        <v>2.3800000000306909E-4</v>
      </c>
      <c r="CJ39" t="s">
        <v>589</v>
      </c>
    </row>
    <row r="40" spans="1:88" ht="16" x14ac:dyDescent="0.2">
      <c r="B40" s="46" t="s">
        <v>16</v>
      </c>
      <c r="J40" s="47">
        <f>AVERAGE(J5:J24)</f>
        <v>1.7607443125499909E-2</v>
      </c>
      <c r="K40" s="47">
        <f>AVERAGE(K5:K24)</f>
        <v>9.5321793276372524E-3</v>
      </c>
      <c r="L40" s="47">
        <f>AVERAGE(L5:L24)</f>
        <v>6.9516832599163803E-3</v>
      </c>
      <c r="M40" s="47">
        <f>AVERAGE(M5:M24)</f>
        <v>8.0752637978626605E-3</v>
      </c>
      <c r="AH40" s="47">
        <f>AVERAGE(AH5:AH24)</f>
        <v>1.757089212566805E-2</v>
      </c>
      <c r="AI40" s="47">
        <f>AVERAGE(AI5:AI24)</f>
        <v>9.4951203599986204E-3</v>
      </c>
      <c r="AJ40" s="47">
        <f>AVERAGE(AJ5:AJ24)</f>
        <v>6.9516832599163803E-3</v>
      </c>
      <c r="AK40" s="47">
        <f>AVERAGE(AK5:AK24)</f>
        <v>8.0752637978626605E-3</v>
      </c>
      <c r="BE40" s="51">
        <f t="shared" si="12"/>
        <v>0.99611222508884356</v>
      </c>
      <c r="BH40" s="55">
        <f>AVERAGE(BH5:BH24)</f>
        <v>-9.0422840040413344E-4</v>
      </c>
      <c r="BJ40" s="51">
        <f>AVERAGE(BJ5:BJ24)</f>
        <v>0.19203508832819921</v>
      </c>
      <c r="BK40" s="51">
        <f>AVERAGE(BK5:BK24)</f>
        <v>0.2216990405655675</v>
      </c>
      <c r="BL40" s="51">
        <f>AVERAGE(BL5:BL24)</f>
        <v>-1.6896280404314845E-2</v>
      </c>
      <c r="BM40" s="51">
        <f>AVERAGE(BM5:BM24)</f>
        <v>3.8640708503695498E-4</v>
      </c>
      <c r="BN40" s="51">
        <f>AVERAGE(BN5:BN24)</f>
        <v>-1.1731644744940872E-3</v>
      </c>
      <c r="BP40" s="51">
        <f>AVERAGE(BP5:BP24)</f>
        <v>0.30573653103291298</v>
      </c>
      <c r="BQ40" s="51">
        <f>AVERAGE(BQ5:BQ24)</f>
        <v>0.34089645325773832</v>
      </c>
      <c r="BR40" s="51">
        <f>AVERAGE(BR5:BR24)</f>
        <v>-1.6141225102569684E-2</v>
      </c>
      <c r="BS40" s="51">
        <f>AVERAGE(BS5:BS24)</f>
        <v>-3.4848458728295451E-3</v>
      </c>
      <c r="BT40" s="51">
        <f>AVERAGE(BT5:BT24)</f>
        <v>-5.0862555378826113E-3</v>
      </c>
    </row>
    <row r="41" spans="1:88" ht="16" x14ac:dyDescent="0.2">
      <c r="B41" s="46" t="s">
        <v>17</v>
      </c>
      <c r="J41" s="47">
        <f>AVERAGE(J25:J29)</f>
        <v>3.8177977020693157E-2</v>
      </c>
      <c r="K41" s="47">
        <f>AVERAGE(K25:K29)</f>
        <v>1.1417285892349041E-2</v>
      </c>
      <c r="L41" s="47">
        <f>AVERAGE(L25:L29)</f>
        <v>8.7672756735900897E-3</v>
      </c>
      <c r="M41" s="47">
        <f>AVERAGE(M25:M29)</f>
        <v>2.6760691128344116E-2</v>
      </c>
      <c r="AH41" s="47">
        <f>AVERAGE(AH25:AH29)</f>
        <v>3.8128627171002849E-2</v>
      </c>
      <c r="AI41" s="47">
        <f>AVERAGE(AI25:AI29)</f>
        <v>1.1367424645252609E-2</v>
      </c>
      <c r="AJ41" s="47">
        <f>AVERAGE(AJ25:AJ29)</f>
        <v>8.7672756735900897E-3</v>
      </c>
      <c r="AK41" s="47">
        <f>AVERAGE(AK25:AK29)</f>
        <v>2.6760691128344116E-2</v>
      </c>
      <c r="BE41" s="51">
        <f t="shared" si="12"/>
        <v>0.99563282836511569</v>
      </c>
      <c r="BH41" s="55">
        <f>AVERAGE(BH25:BH29)</f>
        <v>-1.2542826664646567E-3</v>
      </c>
      <c r="BJ41" s="51">
        <f>AVERAGE(BJ25:BJ29)</f>
        <v>0.14493585872839376</v>
      </c>
      <c r="BK41" s="51">
        <f>AVERAGE(BK25:BK29)</f>
        <v>0.18649345701421494</v>
      </c>
      <c r="BL41" s="51">
        <f>AVERAGE(BL25:BL29)</f>
        <v>-2.7215832216812563E-3</v>
      </c>
      <c r="BM41" s="51">
        <f>AVERAGE(BM25:BM29)</f>
        <v>7.5067449168142453E-4</v>
      </c>
      <c r="BN41" s="51">
        <f>AVERAGE(BN25:BN29)</f>
        <v>3.1585222308883054E-4</v>
      </c>
      <c r="BP41" s="51">
        <f>AVERAGE(BP25:BP29)</f>
        <v>0.30013577546280978</v>
      </c>
      <c r="BQ41" s="51">
        <f>AVERAGE(BQ25:BQ29)</f>
        <v>0.38387652167495734</v>
      </c>
      <c r="BR41" s="51">
        <f>AVERAGE(BR25:BR29)</f>
        <v>-4.7234990652416098E-3</v>
      </c>
      <c r="BS41" s="51">
        <f>AVERAGE(BS25:BS29)</f>
        <v>-1.7446221095558379E-3</v>
      </c>
      <c r="BT41" s="51">
        <f>AVERAGE(BT25:BT29)</f>
        <v>-2.193632364148379E-3</v>
      </c>
    </row>
    <row r="42" spans="1:88" ht="16" x14ac:dyDescent="0.2">
      <c r="B42" s="46" t="s">
        <v>18</v>
      </c>
      <c r="J42" s="47">
        <f>AVERAGE(J30:J39)</f>
        <v>3.5024046893903718E-2</v>
      </c>
      <c r="K42" s="47">
        <f>AVERAGE(K30:K39)</f>
        <v>1.8600416961661072E-2</v>
      </c>
      <c r="L42" s="47">
        <f>AVERAGE(L30:L39)</f>
        <v>1.4301451090252094E-2</v>
      </c>
      <c r="M42" s="47">
        <f>AVERAGE(M30:M39)</f>
        <v>1.6423629932242643E-2</v>
      </c>
      <c r="AH42" s="47">
        <f>AVERAGE(AH30:AH39)</f>
        <v>3.4954580368535916E-2</v>
      </c>
      <c r="AI42" s="47">
        <f>AVERAGE(AI30:AI39)</f>
        <v>1.8530587879514053E-2</v>
      </c>
      <c r="AJ42" s="47">
        <f>AVERAGE(AJ30:AJ39)</f>
        <v>1.4301451090252094E-2</v>
      </c>
      <c r="AK42" s="47">
        <f>AVERAGE(AK30:AK39)</f>
        <v>1.6423629932242643E-2</v>
      </c>
      <c r="BE42" s="51">
        <f t="shared" si="12"/>
        <v>0.99624583242994236</v>
      </c>
      <c r="BH42" s="55">
        <f>AVERAGE(BH30:BH39)</f>
        <v>-9.8136676374555032E-4</v>
      </c>
      <c r="BJ42" s="51">
        <f>AVERAGE(BJ30:BJ39)</f>
        <v>7.9666300367821741E-2</v>
      </c>
      <c r="BK42" s="51">
        <f>AVERAGE(BK30:BK39)</f>
        <v>0.14193883741121482</v>
      </c>
      <c r="BL42" s="51">
        <f>AVERAGE(BL30:BL39)</f>
        <v>-8.678109158573033E-4</v>
      </c>
      <c r="BM42" s="51">
        <f>AVERAGE(BM30:BM39)</f>
        <v>1.0336660223742022E-4</v>
      </c>
      <c r="BN42" s="51">
        <f>AVERAGE(BN30:BN39)</f>
        <v>1.4058671674282985E-4</v>
      </c>
      <c r="BP42" s="51">
        <f>AVERAGE(BP30:BP39)</f>
        <v>0.12515034000447089</v>
      </c>
      <c r="BQ42" s="51">
        <f>AVERAGE(BQ30:BQ39)</f>
        <v>0.22215447483832573</v>
      </c>
      <c r="BR42" s="51">
        <f>AVERAGE(BR30:BR39)</f>
        <v>-3.7836805565534259E-3</v>
      </c>
      <c r="BS42" s="51">
        <f>AVERAGE(BS30:BS39)</f>
        <v>-2.9133488357219184E-3</v>
      </c>
      <c r="BT42" s="51">
        <f>AVERAGE(BT30:BT39)</f>
        <v>-2.9220131332911015E-3</v>
      </c>
    </row>
    <row r="43" spans="1:88" ht="16" x14ac:dyDescent="0.2">
      <c r="B43" s="46" t="s">
        <v>19</v>
      </c>
      <c r="J43" s="47">
        <f>AVERAGE(J5:J39)</f>
        <v>2.552226333007146E-2</v>
      </c>
      <c r="K43" s="47">
        <f>AVERAGE(K5:K39)</f>
        <v>1.2392405303745741E-2</v>
      </c>
      <c r="L43" s="47">
        <f>AVERAGE(L5:L39)</f>
        <v>9.3109872705371133E-3</v>
      </c>
      <c r="M43" s="47">
        <f>AVERAGE(M5:M39)</f>
        <v>1.3129858026325721E-2</v>
      </c>
      <c r="AH43" s="47">
        <f>AVERAGE(AH5:AH39)</f>
        <v>2.5474479487249551E-2</v>
      </c>
      <c r="AI43" s="47">
        <f>AVERAGE(AI5:AI39)</f>
        <v>1.2344154549182172E-2</v>
      </c>
      <c r="AJ43" s="47">
        <f>AVERAGE(AJ5:AJ39)</f>
        <v>9.3109872705371133E-3</v>
      </c>
      <c r="AK43" s="47">
        <f>AVERAGE(AK5:AK39)</f>
        <v>1.3129858026325721E-2</v>
      </c>
      <c r="BE43" s="51">
        <f t="shared" si="12"/>
        <v>0.9961064253967723</v>
      </c>
      <c r="BH43" s="55">
        <f>AVERAGE(BH5:BH39)</f>
        <v>-9.7627568508175584E-4</v>
      </c>
      <c r="BJ43" s="51">
        <f>AVERAGE(BJ5:BJ39)</f>
        <v>0.15320125896811915</v>
      </c>
      <c r="BK43" s="51">
        <f>AVERAGE(BK5:BK39)</f>
        <v>0.19388104201413064</v>
      </c>
      <c r="BL43" s="51">
        <f>AVERAGE(BL5:BL39)</f>
        <v>-1.0291760952950748E-2</v>
      </c>
      <c r="BM43" s="51">
        <f>AVERAGE(BM5:BM39)</f>
        <v>3.5757657661486926E-4</v>
      </c>
      <c r="BN43" s="51">
        <f>AVERAGE(BN5:BN39)</f>
        <v>-5.8509032020026552E-4</v>
      </c>
      <c r="BP43" s="51">
        <f>AVERAGE(BP5:BP39)</f>
        <v>0.25334036851477193</v>
      </c>
      <c r="BQ43" s="51">
        <f>AVERAGE(BQ5:BQ39)</f>
        <v>0.31311018348322317</v>
      </c>
      <c r="BR43" s="51">
        <f>AVERAGE(BR5:BR39)</f>
        <v>-1.0979394369803885E-2</v>
      </c>
      <c r="BS43" s="51">
        <f>AVERAGE(BS5:BS39)</f>
        <v>-3.0729576103311223E-3</v>
      </c>
      <c r="BT43" s="51">
        <f>AVERAGE(BT5:BT39)</f>
        <v>-4.054668683180147E-3</v>
      </c>
    </row>
    <row r="44" spans="1:88" ht="16" hidden="1" outlineLevel="2" x14ac:dyDescent="0.2">
      <c r="A44" s="46" t="s">
        <v>245</v>
      </c>
      <c r="B44" s="46" t="s">
        <v>246</v>
      </c>
      <c r="AB44" s="48">
        <f>SUM(AB5:AB24,AB25:AB29,AB30:AB39)</f>
        <v>135034.15999999997</v>
      </c>
      <c r="AC44" s="48">
        <f>SUM(AC5:AC24,AC25:AC29,AC30:AC39)</f>
        <v>327102.43</v>
      </c>
      <c r="AD44" s="48">
        <f>SUM(AD5:AD24,AD25:AD29,AD30:AD39)</f>
        <v>4227.5379999999996</v>
      </c>
      <c r="AE44" s="48">
        <f>SUM(AE5:AE24,AE25:AE29,AE30:AE39)</f>
        <v>1388.0099999999998</v>
      </c>
      <c r="AZ44" s="48">
        <f>SUM(AZ5:AZ24,AZ25:AZ29,AZ30:AZ39)</f>
        <v>127359.52</v>
      </c>
      <c r="BA44" s="48">
        <f>SUM(BA5:BA24,BA25:BA29,BA30:BA39)</f>
        <v>294878.62</v>
      </c>
      <c r="BB44" s="48">
        <f>SUM(BB5:BB24,BB25:BB29,BB30:BB39)</f>
        <v>638.12299999999993</v>
      </c>
      <c r="BC44" s="48">
        <f>SUM(BC5:BC24,BC25:BC29,BC30:BC39)</f>
        <v>1237.4470000000001</v>
      </c>
    </row>
    <row r="45" spans="1:88" ht="16" hidden="1" outlineLevel="2" x14ac:dyDescent="0.2">
      <c r="B45" s="46" t="s">
        <v>247</v>
      </c>
      <c r="AZ45" s="55">
        <f>AZ44/AB44</f>
        <v>0.94316519612518812</v>
      </c>
      <c r="BA45" s="55">
        <f>BA44/AC44</f>
        <v>0.90148709687054296</v>
      </c>
      <c r="BB45" s="55">
        <f>BB44/AD44</f>
        <v>0.15094435579289883</v>
      </c>
      <c r="BC45" s="55">
        <f>BC44/AE44</f>
        <v>0.89152599765131402</v>
      </c>
    </row>
    <row r="46" spans="1:88" ht="16" hidden="1" outlineLevel="2" x14ac:dyDescent="0.2">
      <c r="B46" s="46" t="s">
        <v>248</v>
      </c>
      <c r="AB46" s="48">
        <f>GEOMEAN(AB5:AB24,AB25:AB29,AB30:AB39)</f>
        <v>3646.7529472135416</v>
      </c>
      <c r="AC46" s="48">
        <f>GEOMEAN(AC5:AC24,AC25:AC29,AC30:AC39)</f>
        <v>6479.7210171863253</v>
      </c>
      <c r="AD46" s="48">
        <f>GEOMEAN(AD5:AD24,AD25:AD29,AD30:AD39)</f>
        <v>100.32118411466705</v>
      </c>
      <c r="AE46" s="48">
        <f>GEOMEAN(AE5:AE24,AE25:AE29,AE30:AE39)</f>
        <v>28.296496280109611</v>
      </c>
      <c r="AZ46" s="48">
        <f>GEOMEAN(AZ5:AZ24,AZ25:AZ29,AZ30:AZ39)</f>
        <v>3431.0313123048409</v>
      </c>
      <c r="BA46" s="48">
        <f>GEOMEAN(BA5:BA24,BA25:BA29,BA30:BA39)</f>
        <v>6005.6236247942761</v>
      </c>
      <c r="BB46" s="48">
        <f>GEOMEAN(BB5:BB24,BB25:BB29,BB30:BB39)</f>
        <v>14.801619684157748</v>
      </c>
      <c r="BC46" s="48">
        <f>GEOMEAN(BC5:BC24,BC25:BC29,BC30:BC39)</f>
        <v>26.115404123431507</v>
      </c>
    </row>
    <row r="47" spans="1:88" ht="16" outlineLevel="2" collapsed="1" x14ac:dyDescent="0.2">
      <c r="B47" s="46" t="s">
        <v>249</v>
      </c>
      <c r="AZ47" s="55">
        <f>AZ46/AB46</f>
        <v>0.94084555821815896</v>
      </c>
      <c r="BA47" s="55">
        <f>BA46/AC46</f>
        <v>0.92683367213887935</v>
      </c>
      <c r="BB47" s="55">
        <f>BB46/AD46</f>
        <v>0.14754231436542362</v>
      </c>
      <c r="BC47" s="55">
        <f>BC46/AE46</f>
        <v>0.92292006278490191</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2" sqref="H2:H3"/>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592</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collapsed="1" x14ac:dyDescent="0.2">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collapsed="1" x14ac:dyDescent="0.2">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collapsed="1" x14ac:dyDescent="0.2">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H5" activePane="bottomRight" state="frozen"/>
      <selection pane="topRight" activeCell="C1" sqref="C1"/>
      <selection pane="bottomLeft" activeCell="A5" sqref="A5"/>
      <selection pane="bottomRight" activeCell="R24" sqref="R2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592</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2019-12-04T17:29:42Z</dcterms:modified>
</cp:coreProperties>
</file>