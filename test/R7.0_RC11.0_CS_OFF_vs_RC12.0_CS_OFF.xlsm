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T:\users\hossein\VPCC-R7.0-RC12_Simplified_low_complexity_color_smoothing_NoEntropy_ColorSmoothingOFF\"/>
    </mc:Choice>
  </mc:AlternateContent>
  <bookViews>
    <workbookView xWindow="-120" yWindow="-120" windowWidth="38640" windowHeight="21240" activeTab="4"/>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AB44" i="7"/>
  <c r="CG39" i="7"/>
  <c r="CF39" i="7"/>
  <c r="CE39" i="7"/>
  <c r="CD39" i="7"/>
  <c r="CC39" i="7"/>
  <c r="CB39" i="7"/>
  <c r="CA39" i="7"/>
  <c r="BZ39" i="7"/>
  <c r="BY39" i="7"/>
  <c r="BX39" i="7"/>
  <c r="BW39" i="7"/>
  <c r="BV39" i="7"/>
  <c r="BF39" i="7"/>
  <c r="AM39" i="7"/>
  <c r="AL39" i="7"/>
  <c r="AI39" i="7" s="1"/>
  <c r="AK39" i="7"/>
  <c r="AJ39" i="7"/>
  <c r="AH39" i="7"/>
  <c r="AG39" i="7"/>
  <c r="O39" i="7"/>
  <c r="N39" i="7"/>
  <c r="K39" i="7" s="1"/>
  <c r="M39" i="7"/>
  <c r="L39" i="7"/>
  <c r="J39" i="7"/>
  <c r="I39" i="7"/>
  <c r="CG38" i="7"/>
  <c r="CF38" i="7"/>
  <c r="CE38" i="7"/>
  <c r="CD38" i="7"/>
  <c r="CC38" i="7"/>
  <c r="CB38" i="7"/>
  <c r="CA38" i="7"/>
  <c r="BZ38" i="7"/>
  <c r="BY38" i="7"/>
  <c r="BX38" i="7"/>
  <c r="BW38" i="7"/>
  <c r="BV38" i="7"/>
  <c r="BF38" i="7"/>
  <c r="AM38" i="7"/>
  <c r="AL38" i="7"/>
  <c r="AI38" i="7" s="1"/>
  <c r="AK38" i="7"/>
  <c r="AJ38" i="7"/>
  <c r="AH38" i="7"/>
  <c r="AG38" i="7"/>
  <c r="O38" i="7"/>
  <c r="N38" i="7"/>
  <c r="K38" i="7" s="1"/>
  <c r="M38" i="7"/>
  <c r="L38" i="7"/>
  <c r="J38" i="7"/>
  <c r="I38" i="7"/>
  <c r="CG37" i="7"/>
  <c r="CF37" i="7"/>
  <c r="CE37" i="7"/>
  <c r="CD37" i="7"/>
  <c r="CC37" i="7"/>
  <c r="CB37" i="7"/>
  <c r="CA37" i="7"/>
  <c r="BZ37" i="7"/>
  <c r="BY37" i="7"/>
  <c r="BX37" i="7"/>
  <c r="BW37" i="7"/>
  <c r="BV37" i="7"/>
  <c r="BF37" i="7"/>
  <c r="AM37" i="7"/>
  <c r="AL37" i="7"/>
  <c r="AI37" i="7" s="1"/>
  <c r="AK37" i="7"/>
  <c r="AJ37" i="7"/>
  <c r="AH37" i="7"/>
  <c r="AG37" i="7"/>
  <c r="O37" i="7"/>
  <c r="N37" i="7"/>
  <c r="K37" i="7" s="1"/>
  <c r="M37" i="7"/>
  <c r="L37" i="7"/>
  <c r="J37" i="7"/>
  <c r="I37" i="7"/>
  <c r="CG36" i="7"/>
  <c r="CF36" i="7"/>
  <c r="CE36" i="7"/>
  <c r="CD36" i="7"/>
  <c r="CC36" i="7"/>
  <c r="CB36" i="7"/>
  <c r="CA36" i="7"/>
  <c r="BZ36" i="7"/>
  <c r="BY36" i="7"/>
  <c r="BX36" i="7"/>
  <c r="BW36" i="7"/>
  <c r="BV36" i="7"/>
  <c r="BF36" i="7"/>
  <c r="AM36" i="7"/>
  <c r="AL36" i="7"/>
  <c r="AK36" i="7"/>
  <c r="AJ36" i="7"/>
  <c r="AH36" i="7"/>
  <c r="AG36" i="7"/>
  <c r="O36" i="7"/>
  <c r="N36" i="7"/>
  <c r="K36" i="7" s="1"/>
  <c r="M36" i="7"/>
  <c r="L36" i="7"/>
  <c r="J36" i="7"/>
  <c r="I36" i="7"/>
  <c r="CG35" i="7"/>
  <c r="CF35" i="7"/>
  <c r="CE35" i="7"/>
  <c r="CD35" i="7"/>
  <c r="CC35" i="7"/>
  <c r="CB35" i="7"/>
  <c r="CA35" i="7"/>
  <c r="BZ35" i="7"/>
  <c r="BY35" i="7"/>
  <c r="BX35" i="7"/>
  <c r="BW35" i="7"/>
  <c r="BV35" i="7"/>
  <c r="BF35" i="7"/>
  <c r="AM35" i="7"/>
  <c r="AL35" i="7"/>
  <c r="AK35" i="7"/>
  <c r="AJ35" i="7"/>
  <c r="AH35" i="7"/>
  <c r="AG35" i="7"/>
  <c r="O35" i="7"/>
  <c r="N35" i="7"/>
  <c r="M35" i="7"/>
  <c r="L35" i="7"/>
  <c r="J35" i="7"/>
  <c r="I35" i="7"/>
  <c r="CG34" i="7"/>
  <c r="CF34" i="7"/>
  <c r="CE34" i="7"/>
  <c r="CD34" i="7"/>
  <c r="CC34" i="7"/>
  <c r="CB34" i="7"/>
  <c r="CA34" i="7"/>
  <c r="BZ34" i="7"/>
  <c r="BY34" i="7"/>
  <c r="BX34" i="7"/>
  <c r="BW34" i="7"/>
  <c r="BV34" i="7"/>
  <c r="BF34" i="7"/>
  <c r="AM34" i="7"/>
  <c r="AL34" i="7"/>
  <c r="AI34" i="7" s="1"/>
  <c r="AK34" i="7"/>
  <c r="AJ34" i="7"/>
  <c r="AH34" i="7"/>
  <c r="AG34" i="7"/>
  <c r="O34" i="7"/>
  <c r="N34" i="7"/>
  <c r="K34" i="7" s="1"/>
  <c r="M34" i="7"/>
  <c r="L34" i="7"/>
  <c r="J34" i="7"/>
  <c r="I34" i="7"/>
  <c r="CG33" i="7"/>
  <c r="CF33" i="7"/>
  <c r="CE33" i="7"/>
  <c r="CD33" i="7"/>
  <c r="CC33" i="7"/>
  <c r="CB33" i="7"/>
  <c r="CA33" i="7"/>
  <c r="BZ33" i="7"/>
  <c r="BY33" i="7"/>
  <c r="BX33" i="7"/>
  <c r="BW33" i="7"/>
  <c r="BV33" i="7"/>
  <c r="BF33" i="7"/>
  <c r="AM33" i="7"/>
  <c r="AL33" i="7"/>
  <c r="AK33" i="7"/>
  <c r="AJ33" i="7"/>
  <c r="AH33" i="7"/>
  <c r="AG33" i="7"/>
  <c r="O33" i="7"/>
  <c r="N33" i="7"/>
  <c r="K33" i="7" s="1"/>
  <c r="M33" i="7"/>
  <c r="L33" i="7"/>
  <c r="J33" i="7"/>
  <c r="I33" i="7"/>
  <c r="CG32" i="7"/>
  <c r="CF32" i="7"/>
  <c r="CE32" i="7"/>
  <c r="CD32" i="7"/>
  <c r="CC32" i="7"/>
  <c r="CB32" i="7"/>
  <c r="CA32" i="7"/>
  <c r="BZ32" i="7"/>
  <c r="BY32" i="7"/>
  <c r="BX32" i="7"/>
  <c r="BW32" i="7"/>
  <c r="BV32" i="7"/>
  <c r="BF32" i="7"/>
  <c r="AM32" i="7"/>
  <c r="AL32" i="7"/>
  <c r="AI32" i="7" s="1"/>
  <c r="AK32" i="7"/>
  <c r="AJ32" i="7"/>
  <c r="AH32" i="7"/>
  <c r="AG32" i="7"/>
  <c r="O32" i="7"/>
  <c r="N32" i="7"/>
  <c r="K32" i="7" s="1"/>
  <c r="M32" i="7"/>
  <c r="L32" i="7"/>
  <c r="J32" i="7"/>
  <c r="I32" i="7"/>
  <c r="CG31" i="7"/>
  <c r="CF31" i="7"/>
  <c r="CE31" i="7"/>
  <c r="CD31" i="7"/>
  <c r="CC31" i="7"/>
  <c r="CB31" i="7"/>
  <c r="CA31" i="7"/>
  <c r="BZ31" i="7"/>
  <c r="BY31" i="7"/>
  <c r="BX31" i="7"/>
  <c r="BW31" i="7"/>
  <c r="BV31" i="7"/>
  <c r="BF31" i="7"/>
  <c r="AM31" i="7"/>
  <c r="AL31" i="7"/>
  <c r="AI31" i="7" s="1"/>
  <c r="AK31" i="7"/>
  <c r="AJ31" i="7"/>
  <c r="AH31" i="7"/>
  <c r="AG31" i="7"/>
  <c r="O31" i="7"/>
  <c r="N31" i="7"/>
  <c r="K31" i="7" s="1"/>
  <c r="M31" i="7"/>
  <c r="L31" i="7"/>
  <c r="J31" i="7"/>
  <c r="I31" i="7"/>
  <c r="CG30" i="7"/>
  <c r="CF30" i="7"/>
  <c r="CE30" i="7"/>
  <c r="CD30" i="7"/>
  <c r="CC30" i="7"/>
  <c r="CB30" i="7"/>
  <c r="CA30" i="7"/>
  <c r="BZ30" i="7"/>
  <c r="BY30" i="7"/>
  <c r="BX30" i="7"/>
  <c r="BW30" i="7"/>
  <c r="BV30" i="7"/>
  <c r="BF30" i="7"/>
  <c r="AM30" i="7"/>
  <c r="AL30" i="7"/>
  <c r="AI30" i="7" s="1"/>
  <c r="AK30" i="7"/>
  <c r="AJ30" i="7"/>
  <c r="AH30" i="7"/>
  <c r="AG30" i="7"/>
  <c r="O30" i="7"/>
  <c r="N30" i="7"/>
  <c r="K30" i="7" s="1"/>
  <c r="M30" i="7"/>
  <c r="L30" i="7"/>
  <c r="J30" i="7"/>
  <c r="I30" i="7"/>
  <c r="CG29" i="7"/>
  <c r="CF29" i="7"/>
  <c r="CE29" i="7"/>
  <c r="CD29" i="7"/>
  <c r="CC29" i="7"/>
  <c r="CB29" i="7"/>
  <c r="CA29" i="7"/>
  <c r="BZ29" i="7"/>
  <c r="BY29" i="7"/>
  <c r="BX29" i="7"/>
  <c r="BW29" i="7"/>
  <c r="BV29" i="7"/>
  <c r="BF29" i="7"/>
  <c r="AM29" i="7"/>
  <c r="AL29" i="7"/>
  <c r="AI29" i="7" s="1"/>
  <c r="AK29" i="7"/>
  <c r="AJ29" i="7"/>
  <c r="AH29" i="7"/>
  <c r="AG29" i="7"/>
  <c r="O29" i="7"/>
  <c r="N29" i="7"/>
  <c r="K29" i="7" s="1"/>
  <c r="M29" i="7"/>
  <c r="L29" i="7"/>
  <c r="J29" i="7"/>
  <c r="I29" i="7"/>
  <c r="CG28" i="7"/>
  <c r="CF28" i="7"/>
  <c r="CE28" i="7"/>
  <c r="CD28" i="7"/>
  <c r="CC28" i="7"/>
  <c r="CB28" i="7"/>
  <c r="CA28" i="7"/>
  <c r="BZ28" i="7"/>
  <c r="BY28" i="7"/>
  <c r="BX28" i="7"/>
  <c r="BW28" i="7"/>
  <c r="BV28" i="7"/>
  <c r="BF28" i="7"/>
  <c r="AM28" i="7"/>
  <c r="AL28" i="7"/>
  <c r="AI28" i="7" s="1"/>
  <c r="AK28" i="7"/>
  <c r="AJ28" i="7"/>
  <c r="AH28" i="7"/>
  <c r="AG28" i="7"/>
  <c r="O28" i="7"/>
  <c r="N28" i="7"/>
  <c r="K28" i="7" s="1"/>
  <c r="M28" i="7"/>
  <c r="L28" i="7"/>
  <c r="J28" i="7"/>
  <c r="I28" i="7"/>
  <c r="CG27" i="7"/>
  <c r="CF27" i="7"/>
  <c r="CE27" i="7"/>
  <c r="CD27" i="7"/>
  <c r="CC27" i="7"/>
  <c r="CB27" i="7"/>
  <c r="CA27" i="7"/>
  <c r="BZ27" i="7"/>
  <c r="BY27" i="7"/>
  <c r="BX27" i="7"/>
  <c r="BW27" i="7"/>
  <c r="BV27" i="7"/>
  <c r="BF27" i="7"/>
  <c r="AM27" i="7"/>
  <c r="AL27" i="7"/>
  <c r="AI27" i="7" s="1"/>
  <c r="AK27" i="7"/>
  <c r="AJ27" i="7"/>
  <c r="AH27" i="7"/>
  <c r="AG27" i="7"/>
  <c r="O27" i="7"/>
  <c r="N27" i="7"/>
  <c r="K27" i="7" s="1"/>
  <c r="M27" i="7"/>
  <c r="L27" i="7"/>
  <c r="J27" i="7"/>
  <c r="I27" i="7"/>
  <c r="CG26" i="7"/>
  <c r="CF26" i="7"/>
  <c r="CE26" i="7"/>
  <c r="CD26" i="7"/>
  <c r="CC26" i="7"/>
  <c r="CB26" i="7"/>
  <c r="CA26" i="7"/>
  <c r="BZ26" i="7"/>
  <c r="BY26" i="7"/>
  <c r="BX26" i="7"/>
  <c r="BW26" i="7"/>
  <c r="BV26" i="7"/>
  <c r="BF26" i="7"/>
  <c r="AM26" i="7"/>
  <c r="AL26" i="7"/>
  <c r="AI26" i="7" s="1"/>
  <c r="AK26" i="7"/>
  <c r="AJ26" i="7"/>
  <c r="AH26" i="7"/>
  <c r="AG26" i="7"/>
  <c r="O26" i="7"/>
  <c r="N26" i="7"/>
  <c r="K26" i="7" s="1"/>
  <c r="M26" i="7"/>
  <c r="L26" i="7"/>
  <c r="J26" i="7"/>
  <c r="I26" i="7"/>
  <c r="CG25" i="7"/>
  <c r="CF25" i="7"/>
  <c r="CE25" i="7"/>
  <c r="CD25" i="7"/>
  <c r="CC25" i="7"/>
  <c r="CB25" i="7"/>
  <c r="CA25" i="7"/>
  <c r="BZ25" i="7"/>
  <c r="BY25" i="7"/>
  <c r="BX25" i="7"/>
  <c r="BW25" i="7"/>
  <c r="BV25" i="7"/>
  <c r="BF25" i="7"/>
  <c r="AM25" i="7"/>
  <c r="AL25" i="7"/>
  <c r="AI25" i="7" s="1"/>
  <c r="AK25" i="7"/>
  <c r="AJ25" i="7"/>
  <c r="AH25" i="7"/>
  <c r="AG25" i="7"/>
  <c r="O25" i="7"/>
  <c r="N25" i="7"/>
  <c r="K25" i="7" s="1"/>
  <c r="M25" i="7"/>
  <c r="L25" i="7"/>
  <c r="J25" i="7"/>
  <c r="I25" i="7"/>
  <c r="CG24" i="7"/>
  <c r="CF24" i="7"/>
  <c r="CE24" i="7"/>
  <c r="CD24" i="7"/>
  <c r="CC24" i="7"/>
  <c r="CB24" i="7"/>
  <c r="CA24" i="7"/>
  <c r="BZ24" i="7"/>
  <c r="BY24" i="7"/>
  <c r="BX24" i="7"/>
  <c r="BW24" i="7"/>
  <c r="BV24" i="7"/>
  <c r="BF24" i="7"/>
  <c r="AM24" i="7"/>
  <c r="AL24" i="7"/>
  <c r="AI24" i="7" s="1"/>
  <c r="AK24" i="7"/>
  <c r="AJ24" i="7"/>
  <c r="AH24" i="7"/>
  <c r="AG24" i="7"/>
  <c r="O24" i="7"/>
  <c r="N24" i="7"/>
  <c r="M24" i="7"/>
  <c r="L24" i="7"/>
  <c r="K24" i="7"/>
  <c r="J24" i="7"/>
  <c r="I24" i="7"/>
  <c r="CG23" i="7"/>
  <c r="CF23" i="7"/>
  <c r="CE23" i="7"/>
  <c r="CD23" i="7"/>
  <c r="CC23" i="7"/>
  <c r="CB23" i="7"/>
  <c r="CA23" i="7"/>
  <c r="BZ23" i="7"/>
  <c r="BY23" i="7"/>
  <c r="BX23" i="7"/>
  <c r="BW23" i="7"/>
  <c r="BV23" i="7"/>
  <c r="BF23" i="7"/>
  <c r="AM23" i="7"/>
  <c r="AL23" i="7"/>
  <c r="AI23" i="7" s="1"/>
  <c r="AK23" i="7"/>
  <c r="AJ23" i="7"/>
  <c r="AH23" i="7"/>
  <c r="AG23" i="7"/>
  <c r="O23" i="7"/>
  <c r="N23" i="7"/>
  <c r="K23" i="7" s="1"/>
  <c r="M23" i="7"/>
  <c r="L23" i="7"/>
  <c r="J23" i="7"/>
  <c r="I23" i="7"/>
  <c r="CG22" i="7"/>
  <c r="CF22" i="7"/>
  <c r="CE22" i="7"/>
  <c r="CD22" i="7"/>
  <c r="CC22" i="7"/>
  <c r="CB22" i="7"/>
  <c r="CA22" i="7"/>
  <c r="BZ22" i="7"/>
  <c r="BY22" i="7"/>
  <c r="BX22" i="7"/>
  <c r="BW22" i="7"/>
  <c r="BV22" i="7"/>
  <c r="BF22" i="7"/>
  <c r="AM22" i="7"/>
  <c r="AL22" i="7"/>
  <c r="AI22" i="7" s="1"/>
  <c r="AK22" i="7"/>
  <c r="AJ22" i="7"/>
  <c r="AH22" i="7"/>
  <c r="AG22" i="7"/>
  <c r="O22" i="7"/>
  <c r="N22" i="7"/>
  <c r="K22" i="7" s="1"/>
  <c r="M22" i="7"/>
  <c r="L22" i="7"/>
  <c r="J22" i="7"/>
  <c r="I22" i="7"/>
  <c r="CG21" i="7"/>
  <c r="CF21" i="7"/>
  <c r="CE21" i="7"/>
  <c r="CD21" i="7"/>
  <c r="CC21" i="7"/>
  <c r="CB21" i="7"/>
  <c r="CA21" i="7"/>
  <c r="BZ21" i="7"/>
  <c r="BY21" i="7"/>
  <c r="BX21" i="7"/>
  <c r="BW21" i="7"/>
  <c r="BV21" i="7"/>
  <c r="BF21" i="7"/>
  <c r="AM21" i="7"/>
  <c r="AL21" i="7"/>
  <c r="AI21" i="7" s="1"/>
  <c r="AK21" i="7"/>
  <c r="AJ21" i="7"/>
  <c r="AH21" i="7"/>
  <c r="AG21" i="7"/>
  <c r="O21" i="7"/>
  <c r="N21" i="7"/>
  <c r="K21" i="7" s="1"/>
  <c r="M21" i="7"/>
  <c r="L21" i="7"/>
  <c r="J21" i="7"/>
  <c r="I21" i="7"/>
  <c r="CG20" i="7"/>
  <c r="CF20" i="7"/>
  <c r="CE20" i="7"/>
  <c r="CD20" i="7"/>
  <c r="CC20" i="7"/>
  <c r="CB20" i="7"/>
  <c r="CA20" i="7"/>
  <c r="BZ20" i="7"/>
  <c r="BY20" i="7"/>
  <c r="BX20" i="7"/>
  <c r="BW20" i="7"/>
  <c r="BV20" i="7"/>
  <c r="BF20" i="7"/>
  <c r="AM20" i="7"/>
  <c r="AL20" i="7"/>
  <c r="AK20" i="7"/>
  <c r="AJ20" i="7"/>
  <c r="AH20" i="7"/>
  <c r="AG20" i="7"/>
  <c r="O20" i="7"/>
  <c r="N20" i="7"/>
  <c r="M20" i="7"/>
  <c r="L20" i="7"/>
  <c r="K20" i="7"/>
  <c r="J20" i="7"/>
  <c r="I20" i="7"/>
  <c r="CG19" i="7"/>
  <c r="CF19" i="7"/>
  <c r="CE19" i="7"/>
  <c r="CD19" i="7"/>
  <c r="CC19" i="7"/>
  <c r="CB19" i="7"/>
  <c r="CA19" i="7"/>
  <c r="BZ19" i="7"/>
  <c r="BY19" i="7"/>
  <c r="BX19" i="7"/>
  <c r="BW19" i="7"/>
  <c r="BV19" i="7"/>
  <c r="BF19" i="7"/>
  <c r="AM19" i="7"/>
  <c r="AL19" i="7"/>
  <c r="AI19" i="7" s="1"/>
  <c r="AK19" i="7"/>
  <c r="AJ19" i="7"/>
  <c r="AH19" i="7"/>
  <c r="AG19" i="7"/>
  <c r="O19" i="7"/>
  <c r="N19" i="7"/>
  <c r="K19" i="7" s="1"/>
  <c r="M19" i="7"/>
  <c r="L19" i="7"/>
  <c r="J19" i="7"/>
  <c r="I19" i="7"/>
  <c r="CG18" i="7"/>
  <c r="CF18" i="7"/>
  <c r="CE18" i="7"/>
  <c r="CD18" i="7"/>
  <c r="CC18" i="7"/>
  <c r="CB18" i="7"/>
  <c r="CA18" i="7"/>
  <c r="BZ18" i="7"/>
  <c r="BY18" i="7"/>
  <c r="BX18" i="7"/>
  <c r="BW18" i="7"/>
  <c r="BV18" i="7"/>
  <c r="BF18" i="7"/>
  <c r="AM18" i="7"/>
  <c r="AL18" i="7"/>
  <c r="AI18" i="7" s="1"/>
  <c r="AK18" i="7"/>
  <c r="AJ18" i="7"/>
  <c r="AH18" i="7"/>
  <c r="AG18" i="7"/>
  <c r="O18" i="7"/>
  <c r="N18" i="7"/>
  <c r="K18" i="7" s="1"/>
  <c r="M18" i="7"/>
  <c r="L18" i="7"/>
  <c r="J18" i="7"/>
  <c r="I18" i="7"/>
  <c r="CG17" i="7"/>
  <c r="CF17" i="7"/>
  <c r="CE17" i="7"/>
  <c r="CD17" i="7"/>
  <c r="CC17" i="7"/>
  <c r="CB17" i="7"/>
  <c r="CA17" i="7"/>
  <c r="BZ17" i="7"/>
  <c r="BY17" i="7"/>
  <c r="BX17" i="7"/>
  <c r="BW17" i="7"/>
  <c r="BV17" i="7"/>
  <c r="BF17" i="7"/>
  <c r="AM17" i="7"/>
  <c r="AL17" i="7"/>
  <c r="BG17" i="7" s="1"/>
  <c r="AK17" i="7"/>
  <c r="AJ17" i="7"/>
  <c r="AH17" i="7"/>
  <c r="AG17" i="7"/>
  <c r="O17" i="7"/>
  <c r="N17" i="7"/>
  <c r="K17" i="7" s="1"/>
  <c r="M17" i="7"/>
  <c r="L17" i="7"/>
  <c r="J17" i="7"/>
  <c r="I17" i="7"/>
  <c r="CG16" i="7"/>
  <c r="CF16" i="7"/>
  <c r="CE16" i="7"/>
  <c r="CD16" i="7"/>
  <c r="CC16" i="7"/>
  <c r="CB16" i="7"/>
  <c r="CA16" i="7"/>
  <c r="BZ16" i="7"/>
  <c r="BY16" i="7"/>
  <c r="BX16" i="7"/>
  <c r="BW16" i="7"/>
  <c r="BV16" i="7"/>
  <c r="BF16" i="7"/>
  <c r="AM16" i="7"/>
  <c r="AL16" i="7"/>
  <c r="AI16" i="7" s="1"/>
  <c r="AK16" i="7"/>
  <c r="AJ16" i="7"/>
  <c r="AH16" i="7"/>
  <c r="AG16" i="7"/>
  <c r="O16" i="7"/>
  <c r="N16" i="7"/>
  <c r="M16" i="7"/>
  <c r="L16" i="7"/>
  <c r="J16" i="7"/>
  <c r="I16" i="7"/>
  <c r="CG15" i="7"/>
  <c r="CF15" i="7"/>
  <c r="CE15" i="7"/>
  <c r="CD15" i="7"/>
  <c r="CC15" i="7"/>
  <c r="CB15" i="7"/>
  <c r="CA15" i="7"/>
  <c r="BZ15" i="7"/>
  <c r="BY15" i="7"/>
  <c r="BX15" i="7"/>
  <c r="BW15" i="7"/>
  <c r="BV15" i="7"/>
  <c r="BF15" i="7"/>
  <c r="AM15" i="7"/>
  <c r="AL15" i="7"/>
  <c r="AI15" i="7" s="1"/>
  <c r="AK15" i="7"/>
  <c r="AJ15" i="7"/>
  <c r="AH15" i="7"/>
  <c r="AG15" i="7"/>
  <c r="O15" i="7"/>
  <c r="N15" i="7"/>
  <c r="M15" i="7"/>
  <c r="L15" i="7"/>
  <c r="J15" i="7"/>
  <c r="I15" i="7"/>
  <c r="CG14" i="7"/>
  <c r="CF14" i="7"/>
  <c r="CE14" i="7"/>
  <c r="CD14" i="7"/>
  <c r="CC14" i="7"/>
  <c r="CB14" i="7"/>
  <c r="CA14" i="7"/>
  <c r="BZ14" i="7"/>
  <c r="BY14" i="7"/>
  <c r="BX14" i="7"/>
  <c r="BW14" i="7"/>
  <c r="BV14" i="7"/>
  <c r="BF14" i="7"/>
  <c r="AM14" i="7"/>
  <c r="AL14" i="7"/>
  <c r="AI14" i="7" s="1"/>
  <c r="AK14" i="7"/>
  <c r="AJ14" i="7"/>
  <c r="AH14" i="7"/>
  <c r="AG14" i="7"/>
  <c r="O14" i="7"/>
  <c r="N14" i="7"/>
  <c r="K14" i="7" s="1"/>
  <c r="M14" i="7"/>
  <c r="L14" i="7"/>
  <c r="J14" i="7"/>
  <c r="I14" i="7"/>
  <c r="CG13" i="7"/>
  <c r="CF13" i="7"/>
  <c r="CE13" i="7"/>
  <c r="CD13" i="7"/>
  <c r="CC13" i="7"/>
  <c r="CB13" i="7"/>
  <c r="CA13" i="7"/>
  <c r="BZ13" i="7"/>
  <c r="BY13" i="7"/>
  <c r="BX13" i="7"/>
  <c r="BW13" i="7"/>
  <c r="BV13" i="7"/>
  <c r="BF13" i="7"/>
  <c r="AM13" i="7"/>
  <c r="AL13" i="7"/>
  <c r="AI13" i="7" s="1"/>
  <c r="AK13" i="7"/>
  <c r="AJ13" i="7"/>
  <c r="AH13" i="7"/>
  <c r="AG13" i="7"/>
  <c r="O13" i="7"/>
  <c r="N13" i="7"/>
  <c r="K13" i="7" s="1"/>
  <c r="M13" i="7"/>
  <c r="L13" i="7"/>
  <c r="J13" i="7"/>
  <c r="I13" i="7"/>
  <c r="CG12" i="7"/>
  <c r="CF12" i="7"/>
  <c r="CE12" i="7"/>
  <c r="CD12" i="7"/>
  <c r="CC12" i="7"/>
  <c r="CB12" i="7"/>
  <c r="CA12" i="7"/>
  <c r="BZ12" i="7"/>
  <c r="BY12" i="7"/>
  <c r="BX12" i="7"/>
  <c r="BW12" i="7"/>
  <c r="BV12" i="7"/>
  <c r="BF12" i="7"/>
  <c r="AM12" i="7"/>
  <c r="AL12" i="7"/>
  <c r="AI12" i="7" s="1"/>
  <c r="AK12" i="7"/>
  <c r="AJ12" i="7"/>
  <c r="AH12" i="7"/>
  <c r="AG12" i="7"/>
  <c r="O12" i="7"/>
  <c r="N12" i="7"/>
  <c r="K12" i="7" s="1"/>
  <c r="M12" i="7"/>
  <c r="L12" i="7"/>
  <c r="J12" i="7"/>
  <c r="I12" i="7"/>
  <c r="CG11" i="7"/>
  <c r="CF11" i="7"/>
  <c r="CE11" i="7"/>
  <c r="CD11" i="7"/>
  <c r="CC11" i="7"/>
  <c r="CB11" i="7"/>
  <c r="CA11" i="7"/>
  <c r="BZ11" i="7"/>
  <c r="BY11" i="7"/>
  <c r="BX11" i="7"/>
  <c r="BW11" i="7"/>
  <c r="BV11" i="7"/>
  <c r="BF11" i="7"/>
  <c r="AM11" i="7"/>
  <c r="AL11" i="7"/>
  <c r="AI11" i="7" s="1"/>
  <c r="AK11" i="7"/>
  <c r="AJ11" i="7"/>
  <c r="AH11" i="7"/>
  <c r="AG11" i="7"/>
  <c r="O11" i="7"/>
  <c r="N11" i="7"/>
  <c r="K11" i="7" s="1"/>
  <c r="M11" i="7"/>
  <c r="L11" i="7"/>
  <c r="J11" i="7"/>
  <c r="I11" i="7"/>
  <c r="CG10" i="7"/>
  <c r="CF10" i="7"/>
  <c r="CE10" i="7"/>
  <c r="CD10" i="7"/>
  <c r="CC10" i="7"/>
  <c r="CB10" i="7"/>
  <c r="CA10" i="7"/>
  <c r="BZ10" i="7"/>
  <c r="BY10" i="7"/>
  <c r="BX10" i="7"/>
  <c r="BW10" i="7"/>
  <c r="BV10" i="7"/>
  <c r="BH10" i="7" a="1"/>
  <c r="BF10" i="7"/>
  <c r="AM10" i="7"/>
  <c r="AL10" i="7"/>
  <c r="AI10" i="7" s="1"/>
  <c r="AK10" i="7"/>
  <c r="AJ10" i="7"/>
  <c r="AH10" i="7"/>
  <c r="AG10" i="7"/>
  <c r="O10" i="7"/>
  <c r="N10" i="7"/>
  <c r="K10" i="7" s="1"/>
  <c r="M10" i="7"/>
  <c r="L10" i="7"/>
  <c r="J10" i="7"/>
  <c r="I10" i="7"/>
  <c r="CG9" i="7"/>
  <c r="CF9" i="7"/>
  <c r="CE9" i="7"/>
  <c r="CD9" i="7"/>
  <c r="CC9" i="7"/>
  <c r="CB9" i="7"/>
  <c r="CA9" i="7"/>
  <c r="BZ9" i="7"/>
  <c r="BY9" i="7"/>
  <c r="BX9" i="7"/>
  <c r="BW9" i="7"/>
  <c r="BV9" i="7"/>
  <c r="BF9" i="7"/>
  <c r="AM9" i="7"/>
  <c r="AL9" i="7"/>
  <c r="AK9" i="7"/>
  <c r="AJ9" i="7"/>
  <c r="AH9" i="7"/>
  <c r="AG9" i="7"/>
  <c r="O9" i="7"/>
  <c r="N9" i="7"/>
  <c r="K9" i="7" s="1"/>
  <c r="M9" i="7"/>
  <c r="L9" i="7"/>
  <c r="J9" i="7"/>
  <c r="I9" i="7"/>
  <c r="CG8" i="7"/>
  <c r="CF8" i="7"/>
  <c r="CE8" i="7"/>
  <c r="CD8" i="7"/>
  <c r="CC8" i="7"/>
  <c r="CB8" i="7"/>
  <c r="CA8" i="7"/>
  <c r="BZ8" i="7"/>
  <c r="BY8" i="7"/>
  <c r="BX8" i="7"/>
  <c r="BW8" i="7"/>
  <c r="BV8" i="7"/>
  <c r="BF8" i="7"/>
  <c r="AM8" i="7"/>
  <c r="AL8" i="7"/>
  <c r="AI8" i="7" s="1"/>
  <c r="AK8" i="7"/>
  <c r="AJ8" i="7"/>
  <c r="AH8" i="7"/>
  <c r="AG8" i="7"/>
  <c r="O8" i="7"/>
  <c r="N8" i="7"/>
  <c r="K8" i="7" s="1"/>
  <c r="M8" i="7"/>
  <c r="L8" i="7"/>
  <c r="J8" i="7"/>
  <c r="I8" i="7"/>
  <c r="CG7" i="7"/>
  <c r="CF7" i="7"/>
  <c r="CE7" i="7"/>
  <c r="CD7" i="7"/>
  <c r="CC7" i="7"/>
  <c r="CB7" i="7"/>
  <c r="CA7" i="7"/>
  <c r="BZ7" i="7"/>
  <c r="BY7" i="7"/>
  <c r="BX7" i="7"/>
  <c r="BW7" i="7"/>
  <c r="BV7" i="7"/>
  <c r="BF7" i="7"/>
  <c r="AM7" i="7"/>
  <c r="AL7" i="7"/>
  <c r="AI7" i="7" s="1"/>
  <c r="AK7" i="7"/>
  <c r="AJ7" i="7"/>
  <c r="AH7" i="7"/>
  <c r="AG7" i="7"/>
  <c r="O7" i="7"/>
  <c r="N7" i="7"/>
  <c r="K7" i="7" s="1"/>
  <c r="M7" i="7"/>
  <c r="L7" i="7"/>
  <c r="J7" i="7"/>
  <c r="I7" i="7"/>
  <c r="CG6" i="7"/>
  <c r="CF6" i="7"/>
  <c r="CE6" i="7"/>
  <c r="CD6" i="7"/>
  <c r="CC6" i="7"/>
  <c r="CB6" i="7"/>
  <c r="CA6" i="7"/>
  <c r="BZ6" i="7"/>
  <c r="BY6" i="7"/>
  <c r="BX6" i="7"/>
  <c r="BW6" i="7"/>
  <c r="BV6" i="7"/>
  <c r="BF6" i="7"/>
  <c r="AM6" i="7"/>
  <c r="AL6" i="7"/>
  <c r="AI6" i="7" s="1"/>
  <c r="AK6" i="7"/>
  <c r="AJ6" i="7"/>
  <c r="AH6" i="7"/>
  <c r="AG6" i="7"/>
  <c r="O6" i="7"/>
  <c r="N6" i="7"/>
  <c r="M6" i="7"/>
  <c r="L6" i="7"/>
  <c r="K6" i="7"/>
  <c r="J6" i="7"/>
  <c r="I6" i="7"/>
  <c r="CG5" i="7"/>
  <c r="CF5" i="7"/>
  <c r="CE5" i="7"/>
  <c r="CD5" i="7"/>
  <c r="CC5" i="7"/>
  <c r="CB5" i="7"/>
  <c r="CA5" i="7"/>
  <c r="BZ5" i="7"/>
  <c r="BY5" i="7"/>
  <c r="BX5" i="7"/>
  <c r="BW5" i="7"/>
  <c r="BV5" i="7"/>
  <c r="BF5" i="7"/>
  <c r="AM5" i="7"/>
  <c r="AL5" i="7"/>
  <c r="BH5" i="7" s="1" a="1"/>
  <c r="AK5" i="7"/>
  <c r="AJ5" i="7"/>
  <c r="AH5" i="7"/>
  <c r="AG5" i="7"/>
  <c r="O5" i="7"/>
  <c r="N5" i="7"/>
  <c r="K5" i="7" s="1"/>
  <c r="M5" i="7"/>
  <c r="L5" i="7"/>
  <c r="J5" i="7"/>
  <c r="I5" i="7"/>
  <c r="AX19" i="6"/>
  <c r="AZ18" i="6"/>
  <c r="AZ19" i="6" s="1"/>
  <c r="AY18" i="6"/>
  <c r="AY19" i="6" s="1"/>
  <c r="AX18" i="6"/>
  <c r="AW18" i="6"/>
  <c r="AW19" i="6" s="1"/>
  <c r="C35" i="1" s="1"/>
  <c r="AC18" i="6"/>
  <c r="AB18" i="6"/>
  <c r="AA18" i="6"/>
  <c r="Z18" i="6"/>
  <c r="AZ16" i="6"/>
  <c r="AZ17" i="6" s="1"/>
  <c r="AY16" i="6"/>
  <c r="AY17" i="6" s="1"/>
  <c r="AX16" i="6"/>
  <c r="AX17" i="6" s="1"/>
  <c r="AW16" i="6"/>
  <c r="AW17" i="6" s="1"/>
  <c r="AC16" i="6"/>
  <c r="AB16" i="6"/>
  <c r="AA16" i="6"/>
  <c r="Z16" i="6"/>
  <c r="L15" i="6"/>
  <c r="AG13" i="6"/>
  <c r="BB13" i="6" s="1"/>
  <c r="BM11" i="6"/>
  <c r="BL11" i="6"/>
  <c r="BK11" i="6"/>
  <c r="BJ11" i="6"/>
  <c r="BI11" i="6"/>
  <c r="AL11" i="6"/>
  <c r="AK11" i="6"/>
  <c r="BF11" i="6" s="1"/>
  <c r="AJ11" i="6"/>
  <c r="BE11" i="6" s="1"/>
  <c r="AI11" i="6"/>
  <c r="BD11" i="6" s="1"/>
  <c r="AG11" i="6"/>
  <c r="BB11" i="6" s="1"/>
  <c r="AF11" i="6"/>
  <c r="AE11" i="6"/>
  <c r="O11" i="6"/>
  <c r="N11" i="6"/>
  <c r="M11" i="6"/>
  <c r="L11" i="6"/>
  <c r="K11" i="6"/>
  <c r="J11" i="6"/>
  <c r="I11" i="6"/>
  <c r="H11" i="6"/>
  <c r="BM10" i="6"/>
  <c r="BL10" i="6"/>
  <c r="BK10" i="6"/>
  <c r="BJ10" i="6"/>
  <c r="BI10" i="6"/>
  <c r="BC10" i="6"/>
  <c r="AL10" i="6"/>
  <c r="AK10" i="6"/>
  <c r="BF10" i="6" s="1"/>
  <c r="AJ10" i="6"/>
  <c r="BE10" i="6" s="1"/>
  <c r="AI10" i="6"/>
  <c r="AI14" i="6" s="1"/>
  <c r="AH10" i="6"/>
  <c r="AG10" i="6"/>
  <c r="BB10" i="6" s="1"/>
  <c r="AF10" i="6"/>
  <c r="AE10" i="6"/>
  <c r="O10" i="6"/>
  <c r="N10" i="6"/>
  <c r="M10" i="6"/>
  <c r="M14" i="6" s="1"/>
  <c r="L10" i="6"/>
  <c r="L14" i="6" s="1"/>
  <c r="K10" i="6"/>
  <c r="K14" i="6" s="1"/>
  <c r="J10" i="6"/>
  <c r="J14" i="6" s="1"/>
  <c r="I10" i="6"/>
  <c r="H10" i="6"/>
  <c r="BM9" i="6"/>
  <c r="BL9" i="6"/>
  <c r="BK9" i="6"/>
  <c r="BJ9" i="6"/>
  <c r="BI9" i="6"/>
  <c r="BB9" i="6"/>
  <c r="AL9" i="6"/>
  <c r="AK9" i="6"/>
  <c r="AJ9" i="6"/>
  <c r="AI9" i="6"/>
  <c r="AI13" i="6" s="1"/>
  <c r="AG9" i="6"/>
  <c r="AF9" i="6"/>
  <c r="AE9" i="6"/>
  <c r="O9" i="6"/>
  <c r="N9" i="6"/>
  <c r="K9" i="6" s="1"/>
  <c r="K13" i="6" s="1"/>
  <c r="M9" i="6"/>
  <c r="M13" i="6" s="1"/>
  <c r="L9" i="6"/>
  <c r="L13" i="6" s="1"/>
  <c r="J9" i="6"/>
  <c r="J13" i="6" s="1"/>
  <c r="I9" i="6"/>
  <c r="H9" i="6"/>
  <c r="BM8" i="6"/>
  <c r="BL8" i="6"/>
  <c r="BK8" i="6"/>
  <c r="BJ8" i="6"/>
  <c r="BI8" i="6"/>
  <c r="BB8" i="6"/>
  <c r="AL8" i="6"/>
  <c r="AK8" i="6"/>
  <c r="AH8" i="6" s="1"/>
  <c r="BC8" i="6" s="1"/>
  <c r="AJ8" i="6"/>
  <c r="BE8" i="6" s="1"/>
  <c r="AI8" i="6"/>
  <c r="BD8" i="6" s="1"/>
  <c r="AG8" i="6"/>
  <c r="AF8" i="6"/>
  <c r="AE8" i="6"/>
  <c r="O8" i="6"/>
  <c r="N8" i="6"/>
  <c r="K8" i="6" s="1"/>
  <c r="M8" i="6"/>
  <c r="L8" i="6"/>
  <c r="J8" i="6"/>
  <c r="I8" i="6"/>
  <c r="H8" i="6"/>
  <c r="BM7" i="6"/>
  <c r="BL7" i="6"/>
  <c r="BK7" i="6"/>
  <c r="BJ7" i="6"/>
  <c r="BI7" i="6"/>
  <c r="BF7" i="6"/>
  <c r="AL7" i="6"/>
  <c r="AK7" i="6"/>
  <c r="AH7" i="6" s="1"/>
  <c r="BC7" i="6" s="1"/>
  <c r="AJ7" i="6"/>
  <c r="AI7" i="6"/>
  <c r="BD7" i="6" s="1"/>
  <c r="AG7" i="6"/>
  <c r="BB7" i="6" s="1"/>
  <c r="AF7" i="6"/>
  <c r="AE7" i="6"/>
  <c r="O7" i="6"/>
  <c r="N7" i="6"/>
  <c r="K7" i="6" s="1"/>
  <c r="M7" i="6"/>
  <c r="L7" i="6"/>
  <c r="J7" i="6"/>
  <c r="I7" i="6"/>
  <c r="H7" i="6"/>
  <c r="BM6" i="6"/>
  <c r="BL6" i="6"/>
  <c r="BK6" i="6"/>
  <c r="BJ6" i="6"/>
  <c r="BI6" i="6"/>
  <c r="BB6" i="6"/>
  <c r="AL6" i="6"/>
  <c r="AK6" i="6"/>
  <c r="AH6" i="6" s="1"/>
  <c r="BC6" i="6" s="1"/>
  <c r="AJ6" i="6"/>
  <c r="AI6" i="6"/>
  <c r="BD6" i="6" s="1"/>
  <c r="AG6" i="6"/>
  <c r="AF6" i="6"/>
  <c r="AE6" i="6"/>
  <c r="O6" i="6"/>
  <c r="N6" i="6"/>
  <c r="K6" i="6" s="1"/>
  <c r="M6" i="6"/>
  <c r="L6" i="6"/>
  <c r="J6" i="6"/>
  <c r="I6" i="6"/>
  <c r="H6" i="6"/>
  <c r="BM5" i="6"/>
  <c r="BL5" i="6"/>
  <c r="BK5" i="6"/>
  <c r="BJ5" i="6"/>
  <c r="BI5" i="6"/>
  <c r="BF5" i="6"/>
  <c r="AL5" i="6"/>
  <c r="AK5" i="6"/>
  <c r="AH5" i="6" s="1"/>
  <c r="AJ5" i="6"/>
  <c r="AI5" i="6"/>
  <c r="AG5" i="6"/>
  <c r="AG12" i="6" s="1"/>
  <c r="AF5" i="6"/>
  <c r="AE5" i="6"/>
  <c r="O5" i="6"/>
  <c r="N5" i="6"/>
  <c r="K5" i="6" s="1"/>
  <c r="M5" i="6"/>
  <c r="L5" i="6"/>
  <c r="L12" i="6" s="1"/>
  <c r="J5" i="6"/>
  <c r="J12" i="6" s="1"/>
  <c r="I5" i="6"/>
  <c r="H5" i="6"/>
  <c r="AZ18" i="5"/>
  <c r="AZ19" i="5" s="1"/>
  <c r="AY18" i="5"/>
  <c r="AY19" i="5" s="1"/>
  <c r="AX18" i="5"/>
  <c r="AX19" i="5" s="1"/>
  <c r="AW18" i="5"/>
  <c r="AW19" i="5" s="1"/>
  <c r="AC18" i="5"/>
  <c r="AB18" i="5"/>
  <c r="AA18" i="5"/>
  <c r="Z18" i="5"/>
  <c r="AZ17" i="5"/>
  <c r="AZ16" i="5"/>
  <c r="AY16" i="5"/>
  <c r="AY17" i="5" s="1"/>
  <c r="AX16" i="5"/>
  <c r="AX17" i="5" s="1"/>
  <c r="AW16" i="5"/>
  <c r="AW17" i="5" s="1"/>
  <c r="AC16" i="5"/>
  <c r="AB16" i="5"/>
  <c r="AA16" i="5"/>
  <c r="Z16" i="5"/>
  <c r="M15" i="5"/>
  <c r="AI13" i="5"/>
  <c r="L13" i="5"/>
  <c r="M12" i="5"/>
  <c r="L12" i="5"/>
  <c r="BM11" i="5"/>
  <c r="BL11" i="5"/>
  <c r="BK11" i="5"/>
  <c r="BJ11" i="5"/>
  <c r="BI11" i="5"/>
  <c r="AL11" i="5"/>
  <c r="AK11" i="5"/>
  <c r="BG11" i="5" s="1" a="1"/>
  <c r="BG11" i="5" s="1"/>
  <c r="AJ11" i="5"/>
  <c r="BE11" i="5" s="1"/>
  <c r="AI11" i="5"/>
  <c r="BD11" i="5" s="1"/>
  <c r="AH11" i="5"/>
  <c r="AG11" i="5"/>
  <c r="BB11" i="5" s="1"/>
  <c r="AF11" i="5"/>
  <c r="AE11" i="5"/>
  <c r="O11" i="5"/>
  <c r="N11" i="5"/>
  <c r="M11" i="5"/>
  <c r="L11" i="5"/>
  <c r="K11" i="5"/>
  <c r="J11" i="5"/>
  <c r="I11" i="5"/>
  <c r="H11" i="5"/>
  <c r="BM10" i="5"/>
  <c r="BL10" i="5"/>
  <c r="BK10" i="5"/>
  <c r="BJ10" i="5"/>
  <c r="BI10" i="5"/>
  <c r="AL10" i="5"/>
  <c r="AK10" i="5"/>
  <c r="AJ10" i="5"/>
  <c r="AJ14" i="5" s="1"/>
  <c r="AI10" i="5"/>
  <c r="AH10" i="5"/>
  <c r="AG10" i="5"/>
  <c r="AF10" i="5"/>
  <c r="AE10" i="5"/>
  <c r="O10" i="5"/>
  <c r="N10" i="5"/>
  <c r="M10" i="5"/>
  <c r="M14" i="5" s="1"/>
  <c r="L10" i="5"/>
  <c r="L14" i="5" s="1"/>
  <c r="K10" i="5"/>
  <c r="K14" i="5" s="1"/>
  <c r="J10" i="5"/>
  <c r="J14" i="5" s="1"/>
  <c r="I10" i="5"/>
  <c r="H10" i="5"/>
  <c r="BM9" i="5"/>
  <c r="BL9" i="5"/>
  <c r="BK9" i="5"/>
  <c r="BJ9" i="5"/>
  <c r="BI9" i="5"/>
  <c r="AL9" i="5"/>
  <c r="AK9" i="5"/>
  <c r="AH9" i="5" s="1"/>
  <c r="AJ9" i="5"/>
  <c r="AJ13" i="5" s="1"/>
  <c r="AI9" i="5"/>
  <c r="BD9" i="5" s="1"/>
  <c r="AG9" i="5"/>
  <c r="AF9" i="5"/>
  <c r="AE9" i="5"/>
  <c r="O9" i="5"/>
  <c r="N9" i="5"/>
  <c r="M9" i="5"/>
  <c r="M13" i="5" s="1"/>
  <c r="L9" i="5"/>
  <c r="K9" i="5"/>
  <c r="K13" i="5" s="1"/>
  <c r="J9" i="5"/>
  <c r="J13" i="5" s="1"/>
  <c r="I9" i="5"/>
  <c r="H9" i="5"/>
  <c r="BM8" i="5"/>
  <c r="BL8" i="5"/>
  <c r="BK8" i="5"/>
  <c r="BJ8" i="5"/>
  <c r="BI8" i="5"/>
  <c r="AL8" i="5"/>
  <c r="AK8" i="5"/>
  <c r="AJ8" i="5"/>
  <c r="BE8" i="5" s="1"/>
  <c r="AI8" i="5"/>
  <c r="BD8" i="5" s="1"/>
  <c r="AH8" i="5"/>
  <c r="AG8" i="5"/>
  <c r="AF8" i="5"/>
  <c r="AE8" i="5"/>
  <c r="O8" i="5"/>
  <c r="N8" i="5"/>
  <c r="M8" i="5"/>
  <c r="L8" i="5"/>
  <c r="K8" i="5"/>
  <c r="J8" i="5"/>
  <c r="I8" i="5"/>
  <c r="H8" i="5"/>
  <c r="BM7" i="5"/>
  <c r="BL7" i="5"/>
  <c r="BK7" i="5"/>
  <c r="BJ7" i="5"/>
  <c r="BI7" i="5"/>
  <c r="AL7" i="5"/>
  <c r="AK7" i="5"/>
  <c r="AH7" i="5" s="1"/>
  <c r="AJ7" i="5"/>
  <c r="BE7" i="5" s="1"/>
  <c r="AI7" i="5"/>
  <c r="BD7" i="5" s="1"/>
  <c r="AG7" i="5"/>
  <c r="AF7" i="5"/>
  <c r="AE7" i="5"/>
  <c r="O7" i="5"/>
  <c r="N7" i="5"/>
  <c r="M7" i="5"/>
  <c r="L7" i="5"/>
  <c r="K7" i="5"/>
  <c r="J7" i="5"/>
  <c r="I7" i="5"/>
  <c r="H7" i="5"/>
  <c r="BM6" i="5"/>
  <c r="BL6" i="5"/>
  <c r="BK6" i="5"/>
  <c r="BJ6" i="5"/>
  <c r="BI6" i="5"/>
  <c r="AL6" i="5"/>
  <c r="AK6" i="5"/>
  <c r="AJ6" i="5"/>
  <c r="BE6" i="5" s="1"/>
  <c r="AI6" i="5"/>
  <c r="BD6" i="5" s="1"/>
  <c r="AH6" i="5"/>
  <c r="AG6" i="5"/>
  <c r="AF6" i="5"/>
  <c r="AE6" i="5"/>
  <c r="O6" i="5"/>
  <c r="N6" i="5"/>
  <c r="M6" i="5"/>
  <c r="L6" i="5"/>
  <c r="K6" i="5"/>
  <c r="J6" i="5"/>
  <c r="I6" i="5"/>
  <c r="H6" i="5"/>
  <c r="BM5" i="5"/>
  <c r="BL5" i="5"/>
  <c r="BK5" i="5"/>
  <c r="BJ5" i="5"/>
  <c r="BI5" i="5"/>
  <c r="AL5" i="5"/>
  <c r="AK5" i="5"/>
  <c r="AH5" i="5" s="1"/>
  <c r="AJ5" i="5"/>
  <c r="AJ15" i="5" s="1"/>
  <c r="BE15" i="5" s="1"/>
  <c r="D22" i="1" s="1"/>
  <c r="AI5" i="5"/>
  <c r="BD5" i="5" s="1"/>
  <c r="AG5" i="5"/>
  <c r="AG15" i="5" s="1"/>
  <c r="AF5" i="5"/>
  <c r="AE5" i="5"/>
  <c r="O5" i="5"/>
  <c r="N5" i="5"/>
  <c r="M5" i="5"/>
  <c r="L5" i="5"/>
  <c r="L15" i="5" s="1"/>
  <c r="K5" i="5"/>
  <c r="J5" i="5"/>
  <c r="J12" i="5" s="1"/>
  <c r="I5" i="5"/>
  <c r="H5" i="5"/>
  <c r="BC46" i="3"/>
  <c r="BB46" i="3"/>
  <c r="BA46" i="3"/>
  <c r="AZ46" i="3"/>
  <c r="AE46" i="3"/>
  <c r="AD46" i="3"/>
  <c r="AC46" i="3"/>
  <c r="AB46" i="3"/>
  <c r="BC44" i="3"/>
  <c r="BB44" i="3"/>
  <c r="BA44" i="3"/>
  <c r="AZ44" i="3"/>
  <c r="AE44" i="3"/>
  <c r="AD44" i="3"/>
  <c r="AC44" i="3"/>
  <c r="AB44" i="3"/>
  <c r="CG39" i="3"/>
  <c r="CF39" i="3"/>
  <c r="CE39" i="3"/>
  <c r="CD39" i="3"/>
  <c r="CC39" i="3"/>
  <c r="CB39" i="3"/>
  <c r="CA39" i="3"/>
  <c r="BZ39" i="3"/>
  <c r="BY39" i="3"/>
  <c r="BX39" i="3"/>
  <c r="BW39" i="3"/>
  <c r="BV39" i="3"/>
  <c r="BF39" i="3"/>
  <c r="AM39" i="3"/>
  <c r="AL39" i="3"/>
  <c r="AK39" i="3"/>
  <c r="AJ39" i="3"/>
  <c r="AH39" i="3"/>
  <c r="AG39" i="3"/>
  <c r="O39" i="3"/>
  <c r="N39" i="3"/>
  <c r="M39" i="3"/>
  <c r="L39" i="3"/>
  <c r="K39" i="3"/>
  <c r="J39" i="3"/>
  <c r="I39" i="3"/>
  <c r="CG38" i="3"/>
  <c r="CF38" i="3"/>
  <c r="CE38" i="3"/>
  <c r="CD38" i="3"/>
  <c r="CC38" i="3"/>
  <c r="CB38" i="3"/>
  <c r="CA38" i="3"/>
  <c r="BZ38" i="3"/>
  <c r="BY38" i="3"/>
  <c r="BX38" i="3"/>
  <c r="BW38" i="3"/>
  <c r="BV38" i="3"/>
  <c r="BF38" i="3"/>
  <c r="AM38" i="3"/>
  <c r="AL38" i="3"/>
  <c r="AI38" i="3" s="1"/>
  <c r="AK38" i="3"/>
  <c r="AJ38" i="3"/>
  <c r="AH38" i="3"/>
  <c r="AG38" i="3"/>
  <c r="O38" i="3"/>
  <c r="N38" i="3"/>
  <c r="K38" i="3" s="1"/>
  <c r="M38" i="3"/>
  <c r="L38" i="3"/>
  <c r="J38" i="3"/>
  <c r="I38" i="3"/>
  <c r="CG37" i="3"/>
  <c r="CF37" i="3"/>
  <c r="CE37" i="3"/>
  <c r="CD37" i="3"/>
  <c r="CC37" i="3"/>
  <c r="CB37" i="3"/>
  <c r="CA37" i="3"/>
  <c r="BZ37" i="3"/>
  <c r="BY37" i="3"/>
  <c r="BX37" i="3"/>
  <c r="BW37" i="3"/>
  <c r="BV37" i="3"/>
  <c r="BF37" i="3"/>
  <c r="AM37" i="3"/>
  <c r="AL37" i="3"/>
  <c r="AI37" i="3" s="1"/>
  <c r="AK37" i="3"/>
  <c r="AJ37" i="3"/>
  <c r="AH37" i="3"/>
  <c r="AG37" i="3"/>
  <c r="O37" i="3"/>
  <c r="N37" i="3"/>
  <c r="K37" i="3" s="1"/>
  <c r="M37" i="3"/>
  <c r="L37" i="3"/>
  <c r="J37" i="3"/>
  <c r="I37" i="3"/>
  <c r="CG36" i="3"/>
  <c r="CF36" i="3"/>
  <c r="CE36" i="3"/>
  <c r="CD36" i="3"/>
  <c r="CC36" i="3"/>
  <c r="CB36" i="3"/>
  <c r="CA36" i="3"/>
  <c r="BZ36" i="3"/>
  <c r="BY36" i="3"/>
  <c r="BX36" i="3"/>
  <c r="BW36" i="3"/>
  <c r="BV36" i="3"/>
  <c r="BF36" i="3"/>
  <c r="AM36" i="3"/>
  <c r="AL36" i="3"/>
  <c r="AK36" i="3"/>
  <c r="AJ36" i="3"/>
  <c r="AH36" i="3"/>
  <c r="AG36" i="3"/>
  <c r="O36" i="3"/>
  <c r="N36" i="3"/>
  <c r="K36" i="3" s="1"/>
  <c r="M36" i="3"/>
  <c r="L36" i="3"/>
  <c r="J36" i="3"/>
  <c r="I36" i="3"/>
  <c r="CG35" i="3"/>
  <c r="CF35" i="3"/>
  <c r="CE35" i="3"/>
  <c r="CD35" i="3"/>
  <c r="CC35" i="3"/>
  <c r="CB35" i="3"/>
  <c r="CA35" i="3"/>
  <c r="BZ35" i="3"/>
  <c r="BY35" i="3"/>
  <c r="BX35" i="3"/>
  <c r="BW35" i="3"/>
  <c r="BV35" i="3"/>
  <c r="BH35" i="3" a="1"/>
  <c r="BF35" i="3"/>
  <c r="AM35" i="3"/>
  <c r="AL35" i="3"/>
  <c r="BG35" i="3" s="1"/>
  <c r="AK35" i="3"/>
  <c r="AJ35" i="3"/>
  <c r="AH35" i="3"/>
  <c r="AG35" i="3"/>
  <c r="O35" i="3"/>
  <c r="N35" i="3"/>
  <c r="M35" i="3"/>
  <c r="L35" i="3"/>
  <c r="K35" i="3"/>
  <c r="J35" i="3"/>
  <c r="I35" i="3"/>
  <c r="CG34" i="3"/>
  <c r="CF34" i="3"/>
  <c r="CE34" i="3"/>
  <c r="CD34" i="3"/>
  <c r="CC34" i="3"/>
  <c r="CB34" i="3"/>
  <c r="CA34" i="3"/>
  <c r="BZ34" i="3"/>
  <c r="BY34" i="3"/>
  <c r="BX34" i="3"/>
  <c r="BW34" i="3"/>
  <c r="BV34" i="3"/>
  <c r="BF34" i="3"/>
  <c r="AM34" i="3"/>
  <c r="AL34" i="3"/>
  <c r="AK34" i="3"/>
  <c r="AJ34" i="3"/>
  <c r="AH34" i="3"/>
  <c r="AG34" i="3"/>
  <c r="O34" i="3"/>
  <c r="N34" i="3"/>
  <c r="K34" i="3" s="1"/>
  <c r="M34" i="3"/>
  <c r="L34" i="3"/>
  <c r="J34" i="3"/>
  <c r="I34" i="3"/>
  <c r="CG33" i="3"/>
  <c r="CF33" i="3"/>
  <c r="CE33" i="3"/>
  <c r="CD33" i="3"/>
  <c r="CC33" i="3"/>
  <c r="CB33" i="3"/>
  <c r="CA33" i="3"/>
  <c r="BZ33" i="3"/>
  <c r="BY33" i="3"/>
  <c r="BX33" i="3"/>
  <c r="BW33" i="3"/>
  <c r="BV33" i="3"/>
  <c r="BF33" i="3"/>
  <c r="AM33" i="3"/>
  <c r="AL33" i="3"/>
  <c r="BH30" i="3" s="1" a="1"/>
  <c r="AK33" i="3"/>
  <c r="AJ33" i="3"/>
  <c r="AH33" i="3"/>
  <c r="AG33" i="3"/>
  <c r="O33" i="3"/>
  <c r="N33" i="3"/>
  <c r="K33" i="3" s="1"/>
  <c r="M33" i="3"/>
  <c r="L33" i="3"/>
  <c r="J33" i="3"/>
  <c r="I33" i="3"/>
  <c r="CG32" i="3"/>
  <c r="CF32" i="3"/>
  <c r="CE32" i="3"/>
  <c r="CD32" i="3"/>
  <c r="CC32" i="3"/>
  <c r="CB32" i="3"/>
  <c r="CA32" i="3"/>
  <c r="BZ32" i="3"/>
  <c r="BY32" i="3"/>
  <c r="BX32" i="3"/>
  <c r="BW32" i="3"/>
  <c r="BV32" i="3"/>
  <c r="BF32" i="3"/>
  <c r="AM32" i="3"/>
  <c r="AL32" i="3"/>
  <c r="AI32" i="3" s="1"/>
  <c r="AK32" i="3"/>
  <c r="AJ32" i="3"/>
  <c r="AH32" i="3"/>
  <c r="AG32" i="3"/>
  <c r="O32" i="3"/>
  <c r="N32" i="3"/>
  <c r="K32" i="3" s="1"/>
  <c r="M32" i="3"/>
  <c r="L32" i="3"/>
  <c r="J32" i="3"/>
  <c r="I32" i="3"/>
  <c r="CG31" i="3"/>
  <c r="CF31" i="3"/>
  <c r="CE31" i="3"/>
  <c r="CD31" i="3"/>
  <c r="CC31" i="3"/>
  <c r="CB31" i="3"/>
  <c r="CA31" i="3"/>
  <c r="BZ31" i="3"/>
  <c r="BY31" i="3"/>
  <c r="BX31" i="3"/>
  <c r="BW31" i="3"/>
  <c r="BV31" i="3"/>
  <c r="BF31" i="3"/>
  <c r="AM31" i="3"/>
  <c r="AL31" i="3"/>
  <c r="AK31" i="3"/>
  <c r="AJ31" i="3"/>
  <c r="AH31" i="3"/>
  <c r="AG31" i="3"/>
  <c r="O31" i="3"/>
  <c r="N31" i="3"/>
  <c r="K31" i="3" s="1"/>
  <c r="M31" i="3"/>
  <c r="L31" i="3"/>
  <c r="J31" i="3"/>
  <c r="I31" i="3"/>
  <c r="CG30" i="3"/>
  <c r="CF30" i="3"/>
  <c r="CE30" i="3"/>
  <c r="CD30" i="3"/>
  <c r="CC30" i="3"/>
  <c r="CB30" i="3"/>
  <c r="CA30" i="3"/>
  <c r="BZ30" i="3"/>
  <c r="BY30" i="3"/>
  <c r="BX30" i="3"/>
  <c r="BW30" i="3"/>
  <c r="BV30" i="3"/>
  <c r="BF30" i="3"/>
  <c r="AM30" i="3"/>
  <c r="AL30" i="3"/>
  <c r="AI30" i="3" s="1"/>
  <c r="AK30" i="3"/>
  <c r="AJ30" i="3"/>
  <c r="AH30" i="3"/>
  <c r="AG30" i="3"/>
  <c r="O30" i="3"/>
  <c r="N30" i="3"/>
  <c r="K30" i="3" s="1"/>
  <c r="M30" i="3"/>
  <c r="L30" i="3"/>
  <c r="J30" i="3"/>
  <c r="I30" i="3"/>
  <c r="CG29" i="3"/>
  <c r="CF29" i="3"/>
  <c r="CE29" i="3"/>
  <c r="CD29" i="3"/>
  <c r="CC29" i="3"/>
  <c r="CB29" i="3"/>
  <c r="CA29" i="3"/>
  <c r="BZ29" i="3"/>
  <c r="BY29" i="3"/>
  <c r="BX29" i="3"/>
  <c r="BW29" i="3"/>
  <c r="BV29" i="3"/>
  <c r="BF29" i="3"/>
  <c r="AM29" i="3"/>
  <c r="AL29" i="3"/>
  <c r="AI29" i="3" s="1"/>
  <c r="AK29" i="3"/>
  <c r="AJ29" i="3"/>
  <c r="AH29" i="3"/>
  <c r="AG29" i="3"/>
  <c r="O29" i="3"/>
  <c r="N29" i="3"/>
  <c r="K29" i="3" s="1"/>
  <c r="M29" i="3"/>
  <c r="L29" i="3"/>
  <c r="J29" i="3"/>
  <c r="I29" i="3"/>
  <c r="CG28" i="3"/>
  <c r="CF28" i="3"/>
  <c r="CE28" i="3"/>
  <c r="CD28" i="3"/>
  <c r="CC28" i="3"/>
  <c r="CB28" i="3"/>
  <c r="CA28" i="3"/>
  <c r="BZ28" i="3"/>
  <c r="BY28" i="3"/>
  <c r="BX28" i="3"/>
  <c r="BW28" i="3"/>
  <c r="BV28" i="3"/>
  <c r="BF28" i="3"/>
  <c r="AM28" i="3"/>
  <c r="AL28" i="3"/>
  <c r="AI28" i="3" s="1"/>
  <c r="AK28" i="3"/>
  <c r="AJ28" i="3"/>
  <c r="AH28" i="3"/>
  <c r="AG28" i="3"/>
  <c r="O28" i="3"/>
  <c r="N28" i="3"/>
  <c r="K28" i="3" s="1"/>
  <c r="M28" i="3"/>
  <c r="L28" i="3"/>
  <c r="J28" i="3"/>
  <c r="I28" i="3"/>
  <c r="CG27" i="3"/>
  <c r="CF27" i="3"/>
  <c r="CE27" i="3"/>
  <c r="CD27" i="3"/>
  <c r="CC27" i="3"/>
  <c r="CB27" i="3"/>
  <c r="CA27" i="3"/>
  <c r="BZ27" i="3"/>
  <c r="BY27" i="3"/>
  <c r="BX27" i="3"/>
  <c r="BW27" i="3"/>
  <c r="BV27" i="3"/>
  <c r="BF27" i="3"/>
  <c r="AM27" i="3"/>
  <c r="AL27" i="3"/>
  <c r="BG27" i="3" s="1"/>
  <c r="AK27" i="3"/>
  <c r="AJ27" i="3"/>
  <c r="AH27" i="3"/>
  <c r="AG27" i="3"/>
  <c r="O27" i="3"/>
  <c r="N27" i="3"/>
  <c r="K27" i="3" s="1"/>
  <c r="M27" i="3"/>
  <c r="L27" i="3"/>
  <c r="J27" i="3"/>
  <c r="I27" i="3"/>
  <c r="CG26" i="3"/>
  <c r="CF26" i="3"/>
  <c r="CE26" i="3"/>
  <c r="CD26" i="3"/>
  <c r="CC26" i="3"/>
  <c r="CB26" i="3"/>
  <c r="CA26" i="3"/>
  <c r="BZ26" i="3"/>
  <c r="BY26" i="3"/>
  <c r="BX26" i="3"/>
  <c r="BW26" i="3"/>
  <c r="BV26" i="3"/>
  <c r="BF26" i="3"/>
  <c r="AM26" i="3"/>
  <c r="AL26" i="3"/>
  <c r="AI26" i="3" s="1"/>
  <c r="AK26" i="3"/>
  <c r="AJ26" i="3"/>
  <c r="AH26" i="3"/>
  <c r="AG26" i="3"/>
  <c r="O26" i="3"/>
  <c r="N26" i="3"/>
  <c r="K26" i="3" s="1"/>
  <c r="M26" i="3"/>
  <c r="L26" i="3"/>
  <c r="J26" i="3"/>
  <c r="I26" i="3"/>
  <c r="CG25" i="3"/>
  <c r="CF25" i="3"/>
  <c r="CE25" i="3"/>
  <c r="CD25" i="3"/>
  <c r="CC25" i="3"/>
  <c r="CB25" i="3"/>
  <c r="CA25" i="3"/>
  <c r="BZ25" i="3"/>
  <c r="BY25" i="3"/>
  <c r="BX25" i="3"/>
  <c r="BW25" i="3"/>
  <c r="BV25" i="3"/>
  <c r="BF25" i="3"/>
  <c r="AM25" i="3"/>
  <c r="AL25" i="3"/>
  <c r="AK25" i="3"/>
  <c r="AJ25" i="3"/>
  <c r="AH25" i="3"/>
  <c r="AG25" i="3"/>
  <c r="O25" i="3"/>
  <c r="N25" i="3"/>
  <c r="K25" i="3" s="1"/>
  <c r="M25" i="3"/>
  <c r="L25" i="3"/>
  <c r="J25" i="3"/>
  <c r="I25" i="3"/>
  <c r="CG24" i="3"/>
  <c r="CF24" i="3"/>
  <c r="CE24" i="3"/>
  <c r="CD24" i="3"/>
  <c r="CC24" i="3"/>
  <c r="CB24" i="3"/>
  <c r="CA24" i="3"/>
  <c r="BZ24" i="3"/>
  <c r="BY24" i="3"/>
  <c r="BX24" i="3"/>
  <c r="BW24" i="3"/>
  <c r="BV24" i="3"/>
  <c r="BF24" i="3"/>
  <c r="AM24" i="3"/>
  <c r="AL24" i="3"/>
  <c r="AK24" i="3"/>
  <c r="AJ24" i="3"/>
  <c r="AH24" i="3"/>
  <c r="AG24" i="3"/>
  <c r="O24" i="3"/>
  <c r="N24" i="3"/>
  <c r="K24" i="3" s="1"/>
  <c r="M24" i="3"/>
  <c r="L24" i="3"/>
  <c r="J24" i="3"/>
  <c r="I24" i="3"/>
  <c r="CG23" i="3"/>
  <c r="CF23" i="3"/>
  <c r="CE23" i="3"/>
  <c r="CD23" i="3"/>
  <c r="CC23" i="3"/>
  <c r="CB23" i="3"/>
  <c r="CA23" i="3"/>
  <c r="BZ23" i="3"/>
  <c r="BY23" i="3"/>
  <c r="BX23" i="3"/>
  <c r="BW23" i="3"/>
  <c r="BV23" i="3"/>
  <c r="BF23" i="3"/>
  <c r="AM23" i="3"/>
  <c r="AL23" i="3"/>
  <c r="AI23" i="3" s="1"/>
  <c r="AK23" i="3"/>
  <c r="AJ23" i="3"/>
  <c r="AH23" i="3"/>
  <c r="AG23" i="3"/>
  <c r="O23" i="3"/>
  <c r="N23" i="3"/>
  <c r="K23" i="3" s="1"/>
  <c r="M23" i="3"/>
  <c r="L23" i="3"/>
  <c r="J23" i="3"/>
  <c r="I23" i="3"/>
  <c r="CG22" i="3"/>
  <c r="CF22" i="3"/>
  <c r="CE22" i="3"/>
  <c r="CD22" i="3"/>
  <c r="CC22" i="3"/>
  <c r="CB22" i="3"/>
  <c r="CA22" i="3"/>
  <c r="BZ22" i="3"/>
  <c r="BY22" i="3"/>
  <c r="BX22" i="3"/>
  <c r="BW22" i="3"/>
  <c r="BV22" i="3"/>
  <c r="BF22" i="3"/>
  <c r="AM22" i="3"/>
  <c r="AL22" i="3"/>
  <c r="AI22" i="3" s="1"/>
  <c r="AK22" i="3"/>
  <c r="AJ22" i="3"/>
  <c r="AH22" i="3"/>
  <c r="AG22" i="3"/>
  <c r="O22" i="3"/>
  <c r="N22" i="3"/>
  <c r="M22" i="3"/>
  <c r="L22" i="3"/>
  <c r="K22" i="3"/>
  <c r="J22" i="3"/>
  <c r="I22" i="3"/>
  <c r="CG21" i="3"/>
  <c r="CF21" i="3"/>
  <c r="CE21" i="3"/>
  <c r="CD21" i="3"/>
  <c r="CC21" i="3"/>
  <c r="CB21" i="3"/>
  <c r="CA21" i="3"/>
  <c r="BZ21" i="3"/>
  <c r="BY21" i="3"/>
  <c r="BX21" i="3"/>
  <c r="BW21" i="3"/>
  <c r="BV21" i="3"/>
  <c r="BF21" i="3"/>
  <c r="AM21" i="3"/>
  <c r="AL21" i="3"/>
  <c r="AI21" i="3" s="1"/>
  <c r="AK21" i="3"/>
  <c r="AJ21" i="3"/>
  <c r="AH21" i="3"/>
  <c r="AG21" i="3"/>
  <c r="O21" i="3"/>
  <c r="N21" i="3"/>
  <c r="K21" i="3" s="1"/>
  <c r="M21" i="3"/>
  <c r="L21" i="3"/>
  <c r="J21" i="3"/>
  <c r="I21" i="3"/>
  <c r="CG20" i="3"/>
  <c r="CF20" i="3"/>
  <c r="CE20" i="3"/>
  <c r="CD20" i="3"/>
  <c r="CC20" i="3"/>
  <c r="CB20" i="3"/>
  <c r="CA20" i="3"/>
  <c r="BZ20" i="3"/>
  <c r="BY20" i="3"/>
  <c r="BX20" i="3"/>
  <c r="BW20" i="3"/>
  <c r="BV20" i="3"/>
  <c r="BF20" i="3"/>
  <c r="AM20" i="3"/>
  <c r="AL20" i="3"/>
  <c r="BG20" i="3" s="1"/>
  <c r="AK20" i="3"/>
  <c r="AJ20" i="3"/>
  <c r="AH20" i="3"/>
  <c r="AG20" i="3"/>
  <c r="O20" i="3"/>
  <c r="N20" i="3"/>
  <c r="M20" i="3"/>
  <c r="L20" i="3"/>
  <c r="J20" i="3"/>
  <c r="I20" i="3"/>
  <c r="CG19" i="3"/>
  <c r="CF19" i="3"/>
  <c r="CE19" i="3"/>
  <c r="CD19" i="3"/>
  <c r="CC19" i="3"/>
  <c r="CB19" i="3"/>
  <c r="CA19" i="3"/>
  <c r="BZ19" i="3"/>
  <c r="BY19" i="3"/>
  <c r="BX19" i="3"/>
  <c r="BW19" i="3"/>
  <c r="BV19" i="3"/>
  <c r="BF19" i="3"/>
  <c r="AM19" i="3"/>
  <c r="AL19" i="3"/>
  <c r="AK19" i="3"/>
  <c r="AJ19" i="3"/>
  <c r="AI19" i="3"/>
  <c r="AH19" i="3"/>
  <c r="AG19" i="3"/>
  <c r="O19" i="3"/>
  <c r="N19" i="3"/>
  <c r="K19" i="3" s="1"/>
  <c r="M19" i="3"/>
  <c r="L19" i="3"/>
  <c r="J19" i="3"/>
  <c r="I19" i="3"/>
  <c r="CG18" i="3"/>
  <c r="CF18" i="3"/>
  <c r="CE18" i="3"/>
  <c r="CD18" i="3"/>
  <c r="CC18" i="3"/>
  <c r="CB18" i="3"/>
  <c r="CA18" i="3"/>
  <c r="BZ18" i="3"/>
  <c r="BY18" i="3"/>
  <c r="BX18" i="3"/>
  <c r="BW18" i="3"/>
  <c r="BV18" i="3"/>
  <c r="BF18" i="3"/>
  <c r="AM18" i="3"/>
  <c r="AL18" i="3"/>
  <c r="AI18" i="3" s="1"/>
  <c r="AK18" i="3"/>
  <c r="AJ18" i="3"/>
  <c r="AH18" i="3"/>
  <c r="AG18" i="3"/>
  <c r="O18" i="3"/>
  <c r="N18" i="3"/>
  <c r="K18" i="3" s="1"/>
  <c r="M18" i="3"/>
  <c r="L18" i="3"/>
  <c r="J18" i="3"/>
  <c r="I18" i="3"/>
  <c r="CG17" i="3"/>
  <c r="CF17" i="3"/>
  <c r="CE17" i="3"/>
  <c r="CD17" i="3"/>
  <c r="CC17" i="3"/>
  <c r="CB17" i="3"/>
  <c r="CA17" i="3"/>
  <c r="BZ17" i="3"/>
  <c r="BY17" i="3"/>
  <c r="BX17" i="3"/>
  <c r="BW17" i="3"/>
  <c r="BV17" i="3"/>
  <c r="BF17" i="3"/>
  <c r="AM17" i="3"/>
  <c r="AL17" i="3"/>
  <c r="AI17" i="3" s="1"/>
  <c r="AK17" i="3"/>
  <c r="AJ17" i="3"/>
  <c r="AH17" i="3"/>
  <c r="AG17" i="3"/>
  <c r="O17" i="3"/>
  <c r="N17" i="3"/>
  <c r="K17" i="3" s="1"/>
  <c r="M17" i="3"/>
  <c r="L17" i="3"/>
  <c r="J17" i="3"/>
  <c r="I17" i="3"/>
  <c r="CG16" i="3"/>
  <c r="CF16" i="3"/>
  <c r="CE16" i="3"/>
  <c r="CD16" i="3"/>
  <c r="CC16" i="3"/>
  <c r="CB16" i="3"/>
  <c r="CA16" i="3"/>
  <c r="BZ16" i="3"/>
  <c r="BY16" i="3"/>
  <c r="BX16" i="3"/>
  <c r="BW16" i="3"/>
  <c r="BV16" i="3"/>
  <c r="BF16" i="3"/>
  <c r="AM16" i="3"/>
  <c r="AL16" i="3"/>
  <c r="AI16" i="3" s="1"/>
  <c r="AK16" i="3"/>
  <c r="AJ16" i="3"/>
  <c r="AH16" i="3"/>
  <c r="AG16" i="3"/>
  <c r="O16" i="3"/>
  <c r="N16" i="3"/>
  <c r="K16" i="3" s="1"/>
  <c r="M16" i="3"/>
  <c r="L16" i="3"/>
  <c r="J16" i="3"/>
  <c r="I16" i="3"/>
  <c r="CG15" i="3"/>
  <c r="CF15" i="3"/>
  <c r="CE15" i="3"/>
  <c r="CD15" i="3"/>
  <c r="CC15" i="3"/>
  <c r="CB15" i="3"/>
  <c r="CA15" i="3"/>
  <c r="BZ15" i="3"/>
  <c r="BY15" i="3"/>
  <c r="BX15" i="3"/>
  <c r="BW15" i="3"/>
  <c r="BV15" i="3"/>
  <c r="BH15" i="3" a="1"/>
  <c r="BF15" i="3"/>
  <c r="AM15" i="3"/>
  <c r="AL15" i="3"/>
  <c r="BG15" i="3" s="1"/>
  <c r="AK15" i="3"/>
  <c r="AJ15" i="3"/>
  <c r="AH15" i="3"/>
  <c r="AG15" i="3"/>
  <c r="O15" i="3"/>
  <c r="N15" i="3"/>
  <c r="K15" i="3" s="1"/>
  <c r="M15" i="3"/>
  <c r="L15" i="3"/>
  <c r="J15" i="3"/>
  <c r="I15" i="3"/>
  <c r="CG14" i="3"/>
  <c r="CF14" i="3"/>
  <c r="CE14" i="3"/>
  <c r="CD14" i="3"/>
  <c r="CC14" i="3"/>
  <c r="CB14" i="3"/>
  <c r="CA14" i="3"/>
  <c r="BZ14" i="3"/>
  <c r="BY14" i="3"/>
  <c r="BX14" i="3"/>
  <c r="BW14" i="3"/>
  <c r="BV14" i="3"/>
  <c r="BF14" i="3"/>
  <c r="AM14" i="3"/>
  <c r="AL14" i="3"/>
  <c r="AI14" i="3" s="1"/>
  <c r="AK14" i="3"/>
  <c r="AJ14" i="3"/>
  <c r="AH14" i="3"/>
  <c r="AG14" i="3"/>
  <c r="O14" i="3"/>
  <c r="N14" i="3"/>
  <c r="K14" i="3" s="1"/>
  <c r="M14" i="3"/>
  <c r="L14" i="3"/>
  <c r="J14" i="3"/>
  <c r="I14" i="3"/>
  <c r="CG13" i="3"/>
  <c r="CF13" i="3"/>
  <c r="CE13" i="3"/>
  <c r="CD13" i="3"/>
  <c r="CC13" i="3"/>
  <c r="CB13" i="3"/>
  <c r="CA13" i="3"/>
  <c r="BZ13" i="3"/>
  <c r="BY13" i="3"/>
  <c r="BX13" i="3"/>
  <c r="BW13" i="3"/>
  <c r="BV13" i="3"/>
  <c r="BF13" i="3"/>
  <c r="AM13" i="3"/>
  <c r="AL13" i="3"/>
  <c r="AI13" i="3" s="1"/>
  <c r="AK13" i="3"/>
  <c r="AJ13" i="3"/>
  <c r="AH13" i="3"/>
  <c r="AG13" i="3"/>
  <c r="O13" i="3"/>
  <c r="N13" i="3"/>
  <c r="K13" i="3" s="1"/>
  <c r="M13" i="3"/>
  <c r="L13" i="3"/>
  <c r="J13" i="3"/>
  <c r="I13" i="3"/>
  <c r="CG12" i="3"/>
  <c r="CF12" i="3"/>
  <c r="CE12" i="3"/>
  <c r="CD12" i="3"/>
  <c r="CC12" i="3"/>
  <c r="CB12" i="3"/>
  <c r="CA12" i="3"/>
  <c r="BZ12" i="3"/>
  <c r="BY12" i="3"/>
  <c r="BX12" i="3"/>
  <c r="BW12" i="3"/>
  <c r="BV12" i="3"/>
  <c r="BF12" i="3"/>
  <c r="AM12" i="3"/>
  <c r="AL12" i="3"/>
  <c r="AK12" i="3"/>
  <c r="AJ12" i="3"/>
  <c r="AH12" i="3"/>
  <c r="AG12" i="3"/>
  <c r="O12" i="3"/>
  <c r="N12" i="3"/>
  <c r="BH10" i="3" s="1" a="1"/>
  <c r="M12" i="3"/>
  <c r="L12" i="3"/>
  <c r="J12" i="3"/>
  <c r="I12" i="3"/>
  <c r="CG11" i="3"/>
  <c r="CF11" i="3"/>
  <c r="CE11" i="3"/>
  <c r="CD11" i="3"/>
  <c r="CC11" i="3"/>
  <c r="CB11" i="3"/>
  <c r="CA11" i="3"/>
  <c r="BZ11" i="3"/>
  <c r="BY11" i="3"/>
  <c r="BX11" i="3"/>
  <c r="BW11" i="3"/>
  <c r="BV11" i="3"/>
  <c r="BF11" i="3"/>
  <c r="AM11" i="3"/>
  <c r="AL11" i="3"/>
  <c r="AI11" i="3" s="1"/>
  <c r="AK11" i="3"/>
  <c r="AJ11" i="3"/>
  <c r="AH11" i="3"/>
  <c r="AG11" i="3"/>
  <c r="O11" i="3"/>
  <c r="N11" i="3"/>
  <c r="K11" i="3" s="1"/>
  <c r="M11" i="3"/>
  <c r="L11" i="3"/>
  <c r="J11" i="3"/>
  <c r="I11" i="3"/>
  <c r="CG10" i="3"/>
  <c r="CF10" i="3"/>
  <c r="CE10" i="3"/>
  <c r="CD10" i="3"/>
  <c r="CC10" i="3"/>
  <c r="CB10" i="3"/>
  <c r="CA10" i="3"/>
  <c r="BZ10" i="3"/>
  <c r="BY10" i="3"/>
  <c r="BX10" i="3"/>
  <c r="BW10" i="3"/>
  <c r="BV10" i="3"/>
  <c r="BF10" i="3"/>
  <c r="AM10" i="3"/>
  <c r="AL10" i="3"/>
  <c r="BG10" i="3" s="1"/>
  <c r="AK10" i="3"/>
  <c r="AJ10" i="3"/>
  <c r="AH10" i="3"/>
  <c r="AG10" i="3"/>
  <c r="O10" i="3"/>
  <c r="N10" i="3"/>
  <c r="M10" i="3"/>
  <c r="L10" i="3"/>
  <c r="K10" i="3"/>
  <c r="J10" i="3"/>
  <c r="I10" i="3"/>
  <c r="CG9" i="3"/>
  <c r="CF9" i="3"/>
  <c r="CE9" i="3"/>
  <c r="CD9" i="3"/>
  <c r="CC9" i="3"/>
  <c r="CB9" i="3"/>
  <c r="CA9" i="3"/>
  <c r="BZ9" i="3"/>
  <c r="BY9" i="3"/>
  <c r="BX9" i="3"/>
  <c r="BW9" i="3"/>
  <c r="BV9" i="3"/>
  <c r="BF9" i="3"/>
  <c r="AM9" i="3"/>
  <c r="AL9" i="3"/>
  <c r="AK9" i="3"/>
  <c r="AJ9" i="3"/>
  <c r="AH9" i="3"/>
  <c r="AG9" i="3"/>
  <c r="O9" i="3"/>
  <c r="N9" i="3"/>
  <c r="K9" i="3" s="1"/>
  <c r="M9" i="3"/>
  <c r="L9" i="3"/>
  <c r="J9" i="3"/>
  <c r="I9" i="3"/>
  <c r="CG8" i="3"/>
  <c r="CF8" i="3"/>
  <c r="CE8" i="3"/>
  <c r="CD8" i="3"/>
  <c r="CC8" i="3"/>
  <c r="CB8" i="3"/>
  <c r="CA8" i="3"/>
  <c r="BZ8" i="3"/>
  <c r="BY8" i="3"/>
  <c r="BX8" i="3"/>
  <c r="BW8" i="3"/>
  <c r="BV8" i="3"/>
  <c r="BF8" i="3"/>
  <c r="AM8" i="3"/>
  <c r="AL8" i="3"/>
  <c r="BG8" i="3" s="1"/>
  <c r="AK8" i="3"/>
  <c r="AJ8" i="3"/>
  <c r="AH8" i="3"/>
  <c r="AG8" i="3"/>
  <c r="O8" i="3"/>
  <c r="N8" i="3"/>
  <c r="K8" i="3" s="1"/>
  <c r="M8" i="3"/>
  <c r="L8" i="3"/>
  <c r="J8" i="3"/>
  <c r="I8" i="3"/>
  <c r="CG7" i="3"/>
  <c r="CF7" i="3"/>
  <c r="CE7" i="3"/>
  <c r="CD7" i="3"/>
  <c r="CC7" i="3"/>
  <c r="CB7" i="3"/>
  <c r="CA7" i="3"/>
  <c r="BZ7" i="3"/>
  <c r="BY7" i="3"/>
  <c r="BX7" i="3"/>
  <c r="BW7" i="3"/>
  <c r="BV7" i="3"/>
  <c r="BF7" i="3"/>
  <c r="AM7" i="3"/>
  <c r="AL7" i="3"/>
  <c r="AK7" i="3"/>
  <c r="AJ7" i="3"/>
  <c r="AI7" i="3"/>
  <c r="AH7" i="3"/>
  <c r="AG7" i="3"/>
  <c r="O7" i="3"/>
  <c r="N7" i="3"/>
  <c r="K7" i="3" s="1"/>
  <c r="M7" i="3"/>
  <c r="L7" i="3"/>
  <c r="J7" i="3"/>
  <c r="I7" i="3"/>
  <c r="CG6" i="3"/>
  <c r="CF6" i="3"/>
  <c r="CE6" i="3"/>
  <c r="CD6" i="3"/>
  <c r="CC6" i="3"/>
  <c r="CB6" i="3"/>
  <c r="CA6" i="3"/>
  <c r="BZ6" i="3"/>
  <c r="BY6" i="3"/>
  <c r="BX6" i="3"/>
  <c r="BW6" i="3"/>
  <c r="BV6" i="3"/>
  <c r="BF6" i="3"/>
  <c r="AM6" i="3"/>
  <c r="AL6" i="3"/>
  <c r="BG6" i="3" s="1"/>
  <c r="AK6" i="3"/>
  <c r="AJ6" i="3"/>
  <c r="AH6" i="3"/>
  <c r="AG6" i="3"/>
  <c r="O6" i="3"/>
  <c r="N6" i="3"/>
  <c r="K6" i="3" s="1"/>
  <c r="M6" i="3"/>
  <c r="L6" i="3"/>
  <c r="J6" i="3"/>
  <c r="I6" i="3"/>
  <c r="CG5" i="3"/>
  <c r="CF5" i="3"/>
  <c r="CE5" i="3"/>
  <c r="CD5" i="3"/>
  <c r="CC5" i="3"/>
  <c r="CB5" i="3"/>
  <c r="CA5" i="3"/>
  <c r="BZ5" i="3"/>
  <c r="BY5" i="3"/>
  <c r="BX5" i="3"/>
  <c r="BW5" i="3"/>
  <c r="BV5" i="3"/>
  <c r="BF5" i="3"/>
  <c r="AM5" i="3"/>
  <c r="AL5" i="3"/>
  <c r="BH5" i="3" s="1" a="1"/>
  <c r="AK5" i="3"/>
  <c r="AJ5" i="3"/>
  <c r="AH5" i="3"/>
  <c r="AG5" i="3"/>
  <c r="O5" i="3"/>
  <c r="N5" i="3"/>
  <c r="M5" i="3"/>
  <c r="L5" i="3"/>
  <c r="K5" i="3"/>
  <c r="J5" i="3"/>
  <c r="I5" i="3"/>
  <c r="B1" i="2"/>
  <c r="B2" i="2" s="1"/>
  <c r="C36" i="1"/>
  <c r="E32" i="1"/>
  <c r="C24" i="1"/>
  <c r="C23" i="1"/>
  <c r="BL5" i="7"/>
  <c r="BT5" i="7"/>
  <c r="BT15" i="7"/>
  <c r="BT25" i="7"/>
  <c r="BQ20" i="7"/>
  <c r="BS20" i="7"/>
  <c r="BN25" i="7"/>
  <c r="BP25" i="7"/>
  <c r="BS25" i="7"/>
  <c r="BM30" i="7"/>
  <c r="BL20" i="7"/>
  <c r="BR30" i="7"/>
  <c r="BS35" i="7"/>
  <c r="BR35" i="7"/>
  <c r="BP20" i="7"/>
  <c r="BS15" i="7"/>
  <c r="BJ25" i="7"/>
  <c r="BQ25" i="7"/>
  <c r="BS5" i="7"/>
  <c r="BP10" i="7"/>
  <c r="BN5" i="7"/>
  <c r="BT35" i="7"/>
  <c r="BN35" i="7"/>
  <c r="BL35" i="7"/>
  <c r="BQ5" i="7"/>
  <c r="BN20" i="7"/>
  <c r="BQ30" i="7"/>
  <c r="BT20" i="7"/>
  <c r="BM20" i="7"/>
  <c r="BM35" i="7"/>
  <c r="BR15" i="7"/>
  <c r="BR5" i="7"/>
  <c r="BT30" i="7"/>
  <c r="BQ10" i="7"/>
  <c r="BL10" i="7"/>
  <c r="BM25" i="7"/>
  <c r="BM5" i="7"/>
  <c r="BM15" i="7"/>
  <c r="BL15" i="7"/>
  <c r="BP30" i="7"/>
  <c r="BL30" i="7"/>
  <c r="BR10" i="7"/>
  <c r="BQ15" i="7"/>
  <c r="BL25" i="7"/>
  <c r="BR20" i="7"/>
  <c r="BR25" i="7"/>
  <c r="BN10" i="7"/>
  <c r="BP15" i="7"/>
  <c r="BP35" i="7"/>
  <c r="BP5" i="7"/>
  <c r="BS30" i="7"/>
  <c r="BM10" i="7"/>
  <c r="BN15" i="7"/>
  <c r="BQ35" i="7"/>
  <c r="BT10" i="7"/>
  <c r="BS10" i="7"/>
  <c r="BN30" i="7"/>
  <c r="BQ25" i="3"/>
  <c r="BT5" i="3"/>
  <c r="BT10" i="3"/>
  <c r="BQ10" i="3"/>
  <c r="BM10" i="3"/>
  <c r="BM5" i="3"/>
  <c r="BR35" i="3"/>
  <c r="BN10" i="3"/>
  <c r="BS15" i="3"/>
  <c r="BJ25" i="3"/>
  <c r="BS30" i="3"/>
  <c r="BQ30" i="3"/>
  <c r="BN20" i="3"/>
  <c r="BR10" i="3"/>
  <c r="BR25" i="3"/>
  <c r="BS25" i="3"/>
  <c r="BM20" i="3"/>
  <c r="BT35" i="3"/>
  <c r="BP35" i="3"/>
  <c r="BK20" i="3"/>
  <c r="BJ10" i="3"/>
  <c r="BP15" i="3"/>
  <c r="BR5" i="3"/>
  <c r="BK10" i="3"/>
  <c r="BP5" i="3"/>
  <c r="BM25" i="3"/>
  <c r="BN35" i="3"/>
  <c r="BQ5" i="3"/>
  <c r="BM15" i="3"/>
  <c r="BP20" i="3"/>
  <c r="BP30" i="3"/>
  <c r="BR20" i="3"/>
  <c r="BK15" i="3"/>
  <c r="BL25" i="3"/>
  <c r="BN15" i="3"/>
  <c r="BJ30" i="3"/>
  <c r="BK30" i="3"/>
  <c r="BR15" i="3"/>
  <c r="BQ15" i="3"/>
  <c r="BJ5" i="3"/>
  <c r="BQ20" i="3"/>
  <c r="BL30" i="3"/>
  <c r="BL10" i="3"/>
  <c r="BL20" i="3"/>
  <c r="BT25" i="3"/>
  <c r="BP25" i="3"/>
  <c r="BS35" i="3"/>
  <c r="BS20" i="3"/>
  <c r="BR30" i="3"/>
  <c r="BL5" i="3"/>
  <c r="BP10" i="3"/>
  <c r="BN5" i="3"/>
  <c r="BS10" i="3"/>
  <c r="BN25" i="3"/>
  <c r="BT15" i="3"/>
  <c r="BT30" i="3"/>
  <c r="BM30" i="3"/>
  <c r="BK35" i="3"/>
  <c r="BL15" i="3"/>
  <c r="BN30" i="3"/>
  <c r="BM35" i="3"/>
  <c r="BL35" i="3"/>
  <c r="BQ35" i="3"/>
  <c r="BT20" i="3"/>
  <c r="BS5" i="3"/>
  <c r="BE6" i="7" l="1"/>
  <c r="BG20" i="7"/>
  <c r="BG35" i="7"/>
  <c r="BE22" i="3"/>
  <c r="BG36" i="3"/>
  <c r="AI12" i="6"/>
  <c r="BB5" i="6"/>
  <c r="AH11" i="6"/>
  <c r="BC11" i="6" s="1"/>
  <c r="AJ14" i="6"/>
  <c r="BE14" i="6" s="1"/>
  <c r="D33" i="1" s="1"/>
  <c r="BF8" i="6"/>
  <c r="BF6" i="6"/>
  <c r="AH14" i="6"/>
  <c r="AI14" i="5"/>
  <c r="BD10" i="5"/>
  <c r="AI12" i="5"/>
  <c r="BD12" i="5" s="1"/>
  <c r="BE10" i="5"/>
  <c r="AJ12" i="5"/>
  <c r="BE12" i="5" s="1"/>
  <c r="D19" i="1" s="1"/>
  <c r="AI15" i="5"/>
  <c r="BE5" i="5"/>
  <c r="BE9" i="5"/>
  <c r="BD13" i="5"/>
  <c r="AJ41" i="7"/>
  <c r="BG16" i="7"/>
  <c r="BE30" i="7"/>
  <c r="BE34" i="7"/>
  <c r="AI35" i="7"/>
  <c r="AH41" i="7"/>
  <c r="AI20" i="3"/>
  <c r="BE38" i="3"/>
  <c r="AI5" i="7"/>
  <c r="BE5" i="7" s="1"/>
  <c r="BE18" i="7"/>
  <c r="BE22" i="7"/>
  <c r="BG24" i="7"/>
  <c r="AJ42" i="7"/>
  <c r="BE26" i="7"/>
  <c r="J41" i="7"/>
  <c r="BE28" i="7"/>
  <c r="BE10" i="7"/>
  <c r="K16" i="7"/>
  <c r="BE16" i="7" s="1"/>
  <c r="J42" i="7"/>
  <c r="BG36" i="7"/>
  <c r="AH41" i="3"/>
  <c r="AI10" i="3"/>
  <c r="BE10" i="3" s="1"/>
  <c r="BE23" i="3"/>
  <c r="BE19" i="3"/>
  <c r="AI15" i="3"/>
  <c r="BE15" i="3" s="1"/>
  <c r="AI35" i="3"/>
  <c r="BE35" i="3" s="1"/>
  <c r="BH35" i="3"/>
  <c r="BG39" i="3"/>
  <c r="M41" i="3"/>
  <c r="BG31" i="3"/>
  <c r="BG37" i="7"/>
  <c r="AH42" i="7"/>
  <c r="BE38" i="7"/>
  <c r="AK42" i="7"/>
  <c r="BG33" i="7"/>
  <c r="AI33" i="7"/>
  <c r="BE33" i="7" s="1"/>
  <c r="L42" i="7"/>
  <c r="BE32" i="7"/>
  <c r="L41" i="7"/>
  <c r="AK41" i="7"/>
  <c r="M41" i="7"/>
  <c r="BG28" i="7"/>
  <c r="BG29" i="7"/>
  <c r="BG21" i="7"/>
  <c r="BG23" i="7"/>
  <c r="BE24" i="7"/>
  <c r="AI17" i="7"/>
  <c r="BE17" i="7" s="1"/>
  <c r="BG19" i="7"/>
  <c r="BE12" i="7"/>
  <c r="BE14" i="7"/>
  <c r="BH10" i="7"/>
  <c r="BG11" i="7"/>
  <c r="BG13" i="7"/>
  <c r="AZ47" i="7"/>
  <c r="C47" i="1" s="1"/>
  <c r="BH5" i="7"/>
  <c r="BA45" i="7"/>
  <c r="BA47" i="7"/>
  <c r="BG9" i="7"/>
  <c r="BB45" i="7"/>
  <c r="BB47" i="7"/>
  <c r="C48" i="1" s="1"/>
  <c r="BE8" i="7"/>
  <c r="AZ45" i="7"/>
  <c r="AI9" i="7"/>
  <c r="BE9" i="7" s="1"/>
  <c r="BC45" i="7"/>
  <c r="BC47" i="7"/>
  <c r="AI36" i="3"/>
  <c r="BG38" i="3"/>
  <c r="AI39" i="3"/>
  <c r="BE39" i="3" s="1"/>
  <c r="BE37" i="3"/>
  <c r="AK42" i="3"/>
  <c r="K42" i="3"/>
  <c r="L42" i="3"/>
  <c r="AI31" i="3"/>
  <c r="BE31" i="3" s="1"/>
  <c r="AH42" i="3"/>
  <c r="BG32" i="3"/>
  <c r="BG34" i="3"/>
  <c r="J42" i="3"/>
  <c r="BH30" i="3"/>
  <c r="AI34" i="3"/>
  <c r="BE34" i="3" s="1"/>
  <c r="J41" i="3"/>
  <c r="AJ41" i="3"/>
  <c r="BE26" i="3"/>
  <c r="AI27" i="3"/>
  <c r="BE27" i="3" s="1"/>
  <c r="AK41" i="3"/>
  <c r="BG28" i="3"/>
  <c r="L41" i="3"/>
  <c r="BG24" i="3"/>
  <c r="AI24" i="3"/>
  <c r="BE24" i="3" s="1"/>
  <c r="BG23" i="3"/>
  <c r="BH15" i="3"/>
  <c r="BG16" i="3"/>
  <c r="BE18" i="3"/>
  <c r="BG19" i="3"/>
  <c r="BG12" i="3"/>
  <c r="BE11" i="3"/>
  <c r="AK43" i="3"/>
  <c r="BH10" i="3"/>
  <c r="AI12" i="3"/>
  <c r="BG11" i="3"/>
  <c r="BE14" i="3"/>
  <c r="BH5" i="3"/>
  <c r="AI6" i="3"/>
  <c r="BE6" i="3" s="1"/>
  <c r="BG9" i="3"/>
  <c r="BA45" i="3"/>
  <c r="BA47" i="3"/>
  <c r="AZ45" i="3"/>
  <c r="L43" i="3"/>
  <c r="M43" i="3"/>
  <c r="AH43" i="3"/>
  <c r="BG7" i="3"/>
  <c r="BB45" i="3"/>
  <c r="BB47" i="3"/>
  <c r="C14" i="1" s="1"/>
  <c r="J40" i="3"/>
  <c r="AJ40" i="3"/>
  <c r="BC45" i="3"/>
  <c r="BC47" i="3"/>
  <c r="AZ47" i="3"/>
  <c r="C13" i="1" s="1"/>
  <c r="BM41" i="3"/>
  <c r="F10" i="1" s="1"/>
  <c r="BS42" i="3"/>
  <c r="K11" i="1" s="1"/>
  <c r="BJ41" i="7"/>
  <c r="C44" i="1" s="1"/>
  <c r="BP42" i="7"/>
  <c r="H45" i="1" s="1"/>
  <c r="BN43" i="3"/>
  <c r="G12" i="1" s="1"/>
  <c r="BS43" i="3"/>
  <c r="K12" i="1" s="1"/>
  <c r="BN41" i="3"/>
  <c r="G10" i="1" s="1"/>
  <c r="BS41" i="3"/>
  <c r="K10" i="1" s="1"/>
  <c r="BP42" i="3"/>
  <c r="H11" i="1" s="1"/>
  <c r="BT42" i="3"/>
  <c r="L11" i="1" s="1"/>
  <c r="BL41" i="7"/>
  <c r="E44" i="1" s="1"/>
  <c r="BQ41" i="7"/>
  <c r="I44" i="1" s="1"/>
  <c r="BL42" i="7"/>
  <c r="E45" i="1" s="1"/>
  <c r="BQ42" i="7"/>
  <c r="I45" i="1" s="1"/>
  <c r="BR43" i="3"/>
  <c r="J12" i="1" s="1"/>
  <c r="BJ41" i="3"/>
  <c r="C10" i="1" s="1"/>
  <c r="BN42" i="3"/>
  <c r="G11" i="1" s="1"/>
  <c r="BM43" i="7"/>
  <c r="F46" i="1" s="1"/>
  <c r="BP41" i="7"/>
  <c r="H44" i="1" s="1"/>
  <c r="BT42" i="7"/>
  <c r="L45" i="1" s="1"/>
  <c r="BP43" i="3"/>
  <c r="H12" i="1" s="1"/>
  <c r="BT43" i="3"/>
  <c r="L12" i="1" s="1"/>
  <c r="BP41" i="3"/>
  <c r="H10" i="1" s="1"/>
  <c r="BT41" i="3"/>
  <c r="L10" i="1" s="1"/>
  <c r="BL42" i="3"/>
  <c r="E11" i="1" s="1"/>
  <c r="BQ42" i="3"/>
  <c r="I11" i="1" s="1"/>
  <c r="BP43" i="7"/>
  <c r="H46" i="1" s="1"/>
  <c r="BT43" i="7"/>
  <c r="L46" i="1" s="1"/>
  <c r="BM41" i="7"/>
  <c r="F44" i="1" s="1"/>
  <c r="BR41" i="7"/>
  <c r="J44" i="1" s="1"/>
  <c r="BM42" i="7"/>
  <c r="F45" i="1" s="1"/>
  <c r="BR42" i="7"/>
  <c r="J45" i="1" s="1"/>
  <c r="BM43" i="3"/>
  <c r="F12" i="1" s="1"/>
  <c r="BR41" i="3"/>
  <c r="J10" i="1" s="1"/>
  <c r="BK42" i="3"/>
  <c r="D11" i="1" s="1"/>
  <c r="BR43" i="7"/>
  <c r="J46" i="1" s="1"/>
  <c r="BT41" i="7"/>
  <c r="L44" i="1" s="1"/>
  <c r="BL43" i="3"/>
  <c r="E12" i="1" s="1"/>
  <c r="BQ40" i="3"/>
  <c r="I9" i="1" s="1"/>
  <c r="BL41" i="3"/>
  <c r="E10" i="1" s="1"/>
  <c r="BQ41" i="3"/>
  <c r="I10" i="1" s="1"/>
  <c r="BM42" i="3"/>
  <c r="F11" i="1" s="1"/>
  <c r="BR42" i="3"/>
  <c r="J11" i="1" s="1"/>
  <c r="BL40" i="7"/>
  <c r="E43" i="1" s="1"/>
  <c r="BL43" i="7"/>
  <c r="E46" i="1" s="1"/>
  <c r="BQ43" i="7"/>
  <c r="I46" i="1" s="1"/>
  <c r="BQ40" i="7"/>
  <c r="I43" i="1" s="1"/>
  <c r="BN41" i="7"/>
  <c r="G44" i="1" s="1"/>
  <c r="BS41" i="7"/>
  <c r="K44" i="1" s="1"/>
  <c r="BN42" i="7"/>
  <c r="G45" i="1" s="1"/>
  <c r="BS42" i="7"/>
  <c r="K45" i="1" s="1"/>
  <c r="BE28" i="3"/>
  <c r="BE29" i="3"/>
  <c r="BE32" i="3"/>
  <c r="BE7" i="3"/>
  <c r="BE13" i="3"/>
  <c r="BE30" i="3"/>
  <c r="BE16" i="3"/>
  <c r="BE17" i="3"/>
  <c r="BE21" i="3"/>
  <c r="K41" i="3"/>
  <c r="BE36" i="3"/>
  <c r="AI8" i="3"/>
  <c r="BE8" i="3" s="1"/>
  <c r="BG13" i="3"/>
  <c r="BG17" i="3"/>
  <c r="BG21" i="3"/>
  <c r="BG25" i="3"/>
  <c r="BG29" i="3"/>
  <c r="BG33" i="3"/>
  <c r="BG37" i="3"/>
  <c r="BM40" i="3"/>
  <c r="F9" i="1" s="1"/>
  <c r="BR40" i="3"/>
  <c r="J9" i="1" s="1"/>
  <c r="K12" i="5"/>
  <c r="K15" i="5"/>
  <c r="AH12" i="5"/>
  <c r="BC12" i="5" s="1"/>
  <c r="C19" i="1" s="1"/>
  <c r="BC5" i="5"/>
  <c r="AH15" i="5"/>
  <c r="BC6" i="5"/>
  <c r="BC7" i="5"/>
  <c r="BC8" i="5"/>
  <c r="AH13" i="5"/>
  <c r="BC13" i="5" s="1"/>
  <c r="C20" i="1" s="1"/>
  <c r="BC9" i="5"/>
  <c r="BC10" i="5"/>
  <c r="AH14" i="5"/>
  <c r="BC14" i="5" s="1"/>
  <c r="C21" i="1" s="1"/>
  <c r="M15" i="6"/>
  <c r="M12" i="6"/>
  <c r="AH12" i="6"/>
  <c r="BC14" i="6"/>
  <c r="C33" i="1" s="1"/>
  <c r="AH40" i="7"/>
  <c r="AH43" i="7"/>
  <c r="AI5" i="3"/>
  <c r="AI9" i="3"/>
  <c r="BE9" i="3" s="1"/>
  <c r="K12" i="3"/>
  <c r="BG14" i="3"/>
  <c r="BG18" i="3"/>
  <c r="K20" i="3"/>
  <c r="BE20" i="3" s="1"/>
  <c r="BH20" i="3" a="1"/>
  <c r="BH20" i="3" s="1"/>
  <c r="BG22" i="3"/>
  <c r="AI25" i="3"/>
  <c r="BG26" i="3"/>
  <c r="M42" i="3"/>
  <c r="BG30" i="3"/>
  <c r="AI33" i="3"/>
  <c r="BE33" i="3" s="1"/>
  <c r="L40" i="3"/>
  <c r="BN40" i="3"/>
  <c r="G9" i="1" s="1"/>
  <c r="BS40" i="3"/>
  <c r="K9" i="1" s="1"/>
  <c r="J43" i="3"/>
  <c r="BQ43" i="3"/>
  <c r="I12" i="1" s="1"/>
  <c r="BD15" i="5"/>
  <c r="BD14" i="5"/>
  <c r="K15" i="6"/>
  <c r="BE7" i="6"/>
  <c r="BD14" i="6"/>
  <c r="K12" i="6"/>
  <c r="J40" i="7"/>
  <c r="BE21" i="7"/>
  <c r="BG5" i="3"/>
  <c r="AJ43" i="3"/>
  <c r="BH25" i="3" a="1"/>
  <c r="BH25" i="3" s="1"/>
  <c r="BH41" i="3" s="1"/>
  <c r="M40" i="3"/>
  <c r="AK40" i="3"/>
  <c r="BP40" i="3"/>
  <c r="H9" i="1" s="1"/>
  <c r="BT40" i="3"/>
  <c r="L9" i="1" s="1"/>
  <c r="BE13" i="5"/>
  <c r="D20" i="1" s="1"/>
  <c r="BE14" i="5"/>
  <c r="D21" i="1" s="1"/>
  <c r="J15" i="5"/>
  <c r="BB15" i="5" s="1"/>
  <c r="E22" i="1" s="1"/>
  <c r="BE6" i="6"/>
  <c r="BD13" i="6"/>
  <c r="AJ42" i="3"/>
  <c r="AH40" i="3"/>
  <c r="BL40" i="3"/>
  <c r="E9" i="1" s="1"/>
  <c r="AG12" i="5"/>
  <c r="BB12" i="5" s="1"/>
  <c r="E19" i="1" s="1"/>
  <c r="BB5" i="5"/>
  <c r="BF5" i="5"/>
  <c r="BG5" i="5" a="1"/>
  <c r="BG5" i="5" s="1"/>
  <c r="BB6" i="5"/>
  <c r="BF6" i="5"/>
  <c r="BG6" i="5" a="1"/>
  <c r="BG6" i="5" s="1"/>
  <c r="BB7" i="5"/>
  <c r="BF7" i="5"/>
  <c r="BG7" i="5" a="1"/>
  <c r="BG7" i="5" s="1"/>
  <c r="BB8" i="5"/>
  <c r="BF8" i="5"/>
  <c r="BG8" i="5" a="1"/>
  <c r="BG8" i="5" s="1"/>
  <c r="AG13" i="5"/>
  <c r="BB13" i="5" s="1"/>
  <c r="E20" i="1" s="1"/>
  <c r="BB9" i="5"/>
  <c r="BF9" i="5"/>
  <c r="BG9" i="5" a="1"/>
  <c r="BG9" i="5" s="1"/>
  <c r="BG13" i="5" s="1"/>
  <c r="AG14" i="5"/>
  <c r="BB14" i="5" s="1"/>
  <c r="E21" i="1" s="1"/>
  <c r="BB10" i="5"/>
  <c r="BG10" i="5" a="1"/>
  <c r="BG10" i="5" s="1"/>
  <c r="BG14" i="5" s="1"/>
  <c r="BF10" i="5"/>
  <c r="BC11" i="5"/>
  <c r="AJ15" i="6"/>
  <c r="BE15" i="6" s="1"/>
  <c r="D34" i="1" s="1"/>
  <c r="AJ12" i="6"/>
  <c r="BE12" i="6" s="1"/>
  <c r="D31" i="1" s="1"/>
  <c r="BE5" i="6"/>
  <c r="BC5" i="6"/>
  <c r="AJ13" i="6"/>
  <c r="BE13" i="6" s="1"/>
  <c r="D32" i="1" s="1"/>
  <c r="BE9" i="6"/>
  <c r="BE27" i="7"/>
  <c r="BE39" i="7"/>
  <c r="BF11" i="5"/>
  <c r="BB12" i="6"/>
  <c r="E31" i="1" s="1"/>
  <c r="BD5" i="6"/>
  <c r="BG5" i="6" a="1"/>
  <c r="BG5" i="6" s="1"/>
  <c r="BG6" i="6" a="1"/>
  <c r="BG6" i="6" s="1"/>
  <c r="BG7" i="6" a="1"/>
  <c r="BG7" i="6" s="1"/>
  <c r="BG8" i="6" a="1"/>
  <c r="BG8" i="6" s="1"/>
  <c r="BF9" i="6"/>
  <c r="BG9" i="6" a="1"/>
  <c r="BG9" i="6" s="1"/>
  <c r="BG13" i="6" s="1"/>
  <c r="AG15" i="6"/>
  <c r="AJ43" i="7"/>
  <c r="BN43" i="7"/>
  <c r="G46" i="1" s="1"/>
  <c r="BN40" i="7"/>
  <c r="G43" i="1" s="1"/>
  <c r="BS43" i="7"/>
  <c r="K46" i="1" s="1"/>
  <c r="BS40" i="7"/>
  <c r="K43" i="1" s="1"/>
  <c r="BG7" i="7"/>
  <c r="BE11" i="7"/>
  <c r="BG12" i="7"/>
  <c r="BE23" i="7"/>
  <c r="BH25" i="7" a="1"/>
  <c r="BH25" i="7" s="1"/>
  <c r="BH41" i="7" s="1"/>
  <c r="BE29" i="7"/>
  <c r="K35" i="7"/>
  <c r="K42" i="7" s="1"/>
  <c r="J43" i="7"/>
  <c r="AH9" i="6"/>
  <c r="AH15" i="6" s="1"/>
  <c r="BC15" i="6" s="1"/>
  <c r="C34" i="1" s="1"/>
  <c r="AI15" i="6"/>
  <c r="BD15" i="6" s="1"/>
  <c r="L43" i="7"/>
  <c r="L40" i="7"/>
  <c r="AK43" i="7"/>
  <c r="AK40" i="7"/>
  <c r="BE7" i="7"/>
  <c r="BG8" i="7"/>
  <c r="BE13" i="7"/>
  <c r="BG15" i="7"/>
  <c r="BE19" i="7"/>
  <c r="K41" i="7"/>
  <c r="BE25" i="7"/>
  <c r="BH30" i="7" a="1"/>
  <c r="BH30" i="7" s="1"/>
  <c r="BG31" i="7"/>
  <c r="BD12" i="6"/>
  <c r="BD9" i="6"/>
  <c r="J15" i="6"/>
  <c r="M43" i="7"/>
  <c r="K15" i="7"/>
  <c r="BE15" i="7"/>
  <c r="BH20" i="7" a="1"/>
  <c r="BH20" i="7" s="1"/>
  <c r="AI20" i="7"/>
  <c r="BE20" i="7" s="1"/>
  <c r="BG27" i="7"/>
  <c r="M42" i="7"/>
  <c r="BE31" i="7"/>
  <c r="BG32" i="7"/>
  <c r="AI36" i="7"/>
  <c r="BE36" i="7" s="1"/>
  <c r="BH35" i="7" a="1"/>
  <c r="BH35" i="7" s="1"/>
  <c r="BE37" i="7"/>
  <c r="BG39" i="7"/>
  <c r="BD10" i="6"/>
  <c r="BG10" i="6" a="1"/>
  <c r="BG10" i="6" s="1"/>
  <c r="BG14" i="6" s="1"/>
  <c r="BG11" i="6" a="1"/>
  <c r="BG11" i="6" s="1"/>
  <c r="AG14" i="6"/>
  <c r="BB14" i="6" s="1"/>
  <c r="E33" i="1" s="1"/>
  <c r="BG5" i="7"/>
  <c r="BH15" i="7" a="1"/>
  <c r="BH15" i="7" s="1"/>
  <c r="BG25" i="7"/>
  <c r="BM40" i="7"/>
  <c r="F43" i="1" s="1"/>
  <c r="BR40" i="7"/>
  <c r="J43" i="1" s="1"/>
  <c r="AI41" i="7"/>
  <c r="BG6" i="7"/>
  <c r="BG10" i="7"/>
  <c r="BG14" i="7"/>
  <c r="BG18" i="7"/>
  <c r="BG22" i="7"/>
  <c r="BG26" i="7"/>
  <c r="BG30" i="7"/>
  <c r="BG34" i="7"/>
  <c r="BG38" i="7"/>
  <c r="AJ40" i="7"/>
  <c r="M40" i="7"/>
  <c r="BP40" i="7"/>
  <c r="H43" i="1" s="1"/>
  <c r="BT40" i="7"/>
  <c r="L43" i="1" s="1"/>
  <c r="BK15" i="7"/>
  <c r="BK35" i="7"/>
  <c r="BJ30" i="7"/>
  <c r="BK5" i="7"/>
  <c r="BK20" i="7"/>
  <c r="BJ15" i="7"/>
  <c r="BK25" i="7"/>
  <c r="BJ10" i="7"/>
  <c r="BK30" i="7"/>
  <c r="BJ5" i="7"/>
  <c r="BJ35" i="7"/>
  <c r="BJ20" i="7"/>
  <c r="BK10" i="7"/>
  <c r="BK5" i="3"/>
  <c r="BK25" i="3"/>
  <c r="BJ20" i="3"/>
  <c r="BJ15" i="3"/>
  <c r="BJ35" i="3"/>
  <c r="BH42" i="3" l="1"/>
  <c r="BE35" i="7"/>
  <c r="K43" i="7"/>
  <c r="AI40" i="7"/>
  <c r="BH42" i="7"/>
  <c r="BE41" i="7"/>
  <c r="BH43" i="7"/>
  <c r="BE12" i="3"/>
  <c r="BH43" i="3"/>
  <c r="BK41" i="3"/>
  <c r="D10" i="1" s="1"/>
  <c r="BJ42" i="3"/>
  <c r="C11" i="1" s="1"/>
  <c r="BK41" i="7"/>
  <c r="D44" i="1" s="1"/>
  <c r="BJ43" i="3"/>
  <c r="C12" i="1" s="1"/>
  <c r="BJ40" i="3"/>
  <c r="C9" i="1" s="1"/>
  <c r="BK42" i="7"/>
  <c r="D45" i="1" s="1"/>
  <c r="BJ43" i="7"/>
  <c r="C46" i="1" s="1"/>
  <c r="BJ40" i="7"/>
  <c r="C43" i="1" s="1"/>
  <c r="BJ42" i="7"/>
  <c r="C45" i="1" s="1"/>
  <c r="BH40" i="7"/>
  <c r="AI42" i="7"/>
  <c r="BE42" i="7" s="1"/>
  <c r="BG12" i="5"/>
  <c r="BG15" i="5"/>
  <c r="BC15" i="5"/>
  <c r="C22" i="1" s="1"/>
  <c r="AI42" i="3"/>
  <c r="BE42" i="3" s="1"/>
  <c r="AI43" i="7"/>
  <c r="BE43" i="7" s="1"/>
  <c r="BG12" i="6"/>
  <c r="BG15" i="6"/>
  <c r="BE25" i="3"/>
  <c r="AI41" i="3"/>
  <c r="BE41" i="3" s="1"/>
  <c r="BC12" i="6"/>
  <c r="C31" i="1" s="1"/>
  <c r="BH40" i="3"/>
  <c r="BK43" i="7"/>
  <c r="D46" i="1" s="1"/>
  <c r="BK40" i="7"/>
  <c r="D43" i="1" s="1"/>
  <c r="BE5" i="3"/>
  <c r="AI43" i="3"/>
  <c r="AI40" i="3"/>
  <c r="K40" i="7"/>
  <c r="BE40" i="7" s="1"/>
  <c r="AH13" i="6"/>
  <c r="BC13" i="6" s="1"/>
  <c r="C32" i="1" s="1"/>
  <c r="BC9" i="6"/>
  <c r="BB15" i="6"/>
  <c r="E34" i="1" s="1"/>
  <c r="BK43" i="3"/>
  <c r="D12" i="1" s="1"/>
  <c r="BK40" i="3"/>
  <c r="D9" i="1" s="1"/>
  <c r="K40" i="3"/>
  <c r="K43" i="3"/>
  <c r="BE40" i="3" l="1"/>
  <c r="BE43" i="3"/>
</calcChain>
</file>

<file path=xl/sharedStrings.xml><?xml version="1.0" encoding="utf-8"?>
<sst xmlns="http://schemas.openxmlformats.org/spreadsheetml/2006/main" count="1590" uniqueCount="597">
  <si>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</si>
  <si>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</si>
  <si>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</si>
  <si>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</si>
  <si>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</si>
  <si>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</si>
  <si>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</si>
  <si>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</si>
  <si>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</si>
  <si>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</si>
  <si>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</si>
  <si>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</si>
  <si>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</si>
  <si>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</si>
  <si>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</si>
  <si>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</si>
  <si>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</si>
  <si>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</si>
  <si>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</si>
  <si>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</si>
  <si>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</si>
  <si>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</si>
  <si>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</si>
  <si>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</si>
  <si>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</si>
  <si>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</si>
  <si>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</si>
  <si>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</si>
  <si>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</si>
  <si>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</si>
  <si>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</si>
  <si>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</si>
  <si>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</si>
  <si>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</si>
  <si>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</si>
  <si>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</si>
  <si>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</si>
  <si>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</si>
  <si>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</si>
  <si>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</si>
  <si>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</si>
  <si>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</si>
  <si>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</si>
  <si>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</si>
  <si>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</si>
  <si>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</si>
  <si>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</si>
  <si>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</si>
  <si>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</si>
  <si>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</si>
  <si>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</si>
  <si>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</si>
  <si>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</si>
  <si>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</si>
  <si>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</si>
  <si>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</si>
  <si>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</si>
  <si>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</si>
  <si>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</si>
  <si>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</si>
  <si>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</si>
  <si>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</si>
  <si>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</si>
  <si>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</si>
  <si>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</si>
  <si>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</si>
  <si>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</si>
  <si>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</si>
  <si>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</si>
  <si>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</si>
  <si>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</si>
  <si>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</si>
  <si>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</si>
  <si>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</si>
  <si>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</si>
  <si>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</si>
  <si>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</si>
  <si>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</si>
  <si>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</si>
  <si>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</si>
  <si>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</si>
  <si>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</si>
  <si>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</si>
  <si>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</si>
  <si>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</si>
  <si>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</si>
  <si>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</si>
  <si>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</si>
  <si>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</si>
  <si>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</si>
  <si>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</si>
  <si>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</si>
  <si>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</si>
  <si>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</si>
  <si>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</si>
  <si>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</si>
  <si>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</si>
  <si>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</si>
  <si>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</si>
  <si>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</si>
  <si>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</si>
  <si>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</si>
  <si>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</si>
  <si>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</si>
  <si>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</si>
  <si>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</si>
  <si>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</si>
  <si>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</si>
  <si>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</si>
  <si>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</si>
  <si>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</si>
  <si>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</si>
  <si>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</si>
  <si>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</si>
  <si>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</si>
  <si>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</si>
  <si>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</si>
  <si>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</si>
  <si>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</si>
  <si>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</si>
  <si>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</si>
  <si>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</si>
  <si>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</si>
  <si>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</si>
  <si>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</si>
  <si>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</si>
  <si>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</si>
  <si>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</si>
  <si>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</si>
  <si>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</si>
  <si>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</si>
  <si>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</si>
  <si>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</si>
  <si>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</si>
  <si>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</si>
  <si>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</si>
  <si>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</si>
  <si>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</si>
  <si>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</si>
  <si>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</si>
  <si>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</si>
  <si>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</si>
  <si>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</si>
  <si>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</si>
  <si>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</si>
  <si>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</si>
  <si>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</si>
  <si>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</si>
  <si>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</si>
  <si>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</si>
  <si>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</si>
  <si>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</si>
  <si>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</si>
  <si>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</si>
  <si>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</si>
  <si>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</si>
  <si>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</si>
  <si>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Δ
№ output points</t>
  </si>
  <si>
    <t>Δ
Mean output points</t>
  </si>
  <si>
    <t>Δ
Mean duplicate points</t>
  </si>
  <si>
    <t>Δ
Bitstream [bits]</t>
  </si>
  <si>
    <t>Δ
Geometry PSNR [dB]</t>
  </si>
  <si>
    <t>Δ
End-to-end PSNR [dB]</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</si>
  <si>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</si>
  <si>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</si>
  <si>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</si>
  <si>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</si>
  <si>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</si>
  <si>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</si>
  <si>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</si>
  <si>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</si>
  <si>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</si>
  <si>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</si>
  <si>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</si>
  <si>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</si>
  <si>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</si>
  <si>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</si>
  <si>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</si>
  <si>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</si>
  <si>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</si>
  <si>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</si>
  <si>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</si>
  <si>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</si>
  <si>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</si>
  <si>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</si>
  <si>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</si>
  <si>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</si>
  <si>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</si>
  <si>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</si>
  <si>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</si>
  <si>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</si>
  <si>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</si>
  <si>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</si>
  <si>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</si>
  <si>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</si>
  <si>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</si>
  <si>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</si>
  <si>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</si>
  <si>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</si>
  <si>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</si>
  <si>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</si>
  <si>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</si>
  <si>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</si>
  <si>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</si>
  <si>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</si>
  <si>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</si>
  <si>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</si>
  <si>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</si>
  <si>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</si>
  <si>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</si>
  <si>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</si>
  <si>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</si>
  <si>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</si>
  <si>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</si>
  <si>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</si>
  <si>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</si>
  <si>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</si>
  <si>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</si>
  <si>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</si>
  <si>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</si>
  <si>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</si>
  <si>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</si>
  <si>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</si>
  <si>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</si>
  <si>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</si>
  <si>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</si>
  <si>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</si>
  <si>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</si>
  <si>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</si>
  <si>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</si>
  <si>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</si>
  <si>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</si>
  <si>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</si>
  <si>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</si>
  <si>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</si>
  <si>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</si>
  <si>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</si>
  <si>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</si>
  <si>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</si>
  <si>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</si>
  <si>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</si>
  <si>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</si>
  <si>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</si>
  <si>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</si>
  <si>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</si>
  <si>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</si>
  <si>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</si>
  <si>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2560x1856</t>
  </si>
  <si>
    <t>2560x2416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</si>
  <si>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</si>
  <si>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</si>
  <si>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</si>
  <si>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</si>
  <si>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</si>
  <si>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</si>
  <si>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</si>
  <si>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</si>
  <si>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</si>
  <si>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</si>
  <si>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</si>
  <si>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</si>
  <si>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</si>
  <si>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</si>
  <si>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</si>
  <si>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</si>
  <si>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</si>
  <si>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</si>
  <si>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</si>
  <si>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</si>
  <si>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</si>
  <si>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</si>
  <si>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</si>
  <si>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</si>
  <si>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</si>
  <si>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</si>
  <si>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</si>
  <si>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</si>
  <si>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</si>
  <si>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</si>
  <si>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</si>
  <si>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</si>
  <si>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</si>
  <si>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</si>
  <si>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</si>
  <si>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</si>
  <si>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</si>
  <si>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</si>
  <si>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</si>
  <si>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</si>
  <si>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</si>
  <si>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</si>
  <si>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</si>
  <si>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</si>
  <si>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</si>
  <si>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</si>
  <si>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</si>
  <si>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</si>
  <si>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</si>
  <si>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</si>
  <si>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</si>
  <si>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</si>
  <si>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</si>
  <si>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</si>
  <si>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</si>
  <si>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</si>
  <si>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</si>
  <si>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</si>
  <si>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</si>
  <si>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</si>
  <si>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</si>
  <si>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</si>
  <si>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</si>
  <si>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</si>
  <si>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</si>
  <si>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</si>
  <si>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</si>
  <si>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</si>
  <si>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</si>
  <si>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</si>
  <si>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</si>
  <si>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</si>
  <si>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</si>
  <si>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</si>
  <si>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</si>
  <si>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</si>
  <si>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</si>
  <si>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</si>
  <si>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</si>
  <si>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</si>
  <si>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</si>
  <si>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</si>
  <si>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</si>
  <si>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</si>
  <si>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</si>
  <si>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</si>
  <si>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</si>
  <si>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</si>
  <si>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</si>
  <si>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</si>
  <si>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</si>
  <si>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</si>
  <si>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</si>
  <si>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</si>
  <si>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</si>
  <si>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</si>
  <si>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</si>
  <si>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</si>
  <si>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</si>
  <si>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</si>
  <si>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</si>
  <si>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</si>
  <si>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</si>
  <si>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</si>
  <si>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</si>
  <si>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</si>
  <si>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</si>
  <si>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</si>
  <si>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</si>
  <si>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</si>
  <si>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</si>
  <si>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</si>
  <si>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</si>
  <si>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</si>
  <si>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</si>
  <si>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</si>
  <si>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</si>
  <si>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</si>
  <si>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</si>
  <si>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</si>
  <si>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</si>
  <si>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</si>
  <si>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</si>
  <si>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</si>
  <si>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</si>
  <si>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</si>
  <si>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</si>
  <si>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</si>
  <si>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</si>
  <si>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</si>
  <si>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</si>
  <si>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</si>
  <si>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</si>
  <si>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</si>
  <si>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</si>
  <si>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</si>
  <si>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</si>
  <si>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</si>
  <si>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</si>
  <si>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</si>
  <si>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</si>
  <si>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</si>
  <si>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</si>
  <si>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</si>
  <si>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</si>
  <si>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</si>
  <si>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</si>
  <si>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</si>
  <si>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</si>
  <si>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</si>
  <si>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</si>
  <si>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</si>
  <si>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</si>
  <si>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</si>
  <si>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</si>
  <si>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</si>
  <si>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</si>
  <si>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</si>
  <si>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</si>
  <si>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</si>
  <si>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</si>
  <si>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</si>
  <si>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</si>
  <si>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</si>
  <si>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</si>
  <si>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</si>
  <si>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</si>
  <si>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</si>
  <si>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</si>
  <si>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</si>
  <si>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</si>
  <si>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</si>
  <si>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</si>
  <si>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</si>
  <si>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</si>
  <si>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</si>
  <si>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</si>
  <si>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</si>
  <si>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</si>
  <si>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</si>
  <si>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</si>
  <si>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</si>
  <si>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</si>
  <si>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</si>
  <si>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</si>
  <si>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</si>
  <si>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</si>
  <si>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</si>
  <si>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</si>
  <si>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</si>
  <si>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</si>
  <si>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</si>
  <si>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</si>
  <si>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</si>
  <si>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</si>
  <si>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</si>
  <si>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</si>
  <si>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</si>
  <si>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</si>
  <si>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</si>
  <si>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</si>
  <si>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</si>
  <si>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</si>
  <si>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</si>
  <si>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</si>
  <si>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</si>
  <si>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</si>
  <si>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</si>
  <si>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</si>
  <si>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</si>
  <si>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</si>
  <si>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</si>
  <si>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</si>
  <si>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</si>
  <si>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</si>
  <si>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</si>
  <si>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</si>
  <si>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</si>
  <si>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</si>
  <si>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</si>
  <si>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</si>
  <si>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</si>
  <si>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</si>
  <si>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</si>
  <si>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</si>
  <si>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</si>
  <si>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</si>
  <si>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</si>
  <si>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</si>
  <si>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</si>
  <si>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</si>
  <si>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</si>
  <si>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</si>
  <si>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</si>
  <si>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</si>
  <si>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</si>
  <si>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</si>
  <si>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</si>
  <si>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</si>
  <si>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</si>
  <si>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</si>
  <si>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</si>
  <si>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</si>
  <si>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</si>
  <si>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</si>
  <si>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</si>
  <si>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</si>
  <si>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</si>
  <si>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</si>
  <si>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</si>
  <si>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</si>
  <si>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</si>
  <si>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</si>
  <si>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</si>
  <si>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</si>
  <si>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</si>
  <si>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</si>
  <si>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</si>
  <si>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</si>
  <si>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</si>
  <si>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</si>
  <si>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</si>
  <si>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</si>
  <si>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</si>
  <si>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</si>
  <si>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</si>
  <si>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</si>
  <si>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</si>
  <si>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</si>
  <si>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</si>
  <si>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</si>
  <si>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</si>
  <si>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</si>
  <si>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</si>
  <si>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</si>
  <si>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</si>
  <si>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</si>
  <si>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</si>
  <si>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</si>
  <si>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</si>
  <si>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</si>
  <si>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</si>
  <si>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</si>
  <si>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</si>
  <si>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</si>
  <si>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</si>
  <si>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</si>
  <si>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</si>
  <si>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</si>
  <si>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</si>
  <si>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</si>
  <si>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</si>
  <si>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</si>
  <si>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</si>
  <si>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</si>
  <si>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</si>
  <si>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</si>
  <si>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</si>
  <si>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</si>
  <si>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</si>
  <si>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</si>
  <si>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</si>
  <si>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</si>
  <si>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</si>
  <si>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</si>
  <si>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</si>
  <si>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</si>
  <si>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</si>
  <si>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</si>
  <si>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</si>
  <si>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</si>
  <si>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</si>
  <si>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</si>
  <si>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</si>
  <si>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</si>
  <si>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</si>
  <si>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</si>
  <si>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</si>
  <si>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</si>
  <si>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</si>
  <si>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</si>
  <si>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</si>
  <si>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</si>
  <si>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</si>
  <si>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</si>
  <si>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</si>
  <si>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</si>
  <si>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</si>
  <si>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</si>
  <si>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Δ Bitstream [bits]</t>
  </si>
  <si>
    <t>A.eqn.compratio</t>
  </si>
  <si>
    <t>B.eqn.compratio</t>
  </si>
  <si>
    <t>eqn.ab.ratio-bpp</t>
  </si>
  <si>
    <t>eqn.ab.ratio-bpp-geometry</t>
  </si>
  <si>
    <t>eqn.ab.ratio-bpp-colour</t>
  </si>
  <si>
    <t>inf</t>
  </si>
  <si>
    <t>1280x1472</t>
  </si>
  <si>
    <t>2560x1904</t>
  </si>
  <si>
    <t>2560x2464</t>
  </si>
  <si>
    <t>CW_ld — lossless geometry, lossless attributes [inter, low delay]</t>
  </si>
  <si>
    <t>1280x1424</t>
  </si>
  <si>
    <t>1280x1520</t>
  </si>
  <si>
    <t>2560x3120</t>
  </si>
  <si>
    <t>C2_ra — lossy geometry, lossy attributes [inter, random access]</t>
  </si>
  <si>
    <t>1280x1392</t>
  </si>
  <si>
    <t>2560x3056</t>
  </si>
  <si>
    <t>RC 12, color smoothing OFF</t>
  </si>
  <si>
    <t>RC 11, color smoothing 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</si>
</sst>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0">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RC 11, color smoothing OFF</c:v>
                </c:pt>
              </c:strCache>
            </c:strRef>
          </c:tx>
          <c:spPr>
            <a:ln>
              <a:prstDash val="solid"/>
            </a:ln>
          </c:spPr>
          <c:marker>
            <c:symbol val="none"/>
          </c:marker>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66.354737499999999</c:v>
                </c:pt>
                <c:pt idx="1">
                  <c:v>68.256434374999998</c:v>
                </c:pt>
                <c:pt idx="2">
                  <c:v>69.684690625000002</c:v>
                </c:pt>
                <c:pt idx="3">
                  <c:v>70.825724999999906</c:v>
                </c:pt>
                <c:pt idx="4">
                  <c:v>71.947396874999995</c:v>
                </c:pt>
              </c:numCache>
            </c:numRef>
          </c:yVal>
          <c:smooth val="1"/>
          <c:extLst>
            <c:ext xmlns:c16="http://schemas.microsoft.com/office/drawing/2014/chart" uri="{C3380CC4-5D6E-409C-BE32-E72D297353CC}">
              <c16:uniqueId val="{00000000-6390-4678-AC90-B6B843DC1BF2}"/>
            </c:ext>
          </c:extLst>
        </c:ser>
        <c:ser>
          <c:idx val="1"/>
          <c:order val="1"/>
          <c:tx>
            <c:strRef>
              <c:f>Graphs!graph_a_B_title</c:f>
              <c:strCache>
                <c:ptCount val="1"/>
                <c:pt idx="0">
                  <c:v>RC 12, color smoothing OFF</c:v>
                </c:pt>
              </c:strCache>
            </c:strRef>
          </c:tx>
          <c:spPr>
            <a:ln>
              <a:prstDash val="solid"/>
            </a:ln>
          </c:spPr>
          <c:marker>
            <c:symbol val="none"/>
          </c:marker>
          <c:xVal>
            <c:numRef>
              <c:f>Graphs!graph_a_x_range_B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Graphs!graph_a_y_range_B</c:f>
              <c:numCache>
                <c:formatCode>0.00</c:formatCode>
                <c:ptCount val="5"/>
                <c:pt idx="0">
                  <c:v>66.354737499999999</c:v>
                </c:pt>
                <c:pt idx="1">
                  <c:v>68.256434374999998</c:v>
                </c:pt>
                <c:pt idx="2">
                  <c:v>69.684690625000002</c:v>
                </c:pt>
                <c:pt idx="3">
                  <c:v>70.825725000000006</c:v>
                </c:pt>
                <c:pt idx="4">
                  <c:v>71.947396874999995</c:v>
                </c:pt>
              </c:numCache>
            </c:numRef>
          </c:yVal>
          <c:smooth val="1"/>
          <c:extLst>
            <c:ext xmlns:c16="http://schemas.microsoft.com/office/drawing/2014/chart" uri="{C3380CC4-5D6E-409C-BE32-E72D297353CC}">
              <c16:uniqueId val="{00000001-6390-4678-AC90-B6B843DC1BF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RC 11, color smoothing OFF</c:v>
                </c:pt>
              </c:strCache>
            </c:strRef>
          </c:tx>
          <c:spPr>
            <a:ln>
              <a:prstDash val="solid"/>
            </a:ln>
          </c:spPr>
          <c:marker>
            <c:symbol val="none"/>
          </c:marker>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68.471134375000005</c:v>
                </c:pt>
                <c:pt idx="1">
                  <c:v>70.426474999999996</c:v>
                </c:pt>
                <c:pt idx="2">
                  <c:v>72.115756250000004</c:v>
                </c:pt>
                <c:pt idx="3">
                  <c:v>73.390937500000007</c:v>
                </c:pt>
                <c:pt idx="4">
                  <c:v>75.319828124999901</c:v>
                </c:pt>
              </c:numCache>
            </c:numRef>
          </c:yVal>
          <c:smooth val="1"/>
          <c:extLst>
            <c:ext xmlns:c16="http://schemas.microsoft.com/office/drawing/2014/chart" uri="{C3380CC4-5D6E-409C-BE32-E72D297353CC}">
              <c16:uniqueId val="{00000000-5836-42B8-8237-15F843B153ED}"/>
            </c:ext>
          </c:extLst>
        </c:ser>
        <c:ser>
          <c:idx val="1"/>
          <c:order val="1"/>
          <c:tx>
            <c:strRef>
              <c:f>Graphs!graph_b_B_title</c:f>
              <c:strCache>
                <c:ptCount val="1"/>
                <c:pt idx="0">
                  <c:v>RC 12, color smoothing OFF</c:v>
                </c:pt>
              </c:strCache>
            </c:strRef>
          </c:tx>
          <c:spPr>
            <a:ln>
              <a:prstDash val="solid"/>
            </a:ln>
          </c:spPr>
          <c:marker>
            <c:symbol val="none"/>
          </c:marker>
          <c:xVal>
            <c:numRef>
              <c:f>Graphs!graph_b_x_range_B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Graphs!graph_b_y_range_B</c:f>
              <c:numCache>
                <c:formatCode>0.00</c:formatCode>
                <c:ptCount val="5"/>
                <c:pt idx="0">
                  <c:v>68.471134375000005</c:v>
                </c:pt>
                <c:pt idx="1">
                  <c:v>70.426474999999996</c:v>
                </c:pt>
                <c:pt idx="2">
                  <c:v>72.115756250000004</c:v>
                </c:pt>
                <c:pt idx="3">
                  <c:v>73.390937500000007</c:v>
                </c:pt>
                <c:pt idx="4">
                  <c:v>75.319828125000001</c:v>
                </c:pt>
              </c:numCache>
            </c:numRef>
          </c:yVal>
          <c:smooth val="1"/>
          <c:extLst>
            <c:ext xmlns:c16="http://schemas.microsoft.com/office/drawing/2014/chart" uri="{C3380CC4-5D6E-409C-BE32-E72D297353CC}">
              <c16:uniqueId val="{00000001-5836-42B8-8237-15F843B153ED}"/>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RC 11, color smoothing OFF</c:v>
                </c:pt>
              </c:strCache>
            </c:strRef>
          </c:tx>
          <c:spPr>
            <a:ln>
              <a:prstDash val="solid"/>
            </a:ln>
          </c:spPr>
          <c:marker>
            <c:symbol val="none"/>
          </c:marker>
          <c:xVal>
            <c:numRef>
              <c:f>Graphs!graph_c_x_range_A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Graphs!graph_c_y_range_A</c:f>
              <c:numCache>
                <c:formatCode>0.00</c:formatCode>
                <c:ptCount val="5"/>
                <c:pt idx="0">
                  <c:v>32.118749999999999</c:v>
                </c:pt>
                <c:pt idx="1">
                  <c:v>34.365765625000002</c:v>
                </c:pt>
                <c:pt idx="2">
                  <c:v>36.913812499999999</c:v>
                </c:pt>
                <c:pt idx="3">
                  <c:v>39.549384374999903</c:v>
                </c:pt>
                <c:pt idx="4">
                  <c:v>42.149353124999898</c:v>
                </c:pt>
              </c:numCache>
            </c:numRef>
          </c:yVal>
          <c:smooth val="1"/>
          <c:extLst>
            <c:ext xmlns:c16="http://schemas.microsoft.com/office/drawing/2014/chart" uri="{C3380CC4-5D6E-409C-BE32-E72D297353CC}">
              <c16:uniqueId val="{00000000-74F0-4DB2-9276-FDA0D104E256}"/>
            </c:ext>
          </c:extLst>
        </c:ser>
        <c:ser>
          <c:idx val="1"/>
          <c:order val="1"/>
          <c:tx>
            <c:strRef>
              <c:f>Graphs!graph_c_B_title</c:f>
              <c:strCache>
                <c:ptCount val="1"/>
                <c:pt idx="0">
                  <c:v>RC 12, color smoothing OFF</c:v>
                </c:pt>
              </c:strCache>
            </c:strRef>
          </c:tx>
          <c:spPr>
            <a:ln>
              <a:prstDash val="solid"/>
            </a:ln>
          </c:spPr>
          <c:marker>
            <c:symbol val="none"/>
          </c:marker>
          <c:xVal>
            <c:numRef>
              <c:f>Graphs!graph_c_x_range_B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Graphs!graph_c_y_range_B</c:f>
              <c:numCache>
                <c:formatCode>0.00</c:formatCode>
                <c:ptCount val="5"/>
                <c:pt idx="0">
                  <c:v>32.118749999999999</c:v>
                </c:pt>
                <c:pt idx="1">
                  <c:v>34.365765625000002</c:v>
                </c:pt>
                <c:pt idx="2">
                  <c:v>36.913812499999999</c:v>
                </c:pt>
                <c:pt idx="3">
                  <c:v>39.549384375000002</c:v>
                </c:pt>
                <c:pt idx="4">
                  <c:v>42.149353124999998</c:v>
                </c:pt>
              </c:numCache>
            </c:numRef>
          </c:yVal>
          <c:smooth val="1"/>
          <c:extLst>
            <c:ext xmlns:c16="http://schemas.microsoft.com/office/drawing/2014/chart" uri="{C3380CC4-5D6E-409C-BE32-E72D297353CC}">
              <c16:uniqueId val="{00000001-74F0-4DB2-9276-FDA0D104E25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RC 11, color smoothing OFF</c:v>
                </c:pt>
              </c:strCache>
            </c:strRef>
          </c:tx>
          <c:spPr>
            <a:ln>
              <a:prstDash val="solid"/>
            </a:ln>
          </c:spPr>
          <c:marker>
            <c:symbol val="none"/>
          </c:marker>
          <c:xVal>
            <c:numRef>
              <c:f>Graphs!graph_d_x_range_A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Graphs!graph_d_y_range_A</c:f>
              <c:numCache>
                <c:formatCode>0.00</c:formatCode>
                <c:ptCount val="5"/>
                <c:pt idx="0">
                  <c:v>44.142106249999998</c:v>
                </c:pt>
                <c:pt idx="1">
                  <c:v>45.465318750000002</c:v>
                </c:pt>
                <c:pt idx="2">
                  <c:v>46.562987499999998</c:v>
                </c:pt>
                <c:pt idx="3">
                  <c:v>47.909043750000002</c:v>
                </c:pt>
                <c:pt idx="4">
                  <c:v>49.410325</c:v>
                </c:pt>
              </c:numCache>
            </c:numRef>
          </c:yVal>
          <c:smooth val="1"/>
          <c:extLst>
            <c:ext xmlns:c16="http://schemas.microsoft.com/office/drawing/2014/chart" uri="{C3380CC4-5D6E-409C-BE32-E72D297353CC}">
              <c16:uniqueId val="{00000000-742E-42C1-BFCB-DF95EA92B312}"/>
            </c:ext>
          </c:extLst>
        </c:ser>
        <c:ser>
          <c:idx val="1"/>
          <c:order val="1"/>
          <c:tx>
            <c:strRef>
              <c:f>Graphs!graph_d_B_title</c:f>
              <c:strCache>
                <c:ptCount val="1"/>
                <c:pt idx="0">
                  <c:v>RC 12, color smoothing OFF</c:v>
                </c:pt>
              </c:strCache>
            </c:strRef>
          </c:tx>
          <c:spPr>
            <a:ln>
              <a:prstDash val="solid"/>
            </a:ln>
          </c:spPr>
          <c:marker>
            <c:symbol val="none"/>
          </c:marker>
          <c:xVal>
            <c:numRef>
              <c:f>Graphs!graph_d_x_range_B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Graphs!graph_d_y_range_B</c:f>
              <c:numCache>
                <c:formatCode>0.00</c:formatCode>
                <c:ptCount val="5"/>
                <c:pt idx="0">
                  <c:v>44.142106249999998</c:v>
                </c:pt>
                <c:pt idx="1">
                  <c:v>45.465318750000002</c:v>
                </c:pt>
                <c:pt idx="2">
                  <c:v>46.562987499999998</c:v>
                </c:pt>
                <c:pt idx="3">
                  <c:v>47.909043750000002</c:v>
                </c:pt>
                <c:pt idx="4">
                  <c:v>49.410325</c:v>
                </c:pt>
              </c:numCache>
            </c:numRef>
          </c:yVal>
          <c:smooth val="1"/>
          <c:extLst>
            <c:ext xmlns:c16="http://schemas.microsoft.com/office/drawing/2014/chart" uri="{C3380CC4-5D6E-409C-BE32-E72D297353CC}">
              <c16:uniqueId val="{00000001-742E-42C1-BFCB-DF95EA92B31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RC 11, color smoothing OFF</c:v>
                </c:pt>
              </c:strCache>
            </c:strRef>
          </c:tx>
          <c:spPr>
            <a:ln>
              <a:prstDash val="solid"/>
            </a:ln>
          </c:spPr>
          <c:marker>
            <c:symbol val="none"/>
          </c:marker>
          <c:xVal>
            <c:numRef>
              <c:f>Graphs!graph_e_x_range_A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Graphs!graph_e_y_range_A</c:f>
              <c:numCache>
                <c:formatCode>0.00</c:formatCode>
                <c:ptCount val="5"/>
                <c:pt idx="0">
                  <c:v>43.801334375000003</c:v>
                </c:pt>
                <c:pt idx="1">
                  <c:v>45.241109375000001</c:v>
                </c:pt>
                <c:pt idx="2">
                  <c:v>46.434362499999999</c:v>
                </c:pt>
                <c:pt idx="3">
                  <c:v>47.946121874999903</c:v>
                </c:pt>
                <c:pt idx="4">
                  <c:v>49.538584374999999</c:v>
                </c:pt>
              </c:numCache>
            </c:numRef>
          </c:yVal>
          <c:smooth val="1"/>
          <c:extLst>
            <c:ext xmlns:c16="http://schemas.microsoft.com/office/drawing/2014/chart" uri="{C3380CC4-5D6E-409C-BE32-E72D297353CC}">
              <c16:uniqueId val="{00000000-3C6D-42BD-9C9D-F777103935D3}"/>
            </c:ext>
          </c:extLst>
        </c:ser>
        <c:ser>
          <c:idx val="1"/>
          <c:order val="1"/>
          <c:tx>
            <c:strRef>
              <c:f>Graphs!graph_e_B_title</c:f>
              <c:strCache>
                <c:ptCount val="1"/>
                <c:pt idx="0">
                  <c:v>RC 12, color smoothing OFF</c:v>
                </c:pt>
              </c:strCache>
            </c:strRef>
          </c:tx>
          <c:spPr>
            <a:ln>
              <a:prstDash val="solid"/>
            </a:ln>
          </c:spPr>
          <c:marker>
            <c:symbol val="none"/>
          </c:marker>
          <c:xVal>
            <c:numRef>
              <c:f>Graphs!graph_e_x_range_B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Graphs!graph_e_y_range_B</c:f>
              <c:numCache>
                <c:formatCode>0.00</c:formatCode>
                <c:ptCount val="5"/>
                <c:pt idx="0">
                  <c:v>43.801334375000003</c:v>
                </c:pt>
                <c:pt idx="1">
                  <c:v>45.241109375000001</c:v>
                </c:pt>
                <c:pt idx="2">
                  <c:v>46.434362499999999</c:v>
                </c:pt>
                <c:pt idx="3">
                  <c:v>47.946121875000003</c:v>
                </c:pt>
                <c:pt idx="4">
                  <c:v>49.538584374999999</c:v>
                </c:pt>
              </c:numCache>
            </c:numRef>
          </c:yVal>
          <c:smooth val="1"/>
          <c:extLst>
            <c:ext xmlns:c16="http://schemas.microsoft.com/office/drawing/2014/chart" uri="{C3380CC4-5D6E-409C-BE32-E72D297353CC}">
              <c16:uniqueId val="{00000001-3C6D-42BD-9C9D-F777103935D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RC 11, color smoothing OFF</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D43F-48B2-9098-EFA3DF320507}"/>
            </c:ext>
          </c:extLst>
        </c:ser>
        <c:ser>
          <c:idx val="1"/>
          <c:order val="1"/>
          <c:tx>
            <c:strRef>
              <c:f>Graphs!graph_f_B_title</c:f>
              <c:strCache>
                <c:ptCount val="1"/>
                <c:pt idx="0">
                  <c:v>RC 12, color smoothing OFF</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D43F-48B2-9098-EFA3DF32050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topLeftCell="B1" workbookViewId="0">
      <selection activeCell="C2" sqref="C2:E2"/>
    </sheetView>
  </sheetViews>
  <sheetFormatPr defaultRowHeight="14.4" x14ac:dyDescent="0.3"/>
  <cols>
    <col min="2" max="2" width="16.6640625" style="53" customWidth="1"/>
    <col min="3" max="12" width="24.6640625" style="53" customWidth="1"/>
  </cols>
  <sheetData>
    <row r="1" spans="2:12" x14ac:dyDescent="0.3">
      <c r="B1" t="s">
        <v>0</v>
      </c>
      <c r="C1" s="60" t="s">
        <v>596</v>
      </c>
      <c r="D1" s="61"/>
      <c r="E1" s="61"/>
    </row>
    <row r="2" spans="2:12" x14ac:dyDescent="0.3">
      <c r="B2" t="s">
        <v>1</v>
      </c>
      <c r="C2" s="62" t="s">
        <v>595</v>
      </c>
      <c r="D2" s="61"/>
      <c r="E2" s="61"/>
    </row>
    <row r="4" spans="2:12" s="1" customFormat="1" x14ac:dyDescent="0.3">
      <c r="B4" s="1" t="s">
        <v>2</v>
      </c>
    </row>
    <row r="6" spans="2:12" x14ac:dyDescent="0.3">
      <c r="B6" s="63" t="s">
        <v>3</v>
      </c>
      <c r="C6" s="65" t="s">
        <v>4</v>
      </c>
      <c r="D6" s="66"/>
      <c r="E6" s="66"/>
      <c r="F6" s="66"/>
      <c r="G6" s="66"/>
      <c r="H6" s="66"/>
      <c r="I6" s="66"/>
      <c r="J6" s="66"/>
      <c r="K6" s="66"/>
      <c r="L6" s="66"/>
    </row>
    <row r="7" spans="2:12" x14ac:dyDescent="0.3">
      <c r="B7" s="61"/>
      <c r="C7" s="67" t="s">
        <v>5</v>
      </c>
      <c r="D7" s="61"/>
      <c r="E7" s="68" t="s">
        <v>6</v>
      </c>
      <c r="F7" s="61"/>
      <c r="G7" s="61"/>
      <c r="H7" s="67" t="s">
        <v>7</v>
      </c>
      <c r="I7" s="61"/>
      <c r="J7" s="68" t="s">
        <v>8</v>
      </c>
      <c r="K7" s="61"/>
      <c r="L7" s="61"/>
    </row>
    <row r="8" spans="2:12" x14ac:dyDescent="0.3">
      <c r="B8" s="64"/>
      <c r="C8" s="2" t="s">
        <v>9</v>
      </c>
      <c r="D8" s="2" t="s">
        <v>10</v>
      </c>
      <c r="E8" s="3" t="s">
        <v>11</v>
      </c>
      <c r="F8" s="3" t="s">
        <v>12</v>
      </c>
      <c r="G8" s="3" t="s">
        <v>13</v>
      </c>
      <c r="H8" s="2" t="s">
        <v>9</v>
      </c>
      <c r="I8" s="2" t="s">
        <v>10</v>
      </c>
      <c r="J8" s="3" t="s">
        <v>11</v>
      </c>
      <c r="K8" s="3" t="s">
        <v>12</v>
      </c>
      <c r="L8" s="3" t="s">
        <v>13</v>
      </c>
    </row>
    <row r="9" spans="2:12" x14ac:dyDescent="0.3">
      <c r="B9" t="s">
        <v>14</v>
      </c>
      <c r="C9" s="4">
        <f>'C2 lossyG,lossyA,intra'!$BJ$40:$BJ$40</f>
        <v>-8.4932061383824475E-15</v>
      </c>
      <c r="D9" s="4">
        <f>'C2 lossyG,lossyA,intra'!$BK$40:$BK$40</f>
        <v>-2.9420910152566648E-15</v>
      </c>
      <c r="E9" s="4">
        <f>'C2 lossyG,lossyA,intra'!$BL$40:$BL$40</f>
        <v>-1.5432100042289676E-14</v>
      </c>
      <c r="F9" s="4">
        <f>'C2 lossyG,lossyA,intra'!$BM$40:$BM$40</f>
        <v>-1.4988010832439613E-14</v>
      </c>
      <c r="G9" s="4">
        <f>'C2 lossyG,lossyA,intra'!$BN$40:$BN$40</f>
        <v>-2.0039525594484076E-14</v>
      </c>
      <c r="H9" s="4">
        <f>'C2 lossyG,lossyA,intra'!$BP$40:$BP$40</f>
        <v>-1.4765966227514582E-14</v>
      </c>
      <c r="I9" s="4">
        <f>'C2 lossyG,lossyA,intra'!$BQ$40:$BQ$40</f>
        <v>-7.1054273576010019E-15</v>
      </c>
      <c r="J9" s="4">
        <f>'C2 lossyG,lossyA,intra'!$BR$40:$BR$40</f>
        <v>-1.3267165144270621E-14</v>
      </c>
      <c r="K9" s="4">
        <f>'C2 lossyG,lossyA,intra'!$BS$40:$BS$40</f>
        <v>-1.3100631690576847E-14</v>
      </c>
      <c r="L9" s="4">
        <f>'C2 lossyG,lossyA,intra'!$BT$40:$BT$40</f>
        <v>-1.4876988529977098E-14</v>
      </c>
    </row>
    <row r="10" spans="2:12" x14ac:dyDescent="0.3">
      <c r="B10" t="s">
        <v>15</v>
      </c>
      <c r="C10" s="4">
        <f>'C2 lossyG,lossyA,intra'!$BJ$41:$BJ$41</f>
        <v>0</v>
      </c>
      <c r="D10" s="4">
        <f>'C2 lossyG,lossyA,intra'!$BK$41:$BK$41</f>
        <v>-4.6629367034256575E-15</v>
      </c>
      <c r="E10" s="4">
        <f>'C2 lossyG,lossyA,intra'!$BL$41:$BL$41</f>
        <v>-1.3100631690576847E-14</v>
      </c>
      <c r="F10" s="4">
        <f>'C2 lossyG,lossyA,intra'!$BM$41:$BM$41</f>
        <v>0</v>
      </c>
      <c r="G10" s="4">
        <f>'C2 lossyG,lossyA,intra'!$BN$41:$BN$41</f>
        <v>-2.6645352591003757E-15</v>
      </c>
      <c r="H10" s="4">
        <f>'C2 lossyG,lossyA,intra'!$BP$41:$BP$41</f>
        <v>0</v>
      </c>
      <c r="I10" s="4">
        <f>'C2 lossyG,lossyA,intra'!$BQ$41:$BQ$41</f>
        <v>-1.1768364061026659E-14</v>
      </c>
      <c r="J10" s="4">
        <f>'C2 lossyG,lossyA,intra'!$BR$41:$BR$41</f>
        <v>-9.7699626167013776E-15</v>
      </c>
      <c r="K10" s="4">
        <f>'C2 lossyG,lossyA,intra'!$BS$41:$BS$41</f>
        <v>0</v>
      </c>
      <c r="L10" s="4">
        <f>'C2 lossyG,lossyA,intra'!$BT$41:$BT$41</f>
        <v>-5.3290705182007514E-15</v>
      </c>
    </row>
    <row r="11" spans="2:12" x14ac:dyDescent="0.3">
      <c r="B11" t="s">
        <v>16</v>
      </c>
      <c r="C11" s="4">
        <f>'C2 lossyG,lossyA,intra'!$BJ$42:$BJ$42</f>
        <v>0</v>
      </c>
      <c r="D11" s="4">
        <f>'C2 lossyG,lossyA,intra'!$BK$42:$BK$42</f>
        <v>-8.992806499463768E-15</v>
      </c>
      <c r="E11" s="4">
        <f>'C2 lossyG,lossyA,intra'!$BL$42:$BL$42</f>
        <v>-1.1213252548714081E-14</v>
      </c>
      <c r="F11" s="4">
        <f>'C2 lossyG,lossyA,intra'!$BM$42:$BM$42</f>
        <v>-2.2426505097428162E-14</v>
      </c>
      <c r="G11" s="4">
        <f>'C2 lossyG,lossyA,intra'!$BN$42:$BN$42</f>
        <v>-1.7208456881689926E-14</v>
      </c>
      <c r="H11" s="4">
        <f>'C2 lossyG,lossyA,intra'!$BP$42:$BP$42</f>
        <v>0</v>
      </c>
      <c r="I11" s="4">
        <f>'C2 lossyG,lossyA,intra'!$BQ$42:$BQ$42</f>
        <v>-8.992806499463768E-15</v>
      </c>
      <c r="J11" s="4">
        <f>'C2 lossyG,lossyA,intra'!$BR$42:$BR$42</f>
        <v>-8.992806499463768E-15</v>
      </c>
      <c r="K11" s="4">
        <f>'C2 lossyG,lossyA,intra'!$BS$42:$BS$42</f>
        <v>-1.532107773982716E-14</v>
      </c>
      <c r="L11" s="4">
        <f>'C2 lossyG,lossyA,intra'!$BT$42:$BT$42</f>
        <v>-1.865174681370263E-14</v>
      </c>
    </row>
    <row r="12" spans="2:12" x14ac:dyDescent="0.3">
      <c r="B12" s="5" t="s">
        <v>17</v>
      </c>
      <c r="C12" s="6">
        <f>'C2 lossyG,lossyA,intra'!$BJ$43:$BJ$43</f>
        <v>-4.8532606505042558E-15</v>
      </c>
      <c r="D12" s="6">
        <f>'C2 lossyG,lossyA,intra'!$BK$43:$BK$43</f>
        <v>-4.9167019661971217E-15</v>
      </c>
      <c r="E12" s="6">
        <f>'C2 lossyG,lossyA,intra'!$BL$43:$BL$43</f>
        <v>-1.3893648136737673E-14</v>
      </c>
      <c r="F12" s="6">
        <f>'C2 lossyG,lossyA,intra'!$BM$43:$BM$43</f>
        <v>-1.4972150503516397E-14</v>
      </c>
      <c r="G12" s="6">
        <f>'C2 lossyG,lossyA,intra'!$BN$43:$BN$43</f>
        <v>-1.6748507342916648E-14</v>
      </c>
      <c r="H12" s="6">
        <f>'C2 lossyG,lossyA,intra'!$BP$43:$BP$43</f>
        <v>-8.4376949871511897E-15</v>
      </c>
      <c r="I12" s="6">
        <f>'C2 lossyG,lossyA,intra'!$BQ$43:$BQ$43</f>
        <v>-8.310812355765458E-15</v>
      </c>
      <c r="J12" s="6">
        <f>'C2 lossyG,lossyA,intra'!$BR$43:$BR$43</f>
        <v>-1.1546319456101628E-14</v>
      </c>
      <c r="K12" s="6">
        <f>'C2 lossyG,lossyA,intra'!$BS$43:$BS$43</f>
        <v>-1.1863526034565959E-14</v>
      </c>
      <c r="L12" s="6">
        <f>'C2 lossyG,lossyA,intra'!$BT$43:$BT$43</f>
        <v>-1.4591502609359199E-14</v>
      </c>
    </row>
    <row r="13" spans="2:12" x14ac:dyDescent="0.3">
      <c r="B13" t="s">
        <v>18</v>
      </c>
      <c r="C13" s="69">
        <f>'C2 lossyG,lossyA,intra'!AZ47</f>
        <v>1.5667730489547005</v>
      </c>
      <c r="D13" s="61"/>
      <c r="E13" s="61"/>
      <c r="F13" s="61"/>
      <c r="G13" s="61"/>
      <c r="H13" s="61"/>
      <c r="I13" s="61"/>
      <c r="J13" s="61"/>
      <c r="K13" s="61"/>
      <c r="L13" s="61"/>
    </row>
    <row r="14" spans="2:12" x14ac:dyDescent="0.3">
      <c r="B14" s="54" t="s">
        <v>19</v>
      </c>
      <c r="C14" s="70">
        <f>'C2 lossyG,lossyA,intra'!BB47</f>
        <v>1.5217883500703995</v>
      </c>
      <c r="D14" s="64"/>
      <c r="E14" s="64"/>
      <c r="F14" s="64"/>
      <c r="G14" s="64"/>
      <c r="H14" s="64"/>
      <c r="I14" s="64"/>
      <c r="J14" s="64"/>
      <c r="K14" s="64"/>
      <c r="L14" s="64"/>
    </row>
    <row r="16" spans="2:12" x14ac:dyDescent="0.3">
      <c r="B16" s="63" t="s">
        <v>20</v>
      </c>
      <c r="C16" s="65" t="s">
        <v>21</v>
      </c>
      <c r="D16" s="66"/>
      <c r="E16" s="66"/>
    </row>
    <row r="17" spans="2:5" x14ac:dyDescent="0.3">
      <c r="B17" s="61"/>
      <c r="C17" s="67" t="s">
        <v>22</v>
      </c>
      <c r="D17" s="61"/>
      <c r="E17" s="61"/>
    </row>
    <row r="18" spans="2:5" x14ac:dyDescent="0.3">
      <c r="B18" s="64"/>
      <c r="C18" s="2" t="s">
        <v>23</v>
      </c>
      <c r="D18" s="2" t="s">
        <v>24</v>
      </c>
      <c r="E18" s="2" t="s">
        <v>25</v>
      </c>
    </row>
    <row r="19" spans="2:5" x14ac:dyDescent="0.3">
      <c r="B19" t="s">
        <v>14</v>
      </c>
      <c r="C19" s="4" t="e">
        <f>'CW losslG,losslA,intra'!BC12</f>
        <v>#DIV/0!</v>
      </c>
      <c r="D19" s="4" t="e">
        <f>'CW losslG,losslA,intra'!BE12</f>
        <v>#DIV/0!</v>
      </c>
      <c r="E19" s="4" t="e">
        <f>'CW losslG,losslA,intra'!BB12</f>
        <v>#DIV/0!</v>
      </c>
    </row>
    <row r="20" spans="2:5" x14ac:dyDescent="0.3">
      <c r="B20" t="s">
        <v>15</v>
      </c>
      <c r="C20" s="4" t="e">
        <f>'CW losslG,losslA,intra'!BC13</f>
        <v>#DIV/0!</v>
      </c>
      <c r="D20" s="4" t="e">
        <f>'CW losslG,losslA,intra'!BE13</f>
        <v>#DIV/0!</v>
      </c>
      <c r="E20" s="4" t="e">
        <f>'CW losslG,losslA,intra'!BB13</f>
        <v>#DIV/0!</v>
      </c>
    </row>
    <row r="21" spans="2:5" x14ac:dyDescent="0.3">
      <c r="B21" t="s">
        <v>16</v>
      </c>
      <c r="C21" s="4" t="e">
        <f>'CW losslG,losslA,intra'!BC14</f>
        <v>#DIV/0!</v>
      </c>
      <c r="D21" s="4" t="e">
        <f>'CW losslG,losslA,intra'!BE14</f>
        <v>#DIV/0!</v>
      </c>
      <c r="E21" s="4" t="e">
        <f>'CW losslG,losslA,intra'!BB14</f>
        <v>#DIV/0!</v>
      </c>
    </row>
    <row r="22" spans="2:5" x14ac:dyDescent="0.3">
      <c r="B22" s="5" t="s">
        <v>17</v>
      </c>
      <c r="C22" s="6" t="e">
        <f>'CW losslG,losslA,intra'!BC15</f>
        <v>#DIV/0!</v>
      </c>
      <c r="D22" s="6" t="e">
        <f>'CW losslG,losslA,intra'!BE15</f>
        <v>#DIV/0!</v>
      </c>
      <c r="E22" s="6" t="e">
        <f>'CW losslG,losslA,intra'!BB15</f>
        <v>#DIV/0!</v>
      </c>
    </row>
    <row r="23" spans="2:5" x14ac:dyDescent="0.3">
      <c r="B23" t="s">
        <v>18</v>
      </c>
      <c r="C23" s="69" t="e">
        <f>'CW losslG,losslA,intra'!AW19</f>
        <v>#NUM!</v>
      </c>
      <c r="D23" s="61"/>
      <c r="E23" s="61"/>
    </row>
    <row r="24" spans="2:5" x14ac:dyDescent="0.3">
      <c r="B24" s="54" t="s">
        <v>19</v>
      </c>
      <c r="C24" s="70" t="e">
        <f>'CW losslG,losslA,intra'!AY19</f>
        <v>#NUM!</v>
      </c>
      <c r="D24" s="64"/>
      <c r="E24" s="64"/>
    </row>
    <row r="26" spans="2:5" s="1" customFormat="1" x14ac:dyDescent="0.3">
      <c r="B26" s="1" t="s">
        <v>26</v>
      </c>
    </row>
    <row r="28" spans="2:5" x14ac:dyDescent="0.3">
      <c r="B28" s="63" t="s">
        <v>27</v>
      </c>
      <c r="C28" s="65" t="s">
        <v>28</v>
      </c>
      <c r="D28" s="66"/>
      <c r="E28" s="66"/>
    </row>
    <row r="29" spans="2:5" x14ac:dyDescent="0.3">
      <c r="B29" s="61"/>
      <c r="C29" s="67" t="s">
        <v>22</v>
      </c>
      <c r="D29" s="61"/>
      <c r="E29" s="61"/>
    </row>
    <row r="30" spans="2:5" x14ac:dyDescent="0.3">
      <c r="B30" s="64"/>
      <c r="C30" s="2" t="s">
        <v>23</v>
      </c>
      <c r="D30" s="2" t="s">
        <v>24</v>
      </c>
      <c r="E30" s="2" t="s">
        <v>25</v>
      </c>
    </row>
    <row r="31" spans="2:5" x14ac:dyDescent="0.3">
      <c r="B31" t="s">
        <v>14</v>
      </c>
      <c r="C31" s="4" t="e">
        <f>'CW losslG,losslA,interLD'!BC12</f>
        <v>#DIV/0!</v>
      </c>
      <c r="D31" s="4" t="e">
        <f>'CW losslG,losslA,interLD'!BE12</f>
        <v>#DIV/0!</v>
      </c>
      <c r="E31" s="4" t="e">
        <f>'CW losslG,losslA,interLD'!BB12</f>
        <v>#DIV/0!</v>
      </c>
    </row>
    <row r="32" spans="2:5" x14ac:dyDescent="0.3">
      <c r="B32" t="s">
        <v>15</v>
      </c>
      <c r="C32" s="4" t="e">
        <f>'CW losslG,losslA,interLD'!BC13</f>
        <v>#DIV/0!</v>
      </c>
      <c r="D32" s="4" t="e">
        <f>'CW losslG,losslA,interLD'!BE13</f>
        <v>#DIV/0!</v>
      </c>
      <c r="E32" s="4" t="e">
        <f>'CW losslG,losslA,interLD'!BB13</f>
        <v>#DIV/0!</v>
      </c>
    </row>
    <row r="33" spans="2:12" x14ac:dyDescent="0.3">
      <c r="B33" t="s">
        <v>16</v>
      </c>
      <c r="C33" s="4" t="e">
        <f>'CW losslG,losslA,interLD'!BC14</f>
        <v>#DIV/0!</v>
      </c>
      <c r="D33" s="4" t="e">
        <f>'CW losslG,losslA,interLD'!BE14</f>
        <v>#DIV/0!</v>
      </c>
      <c r="E33" s="4" t="e">
        <f>'CW losslG,losslA,interLD'!BB14</f>
        <v>#DIV/0!</v>
      </c>
    </row>
    <row r="34" spans="2:12" x14ac:dyDescent="0.3">
      <c r="B34" s="5" t="s">
        <v>17</v>
      </c>
      <c r="C34" s="6" t="e">
        <f>'CW losslG,losslA,interLD'!BC15</f>
        <v>#DIV/0!</v>
      </c>
      <c r="D34" s="6" t="e">
        <f>'CW losslG,losslA,interLD'!BE15</f>
        <v>#DIV/0!</v>
      </c>
      <c r="E34" s="6" t="e">
        <f>'CW losslG,losslA,interLD'!BB15</f>
        <v>#DIV/0!</v>
      </c>
    </row>
    <row r="35" spans="2:12" x14ac:dyDescent="0.3">
      <c r="B35" t="s">
        <v>18</v>
      </c>
      <c r="C35" s="69" t="e">
        <f>'CW losslG,losslA,interLD'!AW19</f>
        <v>#NUM!</v>
      </c>
      <c r="D35" s="61"/>
      <c r="E35" s="61"/>
    </row>
    <row r="36" spans="2:12" x14ac:dyDescent="0.3">
      <c r="B36" s="54" t="s">
        <v>19</v>
      </c>
      <c r="C36" s="70" t="e">
        <f>'CW losslG,losslA,interLD'!AY19</f>
        <v>#NUM!</v>
      </c>
      <c r="D36" s="64"/>
      <c r="E36" s="64"/>
    </row>
    <row r="38" spans="2:12" s="1" customFormat="1" x14ac:dyDescent="0.3">
      <c r="B38" s="1" t="s">
        <v>29</v>
      </c>
    </row>
    <row r="40" spans="2:12" x14ac:dyDescent="0.3">
      <c r="B40" s="63" t="s">
        <v>30</v>
      </c>
      <c r="C40" s="65" t="s">
        <v>31</v>
      </c>
      <c r="D40" s="66"/>
      <c r="E40" s="66"/>
      <c r="F40" s="66"/>
      <c r="G40" s="66"/>
      <c r="H40" s="66"/>
      <c r="I40" s="66"/>
      <c r="J40" s="66"/>
      <c r="K40" s="66"/>
      <c r="L40" s="66"/>
    </row>
    <row r="41" spans="2:12" x14ac:dyDescent="0.3">
      <c r="B41" s="61"/>
      <c r="C41" s="67" t="s">
        <v>5</v>
      </c>
      <c r="D41" s="61"/>
      <c r="E41" s="68" t="s">
        <v>6</v>
      </c>
      <c r="F41" s="61"/>
      <c r="G41" s="61"/>
      <c r="H41" s="67" t="s">
        <v>7</v>
      </c>
      <c r="I41" s="61"/>
      <c r="J41" s="68" t="s">
        <v>8</v>
      </c>
      <c r="K41" s="61"/>
      <c r="L41" s="61"/>
    </row>
    <row r="42" spans="2:12" x14ac:dyDescent="0.3">
      <c r="B42" s="64"/>
      <c r="C42" s="2" t="s">
        <v>9</v>
      </c>
      <c r="D42" s="2" t="s">
        <v>10</v>
      </c>
      <c r="E42" s="3" t="s">
        <v>11</v>
      </c>
      <c r="F42" s="3" t="s">
        <v>12</v>
      </c>
      <c r="G42" s="3" t="s">
        <v>13</v>
      </c>
      <c r="H42" s="2" t="s">
        <v>9</v>
      </c>
      <c r="I42" s="2" t="s">
        <v>10</v>
      </c>
      <c r="J42" s="3" t="s">
        <v>11</v>
      </c>
      <c r="K42" s="3" t="s">
        <v>12</v>
      </c>
      <c r="L42" s="3" t="s">
        <v>13</v>
      </c>
    </row>
    <row r="43" spans="2:12" x14ac:dyDescent="0.3">
      <c r="B43" t="s">
        <v>14</v>
      </c>
      <c r="C43" s="4">
        <f>'C2 lossyG,lossyA,interRA'!$BJ$40:$BJ$40</f>
        <v>-4.829470157119431E-15</v>
      </c>
      <c r="D43" s="4">
        <f>'C2 lossyG,lossyA,interRA'!$BK$40:$BK$40</f>
        <v>-5.2180482157382357E-15</v>
      </c>
      <c r="E43" s="4">
        <f>'C2 lossyG,lossyA,interRA'!$BL$40:$BL$40</f>
        <v>-9.8254737679326354E-15</v>
      </c>
      <c r="F43" s="4">
        <f>'C2 lossyG,lossyA,interRA'!$BM$40:$BM$40</f>
        <v>-2.0927704014184201E-14</v>
      </c>
      <c r="G43" s="4">
        <f>'C2 lossyG,lossyA,interRA'!$BN$40:$BN$40</f>
        <v>-3.0975222387041867E-14</v>
      </c>
      <c r="H43" s="4">
        <f>'C2 lossyG,lossyA,interRA'!$BP$40:$BP$40</f>
        <v>-4.0523140398818214E-15</v>
      </c>
      <c r="I43" s="4">
        <f>'C2 lossyG,lossyA,interRA'!$BQ$40:$BQ$40</f>
        <v>-8.1046280797636427E-15</v>
      </c>
      <c r="J43" s="4">
        <f>'C2 lossyG,lossyA,interRA'!$BR$40:$BR$40</f>
        <v>-3.3861802251067274E-15</v>
      </c>
      <c r="K43" s="4">
        <f>'C2 lossyG,lossyA,interRA'!$BS$40:$BS$40</f>
        <v>-9.5479180117763462E-15</v>
      </c>
      <c r="L43" s="4">
        <f>'C2 lossyG,lossyA,interRA'!$BT$40:$BT$40</f>
        <v>-2.0594637106796654E-14</v>
      </c>
    </row>
    <row r="44" spans="2:12" x14ac:dyDescent="0.3">
      <c r="B44" t="s">
        <v>15</v>
      </c>
      <c r="C44" s="4">
        <f>'C2 lossyG,lossyA,interRA'!$BJ$41:$BJ$41</f>
        <v>0</v>
      </c>
      <c r="D44" s="4">
        <f>'C2 lossyG,lossyA,interRA'!$BK$41:$BK$41</f>
        <v>-1.1990408665951691E-14</v>
      </c>
      <c r="E44" s="4">
        <f>'C2 lossyG,lossyA,interRA'!$BL$41:$BL$41</f>
        <v>-9.9920072216264089E-15</v>
      </c>
      <c r="F44" s="4">
        <f>'C2 lossyG,lossyA,interRA'!$BM$41:$BM$41</f>
        <v>-1.9317880628477724E-14</v>
      </c>
      <c r="G44" s="4">
        <f>'C2 lossyG,lossyA,interRA'!$BN$41:$BN$41</f>
        <v>-1.6209256159527285E-14</v>
      </c>
      <c r="H44" s="4">
        <f>'C2 lossyG,lossyA,interRA'!$BP$41:$BP$41</f>
        <v>0</v>
      </c>
      <c r="I44" s="4">
        <f>'C2 lossyG,lossyA,interRA'!$BQ$41:$BQ$41</f>
        <v>-1.6653345369377348E-14</v>
      </c>
      <c r="J44" s="4">
        <f>'C2 lossyG,lossyA,interRA'!$BR$41:$BR$41</f>
        <v>-9.9920072216264089E-15</v>
      </c>
      <c r="K44" s="4">
        <f>'C2 lossyG,lossyA,interRA'!$BS$41:$BS$41</f>
        <v>-1.9317880628477724E-14</v>
      </c>
      <c r="L44" s="4">
        <f>'C2 lossyG,lossyA,interRA'!$BT$41:$BT$41</f>
        <v>-7.9936057773011271E-15</v>
      </c>
    </row>
    <row r="45" spans="2:12" x14ac:dyDescent="0.3">
      <c r="B45" t="s">
        <v>16</v>
      </c>
      <c r="C45" s="4">
        <f>'C2 lossyG,lossyA,interRA'!$BJ$42:$BJ$42</f>
        <v>-2.4424906541753444E-15</v>
      </c>
      <c r="D45" s="4">
        <f>'C2 lossyG,lossyA,interRA'!$BK$42:$BK$42</f>
        <v>-6.4392935428259079E-15</v>
      </c>
      <c r="E45" s="4">
        <f>'C2 lossyG,lossyA,interRA'!$BL$42:$BL$42</f>
        <v>-2.2426505097428162E-14</v>
      </c>
      <c r="F45" s="4">
        <f>'C2 lossyG,lossyA,interRA'!$BM$42:$BM$42</f>
        <v>-1.609823385706477E-14</v>
      </c>
      <c r="G45" s="4">
        <f>'C2 lossyG,lossyA,interRA'!$BN$42:$BN$42</f>
        <v>-1.5654144647214707E-14</v>
      </c>
      <c r="H45" s="4">
        <f>'C2 lossyG,lossyA,interRA'!$BP$42:$BP$42</f>
        <v>-4.8849813083506888E-15</v>
      </c>
      <c r="I45" s="4">
        <f>'C2 lossyG,lossyA,interRA'!$BQ$42:$BQ$42</f>
        <v>-1.1657341758564144E-14</v>
      </c>
      <c r="J45" s="4">
        <f>'C2 lossyG,lossyA,interRA'!$BR$42:$BR$42</f>
        <v>-1.4765966227514582E-14</v>
      </c>
      <c r="K45" s="4">
        <f>'C2 lossyG,lossyA,interRA'!$BS$42:$BS$42</f>
        <v>-9.5479180117763462E-15</v>
      </c>
      <c r="L45" s="4">
        <f>'C2 lossyG,lossyA,interRA'!$BT$42:$BT$42</f>
        <v>-1.4099832412739488E-14</v>
      </c>
    </row>
    <row r="46" spans="2:12" x14ac:dyDescent="0.3">
      <c r="B46" s="5" t="s">
        <v>17</v>
      </c>
      <c r="C46" s="6">
        <f>'C2 lossyG,lossyA,interRA'!$BJ$43:$BJ$43</f>
        <v>-3.4575517052612017E-15</v>
      </c>
      <c r="D46" s="6">
        <f>'C2 lossyG,lossyA,interRA'!$BK$43:$BK$43</f>
        <v>-6.5344555163652067E-15</v>
      </c>
      <c r="E46" s="6">
        <f>'C2 lossyG,lossyA,interRA'!$BL$43:$BL$43</f>
        <v>-1.344955892688761E-14</v>
      </c>
      <c r="F46" s="6">
        <f>'C2 lossyG,lossyA,interRA'!$BM$43:$BM$43</f>
        <v>-1.9317880628477724E-14</v>
      </c>
      <c r="G46" s="6">
        <f>'C2 lossyG,lossyA,interRA'!$BN$43:$BN$43</f>
        <v>-2.4488347857446311E-14</v>
      </c>
      <c r="H46" s="6">
        <f>'C2 lossyG,lossyA,interRA'!$BP$43:$BP$43</f>
        <v>-3.7113169680326664E-15</v>
      </c>
      <c r="I46" s="6">
        <f>'C2 lossyG,lossyA,interRA'!$BQ$43:$BQ$43</f>
        <v>-1.0340934457937172E-14</v>
      </c>
      <c r="J46" s="6">
        <f>'C2 lossyG,lossyA,interRA'!$BR$43:$BR$43</f>
        <v>-7.5812372252974982E-15</v>
      </c>
      <c r="K46" s="6">
        <f>'C2 lossyG,lossyA,interRA'!$BS$43:$BS$43</f>
        <v>-1.09436269570194E-14</v>
      </c>
      <c r="L46" s="6">
        <f>'C2 lossyG,lossyA,interRA'!$BT$43:$BT$43</f>
        <v>-1.6938831289995247E-14</v>
      </c>
    </row>
    <row r="47" spans="2:12" x14ac:dyDescent="0.3">
      <c r="B47" t="s">
        <v>18</v>
      </c>
      <c r="C47" s="69">
        <f>'C2 lossyG,lossyA,interRA'!AZ47</f>
        <v>1.4215929948648374</v>
      </c>
      <c r="D47" s="61"/>
      <c r="E47" s="61"/>
      <c r="F47" s="61"/>
      <c r="G47" s="61"/>
      <c r="H47" s="61"/>
      <c r="I47" s="61"/>
      <c r="J47" s="61"/>
      <c r="K47" s="61"/>
      <c r="L47" s="61"/>
    </row>
    <row r="48" spans="2:12" x14ac:dyDescent="0.3">
      <c r="B48" s="54" t="s">
        <v>19</v>
      </c>
      <c r="C48" s="70">
        <f>'C2 lossyG,lossyA,interRA'!BB47</f>
        <v>1.105978201535899</v>
      </c>
      <c r="D48" s="64"/>
      <c r="E48" s="64"/>
      <c r="F48" s="64"/>
      <c r="G48" s="64"/>
      <c r="H48" s="64"/>
      <c r="I48" s="64"/>
      <c r="J48" s="64"/>
      <c r="K48" s="64"/>
      <c r="L48" s="64"/>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4.4" x14ac:dyDescent="0.3"/>
  <cols>
    <col min="1" max="1" width="12.6640625" style="53" customWidth="1"/>
    <col min="2" max="2" width="24.6640625" style="53" customWidth="1"/>
    <col min="4" max="4" width="24.6640625" style="53" customWidth="1"/>
    <col min="9" max="9" width="16.6640625" style="53" customWidth="1"/>
  </cols>
  <sheetData>
    <row r="1" spans="1:16" x14ac:dyDescent="0.3">
      <c r="A1" t="s">
        <v>32</v>
      </c>
      <c r="B1" s="7" t="str">
        <f>M1</f>
        <v>C2 lossyG,lossyA,intra</v>
      </c>
      <c r="C1" t="s">
        <v>33</v>
      </c>
      <c r="I1" t="s">
        <v>34</v>
      </c>
      <c r="M1" t="s">
        <v>35</v>
      </c>
      <c r="N1" t="s">
        <v>36</v>
      </c>
      <c r="O1" t="s">
        <v>37</v>
      </c>
      <c r="P1" t="s">
        <v>38</v>
      </c>
    </row>
    <row r="2" spans="1:16" x14ac:dyDescent="0.3">
      <c r="A2" t="s">
        <v>39</v>
      </c>
      <c r="B2" s="7" t="str">
        <f>HLOOKUP(B1,M1:ZZ3,3,0)</f>
        <v>8ivfbv2_loot_vox10</v>
      </c>
      <c r="C2" t="s">
        <v>40</v>
      </c>
      <c r="I2" t="s">
        <v>41</v>
      </c>
      <c r="J2" t="s">
        <v>42</v>
      </c>
      <c r="M2" t="s">
        <v>43</v>
      </c>
      <c r="N2" t="s">
        <v>44</v>
      </c>
      <c r="O2" t="s">
        <v>45</v>
      </c>
      <c r="P2" t="s">
        <v>46</v>
      </c>
    </row>
    <row r="3" spans="1:16" x14ac:dyDescent="0.3">
      <c r="I3" t="s">
        <v>47</v>
      </c>
      <c r="J3" t="s">
        <v>48</v>
      </c>
      <c r="M3" t="s">
        <v>49</v>
      </c>
      <c r="N3" t="s">
        <v>49</v>
      </c>
      <c r="O3" t="s">
        <v>49</v>
      </c>
      <c r="P3" t="s">
        <v>49</v>
      </c>
    </row>
    <row r="4" spans="1:16" x14ac:dyDescent="0.3">
      <c r="A4" t="s">
        <v>50</v>
      </c>
      <c r="B4" s="7" t="s">
        <v>51</v>
      </c>
      <c r="C4" t="s">
        <v>52</v>
      </c>
      <c r="D4" s="7" t="s">
        <v>53</v>
      </c>
      <c r="E4" t="s">
        <v>54</v>
      </c>
      <c r="I4" t="s">
        <v>55</v>
      </c>
      <c r="J4" t="s">
        <v>56</v>
      </c>
      <c r="M4" t="s">
        <v>57</v>
      </c>
      <c r="N4" t="s">
        <v>57</v>
      </c>
      <c r="O4" t="s">
        <v>57</v>
      </c>
      <c r="P4" t="s">
        <v>57</v>
      </c>
    </row>
    <row r="5" spans="1:16" x14ac:dyDescent="0.3">
      <c r="A5" t="s">
        <v>50</v>
      </c>
      <c r="B5" s="7" t="s">
        <v>51</v>
      </c>
      <c r="C5" t="s">
        <v>52</v>
      </c>
      <c r="D5" s="7" t="s">
        <v>58</v>
      </c>
      <c r="E5" t="s">
        <v>59</v>
      </c>
      <c r="I5" t="s">
        <v>60</v>
      </c>
      <c r="J5" t="s">
        <v>61</v>
      </c>
      <c r="M5" t="s">
        <v>62</v>
      </c>
      <c r="N5" t="s">
        <v>62</v>
      </c>
      <c r="O5" t="s">
        <v>62</v>
      </c>
      <c r="P5" t="s">
        <v>62</v>
      </c>
    </row>
    <row r="6" spans="1:16" x14ac:dyDescent="0.3">
      <c r="A6" t="s">
        <v>50</v>
      </c>
      <c r="B6" s="7" t="s">
        <v>63</v>
      </c>
      <c r="C6" t="s">
        <v>52</v>
      </c>
      <c r="D6" s="7" t="s">
        <v>64</v>
      </c>
      <c r="E6" t="s">
        <v>65</v>
      </c>
      <c r="I6" t="s">
        <v>66</v>
      </c>
      <c r="J6" t="s">
        <v>67</v>
      </c>
      <c r="M6" t="s">
        <v>68</v>
      </c>
      <c r="N6" t="s">
        <v>68</v>
      </c>
      <c r="O6" t="s">
        <v>68</v>
      </c>
      <c r="P6" t="s">
        <v>68</v>
      </c>
    </row>
    <row r="7" spans="1:16" x14ac:dyDescent="0.3">
      <c r="A7" t="s">
        <v>50</v>
      </c>
      <c r="B7" s="7" t="s">
        <v>63</v>
      </c>
      <c r="C7" t="s">
        <v>52</v>
      </c>
      <c r="D7" s="7" t="s">
        <v>47</v>
      </c>
      <c r="E7" t="s">
        <v>69</v>
      </c>
      <c r="I7" t="s">
        <v>53</v>
      </c>
      <c r="J7" t="s">
        <v>70</v>
      </c>
      <c r="M7" t="s">
        <v>71</v>
      </c>
      <c r="N7" t="s">
        <v>71</v>
      </c>
      <c r="O7" t="s">
        <v>71</v>
      </c>
      <c r="P7" t="s">
        <v>71</v>
      </c>
    </row>
    <row r="8" spans="1:16" x14ac:dyDescent="0.3">
      <c r="A8" t="s">
        <v>50</v>
      </c>
      <c r="B8" s="7" t="s">
        <v>63</v>
      </c>
      <c r="C8" t="s">
        <v>52</v>
      </c>
      <c r="D8" s="7" t="s">
        <v>60</v>
      </c>
      <c r="E8" t="s">
        <v>72</v>
      </c>
      <c r="I8" t="s">
        <v>73</v>
      </c>
      <c r="J8" t="s">
        <v>74</v>
      </c>
      <c r="M8" t="s">
        <v>75</v>
      </c>
      <c r="N8" t="s">
        <v>75</v>
      </c>
      <c r="O8" t="s">
        <v>75</v>
      </c>
      <c r="P8" t="s">
        <v>75</v>
      </c>
    </row>
    <row r="9" spans="1:16" x14ac:dyDescent="0.3">
      <c r="A9" t="s">
        <v>50</v>
      </c>
      <c r="B9" s="7" t="s">
        <v>76</v>
      </c>
      <c r="C9" t="s">
        <v>52</v>
      </c>
      <c r="D9" s="7" t="s">
        <v>77</v>
      </c>
      <c r="E9" t="s">
        <v>78</v>
      </c>
      <c r="I9" t="s">
        <v>58</v>
      </c>
      <c r="J9" t="s">
        <v>79</v>
      </c>
      <c r="M9" t="s">
        <v>80</v>
      </c>
      <c r="N9" t="s">
        <v>80</v>
      </c>
      <c r="O9" t="s">
        <v>80</v>
      </c>
      <c r="P9" t="s">
        <v>80</v>
      </c>
    </row>
    <row r="10" spans="1:16" x14ac:dyDescent="0.3">
      <c r="I10" t="s">
        <v>81</v>
      </c>
      <c r="J10" t="s">
        <v>82</v>
      </c>
    </row>
    <row r="11" spans="1:16" x14ac:dyDescent="0.3">
      <c r="I11" t="s">
        <v>83</v>
      </c>
      <c r="J11" t="s">
        <v>84</v>
      </c>
    </row>
    <row r="12" spans="1:16" x14ac:dyDescent="0.3">
      <c r="I12" t="s">
        <v>85</v>
      </c>
      <c r="J12" t="s">
        <v>86</v>
      </c>
    </row>
    <row r="13" spans="1:16" x14ac:dyDescent="0.3">
      <c r="I13" t="s">
        <v>87</v>
      </c>
      <c r="J13" t="s">
        <v>88</v>
      </c>
    </row>
    <row r="14" spans="1:16" x14ac:dyDescent="0.3">
      <c r="I14" t="s">
        <v>89</v>
      </c>
      <c r="J14" t="s">
        <v>90</v>
      </c>
    </row>
    <row r="15" spans="1:16" x14ac:dyDescent="0.3">
      <c r="I15" t="s">
        <v>91</v>
      </c>
      <c r="J15" t="s">
        <v>92</v>
      </c>
    </row>
    <row r="16" spans="1:16" x14ac:dyDescent="0.3">
      <c r="I16" t="s">
        <v>93</v>
      </c>
      <c r="J16" t="s">
        <v>94</v>
      </c>
    </row>
    <row r="17" spans="9:10" x14ac:dyDescent="0.3">
      <c r="I17" t="s">
        <v>77</v>
      </c>
      <c r="J17" t="s">
        <v>95</v>
      </c>
    </row>
    <row r="18" spans="9:10" x14ac:dyDescent="0.3">
      <c r="I18" t="s">
        <v>96</v>
      </c>
      <c r="J18" t="s">
        <v>97</v>
      </c>
    </row>
    <row r="19" spans="9:10" x14ac:dyDescent="0.3">
      <c r="I19" t="s">
        <v>98</v>
      </c>
      <c r="J19" t="s">
        <v>99</v>
      </c>
    </row>
    <row r="20" spans="9:10" x14ac:dyDescent="0.3">
      <c r="I20" t="s">
        <v>100</v>
      </c>
      <c r="J20" t="s">
        <v>101</v>
      </c>
    </row>
    <row r="21" spans="9:10" x14ac:dyDescent="0.3">
      <c r="I21" t="s">
        <v>102</v>
      </c>
      <c r="J21" t="s">
        <v>103</v>
      </c>
    </row>
    <row r="22" spans="9:10" x14ac:dyDescent="0.3">
      <c r="I22" t="s">
        <v>64</v>
      </c>
      <c r="J22" t="s">
        <v>104</v>
      </c>
    </row>
    <row r="23" spans="9:10" x14ac:dyDescent="0.3">
      <c r="I23" t="s">
        <v>105</v>
      </c>
      <c r="J23" t="s">
        <v>106</v>
      </c>
    </row>
    <row r="24" spans="9:10" x14ac:dyDescent="0.3">
      <c r="I24" t="s">
        <v>107</v>
      </c>
      <c r="J24" t="s">
        <v>108</v>
      </c>
    </row>
    <row r="25" spans="9:10" x14ac:dyDescent="0.3">
      <c r="I25" t="s">
        <v>109</v>
      </c>
      <c r="J25" t="s">
        <v>110</v>
      </c>
    </row>
    <row r="26" spans="9:10" x14ac:dyDescent="0.3">
      <c r="I26" t="s">
        <v>111</v>
      </c>
      <c r="J26" t="s">
        <v>112</v>
      </c>
    </row>
    <row r="27" spans="9:10" x14ac:dyDescent="0.3">
      <c r="I27" t="s">
        <v>113</v>
      </c>
      <c r="J27" t="s">
        <v>114</v>
      </c>
    </row>
    <row r="28" spans="9:10" x14ac:dyDescent="0.3">
      <c r="I28" t="s">
        <v>115</v>
      </c>
      <c r="J28" t="s">
        <v>116</v>
      </c>
    </row>
    <row r="29" spans="9:10" x14ac:dyDescent="0.3">
      <c r="I29" t="s">
        <v>117</v>
      </c>
      <c r="J29" t="s">
        <v>118</v>
      </c>
    </row>
    <row r="30" spans="9:10" x14ac:dyDescent="0.3">
      <c r="I30" t="s">
        <v>119</v>
      </c>
      <c r="J30" t="s">
        <v>120</v>
      </c>
    </row>
    <row r="31" spans="9:10" x14ac:dyDescent="0.3">
      <c r="I31" t="s">
        <v>121</v>
      </c>
      <c r="J31" t="s">
        <v>122</v>
      </c>
    </row>
    <row r="32" spans="9:10" x14ac:dyDescent="0.3">
      <c r="I32" t="s">
        <v>123</v>
      </c>
      <c r="J32" t="s">
        <v>124</v>
      </c>
    </row>
    <row r="33" spans="9:10" x14ac:dyDescent="0.3">
      <c r="I33" t="s">
        <v>125</v>
      </c>
      <c r="J33" t="s">
        <v>126</v>
      </c>
    </row>
    <row r="34" spans="9:10" x14ac:dyDescent="0.3">
      <c r="I34" t="s">
        <v>127</v>
      </c>
      <c r="J34" t="s">
        <v>128</v>
      </c>
    </row>
    <row r="35" spans="9:10" x14ac:dyDescent="0.3">
      <c r="I35" t="s">
        <v>63</v>
      </c>
      <c r="J35" t="s">
        <v>129</v>
      </c>
    </row>
    <row r="36" spans="9:10" x14ac:dyDescent="0.3">
      <c r="I36" t="s">
        <v>51</v>
      </c>
      <c r="J36" t="s">
        <v>130</v>
      </c>
    </row>
    <row r="37" spans="9:10" x14ac:dyDescent="0.3">
      <c r="I37" t="s">
        <v>131</v>
      </c>
      <c r="J37" t="s">
        <v>132</v>
      </c>
    </row>
    <row r="38" spans="9:10" x14ac:dyDescent="0.3">
      <c r="I38" t="s">
        <v>76</v>
      </c>
      <c r="J38" t="s">
        <v>133</v>
      </c>
    </row>
    <row r="39" spans="9:10" x14ac:dyDescent="0.3">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formula1>OFFSET(1:1,0,COLUMN(M1)-1,1,COUNTA(M1:ZZ1))</formula1>
    </dataValidation>
    <dataValidation type="list" showInputMessage="1" showErrorMessage="1" sqref="B2">
      <formula1>OFFSET(M:M,2,MATCH(B1,M1:ZZ1,0)-1,COUNTA(INDEX(M:ZZ,,MATCH(B1,M1:ZZ1,0)))-2)</formula1>
    </dataValidation>
    <dataValidation type="list"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J47"/>
  <sheetViews>
    <sheetView zoomScale="70" zoomScaleNormal="70" workbookViewId="0">
      <pane xSplit="2" ySplit="4" topLeftCell="AZ5" activePane="bottomRight" state="frozen"/>
      <selection pane="topRight" activeCell="C1" sqref="C1"/>
      <selection pane="bottomLeft" activeCell="A5" sqref="A5"/>
      <selection pane="bottomRight" activeCell="BE70" sqref="BE70"/>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8" max="78" width="9.5546875" style="53" customWidth="1"/>
    <col min="79" max="79" width="10.33203125" style="53" customWidth="1"/>
  </cols>
  <sheetData>
    <row r="1" spans="1:88" x14ac:dyDescent="0.3">
      <c r="A1" s="75" t="s">
        <v>136</v>
      </c>
      <c r="B1" s="61"/>
      <c r="C1" s="61"/>
      <c r="D1" s="61"/>
      <c r="E1" s="61"/>
      <c r="F1" s="61"/>
      <c r="G1" s="61"/>
      <c r="I1" s="60" t="s">
        <v>596</v>
      </c>
      <c r="J1" s="61"/>
      <c r="K1" s="61"/>
      <c r="L1" s="61"/>
      <c r="M1" s="61"/>
      <c r="N1" s="61"/>
      <c r="O1" s="61"/>
      <c r="P1" s="61"/>
      <c r="Q1" s="61"/>
      <c r="R1" s="61"/>
      <c r="S1" s="61"/>
      <c r="T1" s="61"/>
      <c r="U1" s="61"/>
      <c r="V1" s="61"/>
      <c r="W1" s="61"/>
      <c r="X1" s="61"/>
      <c r="Y1" s="61"/>
      <c r="Z1" s="61"/>
      <c r="AA1" s="61"/>
      <c r="AB1" s="61"/>
      <c r="AC1" s="61"/>
      <c r="AD1" s="61"/>
      <c r="AE1" s="61"/>
      <c r="AG1" s="62" t="s">
        <v>595</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5">
      <c r="A2" s="71" t="s">
        <v>137</v>
      </c>
      <c r="B2" s="72" t="s">
        <v>138</v>
      </c>
      <c r="C2" s="71" t="s">
        <v>139</v>
      </c>
      <c r="D2" s="72" t="s">
        <v>140</v>
      </c>
      <c r="E2" s="71" t="s">
        <v>141</v>
      </c>
      <c r="F2" s="72" t="s">
        <v>142</v>
      </c>
      <c r="G2" s="71" t="s">
        <v>143</v>
      </c>
      <c r="I2" s="72" t="s">
        <v>144</v>
      </c>
      <c r="J2" s="73" t="s">
        <v>145</v>
      </c>
      <c r="K2" s="61"/>
      <c r="L2" s="61"/>
      <c r="M2" s="61"/>
      <c r="N2" s="71" t="s">
        <v>146</v>
      </c>
      <c r="O2" s="72" t="s">
        <v>147</v>
      </c>
      <c r="P2" s="71" t="s">
        <v>84</v>
      </c>
      <c r="Q2" s="72" t="s">
        <v>86</v>
      </c>
      <c r="R2" s="71" t="s">
        <v>82</v>
      </c>
      <c r="S2" s="74" t="s">
        <v>148</v>
      </c>
      <c r="T2" s="61"/>
      <c r="U2" s="61"/>
      <c r="V2" s="61"/>
      <c r="W2" s="73" t="s">
        <v>149</v>
      </c>
      <c r="X2" s="61"/>
      <c r="Y2" s="74" t="s">
        <v>150</v>
      </c>
      <c r="Z2" s="61"/>
      <c r="AA2" s="61"/>
      <c r="AB2" s="73" t="s">
        <v>151</v>
      </c>
      <c r="AC2" s="61"/>
      <c r="AD2" s="74" t="s">
        <v>152</v>
      </c>
      <c r="AE2" s="61"/>
      <c r="AG2" s="71" t="s">
        <v>144</v>
      </c>
      <c r="AH2" s="74" t="s">
        <v>145</v>
      </c>
      <c r="AI2" s="61"/>
      <c r="AJ2" s="61"/>
      <c r="AK2" s="61"/>
      <c r="AL2" s="72" t="s">
        <v>153</v>
      </c>
      <c r="AM2" s="71" t="s">
        <v>147</v>
      </c>
      <c r="AN2" s="72" t="s">
        <v>84</v>
      </c>
      <c r="AO2" s="71" t="s">
        <v>86</v>
      </c>
      <c r="AP2" s="72" t="s">
        <v>82</v>
      </c>
      <c r="AQ2" s="73" t="s">
        <v>148</v>
      </c>
      <c r="AR2" s="61"/>
      <c r="AS2" s="61"/>
      <c r="AT2" s="61"/>
      <c r="AU2" s="74" t="s">
        <v>149</v>
      </c>
      <c r="AV2" s="61"/>
      <c r="AW2" s="73" t="s">
        <v>150</v>
      </c>
      <c r="AX2" s="61"/>
      <c r="AY2" s="61"/>
      <c r="AZ2" s="74" t="s">
        <v>151</v>
      </c>
      <c r="BA2" s="61"/>
      <c r="BB2" s="73" t="s">
        <v>152</v>
      </c>
      <c r="BC2" s="61"/>
      <c r="BE2" s="72" t="s">
        <v>154</v>
      </c>
      <c r="BF2" s="71" t="s">
        <v>155</v>
      </c>
      <c r="BG2" s="72" t="s">
        <v>156</v>
      </c>
      <c r="BH2" s="71" t="s">
        <v>156</v>
      </c>
      <c r="BJ2" s="74" t="s">
        <v>5</v>
      </c>
      <c r="BK2" s="61"/>
      <c r="BL2" s="73" t="s">
        <v>6</v>
      </c>
      <c r="BM2" s="61"/>
      <c r="BN2" s="61"/>
      <c r="BP2" s="74" t="s">
        <v>7</v>
      </c>
      <c r="BQ2" s="61"/>
      <c r="BR2" s="73" t="s">
        <v>8</v>
      </c>
      <c r="BS2" s="61"/>
      <c r="BT2" s="61"/>
      <c r="BV2" s="77" t="s">
        <v>157</v>
      </c>
      <c r="BW2" s="78" t="s">
        <v>158</v>
      </c>
      <c r="BX2" s="77" t="s">
        <v>159</v>
      </c>
      <c r="BY2" s="76" t="s">
        <v>160</v>
      </c>
      <c r="BZ2" s="61"/>
      <c r="CA2" s="61"/>
      <c r="CB2" s="61"/>
      <c r="CC2" s="79" t="s">
        <v>161</v>
      </c>
      <c r="CD2" s="61"/>
      <c r="CE2" s="76" t="s">
        <v>162</v>
      </c>
      <c r="CF2" s="61"/>
      <c r="CG2" s="61"/>
    </row>
    <row r="3" spans="1:88" ht="30.75" customHeight="1" thickBot="1" x14ac:dyDescent="0.35">
      <c r="A3" s="64"/>
      <c r="B3" s="64"/>
      <c r="C3" s="64"/>
      <c r="D3" s="64"/>
      <c r="E3" s="64"/>
      <c r="F3" s="64"/>
      <c r="G3" s="64"/>
      <c r="I3" s="64"/>
      <c r="J3" s="56" t="s">
        <v>25</v>
      </c>
      <c r="K3" s="56" t="s">
        <v>23</v>
      </c>
      <c r="L3" s="56" t="s">
        <v>163</v>
      </c>
      <c r="M3" s="56" t="s">
        <v>164</v>
      </c>
      <c r="N3" s="64"/>
      <c r="O3" s="64"/>
      <c r="P3" s="64"/>
      <c r="Q3" s="64"/>
      <c r="R3" s="64"/>
      <c r="S3" s="57" t="s">
        <v>25</v>
      </c>
      <c r="T3" s="57" t="s">
        <v>163</v>
      </c>
      <c r="U3" s="57" t="s">
        <v>165</v>
      </c>
      <c r="V3" s="57" t="s">
        <v>24</v>
      </c>
      <c r="W3" s="56" t="s">
        <v>9</v>
      </c>
      <c r="X3" s="56" t="s">
        <v>10</v>
      </c>
      <c r="Y3" s="57" t="s">
        <v>11</v>
      </c>
      <c r="Z3" s="57" t="s">
        <v>12</v>
      </c>
      <c r="AA3" s="57" t="s">
        <v>13</v>
      </c>
      <c r="AB3" s="56" t="s">
        <v>166</v>
      </c>
      <c r="AC3" s="56" t="s">
        <v>167</v>
      </c>
      <c r="AD3" s="57" t="s">
        <v>166</v>
      </c>
      <c r="AE3" s="57" t="s">
        <v>167</v>
      </c>
      <c r="AG3" s="64"/>
      <c r="AH3" s="57" t="s">
        <v>25</v>
      </c>
      <c r="AI3" s="57" t="s">
        <v>23</v>
      </c>
      <c r="AJ3" s="57" t="s">
        <v>163</v>
      </c>
      <c r="AK3" s="57" t="s">
        <v>164</v>
      </c>
      <c r="AL3" s="64"/>
      <c r="AM3" s="64"/>
      <c r="AN3" s="64"/>
      <c r="AO3" s="64"/>
      <c r="AP3" s="64"/>
      <c r="AQ3" s="56" t="s">
        <v>25</v>
      </c>
      <c r="AR3" s="56" t="s">
        <v>163</v>
      </c>
      <c r="AS3" s="56" t="s">
        <v>165</v>
      </c>
      <c r="AT3" s="56" t="s">
        <v>24</v>
      </c>
      <c r="AU3" s="57" t="s">
        <v>9</v>
      </c>
      <c r="AV3" s="57" t="s">
        <v>10</v>
      </c>
      <c r="AW3" s="56" t="s">
        <v>11</v>
      </c>
      <c r="AX3" s="56" t="s">
        <v>12</v>
      </c>
      <c r="AY3" s="56" t="s">
        <v>13</v>
      </c>
      <c r="AZ3" s="57" t="s">
        <v>166</v>
      </c>
      <c r="BA3" s="57" t="s">
        <v>167</v>
      </c>
      <c r="BB3" s="56" t="s">
        <v>166</v>
      </c>
      <c r="BC3" s="56" t="s">
        <v>167</v>
      </c>
      <c r="BE3" s="64"/>
      <c r="BF3" s="64"/>
      <c r="BG3" s="64"/>
      <c r="BH3" s="64"/>
      <c r="BJ3" s="57" t="s">
        <v>9</v>
      </c>
      <c r="BK3" s="57" t="s">
        <v>10</v>
      </c>
      <c r="BL3" s="56" t="s">
        <v>11</v>
      </c>
      <c r="BM3" s="56" t="s">
        <v>12</v>
      </c>
      <c r="BN3" s="56" t="s">
        <v>13</v>
      </c>
      <c r="BP3" s="57" t="s">
        <v>9</v>
      </c>
      <c r="BQ3" s="57" t="s">
        <v>10</v>
      </c>
      <c r="BR3" s="56" t="s">
        <v>11</v>
      </c>
      <c r="BS3" s="56" t="s">
        <v>12</v>
      </c>
      <c r="BT3" s="56" t="s">
        <v>13</v>
      </c>
      <c r="BV3" s="64"/>
      <c r="BW3" s="64"/>
      <c r="BX3" s="64"/>
      <c r="BY3" s="59" t="s">
        <v>25</v>
      </c>
      <c r="BZ3" s="59" t="s">
        <v>163</v>
      </c>
      <c r="CA3" s="59" t="s">
        <v>165</v>
      </c>
      <c r="CB3" s="59" t="s">
        <v>24</v>
      </c>
      <c r="CC3" s="58" t="s">
        <v>9</v>
      </c>
      <c r="CD3" s="58" t="s">
        <v>10</v>
      </c>
      <c r="CE3" s="59" t="s">
        <v>11</v>
      </c>
      <c r="CF3" s="59" t="s">
        <v>12</v>
      </c>
      <c r="CG3" s="59" t="s">
        <v>13</v>
      </c>
    </row>
    <row r="4" spans="1:88" ht="122.25" hidden="1" customHeight="1" thickBot="1" x14ac:dyDescent="0.35">
      <c r="A4" s="8" t="s">
        <v>168</v>
      </c>
      <c r="B4" s="9" t="s">
        <v>169</v>
      </c>
      <c r="C4" s="8" t="s">
        <v>170</v>
      </c>
      <c r="D4" s="9" t="s">
        <v>171</v>
      </c>
      <c r="E4" s="8" t="s">
        <v>172</v>
      </c>
      <c r="F4" s="9" t="s">
        <v>173</v>
      </c>
      <c r="G4" s="8" t="s">
        <v>174</v>
      </c>
      <c r="I4" s="9" t="s">
        <v>175</v>
      </c>
      <c r="J4" s="8" t="s">
        <v>176</v>
      </c>
      <c r="K4" s="8" t="s">
        <v>177</v>
      </c>
      <c r="L4" s="8" t="s">
        <v>178</v>
      </c>
      <c r="M4" s="8" t="s">
        <v>179</v>
      </c>
      <c r="N4" s="8" t="s">
        <v>180</v>
      </c>
      <c r="O4" s="9" t="s">
        <v>181</v>
      </c>
      <c r="P4" s="8" t="s">
        <v>182</v>
      </c>
      <c r="Q4" s="9" t="s">
        <v>183</v>
      </c>
      <c r="R4" s="8" t="s">
        <v>184</v>
      </c>
      <c r="S4" s="9" t="s">
        <v>185</v>
      </c>
      <c r="T4" s="9" t="s">
        <v>186</v>
      </c>
      <c r="U4" s="9" t="s">
        <v>187</v>
      </c>
      <c r="V4" s="9" t="s">
        <v>188</v>
      </c>
      <c r="W4" s="8" t="s">
        <v>189</v>
      </c>
      <c r="X4" s="8" t="s">
        <v>190</v>
      </c>
      <c r="Y4" s="9" t="s">
        <v>191</v>
      </c>
      <c r="Z4" s="9" t="s">
        <v>192</v>
      </c>
      <c r="AA4" s="9" t="s">
        <v>193</v>
      </c>
      <c r="AB4" s="8" t="s">
        <v>194</v>
      </c>
      <c r="AC4" s="8" t="s">
        <v>195</v>
      </c>
      <c r="AD4" s="9" t="s">
        <v>196</v>
      </c>
      <c r="AE4" s="9" t="s">
        <v>197</v>
      </c>
      <c r="AG4" s="8" t="s">
        <v>198</v>
      </c>
      <c r="AH4" s="9" t="s">
        <v>199</v>
      </c>
      <c r="AI4" s="9" t="s">
        <v>200</v>
      </c>
      <c r="AJ4" s="9" t="s">
        <v>201</v>
      </c>
      <c r="AK4" s="9" t="s">
        <v>202</v>
      </c>
      <c r="AL4" s="9" t="s">
        <v>203</v>
      </c>
      <c r="AM4" s="8" t="s">
        <v>204</v>
      </c>
      <c r="AN4" s="9" t="s">
        <v>205</v>
      </c>
      <c r="AO4" s="8" t="s">
        <v>206</v>
      </c>
      <c r="AP4" s="9" t="s">
        <v>207</v>
      </c>
      <c r="AQ4" s="8" t="s">
        <v>208</v>
      </c>
      <c r="AR4" s="8" t="s">
        <v>209</v>
      </c>
      <c r="AS4" s="8" t="s">
        <v>210</v>
      </c>
      <c r="AT4" s="8" t="s">
        <v>211</v>
      </c>
      <c r="AU4" s="9" t="s">
        <v>212</v>
      </c>
      <c r="AV4" s="9" t="s">
        <v>213</v>
      </c>
      <c r="AW4" s="8" t="s">
        <v>214</v>
      </c>
      <c r="AX4" s="8" t="s">
        <v>215</v>
      </c>
      <c r="AY4" s="8" t="s">
        <v>216</v>
      </c>
      <c r="AZ4" s="9" t="s">
        <v>217</v>
      </c>
      <c r="BA4" s="9" t="s">
        <v>218</v>
      </c>
      <c r="BB4" s="8" t="s">
        <v>219</v>
      </c>
      <c r="BC4" s="8" t="s">
        <v>220</v>
      </c>
      <c r="BE4" s="9" t="s">
        <v>221</v>
      </c>
      <c r="BF4" s="8" t="s">
        <v>222</v>
      </c>
      <c r="BG4" s="9" t="s">
        <v>223</v>
      </c>
      <c r="BH4" s="8" t="s">
        <v>224</v>
      </c>
      <c r="BJ4" s="9" t="s">
        <v>225</v>
      </c>
      <c r="BK4" s="9" t="s">
        <v>226</v>
      </c>
      <c r="BL4" s="8" t="s">
        <v>227</v>
      </c>
      <c r="BM4" s="8" t="s">
        <v>228</v>
      </c>
      <c r="BN4" s="8" t="s">
        <v>229</v>
      </c>
      <c r="BP4" s="9" t="s">
        <v>230</v>
      </c>
      <c r="BQ4" s="9" t="s">
        <v>231</v>
      </c>
      <c r="BR4" s="8" t="s">
        <v>232</v>
      </c>
      <c r="BS4" s="8" t="s">
        <v>233</v>
      </c>
      <c r="BT4" s="8" t="s">
        <v>234</v>
      </c>
    </row>
    <row r="5" spans="1:88" x14ac:dyDescent="0.3">
      <c r="A5" s="10" t="s">
        <v>235</v>
      </c>
      <c r="B5" s="10" t="s">
        <v>49</v>
      </c>
      <c r="C5" s="11" t="s">
        <v>236</v>
      </c>
      <c r="D5" s="10">
        <v>24964341</v>
      </c>
      <c r="E5" s="11">
        <v>10</v>
      </c>
      <c r="F5" s="11">
        <v>32</v>
      </c>
      <c r="G5" s="11">
        <v>30</v>
      </c>
      <c r="I5" s="12">
        <f t="shared" ref="I5:I39" si="0">IF(OR(ISBLANK(S5),ISBLANK(G5)),"·",S5*G5/F5/1000000)</f>
        <v>2.1882674999999998</v>
      </c>
      <c r="J5" s="13">
        <f t="shared" ref="J5:J39" si="1">IF(ISBLANK(S5),"·",S5/D5)</f>
        <v>9.3499443866753781E-2</v>
      </c>
      <c r="K5" s="13">
        <f t="shared" ref="K5:K39" si="2">IF(N5="","·",N5/D5)</f>
        <v>5.9250592675368439E-2</v>
      </c>
      <c r="L5" s="13">
        <f t="shared" ref="L5:L39" si="3">IF(T5="","·",T5/D5)</f>
        <v>3.3647673695852816E-2</v>
      </c>
      <c r="M5" s="13">
        <f t="shared" ref="M5:M39" si="4">IF(ISBLANK(V5),"·",V5/D5)</f>
        <v>3.4248851191385342E-2</v>
      </c>
      <c r="N5" s="10">
        <f t="shared" ref="N5:N39" si="5">IF(OR(ISBLANK(T5),ISBLANK(U5)),"",T5+U5)</f>
        <v>1479152</v>
      </c>
      <c r="O5" s="13">
        <f t="shared" ref="O5:O39" si="6">IF(ISBLANK(S5),"·",S5/P5)</f>
        <v>0.10714078994157628</v>
      </c>
      <c r="P5" s="14">
        <v>21785839</v>
      </c>
      <c r="Q5" s="14">
        <v>680807.46875</v>
      </c>
      <c r="R5" s="14">
        <v>13343.375</v>
      </c>
      <c r="S5" s="15">
        <v>2334152</v>
      </c>
      <c r="T5" s="15">
        <v>839992</v>
      </c>
      <c r="U5" s="15">
        <v>639160</v>
      </c>
      <c r="V5" s="15">
        <v>855000</v>
      </c>
      <c r="W5" s="16">
        <v>66.354737499999999</v>
      </c>
      <c r="X5" s="16">
        <v>68.471134375000005</v>
      </c>
      <c r="Y5" s="16">
        <v>32.118749999999999</v>
      </c>
      <c r="Z5" s="16">
        <v>44.142106249999998</v>
      </c>
      <c r="AA5" s="16">
        <v>43.801334375000003</v>
      </c>
      <c r="AB5" s="17">
        <v>3218.39</v>
      </c>
      <c r="AC5" s="17">
        <v>1415.61</v>
      </c>
      <c r="AD5" s="17">
        <v>7.0750000000000002</v>
      </c>
      <c r="AE5" s="17">
        <v>22.847000000000001</v>
      </c>
      <c r="AG5" s="12">
        <f t="shared" ref="AG5:AG39" si="7">IF(OR(ISBLANK(AQ5),ISBLANK(G5)),"·",AQ5*G5/F5/1000000)</f>
        <v>2.1882674999999998</v>
      </c>
      <c r="AH5" s="13">
        <f t="shared" ref="AH5:AH39" si="8">IF(ISBLANK(AQ5),"·",AQ5/D5)</f>
        <v>9.3499443866753781E-2</v>
      </c>
      <c r="AI5" s="13">
        <f t="shared" ref="AI5:AI39" si="9">IF(AL5="","·",AL5/D5)</f>
        <v>5.9250592675368439E-2</v>
      </c>
      <c r="AJ5" s="13">
        <f t="shared" ref="AJ5:AJ39" si="10">IF(AR5="","·",AR5/D5)</f>
        <v>3.3647673695852816E-2</v>
      </c>
      <c r="AK5" s="13">
        <f t="shared" ref="AK5:AK39" si="11">IF(ISBLANK(AT5),"·",AT5/D5)</f>
        <v>3.4248851191385342E-2</v>
      </c>
      <c r="AL5" s="10">
        <f t="shared" ref="AL5:AL39" si="12">IF(OR(ISBLANK(AR5),ISBLANK(AS5)),"",AR5+AS5)</f>
        <v>1479152</v>
      </c>
      <c r="AM5" s="13">
        <f t="shared" ref="AM5:AM39" si="13">IF(ISBLANK(AQ5),"·",AQ5/AN5)</f>
        <v>0.10714078994157628</v>
      </c>
      <c r="AN5" s="14">
        <v>21785839</v>
      </c>
      <c r="AO5" s="14">
        <v>680807.46875</v>
      </c>
      <c r="AP5" s="14">
        <v>13343.375</v>
      </c>
      <c r="AQ5" s="15">
        <v>2334152</v>
      </c>
      <c r="AR5" s="15">
        <v>839992</v>
      </c>
      <c r="AS5" s="15">
        <v>639160</v>
      </c>
      <c r="AT5" s="15">
        <v>855000</v>
      </c>
      <c r="AU5" s="16">
        <v>66.354737499999999</v>
      </c>
      <c r="AV5" s="16">
        <v>68.471134375000005</v>
      </c>
      <c r="AW5" s="16">
        <v>32.118749999999999</v>
      </c>
      <c r="AX5" s="16">
        <v>44.142106249999998</v>
      </c>
      <c r="AY5" s="16">
        <v>43.801334375000003</v>
      </c>
      <c r="AZ5" s="17">
        <v>4780.22</v>
      </c>
      <c r="BA5" s="17">
        <v>2349.12</v>
      </c>
      <c r="BB5" s="17">
        <v>12.467000000000001</v>
      </c>
      <c r="BC5" s="17">
        <v>33.457999999999998</v>
      </c>
      <c r="BE5" s="18">
        <f t="shared" ref="BE5:BE43" si="14">AI5/K5</f>
        <v>1</v>
      </c>
      <c r="BF5" s="19">
        <f t="shared" ref="BF5:BF39" si="15">(AP5/AO5) - (R5/Q5)</f>
        <v>0</v>
      </c>
      <c r="BG5" s="19">
        <f t="shared" ref="BG5:BG39" si="16">(AL5/AQ5) - (N5/S5)</f>
        <v>0</v>
      </c>
      <c r="BH5" s="19">
        <f t="array" ref="BH5">AVERAGE(AL5:AL9/AQ5:AQ9) - AVERAGE(N5:N9/S5:S9)</f>
        <v>0</v>
      </c>
      <c r="BJ5" s="18">
        <f>IF( OR(ISBLANK(N5:N9),ISBLANK(AL5:AL9), ISBLANK(W5:W9),ISBLANK(AU5:AU9)), "·", bdRateExtend( N5:N9,W5:W9, AL5:AL9,AU5:AU9))</f>
        <v>-1.1768364061026659E-14</v>
      </c>
      <c r="BK5" s="18">
        <f>IF( OR(ISBLANK(N5:N9),ISBLANK(AL5:AL9), ISBLANK(X5:X9),ISBLANK(AV5:AV9)), "·", bdRateExtend( N5:N9,X5:X9, AL5:AL9,AV5:AV9))</f>
        <v>-2.4424906541753444E-15</v>
      </c>
      <c r="BL5" s="18">
        <f>IF( OR(ISBLANK(V5:V9),ISBLANK(AT5:AT9), ISBLANK(Y5:Y9),ISBLANK(AW5:AW9)), "·", bdRateExtend( V5:V9,Y5:Y9, AT5:AT9,AW5:AW9))</f>
        <v>-1.6209256159527285E-14</v>
      </c>
      <c r="BM5" s="18">
        <f>IF( OR(ISBLANK(V5:V9),ISBLANK(AT5:AT9), ISBLANK(Z5:Z9),ISBLANK(AX5:AX9)), "·", bdRateExtend( V5:V9,Z5:Z9, AT5:AT9,AX5:AX9))</f>
        <v>0</v>
      </c>
      <c r="BN5" s="18">
        <f>IF( OR(ISBLANK(V5:V9),ISBLANK(AT5:AT9), ISBLANK(AA5:AA9),ISBLANK(AY5:AY9)), "·", bdRateExtend( V5:V9,AA5:AA9, AT5:AT9,AY5:AY9))</f>
        <v>-1.7097434579227411E-14</v>
      </c>
      <c r="BP5" s="18">
        <f>IF( OR(ISBLANK(S5:S9),ISBLANK(AQ5:AQ9), ISBLANK(W5:W9),ISBLANK(AU5:AU9)), "·", bdRateExtend( S5:S9,W5:W9, AQ5:AQ9,AU5:AU9))</f>
        <v>-1.1768364061026659E-14</v>
      </c>
      <c r="BQ5" s="18">
        <f>IF( OR(ISBLANK(S5:S9),ISBLANK(AQ5:AQ9), ISBLANK(X5:X9),ISBLANK(AV5:AV9)), "·", bdRateExtend( S5:S9,X5:X9, AQ5:AQ9,AV5:AV9))</f>
        <v>-4.8849813083506888E-15</v>
      </c>
      <c r="BR5" s="18">
        <f>IF( OR(ISBLANK(S5:S9),ISBLANK(AQ5:AQ9), ISBLANK(Y5:Y9),ISBLANK(AW5:AW9)), "·", bdRateExtend( S5:S9,Y5:Y9, AQ5:AQ9,AW5:AW9))</f>
        <v>-1.3100631690576847E-14</v>
      </c>
      <c r="BS5" s="18">
        <f>IF( OR(ISBLANK(S5:S9),ISBLANK(AQ5:AQ9), ISBLANK(Z5:Z9),ISBLANK(AX5:AX9)), "·", bdRateExtend( S5:S9,Z5:Z9, AQ5:AQ9,AX5:AX9))</f>
        <v>0</v>
      </c>
      <c r="BT5" s="18">
        <f>IF( OR(ISBLANK(S5:S9),ISBLANK(AQ5:AQ9), ISBLANK(AA5:AA9),ISBLANK(AY5:AY9)), "·", bdRateExtend( S5:S9,AA5:AA9, AQ5:AQ9,AY5:AY9))</f>
        <v>-1.1324274851176597E-14</v>
      </c>
      <c r="BV5">
        <f t="shared" ref="BV5:BV39" si="17">AN5-P5</f>
        <v>0</v>
      </c>
      <c r="BW5">
        <f t="shared" ref="BW5:BW39" si="18">AO5-Q5</f>
        <v>0</v>
      </c>
      <c r="BX5">
        <f t="shared" ref="BX5:BX39" si="19">AP5-R5</f>
        <v>0</v>
      </c>
      <c r="BY5">
        <f t="shared" ref="BY5:BY39" si="20">AQ5-S5</f>
        <v>0</v>
      </c>
      <c r="BZ5">
        <f t="shared" ref="BZ5:BZ39" si="21">AR5-T5</f>
        <v>0</v>
      </c>
      <c r="CA5">
        <f t="shared" ref="CA5:CA39" si="22">AS5-U5</f>
        <v>0</v>
      </c>
      <c r="CB5">
        <f t="shared" ref="CB5:CB39" si="23">AT5-V5</f>
        <v>0</v>
      </c>
      <c r="CC5">
        <f t="shared" ref="CC5:CC39" si="24">AU5-W5</f>
        <v>0</v>
      </c>
      <c r="CD5">
        <f t="shared" ref="CD5:CD39" si="25">AV5-X5</f>
        <v>0</v>
      </c>
      <c r="CE5">
        <f t="shared" ref="CE5:CE39" si="26">AW5-Y5</f>
        <v>0</v>
      </c>
      <c r="CF5">
        <f t="shared" ref="CF5:CF39" si="27">AX5-Z5</f>
        <v>0</v>
      </c>
      <c r="CG5">
        <f t="shared" ref="CG5:CG39" si="28">AY5-AA5</f>
        <v>0</v>
      </c>
      <c r="CJ5" t="s">
        <v>237</v>
      </c>
    </row>
    <row r="6" spans="1:88" outlineLevel="1" x14ac:dyDescent="0.3">
      <c r="A6" s="20"/>
      <c r="B6" s="20" t="s">
        <v>49</v>
      </c>
      <c r="C6" s="21" t="s">
        <v>238</v>
      </c>
      <c r="D6" s="20">
        <v>24964341</v>
      </c>
      <c r="E6" s="21">
        <v>10</v>
      </c>
      <c r="F6" s="21">
        <v>32</v>
      </c>
      <c r="G6" s="21">
        <v>30</v>
      </c>
      <c r="I6" s="22">
        <f t="shared" si="0"/>
        <v>3.4061325</v>
      </c>
      <c r="J6" s="23">
        <f t="shared" si="1"/>
        <v>0.1455359065957319</v>
      </c>
      <c r="K6" s="23">
        <f t="shared" si="2"/>
        <v>7.2264354985376936E-2</v>
      </c>
      <c r="L6" s="23">
        <f t="shared" si="3"/>
        <v>4.6661436005861319E-2</v>
      </c>
      <c r="M6" s="23">
        <f t="shared" si="4"/>
        <v>7.3271551610354951E-2</v>
      </c>
      <c r="N6" s="20">
        <f t="shared" si="5"/>
        <v>1804032</v>
      </c>
      <c r="O6" s="23">
        <f t="shared" si="6"/>
        <v>0.15018244489636681</v>
      </c>
      <c r="P6" s="24">
        <v>24191962</v>
      </c>
      <c r="Q6" s="24">
        <v>755998.8125</v>
      </c>
      <c r="R6" s="24">
        <v>18849.4375</v>
      </c>
      <c r="S6" s="25">
        <v>3633208</v>
      </c>
      <c r="T6" s="25">
        <v>1164872</v>
      </c>
      <c r="U6" s="25">
        <v>639160</v>
      </c>
      <c r="V6" s="25">
        <v>1829176</v>
      </c>
      <c r="W6" s="26">
        <v>68.256434374999998</v>
      </c>
      <c r="X6" s="26">
        <v>70.426474999999996</v>
      </c>
      <c r="Y6" s="26">
        <v>34.365765625000002</v>
      </c>
      <c r="Z6" s="26">
        <v>45.465318750000002</v>
      </c>
      <c r="AA6" s="26">
        <v>45.241109375000001</v>
      </c>
      <c r="AB6" s="27">
        <v>3216.74</v>
      </c>
      <c r="AC6" s="27">
        <v>1485.54</v>
      </c>
      <c r="AD6" s="27">
        <v>7.6950000000000003</v>
      </c>
      <c r="AE6" s="27">
        <v>24.213000000000001</v>
      </c>
      <c r="AG6" s="22">
        <f t="shared" si="7"/>
        <v>3.4061325</v>
      </c>
      <c r="AH6" s="23">
        <f t="shared" si="8"/>
        <v>0.1455359065957319</v>
      </c>
      <c r="AI6" s="23">
        <f t="shared" si="9"/>
        <v>7.2264354985376936E-2</v>
      </c>
      <c r="AJ6" s="23">
        <f t="shared" si="10"/>
        <v>4.6661436005861319E-2</v>
      </c>
      <c r="AK6" s="23">
        <f t="shared" si="11"/>
        <v>7.3271551610354951E-2</v>
      </c>
      <c r="AL6" s="20">
        <f t="shared" si="12"/>
        <v>1804032</v>
      </c>
      <c r="AM6" s="23">
        <f t="shared" si="13"/>
        <v>0.15018244489636681</v>
      </c>
      <c r="AN6" s="24">
        <v>24191962</v>
      </c>
      <c r="AO6" s="24">
        <v>755998.8125</v>
      </c>
      <c r="AP6" s="24">
        <v>18849.4375</v>
      </c>
      <c r="AQ6" s="25">
        <v>3633208</v>
      </c>
      <c r="AR6" s="25">
        <v>1164872</v>
      </c>
      <c r="AS6" s="25">
        <v>639160</v>
      </c>
      <c r="AT6" s="25">
        <v>1829176</v>
      </c>
      <c r="AU6" s="26">
        <v>68.256434374999998</v>
      </c>
      <c r="AV6" s="26">
        <v>70.426474999999996</v>
      </c>
      <c r="AW6" s="26">
        <v>34.365765625000002</v>
      </c>
      <c r="AX6" s="26">
        <v>45.465318750000002</v>
      </c>
      <c r="AY6" s="26">
        <v>45.241109375000001</v>
      </c>
      <c r="AZ6" s="27">
        <v>4736.33</v>
      </c>
      <c r="BA6" s="27">
        <v>2401.7600000000002</v>
      </c>
      <c r="BB6" s="27">
        <v>10.249000000000001</v>
      </c>
      <c r="BC6" s="27">
        <v>37.781999999999996</v>
      </c>
      <c r="BE6" s="28">
        <f t="shared" si="14"/>
        <v>1</v>
      </c>
      <c r="BF6" s="29">
        <f t="shared" si="15"/>
        <v>0</v>
      </c>
      <c r="BG6" s="29">
        <f t="shared" si="16"/>
        <v>0</v>
      </c>
      <c r="BH6" s="29"/>
      <c r="BJ6" s="28"/>
      <c r="BK6" s="28"/>
      <c r="BL6" s="28"/>
      <c r="BM6" s="28"/>
      <c r="BN6" s="28"/>
      <c r="BP6" s="28"/>
      <c r="BQ6" s="28"/>
      <c r="BR6" s="28"/>
      <c r="BS6" s="28"/>
      <c r="BT6" s="28"/>
      <c r="BV6">
        <f t="shared" si="17"/>
        <v>0</v>
      </c>
      <c r="BW6">
        <f t="shared" si="18"/>
        <v>0</v>
      </c>
      <c r="BX6">
        <f t="shared" si="19"/>
        <v>0</v>
      </c>
      <c r="BY6">
        <f t="shared" si="20"/>
        <v>0</v>
      </c>
      <c r="BZ6">
        <f t="shared" si="21"/>
        <v>0</v>
      </c>
      <c r="CA6">
        <f t="shared" si="22"/>
        <v>0</v>
      </c>
      <c r="CB6">
        <f t="shared" si="23"/>
        <v>0</v>
      </c>
      <c r="CC6">
        <f t="shared" si="24"/>
        <v>0</v>
      </c>
      <c r="CD6">
        <f t="shared" si="25"/>
        <v>0</v>
      </c>
      <c r="CE6">
        <f t="shared" si="26"/>
        <v>0</v>
      </c>
      <c r="CF6">
        <f t="shared" si="27"/>
        <v>0</v>
      </c>
      <c r="CG6">
        <f t="shared" si="28"/>
        <v>0</v>
      </c>
      <c r="CJ6" t="s">
        <v>237</v>
      </c>
    </row>
    <row r="7" spans="1:88" outlineLevel="1" x14ac:dyDescent="0.3">
      <c r="A7" s="10"/>
      <c r="B7" s="10" t="s">
        <v>49</v>
      </c>
      <c r="C7" s="11" t="s">
        <v>239</v>
      </c>
      <c r="D7" s="10">
        <v>24964341</v>
      </c>
      <c r="E7" s="11">
        <v>10</v>
      </c>
      <c r="F7" s="11">
        <v>32</v>
      </c>
      <c r="G7" s="11">
        <v>30</v>
      </c>
      <c r="I7" s="12">
        <f t="shared" si="0"/>
        <v>5.583825</v>
      </c>
      <c r="J7" s="13">
        <f t="shared" si="1"/>
        <v>0.23858350596957476</v>
      </c>
      <c r="K7" s="13">
        <f t="shared" si="2"/>
        <v>9.0840611414497188E-2</v>
      </c>
      <c r="L7" s="13">
        <f t="shared" si="3"/>
        <v>6.5237692434981565E-2</v>
      </c>
      <c r="M7" s="13">
        <f t="shared" si="4"/>
        <v>0.14774289455507758</v>
      </c>
      <c r="N7" s="10">
        <f t="shared" si="5"/>
        <v>2267776</v>
      </c>
      <c r="O7" s="13">
        <f t="shared" si="6"/>
        <v>0.24008497829912478</v>
      </c>
      <c r="P7" s="14">
        <v>24808216</v>
      </c>
      <c r="Q7" s="14">
        <v>775256.75</v>
      </c>
      <c r="R7" s="14">
        <v>20726.03125</v>
      </c>
      <c r="S7" s="15">
        <v>5956080</v>
      </c>
      <c r="T7" s="15">
        <v>1628616</v>
      </c>
      <c r="U7" s="15">
        <v>639160</v>
      </c>
      <c r="V7" s="15">
        <v>3688304</v>
      </c>
      <c r="W7" s="16">
        <v>69.684690625000002</v>
      </c>
      <c r="X7" s="16">
        <v>72.115756250000004</v>
      </c>
      <c r="Y7" s="16">
        <v>36.913812499999999</v>
      </c>
      <c r="Z7" s="16">
        <v>46.562987499999998</v>
      </c>
      <c r="AA7" s="16">
        <v>46.434362499999999</v>
      </c>
      <c r="AB7" s="17">
        <v>3272.39</v>
      </c>
      <c r="AC7" s="17">
        <v>1569.44</v>
      </c>
      <c r="AD7" s="17">
        <v>7.7489999999999997</v>
      </c>
      <c r="AE7" s="17">
        <v>24.823</v>
      </c>
      <c r="AG7" s="12">
        <f t="shared" si="7"/>
        <v>5.583825</v>
      </c>
      <c r="AH7" s="13">
        <f t="shared" si="8"/>
        <v>0.23858350596957476</v>
      </c>
      <c r="AI7" s="13">
        <f t="shared" si="9"/>
        <v>9.0840611414497188E-2</v>
      </c>
      <c r="AJ7" s="13">
        <f t="shared" si="10"/>
        <v>6.5237692434981565E-2</v>
      </c>
      <c r="AK7" s="13">
        <f t="shared" si="11"/>
        <v>0.14774289455507758</v>
      </c>
      <c r="AL7" s="10">
        <f t="shared" si="12"/>
        <v>2267776</v>
      </c>
      <c r="AM7" s="13">
        <f t="shared" si="13"/>
        <v>0.24008497829912478</v>
      </c>
      <c r="AN7" s="14">
        <v>24808216</v>
      </c>
      <c r="AO7" s="14">
        <v>775256.75</v>
      </c>
      <c r="AP7" s="14">
        <v>20726.03125</v>
      </c>
      <c r="AQ7" s="15">
        <v>5956080</v>
      </c>
      <c r="AR7" s="15">
        <v>1628616</v>
      </c>
      <c r="AS7" s="15">
        <v>639160</v>
      </c>
      <c r="AT7" s="15">
        <v>3688304</v>
      </c>
      <c r="AU7" s="16">
        <v>69.684690625000002</v>
      </c>
      <c r="AV7" s="16">
        <v>72.115756250000004</v>
      </c>
      <c r="AW7" s="16">
        <v>36.913812499999999</v>
      </c>
      <c r="AX7" s="16">
        <v>46.562987499999998</v>
      </c>
      <c r="AY7" s="16">
        <v>46.434362499999999</v>
      </c>
      <c r="AZ7" s="17">
        <v>4803.53</v>
      </c>
      <c r="BA7" s="17">
        <v>2569.89</v>
      </c>
      <c r="BB7" s="17">
        <v>9.8369999999999997</v>
      </c>
      <c r="BC7" s="17">
        <v>33.790999999999997</v>
      </c>
      <c r="BE7" s="18">
        <f t="shared" si="14"/>
        <v>1</v>
      </c>
      <c r="BF7" s="19">
        <f t="shared" si="15"/>
        <v>0</v>
      </c>
      <c r="BG7" s="19">
        <f t="shared" si="16"/>
        <v>0</v>
      </c>
      <c r="BH7" s="19"/>
      <c r="BJ7" s="18"/>
      <c r="BK7" s="18"/>
      <c r="BL7" s="18"/>
      <c r="BM7" s="18"/>
      <c r="BN7" s="18"/>
      <c r="BP7" s="18"/>
      <c r="BQ7" s="18"/>
      <c r="BR7" s="18"/>
      <c r="BS7" s="18"/>
      <c r="BT7" s="18"/>
      <c r="BV7">
        <f t="shared" si="17"/>
        <v>0</v>
      </c>
      <c r="BW7">
        <f t="shared" si="18"/>
        <v>0</v>
      </c>
      <c r="BX7">
        <f t="shared" si="19"/>
        <v>0</v>
      </c>
      <c r="BY7">
        <f t="shared" si="20"/>
        <v>0</v>
      </c>
      <c r="BZ7">
        <f t="shared" si="21"/>
        <v>0</v>
      </c>
      <c r="CA7">
        <f t="shared" si="22"/>
        <v>0</v>
      </c>
      <c r="CB7">
        <f t="shared" si="23"/>
        <v>0</v>
      </c>
      <c r="CC7">
        <f t="shared" si="24"/>
        <v>0</v>
      </c>
      <c r="CD7">
        <f t="shared" si="25"/>
        <v>0</v>
      </c>
      <c r="CE7">
        <f t="shared" si="26"/>
        <v>0</v>
      </c>
      <c r="CF7">
        <f t="shared" si="27"/>
        <v>0</v>
      </c>
      <c r="CG7">
        <f t="shared" si="28"/>
        <v>0</v>
      </c>
      <c r="CJ7" t="s">
        <v>237</v>
      </c>
    </row>
    <row r="8" spans="1:88" outlineLevel="1" x14ac:dyDescent="0.3">
      <c r="A8" s="20"/>
      <c r="B8" s="20" t="s">
        <v>49</v>
      </c>
      <c r="C8" s="21" t="s">
        <v>240</v>
      </c>
      <c r="D8" s="20">
        <v>24964341</v>
      </c>
      <c r="E8" s="21">
        <v>10</v>
      </c>
      <c r="F8" s="21">
        <v>32</v>
      </c>
      <c r="G8" s="21">
        <v>30</v>
      </c>
      <c r="I8" s="22">
        <f t="shared" si="0"/>
        <v>9.4698899999999995</v>
      </c>
      <c r="J8" s="23">
        <f t="shared" si="1"/>
        <v>0.40462578203045696</v>
      </c>
      <c r="K8" s="23">
        <f t="shared" si="2"/>
        <v>0.12195859686422325</v>
      </c>
      <c r="L8" s="23">
        <f t="shared" si="3"/>
        <v>9.6355677884707627E-2</v>
      </c>
      <c r="M8" s="23">
        <f t="shared" si="4"/>
        <v>0.28266718516623374</v>
      </c>
      <c r="N8" s="20">
        <f t="shared" si="5"/>
        <v>3044616</v>
      </c>
      <c r="O8" s="23">
        <f t="shared" si="6"/>
        <v>0.39155325167342697</v>
      </c>
      <c r="P8" s="24">
        <v>25797809</v>
      </c>
      <c r="Q8" s="24">
        <v>806181.53125</v>
      </c>
      <c r="R8" s="24">
        <v>23962.09375</v>
      </c>
      <c r="S8" s="25">
        <v>10101216</v>
      </c>
      <c r="T8" s="25">
        <v>2405456</v>
      </c>
      <c r="U8" s="25">
        <v>639160</v>
      </c>
      <c r="V8" s="25">
        <v>7056600</v>
      </c>
      <c r="W8" s="26">
        <v>70.825724999999906</v>
      </c>
      <c r="X8" s="26">
        <v>73.390937500000007</v>
      </c>
      <c r="Y8" s="26">
        <v>39.549384374999903</v>
      </c>
      <c r="Z8" s="26">
        <v>47.909043750000002</v>
      </c>
      <c r="AA8" s="26">
        <v>47.946121874999903</v>
      </c>
      <c r="AB8" s="27">
        <v>3228.5</v>
      </c>
      <c r="AC8" s="27">
        <v>1665.37</v>
      </c>
      <c r="AD8" s="27">
        <v>7.843</v>
      </c>
      <c r="AE8" s="27">
        <v>24.994</v>
      </c>
      <c r="AG8" s="22">
        <f t="shared" si="7"/>
        <v>9.4698899999999995</v>
      </c>
      <c r="AH8" s="23">
        <f t="shared" si="8"/>
        <v>0.40462578203045696</v>
      </c>
      <c r="AI8" s="23">
        <f t="shared" si="9"/>
        <v>0.12195859686422325</v>
      </c>
      <c r="AJ8" s="23">
        <f t="shared" si="10"/>
        <v>9.6355677884707627E-2</v>
      </c>
      <c r="AK8" s="23">
        <f t="shared" si="11"/>
        <v>0.28266718516623374</v>
      </c>
      <c r="AL8" s="20">
        <f t="shared" si="12"/>
        <v>3044616</v>
      </c>
      <c r="AM8" s="23">
        <f t="shared" si="13"/>
        <v>0.39155325167342697</v>
      </c>
      <c r="AN8" s="24">
        <v>25797809</v>
      </c>
      <c r="AO8" s="24">
        <v>806181.53125</v>
      </c>
      <c r="AP8" s="24">
        <v>23962.09375</v>
      </c>
      <c r="AQ8" s="25">
        <v>10101216</v>
      </c>
      <c r="AR8" s="25">
        <v>2405456</v>
      </c>
      <c r="AS8" s="25">
        <v>639160</v>
      </c>
      <c r="AT8" s="25">
        <v>7056600</v>
      </c>
      <c r="AU8" s="26">
        <v>70.825725000000006</v>
      </c>
      <c r="AV8" s="26">
        <v>73.390937500000007</v>
      </c>
      <c r="AW8" s="26">
        <v>39.549384375000002</v>
      </c>
      <c r="AX8" s="26">
        <v>47.909043750000002</v>
      </c>
      <c r="AY8" s="26">
        <v>47.946121875000003</v>
      </c>
      <c r="AZ8" s="27">
        <v>4835.38</v>
      </c>
      <c r="BA8" s="27">
        <v>2716.93</v>
      </c>
      <c r="BB8" s="27">
        <v>9.6319999999999997</v>
      </c>
      <c r="BC8" s="27">
        <v>36.558</v>
      </c>
      <c r="BE8" s="28">
        <f t="shared" si="14"/>
        <v>1</v>
      </c>
      <c r="BF8" s="29">
        <f t="shared" si="15"/>
        <v>0</v>
      </c>
      <c r="BG8" s="29">
        <f t="shared" si="16"/>
        <v>0</v>
      </c>
      <c r="BH8" s="29"/>
      <c r="BJ8" s="28"/>
      <c r="BK8" s="28"/>
      <c r="BL8" s="28"/>
      <c r="BM8" s="28"/>
      <c r="BN8" s="28"/>
      <c r="BP8" s="28"/>
      <c r="BQ8" s="28"/>
      <c r="BR8" s="28"/>
      <c r="BS8" s="28"/>
      <c r="BT8" s="28"/>
      <c r="BV8">
        <f t="shared" si="17"/>
        <v>0</v>
      </c>
      <c r="BW8">
        <f t="shared" si="18"/>
        <v>0</v>
      </c>
      <c r="BX8">
        <f t="shared" si="19"/>
        <v>0</v>
      </c>
      <c r="BY8">
        <f t="shared" si="20"/>
        <v>0</v>
      </c>
      <c r="BZ8">
        <f t="shared" si="21"/>
        <v>0</v>
      </c>
      <c r="CA8">
        <f t="shared" si="22"/>
        <v>0</v>
      </c>
      <c r="CB8">
        <f t="shared" si="23"/>
        <v>0</v>
      </c>
      <c r="CC8">
        <f t="shared" si="24"/>
        <v>0</v>
      </c>
      <c r="CD8">
        <f t="shared" si="25"/>
        <v>0</v>
      </c>
      <c r="CE8">
        <f t="shared" si="26"/>
        <v>9.9475983006414026E-14</v>
      </c>
      <c r="CF8">
        <f t="shared" si="27"/>
        <v>0</v>
      </c>
      <c r="CG8">
        <f t="shared" si="28"/>
        <v>9.9475983006414026E-14</v>
      </c>
      <c r="CJ8" t="s">
        <v>237</v>
      </c>
    </row>
    <row r="9" spans="1:88" ht="15.75" customHeight="1" outlineLevel="1" thickBot="1" x14ac:dyDescent="0.35">
      <c r="A9" s="10"/>
      <c r="B9" s="30" t="s">
        <v>49</v>
      </c>
      <c r="C9" s="31" t="s">
        <v>241</v>
      </c>
      <c r="D9" s="30">
        <v>24964341</v>
      </c>
      <c r="E9" s="31">
        <v>10</v>
      </c>
      <c r="F9" s="31">
        <v>32</v>
      </c>
      <c r="G9" s="31">
        <v>30</v>
      </c>
      <c r="I9" s="32">
        <f t="shared" si="0"/>
        <v>16.897485</v>
      </c>
      <c r="J9" s="33">
        <f t="shared" si="1"/>
        <v>0.72198917648176653</v>
      </c>
      <c r="K9" s="33">
        <f t="shared" si="2"/>
        <v>0.19737016090270518</v>
      </c>
      <c r="L9" s="33">
        <f t="shared" si="3"/>
        <v>0.14831747411237492</v>
      </c>
      <c r="M9" s="33">
        <f t="shared" si="4"/>
        <v>0.52461901557906132</v>
      </c>
      <c r="N9" s="30">
        <f t="shared" si="5"/>
        <v>4927216</v>
      </c>
      <c r="O9" s="33">
        <f t="shared" si="6"/>
        <v>0.72477489394266759</v>
      </c>
      <c r="P9" s="34">
        <v>24868389</v>
      </c>
      <c r="Q9" s="34">
        <v>777137.15625</v>
      </c>
      <c r="R9" s="34">
        <v>10582.71875</v>
      </c>
      <c r="S9" s="35">
        <v>18023984</v>
      </c>
      <c r="T9" s="35">
        <v>3702648</v>
      </c>
      <c r="U9" s="35">
        <v>1224568</v>
      </c>
      <c r="V9" s="35">
        <v>13096768</v>
      </c>
      <c r="W9" s="36">
        <v>71.947396874999995</v>
      </c>
      <c r="X9" s="36">
        <v>75.319828124999901</v>
      </c>
      <c r="Y9" s="36">
        <v>42.149353124999898</v>
      </c>
      <c r="Z9" s="36">
        <v>49.410325</v>
      </c>
      <c r="AA9" s="36">
        <v>49.538584374999999</v>
      </c>
      <c r="AB9" s="37">
        <v>3224.03</v>
      </c>
      <c r="AC9" s="37">
        <v>1836.52</v>
      </c>
      <c r="AD9" s="37">
        <v>7.6559999999999997</v>
      </c>
      <c r="AE9" s="37">
        <v>25.83</v>
      </c>
      <c r="AG9" s="32">
        <f t="shared" si="7"/>
        <v>16.897485</v>
      </c>
      <c r="AH9" s="33">
        <f t="shared" si="8"/>
        <v>0.72198917648176653</v>
      </c>
      <c r="AI9" s="33">
        <f t="shared" si="9"/>
        <v>0.19737016090270518</v>
      </c>
      <c r="AJ9" s="33">
        <f t="shared" si="10"/>
        <v>0.14831747411237492</v>
      </c>
      <c r="AK9" s="33">
        <f t="shared" si="11"/>
        <v>0.52461901557906132</v>
      </c>
      <c r="AL9" s="30">
        <f t="shared" si="12"/>
        <v>4927216</v>
      </c>
      <c r="AM9" s="33">
        <f t="shared" si="13"/>
        <v>0.72477489394266759</v>
      </c>
      <c r="AN9" s="34">
        <v>24868389</v>
      </c>
      <c r="AO9" s="34">
        <v>777137.15625</v>
      </c>
      <c r="AP9" s="34">
        <v>10582.71875</v>
      </c>
      <c r="AQ9" s="35">
        <v>18023984</v>
      </c>
      <c r="AR9" s="35">
        <v>3702648</v>
      </c>
      <c r="AS9" s="35">
        <v>1224568</v>
      </c>
      <c r="AT9" s="35">
        <v>13096768</v>
      </c>
      <c r="AU9" s="36">
        <v>71.947396874999995</v>
      </c>
      <c r="AV9" s="36">
        <v>75.319828125000001</v>
      </c>
      <c r="AW9" s="36">
        <v>42.149353124999998</v>
      </c>
      <c r="AX9" s="36">
        <v>49.410325</v>
      </c>
      <c r="AY9" s="36">
        <v>49.538584374999999</v>
      </c>
      <c r="AZ9" s="37">
        <v>4812.63</v>
      </c>
      <c r="BA9" s="37">
        <v>2925.55</v>
      </c>
      <c r="BB9" s="37">
        <v>12.952999999999999</v>
      </c>
      <c r="BC9" s="37">
        <v>40.378999999999998</v>
      </c>
      <c r="BE9" s="38">
        <f t="shared" si="14"/>
        <v>1</v>
      </c>
      <c r="BF9" s="39">
        <f t="shared" si="15"/>
        <v>0</v>
      </c>
      <c r="BG9" s="39">
        <f t="shared" si="16"/>
        <v>0</v>
      </c>
      <c r="BH9" s="39"/>
      <c r="BJ9" s="38"/>
      <c r="BK9" s="38"/>
      <c r="BL9" s="38"/>
      <c r="BM9" s="38"/>
      <c r="BN9" s="38"/>
      <c r="BP9" s="38"/>
      <c r="BQ9" s="38"/>
      <c r="BR9" s="38"/>
      <c r="BS9" s="38"/>
      <c r="BT9" s="38"/>
      <c r="BV9">
        <f t="shared" si="17"/>
        <v>0</v>
      </c>
      <c r="BW9">
        <f t="shared" si="18"/>
        <v>0</v>
      </c>
      <c r="BX9">
        <f t="shared" si="19"/>
        <v>0</v>
      </c>
      <c r="BY9">
        <f t="shared" si="20"/>
        <v>0</v>
      </c>
      <c r="BZ9">
        <f t="shared" si="21"/>
        <v>0</v>
      </c>
      <c r="CA9">
        <f t="shared" si="22"/>
        <v>0</v>
      </c>
      <c r="CB9">
        <f t="shared" si="23"/>
        <v>0</v>
      </c>
      <c r="CC9">
        <f t="shared" si="24"/>
        <v>0</v>
      </c>
      <c r="CD9">
        <f t="shared" si="25"/>
        <v>0</v>
      </c>
      <c r="CE9">
        <f t="shared" si="26"/>
        <v>9.9475983006414026E-14</v>
      </c>
      <c r="CF9">
        <f t="shared" si="27"/>
        <v>0</v>
      </c>
      <c r="CG9">
        <f t="shared" si="28"/>
        <v>0</v>
      </c>
      <c r="CJ9" t="s">
        <v>237</v>
      </c>
    </row>
    <row r="10" spans="1:88" x14ac:dyDescent="0.3">
      <c r="A10" s="20"/>
      <c r="B10" s="20" t="s">
        <v>57</v>
      </c>
      <c r="C10" s="21" t="s">
        <v>236</v>
      </c>
      <c r="D10" s="20">
        <v>22654789</v>
      </c>
      <c r="E10" s="21">
        <v>10</v>
      </c>
      <c r="F10" s="21">
        <v>32</v>
      </c>
      <c r="G10" s="21">
        <v>30</v>
      </c>
      <c r="I10" s="22">
        <f t="shared" si="0"/>
        <v>3.2093324999999999</v>
      </c>
      <c r="J10" s="23">
        <f t="shared" si="1"/>
        <v>0.1511065938420349</v>
      </c>
      <c r="K10" s="23">
        <f t="shared" si="2"/>
        <v>7.8811415988027961E-2</v>
      </c>
      <c r="L10" s="23">
        <f t="shared" si="3"/>
        <v>4.1214067365624107E-2</v>
      </c>
      <c r="M10" s="23">
        <f t="shared" si="4"/>
        <v>7.2295177854006937E-2</v>
      </c>
      <c r="N10" s="20">
        <f t="shared" si="5"/>
        <v>1785456</v>
      </c>
      <c r="O10" s="23">
        <f t="shared" si="6"/>
        <v>0.16564052855157149</v>
      </c>
      <c r="P10" s="24">
        <v>20666971</v>
      </c>
      <c r="Q10" s="24">
        <v>645842.84375</v>
      </c>
      <c r="R10" s="24">
        <v>17868.75</v>
      </c>
      <c r="S10" s="25">
        <v>3423288</v>
      </c>
      <c r="T10" s="25">
        <v>933696</v>
      </c>
      <c r="U10" s="25">
        <v>851760</v>
      </c>
      <c r="V10" s="25">
        <v>1637832</v>
      </c>
      <c r="W10" s="26">
        <v>65.905349999999999</v>
      </c>
      <c r="X10" s="26">
        <v>67.814121874999998</v>
      </c>
      <c r="Y10" s="26">
        <v>32.3695656249999</v>
      </c>
      <c r="Z10" s="26">
        <v>39.162128125000002</v>
      </c>
      <c r="AA10" s="26">
        <v>32.082412499999897</v>
      </c>
      <c r="AB10" s="27">
        <v>2922.43</v>
      </c>
      <c r="AC10" s="27">
        <v>1504.34</v>
      </c>
      <c r="AD10" s="27">
        <v>6.7990000000000004</v>
      </c>
      <c r="AE10" s="27">
        <v>24.516999999999999</v>
      </c>
      <c r="AG10" s="22">
        <f t="shared" si="7"/>
        <v>3.2093324999999999</v>
      </c>
      <c r="AH10" s="23">
        <f t="shared" si="8"/>
        <v>0.1511065938420349</v>
      </c>
      <c r="AI10" s="23">
        <f t="shared" si="9"/>
        <v>7.8811415988027961E-2</v>
      </c>
      <c r="AJ10" s="23">
        <f t="shared" si="10"/>
        <v>4.1214067365624107E-2</v>
      </c>
      <c r="AK10" s="23">
        <f t="shared" si="11"/>
        <v>7.2295177854006937E-2</v>
      </c>
      <c r="AL10" s="20">
        <f t="shared" si="12"/>
        <v>1785456</v>
      </c>
      <c r="AM10" s="23">
        <f t="shared" si="13"/>
        <v>0.16564052855157149</v>
      </c>
      <c r="AN10" s="24">
        <v>20666971</v>
      </c>
      <c r="AO10" s="24">
        <v>645842.84375</v>
      </c>
      <c r="AP10" s="24">
        <v>17868.75</v>
      </c>
      <c r="AQ10" s="25">
        <v>3423288</v>
      </c>
      <c r="AR10" s="25">
        <v>933696</v>
      </c>
      <c r="AS10" s="25">
        <v>851760</v>
      </c>
      <c r="AT10" s="25">
        <v>1637832</v>
      </c>
      <c r="AU10" s="26">
        <v>65.905349999999999</v>
      </c>
      <c r="AV10" s="26">
        <v>67.814121874999998</v>
      </c>
      <c r="AW10" s="26">
        <v>32.369565625</v>
      </c>
      <c r="AX10" s="26">
        <v>39.162128125000002</v>
      </c>
      <c r="AY10" s="26">
        <v>32.082412499999997</v>
      </c>
      <c r="AZ10" s="27">
        <v>4374.6499999999996</v>
      </c>
      <c r="BA10" s="27">
        <v>2481.9499999999998</v>
      </c>
      <c r="BB10" s="27">
        <v>11.343</v>
      </c>
      <c r="BC10" s="27">
        <v>38.350999999999999</v>
      </c>
      <c r="BE10" s="28">
        <f t="shared" si="14"/>
        <v>1</v>
      </c>
      <c r="BF10" s="29">
        <f t="shared" si="15"/>
        <v>0</v>
      </c>
      <c r="BG10" s="29">
        <f t="shared" si="16"/>
        <v>0</v>
      </c>
      <c r="BH10" s="29">
        <f t="array" ref="BH10">AVERAGE(AL10:AL14/AQ10:AQ14) - AVERAGE(N10:N14/S10:S14)</f>
        <v>0</v>
      </c>
      <c r="BJ10" s="28">
        <f>IF( OR(ISBLANK(N10:N14),ISBLANK(AL10:AL14), ISBLANK(W10:W14),ISBLANK(AU10:AU14)), "·", bdRateExtend( N10:N14,W10:W14, AL10:AL14,AU10:AU14))</f>
        <v>0</v>
      </c>
      <c r="BK10" s="28">
        <f>IF( OR(ISBLANK(N10:N14),ISBLANK(AL10:AL14), ISBLANK(X10:X14),ISBLANK(AV10:AV14)), "·", bdRateExtend( N10:N14,X10:X14, AL10:AL14,AV10:AV14))</f>
        <v>-4.6629367034256575E-15</v>
      </c>
      <c r="BL10" s="28">
        <f>IF( OR(ISBLANK(V10:V14),ISBLANK(AT10:AT14), ISBLANK(Y10:Y14),ISBLANK(AW10:AW14)), "·", bdRateExtend( V10:V14,Y10:Y14, AT10:AT14,AW10:AW14))</f>
        <v>-1.3322676295501878E-14</v>
      </c>
      <c r="BM10" s="28">
        <f>IF( OR(ISBLANK(V10:V14),ISBLANK(AT10:AT14), ISBLANK(Z10:Z14),ISBLANK(AX10:AX14)), "·", bdRateExtend( V10:V14,Z10:Z14, AT10:AT14,AX10:AX14))</f>
        <v>-2.6867397195928788E-14</v>
      </c>
      <c r="BN10" s="28">
        <f>IF( OR(ISBLANK(V10:V14),ISBLANK(AT10:AT14), ISBLANK(AA10:AA14),ISBLANK(AY10:AY14)), "·", bdRateExtend( V10:V14,AA10:AA14, AT10:AT14,AY10:AY14))</f>
        <v>-2.2204460492503131E-15</v>
      </c>
      <c r="BP10" s="28">
        <f>IF( OR(ISBLANK(S10:S14),ISBLANK(AQ10:AQ14), ISBLANK(W10:W14),ISBLANK(AU10:AU14)), "·", bdRateExtend( S10:S14,W10:W14, AQ10:AQ14,AU10:AU14))</f>
        <v>0</v>
      </c>
      <c r="BQ10" s="28">
        <f>IF( OR(ISBLANK(S10:S14),ISBLANK(AQ10:AQ14), ISBLANK(X10:X14),ISBLANK(AV10:AV14)), "·", bdRateExtend( S10:S14,X10:X14, AQ10:AQ14,AV10:AV14))</f>
        <v>-1.9095836023552692E-14</v>
      </c>
      <c r="BR10" s="28">
        <f>IF( OR(ISBLANK(S10:S14),ISBLANK(AQ10:AQ14), ISBLANK(Y10:Y14),ISBLANK(AW10:AW14)), "·", bdRateExtend( S10:S14,Y10:Y14, AQ10:AQ14,AW10:AW14))</f>
        <v>-1.5099033134902129E-14</v>
      </c>
      <c r="BS10" s="28">
        <f>IF( OR(ISBLANK(S10:S14),ISBLANK(AQ10:AQ14), ISBLANK(Z10:Z14),ISBLANK(AX10:AX14)), "·", bdRateExtend( S10:S14,Z10:Z14, AQ10:AQ14,AX10:AX14))</f>
        <v>-1.9317880628477724E-14</v>
      </c>
      <c r="BT10" s="28">
        <f>IF( OR(ISBLANK(S10:S14),ISBLANK(AQ10:AQ14), ISBLANK(AA10:AA14),ISBLANK(AY10:AY14)), "·", bdRateExtend( S10:S14,AA10:AA14, AQ10:AQ14,AY10:AY14))</f>
        <v>0</v>
      </c>
      <c r="BV10">
        <f t="shared" si="17"/>
        <v>0</v>
      </c>
      <c r="BW10">
        <f t="shared" si="18"/>
        <v>0</v>
      </c>
      <c r="BX10">
        <f t="shared" si="19"/>
        <v>0</v>
      </c>
      <c r="BY10">
        <f t="shared" si="20"/>
        <v>0</v>
      </c>
      <c r="BZ10">
        <f t="shared" si="21"/>
        <v>0</v>
      </c>
      <c r="CA10">
        <f t="shared" si="22"/>
        <v>0</v>
      </c>
      <c r="CB10">
        <f t="shared" si="23"/>
        <v>0</v>
      </c>
      <c r="CC10">
        <f t="shared" si="24"/>
        <v>0</v>
      </c>
      <c r="CD10">
        <f t="shared" si="25"/>
        <v>0</v>
      </c>
      <c r="CE10">
        <f t="shared" si="26"/>
        <v>9.9475983006414026E-14</v>
      </c>
      <c r="CF10">
        <f t="shared" si="27"/>
        <v>0</v>
      </c>
      <c r="CG10">
        <f t="shared" si="28"/>
        <v>9.9475983006414026E-14</v>
      </c>
      <c r="CJ10" t="s">
        <v>242</v>
      </c>
    </row>
    <row r="11" spans="1:88" outlineLevel="1" x14ac:dyDescent="0.3">
      <c r="A11" s="10"/>
      <c r="B11" s="10" t="s">
        <v>57</v>
      </c>
      <c r="C11" s="11" t="s">
        <v>238</v>
      </c>
      <c r="D11" s="10">
        <v>22654789</v>
      </c>
      <c r="E11" s="11">
        <v>10</v>
      </c>
      <c r="F11" s="11">
        <v>32</v>
      </c>
      <c r="G11" s="11">
        <v>30</v>
      </c>
      <c r="I11" s="12">
        <f t="shared" si="0"/>
        <v>4.6350899999999999</v>
      </c>
      <c r="J11" s="13">
        <f t="shared" si="1"/>
        <v>0.21823624135276651</v>
      </c>
      <c r="K11" s="13">
        <f t="shared" si="2"/>
        <v>9.5659774187259045E-2</v>
      </c>
      <c r="L11" s="13">
        <f t="shared" si="3"/>
        <v>5.8062425564855184E-2</v>
      </c>
      <c r="M11" s="13">
        <f t="shared" si="4"/>
        <v>0.12257646716550748</v>
      </c>
      <c r="N11" s="10">
        <f t="shared" si="5"/>
        <v>2167152</v>
      </c>
      <c r="O11" s="13">
        <f t="shared" si="6"/>
        <v>0.22373841070886094</v>
      </c>
      <c r="P11" s="14">
        <v>22097663</v>
      </c>
      <c r="Q11" s="14">
        <v>690551.96875</v>
      </c>
      <c r="R11" s="14">
        <v>22579.96875</v>
      </c>
      <c r="S11" s="15">
        <v>4944096</v>
      </c>
      <c r="T11" s="15">
        <v>1315392</v>
      </c>
      <c r="U11" s="15">
        <v>851760</v>
      </c>
      <c r="V11" s="15">
        <v>2776944</v>
      </c>
      <c r="W11" s="16">
        <v>67.608481249999997</v>
      </c>
      <c r="X11" s="16">
        <v>69.690137499999906</v>
      </c>
      <c r="Y11" s="16">
        <v>34.251003124999997</v>
      </c>
      <c r="Z11" s="16">
        <v>40.0206656249999</v>
      </c>
      <c r="AA11" s="16">
        <v>33.864409375000001</v>
      </c>
      <c r="AB11" s="17">
        <v>2929.97</v>
      </c>
      <c r="AC11" s="17">
        <v>1577.64</v>
      </c>
      <c r="AD11" s="17">
        <v>7.1559999999999997</v>
      </c>
      <c r="AE11" s="17">
        <v>25.387</v>
      </c>
      <c r="AG11" s="12">
        <f t="shared" si="7"/>
        <v>4.6350899999999999</v>
      </c>
      <c r="AH11" s="13">
        <f t="shared" si="8"/>
        <v>0.21823624135276651</v>
      </c>
      <c r="AI11" s="13">
        <f t="shared" si="9"/>
        <v>9.5659774187259045E-2</v>
      </c>
      <c r="AJ11" s="13">
        <f t="shared" si="10"/>
        <v>5.8062425564855184E-2</v>
      </c>
      <c r="AK11" s="13">
        <f t="shared" si="11"/>
        <v>0.12257646716550748</v>
      </c>
      <c r="AL11" s="10">
        <f t="shared" si="12"/>
        <v>2167152</v>
      </c>
      <c r="AM11" s="13">
        <f t="shared" si="13"/>
        <v>0.22373841070886094</v>
      </c>
      <c r="AN11" s="14">
        <v>22097663</v>
      </c>
      <c r="AO11" s="14">
        <v>690551.96875</v>
      </c>
      <c r="AP11" s="14">
        <v>22579.96875</v>
      </c>
      <c r="AQ11" s="15">
        <v>4944096</v>
      </c>
      <c r="AR11" s="15">
        <v>1315392</v>
      </c>
      <c r="AS11" s="15">
        <v>851760</v>
      </c>
      <c r="AT11" s="15">
        <v>2776944</v>
      </c>
      <c r="AU11" s="16">
        <v>67.608481249999997</v>
      </c>
      <c r="AV11" s="16">
        <v>69.690137500000006</v>
      </c>
      <c r="AW11" s="16">
        <v>34.251003124999997</v>
      </c>
      <c r="AX11" s="16">
        <v>40.020665624999999</v>
      </c>
      <c r="AY11" s="16">
        <v>33.864409375000001</v>
      </c>
      <c r="AZ11" s="17">
        <v>4416.1099999999997</v>
      </c>
      <c r="BA11" s="17">
        <v>2584.3000000000002</v>
      </c>
      <c r="BB11" s="17">
        <v>12.363</v>
      </c>
      <c r="BC11" s="17">
        <v>39.54</v>
      </c>
      <c r="BE11" s="18">
        <f t="shared" si="14"/>
        <v>1</v>
      </c>
      <c r="BF11" s="19">
        <f t="shared" si="15"/>
        <v>0</v>
      </c>
      <c r="BG11" s="19">
        <f t="shared" si="16"/>
        <v>0</v>
      </c>
      <c r="BH11" s="19"/>
      <c r="BJ11" s="18"/>
      <c r="BK11" s="18"/>
      <c r="BL11" s="18"/>
      <c r="BM11" s="18"/>
      <c r="BN11" s="18"/>
      <c r="BP11" s="18"/>
      <c r="BQ11" s="18"/>
      <c r="BR11" s="18"/>
      <c r="BS11" s="18"/>
      <c r="BT11" s="18"/>
      <c r="BV11">
        <f t="shared" si="17"/>
        <v>0</v>
      </c>
      <c r="BW11">
        <f t="shared" si="18"/>
        <v>0</v>
      </c>
      <c r="BX11">
        <f t="shared" si="19"/>
        <v>0</v>
      </c>
      <c r="BY11">
        <f t="shared" si="20"/>
        <v>0</v>
      </c>
      <c r="BZ11">
        <f t="shared" si="21"/>
        <v>0</v>
      </c>
      <c r="CA11">
        <f t="shared" si="22"/>
        <v>0</v>
      </c>
      <c r="CB11">
        <f t="shared" si="23"/>
        <v>0</v>
      </c>
      <c r="CC11">
        <f t="shared" si="24"/>
        <v>0</v>
      </c>
      <c r="CD11">
        <f t="shared" si="25"/>
        <v>0</v>
      </c>
      <c r="CE11">
        <f t="shared" si="26"/>
        <v>0</v>
      </c>
      <c r="CF11">
        <f t="shared" si="27"/>
        <v>9.9475983006414026E-14</v>
      </c>
      <c r="CG11">
        <f t="shared" si="28"/>
        <v>0</v>
      </c>
      <c r="CJ11" t="s">
        <v>242</v>
      </c>
    </row>
    <row r="12" spans="1:88" outlineLevel="1" x14ac:dyDescent="0.3">
      <c r="A12" s="20"/>
      <c r="B12" s="20" t="s">
        <v>57</v>
      </c>
      <c r="C12" s="21" t="s">
        <v>239</v>
      </c>
      <c r="D12" s="20">
        <v>22654789</v>
      </c>
      <c r="E12" s="21">
        <v>10</v>
      </c>
      <c r="F12" s="21">
        <v>32</v>
      </c>
      <c r="G12" s="21">
        <v>30</v>
      </c>
      <c r="I12" s="22">
        <f t="shared" si="0"/>
        <v>7.1525400000000001</v>
      </c>
      <c r="J12" s="23">
        <f t="shared" si="1"/>
        <v>0.33676658829177353</v>
      </c>
      <c r="K12" s="23">
        <f t="shared" si="2"/>
        <v>0.12149731343779013</v>
      </c>
      <c r="L12" s="23">
        <f t="shared" si="3"/>
        <v>8.389996481538628E-2</v>
      </c>
      <c r="M12" s="23">
        <f t="shared" si="4"/>
        <v>0.21526927485398342</v>
      </c>
      <c r="N12" s="20">
        <f t="shared" si="5"/>
        <v>2752496</v>
      </c>
      <c r="O12" s="23">
        <f t="shared" si="6"/>
        <v>0.33892000327308891</v>
      </c>
      <c r="P12" s="24">
        <v>22510846</v>
      </c>
      <c r="Q12" s="24">
        <v>703463.9375</v>
      </c>
      <c r="R12" s="24">
        <v>24335.25</v>
      </c>
      <c r="S12" s="25">
        <v>7629376</v>
      </c>
      <c r="T12" s="25">
        <v>1900736</v>
      </c>
      <c r="U12" s="25">
        <v>851760</v>
      </c>
      <c r="V12" s="25">
        <v>4876880</v>
      </c>
      <c r="W12" s="26">
        <v>68.959699999999998</v>
      </c>
      <c r="X12" s="26">
        <v>71.322293749999901</v>
      </c>
      <c r="Y12" s="26">
        <v>36.357975000000003</v>
      </c>
      <c r="Z12" s="26">
        <v>40.921809374999903</v>
      </c>
      <c r="AA12" s="26">
        <v>35.639640624999998</v>
      </c>
      <c r="AB12" s="27">
        <v>2929.03</v>
      </c>
      <c r="AC12" s="27">
        <v>1640.27</v>
      </c>
      <c r="AD12" s="27">
        <v>7.1239999999999997</v>
      </c>
      <c r="AE12" s="27">
        <v>25.826000000000001</v>
      </c>
      <c r="AG12" s="22">
        <f t="shared" si="7"/>
        <v>7.1525400000000001</v>
      </c>
      <c r="AH12" s="23">
        <f t="shared" si="8"/>
        <v>0.33676658829177353</v>
      </c>
      <c r="AI12" s="23">
        <f t="shared" si="9"/>
        <v>0.12149731343779013</v>
      </c>
      <c r="AJ12" s="23">
        <f t="shared" si="10"/>
        <v>8.389996481538628E-2</v>
      </c>
      <c r="AK12" s="23">
        <f t="shared" si="11"/>
        <v>0.21526927485398342</v>
      </c>
      <c r="AL12" s="20">
        <f t="shared" si="12"/>
        <v>2752496</v>
      </c>
      <c r="AM12" s="23">
        <f t="shared" si="13"/>
        <v>0.33892000327308891</v>
      </c>
      <c r="AN12" s="24">
        <v>22510846</v>
      </c>
      <c r="AO12" s="24">
        <v>703463.9375</v>
      </c>
      <c r="AP12" s="24">
        <v>24335.25</v>
      </c>
      <c r="AQ12" s="25">
        <v>7629376</v>
      </c>
      <c r="AR12" s="25">
        <v>1900736</v>
      </c>
      <c r="AS12" s="25">
        <v>851760</v>
      </c>
      <c r="AT12" s="25">
        <v>4876880</v>
      </c>
      <c r="AU12" s="26">
        <v>68.959699999999998</v>
      </c>
      <c r="AV12" s="26">
        <v>71.32229375</v>
      </c>
      <c r="AW12" s="26">
        <v>36.357975000000003</v>
      </c>
      <c r="AX12" s="26">
        <v>40.921809375000002</v>
      </c>
      <c r="AY12" s="26">
        <v>35.639640624999998</v>
      </c>
      <c r="AZ12" s="27">
        <v>4449.5200000000004</v>
      </c>
      <c r="BA12" s="27">
        <v>2649.25</v>
      </c>
      <c r="BB12" s="27">
        <v>12.256</v>
      </c>
      <c r="BC12" s="27">
        <v>38.555999999999997</v>
      </c>
      <c r="BE12" s="28">
        <f t="shared" si="14"/>
        <v>1</v>
      </c>
      <c r="BF12" s="29">
        <f t="shared" si="15"/>
        <v>0</v>
      </c>
      <c r="BG12" s="29">
        <f t="shared" si="16"/>
        <v>0</v>
      </c>
      <c r="BH12" s="29"/>
      <c r="BJ12" s="28"/>
      <c r="BK12" s="28"/>
      <c r="BL12" s="28"/>
      <c r="BM12" s="28"/>
      <c r="BN12" s="28"/>
      <c r="BP12" s="28"/>
      <c r="BQ12" s="28"/>
      <c r="BR12" s="28"/>
      <c r="BS12" s="28"/>
      <c r="BT12" s="28"/>
      <c r="BV12">
        <f t="shared" si="17"/>
        <v>0</v>
      </c>
      <c r="BW12">
        <f t="shared" si="18"/>
        <v>0</v>
      </c>
      <c r="BX12">
        <f t="shared" si="19"/>
        <v>0</v>
      </c>
      <c r="BY12">
        <f t="shared" si="20"/>
        <v>0</v>
      </c>
      <c r="BZ12">
        <f t="shared" si="21"/>
        <v>0</v>
      </c>
      <c r="CA12">
        <f t="shared" si="22"/>
        <v>0</v>
      </c>
      <c r="CB12">
        <f t="shared" si="23"/>
        <v>0</v>
      </c>
      <c r="CC12">
        <f t="shared" si="24"/>
        <v>0</v>
      </c>
      <c r="CD12">
        <f t="shared" si="25"/>
        <v>0</v>
      </c>
      <c r="CE12">
        <f t="shared" si="26"/>
        <v>0</v>
      </c>
      <c r="CF12">
        <f t="shared" si="27"/>
        <v>9.9475983006414026E-14</v>
      </c>
      <c r="CG12">
        <f t="shared" si="28"/>
        <v>0</v>
      </c>
      <c r="CJ12" t="s">
        <v>242</v>
      </c>
    </row>
    <row r="13" spans="1:88" outlineLevel="1" x14ac:dyDescent="0.3">
      <c r="A13" s="10"/>
      <c r="B13" s="10" t="s">
        <v>57</v>
      </c>
      <c r="C13" s="11" t="s">
        <v>240</v>
      </c>
      <c r="D13" s="10">
        <v>22654789</v>
      </c>
      <c r="E13" s="11">
        <v>10</v>
      </c>
      <c r="F13" s="11">
        <v>32</v>
      </c>
      <c r="G13" s="11">
        <v>30</v>
      </c>
      <c r="I13" s="12">
        <f t="shared" si="0"/>
        <v>12.072405</v>
      </c>
      <c r="J13" s="13">
        <f t="shared" si="1"/>
        <v>0.5684110322104523</v>
      </c>
      <c r="K13" s="13">
        <f t="shared" si="2"/>
        <v>0.1665703441334192</v>
      </c>
      <c r="L13" s="13">
        <f t="shared" si="3"/>
        <v>0.12897299551101535</v>
      </c>
      <c r="M13" s="13">
        <f t="shared" si="4"/>
        <v>0.40184068807703305</v>
      </c>
      <c r="N13" s="10">
        <f t="shared" si="5"/>
        <v>3773616</v>
      </c>
      <c r="O13" s="13">
        <f t="shared" si="6"/>
        <v>0.55286691989808057</v>
      </c>
      <c r="P13" s="14">
        <v>23291739</v>
      </c>
      <c r="Q13" s="14">
        <v>727866.84375</v>
      </c>
      <c r="R13" s="14">
        <v>27670.5</v>
      </c>
      <c r="S13" s="15">
        <v>12877232</v>
      </c>
      <c r="T13" s="15">
        <v>2921856</v>
      </c>
      <c r="U13" s="15">
        <v>851760</v>
      </c>
      <c r="V13" s="15">
        <v>9103616</v>
      </c>
      <c r="W13" s="16">
        <v>70.061584374999995</v>
      </c>
      <c r="X13" s="16">
        <v>72.575809375000006</v>
      </c>
      <c r="Y13" s="16">
        <v>38.692190624999903</v>
      </c>
      <c r="Z13" s="16">
        <v>42.106337500000002</v>
      </c>
      <c r="AA13" s="16">
        <v>37.69706875</v>
      </c>
      <c r="AB13" s="17">
        <v>2916.17</v>
      </c>
      <c r="AC13" s="17">
        <v>1755.36</v>
      </c>
      <c r="AD13" s="17">
        <v>7.1829999999999998</v>
      </c>
      <c r="AE13" s="17">
        <v>26.163</v>
      </c>
      <c r="AG13" s="12">
        <f t="shared" si="7"/>
        <v>12.072405</v>
      </c>
      <c r="AH13" s="13">
        <f t="shared" si="8"/>
        <v>0.5684110322104523</v>
      </c>
      <c r="AI13" s="13">
        <f t="shared" si="9"/>
        <v>0.1665703441334192</v>
      </c>
      <c r="AJ13" s="13">
        <f t="shared" si="10"/>
        <v>0.12897299551101535</v>
      </c>
      <c r="AK13" s="13">
        <f t="shared" si="11"/>
        <v>0.40184068807703305</v>
      </c>
      <c r="AL13" s="10">
        <f t="shared" si="12"/>
        <v>3773616</v>
      </c>
      <c r="AM13" s="13">
        <f t="shared" si="13"/>
        <v>0.55286691989808057</v>
      </c>
      <c r="AN13" s="14">
        <v>23291739</v>
      </c>
      <c r="AO13" s="14">
        <v>727866.84375</v>
      </c>
      <c r="AP13" s="14">
        <v>27670.5</v>
      </c>
      <c r="AQ13" s="15">
        <v>12877232</v>
      </c>
      <c r="AR13" s="15">
        <v>2921856</v>
      </c>
      <c r="AS13" s="15">
        <v>851760</v>
      </c>
      <c r="AT13" s="15">
        <v>9103616</v>
      </c>
      <c r="AU13" s="16">
        <v>70.061584374999995</v>
      </c>
      <c r="AV13" s="16">
        <v>72.575809375000006</v>
      </c>
      <c r="AW13" s="16">
        <v>38.692190625000002</v>
      </c>
      <c r="AX13" s="16">
        <v>42.106337500000002</v>
      </c>
      <c r="AY13" s="16">
        <v>37.69706875</v>
      </c>
      <c r="AZ13" s="17">
        <v>4404.1400000000003</v>
      </c>
      <c r="BA13" s="17">
        <v>2804.44</v>
      </c>
      <c r="BB13" s="17">
        <v>12.536</v>
      </c>
      <c r="BC13" s="17">
        <v>41.603999999999999</v>
      </c>
      <c r="BE13" s="18">
        <f t="shared" si="14"/>
        <v>1</v>
      </c>
      <c r="BF13" s="19">
        <f t="shared" si="15"/>
        <v>0</v>
      </c>
      <c r="BG13" s="19">
        <f t="shared" si="16"/>
        <v>0</v>
      </c>
      <c r="BH13" s="19"/>
      <c r="BJ13" s="18"/>
      <c r="BK13" s="18"/>
      <c r="BL13" s="18"/>
      <c r="BM13" s="18"/>
      <c r="BN13" s="18"/>
      <c r="BP13" s="18"/>
      <c r="BQ13" s="18"/>
      <c r="BR13" s="18"/>
      <c r="BS13" s="18"/>
      <c r="BT13" s="18"/>
      <c r="BV13">
        <f t="shared" si="17"/>
        <v>0</v>
      </c>
      <c r="BW13">
        <f t="shared" si="18"/>
        <v>0</v>
      </c>
      <c r="BX13">
        <f t="shared" si="19"/>
        <v>0</v>
      </c>
      <c r="BY13">
        <f t="shared" si="20"/>
        <v>0</v>
      </c>
      <c r="BZ13">
        <f t="shared" si="21"/>
        <v>0</v>
      </c>
      <c r="CA13">
        <f t="shared" si="22"/>
        <v>0</v>
      </c>
      <c r="CB13">
        <f t="shared" si="23"/>
        <v>0</v>
      </c>
      <c r="CC13">
        <f t="shared" si="24"/>
        <v>0</v>
      </c>
      <c r="CD13">
        <f t="shared" si="25"/>
        <v>0</v>
      </c>
      <c r="CE13">
        <f t="shared" si="26"/>
        <v>9.9475983006414026E-14</v>
      </c>
      <c r="CF13">
        <f t="shared" si="27"/>
        <v>0</v>
      </c>
      <c r="CG13">
        <f t="shared" si="28"/>
        <v>0</v>
      </c>
      <c r="CJ13" t="s">
        <v>242</v>
      </c>
    </row>
    <row r="14" spans="1:88" ht="15.75" customHeight="1" outlineLevel="1" thickBot="1" x14ac:dyDescent="0.35">
      <c r="A14" s="20"/>
      <c r="B14" s="40" t="s">
        <v>57</v>
      </c>
      <c r="C14" s="41" t="s">
        <v>241</v>
      </c>
      <c r="D14" s="40">
        <v>22654789</v>
      </c>
      <c r="E14" s="41">
        <v>10</v>
      </c>
      <c r="F14" s="41">
        <v>32</v>
      </c>
      <c r="G14" s="41">
        <v>30</v>
      </c>
      <c r="I14" s="42">
        <f t="shared" si="0"/>
        <v>21.6298125</v>
      </c>
      <c r="J14" s="43">
        <f t="shared" si="1"/>
        <v>1.0184071897557732</v>
      </c>
      <c r="K14" s="43">
        <f t="shared" si="2"/>
        <v>0.27324695012608591</v>
      </c>
      <c r="L14" s="43">
        <f t="shared" si="3"/>
        <v>0.20367508167919815</v>
      </c>
      <c r="M14" s="43">
        <f t="shared" si="4"/>
        <v>0.74516023962968714</v>
      </c>
      <c r="N14" s="40">
        <f t="shared" si="5"/>
        <v>6190352</v>
      </c>
      <c r="O14" s="43">
        <f t="shared" si="6"/>
        <v>1.0428377147481456</v>
      </c>
      <c r="P14" s="44">
        <v>22124056</v>
      </c>
      <c r="Q14" s="44">
        <v>691376.75</v>
      </c>
      <c r="R14" s="44">
        <v>13142.46875</v>
      </c>
      <c r="S14" s="45">
        <v>23071800</v>
      </c>
      <c r="T14" s="45">
        <v>4614216</v>
      </c>
      <c r="U14" s="45">
        <v>1576136</v>
      </c>
      <c r="V14" s="45">
        <v>16881448</v>
      </c>
      <c r="W14" s="46">
        <v>70.929762499999995</v>
      </c>
      <c r="X14" s="46">
        <v>74.6802281249999</v>
      </c>
      <c r="Y14" s="46">
        <v>40.975693749999898</v>
      </c>
      <c r="Z14" s="46">
        <v>43.414406249999999</v>
      </c>
      <c r="AA14" s="46">
        <v>39.479834375000003</v>
      </c>
      <c r="AB14" s="47">
        <v>2920.09</v>
      </c>
      <c r="AC14" s="47">
        <v>1952.77</v>
      </c>
      <c r="AD14" s="47">
        <v>6.8810000000000002</v>
      </c>
      <c r="AE14" s="47">
        <v>27.25</v>
      </c>
      <c r="AG14" s="42">
        <f t="shared" si="7"/>
        <v>21.6298125</v>
      </c>
      <c r="AH14" s="43">
        <f t="shared" si="8"/>
        <v>1.0184071897557732</v>
      </c>
      <c r="AI14" s="43">
        <f t="shared" si="9"/>
        <v>0.27324695012608591</v>
      </c>
      <c r="AJ14" s="43">
        <f t="shared" si="10"/>
        <v>0.20367508167919815</v>
      </c>
      <c r="AK14" s="43">
        <f t="shared" si="11"/>
        <v>0.74516023962968714</v>
      </c>
      <c r="AL14" s="40">
        <f t="shared" si="12"/>
        <v>6190352</v>
      </c>
      <c r="AM14" s="43">
        <f t="shared" si="13"/>
        <v>1.0428377147481456</v>
      </c>
      <c r="AN14" s="44">
        <v>22124056</v>
      </c>
      <c r="AO14" s="44">
        <v>691376.75</v>
      </c>
      <c r="AP14" s="44">
        <v>13142.46875</v>
      </c>
      <c r="AQ14" s="45">
        <v>23071800</v>
      </c>
      <c r="AR14" s="45">
        <v>4614216</v>
      </c>
      <c r="AS14" s="45">
        <v>1576136</v>
      </c>
      <c r="AT14" s="45">
        <v>16881448</v>
      </c>
      <c r="AU14" s="46">
        <v>70.929762499999995</v>
      </c>
      <c r="AV14" s="46">
        <v>74.680228124999999</v>
      </c>
      <c r="AW14" s="46">
        <v>40.975693749999998</v>
      </c>
      <c r="AX14" s="46">
        <v>43.414406249999999</v>
      </c>
      <c r="AY14" s="46">
        <v>39.479834375000003</v>
      </c>
      <c r="AZ14" s="47">
        <v>4415.16</v>
      </c>
      <c r="BA14" s="47">
        <v>3077.51</v>
      </c>
      <c r="BB14" s="47">
        <v>10.88</v>
      </c>
      <c r="BC14" s="47">
        <v>43.353999999999999</v>
      </c>
      <c r="BE14" s="48">
        <f t="shared" si="14"/>
        <v>1</v>
      </c>
      <c r="BF14" s="49">
        <f t="shared" si="15"/>
        <v>0</v>
      </c>
      <c r="BG14" s="49">
        <f t="shared" si="16"/>
        <v>0</v>
      </c>
      <c r="BH14" s="49"/>
      <c r="BJ14" s="48"/>
      <c r="BK14" s="48"/>
      <c r="BL14" s="48"/>
      <c r="BM14" s="48"/>
      <c r="BN14" s="48"/>
      <c r="BP14" s="48"/>
      <c r="BQ14" s="48"/>
      <c r="BR14" s="48"/>
      <c r="BS14" s="48"/>
      <c r="BT14" s="48"/>
      <c r="BV14">
        <f t="shared" si="17"/>
        <v>0</v>
      </c>
      <c r="BW14">
        <f t="shared" si="18"/>
        <v>0</v>
      </c>
      <c r="BX14">
        <f t="shared" si="19"/>
        <v>0</v>
      </c>
      <c r="BY14">
        <f t="shared" si="20"/>
        <v>0</v>
      </c>
      <c r="BZ14">
        <f t="shared" si="21"/>
        <v>0</v>
      </c>
      <c r="CA14">
        <f t="shared" si="22"/>
        <v>0</v>
      </c>
      <c r="CB14">
        <f t="shared" si="23"/>
        <v>0</v>
      </c>
      <c r="CC14">
        <f t="shared" si="24"/>
        <v>0</v>
      </c>
      <c r="CD14">
        <f t="shared" si="25"/>
        <v>0</v>
      </c>
      <c r="CE14">
        <f t="shared" si="26"/>
        <v>9.9475983006414026E-14</v>
      </c>
      <c r="CF14">
        <f t="shared" si="27"/>
        <v>0</v>
      </c>
      <c r="CG14">
        <f t="shared" si="28"/>
        <v>0</v>
      </c>
      <c r="CJ14" t="s">
        <v>242</v>
      </c>
    </row>
    <row r="15" spans="1:88" x14ac:dyDescent="0.3">
      <c r="A15" s="10"/>
      <c r="B15" s="10" t="s">
        <v>62</v>
      </c>
      <c r="C15" s="11" t="s">
        <v>236</v>
      </c>
      <c r="D15" s="10">
        <v>33947718</v>
      </c>
      <c r="E15" s="11">
        <v>10</v>
      </c>
      <c r="F15" s="11">
        <v>32</v>
      </c>
      <c r="G15" s="11">
        <v>30</v>
      </c>
      <c r="I15" s="12">
        <f t="shared" si="0"/>
        <v>4.4321624999999996</v>
      </c>
      <c r="J15" s="13">
        <f t="shared" si="1"/>
        <v>0.13926237987484166</v>
      </c>
      <c r="K15" s="13">
        <f t="shared" si="2"/>
        <v>7.9041306988587565E-2</v>
      </c>
      <c r="L15" s="13">
        <f t="shared" si="3"/>
        <v>4.1738534531245958E-2</v>
      </c>
      <c r="M15" s="13">
        <f t="shared" si="4"/>
        <v>6.0221072886254091E-2</v>
      </c>
      <c r="N15" s="10">
        <f t="shared" si="5"/>
        <v>2683272</v>
      </c>
      <c r="O15" s="13">
        <f t="shared" si="6"/>
        <v>0.15207851477459736</v>
      </c>
      <c r="P15" s="14">
        <v>31086837</v>
      </c>
      <c r="Q15" s="14">
        <v>971463.65625</v>
      </c>
      <c r="R15" s="14">
        <v>27534.65625</v>
      </c>
      <c r="S15" s="15">
        <v>4727640</v>
      </c>
      <c r="T15" s="15">
        <v>1416928</v>
      </c>
      <c r="U15" s="15">
        <v>1266344</v>
      </c>
      <c r="V15" s="15">
        <v>2044368</v>
      </c>
      <c r="W15" s="16">
        <v>65.923293749999999</v>
      </c>
      <c r="X15" s="16">
        <v>67.651821874999897</v>
      </c>
      <c r="Y15" s="16">
        <v>29.41036875</v>
      </c>
      <c r="Z15" s="16">
        <v>43.123021874999999</v>
      </c>
      <c r="AA15" s="16">
        <v>43.312296874999902</v>
      </c>
      <c r="AB15" s="17">
        <v>4209.93</v>
      </c>
      <c r="AC15" s="17">
        <v>1502.53</v>
      </c>
      <c r="AD15" s="17">
        <v>9.3350000000000009</v>
      </c>
      <c r="AE15" s="17">
        <v>23.678000000000001</v>
      </c>
      <c r="AG15" s="12">
        <f t="shared" si="7"/>
        <v>4.4321624999999996</v>
      </c>
      <c r="AH15" s="13">
        <f t="shared" si="8"/>
        <v>0.13926237987484166</v>
      </c>
      <c r="AI15" s="13">
        <f t="shared" si="9"/>
        <v>7.9041306988587565E-2</v>
      </c>
      <c r="AJ15" s="13">
        <f t="shared" si="10"/>
        <v>4.1738534531245958E-2</v>
      </c>
      <c r="AK15" s="13">
        <f t="shared" si="11"/>
        <v>6.0221072886254091E-2</v>
      </c>
      <c r="AL15" s="10">
        <f t="shared" si="12"/>
        <v>2683272</v>
      </c>
      <c r="AM15" s="13">
        <f t="shared" si="13"/>
        <v>0.15207851477459736</v>
      </c>
      <c r="AN15" s="14">
        <v>31086837</v>
      </c>
      <c r="AO15" s="14">
        <v>971463.65625</v>
      </c>
      <c r="AP15" s="14">
        <v>27534.65625</v>
      </c>
      <c r="AQ15" s="15">
        <v>4727640</v>
      </c>
      <c r="AR15" s="15">
        <v>1416928</v>
      </c>
      <c r="AS15" s="15">
        <v>1266344</v>
      </c>
      <c r="AT15" s="15">
        <v>2044368</v>
      </c>
      <c r="AU15" s="16">
        <v>65.923293749999999</v>
      </c>
      <c r="AV15" s="16">
        <v>67.651821874999996</v>
      </c>
      <c r="AW15" s="16">
        <v>29.41036875</v>
      </c>
      <c r="AX15" s="16">
        <v>43.123021874999999</v>
      </c>
      <c r="AY15" s="16">
        <v>43.312296875000001</v>
      </c>
      <c r="AZ15" s="17">
        <v>6341.47</v>
      </c>
      <c r="BA15" s="17">
        <v>2242.13</v>
      </c>
      <c r="BB15" s="17">
        <v>13.788</v>
      </c>
      <c r="BC15" s="17">
        <v>35.603999999999999</v>
      </c>
      <c r="BE15" s="18">
        <f t="shared" si="14"/>
        <v>1</v>
      </c>
      <c r="BF15" s="19">
        <f t="shared" si="15"/>
        <v>0</v>
      </c>
      <c r="BG15" s="19">
        <f t="shared" si="16"/>
        <v>0</v>
      </c>
      <c r="BH15" s="19">
        <f t="array" ref="BH15">AVERAGE(AL15:AL19/AQ15:AQ19) - AVERAGE(N15:N19/S15:S19)</f>
        <v>0</v>
      </c>
      <c r="BJ15" s="18">
        <f>IF( OR(ISBLANK(N15:N19),ISBLANK(AL15:AL19), ISBLANK(W15:W19),ISBLANK(AU15:AU19)), "·", bdRateExtend( N15:N19,W15:W19, AL15:AL19,AU15:AU19))</f>
        <v>-6.2172489379008766E-15</v>
      </c>
      <c r="BK15" s="18">
        <f>IF( OR(ISBLANK(N15:N19),ISBLANK(AL15:AL19), ISBLANK(X15:X19),ISBLANK(AV15:AV19)), "·", bdRateExtend( N15:N19,X15:X19, AL15:AL19,AV15:AV19))</f>
        <v>-2.2204460492503131E-15</v>
      </c>
      <c r="BL15" s="18">
        <f>IF( OR(ISBLANK(V15:V19),ISBLANK(AT15:AT19), ISBLANK(Y15:Y19),ISBLANK(AW15:AW19)), "·", bdRateExtend( V15:V19,Y15:Y19, AT15:AT19,AW15:AW19))</f>
        <v>-9.7699626167013776E-15</v>
      </c>
      <c r="BM15" s="18">
        <f>IF( OR(ISBLANK(V15:V19),ISBLANK(AT15:AT19), ISBLANK(Z15:Z19),ISBLANK(AX15:AX19)), "·", bdRateExtend( V15:V19,Z15:Z19, AT15:AT19,AX15:AX19))</f>
        <v>-1.7319479184152442E-14</v>
      </c>
      <c r="BN15" s="18">
        <f>IF( OR(ISBLANK(V15:V19),ISBLANK(AT15:AT19), ISBLANK(AA15:AA19),ISBLANK(AY15:AY19)), "·", bdRateExtend( V15:V19,AA15:AA19, AT15:AT19,AY15:AY19))</f>
        <v>-2.55351295663786E-14</v>
      </c>
      <c r="BP15" s="18">
        <f>IF( OR(ISBLANK(S15:S19),ISBLANK(AQ15:AQ19), ISBLANK(W15:W19),ISBLANK(AU15:AU19)), "·", bdRateExtend( S15:S19,W15:W19, AQ15:AQ19,AU15:AU19))</f>
        <v>-1.5543122344752192E-14</v>
      </c>
      <c r="BQ15" s="18">
        <f>IF( OR(ISBLANK(S15:S19),ISBLANK(AQ15:AQ19), ISBLANK(X15:X19),ISBLANK(AV15:AV19)), "·", bdRateExtend( S15:S19,X15:X19, AQ15:AQ19,AV15:AV19))</f>
        <v>-4.4408920985006262E-15</v>
      </c>
      <c r="BR15" s="18">
        <f>IF( OR(ISBLANK(S15:S19),ISBLANK(AQ15:AQ19), ISBLANK(Y15:Y19),ISBLANK(AW15:AW19)), "·", bdRateExtend( S15:S19,Y15:Y19, AQ15:AQ19,AW15:AW19))</f>
        <v>-9.7699626167013776E-15</v>
      </c>
      <c r="BS15" s="18">
        <f>IF( OR(ISBLANK(S15:S19),ISBLANK(AQ15:AQ19), ISBLANK(Z15:Z19),ISBLANK(AX15:AX19)), "·", bdRateExtend( S15:S19,Z15:Z19, AQ15:AQ19,AX15:AX19))</f>
        <v>-1.7319479184152442E-14</v>
      </c>
      <c r="BT15" s="18">
        <f>IF( OR(ISBLANK(S15:S19),ISBLANK(AQ15:AQ19), ISBLANK(AA15:AA19),ISBLANK(AY15:AY19)), "·", bdRateExtend( S15:S19,AA15:AA19, AQ15:AQ19,AY15:AY19))</f>
        <v>-1.9095836023552692E-14</v>
      </c>
      <c r="BV15">
        <f t="shared" si="17"/>
        <v>0</v>
      </c>
      <c r="BW15">
        <f t="shared" si="18"/>
        <v>0</v>
      </c>
      <c r="BX15">
        <f t="shared" si="19"/>
        <v>0</v>
      </c>
      <c r="BY15">
        <f t="shared" si="20"/>
        <v>0</v>
      </c>
      <c r="BZ15">
        <f t="shared" si="21"/>
        <v>0</v>
      </c>
      <c r="CA15">
        <f t="shared" si="22"/>
        <v>0</v>
      </c>
      <c r="CB15">
        <f t="shared" si="23"/>
        <v>0</v>
      </c>
      <c r="CC15">
        <f t="shared" si="24"/>
        <v>0</v>
      </c>
      <c r="CD15">
        <f t="shared" si="25"/>
        <v>0</v>
      </c>
      <c r="CE15">
        <f t="shared" si="26"/>
        <v>0</v>
      </c>
      <c r="CF15">
        <f t="shared" si="27"/>
        <v>0</v>
      </c>
      <c r="CG15">
        <f t="shared" si="28"/>
        <v>9.9475983006414026E-14</v>
      </c>
      <c r="CJ15" t="s">
        <v>237</v>
      </c>
    </row>
    <row r="16" spans="1:88" outlineLevel="1" x14ac:dyDescent="0.3">
      <c r="A16" s="20"/>
      <c r="B16" s="20" t="s">
        <v>62</v>
      </c>
      <c r="C16" s="21" t="s">
        <v>238</v>
      </c>
      <c r="D16" s="20">
        <v>33947718</v>
      </c>
      <c r="E16" s="21">
        <v>10</v>
      </c>
      <c r="F16" s="21">
        <v>32</v>
      </c>
      <c r="G16" s="21">
        <v>30</v>
      </c>
      <c r="I16" s="22">
        <f t="shared" si="0"/>
        <v>7.0326975000000003</v>
      </c>
      <c r="J16" s="23">
        <f t="shared" si="1"/>
        <v>0.22097343921614995</v>
      </c>
      <c r="K16" s="23">
        <f t="shared" si="2"/>
        <v>9.6197099316071843E-2</v>
      </c>
      <c r="L16" s="23">
        <f t="shared" si="3"/>
        <v>5.8894326858730237E-2</v>
      </c>
      <c r="M16" s="23">
        <f t="shared" si="4"/>
        <v>0.12477633990007811</v>
      </c>
      <c r="N16" s="20">
        <f t="shared" si="5"/>
        <v>3265672</v>
      </c>
      <c r="O16" s="23">
        <f t="shared" si="6"/>
        <v>0.22604903736189136</v>
      </c>
      <c r="P16" s="24">
        <v>33185472</v>
      </c>
      <c r="Q16" s="24">
        <v>1037046</v>
      </c>
      <c r="R16" s="24">
        <v>34248.84375</v>
      </c>
      <c r="S16" s="25">
        <v>7501544</v>
      </c>
      <c r="T16" s="25">
        <v>1999328</v>
      </c>
      <c r="U16" s="25">
        <v>1266344</v>
      </c>
      <c r="V16" s="25">
        <v>4235872</v>
      </c>
      <c r="W16" s="26">
        <v>67.712431249999995</v>
      </c>
      <c r="X16" s="26">
        <v>69.726390624999993</v>
      </c>
      <c r="Y16" s="26">
        <v>31.815896875</v>
      </c>
      <c r="Z16" s="26">
        <v>43.965540625000003</v>
      </c>
      <c r="AA16" s="26">
        <v>44.205496874999902</v>
      </c>
      <c r="AB16" s="27">
        <v>4121.6899999999996</v>
      </c>
      <c r="AC16" s="27">
        <v>1589.81</v>
      </c>
      <c r="AD16" s="27">
        <v>9.9179999999999993</v>
      </c>
      <c r="AE16" s="27">
        <v>24.945</v>
      </c>
      <c r="AG16" s="22">
        <f t="shared" si="7"/>
        <v>7.0326975000000003</v>
      </c>
      <c r="AH16" s="23">
        <f t="shared" si="8"/>
        <v>0.22097343921614995</v>
      </c>
      <c r="AI16" s="23">
        <f t="shared" si="9"/>
        <v>9.6197099316071843E-2</v>
      </c>
      <c r="AJ16" s="23">
        <f t="shared" si="10"/>
        <v>5.8894326858730237E-2</v>
      </c>
      <c r="AK16" s="23">
        <f t="shared" si="11"/>
        <v>0.12477633990007811</v>
      </c>
      <c r="AL16" s="20">
        <f t="shared" si="12"/>
        <v>3265672</v>
      </c>
      <c r="AM16" s="23">
        <f t="shared" si="13"/>
        <v>0.22604903736189136</v>
      </c>
      <c r="AN16" s="24">
        <v>33185472</v>
      </c>
      <c r="AO16" s="24">
        <v>1037046</v>
      </c>
      <c r="AP16" s="24">
        <v>34248.84375</v>
      </c>
      <c r="AQ16" s="25">
        <v>7501544</v>
      </c>
      <c r="AR16" s="25">
        <v>1999328</v>
      </c>
      <c r="AS16" s="25">
        <v>1266344</v>
      </c>
      <c r="AT16" s="25">
        <v>4235872</v>
      </c>
      <c r="AU16" s="26">
        <v>67.712431249999995</v>
      </c>
      <c r="AV16" s="26">
        <v>69.726390624999993</v>
      </c>
      <c r="AW16" s="26">
        <v>31.815896875</v>
      </c>
      <c r="AX16" s="26">
        <v>43.965540625000003</v>
      </c>
      <c r="AY16" s="26">
        <v>44.205496875000001</v>
      </c>
      <c r="AZ16" s="27">
        <v>6402.85</v>
      </c>
      <c r="BA16" s="27">
        <v>2348.0700000000002</v>
      </c>
      <c r="BB16" s="27">
        <v>15.657999999999999</v>
      </c>
      <c r="BC16" s="27">
        <v>29.393999999999998</v>
      </c>
      <c r="BE16" s="28">
        <f t="shared" si="14"/>
        <v>1</v>
      </c>
      <c r="BF16" s="29">
        <f t="shared" si="15"/>
        <v>0</v>
      </c>
      <c r="BG16" s="29">
        <f t="shared" si="16"/>
        <v>0</v>
      </c>
      <c r="BH16" s="29"/>
      <c r="BJ16" s="28"/>
      <c r="BK16" s="28"/>
      <c r="BL16" s="28"/>
      <c r="BM16" s="28"/>
      <c r="BN16" s="28"/>
      <c r="BP16" s="28"/>
      <c r="BQ16" s="28"/>
      <c r="BR16" s="28"/>
      <c r="BS16" s="28"/>
      <c r="BT16" s="28"/>
      <c r="BV16">
        <f t="shared" si="17"/>
        <v>0</v>
      </c>
      <c r="BW16">
        <f t="shared" si="18"/>
        <v>0</v>
      </c>
      <c r="BX16">
        <f t="shared" si="19"/>
        <v>0</v>
      </c>
      <c r="BY16">
        <f t="shared" si="20"/>
        <v>0</v>
      </c>
      <c r="BZ16">
        <f t="shared" si="21"/>
        <v>0</v>
      </c>
      <c r="CA16">
        <f t="shared" si="22"/>
        <v>0</v>
      </c>
      <c r="CB16">
        <f t="shared" si="23"/>
        <v>0</v>
      </c>
      <c r="CC16">
        <f t="shared" si="24"/>
        <v>0</v>
      </c>
      <c r="CD16">
        <f t="shared" si="25"/>
        <v>0</v>
      </c>
      <c r="CE16">
        <f t="shared" si="26"/>
        <v>0</v>
      </c>
      <c r="CF16">
        <f t="shared" si="27"/>
        <v>0</v>
      </c>
      <c r="CG16">
        <f t="shared" si="28"/>
        <v>9.9475983006414026E-14</v>
      </c>
      <c r="CJ16" t="s">
        <v>237</v>
      </c>
    </row>
    <row r="17" spans="1:88" outlineLevel="1" x14ac:dyDescent="0.3">
      <c r="A17" s="10"/>
      <c r="B17" s="10" t="s">
        <v>62</v>
      </c>
      <c r="C17" s="11" t="s">
        <v>239</v>
      </c>
      <c r="D17" s="10">
        <v>33947718</v>
      </c>
      <c r="E17" s="11">
        <v>10</v>
      </c>
      <c r="F17" s="11">
        <v>32</v>
      </c>
      <c r="G17" s="11">
        <v>30</v>
      </c>
      <c r="I17" s="12">
        <f t="shared" si="0"/>
        <v>11.73363</v>
      </c>
      <c r="J17" s="13">
        <f t="shared" si="1"/>
        <v>0.36868080499549338</v>
      </c>
      <c r="K17" s="13">
        <f t="shared" si="2"/>
        <v>0.12241788976802506</v>
      </c>
      <c r="L17" s="13">
        <f t="shared" si="3"/>
        <v>8.5115117310683441E-2</v>
      </c>
      <c r="M17" s="13">
        <f t="shared" si="4"/>
        <v>0.24626291522746832</v>
      </c>
      <c r="N17" s="10">
        <f t="shared" si="5"/>
        <v>4155808</v>
      </c>
      <c r="O17" s="13">
        <f t="shared" si="6"/>
        <v>0.37244802718219922</v>
      </c>
      <c r="P17" s="14">
        <v>33604345</v>
      </c>
      <c r="Q17" s="14">
        <v>1050135.78125</v>
      </c>
      <c r="R17" s="14">
        <v>36065.3125</v>
      </c>
      <c r="S17" s="15">
        <v>12515872</v>
      </c>
      <c r="T17" s="15">
        <v>2889464</v>
      </c>
      <c r="U17" s="15">
        <v>1266344</v>
      </c>
      <c r="V17" s="15">
        <v>8360064</v>
      </c>
      <c r="W17" s="16">
        <v>69.134887499999905</v>
      </c>
      <c r="X17" s="16">
        <v>71.577937500000004</v>
      </c>
      <c r="Y17" s="16">
        <v>34.360937499999999</v>
      </c>
      <c r="Z17" s="16">
        <v>44.803325000000001</v>
      </c>
      <c r="AA17" s="16">
        <v>45.207928125000002</v>
      </c>
      <c r="AB17" s="17">
        <v>4158.58</v>
      </c>
      <c r="AC17" s="17">
        <v>1708.38</v>
      </c>
      <c r="AD17" s="17">
        <v>10.114000000000001</v>
      </c>
      <c r="AE17" s="17">
        <v>25.361999999999998</v>
      </c>
      <c r="AG17" s="12">
        <f t="shared" si="7"/>
        <v>11.73363</v>
      </c>
      <c r="AH17" s="13">
        <f t="shared" si="8"/>
        <v>0.36868080499549338</v>
      </c>
      <c r="AI17" s="13">
        <f t="shared" si="9"/>
        <v>0.12241788976802506</v>
      </c>
      <c r="AJ17" s="13">
        <f t="shared" si="10"/>
        <v>8.5115117310683441E-2</v>
      </c>
      <c r="AK17" s="13">
        <f t="shared" si="11"/>
        <v>0.24626291522746832</v>
      </c>
      <c r="AL17" s="10">
        <f t="shared" si="12"/>
        <v>4155808</v>
      </c>
      <c r="AM17" s="13">
        <f t="shared" si="13"/>
        <v>0.37244802718219922</v>
      </c>
      <c r="AN17" s="14">
        <v>33604345</v>
      </c>
      <c r="AO17" s="14">
        <v>1050135.78125</v>
      </c>
      <c r="AP17" s="14">
        <v>36065.3125</v>
      </c>
      <c r="AQ17" s="15">
        <v>12515872</v>
      </c>
      <c r="AR17" s="15">
        <v>2889464</v>
      </c>
      <c r="AS17" s="15">
        <v>1266344</v>
      </c>
      <c r="AT17" s="15">
        <v>8360064</v>
      </c>
      <c r="AU17" s="16">
        <v>69.134887500000005</v>
      </c>
      <c r="AV17" s="16">
        <v>71.577937500000004</v>
      </c>
      <c r="AW17" s="16">
        <v>34.360937499999999</v>
      </c>
      <c r="AX17" s="16">
        <v>44.803325000000001</v>
      </c>
      <c r="AY17" s="16">
        <v>45.207928125000002</v>
      </c>
      <c r="AZ17" s="17">
        <v>6342.34</v>
      </c>
      <c r="BA17" s="17">
        <v>2581.2600000000002</v>
      </c>
      <c r="BB17" s="17">
        <v>11.03</v>
      </c>
      <c r="BC17" s="17">
        <v>32.372999999999998</v>
      </c>
      <c r="BE17" s="18">
        <f t="shared" si="14"/>
        <v>1</v>
      </c>
      <c r="BF17" s="19">
        <f t="shared" si="15"/>
        <v>0</v>
      </c>
      <c r="BG17" s="19">
        <f t="shared" si="16"/>
        <v>0</v>
      </c>
      <c r="BH17" s="19"/>
      <c r="BJ17" s="18"/>
      <c r="BK17" s="18"/>
      <c r="BL17" s="18"/>
      <c r="BM17" s="18"/>
      <c r="BN17" s="18"/>
      <c r="BP17" s="18"/>
      <c r="BQ17" s="18"/>
      <c r="BR17" s="18"/>
      <c r="BS17" s="18"/>
      <c r="BT17" s="18"/>
      <c r="BV17">
        <f t="shared" si="17"/>
        <v>0</v>
      </c>
      <c r="BW17">
        <f t="shared" si="18"/>
        <v>0</v>
      </c>
      <c r="BX17">
        <f t="shared" si="19"/>
        <v>0</v>
      </c>
      <c r="BY17">
        <f t="shared" si="20"/>
        <v>0</v>
      </c>
      <c r="BZ17">
        <f t="shared" si="21"/>
        <v>0</v>
      </c>
      <c r="CA17">
        <f t="shared" si="22"/>
        <v>0</v>
      </c>
      <c r="CB17">
        <f t="shared" si="23"/>
        <v>0</v>
      </c>
      <c r="CC17">
        <f t="shared" si="24"/>
        <v>0</v>
      </c>
      <c r="CD17">
        <f t="shared" si="25"/>
        <v>0</v>
      </c>
      <c r="CE17">
        <f t="shared" si="26"/>
        <v>0</v>
      </c>
      <c r="CF17">
        <f t="shared" si="27"/>
        <v>0</v>
      </c>
      <c r="CG17">
        <f t="shared" si="28"/>
        <v>0</v>
      </c>
      <c r="CJ17" t="s">
        <v>237</v>
      </c>
    </row>
    <row r="18" spans="1:88" outlineLevel="1" x14ac:dyDescent="0.3">
      <c r="A18" s="20"/>
      <c r="B18" s="20" t="s">
        <v>62</v>
      </c>
      <c r="C18" s="21" t="s">
        <v>240</v>
      </c>
      <c r="D18" s="20">
        <v>33947718</v>
      </c>
      <c r="E18" s="21">
        <v>10</v>
      </c>
      <c r="F18" s="21">
        <v>32</v>
      </c>
      <c r="G18" s="21">
        <v>30</v>
      </c>
      <c r="I18" s="22">
        <f t="shared" si="0"/>
        <v>20.318452499999999</v>
      </c>
      <c r="J18" s="23">
        <f t="shared" si="1"/>
        <v>0.63842335440632558</v>
      </c>
      <c r="K18" s="23">
        <f t="shared" si="2"/>
        <v>0.16520768789230544</v>
      </c>
      <c r="L18" s="23">
        <f t="shared" si="3"/>
        <v>0.12790491543496385</v>
      </c>
      <c r="M18" s="23">
        <f t="shared" si="4"/>
        <v>0.47321566651402019</v>
      </c>
      <c r="N18" s="20">
        <f t="shared" si="5"/>
        <v>5608424</v>
      </c>
      <c r="O18" s="23">
        <f t="shared" si="6"/>
        <v>0.62279823185548677</v>
      </c>
      <c r="P18" s="24">
        <v>34799418</v>
      </c>
      <c r="Q18" s="24">
        <v>1087481.8125</v>
      </c>
      <c r="R18" s="24">
        <v>40309.5</v>
      </c>
      <c r="S18" s="25">
        <v>21673016</v>
      </c>
      <c r="T18" s="25">
        <v>4342080</v>
      </c>
      <c r="U18" s="25">
        <v>1266344</v>
      </c>
      <c r="V18" s="25">
        <v>16064592</v>
      </c>
      <c r="W18" s="26">
        <v>70.357356249999995</v>
      </c>
      <c r="X18" s="26">
        <v>72.928971875000002</v>
      </c>
      <c r="Y18" s="26">
        <v>37.069990624999903</v>
      </c>
      <c r="Z18" s="26">
        <v>46.128946874999897</v>
      </c>
      <c r="AA18" s="26">
        <v>46.638615625</v>
      </c>
      <c r="AB18" s="27">
        <v>4153.84</v>
      </c>
      <c r="AC18" s="27">
        <v>1921.1</v>
      </c>
      <c r="AD18" s="27">
        <v>10.731</v>
      </c>
      <c r="AE18" s="27">
        <v>27.212</v>
      </c>
      <c r="AG18" s="22">
        <f t="shared" si="7"/>
        <v>20.318452499999999</v>
      </c>
      <c r="AH18" s="23">
        <f t="shared" si="8"/>
        <v>0.63842335440632558</v>
      </c>
      <c r="AI18" s="23">
        <f t="shared" si="9"/>
        <v>0.16520768789230544</v>
      </c>
      <c r="AJ18" s="23">
        <f t="shared" si="10"/>
        <v>0.12790491543496385</v>
      </c>
      <c r="AK18" s="23">
        <f t="shared" si="11"/>
        <v>0.47321566651402019</v>
      </c>
      <c r="AL18" s="20">
        <f t="shared" si="12"/>
        <v>5608424</v>
      </c>
      <c r="AM18" s="23">
        <f t="shared" si="13"/>
        <v>0.62279823185548677</v>
      </c>
      <c r="AN18" s="24">
        <v>34799418</v>
      </c>
      <c r="AO18" s="24">
        <v>1087481.8125</v>
      </c>
      <c r="AP18" s="24">
        <v>40309.5</v>
      </c>
      <c r="AQ18" s="25">
        <v>21673016</v>
      </c>
      <c r="AR18" s="25">
        <v>4342080</v>
      </c>
      <c r="AS18" s="25">
        <v>1266344</v>
      </c>
      <c r="AT18" s="25">
        <v>16064592</v>
      </c>
      <c r="AU18" s="26">
        <v>70.357356249999995</v>
      </c>
      <c r="AV18" s="26">
        <v>72.928971875000002</v>
      </c>
      <c r="AW18" s="26">
        <v>37.069990625000003</v>
      </c>
      <c r="AX18" s="26">
        <v>46.128946874999997</v>
      </c>
      <c r="AY18" s="26">
        <v>46.638615625</v>
      </c>
      <c r="AZ18" s="27">
        <v>6454.03</v>
      </c>
      <c r="BA18" s="27">
        <v>2713.63</v>
      </c>
      <c r="BB18" s="27">
        <v>12.552</v>
      </c>
      <c r="BC18" s="27">
        <v>31.738</v>
      </c>
      <c r="BE18" s="28">
        <f t="shared" si="14"/>
        <v>1</v>
      </c>
      <c r="BF18" s="29">
        <f t="shared" si="15"/>
        <v>0</v>
      </c>
      <c r="BG18" s="29">
        <f t="shared" si="16"/>
        <v>0</v>
      </c>
      <c r="BH18" s="29"/>
      <c r="BJ18" s="28"/>
      <c r="BK18" s="28"/>
      <c r="BL18" s="28"/>
      <c r="BM18" s="28"/>
      <c r="BN18" s="28"/>
      <c r="BP18" s="28"/>
      <c r="BQ18" s="28"/>
      <c r="BR18" s="28"/>
      <c r="BS18" s="28"/>
      <c r="BT18" s="28"/>
      <c r="BV18">
        <f t="shared" si="17"/>
        <v>0</v>
      </c>
      <c r="BW18">
        <f t="shared" si="18"/>
        <v>0</v>
      </c>
      <c r="BX18">
        <f t="shared" si="19"/>
        <v>0</v>
      </c>
      <c r="BY18">
        <f t="shared" si="20"/>
        <v>0</v>
      </c>
      <c r="BZ18">
        <f t="shared" si="21"/>
        <v>0</v>
      </c>
      <c r="CA18">
        <f t="shared" si="22"/>
        <v>0</v>
      </c>
      <c r="CB18">
        <f t="shared" si="23"/>
        <v>0</v>
      </c>
      <c r="CC18">
        <f t="shared" si="24"/>
        <v>0</v>
      </c>
      <c r="CD18">
        <f t="shared" si="25"/>
        <v>0</v>
      </c>
      <c r="CE18">
        <f t="shared" si="26"/>
        <v>9.9475983006414026E-14</v>
      </c>
      <c r="CF18">
        <f t="shared" si="27"/>
        <v>9.9475983006414026E-14</v>
      </c>
      <c r="CG18">
        <f t="shared" si="28"/>
        <v>0</v>
      </c>
      <c r="CJ18" t="s">
        <v>237</v>
      </c>
    </row>
    <row r="19" spans="1:88" ht="15.75" customHeight="1" outlineLevel="1" thickBot="1" x14ac:dyDescent="0.35">
      <c r="A19" s="10"/>
      <c r="B19" s="30" t="s">
        <v>62</v>
      </c>
      <c r="C19" s="31" t="s">
        <v>241</v>
      </c>
      <c r="D19" s="30">
        <v>33947718</v>
      </c>
      <c r="E19" s="31">
        <v>10</v>
      </c>
      <c r="F19" s="31">
        <v>32</v>
      </c>
      <c r="G19" s="31">
        <v>30</v>
      </c>
      <c r="I19" s="32">
        <f t="shared" si="0"/>
        <v>35.958525000000002</v>
      </c>
      <c r="J19" s="33">
        <f t="shared" si="1"/>
        <v>1.1298479620927686</v>
      </c>
      <c r="K19" s="33">
        <f t="shared" si="2"/>
        <v>0.26469714400243338</v>
      </c>
      <c r="L19" s="33">
        <f t="shared" si="3"/>
        <v>0.19620829889066477</v>
      </c>
      <c r="M19" s="33">
        <f t="shared" si="4"/>
        <v>0.86515081809033523</v>
      </c>
      <c r="N19" s="30">
        <f t="shared" si="5"/>
        <v>8985864</v>
      </c>
      <c r="O19" s="33">
        <f t="shared" si="6"/>
        <v>1.1609227026338242</v>
      </c>
      <c r="P19" s="34">
        <v>33039030</v>
      </c>
      <c r="Q19" s="34">
        <v>1032469.6875</v>
      </c>
      <c r="R19" s="34">
        <v>17598.03125</v>
      </c>
      <c r="S19" s="35">
        <v>38355760</v>
      </c>
      <c r="T19" s="35">
        <v>6660824</v>
      </c>
      <c r="U19" s="35">
        <v>2325040</v>
      </c>
      <c r="V19" s="35">
        <v>29369896</v>
      </c>
      <c r="W19" s="36">
        <v>71.152059374999993</v>
      </c>
      <c r="X19" s="36">
        <v>75.005793749999995</v>
      </c>
      <c r="Y19" s="36">
        <v>39.556384374999901</v>
      </c>
      <c r="Z19" s="36">
        <v>47.875893750000003</v>
      </c>
      <c r="AA19" s="36">
        <v>48.457412499999897</v>
      </c>
      <c r="AB19" s="37">
        <v>4223.74</v>
      </c>
      <c r="AC19" s="37">
        <v>2238.9499999999998</v>
      </c>
      <c r="AD19" s="37">
        <v>9.7859999999999996</v>
      </c>
      <c r="AE19" s="37">
        <v>28.952999999999999</v>
      </c>
      <c r="AG19" s="32">
        <f t="shared" si="7"/>
        <v>35.958525000000002</v>
      </c>
      <c r="AH19" s="33">
        <f t="shared" si="8"/>
        <v>1.1298479620927686</v>
      </c>
      <c r="AI19" s="33">
        <f t="shared" si="9"/>
        <v>0.26469714400243338</v>
      </c>
      <c r="AJ19" s="33">
        <f t="shared" si="10"/>
        <v>0.19620829889066477</v>
      </c>
      <c r="AK19" s="33">
        <f t="shared" si="11"/>
        <v>0.86515081809033523</v>
      </c>
      <c r="AL19" s="30">
        <f t="shared" si="12"/>
        <v>8985864</v>
      </c>
      <c r="AM19" s="33">
        <f t="shared" si="13"/>
        <v>1.1609227026338242</v>
      </c>
      <c r="AN19" s="34">
        <v>33039030</v>
      </c>
      <c r="AO19" s="34">
        <v>1032469.6875</v>
      </c>
      <c r="AP19" s="34">
        <v>17598.03125</v>
      </c>
      <c r="AQ19" s="35">
        <v>38355760</v>
      </c>
      <c r="AR19" s="35">
        <v>6660824</v>
      </c>
      <c r="AS19" s="35">
        <v>2325040</v>
      </c>
      <c r="AT19" s="35">
        <v>29369896</v>
      </c>
      <c r="AU19" s="36">
        <v>71.152059374999993</v>
      </c>
      <c r="AV19" s="36">
        <v>75.005793749999995</v>
      </c>
      <c r="AW19" s="36">
        <v>39.556384375</v>
      </c>
      <c r="AX19" s="36">
        <v>47.875893750000003</v>
      </c>
      <c r="AY19" s="36">
        <v>48.457412499999997</v>
      </c>
      <c r="AZ19" s="37">
        <v>6319.59</v>
      </c>
      <c r="BA19" s="37">
        <v>3136.85</v>
      </c>
      <c r="BB19" s="37">
        <v>13.186999999999999</v>
      </c>
      <c r="BC19" s="37">
        <v>37.048000000000002</v>
      </c>
      <c r="BE19" s="38">
        <f t="shared" si="14"/>
        <v>1</v>
      </c>
      <c r="BF19" s="39">
        <f t="shared" si="15"/>
        <v>0</v>
      </c>
      <c r="BG19" s="39">
        <f t="shared" si="16"/>
        <v>0</v>
      </c>
      <c r="BH19" s="39"/>
      <c r="BJ19" s="38"/>
      <c r="BK19" s="38"/>
      <c r="BL19" s="38"/>
      <c r="BM19" s="38"/>
      <c r="BN19" s="38"/>
      <c r="BP19" s="38"/>
      <c r="BQ19" s="38"/>
      <c r="BR19" s="38"/>
      <c r="BS19" s="38"/>
      <c r="BT19" s="38"/>
      <c r="BV19">
        <f t="shared" si="17"/>
        <v>0</v>
      </c>
      <c r="BW19">
        <f t="shared" si="18"/>
        <v>0</v>
      </c>
      <c r="BX19">
        <f t="shared" si="19"/>
        <v>0</v>
      </c>
      <c r="BY19">
        <f t="shared" si="20"/>
        <v>0</v>
      </c>
      <c r="BZ19">
        <f t="shared" si="21"/>
        <v>0</v>
      </c>
      <c r="CA19">
        <f t="shared" si="22"/>
        <v>0</v>
      </c>
      <c r="CB19">
        <f t="shared" si="23"/>
        <v>0</v>
      </c>
      <c r="CC19">
        <f t="shared" si="24"/>
        <v>0</v>
      </c>
      <c r="CD19">
        <f t="shared" si="25"/>
        <v>0</v>
      </c>
      <c r="CE19">
        <f t="shared" si="26"/>
        <v>9.9475983006414026E-14</v>
      </c>
      <c r="CF19">
        <f t="shared" si="27"/>
        <v>0</v>
      </c>
      <c r="CG19">
        <f t="shared" si="28"/>
        <v>9.9475983006414026E-14</v>
      </c>
      <c r="CJ19" t="s">
        <v>237</v>
      </c>
    </row>
    <row r="20" spans="1:88" x14ac:dyDescent="0.3">
      <c r="A20" s="20"/>
      <c r="B20" s="20" t="s">
        <v>68</v>
      </c>
      <c r="C20" s="21" t="s">
        <v>236</v>
      </c>
      <c r="D20" s="20">
        <v>32209643</v>
      </c>
      <c r="E20" s="21">
        <v>10</v>
      </c>
      <c r="F20" s="21">
        <v>32</v>
      </c>
      <c r="G20" s="21">
        <v>50</v>
      </c>
      <c r="I20" s="22">
        <f t="shared" si="0"/>
        <v>5.1803999999999997</v>
      </c>
      <c r="J20" s="23">
        <f t="shared" si="1"/>
        <v>0.10293364629965007</v>
      </c>
      <c r="K20" s="23">
        <f t="shared" si="2"/>
        <v>5.9954964418574896E-2</v>
      </c>
      <c r="L20" s="23">
        <f t="shared" si="3"/>
        <v>2.9437395502955436E-2</v>
      </c>
      <c r="M20" s="23">
        <f t="shared" si="4"/>
        <v>4.2978681881075183E-2</v>
      </c>
      <c r="N20" s="20">
        <f t="shared" si="5"/>
        <v>1931128</v>
      </c>
      <c r="O20" s="23">
        <f t="shared" si="6"/>
        <v>0.10951303888033678</v>
      </c>
      <c r="P20" s="24">
        <v>30274532</v>
      </c>
      <c r="Q20" s="24">
        <v>946079.125</v>
      </c>
      <c r="R20" s="24">
        <v>27546.40625</v>
      </c>
      <c r="S20" s="25">
        <v>3315456</v>
      </c>
      <c r="T20" s="25">
        <v>948168</v>
      </c>
      <c r="U20" s="25">
        <v>982960</v>
      </c>
      <c r="V20" s="25">
        <v>1384328</v>
      </c>
      <c r="W20" s="26">
        <v>67.101124999999996</v>
      </c>
      <c r="X20" s="26">
        <v>68.8079749999999</v>
      </c>
      <c r="Y20" s="26">
        <v>30.69204375</v>
      </c>
      <c r="Z20" s="26">
        <v>39.509965625</v>
      </c>
      <c r="AA20" s="26">
        <v>38.259006249999999</v>
      </c>
      <c r="AB20" s="27">
        <v>3539.98</v>
      </c>
      <c r="AC20" s="27">
        <v>1643.57</v>
      </c>
      <c r="AD20" s="27">
        <v>8.7159999999999993</v>
      </c>
      <c r="AE20" s="27">
        <v>25.802</v>
      </c>
      <c r="AG20" s="22">
        <f t="shared" si="7"/>
        <v>5.1803999999999997</v>
      </c>
      <c r="AH20" s="23">
        <f t="shared" si="8"/>
        <v>0.10293364629965007</v>
      </c>
      <c r="AI20" s="23">
        <f t="shared" si="9"/>
        <v>5.9954964418574896E-2</v>
      </c>
      <c r="AJ20" s="23">
        <f t="shared" si="10"/>
        <v>2.9437395502955436E-2</v>
      </c>
      <c r="AK20" s="23">
        <f t="shared" si="11"/>
        <v>4.2978681881075183E-2</v>
      </c>
      <c r="AL20" s="20">
        <f t="shared" si="12"/>
        <v>1931128</v>
      </c>
      <c r="AM20" s="23">
        <f t="shared" si="13"/>
        <v>0.10951303888033678</v>
      </c>
      <c r="AN20" s="24">
        <v>30274532</v>
      </c>
      <c r="AO20" s="24">
        <v>946079.125</v>
      </c>
      <c r="AP20" s="24">
        <v>27546.40625</v>
      </c>
      <c r="AQ20" s="25">
        <v>3315456</v>
      </c>
      <c r="AR20" s="25">
        <v>948168</v>
      </c>
      <c r="AS20" s="25">
        <v>982960</v>
      </c>
      <c r="AT20" s="25">
        <v>1384328</v>
      </c>
      <c r="AU20" s="26">
        <v>67.101124999999996</v>
      </c>
      <c r="AV20" s="26">
        <v>68.807974999999999</v>
      </c>
      <c r="AW20" s="26">
        <v>30.69204375</v>
      </c>
      <c r="AX20" s="26">
        <v>39.509965625</v>
      </c>
      <c r="AY20" s="26">
        <v>38.259006249999999</v>
      </c>
      <c r="AZ20" s="27">
        <v>6369.29</v>
      </c>
      <c r="BA20" s="27">
        <v>2537.16</v>
      </c>
      <c r="BB20" s="27">
        <v>11.571</v>
      </c>
      <c r="BC20" s="27">
        <v>32.101999999999997</v>
      </c>
      <c r="BE20" s="28">
        <f t="shared" si="14"/>
        <v>1</v>
      </c>
      <c r="BF20" s="29">
        <f t="shared" si="15"/>
        <v>0</v>
      </c>
      <c r="BG20" s="29">
        <f t="shared" si="16"/>
        <v>0</v>
      </c>
      <c r="BH20" s="29">
        <f t="array" ref="BH20">AVERAGE(AL20:AL24/AQ20:AQ24) - AVERAGE(N20:N24/S20:S24)</f>
        <v>0</v>
      </c>
      <c r="BJ20" s="28">
        <f>IF( OR(ISBLANK(N20:N24),ISBLANK(AL20:AL24), ISBLANK(W20:W24),ISBLANK(AU20:AU24)), "·", bdRateExtend( N20:N24,W20:W24, AL20:AL24,AU20:AU24))</f>
        <v>-1.5987211554602254E-14</v>
      </c>
      <c r="BK20" s="28">
        <f>IF( OR(ISBLANK(N20:N24),ISBLANK(AL20:AL24), ISBLANK(X20:X24),ISBLANK(AV20:AV24)), "·", bdRateExtend( N20:N24,X20:X24, AL20:AL24,AV20:AV24))</f>
        <v>-2.4424906541753444E-15</v>
      </c>
      <c r="BL20" s="28">
        <f>IF( OR(ISBLANK(V20:V24),ISBLANK(AT20:AT24), ISBLANK(Y20:Y24),ISBLANK(AW20:AW24)), "·", bdRateExtend( V20:V24,Y20:Y24, AT20:AT24,AW20:AW24))</f>
        <v>-2.2426505097428162E-14</v>
      </c>
      <c r="BM20" s="28">
        <f>IF( OR(ISBLANK(V20:V24),ISBLANK(AT20:AT24), ISBLANK(Z20:Z24),ISBLANK(AX20:AX24)), "·", bdRateExtend( V20:V24,Z20:Z24, AT20:AT24,AX20:AX24))</f>
        <v>-1.5765166949677223E-14</v>
      </c>
      <c r="BN20" s="28">
        <f>IF( OR(ISBLANK(V20:V24),ISBLANK(AT20:AT24), ISBLANK(AA20:AA24),ISBLANK(AY20:AY24)), "·", bdRateExtend( V20:V24,AA20:AA24, AT20:AT24,AY20:AY24))</f>
        <v>-3.5305092183079978E-14</v>
      </c>
      <c r="BP20" s="28">
        <f>IF( OR(ISBLANK(S20:S24),ISBLANK(AQ20:AQ24), ISBLANK(W20:W24),ISBLANK(AU20:AU24)), "·", bdRateExtend( S20:S24,W20:W24, AQ20:AQ24,AU20:AU24))</f>
        <v>-3.1752378504279477E-14</v>
      </c>
      <c r="BQ20" s="28">
        <f>IF( OR(ISBLANK(S20:S24),ISBLANK(AQ20:AQ24), ISBLANK(X20:X24),ISBLANK(AV20:AV24)), "·", bdRateExtend( S20:S24,X20:X24, AQ20:AQ24,AV20:AV24))</f>
        <v>0</v>
      </c>
      <c r="BR20" s="28">
        <f>IF( OR(ISBLANK(S20:S24),ISBLANK(AQ20:AQ24), ISBLANK(Y20:Y24),ISBLANK(AW20:AW24)), "·", bdRateExtend( S20:S24,Y20:Y24, AQ20:AQ24,AW20:AW24))</f>
        <v>-1.5099033134902129E-14</v>
      </c>
      <c r="BS20" s="28">
        <f>IF( OR(ISBLANK(S20:S24),ISBLANK(AQ20:AQ24), ISBLANK(Z20:Z24),ISBLANK(AX20:AX24)), "·", bdRateExtend( S20:S24,Z20:Z24, AQ20:AQ24,AX20:AX24))</f>
        <v>-1.5765166949677223E-14</v>
      </c>
      <c r="BT20" s="28">
        <f>IF( OR(ISBLANK(S20:S24),ISBLANK(AQ20:AQ24), ISBLANK(AA20:AA24),ISBLANK(AY20:AY24)), "·", bdRateExtend( S20:S24,AA20:AA24, AQ20:AQ24,AY20:AY24))</f>
        <v>-2.9087843245179101E-14</v>
      </c>
      <c r="BV20">
        <f t="shared" si="17"/>
        <v>0</v>
      </c>
      <c r="BW20">
        <f t="shared" si="18"/>
        <v>0</v>
      </c>
      <c r="BX20">
        <f t="shared" si="19"/>
        <v>0</v>
      </c>
      <c r="BY20">
        <f t="shared" si="20"/>
        <v>0</v>
      </c>
      <c r="BZ20">
        <f t="shared" si="21"/>
        <v>0</v>
      </c>
      <c r="CA20">
        <f t="shared" si="22"/>
        <v>0</v>
      </c>
      <c r="CB20">
        <f t="shared" si="23"/>
        <v>0</v>
      </c>
      <c r="CC20">
        <f t="shared" si="24"/>
        <v>0</v>
      </c>
      <c r="CD20">
        <f t="shared" si="25"/>
        <v>0</v>
      </c>
      <c r="CE20">
        <f t="shared" si="26"/>
        <v>0</v>
      </c>
      <c r="CF20">
        <f t="shared" si="27"/>
        <v>0</v>
      </c>
      <c r="CG20">
        <f t="shared" si="28"/>
        <v>0</v>
      </c>
      <c r="CJ20" t="s">
        <v>243</v>
      </c>
    </row>
    <row r="21" spans="1:88" outlineLevel="1" x14ac:dyDescent="0.3">
      <c r="A21" s="10"/>
      <c r="B21" s="10" t="s">
        <v>68</v>
      </c>
      <c r="C21" s="11" t="s">
        <v>238</v>
      </c>
      <c r="D21" s="10">
        <v>32209643</v>
      </c>
      <c r="E21" s="11">
        <v>10</v>
      </c>
      <c r="F21" s="11">
        <v>32</v>
      </c>
      <c r="G21" s="11">
        <v>50</v>
      </c>
      <c r="I21" s="12">
        <f t="shared" si="0"/>
        <v>7.7661249999999997</v>
      </c>
      <c r="J21" s="13">
        <f t="shared" si="1"/>
        <v>0.15431155197839355</v>
      </c>
      <c r="K21" s="13">
        <f t="shared" si="2"/>
        <v>7.1184893294222479E-2</v>
      </c>
      <c r="L21" s="13">
        <f t="shared" si="3"/>
        <v>4.0667324378603015E-2</v>
      </c>
      <c r="M21" s="13">
        <f t="shared" si="4"/>
        <v>8.3126658684171073E-2</v>
      </c>
      <c r="N21" s="10">
        <f t="shared" si="5"/>
        <v>2292840</v>
      </c>
      <c r="O21" s="13">
        <f t="shared" si="6"/>
        <v>0.15776047116114769</v>
      </c>
      <c r="P21" s="14">
        <v>31505484</v>
      </c>
      <c r="Q21" s="14">
        <v>984546.375</v>
      </c>
      <c r="R21" s="14">
        <v>32684.5625</v>
      </c>
      <c r="S21" s="15">
        <v>4970320</v>
      </c>
      <c r="T21" s="15">
        <v>1309880</v>
      </c>
      <c r="U21" s="15">
        <v>982960</v>
      </c>
      <c r="V21" s="15">
        <v>2677480</v>
      </c>
      <c r="W21" s="16">
        <v>68.677109374999901</v>
      </c>
      <c r="X21" s="16">
        <v>70.750809375000003</v>
      </c>
      <c r="Y21" s="16">
        <v>32.566446874999997</v>
      </c>
      <c r="Z21" s="16">
        <v>40.659093749999997</v>
      </c>
      <c r="AA21" s="16">
        <v>39.589512499999898</v>
      </c>
      <c r="AB21" s="17">
        <v>3476.39</v>
      </c>
      <c r="AC21" s="17">
        <v>1737.5</v>
      </c>
      <c r="AD21" s="17">
        <v>9.0830000000000002</v>
      </c>
      <c r="AE21" s="17">
        <v>27.131</v>
      </c>
      <c r="AG21" s="12">
        <f t="shared" si="7"/>
        <v>7.7661249999999997</v>
      </c>
      <c r="AH21" s="13">
        <f t="shared" si="8"/>
        <v>0.15431155197839355</v>
      </c>
      <c r="AI21" s="13">
        <f t="shared" si="9"/>
        <v>7.1184893294222479E-2</v>
      </c>
      <c r="AJ21" s="13">
        <f t="shared" si="10"/>
        <v>4.0667324378603015E-2</v>
      </c>
      <c r="AK21" s="13">
        <f t="shared" si="11"/>
        <v>8.3126658684171073E-2</v>
      </c>
      <c r="AL21" s="10">
        <f t="shared" si="12"/>
        <v>2292840</v>
      </c>
      <c r="AM21" s="13">
        <f t="shared" si="13"/>
        <v>0.15776047116114769</v>
      </c>
      <c r="AN21" s="14">
        <v>31505484</v>
      </c>
      <c r="AO21" s="14">
        <v>984546.375</v>
      </c>
      <c r="AP21" s="14">
        <v>32684.5625</v>
      </c>
      <c r="AQ21" s="15">
        <v>4970320</v>
      </c>
      <c r="AR21" s="15">
        <v>1309880</v>
      </c>
      <c r="AS21" s="15">
        <v>982960</v>
      </c>
      <c r="AT21" s="15">
        <v>2677480</v>
      </c>
      <c r="AU21" s="16">
        <v>68.677109375000001</v>
      </c>
      <c r="AV21" s="16">
        <v>70.750809375000003</v>
      </c>
      <c r="AW21" s="16">
        <v>32.566446874999997</v>
      </c>
      <c r="AX21" s="16">
        <v>40.659093749999997</v>
      </c>
      <c r="AY21" s="16">
        <v>39.589512499999998</v>
      </c>
      <c r="AZ21" s="17">
        <v>6328.08</v>
      </c>
      <c r="BA21" s="17">
        <v>2704.52</v>
      </c>
      <c r="BB21" s="17">
        <v>8.9529999999999994</v>
      </c>
      <c r="BC21" s="17">
        <v>37.396000000000001</v>
      </c>
      <c r="BE21" s="18">
        <f t="shared" si="14"/>
        <v>1</v>
      </c>
      <c r="BF21" s="19">
        <f t="shared" si="15"/>
        <v>0</v>
      </c>
      <c r="BG21" s="19">
        <f t="shared" si="16"/>
        <v>0</v>
      </c>
      <c r="BH21" s="19"/>
      <c r="BJ21" s="18"/>
      <c r="BK21" s="18"/>
      <c r="BL21" s="18"/>
      <c r="BM21" s="18"/>
      <c r="BN21" s="18"/>
      <c r="BP21" s="18"/>
      <c r="BQ21" s="18"/>
      <c r="BR21" s="18"/>
      <c r="BS21" s="18"/>
      <c r="BT21" s="18"/>
      <c r="BV21">
        <f t="shared" si="17"/>
        <v>0</v>
      </c>
      <c r="BW21">
        <f t="shared" si="18"/>
        <v>0</v>
      </c>
      <c r="BX21">
        <f t="shared" si="19"/>
        <v>0</v>
      </c>
      <c r="BY21">
        <f t="shared" si="20"/>
        <v>0</v>
      </c>
      <c r="BZ21">
        <f t="shared" si="21"/>
        <v>0</v>
      </c>
      <c r="CA21">
        <f t="shared" si="22"/>
        <v>0</v>
      </c>
      <c r="CB21">
        <f t="shared" si="23"/>
        <v>0</v>
      </c>
      <c r="CC21">
        <f t="shared" si="24"/>
        <v>0</v>
      </c>
      <c r="CD21">
        <f t="shared" si="25"/>
        <v>0</v>
      </c>
      <c r="CE21">
        <f t="shared" si="26"/>
        <v>0</v>
      </c>
      <c r="CF21">
        <f t="shared" si="27"/>
        <v>0</v>
      </c>
      <c r="CG21">
        <f t="shared" si="28"/>
        <v>9.9475983006414026E-14</v>
      </c>
      <c r="CJ21" t="s">
        <v>243</v>
      </c>
    </row>
    <row r="22" spans="1:88" outlineLevel="1" x14ac:dyDescent="0.3">
      <c r="A22" s="20"/>
      <c r="B22" s="20" t="s">
        <v>68</v>
      </c>
      <c r="C22" s="21" t="s">
        <v>239</v>
      </c>
      <c r="D22" s="20">
        <v>32209643</v>
      </c>
      <c r="E22" s="21">
        <v>10</v>
      </c>
      <c r="F22" s="21">
        <v>32</v>
      </c>
      <c r="G22" s="21">
        <v>50</v>
      </c>
      <c r="I22" s="22">
        <f t="shared" si="0"/>
        <v>12.713075</v>
      </c>
      <c r="J22" s="23">
        <f t="shared" si="1"/>
        <v>0.25260658741234732</v>
      </c>
      <c r="K22" s="23">
        <f t="shared" si="2"/>
        <v>8.8652208905264804E-2</v>
      </c>
      <c r="L22" s="23">
        <f t="shared" si="3"/>
        <v>5.813463998964534E-2</v>
      </c>
      <c r="M22" s="23">
        <f t="shared" si="4"/>
        <v>0.1639543785070825</v>
      </c>
      <c r="N22" s="20">
        <f t="shared" si="5"/>
        <v>2855456</v>
      </c>
      <c r="O22" s="23">
        <f t="shared" si="6"/>
        <v>0.2485468639026141</v>
      </c>
      <c r="P22" s="24">
        <v>32735750</v>
      </c>
      <c r="Q22" s="24">
        <v>1022992.1875</v>
      </c>
      <c r="R22" s="24">
        <v>34698.875</v>
      </c>
      <c r="S22" s="25">
        <v>8136368</v>
      </c>
      <c r="T22" s="25">
        <v>1872496</v>
      </c>
      <c r="U22" s="25">
        <v>982960</v>
      </c>
      <c r="V22" s="25">
        <v>5280912</v>
      </c>
      <c r="W22" s="26">
        <v>69.850906249999994</v>
      </c>
      <c r="X22" s="26">
        <v>72.246865624999998</v>
      </c>
      <c r="Y22" s="26">
        <v>34.408843749999903</v>
      </c>
      <c r="Z22" s="26">
        <v>41.695893749999897</v>
      </c>
      <c r="AA22" s="26">
        <v>40.634700000000002</v>
      </c>
      <c r="AB22" s="27">
        <v>3534.47</v>
      </c>
      <c r="AC22" s="27">
        <v>1847.32</v>
      </c>
      <c r="AD22" s="27">
        <v>9.0980000000000008</v>
      </c>
      <c r="AE22" s="27">
        <v>27.109000000000002</v>
      </c>
      <c r="AG22" s="22">
        <f t="shared" si="7"/>
        <v>12.713075</v>
      </c>
      <c r="AH22" s="23">
        <f t="shared" si="8"/>
        <v>0.25260658741234732</v>
      </c>
      <c r="AI22" s="23">
        <f t="shared" si="9"/>
        <v>8.8652208905264804E-2</v>
      </c>
      <c r="AJ22" s="23">
        <f t="shared" si="10"/>
        <v>5.813463998964534E-2</v>
      </c>
      <c r="AK22" s="23">
        <f t="shared" si="11"/>
        <v>0.1639543785070825</v>
      </c>
      <c r="AL22" s="20">
        <f t="shared" si="12"/>
        <v>2855456</v>
      </c>
      <c r="AM22" s="23">
        <f t="shared" si="13"/>
        <v>0.2485468639026141</v>
      </c>
      <c r="AN22" s="24">
        <v>32735750</v>
      </c>
      <c r="AO22" s="24">
        <v>1022992.1875</v>
      </c>
      <c r="AP22" s="24">
        <v>34698.875</v>
      </c>
      <c r="AQ22" s="25">
        <v>8136368</v>
      </c>
      <c r="AR22" s="25">
        <v>1872496</v>
      </c>
      <c r="AS22" s="25">
        <v>982960</v>
      </c>
      <c r="AT22" s="25">
        <v>5280912</v>
      </c>
      <c r="AU22" s="26">
        <v>69.850906249999994</v>
      </c>
      <c r="AV22" s="26">
        <v>72.246865624999998</v>
      </c>
      <c r="AW22" s="26">
        <v>34.408843750000003</v>
      </c>
      <c r="AX22" s="26">
        <v>41.695893750000003</v>
      </c>
      <c r="AY22" s="26">
        <v>40.634700000000002</v>
      </c>
      <c r="AZ22" s="27">
        <v>6188.32</v>
      </c>
      <c r="BA22" s="27">
        <v>2841.88</v>
      </c>
      <c r="BB22" s="27">
        <v>14.808999999999999</v>
      </c>
      <c r="BC22" s="27">
        <v>32.207000000000001</v>
      </c>
      <c r="BE22" s="28">
        <f t="shared" si="14"/>
        <v>1</v>
      </c>
      <c r="BF22" s="29">
        <f t="shared" si="15"/>
        <v>0</v>
      </c>
      <c r="BG22" s="29">
        <f t="shared" si="16"/>
        <v>0</v>
      </c>
      <c r="BH22" s="29"/>
      <c r="BJ22" s="28"/>
      <c r="BK22" s="28"/>
      <c r="BL22" s="28"/>
      <c r="BM22" s="28"/>
      <c r="BN22" s="28"/>
      <c r="BP22" s="28"/>
      <c r="BQ22" s="28"/>
      <c r="BR22" s="28"/>
      <c r="BS22" s="28"/>
      <c r="BT22" s="28"/>
      <c r="BV22">
        <f t="shared" si="17"/>
        <v>0</v>
      </c>
      <c r="BW22">
        <f t="shared" si="18"/>
        <v>0</v>
      </c>
      <c r="BX22">
        <f t="shared" si="19"/>
        <v>0</v>
      </c>
      <c r="BY22">
        <f t="shared" si="20"/>
        <v>0</v>
      </c>
      <c r="BZ22">
        <f t="shared" si="21"/>
        <v>0</v>
      </c>
      <c r="CA22">
        <f t="shared" si="22"/>
        <v>0</v>
      </c>
      <c r="CB22">
        <f t="shared" si="23"/>
        <v>0</v>
      </c>
      <c r="CC22">
        <f t="shared" si="24"/>
        <v>0</v>
      </c>
      <c r="CD22">
        <f t="shared" si="25"/>
        <v>0</v>
      </c>
      <c r="CE22">
        <f t="shared" si="26"/>
        <v>9.9475983006414026E-14</v>
      </c>
      <c r="CF22">
        <f t="shared" si="27"/>
        <v>1.0658141036401503E-13</v>
      </c>
      <c r="CG22">
        <f t="shared" si="28"/>
        <v>0</v>
      </c>
      <c r="CJ22" t="s">
        <v>243</v>
      </c>
    </row>
    <row r="23" spans="1:88" outlineLevel="1" x14ac:dyDescent="0.3">
      <c r="A23" s="10"/>
      <c r="B23" s="10" t="s">
        <v>68</v>
      </c>
      <c r="C23" s="11" t="s">
        <v>240</v>
      </c>
      <c r="D23" s="10">
        <v>32209643</v>
      </c>
      <c r="E23" s="11">
        <v>10</v>
      </c>
      <c r="F23" s="11">
        <v>32</v>
      </c>
      <c r="G23" s="11">
        <v>50</v>
      </c>
      <c r="I23" s="12">
        <f t="shared" si="0"/>
        <v>22.562262499999999</v>
      </c>
      <c r="J23" s="13">
        <f t="shared" si="1"/>
        <v>0.44830822868791187</v>
      </c>
      <c r="K23" s="13">
        <f t="shared" si="2"/>
        <v>0.11921398818360079</v>
      </c>
      <c r="L23" s="13">
        <f t="shared" si="3"/>
        <v>8.869641926798133E-2</v>
      </c>
      <c r="M23" s="13">
        <f t="shared" si="4"/>
        <v>0.32909424050431108</v>
      </c>
      <c r="N23" s="10">
        <f t="shared" si="5"/>
        <v>3839840</v>
      </c>
      <c r="O23" s="13">
        <f t="shared" si="6"/>
        <v>0.44025416713797327</v>
      </c>
      <c r="P23" s="14">
        <v>32798890</v>
      </c>
      <c r="Q23" s="14">
        <v>1024965.3125</v>
      </c>
      <c r="R23" s="14">
        <v>36605.8125</v>
      </c>
      <c r="S23" s="15">
        <v>14439848</v>
      </c>
      <c r="T23" s="15">
        <v>2856880</v>
      </c>
      <c r="U23" s="15">
        <v>982960</v>
      </c>
      <c r="V23" s="15">
        <v>10600008</v>
      </c>
      <c r="W23" s="16">
        <v>70.8749156249999</v>
      </c>
      <c r="X23" s="16">
        <v>73.596450000000004</v>
      </c>
      <c r="Y23" s="16">
        <v>35.937631249999903</v>
      </c>
      <c r="Z23" s="16">
        <v>42.848862500000003</v>
      </c>
      <c r="AA23" s="16">
        <v>41.692359374999903</v>
      </c>
      <c r="AB23" s="17">
        <v>3529.12</v>
      </c>
      <c r="AC23" s="17">
        <v>1985.89</v>
      </c>
      <c r="AD23" s="17">
        <v>9.17</v>
      </c>
      <c r="AE23" s="17">
        <v>27.658000000000001</v>
      </c>
      <c r="AG23" s="12">
        <f t="shared" si="7"/>
        <v>22.562262499999999</v>
      </c>
      <c r="AH23" s="13">
        <f t="shared" si="8"/>
        <v>0.44830822868791187</v>
      </c>
      <c r="AI23" s="13">
        <f t="shared" si="9"/>
        <v>0.11921398818360079</v>
      </c>
      <c r="AJ23" s="13">
        <f t="shared" si="10"/>
        <v>8.869641926798133E-2</v>
      </c>
      <c r="AK23" s="13">
        <f t="shared" si="11"/>
        <v>0.32909424050431108</v>
      </c>
      <c r="AL23" s="10">
        <f t="shared" si="12"/>
        <v>3839840</v>
      </c>
      <c r="AM23" s="13">
        <f t="shared" si="13"/>
        <v>0.44025416713797327</v>
      </c>
      <c r="AN23" s="14">
        <v>32798890</v>
      </c>
      <c r="AO23" s="14">
        <v>1024965.3125</v>
      </c>
      <c r="AP23" s="14">
        <v>36605.8125</v>
      </c>
      <c r="AQ23" s="15">
        <v>14439848</v>
      </c>
      <c r="AR23" s="15">
        <v>2856880</v>
      </c>
      <c r="AS23" s="15">
        <v>982960</v>
      </c>
      <c r="AT23" s="15">
        <v>10600008</v>
      </c>
      <c r="AU23" s="16">
        <v>70.874915625</v>
      </c>
      <c r="AV23" s="16">
        <v>73.596450000000004</v>
      </c>
      <c r="AW23" s="16">
        <v>35.937631250000003</v>
      </c>
      <c r="AX23" s="16">
        <v>42.848862500000003</v>
      </c>
      <c r="AY23" s="16">
        <v>41.692359375000002</v>
      </c>
      <c r="AZ23" s="17">
        <v>6314.41</v>
      </c>
      <c r="BA23" s="17">
        <v>2800.86</v>
      </c>
      <c r="BB23" s="17">
        <v>14.722</v>
      </c>
      <c r="BC23" s="17">
        <v>33.335000000000001</v>
      </c>
      <c r="BE23" s="18">
        <f t="shared" si="14"/>
        <v>1</v>
      </c>
      <c r="BF23" s="19">
        <f t="shared" si="15"/>
        <v>0</v>
      </c>
      <c r="BG23" s="19">
        <f t="shared" si="16"/>
        <v>0</v>
      </c>
      <c r="BH23" s="19"/>
      <c r="BJ23" s="18"/>
      <c r="BK23" s="18"/>
      <c r="BL23" s="18"/>
      <c r="BM23" s="18"/>
      <c r="BN23" s="18"/>
      <c r="BP23" s="18"/>
      <c r="BQ23" s="18"/>
      <c r="BR23" s="18"/>
      <c r="BS23" s="18"/>
      <c r="BT23" s="18"/>
      <c r="BV23">
        <f t="shared" si="17"/>
        <v>0</v>
      </c>
      <c r="BW23">
        <f t="shared" si="18"/>
        <v>0</v>
      </c>
      <c r="BX23">
        <f t="shared" si="19"/>
        <v>0</v>
      </c>
      <c r="BY23">
        <f t="shared" si="20"/>
        <v>0</v>
      </c>
      <c r="BZ23">
        <f t="shared" si="21"/>
        <v>0</v>
      </c>
      <c r="CA23">
        <f t="shared" si="22"/>
        <v>0</v>
      </c>
      <c r="CB23">
        <f t="shared" si="23"/>
        <v>0</v>
      </c>
      <c r="CC23">
        <f t="shared" si="24"/>
        <v>0</v>
      </c>
      <c r="CD23">
        <f t="shared" si="25"/>
        <v>0</v>
      </c>
      <c r="CE23">
        <f t="shared" si="26"/>
        <v>9.9475983006414026E-14</v>
      </c>
      <c r="CF23">
        <f t="shared" si="27"/>
        <v>0</v>
      </c>
      <c r="CG23">
        <f t="shared" si="28"/>
        <v>9.9475983006414026E-14</v>
      </c>
      <c r="CJ23" t="s">
        <v>243</v>
      </c>
    </row>
    <row r="24" spans="1:88" ht="15.75" customHeight="1" outlineLevel="1" thickBot="1" x14ac:dyDescent="0.35">
      <c r="A24" s="40"/>
      <c r="B24" s="40" t="s">
        <v>68</v>
      </c>
      <c r="C24" s="41" t="s">
        <v>241</v>
      </c>
      <c r="D24" s="40">
        <v>32209643</v>
      </c>
      <c r="E24" s="41">
        <v>10</v>
      </c>
      <c r="F24" s="41">
        <v>32</v>
      </c>
      <c r="G24" s="41">
        <v>50</v>
      </c>
      <c r="I24" s="42">
        <f t="shared" si="0"/>
        <v>39.612212499999998</v>
      </c>
      <c r="J24" s="43">
        <f t="shared" si="1"/>
        <v>0.78708776747385867</v>
      </c>
      <c r="K24" s="43">
        <f t="shared" si="2"/>
        <v>0.19719262333953841</v>
      </c>
      <c r="L24" s="43">
        <f t="shared" si="3"/>
        <v>0.13932001667947702</v>
      </c>
      <c r="M24" s="43">
        <f t="shared" si="4"/>
        <v>0.58989514413432032</v>
      </c>
      <c r="N24" s="40">
        <f t="shared" si="5"/>
        <v>6351504</v>
      </c>
      <c r="O24" s="43">
        <f t="shared" si="6"/>
        <v>0.80669154089703143</v>
      </c>
      <c r="P24" s="44">
        <v>31426902</v>
      </c>
      <c r="Q24" s="44">
        <v>982090.6875</v>
      </c>
      <c r="R24" s="44">
        <v>18169.75</v>
      </c>
      <c r="S24" s="45">
        <v>25351816</v>
      </c>
      <c r="T24" s="45">
        <v>4487448</v>
      </c>
      <c r="U24" s="45">
        <v>1864056</v>
      </c>
      <c r="V24" s="45">
        <v>19000312</v>
      </c>
      <c r="W24" s="46">
        <v>71.734515624999901</v>
      </c>
      <c r="X24" s="46">
        <v>75.629103125</v>
      </c>
      <c r="Y24" s="46">
        <v>37.232884374999998</v>
      </c>
      <c r="Z24" s="46">
        <v>43.644156250000002</v>
      </c>
      <c r="AA24" s="46">
        <v>42.207259375</v>
      </c>
      <c r="AB24" s="47">
        <v>3532.55</v>
      </c>
      <c r="AC24" s="47">
        <v>2200.25</v>
      </c>
      <c r="AD24" s="47">
        <v>8.8379999999999992</v>
      </c>
      <c r="AE24" s="47">
        <v>28.940999999999999</v>
      </c>
      <c r="AG24" s="42">
        <f t="shared" si="7"/>
        <v>39.612212499999998</v>
      </c>
      <c r="AH24" s="43">
        <f t="shared" si="8"/>
        <v>0.78708776747385867</v>
      </c>
      <c r="AI24" s="43">
        <f t="shared" si="9"/>
        <v>0.19719262333953841</v>
      </c>
      <c r="AJ24" s="43">
        <f t="shared" si="10"/>
        <v>0.13932001667947702</v>
      </c>
      <c r="AK24" s="43">
        <f t="shared" si="11"/>
        <v>0.58989514413432032</v>
      </c>
      <c r="AL24" s="40">
        <f t="shared" si="12"/>
        <v>6351504</v>
      </c>
      <c r="AM24" s="43">
        <f t="shared" si="13"/>
        <v>0.80669154089703143</v>
      </c>
      <c r="AN24" s="44">
        <v>31426902</v>
      </c>
      <c r="AO24" s="44">
        <v>982090.6875</v>
      </c>
      <c r="AP24" s="44">
        <v>18169.75</v>
      </c>
      <c r="AQ24" s="45">
        <v>25351816</v>
      </c>
      <c r="AR24" s="45">
        <v>4487448</v>
      </c>
      <c r="AS24" s="45">
        <v>1864056</v>
      </c>
      <c r="AT24" s="45">
        <v>19000312</v>
      </c>
      <c r="AU24" s="46">
        <v>71.734515625</v>
      </c>
      <c r="AV24" s="46">
        <v>75.629103125</v>
      </c>
      <c r="AW24" s="46">
        <v>37.232884374999998</v>
      </c>
      <c r="AX24" s="46">
        <v>43.644156250000002</v>
      </c>
      <c r="AY24" s="46">
        <v>42.207259375</v>
      </c>
      <c r="AZ24" s="47">
        <v>6469.59</v>
      </c>
      <c r="BA24" s="47">
        <v>3038.8</v>
      </c>
      <c r="BB24" s="47">
        <v>10.927</v>
      </c>
      <c r="BC24" s="47">
        <v>32.284999999999997</v>
      </c>
      <c r="BE24" s="48">
        <f t="shared" si="14"/>
        <v>1</v>
      </c>
      <c r="BF24" s="49">
        <f t="shared" si="15"/>
        <v>0</v>
      </c>
      <c r="BG24" s="49">
        <f t="shared" si="16"/>
        <v>0</v>
      </c>
      <c r="BH24" s="49"/>
      <c r="BJ24" s="48"/>
      <c r="BK24" s="48"/>
      <c r="BL24" s="48"/>
      <c r="BM24" s="48"/>
      <c r="BN24" s="48"/>
      <c r="BP24" s="48"/>
      <c r="BQ24" s="48"/>
      <c r="BR24" s="48"/>
      <c r="BS24" s="48"/>
      <c r="BT24" s="48"/>
      <c r="BV24">
        <f t="shared" si="17"/>
        <v>0</v>
      </c>
      <c r="BW24">
        <f t="shared" si="18"/>
        <v>0</v>
      </c>
      <c r="BX24">
        <f t="shared" si="19"/>
        <v>0</v>
      </c>
      <c r="BY24">
        <f t="shared" si="20"/>
        <v>0</v>
      </c>
      <c r="BZ24">
        <f t="shared" si="21"/>
        <v>0</v>
      </c>
      <c r="CA24">
        <f t="shared" si="22"/>
        <v>0</v>
      </c>
      <c r="CB24">
        <f t="shared" si="23"/>
        <v>0</v>
      </c>
      <c r="CC24">
        <f t="shared" si="24"/>
        <v>0</v>
      </c>
      <c r="CD24">
        <f t="shared" si="25"/>
        <v>0</v>
      </c>
      <c r="CE24">
        <f t="shared" si="26"/>
        <v>0</v>
      </c>
      <c r="CF24">
        <f t="shared" si="27"/>
        <v>0</v>
      </c>
      <c r="CG24">
        <f t="shared" si="28"/>
        <v>0</v>
      </c>
      <c r="CJ24" t="s">
        <v>243</v>
      </c>
    </row>
    <row r="25" spans="1:88" x14ac:dyDescent="0.3">
      <c r="A25" s="10" t="s">
        <v>244</v>
      </c>
      <c r="B25" s="10" t="s">
        <v>71</v>
      </c>
      <c r="C25" s="11" t="s">
        <v>236</v>
      </c>
      <c r="D25" s="10">
        <v>25312408</v>
      </c>
      <c r="E25" s="11">
        <v>10</v>
      </c>
      <c r="F25" s="11">
        <v>32</v>
      </c>
      <c r="G25" s="11">
        <v>30</v>
      </c>
      <c r="I25" s="12">
        <f t="shared" si="0"/>
        <v>4.3934775000000004</v>
      </c>
      <c r="J25" s="13">
        <f t="shared" si="1"/>
        <v>0.1851414531560964</v>
      </c>
      <c r="K25" s="13">
        <f t="shared" si="2"/>
        <v>6.501570297065376E-2</v>
      </c>
      <c r="L25" s="13">
        <f t="shared" si="3"/>
        <v>3.684453885224985E-2</v>
      </c>
      <c r="M25" s="13">
        <f t="shared" si="4"/>
        <v>0.12012575018544265</v>
      </c>
      <c r="N25" s="10">
        <f t="shared" si="5"/>
        <v>1645704</v>
      </c>
      <c r="O25" s="13">
        <f t="shared" si="6"/>
        <v>0.20237484189384508</v>
      </c>
      <c r="P25" s="14">
        <v>23156910</v>
      </c>
      <c r="Q25" s="14">
        <v>723653.4375</v>
      </c>
      <c r="R25" s="14">
        <v>13819.46875</v>
      </c>
      <c r="S25" s="15">
        <v>4686376</v>
      </c>
      <c r="T25" s="15">
        <v>932624</v>
      </c>
      <c r="U25" s="15">
        <v>713080</v>
      </c>
      <c r="V25" s="15">
        <v>3040672</v>
      </c>
      <c r="W25" s="16">
        <v>66.209149999999994</v>
      </c>
      <c r="X25" s="16">
        <v>67.973675</v>
      </c>
      <c r="Y25" s="16">
        <v>27.340437499999901</v>
      </c>
      <c r="Z25" s="16">
        <v>33.161346875</v>
      </c>
      <c r="AA25" s="16">
        <v>32.598334375</v>
      </c>
      <c r="AB25" s="17">
        <v>1215.1300000000001</v>
      </c>
      <c r="AC25" s="17">
        <v>1470.46</v>
      </c>
      <c r="AD25" s="17">
        <v>7.5140000000000002</v>
      </c>
      <c r="AE25" s="17">
        <v>24.768999999999998</v>
      </c>
      <c r="AG25" s="12">
        <f t="shared" si="7"/>
        <v>4.3934775000000004</v>
      </c>
      <c r="AH25" s="13">
        <f t="shared" si="8"/>
        <v>0.1851414531560964</v>
      </c>
      <c r="AI25" s="13">
        <f t="shared" si="9"/>
        <v>6.501570297065376E-2</v>
      </c>
      <c r="AJ25" s="13">
        <f t="shared" si="10"/>
        <v>3.684453885224985E-2</v>
      </c>
      <c r="AK25" s="13">
        <f t="shared" si="11"/>
        <v>0.12012575018544265</v>
      </c>
      <c r="AL25" s="10">
        <f t="shared" si="12"/>
        <v>1645704</v>
      </c>
      <c r="AM25" s="13">
        <f t="shared" si="13"/>
        <v>0.20237484189384508</v>
      </c>
      <c r="AN25" s="14">
        <v>23156910</v>
      </c>
      <c r="AO25" s="14">
        <v>723653.4375</v>
      </c>
      <c r="AP25" s="14">
        <v>13819.46875</v>
      </c>
      <c r="AQ25" s="15">
        <v>4686376</v>
      </c>
      <c r="AR25" s="15">
        <v>932624</v>
      </c>
      <c r="AS25" s="15">
        <v>713080</v>
      </c>
      <c r="AT25" s="15">
        <v>3040672</v>
      </c>
      <c r="AU25" s="16">
        <v>66.209149999999994</v>
      </c>
      <c r="AV25" s="16">
        <v>67.973675</v>
      </c>
      <c r="AW25" s="16">
        <v>27.3404375</v>
      </c>
      <c r="AX25" s="16">
        <v>33.161346875</v>
      </c>
      <c r="AY25" s="16">
        <v>32.598334375</v>
      </c>
      <c r="AZ25" s="17">
        <v>2021.25</v>
      </c>
      <c r="BA25" s="17">
        <v>2476.61</v>
      </c>
      <c r="BB25" s="17">
        <v>11.577</v>
      </c>
      <c r="BC25" s="17">
        <v>38.691000000000003</v>
      </c>
      <c r="BE25" s="18">
        <f t="shared" si="14"/>
        <v>1</v>
      </c>
      <c r="BF25" s="19">
        <f t="shared" si="15"/>
        <v>0</v>
      </c>
      <c r="BG25" s="19">
        <f t="shared" si="16"/>
        <v>0</v>
      </c>
      <c r="BH25" s="19">
        <f t="array" ref="BH25">AVERAGE(AL25:AL29/AQ25:AQ29) - AVERAGE(N25:N29/S25:S29)</f>
        <v>0</v>
      </c>
      <c r="BJ25" s="18">
        <f>IF( OR(ISBLANK(N25:N29),ISBLANK(AL25:AL29), ISBLANK(W25:W29),ISBLANK(AU25:AU29)), "·", bdRateExtend( N25:N29,W25:W29, AL25:AL29,AU25:AU29))</f>
        <v>0</v>
      </c>
      <c r="BK25" s="18">
        <f>IF( OR(ISBLANK(N25:N29),ISBLANK(AL25:AL29), ISBLANK(X25:X29),ISBLANK(AV25:AV29)), "·", bdRateExtend( N25:N29,X25:X29, AL25:AL29,AV25:AV29))</f>
        <v>-4.6629367034256575E-15</v>
      </c>
      <c r="BL25" s="18">
        <f>IF( OR(ISBLANK(V25:V29),ISBLANK(AT25:AT29), ISBLANK(Y25:Y29),ISBLANK(AW25:AW29)), "·", bdRateExtend( V25:V29,Y25:Y29, AT25:AT29,AW25:AW29))</f>
        <v>-1.3100631690576847E-14</v>
      </c>
      <c r="BM25" s="18">
        <f>IF( OR(ISBLANK(V25:V29),ISBLANK(AT25:AT29), ISBLANK(Z25:Z29),ISBLANK(AX25:AX29)), "·", bdRateExtend( V25:V29,Z25:Z29, AT25:AT29,AX25:AX29))</f>
        <v>0</v>
      </c>
      <c r="BN25" s="18">
        <f>IF( OR(ISBLANK(V25:V29),ISBLANK(AT25:AT29), ISBLANK(AA25:AA29),ISBLANK(AY25:AY29)), "·", bdRateExtend( V25:V29,AA25:AA29, AT25:AT29,AY25:AY29))</f>
        <v>-2.6645352591003757E-15</v>
      </c>
      <c r="BP25" s="18">
        <f>IF( OR(ISBLANK(S25:S29),ISBLANK(AQ25:AQ29), ISBLANK(W25:W29),ISBLANK(AU25:AU29)), "·", bdRateExtend( S25:S29,W25:W29, AQ25:AQ29,AU25:AU29))</f>
        <v>0</v>
      </c>
      <c r="BQ25" s="18">
        <f>IF( OR(ISBLANK(S25:S29),ISBLANK(AQ25:AQ29), ISBLANK(X25:X29),ISBLANK(AV25:AV29)), "·", bdRateExtend( S25:S29,X25:X29, AQ25:AQ29,AV25:AV29))</f>
        <v>-1.1768364061026659E-14</v>
      </c>
      <c r="BR25" s="18">
        <f>IF( OR(ISBLANK(S25:S29),ISBLANK(AQ25:AQ29), ISBLANK(Y25:Y29),ISBLANK(AW25:AW29)), "·", bdRateExtend( S25:S29,Y25:Y29, AQ25:AQ29,AW25:AW29))</f>
        <v>-9.7699626167013776E-15</v>
      </c>
      <c r="BS25" s="18">
        <f>IF( OR(ISBLANK(S25:S29),ISBLANK(AQ25:AQ29), ISBLANK(Z25:Z29),ISBLANK(AX25:AX29)), "·", bdRateExtend( S25:S29,Z25:Z29, AQ25:AQ29,AX25:AX29))</f>
        <v>0</v>
      </c>
      <c r="BT25" s="18">
        <f>IF( OR(ISBLANK(S25:S29),ISBLANK(AQ25:AQ29), ISBLANK(AA25:AA29),ISBLANK(AY25:AY29)), "·", bdRateExtend( S25:S29,AA25:AA29, AQ25:AQ29,AY25:AY29))</f>
        <v>-5.3290705182007514E-15</v>
      </c>
      <c r="BV25">
        <f t="shared" si="17"/>
        <v>0</v>
      </c>
      <c r="BW25">
        <f t="shared" si="18"/>
        <v>0</v>
      </c>
      <c r="BX25">
        <f t="shared" si="19"/>
        <v>0</v>
      </c>
      <c r="BY25">
        <f t="shared" si="20"/>
        <v>0</v>
      </c>
      <c r="BZ25">
        <f t="shared" si="21"/>
        <v>0</v>
      </c>
      <c r="CA25">
        <f t="shared" si="22"/>
        <v>0</v>
      </c>
      <c r="CB25">
        <f t="shared" si="23"/>
        <v>0</v>
      </c>
      <c r="CC25">
        <f t="shared" si="24"/>
        <v>0</v>
      </c>
      <c r="CD25">
        <f t="shared" si="25"/>
        <v>0</v>
      </c>
      <c r="CE25">
        <f t="shared" si="26"/>
        <v>9.9475983006414026E-14</v>
      </c>
      <c r="CF25">
        <f t="shared" si="27"/>
        <v>0</v>
      </c>
      <c r="CG25">
        <f t="shared" si="28"/>
        <v>0</v>
      </c>
      <c r="CJ25" t="s">
        <v>245</v>
      </c>
    </row>
    <row r="26" spans="1:88" outlineLevel="1" x14ac:dyDescent="0.3">
      <c r="A26" s="20"/>
      <c r="B26" s="20" t="s">
        <v>71</v>
      </c>
      <c r="C26" s="21" t="s">
        <v>238</v>
      </c>
      <c r="D26" s="20">
        <v>25312408</v>
      </c>
      <c r="E26" s="21">
        <v>10</v>
      </c>
      <c r="F26" s="21">
        <v>32</v>
      </c>
      <c r="G26" s="21">
        <v>30</v>
      </c>
      <c r="I26" s="22">
        <f t="shared" si="0"/>
        <v>7.5268724999999996</v>
      </c>
      <c r="J26" s="23">
        <f t="shared" si="1"/>
        <v>0.31718294047725526</v>
      </c>
      <c r="K26" s="23">
        <f t="shared" si="2"/>
        <v>8.0109960300892749E-2</v>
      </c>
      <c r="L26" s="23">
        <f t="shared" si="3"/>
        <v>5.1938796182488839E-2</v>
      </c>
      <c r="M26" s="23">
        <f t="shared" si="4"/>
        <v>0.23707298017636252</v>
      </c>
      <c r="N26" s="20">
        <f t="shared" si="5"/>
        <v>2027776</v>
      </c>
      <c r="O26" s="23">
        <f t="shared" si="6"/>
        <v>0.32684276259275608</v>
      </c>
      <c r="P26" s="24">
        <v>24564301</v>
      </c>
      <c r="Q26" s="24">
        <v>767634.40625</v>
      </c>
      <c r="R26" s="24">
        <v>17406.84375</v>
      </c>
      <c r="S26" s="25">
        <v>8028664</v>
      </c>
      <c r="T26" s="25">
        <v>1314696</v>
      </c>
      <c r="U26" s="25">
        <v>713080</v>
      </c>
      <c r="V26" s="25">
        <v>6000888</v>
      </c>
      <c r="W26" s="26">
        <v>67.941665624999999</v>
      </c>
      <c r="X26" s="26">
        <v>69.928681249999897</v>
      </c>
      <c r="Y26" s="26">
        <v>29.718518750000001</v>
      </c>
      <c r="Z26" s="26">
        <v>34.338906250000001</v>
      </c>
      <c r="AA26" s="26">
        <v>33.884806249999997</v>
      </c>
      <c r="AB26" s="27">
        <v>1213.9100000000001</v>
      </c>
      <c r="AC26" s="27">
        <v>1550.53</v>
      </c>
      <c r="AD26" s="27">
        <v>7.5510000000000002</v>
      </c>
      <c r="AE26" s="27">
        <v>25.126999999999999</v>
      </c>
      <c r="AG26" s="22">
        <f t="shared" si="7"/>
        <v>7.5268724999999996</v>
      </c>
      <c r="AH26" s="23">
        <f t="shared" si="8"/>
        <v>0.31718294047725526</v>
      </c>
      <c r="AI26" s="23">
        <f t="shared" si="9"/>
        <v>8.0109960300892749E-2</v>
      </c>
      <c r="AJ26" s="23">
        <f t="shared" si="10"/>
        <v>5.1938796182488839E-2</v>
      </c>
      <c r="AK26" s="23">
        <f t="shared" si="11"/>
        <v>0.23707298017636252</v>
      </c>
      <c r="AL26" s="20">
        <f t="shared" si="12"/>
        <v>2027776</v>
      </c>
      <c r="AM26" s="23">
        <f t="shared" si="13"/>
        <v>0.32684276259275608</v>
      </c>
      <c r="AN26" s="24">
        <v>24564301</v>
      </c>
      <c r="AO26" s="24">
        <v>767634.40625</v>
      </c>
      <c r="AP26" s="24">
        <v>17406.84375</v>
      </c>
      <c r="AQ26" s="25">
        <v>8028664</v>
      </c>
      <c r="AR26" s="25">
        <v>1314696</v>
      </c>
      <c r="AS26" s="25">
        <v>713080</v>
      </c>
      <c r="AT26" s="25">
        <v>6000888</v>
      </c>
      <c r="AU26" s="26">
        <v>67.941665624999999</v>
      </c>
      <c r="AV26" s="26">
        <v>69.928681249999997</v>
      </c>
      <c r="AW26" s="26">
        <v>29.718518750000001</v>
      </c>
      <c r="AX26" s="26">
        <v>34.338906250000001</v>
      </c>
      <c r="AY26" s="26">
        <v>33.884806249999997</v>
      </c>
      <c r="AZ26" s="27">
        <v>2012.3</v>
      </c>
      <c r="BA26" s="27">
        <v>2621.82</v>
      </c>
      <c r="BB26" s="27">
        <v>12.923999999999999</v>
      </c>
      <c r="BC26" s="27">
        <v>41.055999999999997</v>
      </c>
      <c r="BE26" s="28">
        <f t="shared" si="14"/>
        <v>1</v>
      </c>
      <c r="BF26" s="29">
        <f t="shared" si="15"/>
        <v>0</v>
      </c>
      <c r="BG26" s="29">
        <f t="shared" si="16"/>
        <v>0</v>
      </c>
      <c r="BH26" s="29"/>
      <c r="BJ26" s="28"/>
      <c r="BK26" s="28"/>
      <c r="BL26" s="28"/>
      <c r="BM26" s="28"/>
      <c r="BN26" s="28"/>
      <c r="BP26" s="28"/>
      <c r="BQ26" s="28"/>
      <c r="BR26" s="28"/>
      <c r="BS26" s="28"/>
      <c r="BT26" s="28"/>
      <c r="BV26">
        <f t="shared" si="17"/>
        <v>0</v>
      </c>
      <c r="BW26">
        <f t="shared" si="18"/>
        <v>0</v>
      </c>
      <c r="BX26">
        <f t="shared" si="19"/>
        <v>0</v>
      </c>
      <c r="BY26">
        <f t="shared" si="20"/>
        <v>0</v>
      </c>
      <c r="BZ26">
        <f t="shared" si="21"/>
        <v>0</v>
      </c>
      <c r="CA26">
        <f t="shared" si="22"/>
        <v>0</v>
      </c>
      <c r="CB26">
        <f t="shared" si="23"/>
        <v>0</v>
      </c>
      <c r="CC26">
        <f t="shared" si="24"/>
        <v>0</v>
      </c>
      <c r="CD26">
        <f t="shared" si="25"/>
        <v>0</v>
      </c>
      <c r="CE26">
        <f t="shared" si="26"/>
        <v>0</v>
      </c>
      <c r="CF26">
        <f t="shared" si="27"/>
        <v>0</v>
      </c>
      <c r="CG26">
        <f t="shared" si="28"/>
        <v>0</v>
      </c>
      <c r="CJ26" t="s">
        <v>245</v>
      </c>
    </row>
    <row r="27" spans="1:88" outlineLevel="1" x14ac:dyDescent="0.3">
      <c r="A27" s="10"/>
      <c r="B27" s="10" t="s">
        <v>71</v>
      </c>
      <c r="C27" s="11" t="s">
        <v>239</v>
      </c>
      <c r="D27" s="10">
        <v>25312408</v>
      </c>
      <c r="E27" s="11">
        <v>10</v>
      </c>
      <c r="F27" s="11">
        <v>32</v>
      </c>
      <c r="G27" s="11">
        <v>30</v>
      </c>
      <c r="I27" s="12">
        <f t="shared" si="0"/>
        <v>13.2526425</v>
      </c>
      <c r="J27" s="13">
        <f t="shared" si="1"/>
        <v>0.55846729398483153</v>
      </c>
      <c r="K27" s="13">
        <f t="shared" si="2"/>
        <v>0.10281755888258438</v>
      </c>
      <c r="L27" s="13">
        <f t="shared" si="3"/>
        <v>7.4646394764180474E-2</v>
      </c>
      <c r="M27" s="13">
        <f t="shared" si="4"/>
        <v>0.4556497351022471</v>
      </c>
      <c r="N27" s="10">
        <f t="shared" si="5"/>
        <v>2602560</v>
      </c>
      <c r="O27" s="13">
        <f t="shared" si="6"/>
        <v>0.56880253827415272</v>
      </c>
      <c r="P27" s="14">
        <v>24852477</v>
      </c>
      <c r="Q27" s="14">
        <v>776639.90625</v>
      </c>
      <c r="R27" s="14">
        <v>18382.90625</v>
      </c>
      <c r="S27" s="15">
        <v>14136152</v>
      </c>
      <c r="T27" s="15">
        <v>1889480</v>
      </c>
      <c r="U27" s="15">
        <v>713080</v>
      </c>
      <c r="V27" s="15">
        <v>11533592</v>
      </c>
      <c r="W27" s="16">
        <v>69.265340624999993</v>
      </c>
      <c r="X27" s="16">
        <v>71.6325875</v>
      </c>
      <c r="Y27" s="16">
        <v>32.2319124999999</v>
      </c>
      <c r="Z27" s="16">
        <v>35.582450000000001</v>
      </c>
      <c r="AA27" s="16">
        <v>35.201212499999997</v>
      </c>
      <c r="AB27" s="17">
        <v>1218.04</v>
      </c>
      <c r="AC27" s="17">
        <v>1655.99</v>
      </c>
      <c r="AD27" s="17">
        <v>7.5970000000000004</v>
      </c>
      <c r="AE27" s="17">
        <v>26.254000000000001</v>
      </c>
      <c r="AG27" s="12">
        <f t="shared" si="7"/>
        <v>13.2526425</v>
      </c>
      <c r="AH27" s="13">
        <f t="shared" si="8"/>
        <v>0.55846729398483153</v>
      </c>
      <c r="AI27" s="13">
        <f t="shared" si="9"/>
        <v>0.10281755888258438</v>
      </c>
      <c r="AJ27" s="13">
        <f t="shared" si="10"/>
        <v>7.4646394764180474E-2</v>
      </c>
      <c r="AK27" s="13">
        <f t="shared" si="11"/>
        <v>0.4556497351022471</v>
      </c>
      <c r="AL27" s="10">
        <f t="shared" si="12"/>
        <v>2602560</v>
      </c>
      <c r="AM27" s="13">
        <f t="shared" si="13"/>
        <v>0.56880253827415272</v>
      </c>
      <c r="AN27" s="14">
        <v>24852477</v>
      </c>
      <c r="AO27" s="14">
        <v>776639.90625</v>
      </c>
      <c r="AP27" s="14">
        <v>18382.90625</v>
      </c>
      <c r="AQ27" s="15">
        <v>14136152</v>
      </c>
      <c r="AR27" s="15">
        <v>1889480</v>
      </c>
      <c r="AS27" s="15">
        <v>713080</v>
      </c>
      <c r="AT27" s="15">
        <v>11533592</v>
      </c>
      <c r="AU27" s="16">
        <v>69.265340624999993</v>
      </c>
      <c r="AV27" s="16">
        <v>71.6325875</v>
      </c>
      <c r="AW27" s="16">
        <v>32.2319125</v>
      </c>
      <c r="AX27" s="16">
        <v>35.582450000000001</v>
      </c>
      <c r="AY27" s="16">
        <v>35.201212499999997</v>
      </c>
      <c r="AZ27" s="17">
        <v>1994.77</v>
      </c>
      <c r="BA27" s="17">
        <v>2699.91</v>
      </c>
      <c r="BB27" s="17">
        <v>12.522</v>
      </c>
      <c r="BC27" s="17">
        <v>40.887</v>
      </c>
      <c r="BE27" s="18">
        <f t="shared" si="14"/>
        <v>1</v>
      </c>
      <c r="BF27" s="19">
        <f t="shared" si="15"/>
        <v>0</v>
      </c>
      <c r="BG27" s="19">
        <f t="shared" si="16"/>
        <v>0</v>
      </c>
      <c r="BH27" s="19"/>
      <c r="BJ27" s="18"/>
      <c r="BK27" s="18"/>
      <c r="BL27" s="18"/>
      <c r="BM27" s="18"/>
      <c r="BN27" s="18"/>
      <c r="BP27" s="18"/>
      <c r="BQ27" s="18"/>
      <c r="BR27" s="18"/>
      <c r="BS27" s="18"/>
      <c r="BT27" s="18"/>
      <c r="BV27">
        <f t="shared" si="17"/>
        <v>0</v>
      </c>
      <c r="BW27">
        <f t="shared" si="18"/>
        <v>0</v>
      </c>
      <c r="BX27">
        <f t="shared" si="19"/>
        <v>0</v>
      </c>
      <c r="BY27">
        <f t="shared" si="20"/>
        <v>0</v>
      </c>
      <c r="BZ27">
        <f t="shared" si="21"/>
        <v>0</v>
      </c>
      <c r="CA27">
        <f t="shared" si="22"/>
        <v>0</v>
      </c>
      <c r="CB27">
        <f t="shared" si="23"/>
        <v>0</v>
      </c>
      <c r="CC27">
        <f t="shared" si="24"/>
        <v>0</v>
      </c>
      <c r="CD27">
        <f t="shared" si="25"/>
        <v>0</v>
      </c>
      <c r="CE27">
        <f t="shared" si="26"/>
        <v>9.9475983006414026E-14</v>
      </c>
      <c r="CF27">
        <f t="shared" si="27"/>
        <v>0</v>
      </c>
      <c r="CG27">
        <f t="shared" si="28"/>
        <v>0</v>
      </c>
      <c r="CJ27" t="s">
        <v>245</v>
      </c>
    </row>
    <row r="28" spans="1:88" outlineLevel="1" x14ac:dyDescent="0.3">
      <c r="A28" s="20"/>
      <c r="B28" s="20" t="s">
        <v>71</v>
      </c>
      <c r="C28" s="21" t="s">
        <v>240</v>
      </c>
      <c r="D28" s="20">
        <v>25312408</v>
      </c>
      <c r="E28" s="21">
        <v>10</v>
      </c>
      <c r="F28" s="21">
        <v>32</v>
      </c>
      <c r="G28" s="21">
        <v>30</v>
      </c>
      <c r="I28" s="22">
        <f t="shared" si="0"/>
        <v>24.611587499999999</v>
      </c>
      <c r="J28" s="23">
        <f t="shared" si="1"/>
        <v>1.0371340411390335</v>
      </c>
      <c r="K28" s="23">
        <f t="shared" si="2"/>
        <v>0.14095758886313781</v>
      </c>
      <c r="L28" s="23">
        <f t="shared" si="3"/>
        <v>0.11278642474473388</v>
      </c>
      <c r="M28" s="23">
        <f t="shared" si="4"/>
        <v>0.89617645227589571</v>
      </c>
      <c r="N28" s="20">
        <f t="shared" si="5"/>
        <v>3567976</v>
      </c>
      <c r="O28" s="23">
        <f t="shared" si="6"/>
        <v>1.0286514608162911</v>
      </c>
      <c r="P28" s="24">
        <v>25521142</v>
      </c>
      <c r="Q28" s="24">
        <v>797535.6875</v>
      </c>
      <c r="R28" s="24">
        <v>20619</v>
      </c>
      <c r="S28" s="25">
        <v>26252360</v>
      </c>
      <c r="T28" s="25">
        <v>2854896</v>
      </c>
      <c r="U28" s="25">
        <v>713080</v>
      </c>
      <c r="V28" s="25">
        <v>22684384</v>
      </c>
      <c r="W28" s="26">
        <v>70.423309375000002</v>
      </c>
      <c r="X28" s="26">
        <v>72.950893750000006</v>
      </c>
      <c r="Y28" s="26">
        <v>34.942912499999998</v>
      </c>
      <c r="Z28" s="26">
        <v>37.372228124999999</v>
      </c>
      <c r="AA28" s="26">
        <v>36.9392</v>
      </c>
      <c r="AB28" s="27">
        <v>1215.08</v>
      </c>
      <c r="AC28" s="27">
        <v>1864.76</v>
      </c>
      <c r="AD28" s="27">
        <v>7.7750000000000004</v>
      </c>
      <c r="AE28" s="27">
        <v>27.164999999999999</v>
      </c>
      <c r="AG28" s="22">
        <f t="shared" si="7"/>
        <v>24.611587499999999</v>
      </c>
      <c r="AH28" s="23">
        <f t="shared" si="8"/>
        <v>1.0371340411390335</v>
      </c>
      <c r="AI28" s="23">
        <f t="shared" si="9"/>
        <v>0.14095758886313781</v>
      </c>
      <c r="AJ28" s="23">
        <f t="shared" si="10"/>
        <v>0.11278642474473388</v>
      </c>
      <c r="AK28" s="23">
        <f t="shared" si="11"/>
        <v>0.89617645227589571</v>
      </c>
      <c r="AL28" s="20">
        <f t="shared" si="12"/>
        <v>3567976</v>
      </c>
      <c r="AM28" s="23">
        <f t="shared" si="13"/>
        <v>1.0286514608162911</v>
      </c>
      <c r="AN28" s="24">
        <v>25521142</v>
      </c>
      <c r="AO28" s="24">
        <v>797535.6875</v>
      </c>
      <c r="AP28" s="24">
        <v>20619</v>
      </c>
      <c r="AQ28" s="25">
        <v>26252360</v>
      </c>
      <c r="AR28" s="25">
        <v>2854896</v>
      </c>
      <c r="AS28" s="25">
        <v>713080</v>
      </c>
      <c r="AT28" s="25">
        <v>22684384</v>
      </c>
      <c r="AU28" s="26">
        <v>70.423309375000002</v>
      </c>
      <c r="AV28" s="26">
        <v>72.950893750000006</v>
      </c>
      <c r="AW28" s="26">
        <v>34.942912499999998</v>
      </c>
      <c r="AX28" s="26">
        <v>37.372228124999999</v>
      </c>
      <c r="AY28" s="26">
        <v>36.9392</v>
      </c>
      <c r="AZ28" s="27">
        <v>2011.09</v>
      </c>
      <c r="BA28" s="27">
        <v>3173.55</v>
      </c>
      <c r="BB28" s="27">
        <v>13.664999999999999</v>
      </c>
      <c r="BC28" s="27">
        <v>38.798000000000002</v>
      </c>
      <c r="BE28" s="28">
        <f t="shared" si="14"/>
        <v>1</v>
      </c>
      <c r="BF28" s="29">
        <f t="shared" si="15"/>
        <v>0</v>
      </c>
      <c r="BG28" s="29">
        <f t="shared" si="16"/>
        <v>0</v>
      </c>
      <c r="BH28" s="29"/>
      <c r="BJ28" s="28"/>
      <c r="BK28" s="28"/>
      <c r="BL28" s="28"/>
      <c r="BM28" s="28"/>
      <c r="BN28" s="28"/>
      <c r="BP28" s="28"/>
      <c r="BQ28" s="28"/>
      <c r="BR28" s="28"/>
      <c r="BS28" s="28"/>
      <c r="BT28" s="28"/>
      <c r="BV28">
        <f t="shared" si="17"/>
        <v>0</v>
      </c>
      <c r="BW28">
        <f t="shared" si="18"/>
        <v>0</v>
      </c>
      <c r="BX28">
        <f t="shared" si="19"/>
        <v>0</v>
      </c>
      <c r="BY28">
        <f t="shared" si="20"/>
        <v>0</v>
      </c>
      <c r="BZ28">
        <f t="shared" si="21"/>
        <v>0</v>
      </c>
      <c r="CA28">
        <f t="shared" si="22"/>
        <v>0</v>
      </c>
      <c r="CB28">
        <f t="shared" si="23"/>
        <v>0</v>
      </c>
      <c r="CC28">
        <f t="shared" si="24"/>
        <v>0</v>
      </c>
      <c r="CD28">
        <f t="shared" si="25"/>
        <v>0</v>
      </c>
      <c r="CE28">
        <f t="shared" si="26"/>
        <v>0</v>
      </c>
      <c r="CF28">
        <f t="shared" si="27"/>
        <v>0</v>
      </c>
      <c r="CG28">
        <f t="shared" si="28"/>
        <v>0</v>
      </c>
      <c r="CJ28" t="s">
        <v>245</v>
      </c>
    </row>
    <row r="29" spans="1:88" ht="15.75" customHeight="1" outlineLevel="1" thickBot="1" x14ac:dyDescent="0.35">
      <c r="A29" s="30"/>
      <c r="B29" s="30" t="s">
        <v>71</v>
      </c>
      <c r="C29" s="31" t="s">
        <v>241</v>
      </c>
      <c r="D29" s="30">
        <v>25312408</v>
      </c>
      <c r="E29" s="31">
        <v>10</v>
      </c>
      <c r="F29" s="31">
        <v>32</v>
      </c>
      <c r="G29" s="31">
        <v>30</v>
      </c>
      <c r="I29" s="32">
        <f t="shared" si="0"/>
        <v>44.300445000000003</v>
      </c>
      <c r="J29" s="33">
        <f t="shared" si="1"/>
        <v>1.866823891271032</v>
      </c>
      <c r="K29" s="33">
        <f t="shared" si="2"/>
        <v>0.22736232759838573</v>
      </c>
      <c r="L29" s="33">
        <f t="shared" si="3"/>
        <v>0.17444567107167364</v>
      </c>
      <c r="M29" s="33">
        <f t="shared" si="4"/>
        <v>1.6394615636726462</v>
      </c>
      <c r="N29" s="30">
        <f t="shared" si="5"/>
        <v>5755088</v>
      </c>
      <c r="O29" s="33">
        <f t="shared" si="6"/>
        <v>1.9231256164189217</v>
      </c>
      <c r="P29" s="34">
        <v>24571358</v>
      </c>
      <c r="Q29" s="34">
        <v>767854.9375</v>
      </c>
      <c r="R29" s="34">
        <v>9649.625</v>
      </c>
      <c r="S29" s="35">
        <v>47253808</v>
      </c>
      <c r="T29" s="35">
        <v>4415640</v>
      </c>
      <c r="U29" s="35">
        <v>1339448</v>
      </c>
      <c r="V29" s="35">
        <v>41498720</v>
      </c>
      <c r="W29" s="36">
        <v>71.157656250000002</v>
      </c>
      <c r="X29" s="36">
        <v>74.909078124999994</v>
      </c>
      <c r="Y29" s="36">
        <v>37.393134374999903</v>
      </c>
      <c r="Z29" s="36">
        <v>39.397440625000002</v>
      </c>
      <c r="AA29" s="36">
        <v>38.752184374999899</v>
      </c>
      <c r="AB29" s="37">
        <v>1189</v>
      </c>
      <c r="AC29" s="37">
        <v>2152.37</v>
      </c>
      <c r="AD29" s="37">
        <v>7.2229999999999999</v>
      </c>
      <c r="AE29" s="37">
        <v>27.855</v>
      </c>
      <c r="AG29" s="32">
        <f t="shared" si="7"/>
        <v>44.300445000000003</v>
      </c>
      <c r="AH29" s="33">
        <f t="shared" si="8"/>
        <v>1.866823891271032</v>
      </c>
      <c r="AI29" s="33">
        <f t="shared" si="9"/>
        <v>0.22736232759838573</v>
      </c>
      <c r="AJ29" s="33">
        <f t="shared" si="10"/>
        <v>0.17444567107167364</v>
      </c>
      <c r="AK29" s="33">
        <f t="shared" si="11"/>
        <v>1.6394615636726462</v>
      </c>
      <c r="AL29" s="30">
        <f t="shared" si="12"/>
        <v>5755088</v>
      </c>
      <c r="AM29" s="33">
        <f t="shared" si="13"/>
        <v>1.9231256164189217</v>
      </c>
      <c r="AN29" s="34">
        <v>24571358</v>
      </c>
      <c r="AO29" s="34">
        <v>767854.9375</v>
      </c>
      <c r="AP29" s="34">
        <v>9649.625</v>
      </c>
      <c r="AQ29" s="35">
        <v>47253808</v>
      </c>
      <c r="AR29" s="35">
        <v>4415640</v>
      </c>
      <c r="AS29" s="35">
        <v>1339448</v>
      </c>
      <c r="AT29" s="35">
        <v>41498720</v>
      </c>
      <c r="AU29" s="36">
        <v>71.157656250000002</v>
      </c>
      <c r="AV29" s="36">
        <v>74.909078124999994</v>
      </c>
      <c r="AW29" s="36">
        <v>37.393134375000002</v>
      </c>
      <c r="AX29" s="36">
        <v>39.397440625000002</v>
      </c>
      <c r="AY29" s="36">
        <v>38.752184374999999</v>
      </c>
      <c r="AZ29" s="37">
        <v>1966.85</v>
      </c>
      <c r="BA29" s="37">
        <v>3618.94</v>
      </c>
      <c r="BB29" s="37">
        <v>12.637</v>
      </c>
      <c r="BC29" s="37">
        <v>46.375999999999998</v>
      </c>
      <c r="BE29" s="38">
        <f t="shared" si="14"/>
        <v>1</v>
      </c>
      <c r="BF29" s="39">
        <f t="shared" si="15"/>
        <v>0</v>
      </c>
      <c r="BG29" s="39">
        <f t="shared" si="16"/>
        <v>0</v>
      </c>
      <c r="BH29" s="39"/>
      <c r="BJ29" s="38"/>
      <c r="BK29" s="38"/>
      <c r="BL29" s="38"/>
      <c r="BM29" s="38"/>
      <c r="BN29" s="38"/>
      <c r="BP29" s="38"/>
      <c r="BQ29" s="38"/>
      <c r="BR29" s="38"/>
      <c r="BS29" s="38"/>
      <c r="BT29" s="38"/>
      <c r="BV29">
        <f t="shared" si="17"/>
        <v>0</v>
      </c>
      <c r="BW29">
        <f t="shared" si="18"/>
        <v>0</v>
      </c>
      <c r="BX29">
        <f t="shared" si="19"/>
        <v>0</v>
      </c>
      <c r="BY29">
        <f t="shared" si="20"/>
        <v>0</v>
      </c>
      <c r="BZ29">
        <f t="shared" si="21"/>
        <v>0</v>
      </c>
      <c r="CA29">
        <f t="shared" si="22"/>
        <v>0</v>
      </c>
      <c r="CB29">
        <f t="shared" si="23"/>
        <v>0</v>
      </c>
      <c r="CC29">
        <f t="shared" si="24"/>
        <v>0</v>
      </c>
      <c r="CD29">
        <f t="shared" si="25"/>
        <v>0</v>
      </c>
      <c r="CE29">
        <f t="shared" si="26"/>
        <v>9.9475983006414026E-14</v>
      </c>
      <c r="CF29">
        <f t="shared" si="27"/>
        <v>0</v>
      </c>
      <c r="CG29">
        <f t="shared" si="28"/>
        <v>9.9475983006414026E-14</v>
      </c>
      <c r="CJ29" t="s">
        <v>245</v>
      </c>
    </row>
    <row r="30" spans="1:88" x14ac:dyDescent="0.3">
      <c r="A30" s="20" t="s">
        <v>246</v>
      </c>
      <c r="B30" s="20" t="s">
        <v>75</v>
      </c>
      <c r="C30" s="21" t="s">
        <v>236</v>
      </c>
      <c r="D30" s="20">
        <v>28802925</v>
      </c>
      <c r="E30" s="21">
        <v>11</v>
      </c>
      <c r="F30" s="21">
        <v>10</v>
      </c>
      <c r="G30" s="21">
        <v>30</v>
      </c>
      <c r="I30" s="22">
        <f t="shared" si="0"/>
        <v>5.5417680000000002</v>
      </c>
      <c r="J30" s="23">
        <f t="shared" si="1"/>
        <v>6.4134319691489666E-2</v>
      </c>
      <c r="K30" s="23">
        <f t="shared" si="2"/>
        <v>3.925073581936557E-2</v>
      </c>
      <c r="L30" s="23">
        <f t="shared" si="3"/>
        <v>2.4363358929692037E-2</v>
      </c>
      <c r="M30" s="23">
        <f t="shared" si="4"/>
        <v>2.4883583872124099E-2</v>
      </c>
      <c r="N30" s="20">
        <f t="shared" si="5"/>
        <v>1130536</v>
      </c>
      <c r="O30" s="23">
        <f t="shared" si="6"/>
        <v>7.0414640922138533E-2</v>
      </c>
      <c r="P30" s="24">
        <v>26233976</v>
      </c>
      <c r="Q30" s="24">
        <v>2623397.6</v>
      </c>
      <c r="R30" s="24">
        <v>32601.9</v>
      </c>
      <c r="S30" s="25">
        <v>1847256</v>
      </c>
      <c r="T30" s="25">
        <v>701736</v>
      </c>
      <c r="U30" s="25">
        <v>428800</v>
      </c>
      <c r="V30" s="25">
        <v>716720</v>
      </c>
      <c r="W30" s="26">
        <v>73.498850000000004</v>
      </c>
      <c r="X30" s="26">
        <v>75.695869999999999</v>
      </c>
      <c r="Y30" s="26">
        <v>34.586779999999997</v>
      </c>
      <c r="Z30" s="26">
        <v>41.85172</v>
      </c>
      <c r="AA30" s="26">
        <v>43.714459999999903</v>
      </c>
      <c r="AB30" s="27">
        <v>896.60900000000004</v>
      </c>
      <c r="AC30" s="27">
        <v>1311.74</v>
      </c>
      <c r="AD30" s="27">
        <v>7.9909999999999997</v>
      </c>
      <c r="AE30" s="27">
        <v>22.241</v>
      </c>
      <c r="AG30" s="22">
        <f t="shared" si="7"/>
        <v>5.5417680000000002</v>
      </c>
      <c r="AH30" s="23">
        <f t="shared" si="8"/>
        <v>6.4134319691489666E-2</v>
      </c>
      <c r="AI30" s="23">
        <f t="shared" si="9"/>
        <v>3.925073581936557E-2</v>
      </c>
      <c r="AJ30" s="23">
        <f t="shared" si="10"/>
        <v>2.4363358929692037E-2</v>
      </c>
      <c r="AK30" s="23">
        <f t="shared" si="11"/>
        <v>2.4883583872124099E-2</v>
      </c>
      <c r="AL30" s="20">
        <f t="shared" si="12"/>
        <v>1130536</v>
      </c>
      <c r="AM30" s="23">
        <f t="shared" si="13"/>
        <v>7.0414640922138533E-2</v>
      </c>
      <c r="AN30" s="24">
        <v>26233976</v>
      </c>
      <c r="AO30" s="24">
        <v>2623397.6</v>
      </c>
      <c r="AP30" s="24">
        <v>32601.9</v>
      </c>
      <c r="AQ30" s="25">
        <v>1847256</v>
      </c>
      <c r="AR30" s="25">
        <v>701736</v>
      </c>
      <c r="AS30" s="25">
        <v>428800</v>
      </c>
      <c r="AT30" s="25">
        <v>716720</v>
      </c>
      <c r="AU30" s="26">
        <v>73.498850000000004</v>
      </c>
      <c r="AV30" s="26">
        <v>75.695869999999999</v>
      </c>
      <c r="AW30" s="26">
        <v>34.586779999999997</v>
      </c>
      <c r="AX30" s="26">
        <v>41.85172</v>
      </c>
      <c r="AY30" s="26">
        <v>43.714460000000003</v>
      </c>
      <c r="AZ30" s="27">
        <v>1335.07</v>
      </c>
      <c r="BA30" s="27">
        <v>2231.87</v>
      </c>
      <c r="BB30" s="27">
        <v>14.295</v>
      </c>
      <c r="BC30" s="27">
        <v>33.973999999999997</v>
      </c>
      <c r="BE30" s="28">
        <f t="shared" si="14"/>
        <v>1</v>
      </c>
      <c r="BF30" s="29">
        <f t="shared" si="15"/>
        <v>0</v>
      </c>
      <c r="BG30" s="29">
        <f t="shared" si="16"/>
        <v>0</v>
      </c>
      <c r="BH30" s="29">
        <f t="array" ref="BH30">AVERAGE(AL30:AL34/AQ30:AQ34) - AVERAGE(N30:N34/S30:S34)</f>
        <v>0</v>
      </c>
      <c r="BJ30" s="28">
        <f>IF( OR(ISBLANK(N30:N34),ISBLANK(AL30:AL34), ISBLANK(W30:W34),ISBLANK(AU30:AU34)), "·", bdRateExtend( N30:N34,W30:W34, AL30:AL34,AU30:AU34))</f>
        <v>0</v>
      </c>
      <c r="BK30" s="28">
        <f>IF( OR(ISBLANK(N30:N34),ISBLANK(AL30:AL34), ISBLANK(X30:X34),ISBLANK(AV30:AV34)), "·", bdRateExtend( N30:N34,X30:X34, AL30:AL34,AV30:AV34))</f>
        <v>-1.2878587085651816E-14</v>
      </c>
      <c r="BL30" s="28">
        <f>IF( OR(ISBLANK(V30:V34),ISBLANK(AT30:AT34), ISBLANK(Y30:Y34),ISBLANK(AW30:AW34)), "·", bdRateExtend( V30:V34,Y30:Y34, AT30:AT34,AW30:AW34))</f>
        <v>0</v>
      </c>
      <c r="BM30" s="28">
        <f>IF( OR(ISBLANK(V30:V34),ISBLANK(AT30:AT34), ISBLANK(Z30:Z34),ISBLANK(AX30:AX34)), "·", bdRateExtend( V30:V34,Z30:Z34, AT30:AT34,AX30:AX34))</f>
        <v>-9.7699626167013776E-15</v>
      </c>
      <c r="BN30" s="28">
        <f>IF( OR(ISBLANK(V30:V34),ISBLANK(AT30:AT34), ISBLANK(AA30:AA34),ISBLANK(AY30:AY34)), "·", bdRateExtend( V30:V34,AA30:AA34, AT30:AT34,AY30:AY34))</f>
        <v>-9.1038288019262836E-15</v>
      </c>
      <c r="BP30" s="28">
        <f>IF( OR(ISBLANK(S30:S34),ISBLANK(AQ30:AQ34), ISBLANK(W30:W34),ISBLANK(AU30:AU34)), "·", bdRateExtend( S30:S34,W30:W34, AQ30:AQ34,AU30:AU34))</f>
        <v>0</v>
      </c>
      <c r="BQ30" s="28">
        <f>IF( OR(ISBLANK(S30:S34),ISBLANK(AQ30:AQ34), ISBLANK(X30:X34),ISBLANK(AV30:AV34)), "·", bdRateExtend( S30:S34,X30:X34, AQ30:AQ34,AV30:AV34))</f>
        <v>-1.2878587085651816E-14</v>
      </c>
      <c r="BR30" s="28">
        <f>IF( OR(ISBLANK(S30:S34),ISBLANK(AQ30:AQ34), ISBLANK(Y30:Y34),ISBLANK(AW30:AW34)), "·", bdRateExtend( S30:S34,Y30:Y34, AQ30:AQ34,AW30:AW34))</f>
        <v>0</v>
      </c>
      <c r="BS30" s="28">
        <f>IF( OR(ISBLANK(S30:S34),ISBLANK(AQ30:AQ34), ISBLANK(Z30:Z34),ISBLANK(AX30:AX34)), "·", bdRateExtend( S30:S34,Z30:Z34, AQ30:AQ34,AX30:AX34))</f>
        <v>-6.4392935428259079E-15</v>
      </c>
      <c r="BT30" s="28">
        <f>IF( OR(ISBLANK(S30:S34),ISBLANK(AQ30:AQ34), ISBLANK(AA30:AA34),ISBLANK(AY30:AY34)), "·", bdRateExtend( S30:S34,AA30:AA34, AQ30:AQ34,AY30:AY34))</f>
        <v>-1.5099033134902129E-14</v>
      </c>
      <c r="BV30">
        <f t="shared" si="17"/>
        <v>0</v>
      </c>
      <c r="BW30">
        <f t="shared" si="18"/>
        <v>0</v>
      </c>
      <c r="BX30">
        <f t="shared" si="19"/>
        <v>0</v>
      </c>
      <c r="BY30">
        <f t="shared" si="20"/>
        <v>0</v>
      </c>
      <c r="BZ30">
        <f t="shared" si="21"/>
        <v>0</v>
      </c>
      <c r="CA30">
        <f t="shared" si="22"/>
        <v>0</v>
      </c>
      <c r="CB30">
        <f t="shared" si="23"/>
        <v>0</v>
      </c>
      <c r="CC30">
        <f t="shared" si="24"/>
        <v>0</v>
      </c>
      <c r="CD30">
        <f t="shared" si="25"/>
        <v>0</v>
      </c>
      <c r="CE30">
        <f t="shared" si="26"/>
        <v>0</v>
      </c>
      <c r="CF30">
        <f t="shared" si="27"/>
        <v>0</v>
      </c>
      <c r="CG30">
        <f t="shared" si="28"/>
        <v>9.9475983006414026E-14</v>
      </c>
      <c r="CJ30" t="s">
        <v>247</v>
      </c>
    </row>
    <row r="31" spans="1:88" outlineLevel="1" x14ac:dyDescent="0.3">
      <c r="A31" s="10"/>
      <c r="B31" s="10" t="s">
        <v>75</v>
      </c>
      <c r="C31" s="11" t="s">
        <v>238</v>
      </c>
      <c r="D31" s="10">
        <v>28802925</v>
      </c>
      <c r="E31" s="11">
        <v>11</v>
      </c>
      <c r="F31" s="11">
        <v>10</v>
      </c>
      <c r="G31" s="11">
        <v>30</v>
      </c>
      <c r="I31" s="12">
        <f t="shared" si="0"/>
        <v>7.9816560000000001</v>
      </c>
      <c r="J31" s="13">
        <f t="shared" si="1"/>
        <v>9.2370896358616353E-2</v>
      </c>
      <c r="K31" s="13">
        <f t="shared" si="2"/>
        <v>4.837175391041014E-2</v>
      </c>
      <c r="L31" s="13">
        <f t="shared" si="3"/>
        <v>3.348437702073661E-2</v>
      </c>
      <c r="M31" s="13">
        <f t="shared" si="4"/>
        <v>4.3999142448206213E-2</v>
      </c>
      <c r="N31" s="10">
        <f t="shared" si="5"/>
        <v>1393248</v>
      </c>
      <c r="O31" s="13">
        <f t="shared" si="6"/>
        <v>9.5377044382493295E-2</v>
      </c>
      <c r="P31" s="14">
        <v>27895098</v>
      </c>
      <c r="Q31" s="14">
        <v>2789509.8</v>
      </c>
      <c r="R31" s="14">
        <v>41019.800000000003</v>
      </c>
      <c r="S31" s="15">
        <v>2660552</v>
      </c>
      <c r="T31" s="15">
        <v>964448</v>
      </c>
      <c r="U31" s="15">
        <v>428800</v>
      </c>
      <c r="V31" s="15">
        <v>1267304</v>
      </c>
      <c r="W31" s="16">
        <v>75.185659999999999</v>
      </c>
      <c r="X31" s="16">
        <v>77.550949999999901</v>
      </c>
      <c r="Y31" s="16">
        <v>36.475119999999997</v>
      </c>
      <c r="Z31" s="16">
        <v>42.379350000000002</v>
      </c>
      <c r="AA31" s="16">
        <v>44.770299999999999</v>
      </c>
      <c r="AB31" s="17">
        <v>913.13699999999994</v>
      </c>
      <c r="AC31" s="17">
        <v>1371.04</v>
      </c>
      <c r="AD31" s="17">
        <v>8.8170000000000002</v>
      </c>
      <c r="AE31" s="17">
        <v>23.457999999999998</v>
      </c>
      <c r="AG31" s="12">
        <f t="shared" si="7"/>
        <v>7.9816560000000001</v>
      </c>
      <c r="AH31" s="13">
        <f t="shared" si="8"/>
        <v>9.2370896358616353E-2</v>
      </c>
      <c r="AI31" s="13">
        <f t="shared" si="9"/>
        <v>4.837175391041014E-2</v>
      </c>
      <c r="AJ31" s="13">
        <f t="shared" si="10"/>
        <v>3.348437702073661E-2</v>
      </c>
      <c r="AK31" s="13">
        <f t="shared" si="11"/>
        <v>4.3999142448206213E-2</v>
      </c>
      <c r="AL31" s="10">
        <f t="shared" si="12"/>
        <v>1393248</v>
      </c>
      <c r="AM31" s="13">
        <f t="shared" si="13"/>
        <v>9.5377044382493295E-2</v>
      </c>
      <c r="AN31" s="14">
        <v>27895098</v>
      </c>
      <c r="AO31" s="14">
        <v>2789509.8</v>
      </c>
      <c r="AP31" s="14">
        <v>41019.800000000003</v>
      </c>
      <c r="AQ31" s="15">
        <v>2660552</v>
      </c>
      <c r="AR31" s="15">
        <v>964448</v>
      </c>
      <c r="AS31" s="15">
        <v>428800</v>
      </c>
      <c r="AT31" s="15">
        <v>1267304</v>
      </c>
      <c r="AU31" s="16">
        <v>75.185659999999999</v>
      </c>
      <c r="AV31" s="16">
        <v>77.55095</v>
      </c>
      <c r="AW31" s="16">
        <v>36.475119999999997</v>
      </c>
      <c r="AX31" s="16">
        <v>42.379350000000002</v>
      </c>
      <c r="AY31" s="16">
        <v>44.770299999999999</v>
      </c>
      <c r="AZ31" s="17">
        <v>1437.98</v>
      </c>
      <c r="BA31" s="17">
        <v>2313.4299999999998</v>
      </c>
      <c r="BB31" s="17">
        <v>14.007</v>
      </c>
      <c r="BC31" s="17">
        <v>34.433</v>
      </c>
      <c r="BE31" s="18">
        <f t="shared" si="14"/>
        <v>1</v>
      </c>
      <c r="BF31" s="19">
        <f t="shared" si="15"/>
        <v>0</v>
      </c>
      <c r="BG31" s="19">
        <f t="shared" si="16"/>
        <v>0</v>
      </c>
      <c r="BH31" s="19"/>
      <c r="BJ31" s="18"/>
      <c r="BK31" s="18"/>
      <c r="BL31" s="18"/>
      <c r="BM31" s="18"/>
      <c r="BN31" s="18"/>
      <c r="BP31" s="18"/>
      <c r="BQ31" s="18"/>
      <c r="BR31" s="18"/>
      <c r="BS31" s="18"/>
      <c r="BT31" s="18"/>
      <c r="BV31">
        <f t="shared" si="17"/>
        <v>0</v>
      </c>
      <c r="BW31">
        <f t="shared" si="18"/>
        <v>0</v>
      </c>
      <c r="BX31">
        <f t="shared" si="19"/>
        <v>0</v>
      </c>
      <c r="BY31">
        <f t="shared" si="20"/>
        <v>0</v>
      </c>
      <c r="BZ31">
        <f t="shared" si="21"/>
        <v>0</v>
      </c>
      <c r="CA31">
        <f t="shared" si="22"/>
        <v>0</v>
      </c>
      <c r="CB31">
        <f t="shared" si="23"/>
        <v>0</v>
      </c>
      <c r="CC31">
        <f t="shared" si="24"/>
        <v>0</v>
      </c>
      <c r="CD31">
        <f t="shared" si="25"/>
        <v>0</v>
      </c>
      <c r="CE31">
        <f t="shared" si="26"/>
        <v>0</v>
      </c>
      <c r="CF31">
        <f t="shared" si="27"/>
        <v>0</v>
      </c>
      <c r="CG31">
        <f t="shared" si="28"/>
        <v>0</v>
      </c>
      <c r="CJ31" t="s">
        <v>247</v>
      </c>
    </row>
    <row r="32" spans="1:88" outlineLevel="1" x14ac:dyDescent="0.3">
      <c r="A32" s="20"/>
      <c r="B32" s="20" t="s">
        <v>75</v>
      </c>
      <c r="C32" s="21" t="s">
        <v>239</v>
      </c>
      <c r="D32" s="20">
        <v>28802925</v>
      </c>
      <c r="E32" s="21">
        <v>11</v>
      </c>
      <c r="F32" s="21">
        <v>10</v>
      </c>
      <c r="G32" s="21">
        <v>30</v>
      </c>
      <c r="I32" s="22">
        <f t="shared" si="0"/>
        <v>12.471264</v>
      </c>
      <c r="J32" s="23">
        <f t="shared" si="1"/>
        <v>0.14432867495228349</v>
      </c>
      <c r="K32" s="23">
        <f t="shared" si="2"/>
        <v>6.1580967905169356E-2</v>
      </c>
      <c r="L32" s="23">
        <f t="shared" si="3"/>
        <v>4.6693591015495819E-2</v>
      </c>
      <c r="M32" s="23">
        <f t="shared" si="4"/>
        <v>8.2747707047114136E-2</v>
      </c>
      <c r="N32" s="20">
        <f t="shared" si="5"/>
        <v>1773712</v>
      </c>
      <c r="O32" s="23">
        <f t="shared" si="6"/>
        <v>0.14599855648168417</v>
      </c>
      <c r="P32" s="24">
        <v>28473487</v>
      </c>
      <c r="Q32" s="24">
        <v>2847348.7</v>
      </c>
      <c r="R32" s="24">
        <v>44272.3</v>
      </c>
      <c r="S32" s="25">
        <v>4157088</v>
      </c>
      <c r="T32" s="25">
        <v>1344912</v>
      </c>
      <c r="U32" s="25">
        <v>428800</v>
      </c>
      <c r="V32" s="25">
        <v>2383376</v>
      </c>
      <c r="W32" s="26">
        <v>76.464470000000006</v>
      </c>
      <c r="X32" s="26">
        <v>79.091260000000005</v>
      </c>
      <c r="Y32" s="26">
        <v>38.191229999999997</v>
      </c>
      <c r="Z32" s="26">
        <v>42.880589999999998</v>
      </c>
      <c r="AA32" s="26">
        <v>46.010239999999897</v>
      </c>
      <c r="AB32" s="27">
        <v>912.65499999999997</v>
      </c>
      <c r="AC32" s="27">
        <v>1462.78</v>
      </c>
      <c r="AD32" s="27">
        <v>8.7550000000000008</v>
      </c>
      <c r="AE32" s="27">
        <v>23.082000000000001</v>
      </c>
      <c r="AG32" s="22">
        <f t="shared" si="7"/>
        <v>12.471264</v>
      </c>
      <c r="AH32" s="23">
        <f t="shared" si="8"/>
        <v>0.14432867495228349</v>
      </c>
      <c r="AI32" s="23">
        <f t="shared" si="9"/>
        <v>6.1580967905169356E-2</v>
      </c>
      <c r="AJ32" s="23">
        <f t="shared" si="10"/>
        <v>4.6693591015495819E-2</v>
      </c>
      <c r="AK32" s="23">
        <f t="shared" si="11"/>
        <v>8.2747707047114136E-2</v>
      </c>
      <c r="AL32" s="20">
        <f t="shared" si="12"/>
        <v>1773712</v>
      </c>
      <c r="AM32" s="23">
        <f t="shared" si="13"/>
        <v>0.14599855648168417</v>
      </c>
      <c r="AN32" s="24">
        <v>28473487</v>
      </c>
      <c r="AO32" s="24">
        <v>2847348.7</v>
      </c>
      <c r="AP32" s="24">
        <v>44272.3</v>
      </c>
      <c r="AQ32" s="25">
        <v>4157088</v>
      </c>
      <c r="AR32" s="25">
        <v>1344912</v>
      </c>
      <c r="AS32" s="25">
        <v>428800</v>
      </c>
      <c r="AT32" s="25">
        <v>2383376</v>
      </c>
      <c r="AU32" s="26">
        <v>76.464470000000006</v>
      </c>
      <c r="AV32" s="26">
        <v>79.091260000000005</v>
      </c>
      <c r="AW32" s="26">
        <v>38.191229999999997</v>
      </c>
      <c r="AX32" s="26">
        <v>42.880589999999998</v>
      </c>
      <c r="AY32" s="26">
        <v>46.010240000000003</v>
      </c>
      <c r="AZ32" s="27">
        <v>1388.6</v>
      </c>
      <c r="BA32" s="27">
        <v>2334.59</v>
      </c>
      <c r="BB32" s="27">
        <v>14.64</v>
      </c>
      <c r="BC32" s="27">
        <v>37.344000000000001</v>
      </c>
      <c r="BE32" s="28">
        <f t="shared" si="14"/>
        <v>1</v>
      </c>
      <c r="BF32" s="29">
        <f t="shared" si="15"/>
        <v>0</v>
      </c>
      <c r="BG32" s="29">
        <f t="shared" si="16"/>
        <v>0</v>
      </c>
      <c r="BH32" s="29"/>
      <c r="BJ32" s="28"/>
      <c r="BK32" s="28"/>
      <c r="BL32" s="28"/>
      <c r="BM32" s="28"/>
      <c r="BN32" s="28"/>
      <c r="BP32" s="28"/>
      <c r="BQ32" s="28"/>
      <c r="BR32" s="28"/>
      <c r="BS32" s="28"/>
      <c r="BT32" s="28"/>
      <c r="BV32">
        <f t="shared" si="17"/>
        <v>0</v>
      </c>
      <c r="BW32">
        <f t="shared" si="18"/>
        <v>0</v>
      </c>
      <c r="BX32">
        <f t="shared" si="19"/>
        <v>0</v>
      </c>
      <c r="BY32">
        <f t="shared" si="20"/>
        <v>0</v>
      </c>
      <c r="BZ32">
        <f t="shared" si="21"/>
        <v>0</v>
      </c>
      <c r="CA32">
        <f t="shared" si="22"/>
        <v>0</v>
      </c>
      <c r="CB32">
        <f t="shared" si="23"/>
        <v>0</v>
      </c>
      <c r="CC32">
        <f t="shared" si="24"/>
        <v>0</v>
      </c>
      <c r="CD32">
        <f t="shared" si="25"/>
        <v>0</v>
      </c>
      <c r="CE32">
        <f t="shared" si="26"/>
        <v>0</v>
      </c>
      <c r="CF32">
        <f t="shared" si="27"/>
        <v>0</v>
      </c>
      <c r="CG32">
        <f t="shared" si="28"/>
        <v>1.0658141036401503E-13</v>
      </c>
      <c r="CJ32" t="s">
        <v>247</v>
      </c>
    </row>
    <row r="33" spans="1:88" outlineLevel="1" x14ac:dyDescent="0.3">
      <c r="A33" s="10"/>
      <c r="B33" s="10" t="s">
        <v>75</v>
      </c>
      <c r="C33" s="11" t="s">
        <v>240</v>
      </c>
      <c r="D33" s="10">
        <v>28802925</v>
      </c>
      <c r="E33" s="11">
        <v>11</v>
      </c>
      <c r="F33" s="11">
        <v>10</v>
      </c>
      <c r="G33" s="11">
        <v>30</v>
      </c>
      <c r="I33" s="12">
        <f t="shared" si="0"/>
        <v>21.230640000000001</v>
      </c>
      <c r="J33" s="13">
        <f t="shared" si="1"/>
        <v>0.24570004608906909</v>
      </c>
      <c r="K33" s="13">
        <f t="shared" si="2"/>
        <v>8.3529294333822002E-2</v>
      </c>
      <c r="L33" s="13">
        <f t="shared" si="3"/>
        <v>6.8641917444148465E-2</v>
      </c>
      <c r="M33" s="13">
        <f t="shared" si="4"/>
        <v>0.16217075175524709</v>
      </c>
      <c r="N33" s="10">
        <f t="shared" si="5"/>
        <v>2405888</v>
      </c>
      <c r="O33" s="13">
        <f t="shared" si="6"/>
        <v>0.24246103666955601</v>
      </c>
      <c r="P33" s="14">
        <v>29187700</v>
      </c>
      <c r="Q33" s="14">
        <v>2918770</v>
      </c>
      <c r="R33" s="14">
        <v>49192.3</v>
      </c>
      <c r="S33" s="15">
        <v>7076880</v>
      </c>
      <c r="T33" s="15">
        <v>1977088</v>
      </c>
      <c r="U33" s="15">
        <v>428800</v>
      </c>
      <c r="V33" s="15">
        <v>4670992</v>
      </c>
      <c r="W33" s="16">
        <v>77.600809999999996</v>
      </c>
      <c r="X33" s="16">
        <v>80.309699999999907</v>
      </c>
      <c r="Y33" s="16">
        <v>39.806350000000002</v>
      </c>
      <c r="Z33" s="16">
        <v>43.573549999999997</v>
      </c>
      <c r="AA33" s="16">
        <v>47.683259999999997</v>
      </c>
      <c r="AB33" s="17">
        <v>916.52700000000004</v>
      </c>
      <c r="AC33" s="17">
        <v>1518.64</v>
      </c>
      <c r="AD33" s="17">
        <v>8.7089999999999996</v>
      </c>
      <c r="AE33" s="17">
        <v>23.622</v>
      </c>
      <c r="AG33" s="12">
        <f t="shared" si="7"/>
        <v>21.230640000000001</v>
      </c>
      <c r="AH33" s="13">
        <f t="shared" si="8"/>
        <v>0.24570004608906909</v>
      </c>
      <c r="AI33" s="13">
        <f t="shared" si="9"/>
        <v>8.3529294333822002E-2</v>
      </c>
      <c r="AJ33" s="13">
        <f t="shared" si="10"/>
        <v>6.8641917444148465E-2</v>
      </c>
      <c r="AK33" s="13">
        <f t="shared" si="11"/>
        <v>0.16217075175524709</v>
      </c>
      <c r="AL33" s="10">
        <f t="shared" si="12"/>
        <v>2405888</v>
      </c>
      <c r="AM33" s="13">
        <f t="shared" si="13"/>
        <v>0.24246103666955601</v>
      </c>
      <c r="AN33" s="14">
        <v>29187700</v>
      </c>
      <c r="AO33" s="14">
        <v>2918770</v>
      </c>
      <c r="AP33" s="14">
        <v>49192.3</v>
      </c>
      <c r="AQ33" s="15">
        <v>7076880</v>
      </c>
      <c r="AR33" s="15">
        <v>1977088</v>
      </c>
      <c r="AS33" s="15">
        <v>428800</v>
      </c>
      <c r="AT33" s="15">
        <v>4670992</v>
      </c>
      <c r="AU33" s="16">
        <v>77.600809999999996</v>
      </c>
      <c r="AV33" s="16">
        <v>80.309700000000007</v>
      </c>
      <c r="AW33" s="16">
        <v>39.806350000000002</v>
      </c>
      <c r="AX33" s="16">
        <v>43.573549999999997</v>
      </c>
      <c r="AY33" s="16">
        <v>47.683259999999997</v>
      </c>
      <c r="AZ33" s="17">
        <v>1339.55</v>
      </c>
      <c r="BA33" s="17">
        <v>2547.4</v>
      </c>
      <c r="BB33" s="17">
        <v>12.087</v>
      </c>
      <c r="BC33" s="17">
        <v>36.258000000000003</v>
      </c>
      <c r="BE33" s="18">
        <f t="shared" si="14"/>
        <v>1</v>
      </c>
      <c r="BF33" s="19">
        <f t="shared" si="15"/>
        <v>0</v>
      </c>
      <c r="BG33" s="19">
        <f t="shared" si="16"/>
        <v>0</v>
      </c>
      <c r="BH33" s="19"/>
      <c r="BJ33" s="18"/>
      <c r="BK33" s="18"/>
      <c r="BL33" s="18"/>
      <c r="BM33" s="18"/>
      <c r="BN33" s="18"/>
      <c r="BP33" s="18"/>
      <c r="BQ33" s="18"/>
      <c r="BR33" s="18"/>
      <c r="BS33" s="18"/>
      <c r="BT33" s="18"/>
      <c r="BV33">
        <f t="shared" si="17"/>
        <v>0</v>
      </c>
      <c r="BW33">
        <f t="shared" si="18"/>
        <v>0</v>
      </c>
      <c r="BX33">
        <f t="shared" si="19"/>
        <v>0</v>
      </c>
      <c r="BY33">
        <f t="shared" si="20"/>
        <v>0</v>
      </c>
      <c r="BZ33">
        <f t="shared" si="21"/>
        <v>0</v>
      </c>
      <c r="CA33">
        <f t="shared" si="22"/>
        <v>0</v>
      </c>
      <c r="CB33">
        <f t="shared" si="23"/>
        <v>0</v>
      </c>
      <c r="CC33">
        <f t="shared" si="24"/>
        <v>0</v>
      </c>
      <c r="CD33">
        <f t="shared" si="25"/>
        <v>0</v>
      </c>
      <c r="CE33">
        <f t="shared" si="26"/>
        <v>0</v>
      </c>
      <c r="CF33">
        <f t="shared" si="27"/>
        <v>0</v>
      </c>
      <c r="CG33">
        <f t="shared" si="28"/>
        <v>0</v>
      </c>
      <c r="CJ33" t="s">
        <v>247</v>
      </c>
    </row>
    <row r="34" spans="1:88" ht="15.75" customHeight="1" outlineLevel="1" thickBot="1" x14ac:dyDescent="0.35">
      <c r="A34" s="20"/>
      <c r="B34" s="40" t="s">
        <v>75</v>
      </c>
      <c r="C34" s="41" t="s">
        <v>241</v>
      </c>
      <c r="D34" s="40">
        <v>28802925</v>
      </c>
      <c r="E34" s="41">
        <v>11</v>
      </c>
      <c r="F34" s="41">
        <v>10</v>
      </c>
      <c r="G34" s="41">
        <v>30</v>
      </c>
      <c r="I34" s="42">
        <f t="shared" si="0"/>
        <v>40.483271999999999</v>
      </c>
      <c r="J34" s="43">
        <f t="shared" si="1"/>
        <v>0.46850880596328326</v>
      </c>
      <c r="K34" s="43">
        <f t="shared" si="2"/>
        <v>0.13354032619950926</v>
      </c>
      <c r="L34" s="43">
        <f t="shared" si="3"/>
        <v>0.10411831437258542</v>
      </c>
      <c r="M34" s="43">
        <f t="shared" si="4"/>
        <v>0.33496847976377397</v>
      </c>
      <c r="N34" s="40">
        <f t="shared" si="5"/>
        <v>3846352</v>
      </c>
      <c r="O34" s="43">
        <f t="shared" si="6"/>
        <v>0.47213963362079975</v>
      </c>
      <c r="P34" s="44">
        <v>28581426</v>
      </c>
      <c r="Q34" s="44">
        <v>2858142.6</v>
      </c>
      <c r="R34" s="44">
        <v>21414.1</v>
      </c>
      <c r="S34" s="45">
        <v>13494424</v>
      </c>
      <c r="T34" s="45">
        <v>2998912</v>
      </c>
      <c r="U34" s="45">
        <v>847440</v>
      </c>
      <c r="V34" s="45">
        <v>9648072</v>
      </c>
      <c r="W34" s="46">
        <v>78.559209999999993</v>
      </c>
      <c r="X34" s="46">
        <v>81.999889999999994</v>
      </c>
      <c r="Y34" s="46">
        <v>41.33052</v>
      </c>
      <c r="Z34" s="46">
        <v>44.3655299999999</v>
      </c>
      <c r="AA34" s="46">
        <v>49.117759999999997</v>
      </c>
      <c r="AB34" s="47">
        <v>901.39700000000005</v>
      </c>
      <c r="AC34" s="47">
        <v>1676.04</v>
      </c>
      <c r="AD34" s="47">
        <v>8.4540000000000006</v>
      </c>
      <c r="AE34" s="47">
        <v>24.353999999999999</v>
      </c>
      <c r="AG34" s="42">
        <f t="shared" si="7"/>
        <v>40.483271999999999</v>
      </c>
      <c r="AH34" s="43">
        <f t="shared" si="8"/>
        <v>0.46850880596328326</v>
      </c>
      <c r="AI34" s="43">
        <f t="shared" si="9"/>
        <v>0.13354032619950926</v>
      </c>
      <c r="AJ34" s="43">
        <f t="shared" si="10"/>
        <v>0.10411831437258542</v>
      </c>
      <c r="AK34" s="43">
        <f t="shared" si="11"/>
        <v>0.33496847976377397</v>
      </c>
      <c r="AL34" s="40">
        <f t="shared" si="12"/>
        <v>3846352</v>
      </c>
      <c r="AM34" s="43">
        <f t="shared" si="13"/>
        <v>0.47213963362079975</v>
      </c>
      <c r="AN34" s="44">
        <v>28581426</v>
      </c>
      <c r="AO34" s="44">
        <v>2858142.6</v>
      </c>
      <c r="AP34" s="44">
        <v>21414.1</v>
      </c>
      <c r="AQ34" s="45">
        <v>13494424</v>
      </c>
      <c r="AR34" s="45">
        <v>2998912</v>
      </c>
      <c r="AS34" s="45">
        <v>847440</v>
      </c>
      <c r="AT34" s="45">
        <v>9648072</v>
      </c>
      <c r="AU34" s="46">
        <v>78.559209999999993</v>
      </c>
      <c r="AV34" s="46">
        <v>81.999889999999994</v>
      </c>
      <c r="AW34" s="46">
        <v>41.33052</v>
      </c>
      <c r="AX34" s="46">
        <v>44.36553</v>
      </c>
      <c r="AY34" s="46">
        <v>49.117759999999997</v>
      </c>
      <c r="AZ34" s="47">
        <v>1430.23</v>
      </c>
      <c r="BA34" s="47">
        <v>2726.36</v>
      </c>
      <c r="BB34" s="47">
        <v>13.746</v>
      </c>
      <c r="BC34" s="47">
        <v>37.844000000000001</v>
      </c>
      <c r="BE34" s="48">
        <f t="shared" si="14"/>
        <v>1</v>
      </c>
      <c r="BF34" s="49">
        <f t="shared" si="15"/>
        <v>0</v>
      </c>
      <c r="BG34" s="49">
        <f t="shared" si="16"/>
        <v>0</v>
      </c>
      <c r="BH34" s="49"/>
      <c r="BJ34" s="48"/>
      <c r="BK34" s="48"/>
      <c r="BL34" s="48"/>
      <c r="BM34" s="48"/>
      <c r="BN34" s="48"/>
      <c r="BP34" s="48"/>
      <c r="BQ34" s="48"/>
      <c r="BR34" s="48"/>
      <c r="BS34" s="48"/>
      <c r="BT34" s="48"/>
      <c r="BV34">
        <f t="shared" si="17"/>
        <v>0</v>
      </c>
      <c r="BW34">
        <f t="shared" si="18"/>
        <v>0</v>
      </c>
      <c r="BX34">
        <f t="shared" si="19"/>
        <v>0</v>
      </c>
      <c r="BY34">
        <f t="shared" si="20"/>
        <v>0</v>
      </c>
      <c r="BZ34">
        <f t="shared" si="21"/>
        <v>0</v>
      </c>
      <c r="CA34">
        <f t="shared" si="22"/>
        <v>0</v>
      </c>
      <c r="CB34">
        <f t="shared" si="23"/>
        <v>0</v>
      </c>
      <c r="CC34">
        <f t="shared" si="24"/>
        <v>0</v>
      </c>
      <c r="CD34">
        <f t="shared" si="25"/>
        <v>0</v>
      </c>
      <c r="CE34">
        <f t="shared" si="26"/>
        <v>0</v>
      </c>
      <c r="CF34">
        <f t="shared" si="27"/>
        <v>9.9475983006414026E-14</v>
      </c>
      <c r="CG34">
        <f t="shared" si="28"/>
        <v>0</v>
      </c>
      <c r="CJ34" t="s">
        <v>247</v>
      </c>
    </row>
    <row r="35" spans="1:88" x14ac:dyDescent="0.3">
      <c r="A35" s="10"/>
      <c r="B35" s="10" t="s">
        <v>80</v>
      </c>
      <c r="C35" s="11" t="s">
        <v>236</v>
      </c>
      <c r="D35" s="10">
        <v>25767032</v>
      </c>
      <c r="E35" s="11">
        <v>11</v>
      </c>
      <c r="F35" s="11">
        <v>10</v>
      </c>
      <c r="G35" s="11">
        <v>30</v>
      </c>
      <c r="I35" s="12">
        <f t="shared" si="0"/>
        <v>6.2075279999999999</v>
      </c>
      <c r="J35" s="13">
        <f t="shared" si="1"/>
        <v>8.030323399295658E-2</v>
      </c>
      <c r="K35" s="13">
        <f t="shared" si="2"/>
        <v>4.6831315302437629E-2</v>
      </c>
      <c r="L35" s="13">
        <f t="shared" si="3"/>
        <v>2.849066978300023E-2</v>
      </c>
      <c r="M35" s="13">
        <f t="shared" si="4"/>
        <v>3.3471918690518958E-2</v>
      </c>
      <c r="N35" s="10">
        <f t="shared" si="5"/>
        <v>1206704</v>
      </c>
      <c r="O35" s="13">
        <f t="shared" si="6"/>
        <v>8.9226114887674138E-2</v>
      </c>
      <c r="P35" s="14">
        <v>23190251</v>
      </c>
      <c r="Q35" s="14">
        <v>2319025.1</v>
      </c>
      <c r="R35" s="14">
        <v>29855.8</v>
      </c>
      <c r="S35" s="15">
        <v>2069176</v>
      </c>
      <c r="T35" s="15">
        <v>734120</v>
      </c>
      <c r="U35" s="15">
        <v>472584</v>
      </c>
      <c r="V35" s="15">
        <v>862472</v>
      </c>
      <c r="W35" s="16">
        <v>73.189830000000001</v>
      </c>
      <c r="X35" s="16">
        <v>75.415949999999995</v>
      </c>
      <c r="Y35" s="16">
        <v>33.984189999999998</v>
      </c>
      <c r="Z35" s="16">
        <v>42.538689999999903</v>
      </c>
      <c r="AA35" s="16">
        <v>43.988289999999999</v>
      </c>
      <c r="AB35" s="17">
        <v>827.21400000000006</v>
      </c>
      <c r="AC35" s="17">
        <v>1659.67</v>
      </c>
      <c r="AD35" s="17">
        <v>7.83</v>
      </c>
      <c r="AE35" s="17">
        <v>27.646999999999998</v>
      </c>
      <c r="AG35" s="12">
        <f t="shared" si="7"/>
        <v>6.2075279999999999</v>
      </c>
      <c r="AH35" s="13">
        <f t="shared" si="8"/>
        <v>8.030323399295658E-2</v>
      </c>
      <c r="AI35" s="13">
        <f t="shared" si="9"/>
        <v>4.6831315302437629E-2</v>
      </c>
      <c r="AJ35" s="13">
        <f t="shared" si="10"/>
        <v>2.849066978300023E-2</v>
      </c>
      <c r="AK35" s="13">
        <f t="shared" si="11"/>
        <v>3.3471918690518958E-2</v>
      </c>
      <c r="AL35" s="10">
        <f t="shared" si="12"/>
        <v>1206704</v>
      </c>
      <c r="AM35" s="13">
        <f t="shared" si="13"/>
        <v>8.9226114887674138E-2</v>
      </c>
      <c r="AN35" s="14">
        <v>23190251</v>
      </c>
      <c r="AO35" s="14">
        <v>2319025.1</v>
      </c>
      <c r="AP35" s="14">
        <v>29855.8</v>
      </c>
      <c r="AQ35" s="15">
        <v>2069176</v>
      </c>
      <c r="AR35" s="15">
        <v>734120</v>
      </c>
      <c r="AS35" s="15">
        <v>472584</v>
      </c>
      <c r="AT35" s="15">
        <v>862472</v>
      </c>
      <c r="AU35" s="16">
        <v>73.189830000000001</v>
      </c>
      <c r="AV35" s="16">
        <v>75.415949999999995</v>
      </c>
      <c r="AW35" s="16">
        <v>33.984189999999998</v>
      </c>
      <c r="AX35" s="16">
        <v>42.538690000000003</v>
      </c>
      <c r="AY35" s="16">
        <v>43.988289999999999</v>
      </c>
      <c r="AZ35" s="17">
        <v>1284.44</v>
      </c>
      <c r="BA35" s="17">
        <v>2738.87</v>
      </c>
      <c r="BB35" s="17">
        <v>12.817</v>
      </c>
      <c r="BC35" s="17">
        <v>41.944000000000003</v>
      </c>
      <c r="BE35" s="18">
        <f t="shared" si="14"/>
        <v>1</v>
      </c>
      <c r="BF35" s="19">
        <f t="shared" si="15"/>
        <v>0</v>
      </c>
      <c r="BG35" s="19">
        <f t="shared" si="16"/>
        <v>0</v>
      </c>
      <c r="BH35" s="19">
        <f t="array" ref="BH35">AVERAGE(AL35:AL39/AQ35:AQ39) - AVERAGE(N35:N39/S35:S39)</f>
        <v>0</v>
      </c>
      <c r="BJ35" s="18">
        <f>IF( OR(ISBLANK(N35:N39),ISBLANK(AL35:AL39), ISBLANK(W35:W39),ISBLANK(AU35:AU39)), "·", bdRateExtend( N35:N39,W35:W39, AL35:AL39,AU35:AU39))</f>
        <v>0</v>
      </c>
      <c r="BK35" s="18">
        <f>IF( OR(ISBLANK(N35:N39),ISBLANK(AL35:AL39), ISBLANK(X35:X39),ISBLANK(AV35:AV39)), "·", bdRateExtend( N35:N39,X35:X39, AL35:AL39,AV35:AV39))</f>
        <v>-5.1070259132757201E-15</v>
      </c>
      <c r="BL35" s="18">
        <f>IF( OR(ISBLANK(V35:V39),ISBLANK(AT35:AT39), ISBLANK(Y35:Y39),ISBLANK(AW35:AW39)), "·", bdRateExtend( V35:V39,Y35:Y39, AT35:AT39,AW35:AW39))</f>
        <v>-2.2426505097428162E-14</v>
      </c>
      <c r="BM35" s="18">
        <f>IF( OR(ISBLANK(V35:V39),ISBLANK(AT35:AT39), ISBLANK(Z35:Z39),ISBLANK(AX35:AX39)), "·", bdRateExtend( V35:V39,Z35:Z39, AT35:AT39,AX35:AX39))</f>
        <v>-3.5083047578154947E-14</v>
      </c>
      <c r="BN35" s="18">
        <f>IF( OR(ISBLANK(V35:V39),ISBLANK(AT35:AT39), ISBLANK(AA35:AA39),ISBLANK(AY35:AY39)), "·", bdRateExtend( V35:V39,AA35:AA39, AT35:AT39,AY35:AY39))</f>
        <v>-2.5313084961453569E-14</v>
      </c>
      <c r="BP35" s="18">
        <f>IF( OR(ISBLANK(S35:S39),ISBLANK(AQ35:AQ39), ISBLANK(W35:W39),ISBLANK(AU35:AU39)), "·", bdRateExtend( S35:S39,W35:W39, AQ35:AQ39,AU35:AU39))</f>
        <v>0</v>
      </c>
      <c r="BQ35" s="18">
        <f>IF( OR(ISBLANK(S35:S39),ISBLANK(AQ35:AQ39), ISBLANK(X35:X39),ISBLANK(AV35:AV39)), "·", bdRateExtend( S35:S39,X35:X39, AQ35:AQ39,AV35:AV39))</f>
        <v>-5.1070259132757201E-15</v>
      </c>
      <c r="BR35" s="18">
        <f>IF( OR(ISBLANK(S35:S39),ISBLANK(AQ35:AQ39), ISBLANK(Y35:Y39),ISBLANK(AW35:AW39)), "·", bdRateExtend( S35:S39,Y35:Y39, AQ35:AQ39,AW35:AW39))</f>
        <v>-1.7985612998927536E-14</v>
      </c>
      <c r="BS35" s="18">
        <f>IF( OR(ISBLANK(S35:S39),ISBLANK(AQ35:AQ39), ISBLANK(Z35:Z39),ISBLANK(AX35:AX39)), "·", bdRateExtend( S35:S39,Z35:Z39, AQ35:AQ39,AX35:AX39))</f>
        <v>-2.4202861936828413E-14</v>
      </c>
      <c r="BT35" s="18">
        <f>IF( OR(ISBLANK(S35:S39),ISBLANK(AQ35:AQ39), ISBLANK(AA35:AA39),ISBLANK(AY35:AY39)), "·", bdRateExtend( S35:S39,AA35:AA39, AQ35:AQ39,AY35:AY39))</f>
        <v>-2.2204460492503131E-14</v>
      </c>
      <c r="BV35">
        <f t="shared" si="17"/>
        <v>0</v>
      </c>
      <c r="BW35">
        <f t="shared" si="18"/>
        <v>0</v>
      </c>
      <c r="BX35">
        <f t="shared" si="19"/>
        <v>0</v>
      </c>
      <c r="BY35">
        <f t="shared" si="20"/>
        <v>0</v>
      </c>
      <c r="BZ35">
        <f t="shared" si="21"/>
        <v>0</v>
      </c>
      <c r="CA35">
        <f t="shared" si="22"/>
        <v>0</v>
      </c>
      <c r="CB35">
        <f t="shared" si="23"/>
        <v>0</v>
      </c>
      <c r="CC35">
        <f t="shared" si="24"/>
        <v>0</v>
      </c>
      <c r="CD35">
        <f t="shared" si="25"/>
        <v>0</v>
      </c>
      <c r="CE35">
        <f t="shared" si="26"/>
        <v>0</v>
      </c>
      <c r="CF35">
        <f t="shared" si="27"/>
        <v>9.9475983006414026E-14</v>
      </c>
      <c r="CG35">
        <f t="shared" si="28"/>
        <v>0</v>
      </c>
      <c r="CJ35" t="s">
        <v>248</v>
      </c>
    </row>
    <row r="36" spans="1:88" outlineLevel="1" x14ac:dyDescent="0.3">
      <c r="A36" s="20"/>
      <c r="B36" s="20" t="s">
        <v>80</v>
      </c>
      <c r="C36" s="21" t="s">
        <v>238</v>
      </c>
      <c r="D36" s="20">
        <v>25767032</v>
      </c>
      <c r="E36" s="21">
        <v>11</v>
      </c>
      <c r="F36" s="21">
        <v>10</v>
      </c>
      <c r="G36" s="21">
        <v>30</v>
      </c>
      <c r="I36" s="22">
        <f t="shared" si="0"/>
        <v>8.8259039999999995</v>
      </c>
      <c r="J36" s="23">
        <f t="shared" si="1"/>
        <v>0.1141756644692334</v>
      </c>
      <c r="K36" s="23">
        <f t="shared" si="2"/>
        <v>5.7209227667354159E-2</v>
      </c>
      <c r="L36" s="23">
        <f t="shared" si="3"/>
        <v>3.8868582147916761E-2</v>
      </c>
      <c r="M36" s="23">
        <f t="shared" si="4"/>
        <v>5.6966436801879239E-2</v>
      </c>
      <c r="N36" s="20">
        <f t="shared" si="5"/>
        <v>1474112</v>
      </c>
      <c r="O36" s="23">
        <f t="shared" si="6"/>
        <v>0.11850071203913064</v>
      </c>
      <c r="P36" s="24">
        <v>24826585</v>
      </c>
      <c r="Q36" s="24">
        <v>2482658.5</v>
      </c>
      <c r="R36" s="24">
        <v>37903.699999999997</v>
      </c>
      <c r="S36" s="25">
        <v>2941968</v>
      </c>
      <c r="T36" s="25">
        <v>1001528</v>
      </c>
      <c r="U36" s="25">
        <v>472584</v>
      </c>
      <c r="V36" s="25">
        <v>1467856</v>
      </c>
      <c r="W36" s="26">
        <v>74.947789999999998</v>
      </c>
      <c r="X36" s="26">
        <v>77.356079999999906</v>
      </c>
      <c r="Y36" s="26">
        <v>36.078819999999901</v>
      </c>
      <c r="Z36" s="26">
        <v>43.191719999999997</v>
      </c>
      <c r="AA36" s="26">
        <v>45.366129999999998</v>
      </c>
      <c r="AB36" s="27">
        <v>823.06200000000001</v>
      </c>
      <c r="AC36" s="27">
        <v>1726.05</v>
      </c>
      <c r="AD36" s="27">
        <v>7.9669999999999996</v>
      </c>
      <c r="AE36" s="27">
        <v>28.501999999999999</v>
      </c>
      <c r="AG36" s="22">
        <f t="shared" si="7"/>
        <v>8.8259039999999995</v>
      </c>
      <c r="AH36" s="23">
        <f t="shared" si="8"/>
        <v>0.1141756644692334</v>
      </c>
      <c r="AI36" s="23">
        <f t="shared" si="9"/>
        <v>5.7209227667354159E-2</v>
      </c>
      <c r="AJ36" s="23">
        <f t="shared" si="10"/>
        <v>3.8868582147916761E-2</v>
      </c>
      <c r="AK36" s="23">
        <f t="shared" si="11"/>
        <v>5.6966436801879239E-2</v>
      </c>
      <c r="AL36" s="20">
        <f t="shared" si="12"/>
        <v>1474112</v>
      </c>
      <c r="AM36" s="23">
        <f t="shared" si="13"/>
        <v>0.11850071203913064</v>
      </c>
      <c r="AN36" s="24">
        <v>24826585</v>
      </c>
      <c r="AO36" s="24">
        <v>2482658.5</v>
      </c>
      <c r="AP36" s="24">
        <v>37903.699999999997</v>
      </c>
      <c r="AQ36" s="25">
        <v>2941968</v>
      </c>
      <c r="AR36" s="25">
        <v>1001528</v>
      </c>
      <c r="AS36" s="25">
        <v>472584</v>
      </c>
      <c r="AT36" s="25">
        <v>1467856</v>
      </c>
      <c r="AU36" s="26">
        <v>74.947789999999998</v>
      </c>
      <c r="AV36" s="26">
        <v>77.356080000000006</v>
      </c>
      <c r="AW36" s="26">
        <v>36.07882</v>
      </c>
      <c r="AX36" s="26">
        <v>43.191719999999997</v>
      </c>
      <c r="AY36" s="26">
        <v>45.366129999999998</v>
      </c>
      <c r="AZ36" s="27">
        <v>1260.8699999999999</v>
      </c>
      <c r="BA36" s="27">
        <v>2948.15</v>
      </c>
      <c r="BB36" s="27">
        <v>13.161</v>
      </c>
      <c r="BC36" s="27">
        <v>43.265999999999998</v>
      </c>
      <c r="BE36" s="28">
        <f t="shared" si="14"/>
        <v>1</v>
      </c>
      <c r="BF36" s="29">
        <f t="shared" si="15"/>
        <v>0</v>
      </c>
      <c r="BG36" s="29">
        <f t="shared" si="16"/>
        <v>0</v>
      </c>
      <c r="BH36" s="29"/>
      <c r="BJ36" s="28"/>
      <c r="BK36" s="28"/>
      <c r="BL36" s="28"/>
      <c r="BM36" s="28"/>
      <c r="BN36" s="28"/>
      <c r="BP36" s="28"/>
      <c r="BQ36" s="28"/>
      <c r="BR36" s="28"/>
      <c r="BS36" s="28"/>
      <c r="BT36" s="28"/>
      <c r="BV36">
        <f t="shared" si="17"/>
        <v>0</v>
      </c>
      <c r="BW36">
        <f t="shared" si="18"/>
        <v>0</v>
      </c>
      <c r="BX36">
        <f t="shared" si="19"/>
        <v>0</v>
      </c>
      <c r="BY36">
        <f t="shared" si="20"/>
        <v>0</v>
      </c>
      <c r="BZ36">
        <f t="shared" si="21"/>
        <v>0</v>
      </c>
      <c r="CA36">
        <f t="shared" si="22"/>
        <v>0</v>
      </c>
      <c r="CB36">
        <f t="shared" si="23"/>
        <v>0</v>
      </c>
      <c r="CC36">
        <f t="shared" si="24"/>
        <v>0</v>
      </c>
      <c r="CD36">
        <f t="shared" si="25"/>
        <v>0</v>
      </c>
      <c r="CE36">
        <f t="shared" si="26"/>
        <v>9.9475983006414026E-14</v>
      </c>
      <c r="CF36">
        <f t="shared" si="27"/>
        <v>0</v>
      </c>
      <c r="CG36">
        <f t="shared" si="28"/>
        <v>0</v>
      </c>
      <c r="CJ36" t="s">
        <v>248</v>
      </c>
    </row>
    <row r="37" spans="1:88" outlineLevel="1" x14ac:dyDescent="0.3">
      <c r="A37" s="10"/>
      <c r="B37" s="10" t="s">
        <v>80</v>
      </c>
      <c r="C37" s="11" t="s">
        <v>239</v>
      </c>
      <c r="D37" s="10">
        <v>25767032</v>
      </c>
      <c r="E37" s="11">
        <v>11</v>
      </c>
      <c r="F37" s="11">
        <v>10</v>
      </c>
      <c r="G37" s="11">
        <v>30</v>
      </c>
      <c r="I37" s="12">
        <f t="shared" si="0"/>
        <v>13.440384</v>
      </c>
      <c r="J37" s="13">
        <f t="shared" si="1"/>
        <v>0.1738705490023065</v>
      </c>
      <c r="K37" s="13">
        <f t="shared" si="2"/>
        <v>7.2308521990425589E-2</v>
      </c>
      <c r="L37" s="13">
        <f t="shared" si="3"/>
        <v>5.3967876470988198E-2</v>
      </c>
      <c r="M37" s="13">
        <f t="shared" si="4"/>
        <v>0.10156202701188091</v>
      </c>
      <c r="N37" s="10">
        <f t="shared" si="5"/>
        <v>1863176</v>
      </c>
      <c r="O37" s="13">
        <f t="shared" si="6"/>
        <v>0.1768738588655627</v>
      </c>
      <c r="P37" s="14">
        <v>25329509</v>
      </c>
      <c r="Q37" s="14">
        <v>2532950.9</v>
      </c>
      <c r="R37" s="14">
        <v>41014.9</v>
      </c>
      <c r="S37" s="15">
        <v>4480128</v>
      </c>
      <c r="T37" s="15">
        <v>1390592</v>
      </c>
      <c r="U37" s="15">
        <v>472584</v>
      </c>
      <c r="V37" s="15">
        <v>2616952</v>
      </c>
      <c r="W37" s="16">
        <v>76.225449999999995</v>
      </c>
      <c r="X37" s="16">
        <v>78.926810000000003</v>
      </c>
      <c r="Y37" s="16">
        <v>37.914720000000003</v>
      </c>
      <c r="Z37" s="16">
        <v>43.772469999999998</v>
      </c>
      <c r="AA37" s="16">
        <v>46.567499999999903</v>
      </c>
      <c r="AB37" s="17">
        <v>825.07399999999996</v>
      </c>
      <c r="AC37" s="17">
        <v>1773.19</v>
      </c>
      <c r="AD37" s="17">
        <v>8.1969999999999992</v>
      </c>
      <c r="AE37" s="17">
        <v>28.556999999999999</v>
      </c>
      <c r="AG37" s="12">
        <f t="shared" si="7"/>
        <v>13.440384</v>
      </c>
      <c r="AH37" s="13">
        <f t="shared" si="8"/>
        <v>0.1738705490023065</v>
      </c>
      <c r="AI37" s="13">
        <f t="shared" si="9"/>
        <v>7.2308521990425589E-2</v>
      </c>
      <c r="AJ37" s="13">
        <f t="shared" si="10"/>
        <v>5.3967876470988198E-2</v>
      </c>
      <c r="AK37" s="13">
        <f t="shared" si="11"/>
        <v>0.10156202701188091</v>
      </c>
      <c r="AL37" s="10">
        <f t="shared" si="12"/>
        <v>1863176</v>
      </c>
      <c r="AM37" s="13">
        <f t="shared" si="13"/>
        <v>0.1768738588655627</v>
      </c>
      <c r="AN37" s="14">
        <v>25329509</v>
      </c>
      <c r="AO37" s="14">
        <v>2532950.9</v>
      </c>
      <c r="AP37" s="14">
        <v>41014.9</v>
      </c>
      <c r="AQ37" s="15">
        <v>4480128</v>
      </c>
      <c r="AR37" s="15">
        <v>1390592</v>
      </c>
      <c r="AS37" s="15">
        <v>472584</v>
      </c>
      <c r="AT37" s="15">
        <v>2616952</v>
      </c>
      <c r="AU37" s="16">
        <v>76.225449999999995</v>
      </c>
      <c r="AV37" s="16">
        <v>78.926810000000003</v>
      </c>
      <c r="AW37" s="16">
        <v>37.914720000000003</v>
      </c>
      <c r="AX37" s="16">
        <v>43.772469999999998</v>
      </c>
      <c r="AY37" s="16">
        <v>46.567500000000003</v>
      </c>
      <c r="AZ37" s="17">
        <v>1276.0899999999999</v>
      </c>
      <c r="BA37" s="17">
        <v>2938.45</v>
      </c>
      <c r="BB37" s="17">
        <v>13.481</v>
      </c>
      <c r="BC37" s="17">
        <v>43.100999999999999</v>
      </c>
      <c r="BE37" s="18">
        <f t="shared" si="14"/>
        <v>1</v>
      </c>
      <c r="BF37" s="19">
        <f t="shared" si="15"/>
        <v>0</v>
      </c>
      <c r="BG37" s="19">
        <f t="shared" si="16"/>
        <v>0</v>
      </c>
      <c r="BH37" s="19"/>
      <c r="BJ37" s="18"/>
      <c r="BK37" s="18"/>
      <c r="BL37" s="18"/>
      <c r="BM37" s="18"/>
      <c r="BN37" s="18"/>
      <c r="BP37" s="18"/>
      <c r="BQ37" s="18"/>
      <c r="BR37" s="18"/>
      <c r="BS37" s="18"/>
      <c r="BT37" s="18"/>
      <c r="BV37">
        <f t="shared" si="17"/>
        <v>0</v>
      </c>
      <c r="BW37">
        <f t="shared" si="18"/>
        <v>0</v>
      </c>
      <c r="BX37">
        <f t="shared" si="19"/>
        <v>0</v>
      </c>
      <c r="BY37">
        <f t="shared" si="20"/>
        <v>0</v>
      </c>
      <c r="BZ37">
        <f t="shared" si="21"/>
        <v>0</v>
      </c>
      <c r="CA37">
        <f t="shared" si="22"/>
        <v>0</v>
      </c>
      <c r="CB37">
        <f t="shared" si="23"/>
        <v>0</v>
      </c>
      <c r="CC37">
        <f t="shared" si="24"/>
        <v>0</v>
      </c>
      <c r="CD37">
        <f t="shared" si="25"/>
        <v>0</v>
      </c>
      <c r="CE37">
        <f t="shared" si="26"/>
        <v>0</v>
      </c>
      <c r="CF37">
        <f t="shared" si="27"/>
        <v>0</v>
      </c>
      <c r="CG37">
        <f t="shared" si="28"/>
        <v>9.9475983006414026E-14</v>
      </c>
      <c r="CJ37" t="s">
        <v>248</v>
      </c>
    </row>
    <row r="38" spans="1:88" outlineLevel="1" x14ac:dyDescent="0.3">
      <c r="A38" s="20"/>
      <c r="B38" s="20" t="s">
        <v>80</v>
      </c>
      <c r="C38" s="21" t="s">
        <v>240</v>
      </c>
      <c r="D38" s="20">
        <v>25767032</v>
      </c>
      <c r="E38" s="21">
        <v>11</v>
      </c>
      <c r="F38" s="21">
        <v>10</v>
      </c>
      <c r="G38" s="21">
        <v>30</v>
      </c>
      <c r="I38" s="22">
        <f t="shared" si="0"/>
        <v>22.636488</v>
      </c>
      <c r="J38" s="23">
        <f t="shared" si="1"/>
        <v>0.29283527881674537</v>
      </c>
      <c r="K38" s="23">
        <f t="shared" si="2"/>
        <v>9.7237120674201052E-2</v>
      </c>
      <c r="L38" s="23">
        <f t="shared" si="3"/>
        <v>7.8896475154763654E-2</v>
      </c>
      <c r="M38" s="23">
        <f t="shared" si="4"/>
        <v>0.19559815814254433</v>
      </c>
      <c r="N38" s="20">
        <f t="shared" si="5"/>
        <v>2505512</v>
      </c>
      <c r="O38" s="23">
        <f t="shared" si="6"/>
        <v>0.29059470137994331</v>
      </c>
      <c r="P38" s="24">
        <v>25965704</v>
      </c>
      <c r="Q38" s="24">
        <v>2596570.4</v>
      </c>
      <c r="R38" s="24">
        <v>46044</v>
      </c>
      <c r="S38" s="25">
        <v>7545496</v>
      </c>
      <c r="T38" s="25">
        <v>2032928</v>
      </c>
      <c r="U38" s="25">
        <v>472584</v>
      </c>
      <c r="V38" s="25">
        <v>5039984</v>
      </c>
      <c r="W38" s="26">
        <v>77.412570000000002</v>
      </c>
      <c r="X38" s="26">
        <v>80.153750000000002</v>
      </c>
      <c r="Y38" s="26">
        <v>39.692099999999897</v>
      </c>
      <c r="Z38" s="26">
        <v>44.5619399999999</v>
      </c>
      <c r="AA38" s="26">
        <v>47.848249999999901</v>
      </c>
      <c r="AB38" s="27">
        <v>847.16800000000001</v>
      </c>
      <c r="AC38" s="27">
        <v>1866.18</v>
      </c>
      <c r="AD38" s="27">
        <v>8.7140000000000004</v>
      </c>
      <c r="AE38" s="27">
        <v>30.638000000000002</v>
      </c>
      <c r="AG38" s="22">
        <f t="shared" si="7"/>
        <v>22.636488</v>
      </c>
      <c r="AH38" s="23">
        <f t="shared" si="8"/>
        <v>0.29283527881674537</v>
      </c>
      <c r="AI38" s="23">
        <f t="shared" si="9"/>
        <v>9.7237120674201052E-2</v>
      </c>
      <c r="AJ38" s="23">
        <f t="shared" si="10"/>
        <v>7.8896475154763654E-2</v>
      </c>
      <c r="AK38" s="23">
        <f t="shared" si="11"/>
        <v>0.19559815814254433</v>
      </c>
      <c r="AL38" s="20">
        <f t="shared" si="12"/>
        <v>2505512</v>
      </c>
      <c r="AM38" s="23">
        <f t="shared" si="13"/>
        <v>0.29059470137994331</v>
      </c>
      <c r="AN38" s="24">
        <v>25965704</v>
      </c>
      <c r="AO38" s="24">
        <v>2596570.4</v>
      </c>
      <c r="AP38" s="24">
        <v>46044</v>
      </c>
      <c r="AQ38" s="25">
        <v>7545496</v>
      </c>
      <c r="AR38" s="25">
        <v>2032928</v>
      </c>
      <c r="AS38" s="25">
        <v>472584</v>
      </c>
      <c r="AT38" s="25">
        <v>5039984</v>
      </c>
      <c r="AU38" s="26">
        <v>77.412570000000002</v>
      </c>
      <c r="AV38" s="26">
        <v>80.153750000000002</v>
      </c>
      <c r="AW38" s="26">
        <v>39.692100000000003</v>
      </c>
      <c r="AX38" s="26">
        <v>44.56194</v>
      </c>
      <c r="AY38" s="26">
        <v>47.84825</v>
      </c>
      <c r="AZ38" s="27">
        <v>1212.9000000000001</v>
      </c>
      <c r="BA38" s="27">
        <v>3166.54</v>
      </c>
      <c r="BB38" s="27">
        <v>14.061999999999999</v>
      </c>
      <c r="BC38" s="27">
        <v>45.637</v>
      </c>
      <c r="BE38" s="28">
        <f t="shared" si="14"/>
        <v>1</v>
      </c>
      <c r="BF38" s="29">
        <f t="shared" si="15"/>
        <v>0</v>
      </c>
      <c r="BG38" s="29">
        <f t="shared" si="16"/>
        <v>0</v>
      </c>
      <c r="BH38" s="29"/>
      <c r="BJ38" s="28"/>
      <c r="BK38" s="28"/>
      <c r="BL38" s="28"/>
      <c r="BM38" s="28"/>
      <c r="BN38" s="28"/>
      <c r="BP38" s="28"/>
      <c r="BQ38" s="28"/>
      <c r="BR38" s="28"/>
      <c r="BS38" s="28"/>
      <c r="BT38" s="28"/>
      <c r="BV38">
        <f t="shared" si="17"/>
        <v>0</v>
      </c>
      <c r="BW38">
        <f t="shared" si="18"/>
        <v>0</v>
      </c>
      <c r="BX38">
        <f t="shared" si="19"/>
        <v>0</v>
      </c>
      <c r="BY38">
        <f t="shared" si="20"/>
        <v>0</v>
      </c>
      <c r="BZ38">
        <f t="shared" si="21"/>
        <v>0</v>
      </c>
      <c r="CA38">
        <f t="shared" si="22"/>
        <v>0</v>
      </c>
      <c r="CB38">
        <f t="shared" si="23"/>
        <v>0</v>
      </c>
      <c r="CC38">
        <f t="shared" si="24"/>
        <v>0</v>
      </c>
      <c r="CD38">
        <f t="shared" si="25"/>
        <v>0</v>
      </c>
      <c r="CE38">
        <f t="shared" si="26"/>
        <v>1.0658141036401503E-13</v>
      </c>
      <c r="CF38">
        <f t="shared" si="27"/>
        <v>9.9475983006414026E-14</v>
      </c>
      <c r="CG38">
        <f t="shared" si="28"/>
        <v>9.9475983006414026E-14</v>
      </c>
      <c r="CJ38" t="s">
        <v>248</v>
      </c>
    </row>
    <row r="39" spans="1:88" ht="15.75" customHeight="1" outlineLevel="1" thickBot="1" x14ac:dyDescent="0.35">
      <c r="A39" s="30"/>
      <c r="B39" s="30" t="s">
        <v>80</v>
      </c>
      <c r="C39" s="31" t="s">
        <v>241</v>
      </c>
      <c r="D39" s="30">
        <v>25767032</v>
      </c>
      <c r="E39" s="31">
        <v>11</v>
      </c>
      <c r="F39" s="31">
        <v>10</v>
      </c>
      <c r="G39" s="31">
        <v>30</v>
      </c>
      <c r="I39" s="32">
        <f t="shared" si="0"/>
        <v>41.848151999999999</v>
      </c>
      <c r="J39" s="33">
        <f t="shared" si="1"/>
        <v>0.54136557132385288</v>
      </c>
      <c r="K39" s="33">
        <f t="shared" si="2"/>
        <v>0.15697733444814288</v>
      </c>
      <c r="L39" s="33">
        <f t="shared" si="3"/>
        <v>0.12001195946820728</v>
      </c>
      <c r="M39" s="33">
        <f t="shared" si="4"/>
        <v>0.38438823687571</v>
      </c>
      <c r="N39" s="30">
        <f t="shared" si="5"/>
        <v>4044840</v>
      </c>
      <c r="O39" s="33">
        <f t="shared" si="6"/>
        <v>0.54890175058990853</v>
      </c>
      <c r="P39" s="34">
        <v>25413262</v>
      </c>
      <c r="Q39" s="34">
        <v>2541326.2000000002</v>
      </c>
      <c r="R39" s="34">
        <v>18484.2</v>
      </c>
      <c r="S39" s="35">
        <v>13949384</v>
      </c>
      <c r="T39" s="35">
        <v>3092352</v>
      </c>
      <c r="U39" s="35">
        <v>952488</v>
      </c>
      <c r="V39" s="35">
        <v>9904544</v>
      </c>
      <c r="W39" s="36">
        <v>78.310299999999998</v>
      </c>
      <c r="X39" s="36">
        <v>81.886920000000003</v>
      </c>
      <c r="Y39" s="36">
        <v>41.296550000000003</v>
      </c>
      <c r="Z39" s="36">
        <v>45.570059999999998</v>
      </c>
      <c r="AA39" s="36">
        <v>49.147779999999997</v>
      </c>
      <c r="AB39" s="37">
        <v>828.37099999999998</v>
      </c>
      <c r="AC39" s="37">
        <v>2037.48</v>
      </c>
      <c r="AD39" s="37">
        <v>8.1300000000000008</v>
      </c>
      <c r="AE39" s="37">
        <v>30.614999999999998</v>
      </c>
      <c r="AG39" s="32">
        <f t="shared" si="7"/>
        <v>41.848151999999999</v>
      </c>
      <c r="AH39" s="33">
        <f t="shared" si="8"/>
        <v>0.54136557132385288</v>
      </c>
      <c r="AI39" s="33">
        <f t="shared" si="9"/>
        <v>0.15697733444814288</v>
      </c>
      <c r="AJ39" s="33">
        <f t="shared" si="10"/>
        <v>0.12001195946820728</v>
      </c>
      <c r="AK39" s="33">
        <f t="shared" si="11"/>
        <v>0.38438823687571</v>
      </c>
      <c r="AL39" s="30">
        <f t="shared" si="12"/>
        <v>4044840</v>
      </c>
      <c r="AM39" s="33">
        <f t="shared" si="13"/>
        <v>0.54890175058990853</v>
      </c>
      <c r="AN39" s="34">
        <v>25413262</v>
      </c>
      <c r="AO39" s="34">
        <v>2541326.2000000002</v>
      </c>
      <c r="AP39" s="34">
        <v>18484.2</v>
      </c>
      <c r="AQ39" s="35">
        <v>13949384</v>
      </c>
      <c r="AR39" s="35">
        <v>3092352</v>
      </c>
      <c r="AS39" s="35">
        <v>952488</v>
      </c>
      <c r="AT39" s="35">
        <v>9904544</v>
      </c>
      <c r="AU39" s="36">
        <v>78.310299999999998</v>
      </c>
      <c r="AV39" s="36">
        <v>81.886920000000003</v>
      </c>
      <c r="AW39" s="36">
        <v>41.296550000000003</v>
      </c>
      <c r="AX39" s="36">
        <v>45.570059999999998</v>
      </c>
      <c r="AY39" s="36">
        <v>49.147779999999997</v>
      </c>
      <c r="AZ39" s="37">
        <v>1174.04</v>
      </c>
      <c r="BA39" s="37">
        <v>3468.84</v>
      </c>
      <c r="BB39" s="37">
        <v>13.281000000000001</v>
      </c>
      <c r="BC39" s="37">
        <v>49.552</v>
      </c>
      <c r="BE39" s="38">
        <f t="shared" si="14"/>
        <v>1</v>
      </c>
      <c r="BF39" s="39">
        <f t="shared" si="15"/>
        <v>0</v>
      </c>
      <c r="BG39" s="39">
        <f t="shared" si="16"/>
        <v>0</v>
      </c>
      <c r="BH39" s="39"/>
      <c r="BJ39" s="38"/>
      <c r="BK39" s="38"/>
      <c r="BL39" s="38"/>
      <c r="BM39" s="38"/>
      <c r="BN39" s="38"/>
      <c r="BP39" s="38"/>
      <c r="BQ39" s="38"/>
      <c r="BR39" s="38"/>
      <c r="BS39" s="38"/>
      <c r="BT39" s="38"/>
      <c r="BV39">
        <f t="shared" si="17"/>
        <v>0</v>
      </c>
      <c r="BW39">
        <f t="shared" si="18"/>
        <v>0</v>
      </c>
      <c r="BX39">
        <f t="shared" si="19"/>
        <v>0</v>
      </c>
      <c r="BY39">
        <f t="shared" si="20"/>
        <v>0</v>
      </c>
      <c r="BZ39">
        <f t="shared" si="21"/>
        <v>0</v>
      </c>
      <c r="CA39">
        <f t="shared" si="22"/>
        <v>0</v>
      </c>
      <c r="CB39">
        <f t="shared" si="23"/>
        <v>0</v>
      </c>
      <c r="CC39">
        <f t="shared" si="24"/>
        <v>0</v>
      </c>
      <c r="CD39">
        <f t="shared" si="25"/>
        <v>0</v>
      </c>
      <c r="CE39">
        <f t="shared" si="26"/>
        <v>0</v>
      </c>
      <c r="CF39">
        <f t="shared" si="27"/>
        <v>0</v>
      </c>
      <c r="CG39">
        <f t="shared" si="28"/>
        <v>0</v>
      </c>
      <c r="CJ39" t="s">
        <v>248</v>
      </c>
    </row>
    <row r="40" spans="1:88" x14ac:dyDescent="0.3">
      <c r="B40" s="50" t="s">
        <v>14</v>
      </c>
      <c r="J40" s="51">
        <f>AVERAGE(J5:J24)</f>
        <v>0.40697985914174123</v>
      </c>
      <c r="K40" s="51">
        <f>AVERAGE(K5:K24)</f>
        <v>0.1270614960411689</v>
      </c>
      <c r="L40" s="51">
        <f>AVERAGE(L5:L24)</f>
        <v>8.8608073895740394E-2</v>
      </c>
      <c r="M40" s="51">
        <f>AVERAGE(M5:M24)</f>
        <v>0.27991836310057233</v>
      </c>
      <c r="AH40" s="51">
        <f>AVERAGE(AH5:AH24)</f>
        <v>0.40697985914174123</v>
      </c>
      <c r="AI40" s="51">
        <f>AVERAGE(AI5:AI24)</f>
        <v>0.1270614960411689</v>
      </c>
      <c r="AJ40" s="51">
        <f>AVERAGE(AJ5:AJ24)</f>
        <v>8.8608073895740394E-2</v>
      </c>
      <c r="AK40" s="51">
        <f>AVERAGE(AK5:AK24)</f>
        <v>0.27991836310057233</v>
      </c>
      <c r="BE40" s="4">
        <f t="shared" si="14"/>
        <v>1</v>
      </c>
      <c r="BH40" s="55">
        <f>AVERAGE(BH5:BH24)</f>
        <v>0</v>
      </c>
      <c r="BJ40" s="4">
        <f>AVERAGE(BJ5:BJ24)</f>
        <v>-8.4932061383824475E-15</v>
      </c>
      <c r="BK40" s="4">
        <f>AVERAGE(BK5:BK24)</f>
        <v>-2.9420910152566648E-15</v>
      </c>
      <c r="BL40" s="4">
        <f>AVERAGE(BL5:BL24)</f>
        <v>-1.5432100042289676E-14</v>
      </c>
      <c r="BM40" s="4">
        <f>AVERAGE(BM5:BM24)</f>
        <v>-1.4988010832439613E-14</v>
      </c>
      <c r="BN40" s="4">
        <f>AVERAGE(BN5:BN24)</f>
        <v>-2.0039525594484076E-14</v>
      </c>
      <c r="BP40" s="4">
        <f>AVERAGE(BP5:BP24)</f>
        <v>-1.4765966227514582E-14</v>
      </c>
      <c r="BQ40" s="4">
        <f>AVERAGE(BQ5:BQ24)</f>
        <v>-7.1054273576010019E-15</v>
      </c>
      <c r="BR40" s="4">
        <f>AVERAGE(BR5:BR24)</f>
        <v>-1.3267165144270621E-14</v>
      </c>
      <c r="BS40" s="4">
        <f>AVERAGE(BS5:BS24)</f>
        <v>-1.3100631690576847E-14</v>
      </c>
      <c r="BT40" s="4">
        <f>AVERAGE(BT5:BT24)</f>
        <v>-1.4876988529977098E-14</v>
      </c>
    </row>
    <row r="41" spans="1:88" x14ac:dyDescent="0.3">
      <c r="B41" s="50" t="s">
        <v>15</v>
      </c>
      <c r="J41" s="51">
        <f>AVERAGE(J25:J29)</f>
        <v>0.79294992400564968</v>
      </c>
      <c r="K41" s="51">
        <f>AVERAGE(K25:K29)</f>
        <v>0.12325262772313088</v>
      </c>
      <c r="L41" s="51">
        <f>AVERAGE(L25:L29)</f>
        <v>9.0132365123065342E-2</v>
      </c>
      <c r="M41" s="51">
        <f>AVERAGE(M25:M29)</f>
        <v>0.66969729628251884</v>
      </c>
      <c r="AH41" s="51">
        <f>AVERAGE(AH25:AH29)</f>
        <v>0.79294992400564968</v>
      </c>
      <c r="AI41" s="51">
        <f>AVERAGE(AI25:AI29)</f>
        <v>0.12325262772313088</v>
      </c>
      <c r="AJ41" s="51">
        <f>AVERAGE(AJ25:AJ29)</f>
        <v>9.0132365123065342E-2</v>
      </c>
      <c r="AK41" s="51">
        <f>AVERAGE(AK25:AK29)</f>
        <v>0.66969729628251884</v>
      </c>
      <c r="BE41" s="4">
        <f t="shared" si="14"/>
        <v>1</v>
      </c>
      <c r="BH41" s="55">
        <f>AVERAGE(BH25:BH29)</f>
        <v>0</v>
      </c>
      <c r="BJ41" s="4">
        <f>AVERAGE(BJ25:BJ29)</f>
        <v>0</v>
      </c>
      <c r="BK41" s="4">
        <f>AVERAGE(BK25:BK29)</f>
        <v>-4.6629367034256575E-15</v>
      </c>
      <c r="BL41" s="4">
        <f>AVERAGE(BL25:BL29)</f>
        <v>-1.3100631690576847E-14</v>
      </c>
      <c r="BM41" s="4">
        <f>AVERAGE(BM25:BM29)</f>
        <v>0</v>
      </c>
      <c r="BN41" s="4">
        <f>AVERAGE(BN25:BN29)</f>
        <v>-2.6645352591003757E-15</v>
      </c>
      <c r="BP41" s="4">
        <f>AVERAGE(BP25:BP29)</f>
        <v>0</v>
      </c>
      <c r="BQ41" s="4">
        <f>AVERAGE(BQ25:BQ29)</f>
        <v>-1.1768364061026659E-14</v>
      </c>
      <c r="BR41" s="4">
        <f>AVERAGE(BR25:BR29)</f>
        <v>-9.7699626167013776E-15</v>
      </c>
      <c r="BS41" s="4">
        <f>AVERAGE(BS25:BS29)</f>
        <v>0</v>
      </c>
      <c r="BT41" s="4">
        <f>AVERAGE(BT25:BT29)</f>
        <v>-5.3290705182007514E-15</v>
      </c>
    </row>
    <row r="42" spans="1:88" x14ac:dyDescent="0.3">
      <c r="B42" s="50" t="s">
        <v>16</v>
      </c>
      <c r="J42" s="51">
        <f>AVERAGE(J30:J39)</f>
        <v>0.22175930406598368</v>
      </c>
      <c r="K42" s="51">
        <f>AVERAGE(K30:K39)</f>
        <v>7.9683659825083769E-2</v>
      </c>
      <c r="L42" s="51">
        <f>AVERAGE(L30:L39)</f>
        <v>5.9753712180753461E-2</v>
      </c>
      <c r="M42" s="51">
        <f>AVERAGE(M30:M39)</f>
        <v>0.14207564424089986</v>
      </c>
      <c r="AH42" s="51">
        <f>AVERAGE(AH30:AH39)</f>
        <v>0.22175930406598368</v>
      </c>
      <c r="AI42" s="51">
        <f>AVERAGE(AI30:AI39)</f>
        <v>7.9683659825083769E-2</v>
      </c>
      <c r="AJ42" s="51">
        <f>AVERAGE(AJ30:AJ39)</f>
        <v>5.9753712180753461E-2</v>
      </c>
      <c r="AK42" s="51">
        <f>AVERAGE(AK30:AK39)</f>
        <v>0.14207564424089986</v>
      </c>
      <c r="BE42" s="4">
        <f t="shared" si="14"/>
        <v>1</v>
      </c>
      <c r="BH42" s="55">
        <f>AVERAGE(BH30:BH39)</f>
        <v>0</v>
      </c>
      <c r="BJ42" s="4">
        <f>AVERAGE(BJ30:BJ39)</f>
        <v>0</v>
      </c>
      <c r="BK42" s="4">
        <f>AVERAGE(BK30:BK39)</f>
        <v>-8.992806499463768E-15</v>
      </c>
      <c r="BL42" s="4">
        <f>AVERAGE(BL30:BL39)</f>
        <v>-1.1213252548714081E-14</v>
      </c>
      <c r="BM42" s="4">
        <f>AVERAGE(BM30:BM39)</f>
        <v>-2.2426505097428162E-14</v>
      </c>
      <c r="BN42" s="4">
        <f>AVERAGE(BN30:BN39)</f>
        <v>-1.7208456881689926E-14</v>
      </c>
      <c r="BP42" s="4">
        <f>AVERAGE(BP30:BP39)</f>
        <v>0</v>
      </c>
      <c r="BQ42" s="4">
        <f>AVERAGE(BQ30:BQ39)</f>
        <v>-8.992806499463768E-15</v>
      </c>
      <c r="BR42" s="4">
        <f>AVERAGE(BR30:BR39)</f>
        <v>-8.992806499463768E-15</v>
      </c>
      <c r="BS42" s="4">
        <f>AVERAGE(BS30:BS39)</f>
        <v>-1.532107773982716E-14</v>
      </c>
      <c r="BT42" s="4">
        <f>AVERAGE(BT30:BT39)</f>
        <v>-1.865174681370263E-14</v>
      </c>
    </row>
    <row r="43" spans="1:88" collapsed="1" x14ac:dyDescent="0.3">
      <c r="B43" s="50" t="s">
        <v>17</v>
      </c>
      <c r="J43" s="51">
        <f>AVERAGE(J5:J39)</f>
        <v>0.40919828124351176</v>
      </c>
      <c r="K43" s="51">
        <f>AVERAGE(K5:K39)</f>
        <v>0.11298084736256772</v>
      </c>
      <c r="L43" s="51">
        <f>AVERAGE(L5:L39)</f>
        <v>8.0581726438219148E-2</v>
      </c>
      <c r="M43" s="51">
        <f>AVERAGE(M5:M39)</f>
        <v>0.29621743388094396</v>
      </c>
      <c r="AH43" s="51">
        <f>AVERAGE(AH5:AH39)</f>
        <v>0.40919828124351176</v>
      </c>
      <c r="AI43" s="51">
        <f>AVERAGE(AI5:AI39)</f>
        <v>0.11298084736256772</v>
      </c>
      <c r="AJ43" s="51">
        <f>AVERAGE(AJ5:AJ39)</f>
        <v>8.0581726438219148E-2</v>
      </c>
      <c r="AK43" s="51">
        <f>AVERAGE(AK5:AK39)</f>
        <v>0.29621743388094396</v>
      </c>
      <c r="BE43" s="4">
        <f t="shared" si="14"/>
        <v>1</v>
      </c>
      <c r="BH43" s="55">
        <f>AVERAGE(BH5:BH39)</f>
        <v>0</v>
      </c>
      <c r="BJ43" s="4">
        <f>AVERAGE(BJ5:BJ39)</f>
        <v>-4.8532606505042558E-15</v>
      </c>
      <c r="BK43" s="4">
        <f>AVERAGE(BK5:BK39)</f>
        <v>-4.9167019661971217E-15</v>
      </c>
      <c r="BL43" s="4">
        <f>AVERAGE(BL5:BL39)</f>
        <v>-1.3893648136737673E-14</v>
      </c>
      <c r="BM43" s="4">
        <f>AVERAGE(BM5:BM39)</f>
        <v>-1.4972150503516397E-14</v>
      </c>
      <c r="BN43" s="4">
        <f>AVERAGE(BN5:BN39)</f>
        <v>-1.6748507342916648E-14</v>
      </c>
      <c r="BP43" s="4">
        <f>AVERAGE(BP5:BP39)</f>
        <v>-8.4376949871511897E-15</v>
      </c>
      <c r="BQ43" s="4">
        <f>AVERAGE(BQ5:BQ39)</f>
        <v>-8.310812355765458E-15</v>
      </c>
      <c r="BR43" s="4">
        <f>AVERAGE(BR5:BR39)</f>
        <v>-1.1546319456101628E-14</v>
      </c>
      <c r="BS43" s="4">
        <f>AVERAGE(BS5:BS39)</f>
        <v>-1.1863526034565959E-14</v>
      </c>
      <c r="BT43" s="4">
        <f>AVERAGE(BT5:BT39)</f>
        <v>-1.4591502609359199E-14</v>
      </c>
    </row>
    <row r="44" spans="1:88" hidden="1" outlineLevel="2" x14ac:dyDescent="0.3">
      <c r="A44" s="50" t="s">
        <v>249</v>
      </c>
      <c r="B44" s="50" t="s">
        <v>250</v>
      </c>
      <c r="AB44" s="52">
        <f>SUM(AB5:AB24,AB25:AB29,AB30:AB39)</f>
        <v>84000.40400000001</v>
      </c>
      <c r="AC44" s="52">
        <f>SUM(AC5:AC24,AC25:AC29,AC30:AC39)</f>
        <v>59875.080000000009</v>
      </c>
      <c r="AD44" s="52">
        <f>SUM(AD5:AD24,AD25:AD29,AD30:AD39)</f>
        <v>289.17400000000004</v>
      </c>
      <c r="AE44" s="52">
        <f>SUM(AE5:AE24,AE25:AE29,AE30:AE39)</f>
        <v>912.52699999999993</v>
      </c>
      <c r="AZ44" s="52">
        <f>SUM(AZ5:AZ24,AZ25:AZ29,AZ30:AZ39)</f>
        <v>132703.67000000001</v>
      </c>
      <c r="BA44" s="52">
        <f>SUM(BA5:BA24,BA25:BA29,BA30:BA39)</f>
        <v>95511.189999999944</v>
      </c>
      <c r="BB44" s="52">
        <f>SUM(BB5:BB24,BB25:BB29,BB30:BB39)</f>
        <v>440.61500000000001</v>
      </c>
      <c r="BC44" s="52">
        <f>SUM(BC5:BC24,BC25:BC29,BC30:BC39)</f>
        <v>1326.0160000000001</v>
      </c>
    </row>
    <row r="45" spans="1:88" hidden="1" outlineLevel="2" x14ac:dyDescent="0.3">
      <c r="B45" s="50" t="s">
        <v>251</v>
      </c>
      <c r="AZ45" s="55">
        <f>AZ44/AB44</f>
        <v>1.5797979971620135</v>
      </c>
      <c r="BA45" s="55">
        <f>BA44/AC44</f>
        <v>1.5951743196000729</v>
      </c>
      <c r="BB45" s="55">
        <f>BB44/AD44</f>
        <v>1.5237019925719462</v>
      </c>
      <c r="BC45" s="55">
        <f>BC44/AE44</f>
        <v>1.4531252225961535</v>
      </c>
    </row>
    <row r="46" spans="1:88" hidden="1" outlineLevel="2" x14ac:dyDescent="0.3">
      <c r="B46" s="50" t="s">
        <v>252</v>
      </c>
      <c r="AB46" s="52">
        <f>GEOMEAN(AB5:AB24,AB25:AB29,AB30:AB39)</f>
        <v>1997.1025206201296</v>
      </c>
      <c r="AC46" s="52">
        <f>GEOMEAN(AC5:AC24,AC25:AC29,AC30:AC39)</f>
        <v>1695.8566202429838</v>
      </c>
      <c r="AD46" s="52">
        <f>GEOMEAN(AD5:AD24,AD25:AD29,AD30:AD39)</f>
        <v>8.2070502463510699</v>
      </c>
      <c r="AE46" s="52">
        <f>GEOMEAN(AE5:AE24,AE25:AE29,AE30:AE39)</f>
        <v>25.988955556006321</v>
      </c>
      <c r="AZ46" s="52">
        <f>GEOMEAN(AZ5:AZ24,AZ25:AZ29,AZ30:AZ39)</f>
        <v>3129.0064053071178</v>
      </c>
      <c r="BA46" s="52">
        <f>GEOMEAN(BA5:BA24,BA25:BA29,BA30:BA39)</f>
        <v>2710.0109140983809</v>
      </c>
      <c r="BB46" s="52">
        <f>GEOMEAN(BB5:BB24,BB25:BB29,BB30:BB39)</f>
        <v>12.48939345333946</v>
      </c>
      <c r="BC46" s="52">
        <f>GEOMEAN(BC5:BC24,BC25:BC29,BC30:BC39)</f>
        <v>37.609431718005382</v>
      </c>
    </row>
    <row r="47" spans="1:88" hidden="1" outlineLevel="2" collapsed="1" x14ac:dyDescent="0.3">
      <c r="B47" s="50" t="s">
        <v>253</v>
      </c>
      <c r="AZ47" s="55">
        <f>AZ46/AB46</f>
        <v>1.5667730489547005</v>
      </c>
      <c r="BA47" s="55">
        <f>BA46/AC46</f>
        <v>1.598018890128865</v>
      </c>
      <c r="BB47" s="55">
        <f>BB46/AD46</f>
        <v>1.5217883500703995</v>
      </c>
      <c r="BC47" s="55">
        <f>BC46/AE46</f>
        <v>1.4471313261110814</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4.4" x14ac:dyDescent="0.3"/>
  <sheetData>
    <row r="1" spans="1:2" x14ac:dyDescent="0.3">
      <c r="A1" t="s">
        <v>254</v>
      </c>
      <c r="B1">
        <v>1</v>
      </c>
    </row>
    <row r="2" spans="1:2" x14ac:dyDescent="0.3">
      <c r="A2" t="s">
        <v>255</v>
      </c>
      <c r="B2">
        <v>2</v>
      </c>
    </row>
    <row r="3" spans="1:2" x14ac:dyDescent="0.3">
      <c r="A3" t="s">
        <v>256</v>
      </c>
      <c r="B3">
        <v>3</v>
      </c>
    </row>
    <row r="4" spans="1:2" x14ac:dyDescent="0.3">
      <c r="A4" t="s">
        <v>257</v>
      </c>
      <c r="B4">
        <v>4</v>
      </c>
    </row>
    <row r="5" spans="1:2" x14ac:dyDescent="0.3">
      <c r="A5" t="s">
        <v>258</v>
      </c>
      <c r="B5">
        <v>5</v>
      </c>
    </row>
    <row r="6" spans="1:2" x14ac:dyDescent="0.3">
      <c r="A6" t="s">
        <v>259</v>
      </c>
      <c r="B6">
        <v>6</v>
      </c>
    </row>
    <row r="7" spans="1:2" x14ac:dyDescent="0.3">
      <c r="A7" t="s">
        <v>260</v>
      </c>
      <c r="B7">
        <v>7</v>
      </c>
    </row>
    <row r="8" spans="1:2" x14ac:dyDescent="0.3">
      <c r="A8" t="s">
        <v>261</v>
      </c>
      <c r="B8">
        <v>9</v>
      </c>
    </row>
    <row r="9" spans="1:2" x14ac:dyDescent="0.3">
      <c r="A9" t="s">
        <v>262</v>
      </c>
      <c r="B9">
        <v>10</v>
      </c>
    </row>
    <row r="10" spans="1:2" x14ac:dyDescent="0.3">
      <c r="A10" t="s">
        <v>263</v>
      </c>
      <c r="B10">
        <v>11</v>
      </c>
    </row>
    <row r="11" spans="1:2" x14ac:dyDescent="0.3">
      <c r="A11" t="s">
        <v>264</v>
      </c>
      <c r="B11">
        <v>12</v>
      </c>
    </row>
    <row r="12" spans="1:2" x14ac:dyDescent="0.3">
      <c r="A12" t="s">
        <v>265</v>
      </c>
      <c r="B12">
        <v>13</v>
      </c>
    </row>
    <row r="13" spans="1:2" x14ac:dyDescent="0.3">
      <c r="A13" t="s">
        <v>266</v>
      </c>
      <c r="B13">
        <v>14</v>
      </c>
    </row>
    <row r="14" spans="1:2" x14ac:dyDescent="0.3">
      <c r="A14" t="s">
        <v>267</v>
      </c>
      <c r="B14">
        <v>15</v>
      </c>
    </row>
    <row r="15" spans="1:2" x14ac:dyDescent="0.3">
      <c r="A15" t="s">
        <v>268</v>
      </c>
      <c r="B15">
        <v>16</v>
      </c>
    </row>
    <row r="16" spans="1:2" x14ac:dyDescent="0.3">
      <c r="A16" t="s">
        <v>269</v>
      </c>
      <c r="B16">
        <v>17</v>
      </c>
    </row>
    <row r="17" spans="1:2" x14ac:dyDescent="0.3">
      <c r="A17" t="s">
        <v>270</v>
      </c>
      <c r="B17">
        <v>18</v>
      </c>
    </row>
    <row r="18" spans="1:2" x14ac:dyDescent="0.3">
      <c r="A18" t="s">
        <v>271</v>
      </c>
      <c r="B18">
        <v>19</v>
      </c>
    </row>
    <row r="19" spans="1:2" x14ac:dyDescent="0.3">
      <c r="A19" t="s">
        <v>272</v>
      </c>
      <c r="B19">
        <v>20</v>
      </c>
    </row>
    <row r="20" spans="1:2" x14ac:dyDescent="0.3">
      <c r="A20" t="s">
        <v>273</v>
      </c>
      <c r="B20">
        <v>21</v>
      </c>
    </row>
    <row r="21" spans="1:2" x14ac:dyDescent="0.3">
      <c r="A21" t="s">
        <v>274</v>
      </c>
      <c r="B21">
        <v>22</v>
      </c>
    </row>
    <row r="22" spans="1:2" x14ac:dyDescent="0.3">
      <c r="A22" t="s">
        <v>275</v>
      </c>
      <c r="B22">
        <v>23</v>
      </c>
    </row>
    <row r="23" spans="1:2" x14ac:dyDescent="0.3">
      <c r="A23" t="s">
        <v>276</v>
      </c>
      <c r="B23">
        <v>24</v>
      </c>
    </row>
    <row r="24" spans="1:2" x14ac:dyDescent="0.3">
      <c r="A24" t="s">
        <v>277</v>
      </c>
      <c r="B24">
        <v>25</v>
      </c>
    </row>
    <row r="25" spans="1:2" x14ac:dyDescent="0.3">
      <c r="A25" t="s">
        <v>278</v>
      </c>
      <c r="B25">
        <v>26</v>
      </c>
    </row>
    <row r="26" spans="1:2" x14ac:dyDescent="0.3">
      <c r="A26" t="s">
        <v>279</v>
      </c>
      <c r="B26">
        <v>27</v>
      </c>
    </row>
    <row r="27" spans="1:2" x14ac:dyDescent="0.3">
      <c r="A27" t="s">
        <v>280</v>
      </c>
      <c r="B27">
        <v>28</v>
      </c>
    </row>
    <row r="28" spans="1:2" x14ac:dyDescent="0.3">
      <c r="A28" t="s">
        <v>281</v>
      </c>
      <c r="B28">
        <v>29</v>
      </c>
    </row>
    <row r="29" spans="1:2" x14ac:dyDescent="0.3">
      <c r="A29" t="s">
        <v>282</v>
      </c>
      <c r="B29">
        <v>30</v>
      </c>
    </row>
    <row r="30" spans="1:2" x14ac:dyDescent="0.3">
      <c r="A30" t="s">
        <v>283</v>
      </c>
      <c r="B30">
        <v>31</v>
      </c>
    </row>
    <row r="31" spans="1:2" x14ac:dyDescent="0.3">
      <c r="A31" t="s">
        <v>284</v>
      </c>
      <c r="B31">
        <v>33</v>
      </c>
    </row>
    <row r="32" spans="1:2" x14ac:dyDescent="0.3">
      <c r="A32" t="s">
        <v>285</v>
      </c>
      <c r="B32">
        <v>34</v>
      </c>
    </row>
    <row r="33" spans="1:2" x14ac:dyDescent="0.3">
      <c r="A33" t="s">
        <v>286</v>
      </c>
      <c r="B33">
        <v>35</v>
      </c>
    </row>
    <row r="34" spans="1:2" x14ac:dyDescent="0.3">
      <c r="A34" t="s">
        <v>287</v>
      </c>
      <c r="B34">
        <v>36</v>
      </c>
    </row>
    <row r="35" spans="1:2" x14ac:dyDescent="0.3">
      <c r="A35" t="s">
        <v>288</v>
      </c>
      <c r="B35">
        <v>37</v>
      </c>
    </row>
    <row r="36" spans="1:2" x14ac:dyDescent="0.3">
      <c r="A36" t="s">
        <v>289</v>
      </c>
      <c r="B36">
        <v>38</v>
      </c>
    </row>
    <row r="37" spans="1:2" x14ac:dyDescent="0.3">
      <c r="A37" t="s">
        <v>290</v>
      </c>
      <c r="B37">
        <v>39</v>
      </c>
    </row>
    <row r="38" spans="1:2" x14ac:dyDescent="0.3">
      <c r="A38" t="s">
        <v>291</v>
      </c>
      <c r="B38">
        <v>40</v>
      </c>
    </row>
    <row r="39" spans="1:2" x14ac:dyDescent="0.3">
      <c r="A39" t="s">
        <v>292</v>
      </c>
      <c r="B39">
        <v>41</v>
      </c>
    </row>
    <row r="40" spans="1:2" x14ac:dyDescent="0.3">
      <c r="A40" t="s">
        <v>293</v>
      </c>
      <c r="B40">
        <v>42</v>
      </c>
    </row>
    <row r="41" spans="1:2" x14ac:dyDescent="0.3">
      <c r="A41" t="s">
        <v>294</v>
      </c>
      <c r="B41">
        <v>43</v>
      </c>
    </row>
    <row r="42" spans="1:2" x14ac:dyDescent="0.3">
      <c r="A42" t="s">
        <v>295</v>
      </c>
      <c r="B42">
        <v>44</v>
      </c>
    </row>
    <row r="43" spans="1:2" x14ac:dyDescent="0.3">
      <c r="A43" t="s">
        <v>296</v>
      </c>
      <c r="B43">
        <v>45</v>
      </c>
    </row>
    <row r="44" spans="1:2" x14ac:dyDescent="0.3">
      <c r="A44" t="s">
        <v>297</v>
      </c>
      <c r="B44">
        <v>46</v>
      </c>
    </row>
    <row r="45" spans="1:2" x14ac:dyDescent="0.3">
      <c r="A45" t="s">
        <v>298</v>
      </c>
      <c r="B45">
        <v>47</v>
      </c>
    </row>
    <row r="46" spans="1:2" x14ac:dyDescent="0.3">
      <c r="A46" t="s">
        <v>299</v>
      </c>
      <c r="B46">
        <v>48</v>
      </c>
    </row>
    <row r="47" spans="1:2" x14ac:dyDescent="0.3">
      <c r="A47" t="s">
        <v>300</v>
      </c>
      <c r="B47">
        <v>49</v>
      </c>
    </row>
    <row r="48" spans="1:2" x14ac:dyDescent="0.3">
      <c r="A48" t="s">
        <v>301</v>
      </c>
      <c r="B48">
        <v>50</v>
      </c>
    </row>
    <row r="49" spans="1:2" x14ac:dyDescent="0.3">
      <c r="A49" t="s">
        <v>302</v>
      </c>
      <c r="B49">
        <v>51</v>
      </c>
    </row>
    <row r="50" spans="1:2" x14ac:dyDescent="0.3">
      <c r="A50" t="s">
        <v>303</v>
      </c>
      <c r="B50">
        <v>52</v>
      </c>
    </row>
    <row r="51" spans="1:2" x14ac:dyDescent="0.3">
      <c r="A51" t="s">
        <v>304</v>
      </c>
      <c r="B51">
        <v>53</v>
      </c>
    </row>
    <row r="52" spans="1:2" x14ac:dyDescent="0.3">
      <c r="A52" t="s">
        <v>305</v>
      </c>
      <c r="B52">
        <v>54</v>
      </c>
    </row>
    <row r="53" spans="1:2" x14ac:dyDescent="0.3">
      <c r="A53" t="s">
        <v>306</v>
      </c>
      <c r="B53">
        <v>55</v>
      </c>
    </row>
    <row r="54" spans="1:2" x14ac:dyDescent="0.3">
      <c r="A54" t="s">
        <v>307</v>
      </c>
      <c r="B54">
        <v>57</v>
      </c>
    </row>
    <row r="55" spans="1:2" x14ac:dyDescent="0.3">
      <c r="A55" t="s">
        <v>308</v>
      </c>
      <c r="B55">
        <v>58</v>
      </c>
    </row>
    <row r="56" spans="1:2" x14ac:dyDescent="0.3">
      <c r="A56" t="s">
        <v>309</v>
      </c>
      <c r="B56">
        <v>59</v>
      </c>
    </row>
    <row r="57" spans="1:2" x14ac:dyDescent="0.3">
      <c r="A57" t="s">
        <v>310</v>
      </c>
      <c r="B57">
        <v>60</v>
      </c>
    </row>
    <row r="58" spans="1:2" x14ac:dyDescent="0.3">
      <c r="A58" t="s">
        <v>311</v>
      </c>
      <c r="B58">
        <v>62</v>
      </c>
    </row>
    <row r="59" spans="1:2" x14ac:dyDescent="0.3">
      <c r="A59" t="s">
        <v>312</v>
      </c>
      <c r="B59">
        <v>63</v>
      </c>
    </row>
    <row r="60" spans="1:2" x14ac:dyDescent="0.3">
      <c r="A60" t="s">
        <v>313</v>
      </c>
      <c r="B60">
        <v>64</v>
      </c>
    </row>
    <row r="61" spans="1:2" x14ac:dyDescent="0.3">
      <c r="A61" t="s">
        <v>314</v>
      </c>
      <c r="B61">
        <v>65</v>
      </c>
    </row>
    <row r="62" spans="1:2" x14ac:dyDescent="0.3">
      <c r="A62" t="s">
        <v>315</v>
      </c>
      <c r="B62">
        <v>66</v>
      </c>
    </row>
    <row r="63" spans="1:2" x14ac:dyDescent="0.3">
      <c r="A63" t="s">
        <v>316</v>
      </c>
      <c r="B63">
        <v>68</v>
      </c>
    </row>
    <row r="64" spans="1:2" x14ac:dyDescent="0.3">
      <c r="A64" t="s">
        <v>317</v>
      </c>
      <c r="B64">
        <v>69</v>
      </c>
    </row>
    <row r="65" spans="1:24" x14ac:dyDescent="0.3">
      <c r="A65" t="s">
        <v>318</v>
      </c>
      <c r="B65">
        <v>70</v>
      </c>
    </row>
    <row r="66" spans="1:24" x14ac:dyDescent="0.3">
      <c r="A66" t="s">
        <v>319</v>
      </c>
      <c r="B66">
        <v>71</v>
      </c>
    </row>
    <row r="67" spans="1:24" x14ac:dyDescent="0.3">
      <c r="A67" t="s">
        <v>320</v>
      </c>
      <c r="B67">
        <v>72</v>
      </c>
    </row>
    <row r="68" spans="1:24" x14ac:dyDescent="0.3">
      <c r="A68" t="s">
        <v>321</v>
      </c>
      <c r="B68" t="s">
        <v>322</v>
      </c>
    </row>
    <row r="69" spans="1:24" x14ac:dyDescent="0.3">
      <c r="A69" t="s">
        <v>323</v>
      </c>
      <c r="B69" t="s">
        <v>324</v>
      </c>
    </row>
    <row r="70" spans="1:24" x14ac:dyDescent="0.3">
      <c r="A70" t="s">
        <v>325</v>
      </c>
      <c r="B70" t="s">
        <v>326</v>
      </c>
    </row>
    <row r="71" spans="1:24" x14ac:dyDescent="0.3">
      <c r="A71" t="s">
        <v>327</v>
      </c>
      <c r="B71" t="s">
        <v>328</v>
      </c>
    </row>
    <row r="72" spans="1:24" x14ac:dyDescent="0.3">
      <c r="A72" t="s">
        <v>329</v>
      </c>
      <c r="B72" t="s">
        <v>330</v>
      </c>
    </row>
    <row r="73" spans="1:24" x14ac:dyDescent="0.3">
      <c r="A73" t="s">
        <v>331</v>
      </c>
      <c r="B73" t="s">
        <v>332</v>
      </c>
    </row>
    <row r="74" spans="1:24" x14ac:dyDescent="0.3">
      <c r="A74" t="s">
        <v>333</v>
      </c>
      <c r="B74" t="s">
        <v>334</v>
      </c>
    </row>
    <row r="75" spans="1:24" x14ac:dyDescent="0.3">
      <c r="A75" t="s">
        <v>335</v>
      </c>
      <c r="B75" t="s">
        <v>336</v>
      </c>
    </row>
    <row r="76" spans="1:24" x14ac:dyDescent="0.3">
      <c r="A76" t="s">
        <v>337</v>
      </c>
      <c r="B76" t="s">
        <v>338</v>
      </c>
    </row>
    <row r="77" spans="1:24" x14ac:dyDescent="0.3">
      <c r="A77" t="s">
        <v>339</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3">
      <c r="A78" t="s">
        <v>340</v>
      </c>
      <c r="B78">
        <v>1</v>
      </c>
    </row>
    <row r="79" spans="1:24" x14ac:dyDescent="0.3">
      <c r="A79" t="s">
        <v>341</v>
      </c>
      <c r="B79">
        <v>2</v>
      </c>
    </row>
    <row r="80" spans="1:24" x14ac:dyDescent="0.3">
      <c r="A80" t="s">
        <v>342</v>
      </c>
      <c r="B80">
        <v>3</v>
      </c>
    </row>
    <row r="81" spans="1:2" x14ac:dyDescent="0.3">
      <c r="A81" t="s">
        <v>343</v>
      </c>
      <c r="B81">
        <v>4</v>
      </c>
    </row>
    <row r="82" spans="1:2" x14ac:dyDescent="0.3">
      <c r="A82" t="s">
        <v>344</v>
      </c>
      <c r="B82">
        <v>5</v>
      </c>
    </row>
    <row r="83" spans="1:2" x14ac:dyDescent="0.3">
      <c r="A83" t="s">
        <v>345</v>
      </c>
      <c r="B83">
        <v>6</v>
      </c>
    </row>
    <row r="84" spans="1:2" x14ac:dyDescent="0.3">
      <c r="A84" t="s">
        <v>346</v>
      </c>
      <c r="B84">
        <v>8</v>
      </c>
    </row>
    <row r="85" spans="1:2" x14ac:dyDescent="0.3">
      <c r="A85" t="s">
        <v>347</v>
      </c>
      <c r="B85">
        <v>9</v>
      </c>
    </row>
    <row r="86" spans="1:2" x14ac:dyDescent="0.3">
      <c r="A86" t="s">
        <v>348</v>
      </c>
      <c r="B86">
        <v>10</v>
      </c>
    </row>
    <row r="87" spans="1:2" x14ac:dyDescent="0.3">
      <c r="A87" t="s">
        <v>349</v>
      </c>
      <c r="B87">
        <v>11</v>
      </c>
    </row>
    <row r="88" spans="1:2" x14ac:dyDescent="0.3">
      <c r="A88" t="s">
        <v>350</v>
      </c>
      <c r="B88">
        <v>12</v>
      </c>
    </row>
    <row r="89" spans="1:2" x14ac:dyDescent="0.3">
      <c r="A89" t="s">
        <v>351</v>
      </c>
      <c r="B89">
        <v>13</v>
      </c>
    </row>
    <row r="90" spans="1:2" x14ac:dyDescent="0.3">
      <c r="A90" t="s">
        <v>352</v>
      </c>
      <c r="B90">
        <v>14</v>
      </c>
    </row>
    <row r="91" spans="1:2" x14ac:dyDescent="0.3">
      <c r="A91" t="s">
        <v>353</v>
      </c>
      <c r="B91">
        <v>15</v>
      </c>
    </row>
    <row r="92" spans="1:2" x14ac:dyDescent="0.3">
      <c r="A92" t="s">
        <v>354</v>
      </c>
      <c r="B92">
        <v>16</v>
      </c>
    </row>
    <row r="93" spans="1:2" x14ac:dyDescent="0.3">
      <c r="A93" t="s">
        <v>355</v>
      </c>
      <c r="B93">
        <v>17</v>
      </c>
    </row>
    <row r="94" spans="1:2" x14ac:dyDescent="0.3">
      <c r="A94" t="s">
        <v>356</v>
      </c>
      <c r="B94">
        <v>18</v>
      </c>
    </row>
    <row r="95" spans="1:2" x14ac:dyDescent="0.3">
      <c r="A95" t="s">
        <v>357</v>
      </c>
      <c r="B95">
        <v>19</v>
      </c>
    </row>
    <row r="96" spans="1:2" x14ac:dyDescent="0.3">
      <c r="A96" t="s">
        <v>358</v>
      </c>
      <c r="B96">
        <v>20</v>
      </c>
    </row>
    <row r="97" spans="1:2" x14ac:dyDescent="0.3">
      <c r="A97" t="s">
        <v>359</v>
      </c>
      <c r="B97">
        <v>21</v>
      </c>
    </row>
    <row r="98" spans="1:2" x14ac:dyDescent="0.3">
      <c r="A98" t="s">
        <v>360</v>
      </c>
      <c r="B98">
        <v>22</v>
      </c>
    </row>
    <row r="99" spans="1:2" x14ac:dyDescent="0.3">
      <c r="A99" t="s">
        <v>361</v>
      </c>
      <c r="B99">
        <v>23</v>
      </c>
    </row>
    <row r="100" spans="1:2" x14ac:dyDescent="0.3">
      <c r="A100" t="s">
        <v>362</v>
      </c>
      <c r="B100">
        <v>24</v>
      </c>
    </row>
    <row r="101" spans="1:2" x14ac:dyDescent="0.3">
      <c r="A101" t="s">
        <v>363</v>
      </c>
      <c r="B101">
        <v>25</v>
      </c>
    </row>
    <row r="102" spans="1:2" x14ac:dyDescent="0.3">
      <c r="A102" t="s">
        <v>364</v>
      </c>
      <c r="B102">
        <v>26</v>
      </c>
    </row>
    <row r="103" spans="1:2" x14ac:dyDescent="0.3">
      <c r="A103" t="s">
        <v>365</v>
      </c>
      <c r="B103">
        <v>27</v>
      </c>
    </row>
    <row r="104" spans="1:2" x14ac:dyDescent="0.3">
      <c r="A104" t="s">
        <v>366</v>
      </c>
      <c r="B104">
        <v>28</v>
      </c>
    </row>
    <row r="105" spans="1:2" x14ac:dyDescent="0.3">
      <c r="A105" t="s">
        <v>367</v>
      </c>
      <c r="B105">
        <v>29</v>
      </c>
    </row>
    <row r="106" spans="1:2" x14ac:dyDescent="0.3">
      <c r="A106" t="s">
        <v>368</v>
      </c>
      <c r="B106">
        <v>31</v>
      </c>
    </row>
    <row r="107" spans="1:2" x14ac:dyDescent="0.3">
      <c r="A107" t="s">
        <v>369</v>
      </c>
      <c r="B107">
        <v>32</v>
      </c>
    </row>
    <row r="108" spans="1:2" x14ac:dyDescent="0.3">
      <c r="A108" t="s">
        <v>370</v>
      </c>
      <c r="B108">
        <v>33</v>
      </c>
    </row>
    <row r="109" spans="1:2" x14ac:dyDescent="0.3">
      <c r="A109" t="s">
        <v>371</v>
      </c>
      <c r="B109">
        <v>34</v>
      </c>
    </row>
    <row r="110" spans="1:2" x14ac:dyDescent="0.3">
      <c r="A110" t="s">
        <v>372</v>
      </c>
      <c r="B110">
        <v>35</v>
      </c>
    </row>
    <row r="111" spans="1:2" x14ac:dyDescent="0.3">
      <c r="A111" t="s">
        <v>373</v>
      </c>
      <c r="B111">
        <v>36</v>
      </c>
    </row>
    <row r="112" spans="1:2" x14ac:dyDescent="0.3">
      <c r="A112" t="s">
        <v>374</v>
      </c>
      <c r="B112">
        <v>37</v>
      </c>
    </row>
    <row r="113" spans="1:2" x14ac:dyDescent="0.3">
      <c r="A113" t="s">
        <v>375</v>
      </c>
      <c r="B113">
        <v>38</v>
      </c>
    </row>
    <row r="114" spans="1:2" x14ac:dyDescent="0.3">
      <c r="A114" t="s">
        <v>376</v>
      </c>
      <c r="B114">
        <v>39</v>
      </c>
    </row>
    <row r="115" spans="1:2" x14ac:dyDescent="0.3">
      <c r="A115" t="s">
        <v>377</v>
      </c>
      <c r="B115">
        <v>40</v>
      </c>
    </row>
    <row r="116" spans="1:2" x14ac:dyDescent="0.3">
      <c r="A116" t="s">
        <v>378</v>
      </c>
      <c r="B116">
        <v>41</v>
      </c>
    </row>
    <row r="117" spans="1:2" x14ac:dyDescent="0.3">
      <c r="A117" t="s">
        <v>379</v>
      </c>
      <c r="B117">
        <v>42</v>
      </c>
    </row>
    <row r="118" spans="1:2" x14ac:dyDescent="0.3">
      <c r="A118" t="s">
        <v>380</v>
      </c>
      <c r="B118">
        <v>43</v>
      </c>
    </row>
    <row r="119" spans="1:2" x14ac:dyDescent="0.3">
      <c r="A119" t="s">
        <v>381</v>
      </c>
      <c r="B119">
        <v>44</v>
      </c>
    </row>
    <row r="120" spans="1:2" x14ac:dyDescent="0.3">
      <c r="A120" t="s">
        <v>382</v>
      </c>
      <c r="B120">
        <v>45</v>
      </c>
    </row>
    <row r="121" spans="1:2" x14ac:dyDescent="0.3">
      <c r="A121" t="s">
        <v>383</v>
      </c>
      <c r="B121">
        <v>46</v>
      </c>
    </row>
    <row r="122" spans="1:2" x14ac:dyDescent="0.3">
      <c r="A122" t="s">
        <v>384</v>
      </c>
      <c r="B122">
        <v>47</v>
      </c>
    </row>
    <row r="123" spans="1:2" x14ac:dyDescent="0.3">
      <c r="A123" t="s">
        <v>385</v>
      </c>
      <c r="B123">
        <v>48</v>
      </c>
    </row>
    <row r="124" spans="1:2" x14ac:dyDescent="0.3">
      <c r="A124" t="s">
        <v>386</v>
      </c>
      <c r="B124">
        <v>49</v>
      </c>
    </row>
    <row r="125" spans="1:2" x14ac:dyDescent="0.3">
      <c r="A125" t="s">
        <v>387</v>
      </c>
      <c r="B125">
        <v>50</v>
      </c>
    </row>
    <row r="126" spans="1:2" x14ac:dyDescent="0.3">
      <c r="A126" t="s">
        <v>388</v>
      </c>
      <c r="B126">
        <v>51</v>
      </c>
    </row>
    <row r="127" spans="1:2" x14ac:dyDescent="0.3">
      <c r="A127" t="s">
        <v>389</v>
      </c>
      <c r="B127">
        <v>52</v>
      </c>
    </row>
    <row r="128" spans="1:2" x14ac:dyDescent="0.3">
      <c r="A128" t="s">
        <v>390</v>
      </c>
      <c r="B128">
        <v>54</v>
      </c>
    </row>
    <row r="129" spans="1:23" x14ac:dyDescent="0.3">
      <c r="A129" t="s">
        <v>391</v>
      </c>
      <c r="B129">
        <v>55</v>
      </c>
    </row>
    <row r="130" spans="1:23" x14ac:dyDescent="0.3">
      <c r="A130" t="s">
        <v>392</v>
      </c>
      <c r="B130">
        <v>56</v>
      </c>
    </row>
    <row r="131" spans="1:23" x14ac:dyDescent="0.3">
      <c r="A131" t="s">
        <v>393</v>
      </c>
      <c r="B131">
        <v>57</v>
      </c>
    </row>
    <row r="132" spans="1:23" x14ac:dyDescent="0.3">
      <c r="A132" t="s">
        <v>394</v>
      </c>
      <c r="B132">
        <v>58</v>
      </c>
    </row>
    <row r="133" spans="1:23" x14ac:dyDescent="0.3">
      <c r="A133" t="s">
        <v>395</v>
      </c>
      <c r="B133">
        <v>59</v>
      </c>
    </row>
    <row r="134" spans="1:23" x14ac:dyDescent="0.3">
      <c r="A134" t="s">
        <v>396</v>
      </c>
      <c r="B134" t="s">
        <v>397</v>
      </c>
    </row>
    <row r="135" spans="1:23" x14ac:dyDescent="0.3">
      <c r="A135" t="s">
        <v>398</v>
      </c>
      <c r="B135" t="s">
        <v>399</v>
      </c>
    </row>
    <row r="136" spans="1:23" x14ac:dyDescent="0.3">
      <c r="A136" t="s">
        <v>400</v>
      </c>
      <c r="B136" t="s">
        <v>401</v>
      </c>
    </row>
    <row r="137" spans="1:23" x14ac:dyDescent="0.3">
      <c r="A137" t="s">
        <v>402</v>
      </c>
      <c r="B137" t="s">
        <v>403</v>
      </c>
    </row>
    <row r="138" spans="1:23" x14ac:dyDescent="0.3">
      <c r="A138" t="s">
        <v>404</v>
      </c>
      <c r="B138" t="s">
        <v>405</v>
      </c>
    </row>
    <row r="139" spans="1:23" x14ac:dyDescent="0.3">
      <c r="A139" t="s">
        <v>406</v>
      </c>
      <c r="B139" t="s">
        <v>407</v>
      </c>
    </row>
    <row r="140" spans="1:23" x14ac:dyDescent="0.3">
      <c r="A140" t="s">
        <v>408</v>
      </c>
      <c r="B140" t="s">
        <v>409</v>
      </c>
    </row>
    <row r="141" spans="1:23" x14ac:dyDescent="0.3">
      <c r="A141" t="s">
        <v>410</v>
      </c>
      <c r="B141" t="s">
        <v>411</v>
      </c>
    </row>
    <row r="142" spans="1:23" x14ac:dyDescent="0.3">
      <c r="A142" t="s">
        <v>412</v>
      </c>
      <c r="B142" t="s">
        <v>413</v>
      </c>
    </row>
    <row r="143" spans="1:23" x14ac:dyDescent="0.3">
      <c r="A143" t="s">
        <v>414</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3">
      <c r="A144" t="s">
        <v>415</v>
      </c>
      <c r="B144">
        <v>1</v>
      </c>
    </row>
    <row r="145" spans="1:2" x14ac:dyDescent="0.3">
      <c r="A145" t="s">
        <v>416</v>
      </c>
      <c r="B145">
        <v>2</v>
      </c>
    </row>
    <row r="146" spans="1:2" x14ac:dyDescent="0.3">
      <c r="A146" t="s">
        <v>417</v>
      </c>
      <c r="B146">
        <v>3</v>
      </c>
    </row>
    <row r="147" spans="1:2" x14ac:dyDescent="0.3">
      <c r="A147" t="s">
        <v>418</v>
      </c>
      <c r="B147">
        <v>4</v>
      </c>
    </row>
    <row r="148" spans="1:2" x14ac:dyDescent="0.3">
      <c r="A148" t="s">
        <v>419</v>
      </c>
      <c r="B148">
        <v>5</v>
      </c>
    </row>
    <row r="149" spans="1:2" x14ac:dyDescent="0.3">
      <c r="A149" t="s">
        <v>420</v>
      </c>
      <c r="B149">
        <v>6</v>
      </c>
    </row>
    <row r="150" spans="1:2" x14ac:dyDescent="0.3">
      <c r="A150" t="s">
        <v>421</v>
      </c>
      <c r="B150">
        <v>8</v>
      </c>
    </row>
    <row r="151" spans="1:2" x14ac:dyDescent="0.3">
      <c r="A151" t="s">
        <v>422</v>
      </c>
      <c r="B151">
        <v>9</v>
      </c>
    </row>
    <row r="152" spans="1:2" x14ac:dyDescent="0.3">
      <c r="A152" t="s">
        <v>423</v>
      </c>
      <c r="B152">
        <v>10</v>
      </c>
    </row>
    <row r="153" spans="1:2" x14ac:dyDescent="0.3">
      <c r="A153" t="s">
        <v>424</v>
      </c>
      <c r="B153">
        <v>11</v>
      </c>
    </row>
    <row r="154" spans="1:2" x14ac:dyDescent="0.3">
      <c r="A154" t="s">
        <v>425</v>
      </c>
      <c r="B154">
        <v>12</v>
      </c>
    </row>
    <row r="155" spans="1:2" x14ac:dyDescent="0.3">
      <c r="A155" t="s">
        <v>426</v>
      </c>
      <c r="B155">
        <v>13</v>
      </c>
    </row>
    <row r="156" spans="1:2" x14ac:dyDescent="0.3">
      <c r="A156" t="s">
        <v>427</v>
      </c>
      <c r="B156">
        <v>14</v>
      </c>
    </row>
    <row r="157" spans="1:2" x14ac:dyDescent="0.3">
      <c r="A157" t="s">
        <v>428</v>
      </c>
      <c r="B157">
        <v>15</v>
      </c>
    </row>
    <row r="158" spans="1:2" x14ac:dyDescent="0.3">
      <c r="A158" t="s">
        <v>429</v>
      </c>
      <c r="B158">
        <v>16</v>
      </c>
    </row>
    <row r="159" spans="1:2" x14ac:dyDescent="0.3">
      <c r="A159" t="s">
        <v>430</v>
      </c>
      <c r="B159">
        <v>17</v>
      </c>
    </row>
    <row r="160" spans="1:2" x14ac:dyDescent="0.3">
      <c r="A160" t="s">
        <v>431</v>
      </c>
      <c r="B160">
        <v>18</v>
      </c>
    </row>
    <row r="161" spans="1:2" x14ac:dyDescent="0.3">
      <c r="A161" t="s">
        <v>432</v>
      </c>
      <c r="B161">
        <v>19</v>
      </c>
    </row>
    <row r="162" spans="1:2" x14ac:dyDescent="0.3">
      <c r="A162" t="s">
        <v>433</v>
      </c>
      <c r="B162">
        <v>20</v>
      </c>
    </row>
    <row r="163" spans="1:2" x14ac:dyDescent="0.3">
      <c r="A163" t="s">
        <v>434</v>
      </c>
      <c r="B163">
        <v>21</v>
      </c>
    </row>
    <row r="164" spans="1:2" x14ac:dyDescent="0.3">
      <c r="A164" t="s">
        <v>435</v>
      </c>
      <c r="B164">
        <v>22</v>
      </c>
    </row>
    <row r="165" spans="1:2" x14ac:dyDescent="0.3">
      <c r="A165" t="s">
        <v>436</v>
      </c>
      <c r="B165">
        <v>23</v>
      </c>
    </row>
    <row r="166" spans="1:2" x14ac:dyDescent="0.3">
      <c r="A166" t="s">
        <v>437</v>
      </c>
      <c r="B166">
        <v>24</v>
      </c>
    </row>
    <row r="167" spans="1:2" x14ac:dyDescent="0.3">
      <c r="A167" t="s">
        <v>438</v>
      </c>
      <c r="B167">
        <v>25</v>
      </c>
    </row>
    <row r="168" spans="1:2" x14ac:dyDescent="0.3">
      <c r="A168" t="s">
        <v>439</v>
      </c>
      <c r="B168">
        <v>26</v>
      </c>
    </row>
    <row r="169" spans="1:2" x14ac:dyDescent="0.3">
      <c r="A169" t="s">
        <v>440</v>
      </c>
      <c r="B169">
        <v>27</v>
      </c>
    </row>
    <row r="170" spans="1:2" x14ac:dyDescent="0.3">
      <c r="A170" t="s">
        <v>441</v>
      </c>
      <c r="B170">
        <v>28</v>
      </c>
    </row>
    <row r="171" spans="1:2" x14ac:dyDescent="0.3">
      <c r="A171" t="s">
        <v>442</v>
      </c>
      <c r="B171">
        <v>29</v>
      </c>
    </row>
    <row r="172" spans="1:2" x14ac:dyDescent="0.3">
      <c r="A172" t="s">
        <v>443</v>
      </c>
      <c r="B172">
        <v>31</v>
      </c>
    </row>
    <row r="173" spans="1:2" x14ac:dyDescent="0.3">
      <c r="A173" t="s">
        <v>444</v>
      </c>
      <c r="B173">
        <v>32</v>
      </c>
    </row>
    <row r="174" spans="1:2" x14ac:dyDescent="0.3">
      <c r="A174" t="s">
        <v>445</v>
      </c>
      <c r="B174">
        <v>33</v>
      </c>
    </row>
    <row r="175" spans="1:2" x14ac:dyDescent="0.3">
      <c r="A175" t="s">
        <v>446</v>
      </c>
      <c r="B175">
        <v>34</v>
      </c>
    </row>
    <row r="176" spans="1:2" x14ac:dyDescent="0.3">
      <c r="A176" t="s">
        <v>447</v>
      </c>
      <c r="B176">
        <v>35</v>
      </c>
    </row>
    <row r="177" spans="1:2" x14ac:dyDescent="0.3">
      <c r="A177" t="s">
        <v>448</v>
      </c>
      <c r="B177">
        <v>36</v>
      </c>
    </row>
    <row r="178" spans="1:2" x14ac:dyDescent="0.3">
      <c r="A178" t="s">
        <v>449</v>
      </c>
      <c r="B178">
        <v>37</v>
      </c>
    </row>
    <row r="179" spans="1:2" x14ac:dyDescent="0.3">
      <c r="A179" t="s">
        <v>450</v>
      </c>
      <c r="B179">
        <v>38</v>
      </c>
    </row>
    <row r="180" spans="1:2" x14ac:dyDescent="0.3">
      <c r="A180" t="s">
        <v>451</v>
      </c>
      <c r="B180">
        <v>39</v>
      </c>
    </row>
    <row r="181" spans="1:2" x14ac:dyDescent="0.3">
      <c r="A181" t="s">
        <v>452</v>
      </c>
      <c r="B181">
        <v>40</v>
      </c>
    </row>
    <row r="182" spans="1:2" x14ac:dyDescent="0.3">
      <c r="A182" t="s">
        <v>453</v>
      </c>
      <c r="B182">
        <v>41</v>
      </c>
    </row>
    <row r="183" spans="1:2" x14ac:dyDescent="0.3">
      <c r="A183" t="s">
        <v>454</v>
      </c>
      <c r="B183">
        <v>42</v>
      </c>
    </row>
    <row r="184" spans="1:2" x14ac:dyDescent="0.3">
      <c r="A184" t="s">
        <v>455</v>
      </c>
      <c r="B184">
        <v>43</v>
      </c>
    </row>
    <row r="185" spans="1:2" x14ac:dyDescent="0.3">
      <c r="A185" t="s">
        <v>456</v>
      </c>
      <c r="B185">
        <v>44</v>
      </c>
    </row>
    <row r="186" spans="1:2" x14ac:dyDescent="0.3">
      <c r="A186" t="s">
        <v>457</v>
      </c>
      <c r="B186">
        <v>45</v>
      </c>
    </row>
    <row r="187" spans="1:2" x14ac:dyDescent="0.3">
      <c r="A187" t="s">
        <v>458</v>
      </c>
      <c r="B187">
        <v>46</v>
      </c>
    </row>
    <row r="188" spans="1:2" x14ac:dyDescent="0.3">
      <c r="A188" t="s">
        <v>459</v>
      </c>
      <c r="B188">
        <v>47</v>
      </c>
    </row>
    <row r="189" spans="1:2" x14ac:dyDescent="0.3">
      <c r="A189" t="s">
        <v>460</v>
      </c>
      <c r="B189">
        <v>48</v>
      </c>
    </row>
    <row r="190" spans="1:2" x14ac:dyDescent="0.3">
      <c r="A190" t="s">
        <v>461</v>
      </c>
      <c r="B190">
        <v>49</v>
      </c>
    </row>
    <row r="191" spans="1:2" x14ac:dyDescent="0.3">
      <c r="A191" t="s">
        <v>462</v>
      </c>
      <c r="B191">
        <v>50</v>
      </c>
    </row>
    <row r="192" spans="1:2" x14ac:dyDescent="0.3">
      <c r="A192" t="s">
        <v>463</v>
      </c>
      <c r="B192">
        <v>51</v>
      </c>
    </row>
    <row r="193" spans="1:2" x14ac:dyDescent="0.3">
      <c r="A193" t="s">
        <v>464</v>
      </c>
      <c r="B193">
        <v>52</v>
      </c>
    </row>
    <row r="194" spans="1:2" x14ac:dyDescent="0.3">
      <c r="A194" t="s">
        <v>465</v>
      </c>
      <c r="B194">
        <v>54</v>
      </c>
    </row>
    <row r="195" spans="1:2" x14ac:dyDescent="0.3">
      <c r="A195" t="s">
        <v>466</v>
      </c>
      <c r="B195">
        <v>55</v>
      </c>
    </row>
    <row r="196" spans="1:2" x14ac:dyDescent="0.3">
      <c r="A196" t="s">
        <v>467</v>
      </c>
      <c r="B196">
        <v>56</v>
      </c>
    </row>
    <row r="197" spans="1:2" x14ac:dyDescent="0.3">
      <c r="A197" t="s">
        <v>468</v>
      </c>
      <c r="B197">
        <v>57</v>
      </c>
    </row>
    <row r="198" spans="1:2" x14ac:dyDescent="0.3">
      <c r="A198" t="s">
        <v>469</v>
      </c>
      <c r="B198">
        <v>58</v>
      </c>
    </row>
    <row r="199" spans="1:2" x14ac:dyDescent="0.3">
      <c r="A199" t="s">
        <v>470</v>
      </c>
      <c r="B199">
        <v>59</v>
      </c>
    </row>
    <row r="200" spans="1:2" x14ac:dyDescent="0.3">
      <c r="A200" t="s">
        <v>471</v>
      </c>
      <c r="B200" t="s">
        <v>472</v>
      </c>
    </row>
    <row r="201" spans="1:2" x14ac:dyDescent="0.3">
      <c r="A201" t="s">
        <v>473</v>
      </c>
      <c r="B201" t="s">
        <v>474</v>
      </c>
    </row>
    <row r="202" spans="1:2" x14ac:dyDescent="0.3">
      <c r="A202" t="s">
        <v>475</v>
      </c>
      <c r="B202" t="s">
        <v>476</v>
      </c>
    </row>
    <row r="203" spans="1:2" x14ac:dyDescent="0.3">
      <c r="A203" t="s">
        <v>477</v>
      </c>
      <c r="B203" t="s">
        <v>478</v>
      </c>
    </row>
    <row r="204" spans="1:2" x14ac:dyDescent="0.3">
      <c r="A204" t="s">
        <v>479</v>
      </c>
      <c r="B204" t="s">
        <v>480</v>
      </c>
    </row>
    <row r="205" spans="1:2" x14ac:dyDescent="0.3">
      <c r="A205" t="s">
        <v>481</v>
      </c>
      <c r="B205" t="s">
        <v>482</v>
      </c>
    </row>
    <row r="206" spans="1:2" x14ac:dyDescent="0.3">
      <c r="A206" t="s">
        <v>483</v>
      </c>
      <c r="B206" t="s">
        <v>484</v>
      </c>
    </row>
    <row r="207" spans="1:2" x14ac:dyDescent="0.3">
      <c r="A207" t="s">
        <v>485</v>
      </c>
      <c r="B207" t="s">
        <v>486</v>
      </c>
    </row>
    <row r="208" spans="1:2" x14ac:dyDescent="0.3">
      <c r="A208" t="s">
        <v>487</v>
      </c>
      <c r="B208" t="s">
        <v>488</v>
      </c>
    </row>
    <row r="209" spans="1:23" x14ac:dyDescent="0.3">
      <c r="A209" t="s">
        <v>489</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3">
      <c r="A210" t="s">
        <v>490</v>
      </c>
      <c r="B210">
        <v>1</v>
      </c>
    </row>
    <row r="211" spans="1:23" x14ac:dyDescent="0.3">
      <c r="A211" t="s">
        <v>491</v>
      </c>
      <c r="B211">
        <v>2</v>
      </c>
    </row>
    <row r="212" spans="1:23" x14ac:dyDescent="0.3">
      <c r="A212" t="s">
        <v>492</v>
      </c>
      <c r="B212">
        <v>3</v>
      </c>
    </row>
    <row r="213" spans="1:23" x14ac:dyDescent="0.3">
      <c r="A213" t="s">
        <v>493</v>
      </c>
      <c r="B213">
        <v>4</v>
      </c>
    </row>
    <row r="214" spans="1:23" x14ac:dyDescent="0.3">
      <c r="A214" t="s">
        <v>494</v>
      </c>
      <c r="B214">
        <v>5</v>
      </c>
    </row>
    <row r="215" spans="1:23" x14ac:dyDescent="0.3">
      <c r="A215" t="s">
        <v>495</v>
      </c>
      <c r="B215">
        <v>6</v>
      </c>
    </row>
    <row r="216" spans="1:23" x14ac:dyDescent="0.3">
      <c r="A216" t="s">
        <v>496</v>
      </c>
      <c r="B216">
        <v>7</v>
      </c>
    </row>
    <row r="217" spans="1:23" x14ac:dyDescent="0.3">
      <c r="A217" t="s">
        <v>497</v>
      </c>
      <c r="B217">
        <v>9</v>
      </c>
    </row>
    <row r="218" spans="1:23" x14ac:dyDescent="0.3">
      <c r="A218" t="s">
        <v>498</v>
      </c>
      <c r="B218">
        <v>10</v>
      </c>
    </row>
    <row r="219" spans="1:23" x14ac:dyDescent="0.3">
      <c r="A219" t="s">
        <v>499</v>
      </c>
      <c r="B219">
        <v>11</v>
      </c>
    </row>
    <row r="220" spans="1:23" x14ac:dyDescent="0.3">
      <c r="A220" t="s">
        <v>500</v>
      </c>
      <c r="B220">
        <v>12</v>
      </c>
    </row>
    <row r="221" spans="1:23" x14ac:dyDescent="0.3">
      <c r="A221" t="s">
        <v>501</v>
      </c>
      <c r="B221">
        <v>13</v>
      </c>
    </row>
    <row r="222" spans="1:23" x14ac:dyDescent="0.3">
      <c r="A222" t="s">
        <v>502</v>
      </c>
      <c r="B222">
        <v>14</v>
      </c>
    </row>
    <row r="223" spans="1:23" x14ac:dyDescent="0.3">
      <c r="A223" t="s">
        <v>503</v>
      </c>
      <c r="B223">
        <v>15</v>
      </c>
    </row>
    <row r="224" spans="1:23" x14ac:dyDescent="0.3">
      <c r="A224" t="s">
        <v>504</v>
      </c>
      <c r="B224">
        <v>16</v>
      </c>
    </row>
    <row r="225" spans="1:2" x14ac:dyDescent="0.3">
      <c r="A225" t="s">
        <v>505</v>
      </c>
      <c r="B225">
        <v>17</v>
      </c>
    </row>
    <row r="226" spans="1:2" x14ac:dyDescent="0.3">
      <c r="A226" t="s">
        <v>506</v>
      </c>
      <c r="B226">
        <v>18</v>
      </c>
    </row>
    <row r="227" spans="1:2" x14ac:dyDescent="0.3">
      <c r="A227" t="s">
        <v>507</v>
      </c>
      <c r="B227">
        <v>19</v>
      </c>
    </row>
    <row r="228" spans="1:2" x14ac:dyDescent="0.3">
      <c r="A228" t="s">
        <v>508</v>
      </c>
      <c r="B228">
        <v>20</v>
      </c>
    </row>
    <row r="229" spans="1:2" x14ac:dyDescent="0.3">
      <c r="A229" t="s">
        <v>509</v>
      </c>
      <c r="B229">
        <v>21</v>
      </c>
    </row>
    <row r="230" spans="1:2" x14ac:dyDescent="0.3">
      <c r="A230" t="s">
        <v>510</v>
      </c>
      <c r="B230">
        <v>22</v>
      </c>
    </row>
    <row r="231" spans="1:2" x14ac:dyDescent="0.3">
      <c r="A231" t="s">
        <v>511</v>
      </c>
      <c r="B231">
        <v>23</v>
      </c>
    </row>
    <row r="232" spans="1:2" x14ac:dyDescent="0.3">
      <c r="A232" t="s">
        <v>512</v>
      </c>
      <c r="B232">
        <v>24</v>
      </c>
    </row>
    <row r="233" spans="1:2" x14ac:dyDescent="0.3">
      <c r="A233" t="s">
        <v>513</v>
      </c>
      <c r="B233">
        <v>25</v>
      </c>
    </row>
    <row r="234" spans="1:2" x14ac:dyDescent="0.3">
      <c r="A234" t="s">
        <v>514</v>
      </c>
      <c r="B234">
        <v>26</v>
      </c>
    </row>
    <row r="235" spans="1:2" x14ac:dyDescent="0.3">
      <c r="A235" t="s">
        <v>515</v>
      </c>
      <c r="B235">
        <v>27</v>
      </c>
    </row>
    <row r="236" spans="1:2" x14ac:dyDescent="0.3">
      <c r="A236" t="s">
        <v>516</v>
      </c>
      <c r="B236">
        <v>28</v>
      </c>
    </row>
    <row r="237" spans="1:2" x14ac:dyDescent="0.3">
      <c r="A237" t="s">
        <v>517</v>
      </c>
      <c r="B237">
        <v>29</v>
      </c>
    </row>
    <row r="238" spans="1:2" x14ac:dyDescent="0.3">
      <c r="A238" t="s">
        <v>518</v>
      </c>
      <c r="B238">
        <v>30</v>
      </c>
    </row>
    <row r="239" spans="1:2" x14ac:dyDescent="0.3">
      <c r="A239" t="s">
        <v>519</v>
      </c>
      <c r="B239">
        <v>31</v>
      </c>
    </row>
    <row r="240" spans="1:2" x14ac:dyDescent="0.3">
      <c r="A240" t="s">
        <v>520</v>
      </c>
      <c r="B240">
        <v>33</v>
      </c>
    </row>
    <row r="241" spans="1:2" x14ac:dyDescent="0.3">
      <c r="A241" t="s">
        <v>521</v>
      </c>
      <c r="B241">
        <v>34</v>
      </c>
    </row>
    <row r="242" spans="1:2" x14ac:dyDescent="0.3">
      <c r="A242" t="s">
        <v>522</v>
      </c>
      <c r="B242">
        <v>35</v>
      </c>
    </row>
    <row r="243" spans="1:2" x14ac:dyDescent="0.3">
      <c r="A243" t="s">
        <v>523</v>
      </c>
      <c r="B243">
        <v>36</v>
      </c>
    </row>
    <row r="244" spans="1:2" x14ac:dyDescent="0.3">
      <c r="A244" t="s">
        <v>524</v>
      </c>
      <c r="B244">
        <v>37</v>
      </c>
    </row>
    <row r="245" spans="1:2" x14ac:dyDescent="0.3">
      <c r="A245" t="s">
        <v>525</v>
      </c>
      <c r="B245">
        <v>38</v>
      </c>
    </row>
    <row r="246" spans="1:2" x14ac:dyDescent="0.3">
      <c r="A246" t="s">
        <v>526</v>
      </c>
      <c r="B246">
        <v>39</v>
      </c>
    </row>
    <row r="247" spans="1:2" x14ac:dyDescent="0.3">
      <c r="A247" t="s">
        <v>527</v>
      </c>
      <c r="B247">
        <v>40</v>
      </c>
    </row>
    <row r="248" spans="1:2" x14ac:dyDescent="0.3">
      <c r="A248" t="s">
        <v>528</v>
      </c>
      <c r="B248">
        <v>41</v>
      </c>
    </row>
    <row r="249" spans="1:2" x14ac:dyDescent="0.3">
      <c r="A249" t="s">
        <v>529</v>
      </c>
      <c r="B249">
        <v>42</v>
      </c>
    </row>
    <row r="250" spans="1:2" x14ac:dyDescent="0.3">
      <c r="A250" t="s">
        <v>530</v>
      </c>
      <c r="B250">
        <v>43</v>
      </c>
    </row>
    <row r="251" spans="1:2" x14ac:dyDescent="0.3">
      <c r="A251" t="s">
        <v>531</v>
      </c>
      <c r="B251">
        <v>44</v>
      </c>
    </row>
    <row r="252" spans="1:2" x14ac:dyDescent="0.3">
      <c r="A252" t="s">
        <v>532</v>
      </c>
      <c r="B252">
        <v>45</v>
      </c>
    </row>
    <row r="253" spans="1:2" x14ac:dyDescent="0.3">
      <c r="A253" t="s">
        <v>533</v>
      </c>
      <c r="B253">
        <v>46</v>
      </c>
    </row>
    <row r="254" spans="1:2" x14ac:dyDescent="0.3">
      <c r="A254" t="s">
        <v>534</v>
      </c>
      <c r="B254">
        <v>47</v>
      </c>
    </row>
    <row r="255" spans="1:2" x14ac:dyDescent="0.3">
      <c r="A255" t="s">
        <v>535</v>
      </c>
      <c r="B255">
        <v>48</v>
      </c>
    </row>
    <row r="256" spans="1:2" x14ac:dyDescent="0.3">
      <c r="A256" t="s">
        <v>536</v>
      </c>
      <c r="B256">
        <v>49</v>
      </c>
    </row>
    <row r="257" spans="1:2" x14ac:dyDescent="0.3">
      <c r="A257" t="s">
        <v>537</v>
      </c>
      <c r="B257">
        <v>50</v>
      </c>
    </row>
    <row r="258" spans="1:2" x14ac:dyDescent="0.3">
      <c r="A258" t="s">
        <v>538</v>
      </c>
      <c r="B258">
        <v>51</v>
      </c>
    </row>
    <row r="259" spans="1:2" x14ac:dyDescent="0.3">
      <c r="A259" t="s">
        <v>539</v>
      </c>
      <c r="B259">
        <v>52</v>
      </c>
    </row>
    <row r="260" spans="1:2" x14ac:dyDescent="0.3">
      <c r="A260" t="s">
        <v>540</v>
      </c>
      <c r="B260">
        <v>53</v>
      </c>
    </row>
    <row r="261" spans="1:2" x14ac:dyDescent="0.3">
      <c r="A261" t="s">
        <v>541</v>
      </c>
      <c r="B261">
        <v>54</v>
      </c>
    </row>
    <row r="262" spans="1:2" x14ac:dyDescent="0.3">
      <c r="A262" t="s">
        <v>542</v>
      </c>
      <c r="B262">
        <v>55</v>
      </c>
    </row>
    <row r="263" spans="1:2" x14ac:dyDescent="0.3">
      <c r="A263" t="s">
        <v>543</v>
      </c>
      <c r="B263">
        <v>57</v>
      </c>
    </row>
    <row r="264" spans="1:2" x14ac:dyDescent="0.3">
      <c r="A264" t="s">
        <v>544</v>
      </c>
      <c r="B264">
        <v>58</v>
      </c>
    </row>
    <row r="265" spans="1:2" x14ac:dyDescent="0.3">
      <c r="A265" t="s">
        <v>545</v>
      </c>
      <c r="B265">
        <v>59</v>
      </c>
    </row>
    <row r="266" spans="1:2" x14ac:dyDescent="0.3">
      <c r="A266" t="s">
        <v>546</v>
      </c>
      <c r="B266">
        <v>60</v>
      </c>
    </row>
    <row r="267" spans="1:2" x14ac:dyDescent="0.3">
      <c r="A267" t="s">
        <v>547</v>
      </c>
      <c r="B267">
        <v>62</v>
      </c>
    </row>
    <row r="268" spans="1:2" x14ac:dyDescent="0.3">
      <c r="A268" t="s">
        <v>548</v>
      </c>
      <c r="B268">
        <v>63</v>
      </c>
    </row>
    <row r="269" spans="1:2" x14ac:dyDescent="0.3">
      <c r="A269" t="s">
        <v>549</v>
      </c>
      <c r="B269">
        <v>64</v>
      </c>
    </row>
    <row r="270" spans="1:2" x14ac:dyDescent="0.3">
      <c r="A270" t="s">
        <v>550</v>
      </c>
      <c r="B270">
        <v>65</v>
      </c>
    </row>
    <row r="271" spans="1:2" x14ac:dyDescent="0.3">
      <c r="A271" t="s">
        <v>551</v>
      </c>
      <c r="B271">
        <v>66</v>
      </c>
    </row>
    <row r="272" spans="1:2" x14ac:dyDescent="0.3">
      <c r="A272" t="s">
        <v>552</v>
      </c>
      <c r="B272">
        <v>68</v>
      </c>
    </row>
    <row r="273" spans="1:24" x14ac:dyDescent="0.3">
      <c r="A273" t="s">
        <v>553</v>
      </c>
      <c r="B273">
        <v>69</v>
      </c>
    </row>
    <row r="274" spans="1:24" x14ac:dyDescent="0.3">
      <c r="A274" t="s">
        <v>554</v>
      </c>
      <c r="B274">
        <v>70</v>
      </c>
    </row>
    <row r="275" spans="1:24" x14ac:dyDescent="0.3">
      <c r="A275" t="s">
        <v>555</v>
      </c>
      <c r="B275">
        <v>71</v>
      </c>
    </row>
    <row r="276" spans="1:24" x14ac:dyDescent="0.3">
      <c r="A276" t="s">
        <v>556</v>
      </c>
      <c r="B276">
        <v>72</v>
      </c>
    </row>
    <row r="277" spans="1:24" x14ac:dyDescent="0.3">
      <c r="A277" t="s">
        <v>557</v>
      </c>
      <c r="B277" t="s">
        <v>558</v>
      </c>
    </row>
    <row r="278" spans="1:24" x14ac:dyDescent="0.3">
      <c r="A278" t="s">
        <v>559</v>
      </c>
      <c r="B278" t="s">
        <v>560</v>
      </c>
    </row>
    <row r="279" spans="1:24" x14ac:dyDescent="0.3">
      <c r="A279" t="s">
        <v>561</v>
      </c>
      <c r="B279" t="s">
        <v>562</v>
      </c>
    </row>
    <row r="280" spans="1:24" x14ac:dyDescent="0.3">
      <c r="A280" t="s">
        <v>563</v>
      </c>
      <c r="B280" t="s">
        <v>564</v>
      </c>
    </row>
    <row r="281" spans="1:24" x14ac:dyDescent="0.3">
      <c r="A281" t="s">
        <v>565</v>
      </c>
      <c r="B281" t="s">
        <v>566</v>
      </c>
    </row>
    <row r="282" spans="1:24" x14ac:dyDescent="0.3">
      <c r="A282" t="s">
        <v>567</v>
      </c>
      <c r="B282" t="s">
        <v>568</v>
      </c>
    </row>
    <row r="283" spans="1:24" x14ac:dyDescent="0.3">
      <c r="A283" t="s">
        <v>569</v>
      </c>
      <c r="B283" t="s">
        <v>570</v>
      </c>
    </row>
    <row r="284" spans="1:24" x14ac:dyDescent="0.3">
      <c r="A284" t="s">
        <v>571</v>
      </c>
      <c r="B284" t="s">
        <v>572</v>
      </c>
    </row>
    <row r="285" spans="1:24" x14ac:dyDescent="0.3">
      <c r="A285" t="s">
        <v>573</v>
      </c>
      <c r="B285" t="s">
        <v>574</v>
      </c>
    </row>
    <row r="286" spans="1:24" x14ac:dyDescent="0.3">
      <c r="A286" t="s">
        <v>575</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J47"/>
  <sheetViews>
    <sheetView tabSelected="1" zoomScale="70" zoomScaleNormal="70" workbookViewId="0">
      <pane xSplit="2" ySplit="4" topLeftCell="AZ11" activePane="bottomRight" state="frozen"/>
      <selection pane="topRight" activeCell="C1" sqref="C1"/>
      <selection pane="bottomLeft" activeCell="A5" sqref="A5"/>
      <selection pane="bottomRight" activeCell="I1" sqref="I1:AE1"/>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8" max="78" width="10" style="53" customWidth="1"/>
    <col min="79" max="79" width="10.33203125" style="53" customWidth="1"/>
  </cols>
  <sheetData>
    <row r="1" spans="1:88" ht="15" customHeight="1" x14ac:dyDescent="0.3">
      <c r="A1" s="75" t="s">
        <v>592</v>
      </c>
      <c r="B1" s="61"/>
      <c r="C1" s="61"/>
      <c r="D1" s="61"/>
      <c r="E1" s="61"/>
      <c r="F1" s="61"/>
      <c r="G1" s="61"/>
      <c r="I1" s="60" t="s">
        <v>596</v>
      </c>
      <c r="J1" s="61"/>
      <c r="K1" s="61"/>
      <c r="L1" s="61"/>
      <c r="M1" s="61"/>
      <c r="N1" s="61"/>
      <c r="O1" s="61"/>
      <c r="P1" s="61"/>
      <c r="Q1" s="61"/>
      <c r="R1" s="61"/>
      <c r="S1" s="61"/>
      <c r="T1" s="61"/>
      <c r="U1" s="61"/>
      <c r="V1" s="61"/>
      <c r="W1" s="61"/>
      <c r="X1" s="61"/>
      <c r="Y1" s="61"/>
      <c r="Z1" s="61"/>
      <c r="AA1" s="61"/>
      <c r="AB1" s="61"/>
      <c r="AC1" s="61"/>
      <c r="AD1" s="61"/>
      <c r="AE1" s="61"/>
      <c r="AG1" s="62" t="s">
        <v>595</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5">
      <c r="A2" s="71" t="s">
        <v>137</v>
      </c>
      <c r="B2" s="72" t="s">
        <v>138</v>
      </c>
      <c r="C2" s="71" t="s">
        <v>139</v>
      </c>
      <c r="D2" s="72" t="s">
        <v>140</v>
      </c>
      <c r="E2" s="71" t="s">
        <v>141</v>
      </c>
      <c r="F2" s="72" t="s">
        <v>142</v>
      </c>
      <c r="G2" s="71" t="s">
        <v>143</v>
      </c>
      <c r="I2" s="72" t="s">
        <v>144</v>
      </c>
      <c r="J2" s="73" t="s">
        <v>145</v>
      </c>
      <c r="K2" s="61"/>
      <c r="L2" s="61"/>
      <c r="M2" s="61"/>
      <c r="N2" s="71" t="s">
        <v>146</v>
      </c>
      <c r="O2" s="72" t="s">
        <v>147</v>
      </c>
      <c r="P2" s="71" t="s">
        <v>84</v>
      </c>
      <c r="Q2" s="72" t="s">
        <v>86</v>
      </c>
      <c r="R2" s="71" t="s">
        <v>82</v>
      </c>
      <c r="S2" s="74" t="s">
        <v>148</v>
      </c>
      <c r="T2" s="61"/>
      <c r="U2" s="61"/>
      <c r="V2" s="61"/>
      <c r="W2" s="73" t="s">
        <v>149</v>
      </c>
      <c r="X2" s="61"/>
      <c r="Y2" s="74" t="s">
        <v>150</v>
      </c>
      <c r="Z2" s="61"/>
      <c r="AA2" s="61"/>
      <c r="AB2" s="73" t="s">
        <v>151</v>
      </c>
      <c r="AC2" s="61"/>
      <c r="AD2" s="74" t="s">
        <v>152</v>
      </c>
      <c r="AE2" s="61"/>
      <c r="AG2" s="71" t="s">
        <v>144</v>
      </c>
      <c r="AH2" s="74" t="s">
        <v>145</v>
      </c>
      <c r="AI2" s="61"/>
      <c r="AJ2" s="61"/>
      <c r="AK2" s="61"/>
      <c r="AL2" s="72" t="s">
        <v>153</v>
      </c>
      <c r="AM2" s="71" t="s">
        <v>147</v>
      </c>
      <c r="AN2" s="72" t="s">
        <v>84</v>
      </c>
      <c r="AO2" s="71" t="s">
        <v>86</v>
      </c>
      <c r="AP2" s="72" t="s">
        <v>82</v>
      </c>
      <c r="AQ2" s="73" t="s">
        <v>148</v>
      </c>
      <c r="AR2" s="61"/>
      <c r="AS2" s="61"/>
      <c r="AT2" s="61"/>
      <c r="AU2" s="74" t="s">
        <v>149</v>
      </c>
      <c r="AV2" s="61"/>
      <c r="AW2" s="73" t="s">
        <v>150</v>
      </c>
      <c r="AX2" s="61"/>
      <c r="AY2" s="61"/>
      <c r="AZ2" s="74" t="s">
        <v>151</v>
      </c>
      <c r="BA2" s="61"/>
      <c r="BB2" s="73" t="s">
        <v>152</v>
      </c>
      <c r="BC2" s="61"/>
      <c r="BE2" s="72" t="s">
        <v>154</v>
      </c>
      <c r="BF2" s="71" t="s">
        <v>155</v>
      </c>
      <c r="BG2" s="72" t="s">
        <v>156</v>
      </c>
      <c r="BH2" s="71" t="s">
        <v>156</v>
      </c>
      <c r="BJ2" s="74" t="s">
        <v>5</v>
      </c>
      <c r="BK2" s="61"/>
      <c r="BL2" s="73" t="s">
        <v>6</v>
      </c>
      <c r="BM2" s="61"/>
      <c r="BN2" s="61"/>
      <c r="BP2" s="74" t="s">
        <v>7</v>
      </c>
      <c r="BQ2" s="61"/>
      <c r="BR2" s="73" t="s">
        <v>8</v>
      </c>
      <c r="BS2" s="61"/>
      <c r="BT2" s="61"/>
      <c r="BV2" s="77" t="s">
        <v>157</v>
      </c>
      <c r="BW2" s="78" t="s">
        <v>158</v>
      </c>
      <c r="BX2" s="77" t="s">
        <v>159</v>
      </c>
      <c r="BY2" s="76" t="s">
        <v>160</v>
      </c>
      <c r="BZ2" s="61"/>
      <c r="CA2" s="61"/>
      <c r="CB2" s="61"/>
      <c r="CC2" s="79" t="s">
        <v>161</v>
      </c>
      <c r="CD2" s="61"/>
      <c r="CE2" s="76" t="s">
        <v>162</v>
      </c>
      <c r="CF2" s="61"/>
      <c r="CG2" s="61"/>
    </row>
    <row r="3" spans="1:88" ht="30.75" customHeight="1" thickBot="1" x14ac:dyDescent="0.35">
      <c r="A3" s="64"/>
      <c r="B3" s="64"/>
      <c r="C3" s="64"/>
      <c r="D3" s="64"/>
      <c r="E3" s="64"/>
      <c r="F3" s="64"/>
      <c r="G3" s="64"/>
      <c r="I3" s="64"/>
      <c r="J3" s="56" t="s">
        <v>25</v>
      </c>
      <c r="K3" s="56" t="s">
        <v>23</v>
      </c>
      <c r="L3" s="56" t="s">
        <v>163</v>
      </c>
      <c r="M3" s="56" t="s">
        <v>164</v>
      </c>
      <c r="N3" s="64"/>
      <c r="O3" s="64"/>
      <c r="P3" s="64"/>
      <c r="Q3" s="64"/>
      <c r="R3" s="64"/>
      <c r="S3" s="57" t="s">
        <v>25</v>
      </c>
      <c r="T3" s="57" t="s">
        <v>163</v>
      </c>
      <c r="U3" s="57" t="s">
        <v>165</v>
      </c>
      <c r="V3" s="57" t="s">
        <v>24</v>
      </c>
      <c r="W3" s="56" t="s">
        <v>9</v>
      </c>
      <c r="X3" s="56" t="s">
        <v>10</v>
      </c>
      <c r="Y3" s="57" t="s">
        <v>11</v>
      </c>
      <c r="Z3" s="57" t="s">
        <v>12</v>
      </c>
      <c r="AA3" s="57" t="s">
        <v>13</v>
      </c>
      <c r="AB3" s="56" t="s">
        <v>166</v>
      </c>
      <c r="AC3" s="56" t="s">
        <v>167</v>
      </c>
      <c r="AD3" s="57" t="s">
        <v>166</v>
      </c>
      <c r="AE3" s="57" t="s">
        <v>167</v>
      </c>
      <c r="AG3" s="64"/>
      <c r="AH3" s="57" t="s">
        <v>25</v>
      </c>
      <c r="AI3" s="57" t="s">
        <v>23</v>
      </c>
      <c r="AJ3" s="57" t="s">
        <v>163</v>
      </c>
      <c r="AK3" s="57" t="s">
        <v>164</v>
      </c>
      <c r="AL3" s="64"/>
      <c r="AM3" s="64"/>
      <c r="AN3" s="64"/>
      <c r="AO3" s="64"/>
      <c r="AP3" s="64"/>
      <c r="AQ3" s="56" t="s">
        <v>25</v>
      </c>
      <c r="AR3" s="56" t="s">
        <v>163</v>
      </c>
      <c r="AS3" s="56" t="s">
        <v>165</v>
      </c>
      <c r="AT3" s="56" t="s">
        <v>24</v>
      </c>
      <c r="AU3" s="57" t="s">
        <v>9</v>
      </c>
      <c r="AV3" s="57" t="s">
        <v>10</v>
      </c>
      <c r="AW3" s="56" t="s">
        <v>11</v>
      </c>
      <c r="AX3" s="56" t="s">
        <v>12</v>
      </c>
      <c r="AY3" s="56" t="s">
        <v>13</v>
      </c>
      <c r="AZ3" s="57" t="s">
        <v>166</v>
      </c>
      <c r="BA3" s="57" t="s">
        <v>167</v>
      </c>
      <c r="BB3" s="56" t="s">
        <v>166</v>
      </c>
      <c r="BC3" s="56" t="s">
        <v>167</v>
      </c>
      <c r="BE3" s="64"/>
      <c r="BF3" s="64"/>
      <c r="BG3" s="64"/>
      <c r="BH3" s="64"/>
      <c r="BJ3" s="57" t="s">
        <v>9</v>
      </c>
      <c r="BK3" s="57" t="s">
        <v>10</v>
      </c>
      <c r="BL3" s="56" t="s">
        <v>11</v>
      </c>
      <c r="BM3" s="56" t="s">
        <v>12</v>
      </c>
      <c r="BN3" s="56" t="s">
        <v>13</v>
      </c>
      <c r="BP3" s="57" t="s">
        <v>9</v>
      </c>
      <c r="BQ3" s="57" t="s">
        <v>10</v>
      </c>
      <c r="BR3" s="56" t="s">
        <v>11</v>
      </c>
      <c r="BS3" s="56" t="s">
        <v>12</v>
      </c>
      <c r="BT3" s="56" t="s">
        <v>13</v>
      </c>
      <c r="BV3" s="64"/>
      <c r="BW3" s="64"/>
      <c r="BX3" s="64"/>
      <c r="BY3" s="59" t="s">
        <v>25</v>
      </c>
      <c r="BZ3" s="59" t="s">
        <v>163</v>
      </c>
      <c r="CA3" s="59" t="s">
        <v>165</v>
      </c>
      <c r="CB3" s="59" t="s">
        <v>24</v>
      </c>
      <c r="CC3" s="58" t="s">
        <v>9</v>
      </c>
      <c r="CD3" s="58" t="s">
        <v>10</v>
      </c>
      <c r="CE3" s="59" t="s">
        <v>11</v>
      </c>
      <c r="CF3" s="59" t="s">
        <v>12</v>
      </c>
      <c r="CG3" s="59" t="s">
        <v>13</v>
      </c>
    </row>
    <row r="4" spans="1:88" ht="123" hidden="1" customHeight="1" thickBot="1" x14ac:dyDescent="0.35">
      <c r="A4" s="8" t="s">
        <v>168</v>
      </c>
      <c r="B4" s="9" t="s">
        <v>169</v>
      </c>
      <c r="C4" s="8" t="s">
        <v>170</v>
      </c>
      <c r="D4" s="9" t="s">
        <v>171</v>
      </c>
      <c r="E4" s="8" t="s">
        <v>172</v>
      </c>
      <c r="F4" s="9" t="s">
        <v>173</v>
      </c>
      <c r="G4" s="8" t="s">
        <v>174</v>
      </c>
      <c r="I4" s="9" t="s">
        <v>175</v>
      </c>
      <c r="J4" s="8" t="s">
        <v>176</v>
      </c>
      <c r="K4" s="8" t="s">
        <v>177</v>
      </c>
      <c r="L4" s="8" t="s">
        <v>178</v>
      </c>
      <c r="M4" s="8" t="s">
        <v>179</v>
      </c>
      <c r="N4" s="8" t="s">
        <v>180</v>
      </c>
      <c r="O4" s="9" t="s">
        <v>181</v>
      </c>
      <c r="P4" s="8" t="s">
        <v>182</v>
      </c>
      <c r="Q4" s="9" t="s">
        <v>183</v>
      </c>
      <c r="R4" s="8" t="s">
        <v>184</v>
      </c>
      <c r="S4" s="9" t="s">
        <v>185</v>
      </c>
      <c r="T4" s="9" t="s">
        <v>186</v>
      </c>
      <c r="U4" s="9" t="s">
        <v>187</v>
      </c>
      <c r="V4" s="9" t="s">
        <v>188</v>
      </c>
      <c r="W4" s="8" t="s">
        <v>189</v>
      </c>
      <c r="X4" s="8" t="s">
        <v>190</v>
      </c>
      <c r="Y4" s="9" t="s">
        <v>191</v>
      </c>
      <c r="Z4" s="9" t="s">
        <v>192</v>
      </c>
      <c r="AA4" s="9" t="s">
        <v>193</v>
      </c>
      <c r="AB4" s="8" t="s">
        <v>194</v>
      </c>
      <c r="AC4" s="8" t="s">
        <v>195</v>
      </c>
      <c r="AD4" s="9" t="s">
        <v>196</v>
      </c>
      <c r="AE4" s="9" t="s">
        <v>197</v>
      </c>
      <c r="AG4" s="8" t="s">
        <v>198</v>
      </c>
      <c r="AH4" s="9" t="s">
        <v>199</v>
      </c>
      <c r="AI4" s="9" t="s">
        <v>200</v>
      </c>
      <c r="AJ4" s="9" t="s">
        <v>201</v>
      </c>
      <c r="AK4" s="9" t="s">
        <v>202</v>
      </c>
      <c r="AL4" s="9" t="s">
        <v>203</v>
      </c>
      <c r="AM4" s="8" t="s">
        <v>204</v>
      </c>
      <c r="AN4" s="9" t="s">
        <v>205</v>
      </c>
      <c r="AO4" s="8" t="s">
        <v>206</v>
      </c>
      <c r="AP4" s="9" t="s">
        <v>207</v>
      </c>
      <c r="AQ4" s="8" t="s">
        <v>208</v>
      </c>
      <c r="AR4" s="8" t="s">
        <v>209</v>
      </c>
      <c r="AS4" s="8" t="s">
        <v>210</v>
      </c>
      <c r="AT4" s="8" t="s">
        <v>211</v>
      </c>
      <c r="AU4" s="9" t="s">
        <v>212</v>
      </c>
      <c r="AV4" s="9" t="s">
        <v>213</v>
      </c>
      <c r="AW4" s="8" t="s">
        <v>214</v>
      </c>
      <c r="AX4" s="8" t="s">
        <v>215</v>
      </c>
      <c r="AY4" s="8" t="s">
        <v>216</v>
      </c>
      <c r="AZ4" s="9" t="s">
        <v>217</v>
      </c>
      <c r="BA4" s="9" t="s">
        <v>218</v>
      </c>
      <c r="BB4" s="8" t="s">
        <v>219</v>
      </c>
      <c r="BC4" s="8" t="s">
        <v>220</v>
      </c>
      <c r="BE4" s="9" t="s">
        <v>221</v>
      </c>
      <c r="BF4" s="8" t="s">
        <v>222</v>
      </c>
      <c r="BG4" s="9" t="s">
        <v>223</v>
      </c>
      <c r="BH4" s="8" t="s">
        <v>224</v>
      </c>
      <c r="BJ4" s="9" t="s">
        <v>225</v>
      </c>
      <c r="BK4" s="9" t="s">
        <v>226</v>
      </c>
      <c r="BL4" s="8" t="s">
        <v>227</v>
      </c>
      <c r="BM4" s="8" t="s">
        <v>228</v>
      </c>
      <c r="BN4" s="8" t="s">
        <v>229</v>
      </c>
      <c r="BP4" s="9" t="s">
        <v>230</v>
      </c>
      <c r="BQ4" s="9" t="s">
        <v>231</v>
      </c>
      <c r="BR4" s="8" t="s">
        <v>232</v>
      </c>
      <c r="BS4" s="8" t="s">
        <v>233</v>
      </c>
      <c r="BT4" s="8" t="s">
        <v>234</v>
      </c>
    </row>
    <row r="5" spans="1:88" x14ac:dyDescent="0.3">
      <c r="A5" s="10" t="s">
        <v>235</v>
      </c>
      <c r="B5" s="10" t="s">
        <v>49</v>
      </c>
      <c r="C5" s="11" t="s">
        <v>236</v>
      </c>
      <c r="D5" s="10">
        <v>24964341</v>
      </c>
      <c r="E5" s="11">
        <v>10</v>
      </c>
      <c r="F5" s="11">
        <v>32</v>
      </c>
      <c r="G5" s="11">
        <v>30</v>
      </c>
      <c r="I5" s="12">
        <f t="shared" ref="I5:I39" si="0">IF(OR(ISBLANK(S5),ISBLANK(G5)),"·",S5*G5/F5/1000000)</f>
        <v>1.0436924999999999</v>
      </c>
      <c r="J5" s="13">
        <f t="shared" ref="J5:J39" si="1">IF(ISBLANK(S5),"·",S5/D5)</f>
        <v>4.4594487793609291E-2</v>
      </c>
      <c r="K5" s="13">
        <f t="shared" ref="K5:K39" si="2">IF(N5="","·",N5/D5)</f>
        <v>3.8707691102280652E-2</v>
      </c>
      <c r="L5" s="13">
        <f t="shared" ref="L5:L39" si="3">IF(T5="","·",T5/D5)</f>
        <v>2.4335511199754883E-2</v>
      </c>
      <c r="M5" s="13">
        <f t="shared" ref="M5:M39" si="4">IF(ISBLANK(V5),"·",V5/D5)</f>
        <v>5.8867966913286433E-3</v>
      </c>
      <c r="N5" s="10">
        <f t="shared" ref="N5:N39" si="5">IF(OR(ISBLANK(T5),ISBLANK(U5)),"",T5+U5)</f>
        <v>966312</v>
      </c>
      <c r="O5" s="13">
        <f t="shared" ref="O5:O39" si="6">IF(ISBLANK(S5),"·",S5/P5)</f>
        <v>4.7208130502108606E-2</v>
      </c>
      <c r="P5" s="14">
        <v>23582209</v>
      </c>
      <c r="Q5" s="14">
        <v>736944.03125</v>
      </c>
      <c r="R5" s="14">
        <v>16792.40625</v>
      </c>
      <c r="S5" s="15">
        <v>1113272</v>
      </c>
      <c r="T5" s="15">
        <v>607520</v>
      </c>
      <c r="U5" s="15">
        <v>358792</v>
      </c>
      <c r="V5" s="15">
        <v>146960</v>
      </c>
      <c r="W5" s="16">
        <v>66.845137499999893</v>
      </c>
      <c r="X5" s="16">
        <v>68.608421874999905</v>
      </c>
      <c r="Y5" s="16">
        <v>31.730015625</v>
      </c>
      <c r="Z5" s="16">
        <v>44.595053125</v>
      </c>
      <c r="AA5" s="16">
        <v>44.053890625000001</v>
      </c>
      <c r="AB5" s="17">
        <v>3232.57</v>
      </c>
      <c r="AC5" s="17">
        <v>4179.6099999999997</v>
      </c>
      <c r="AD5" s="17">
        <v>7.43</v>
      </c>
      <c r="AE5" s="17">
        <v>22.434999999999999</v>
      </c>
      <c r="AG5" s="12">
        <f t="shared" ref="AG5:AG39" si="7">IF(OR(ISBLANK(AQ5),ISBLANK(G5)),"·",AQ5*G5/F5/1000000)</f>
        <v>1.0436924999999999</v>
      </c>
      <c r="AH5" s="13">
        <f t="shared" ref="AH5:AH39" si="8">IF(ISBLANK(AQ5),"·",AQ5/D5)</f>
        <v>4.4594487793609291E-2</v>
      </c>
      <c r="AI5" s="13">
        <f t="shared" ref="AI5:AI39" si="9">IF(AL5="","·",AL5/D5)</f>
        <v>3.8707691102280652E-2</v>
      </c>
      <c r="AJ5" s="13">
        <f t="shared" ref="AJ5:AJ39" si="10">IF(AR5="","·",AR5/D5)</f>
        <v>2.4335511199754883E-2</v>
      </c>
      <c r="AK5" s="13">
        <f t="shared" ref="AK5:AK39" si="11">IF(ISBLANK(AT5),"·",AT5/D5)</f>
        <v>5.8867966913286433E-3</v>
      </c>
      <c r="AL5" s="10">
        <f t="shared" ref="AL5:AL39" si="12">IF(OR(ISBLANK(AR5),ISBLANK(AS5)),"",AR5+AS5)</f>
        <v>966312</v>
      </c>
      <c r="AM5" s="13">
        <f t="shared" ref="AM5:AM39" si="13">IF(ISBLANK(AQ5),"·",AQ5/AN5)</f>
        <v>4.7208130502108606E-2</v>
      </c>
      <c r="AN5" s="14">
        <v>23582209</v>
      </c>
      <c r="AO5" s="14">
        <v>736944.03125</v>
      </c>
      <c r="AP5" s="14">
        <v>16792.40625</v>
      </c>
      <c r="AQ5" s="15">
        <v>1113272</v>
      </c>
      <c r="AR5" s="15">
        <v>607520</v>
      </c>
      <c r="AS5" s="15">
        <v>358792</v>
      </c>
      <c r="AT5" s="15">
        <v>146960</v>
      </c>
      <c r="AU5" s="16">
        <v>66.845137500000007</v>
      </c>
      <c r="AV5" s="16">
        <v>68.608421875000005</v>
      </c>
      <c r="AW5" s="16">
        <v>31.730015625</v>
      </c>
      <c r="AX5" s="16">
        <v>44.595053125</v>
      </c>
      <c r="AY5" s="16">
        <v>44.053890625000001</v>
      </c>
      <c r="AZ5" s="17">
        <v>4792.78</v>
      </c>
      <c r="BA5" s="17">
        <v>5475.4</v>
      </c>
      <c r="BB5" s="17">
        <v>7.742</v>
      </c>
      <c r="BC5" s="17">
        <v>23.818000000000001</v>
      </c>
      <c r="BE5" s="18">
        <f t="shared" ref="BE5:BE43" si="14">AI5/K5</f>
        <v>1</v>
      </c>
      <c r="BF5" s="19">
        <f t="shared" ref="BF5:BF39" si="15">(AP5/AO5) - (R5/Q5)</f>
        <v>0</v>
      </c>
      <c r="BG5" s="19">
        <f t="shared" ref="BG5:BG39" si="16">(AL5/AQ5) - (N5/S5)</f>
        <v>0</v>
      </c>
      <c r="BH5" s="19">
        <f t="array" ref="BH5">AVERAGE(AL5:AL9/AQ5:AQ9) - AVERAGE(N5:N9/S5:S9)</f>
        <v>0</v>
      </c>
      <c r="BJ5" s="18">
        <f>IF( OR(ISBLANK(N5:N9),ISBLANK(AL5:AL9), ISBLANK(W5:W9),ISBLANK(AU5:AU9)), "·", bdRateExtend( N5:N9,W5:W9, AL5:AL9,AU5:AU9))</f>
        <v>-1.4432899320127035E-14</v>
      </c>
      <c r="BK5" s="18">
        <f>IF( OR(ISBLANK(N5:N9),ISBLANK(AL5:AL9), ISBLANK(X5:X9),ISBLANK(AV5:AV9)), "·", bdRateExtend( N5:N9,X5:X9, AL5:AL9,AV5:AV9))</f>
        <v>0</v>
      </c>
      <c r="BL5" s="18">
        <f>IF( OR(ISBLANK(V5:V9),ISBLANK(AT5:AT9), ISBLANK(Y5:Y9),ISBLANK(AW5:AW9)), "·", bdRateExtend( V5:V9,Y5:Y9, AT5:AT9,AW5:AW9))</f>
        <v>0</v>
      </c>
      <c r="BM5" s="18">
        <f>IF( OR(ISBLANK(V5:V9),ISBLANK(AT5:AT9), ISBLANK(Z5:Z9),ISBLANK(AX5:AX9)), "·", bdRateExtend( V5:V9,Z5:Z9, AT5:AT9,AX5:AX9))</f>
        <v>-2.9531932455029164E-14</v>
      </c>
      <c r="BN5" s="18">
        <f>IF( OR(ISBLANK(V5:V9),ISBLANK(AT5:AT9), ISBLANK(AA5:AA9),ISBLANK(AY5:AY9)), "·", bdRateExtend( V5:V9,AA5:AA9, AT5:AT9,AY5:AY9))</f>
        <v>-2.886579864025407E-15</v>
      </c>
      <c r="BP5" s="18">
        <f>IF( OR(ISBLANK(S5:S9),ISBLANK(AQ5:AQ9), ISBLANK(W5:W9),ISBLANK(AU5:AU9)), "·", bdRateExtend( S5:S9,W5:W9, AQ5:AQ9,AU5:AU9))</f>
        <v>-9.5479180117763462E-15</v>
      </c>
      <c r="BQ5" s="18">
        <f>IF( OR(ISBLANK(S5:S9),ISBLANK(AQ5:AQ9), ISBLANK(X5:X9),ISBLANK(AV5:AV9)), "·", bdRateExtend( S5:S9,X5:X9, AQ5:AQ9,AV5:AV9))</f>
        <v>0</v>
      </c>
      <c r="BR5" s="18">
        <f>IF( OR(ISBLANK(S5:S9),ISBLANK(AQ5:AQ9), ISBLANK(Y5:Y9),ISBLANK(AW5:AW9)), "·", bdRateExtend( S5:S9,Y5:Y9, AQ5:AQ9,AW5:AW9))</f>
        <v>0</v>
      </c>
      <c r="BS5" s="18">
        <f>IF( OR(ISBLANK(S5:S9),ISBLANK(AQ5:AQ9), ISBLANK(Z5:Z9),ISBLANK(AX5:AX9)), "·", bdRateExtend( S5:S9,Z5:Z9, AQ5:AQ9,AX5:AX9))</f>
        <v>-1.1546319456101628E-14</v>
      </c>
      <c r="BT5" s="18">
        <f>IF( OR(ISBLANK(S5:S9),ISBLANK(AQ5:AQ9), ISBLANK(AA5:AA9),ISBLANK(AY5:AY9)), "·", bdRateExtend( S5:S9,AA5:AA9, AQ5:AQ9,AY5:AY9))</f>
        <v>-8.659739592076221E-15</v>
      </c>
      <c r="BV5">
        <f t="shared" ref="BV5:BV39" si="17">AN5-P5</f>
        <v>0</v>
      </c>
      <c r="BW5">
        <f t="shared" ref="BW5:BW39" si="18">AO5-Q5</f>
        <v>0</v>
      </c>
      <c r="BX5">
        <f t="shared" ref="BX5:BX39" si="19">AP5-R5</f>
        <v>0</v>
      </c>
      <c r="BY5">
        <f t="shared" ref="BY5:BY39" si="20">AQ5-S5</f>
        <v>0</v>
      </c>
      <c r="BZ5">
        <f t="shared" ref="BZ5:BZ39" si="21">AR5-T5</f>
        <v>0</v>
      </c>
      <c r="CA5">
        <f t="shared" ref="CA5:CA39" si="22">AS5-U5</f>
        <v>0</v>
      </c>
      <c r="CB5">
        <f t="shared" ref="CB5:CB39" si="23">AT5-V5</f>
        <v>0</v>
      </c>
      <c r="CC5">
        <f t="shared" ref="CC5:CC39" si="24">AU5-W5</f>
        <v>1.1368683772161603E-13</v>
      </c>
      <c r="CD5">
        <f t="shared" ref="CD5:CD39" si="25">AV5-X5</f>
        <v>0</v>
      </c>
      <c r="CE5">
        <f t="shared" ref="CE5:CE39" si="26">AW5-Y5</f>
        <v>0</v>
      </c>
      <c r="CF5">
        <f t="shared" ref="CF5:CF39" si="27">AX5-Z5</f>
        <v>0</v>
      </c>
      <c r="CG5">
        <f t="shared" ref="CG5:CG39" si="28">AY5-AA5</f>
        <v>0</v>
      </c>
      <c r="CJ5" t="s">
        <v>237</v>
      </c>
    </row>
    <row r="6" spans="1:88" outlineLevel="1" x14ac:dyDescent="0.3">
      <c r="A6" s="20"/>
      <c r="B6" s="20" t="s">
        <v>49</v>
      </c>
      <c r="C6" s="21" t="s">
        <v>238</v>
      </c>
      <c r="D6" s="20">
        <v>24964341</v>
      </c>
      <c r="E6" s="21">
        <v>10</v>
      </c>
      <c r="F6" s="21">
        <v>32</v>
      </c>
      <c r="G6" s="21">
        <v>30</v>
      </c>
      <c r="I6" s="22">
        <f t="shared" si="0"/>
        <v>1.3575075000000001</v>
      </c>
      <c r="J6" s="23">
        <f t="shared" si="1"/>
        <v>5.8003053235012293E-2</v>
      </c>
      <c r="K6" s="23">
        <f t="shared" si="2"/>
        <v>4.7200124369395531E-2</v>
      </c>
      <c r="L6" s="23">
        <f t="shared" si="3"/>
        <v>3.2827944466869763E-2</v>
      </c>
      <c r="M6" s="23">
        <f t="shared" si="4"/>
        <v>1.080292886561676E-2</v>
      </c>
      <c r="N6" s="20">
        <f t="shared" si="5"/>
        <v>1178320</v>
      </c>
      <c r="O6" s="23">
        <f t="shared" si="6"/>
        <v>5.8440437556636561E-2</v>
      </c>
      <c r="P6" s="24">
        <v>24777501</v>
      </c>
      <c r="Q6" s="24">
        <v>774296.90625</v>
      </c>
      <c r="R6" s="24">
        <v>19737.75</v>
      </c>
      <c r="S6" s="25">
        <v>1448008</v>
      </c>
      <c r="T6" s="25">
        <v>819528</v>
      </c>
      <c r="U6" s="25">
        <v>358792</v>
      </c>
      <c r="V6" s="25">
        <v>269688</v>
      </c>
      <c r="W6" s="26">
        <v>68.551974999999999</v>
      </c>
      <c r="X6" s="26">
        <v>70.611215625</v>
      </c>
      <c r="Y6" s="26">
        <v>33.799199999999999</v>
      </c>
      <c r="Z6" s="26">
        <v>45.319037499999901</v>
      </c>
      <c r="AA6" s="26">
        <v>45.065193749999999</v>
      </c>
      <c r="AB6" s="27">
        <v>3227.1</v>
      </c>
      <c r="AC6" s="27">
        <v>4443.37</v>
      </c>
      <c r="AD6" s="27">
        <v>7.6790000000000003</v>
      </c>
      <c r="AE6" s="27">
        <v>22.763000000000002</v>
      </c>
      <c r="AG6" s="22">
        <f t="shared" si="7"/>
        <v>1.3575075000000001</v>
      </c>
      <c r="AH6" s="23">
        <f t="shared" si="8"/>
        <v>5.8003053235012293E-2</v>
      </c>
      <c r="AI6" s="23">
        <f t="shared" si="9"/>
        <v>4.7200124369395531E-2</v>
      </c>
      <c r="AJ6" s="23">
        <f t="shared" si="10"/>
        <v>3.2827944466869763E-2</v>
      </c>
      <c r="AK6" s="23">
        <f t="shared" si="11"/>
        <v>1.080292886561676E-2</v>
      </c>
      <c r="AL6" s="20">
        <f t="shared" si="12"/>
        <v>1178320</v>
      </c>
      <c r="AM6" s="23">
        <f t="shared" si="13"/>
        <v>5.8440437556636561E-2</v>
      </c>
      <c r="AN6" s="24">
        <v>24777501</v>
      </c>
      <c r="AO6" s="24">
        <v>774296.90625</v>
      </c>
      <c r="AP6" s="24">
        <v>19737.75</v>
      </c>
      <c r="AQ6" s="25">
        <v>1448008</v>
      </c>
      <c r="AR6" s="25">
        <v>819528</v>
      </c>
      <c r="AS6" s="25">
        <v>358792</v>
      </c>
      <c r="AT6" s="25">
        <v>269688</v>
      </c>
      <c r="AU6" s="26">
        <v>68.551974999999999</v>
      </c>
      <c r="AV6" s="26">
        <v>70.611215625</v>
      </c>
      <c r="AW6" s="26">
        <v>33.799199999999999</v>
      </c>
      <c r="AX6" s="26">
        <v>45.3190375</v>
      </c>
      <c r="AY6" s="26">
        <v>45.065193749999999</v>
      </c>
      <c r="AZ6" s="27">
        <v>4882.0600000000004</v>
      </c>
      <c r="BA6" s="27">
        <v>5991.21</v>
      </c>
      <c r="BB6" s="27">
        <v>7.5659999999999998</v>
      </c>
      <c r="BC6" s="27">
        <v>26.294</v>
      </c>
      <c r="BE6" s="28">
        <f t="shared" si="14"/>
        <v>1</v>
      </c>
      <c r="BF6" s="29">
        <f t="shared" si="15"/>
        <v>0</v>
      </c>
      <c r="BG6" s="29">
        <f t="shared" si="16"/>
        <v>0</v>
      </c>
      <c r="BH6" s="29"/>
      <c r="BJ6" s="28"/>
      <c r="BK6" s="28"/>
      <c r="BL6" s="28"/>
      <c r="BM6" s="28"/>
      <c r="BN6" s="28"/>
      <c r="BP6" s="28"/>
      <c r="BQ6" s="28"/>
      <c r="BR6" s="28"/>
      <c r="BS6" s="28"/>
      <c r="BT6" s="28"/>
      <c r="BV6">
        <f t="shared" si="17"/>
        <v>0</v>
      </c>
      <c r="BW6">
        <f t="shared" si="18"/>
        <v>0</v>
      </c>
      <c r="BX6">
        <f t="shared" si="19"/>
        <v>0</v>
      </c>
      <c r="BY6">
        <f t="shared" si="20"/>
        <v>0</v>
      </c>
      <c r="BZ6">
        <f t="shared" si="21"/>
        <v>0</v>
      </c>
      <c r="CA6">
        <f t="shared" si="22"/>
        <v>0</v>
      </c>
      <c r="CB6">
        <f t="shared" si="23"/>
        <v>0</v>
      </c>
      <c r="CC6">
        <f t="shared" si="24"/>
        <v>0</v>
      </c>
      <c r="CD6">
        <f t="shared" si="25"/>
        <v>0</v>
      </c>
      <c r="CE6">
        <f t="shared" si="26"/>
        <v>0</v>
      </c>
      <c r="CF6">
        <f t="shared" si="27"/>
        <v>9.9475983006414026E-14</v>
      </c>
      <c r="CG6">
        <f t="shared" si="28"/>
        <v>0</v>
      </c>
      <c r="CJ6" t="s">
        <v>237</v>
      </c>
    </row>
    <row r="7" spans="1:88" outlineLevel="1" x14ac:dyDescent="0.3">
      <c r="A7" s="10"/>
      <c r="B7" s="10" t="s">
        <v>49</v>
      </c>
      <c r="C7" s="11" t="s">
        <v>239</v>
      </c>
      <c r="D7" s="10">
        <v>24964341</v>
      </c>
      <c r="E7" s="11">
        <v>10</v>
      </c>
      <c r="F7" s="11">
        <v>32</v>
      </c>
      <c r="G7" s="11">
        <v>30</v>
      </c>
      <c r="I7" s="12">
        <f t="shared" si="0"/>
        <v>1.8771074999999999</v>
      </c>
      <c r="J7" s="13">
        <f t="shared" si="1"/>
        <v>8.0204320234209273E-2</v>
      </c>
      <c r="K7" s="13">
        <f t="shared" si="2"/>
        <v>5.8634353696738882E-2</v>
      </c>
      <c r="L7" s="13">
        <f t="shared" si="3"/>
        <v>4.4262173794213114E-2</v>
      </c>
      <c r="M7" s="13">
        <f t="shared" si="4"/>
        <v>2.1569966537470387E-2</v>
      </c>
      <c r="N7" s="10">
        <f t="shared" si="5"/>
        <v>1463768</v>
      </c>
      <c r="O7" s="13">
        <f t="shared" si="6"/>
        <v>8.0335089840579077E-2</v>
      </c>
      <c r="P7" s="14">
        <v>24923704</v>
      </c>
      <c r="Q7" s="14">
        <v>778865.75</v>
      </c>
      <c r="R7" s="14">
        <v>20929.5625</v>
      </c>
      <c r="S7" s="15">
        <v>2002248</v>
      </c>
      <c r="T7" s="15">
        <v>1104976</v>
      </c>
      <c r="U7" s="15">
        <v>358792</v>
      </c>
      <c r="V7" s="15">
        <v>538480</v>
      </c>
      <c r="W7" s="16">
        <v>69.837631249999902</v>
      </c>
      <c r="X7" s="16">
        <v>72.26194375</v>
      </c>
      <c r="Y7" s="16">
        <v>36.203071874999999</v>
      </c>
      <c r="Z7" s="16">
        <v>46.821378124999903</v>
      </c>
      <c r="AA7" s="16">
        <v>46.664131249999997</v>
      </c>
      <c r="AB7" s="17">
        <v>3274.11</v>
      </c>
      <c r="AC7" s="17">
        <v>4711.1099999999997</v>
      </c>
      <c r="AD7" s="17">
        <v>7.8440000000000003</v>
      </c>
      <c r="AE7" s="17">
        <v>24.062000000000001</v>
      </c>
      <c r="AG7" s="12">
        <f t="shared" si="7"/>
        <v>1.8771074999999999</v>
      </c>
      <c r="AH7" s="13">
        <f t="shared" si="8"/>
        <v>8.0204320234209273E-2</v>
      </c>
      <c r="AI7" s="13">
        <f t="shared" si="9"/>
        <v>5.8634353696738882E-2</v>
      </c>
      <c r="AJ7" s="13">
        <f t="shared" si="10"/>
        <v>4.4262173794213114E-2</v>
      </c>
      <c r="AK7" s="13">
        <f t="shared" si="11"/>
        <v>2.1569966537470387E-2</v>
      </c>
      <c r="AL7" s="10">
        <f t="shared" si="12"/>
        <v>1463768</v>
      </c>
      <c r="AM7" s="13">
        <f t="shared" si="13"/>
        <v>8.0335089840579077E-2</v>
      </c>
      <c r="AN7" s="14">
        <v>24923704</v>
      </c>
      <c r="AO7" s="14">
        <v>778865.75</v>
      </c>
      <c r="AP7" s="14">
        <v>20929.5625</v>
      </c>
      <c r="AQ7" s="15">
        <v>2002248</v>
      </c>
      <c r="AR7" s="15">
        <v>1104976</v>
      </c>
      <c r="AS7" s="15">
        <v>358792</v>
      </c>
      <c r="AT7" s="15">
        <v>538480</v>
      </c>
      <c r="AU7" s="16">
        <v>69.837631250000001</v>
      </c>
      <c r="AV7" s="16">
        <v>72.26194375</v>
      </c>
      <c r="AW7" s="16">
        <v>36.203071874999999</v>
      </c>
      <c r="AX7" s="16">
        <v>46.821378125000003</v>
      </c>
      <c r="AY7" s="16">
        <v>46.664131249999997</v>
      </c>
      <c r="AZ7" s="17">
        <v>4919.74</v>
      </c>
      <c r="BA7" s="17">
        <v>6294.04</v>
      </c>
      <c r="BB7" s="17">
        <v>10.571999999999999</v>
      </c>
      <c r="BC7" s="17">
        <v>36.841999999999999</v>
      </c>
      <c r="BE7" s="18">
        <f t="shared" si="14"/>
        <v>1</v>
      </c>
      <c r="BF7" s="19">
        <f t="shared" si="15"/>
        <v>0</v>
      </c>
      <c r="BG7" s="19">
        <f t="shared" si="16"/>
        <v>0</v>
      </c>
      <c r="BH7" s="19"/>
      <c r="BJ7" s="18"/>
      <c r="BK7" s="18"/>
      <c r="BL7" s="18"/>
      <c r="BM7" s="18"/>
      <c r="BN7" s="18"/>
      <c r="BP7" s="18"/>
      <c r="BQ7" s="18"/>
      <c r="BR7" s="18"/>
      <c r="BS7" s="18"/>
      <c r="BT7" s="18"/>
      <c r="BV7">
        <f t="shared" si="17"/>
        <v>0</v>
      </c>
      <c r="BW7">
        <f t="shared" si="18"/>
        <v>0</v>
      </c>
      <c r="BX7">
        <f t="shared" si="19"/>
        <v>0</v>
      </c>
      <c r="BY7">
        <f t="shared" si="20"/>
        <v>0</v>
      </c>
      <c r="BZ7">
        <f t="shared" si="21"/>
        <v>0</v>
      </c>
      <c r="CA7">
        <f t="shared" si="22"/>
        <v>0</v>
      </c>
      <c r="CB7">
        <f t="shared" si="23"/>
        <v>0</v>
      </c>
      <c r="CC7">
        <f t="shared" si="24"/>
        <v>0</v>
      </c>
      <c r="CD7">
        <f t="shared" si="25"/>
        <v>0</v>
      </c>
      <c r="CE7">
        <f t="shared" si="26"/>
        <v>0</v>
      </c>
      <c r="CF7">
        <f t="shared" si="27"/>
        <v>9.9475983006414026E-14</v>
      </c>
      <c r="CG7">
        <f t="shared" si="28"/>
        <v>0</v>
      </c>
      <c r="CJ7" t="s">
        <v>237</v>
      </c>
    </row>
    <row r="8" spans="1:88" outlineLevel="1" x14ac:dyDescent="0.3">
      <c r="A8" s="20"/>
      <c r="B8" s="20" t="s">
        <v>49</v>
      </c>
      <c r="C8" s="21" t="s">
        <v>240</v>
      </c>
      <c r="D8" s="20">
        <v>24964341</v>
      </c>
      <c r="E8" s="21">
        <v>10</v>
      </c>
      <c r="F8" s="21">
        <v>32</v>
      </c>
      <c r="G8" s="21">
        <v>30</v>
      </c>
      <c r="I8" s="22">
        <f t="shared" si="0"/>
        <v>3.1079625000000002</v>
      </c>
      <c r="J8" s="23">
        <f t="shared" si="1"/>
        <v>0.13279581463816731</v>
      </c>
      <c r="K8" s="23">
        <f t="shared" si="2"/>
        <v>8.4529209082667159E-2</v>
      </c>
      <c r="L8" s="23">
        <f t="shared" si="3"/>
        <v>7.0157029180141384E-2</v>
      </c>
      <c r="M8" s="23">
        <f t="shared" si="4"/>
        <v>4.8266605555500143E-2</v>
      </c>
      <c r="N8" s="20">
        <f t="shared" si="5"/>
        <v>2110216</v>
      </c>
      <c r="O8" s="23">
        <f t="shared" si="6"/>
        <v>0.1280253409200488</v>
      </c>
      <c r="P8" s="24">
        <v>25894561</v>
      </c>
      <c r="Q8" s="24">
        <v>809205.03125</v>
      </c>
      <c r="R8" s="24">
        <v>24175.5625</v>
      </c>
      <c r="S8" s="25">
        <v>3315160</v>
      </c>
      <c r="T8" s="25">
        <v>1751424</v>
      </c>
      <c r="U8" s="25">
        <v>358792</v>
      </c>
      <c r="V8" s="25">
        <v>1204944</v>
      </c>
      <c r="W8" s="26">
        <v>70.889906249999996</v>
      </c>
      <c r="X8" s="26">
        <v>73.446578125000002</v>
      </c>
      <c r="Y8" s="26">
        <v>38.685965625000001</v>
      </c>
      <c r="Z8" s="26">
        <v>48.067909374999999</v>
      </c>
      <c r="AA8" s="26">
        <v>48.093418749999998</v>
      </c>
      <c r="AB8" s="27">
        <v>3217.52</v>
      </c>
      <c r="AC8" s="27">
        <v>5091.63</v>
      </c>
      <c r="AD8" s="27">
        <v>7.7229999999999999</v>
      </c>
      <c r="AE8" s="27">
        <v>25.419</v>
      </c>
      <c r="AG8" s="22">
        <f t="shared" si="7"/>
        <v>3.1079625000000002</v>
      </c>
      <c r="AH8" s="23">
        <f t="shared" si="8"/>
        <v>0.13279581463816731</v>
      </c>
      <c r="AI8" s="23">
        <f t="shared" si="9"/>
        <v>8.4529209082667159E-2</v>
      </c>
      <c r="AJ8" s="23">
        <f t="shared" si="10"/>
        <v>7.0157029180141384E-2</v>
      </c>
      <c r="AK8" s="23">
        <f t="shared" si="11"/>
        <v>4.8266605555500143E-2</v>
      </c>
      <c r="AL8" s="20">
        <f t="shared" si="12"/>
        <v>2110216</v>
      </c>
      <c r="AM8" s="23">
        <f t="shared" si="13"/>
        <v>0.1280253409200488</v>
      </c>
      <c r="AN8" s="24">
        <v>25894561</v>
      </c>
      <c r="AO8" s="24">
        <v>809205.03125</v>
      </c>
      <c r="AP8" s="24">
        <v>24175.5625</v>
      </c>
      <c r="AQ8" s="25">
        <v>3315160</v>
      </c>
      <c r="AR8" s="25">
        <v>1751424</v>
      </c>
      <c r="AS8" s="25">
        <v>358792</v>
      </c>
      <c r="AT8" s="25">
        <v>1204944</v>
      </c>
      <c r="AU8" s="26">
        <v>70.889906249999996</v>
      </c>
      <c r="AV8" s="26">
        <v>73.446578125000002</v>
      </c>
      <c r="AW8" s="26">
        <v>38.685965625000001</v>
      </c>
      <c r="AX8" s="26">
        <v>48.067909374999999</v>
      </c>
      <c r="AY8" s="26">
        <v>48.093418749999998</v>
      </c>
      <c r="AZ8" s="27">
        <v>4850.47</v>
      </c>
      <c r="BA8" s="27">
        <v>6702.19</v>
      </c>
      <c r="BB8" s="27">
        <v>13.673</v>
      </c>
      <c r="BC8" s="27">
        <v>32.85</v>
      </c>
      <c r="BE8" s="28">
        <f t="shared" si="14"/>
        <v>1</v>
      </c>
      <c r="BF8" s="29">
        <f t="shared" si="15"/>
        <v>0</v>
      </c>
      <c r="BG8" s="29">
        <f t="shared" si="16"/>
        <v>0</v>
      </c>
      <c r="BH8" s="29"/>
      <c r="BJ8" s="28"/>
      <c r="BK8" s="28"/>
      <c r="BL8" s="28"/>
      <c r="BM8" s="28"/>
      <c r="BN8" s="28"/>
      <c r="BP8" s="28"/>
      <c r="BQ8" s="28"/>
      <c r="BR8" s="28"/>
      <c r="BS8" s="28"/>
      <c r="BT8" s="28"/>
      <c r="BV8">
        <f t="shared" si="17"/>
        <v>0</v>
      </c>
      <c r="BW8">
        <f t="shared" si="18"/>
        <v>0</v>
      </c>
      <c r="BX8">
        <f t="shared" si="19"/>
        <v>0</v>
      </c>
      <c r="BY8">
        <f t="shared" si="20"/>
        <v>0</v>
      </c>
      <c r="BZ8">
        <f t="shared" si="21"/>
        <v>0</v>
      </c>
      <c r="CA8">
        <f t="shared" si="22"/>
        <v>0</v>
      </c>
      <c r="CB8">
        <f t="shared" si="23"/>
        <v>0</v>
      </c>
      <c r="CC8">
        <f t="shared" si="24"/>
        <v>0</v>
      </c>
      <c r="CD8">
        <f t="shared" si="25"/>
        <v>0</v>
      </c>
      <c r="CE8">
        <f t="shared" si="26"/>
        <v>0</v>
      </c>
      <c r="CF8">
        <f t="shared" si="27"/>
        <v>0</v>
      </c>
      <c r="CG8">
        <f t="shared" si="28"/>
        <v>0</v>
      </c>
      <c r="CJ8" t="s">
        <v>237</v>
      </c>
    </row>
    <row r="9" spans="1:88" ht="15.75" customHeight="1" outlineLevel="1" thickBot="1" x14ac:dyDescent="0.35">
      <c r="A9" s="10"/>
      <c r="B9" s="30" t="s">
        <v>49</v>
      </c>
      <c r="C9" s="31" t="s">
        <v>241</v>
      </c>
      <c r="D9" s="30">
        <v>24964341</v>
      </c>
      <c r="E9" s="31">
        <v>10</v>
      </c>
      <c r="F9" s="31">
        <v>32</v>
      </c>
      <c r="G9" s="31">
        <v>30</v>
      </c>
      <c r="I9" s="32">
        <f t="shared" si="0"/>
        <v>6.3779849999999998</v>
      </c>
      <c r="J9" s="33">
        <f t="shared" si="1"/>
        <v>0.27251606601592249</v>
      </c>
      <c r="K9" s="33">
        <f t="shared" si="2"/>
        <v>0.14852993716116922</v>
      </c>
      <c r="L9" s="33">
        <f t="shared" si="3"/>
        <v>0.11588208957728946</v>
      </c>
      <c r="M9" s="33">
        <f t="shared" si="4"/>
        <v>0.12398612885475327</v>
      </c>
      <c r="N9" s="30">
        <f t="shared" si="5"/>
        <v>3707952</v>
      </c>
      <c r="O9" s="33">
        <f t="shared" si="6"/>
        <v>0.27318559357010064</v>
      </c>
      <c r="P9" s="34">
        <v>24903158</v>
      </c>
      <c r="Q9" s="34">
        <v>778223.6875</v>
      </c>
      <c r="R9" s="34">
        <v>10544.4375</v>
      </c>
      <c r="S9" s="35">
        <v>6803184</v>
      </c>
      <c r="T9" s="35">
        <v>2892920</v>
      </c>
      <c r="U9" s="35">
        <v>815032</v>
      </c>
      <c r="V9" s="35">
        <v>3095232</v>
      </c>
      <c r="W9" s="36">
        <v>71.933821874999893</v>
      </c>
      <c r="X9" s="36">
        <v>75.246843749999996</v>
      </c>
      <c r="Y9" s="36">
        <v>41.143728125000003</v>
      </c>
      <c r="Z9" s="36">
        <v>49.573543749999999</v>
      </c>
      <c r="AA9" s="36">
        <v>49.664643749999897</v>
      </c>
      <c r="AB9" s="37">
        <v>3210.59</v>
      </c>
      <c r="AC9" s="37">
        <v>5653.91</v>
      </c>
      <c r="AD9" s="37">
        <v>7.7320000000000002</v>
      </c>
      <c r="AE9" s="37">
        <v>25.794</v>
      </c>
      <c r="AG9" s="32">
        <f t="shared" si="7"/>
        <v>6.3779849999999998</v>
      </c>
      <c r="AH9" s="33">
        <f t="shared" si="8"/>
        <v>0.27251606601592249</v>
      </c>
      <c r="AI9" s="33">
        <f t="shared" si="9"/>
        <v>0.14852993716116922</v>
      </c>
      <c r="AJ9" s="33">
        <f t="shared" si="10"/>
        <v>0.11588208957728946</v>
      </c>
      <c r="AK9" s="33">
        <f t="shared" si="11"/>
        <v>0.12398612885475327</v>
      </c>
      <c r="AL9" s="30">
        <f t="shared" si="12"/>
        <v>3707952</v>
      </c>
      <c r="AM9" s="33">
        <f t="shared" si="13"/>
        <v>0.27318559357010064</v>
      </c>
      <c r="AN9" s="34">
        <v>24903158</v>
      </c>
      <c r="AO9" s="34">
        <v>778223.6875</v>
      </c>
      <c r="AP9" s="34">
        <v>10544.4375</v>
      </c>
      <c r="AQ9" s="35">
        <v>6803184</v>
      </c>
      <c r="AR9" s="35">
        <v>2892920</v>
      </c>
      <c r="AS9" s="35">
        <v>815032</v>
      </c>
      <c r="AT9" s="35">
        <v>3095232</v>
      </c>
      <c r="AU9" s="36">
        <v>71.933821875000007</v>
      </c>
      <c r="AV9" s="36">
        <v>75.246843749999996</v>
      </c>
      <c r="AW9" s="36">
        <v>41.143728125000003</v>
      </c>
      <c r="AX9" s="36">
        <v>49.573543749999999</v>
      </c>
      <c r="AY9" s="36">
        <v>49.664643750000003</v>
      </c>
      <c r="AZ9" s="37">
        <v>4840.7</v>
      </c>
      <c r="BA9" s="37">
        <v>7287.94</v>
      </c>
      <c r="BB9" s="37">
        <v>8.6999999999999993</v>
      </c>
      <c r="BC9" s="37">
        <v>28.513999999999999</v>
      </c>
      <c r="BE9" s="38">
        <f t="shared" si="14"/>
        <v>1</v>
      </c>
      <c r="BF9" s="39">
        <f t="shared" si="15"/>
        <v>0</v>
      </c>
      <c r="BG9" s="39">
        <f t="shared" si="16"/>
        <v>0</v>
      </c>
      <c r="BH9" s="39"/>
      <c r="BJ9" s="38"/>
      <c r="BK9" s="38"/>
      <c r="BL9" s="38"/>
      <c r="BM9" s="38"/>
      <c r="BN9" s="38"/>
      <c r="BP9" s="38"/>
      <c r="BQ9" s="38"/>
      <c r="BR9" s="38"/>
      <c r="BS9" s="38"/>
      <c r="BT9" s="38"/>
      <c r="BV9">
        <f t="shared" si="17"/>
        <v>0</v>
      </c>
      <c r="BW9">
        <f t="shared" si="18"/>
        <v>0</v>
      </c>
      <c r="BX9">
        <f t="shared" si="19"/>
        <v>0</v>
      </c>
      <c r="BY9">
        <f t="shared" si="20"/>
        <v>0</v>
      </c>
      <c r="BZ9">
        <f t="shared" si="21"/>
        <v>0</v>
      </c>
      <c r="CA9">
        <f t="shared" si="22"/>
        <v>0</v>
      </c>
      <c r="CB9">
        <f t="shared" si="23"/>
        <v>0</v>
      </c>
      <c r="CC9">
        <f t="shared" si="24"/>
        <v>1.1368683772161603E-13</v>
      </c>
      <c r="CD9">
        <f t="shared" si="25"/>
        <v>0</v>
      </c>
      <c r="CE9">
        <f t="shared" si="26"/>
        <v>0</v>
      </c>
      <c r="CF9">
        <f t="shared" si="27"/>
        <v>0</v>
      </c>
      <c r="CG9">
        <f t="shared" si="28"/>
        <v>1.0658141036401503E-13</v>
      </c>
      <c r="CJ9" t="s">
        <v>237</v>
      </c>
    </row>
    <row r="10" spans="1:88" x14ac:dyDescent="0.3">
      <c r="A10" s="20"/>
      <c r="B10" s="20" t="s">
        <v>57</v>
      </c>
      <c r="C10" s="21" t="s">
        <v>236</v>
      </c>
      <c r="D10" s="20">
        <v>22654789</v>
      </c>
      <c r="E10" s="21">
        <v>10</v>
      </c>
      <c r="F10" s="21">
        <v>32</v>
      </c>
      <c r="G10" s="21">
        <v>30</v>
      </c>
      <c r="I10" s="22">
        <f t="shared" si="0"/>
        <v>1.9811775</v>
      </c>
      <c r="J10" s="23">
        <f t="shared" si="1"/>
        <v>9.3280762844447584E-2</v>
      </c>
      <c r="K10" s="23">
        <f t="shared" si="2"/>
        <v>6.9812700528793278E-2</v>
      </c>
      <c r="L10" s="23">
        <f t="shared" si="3"/>
        <v>3.9575914831958929E-2</v>
      </c>
      <c r="M10" s="23">
        <f t="shared" si="4"/>
        <v>2.346806231565432E-2</v>
      </c>
      <c r="N10" s="20">
        <f t="shared" si="5"/>
        <v>1581592</v>
      </c>
      <c r="O10" s="23">
        <f t="shared" si="6"/>
        <v>0.10090725306813045</v>
      </c>
      <c r="P10" s="24">
        <v>20942558</v>
      </c>
      <c r="Q10" s="24">
        <v>654454.9375</v>
      </c>
      <c r="R10" s="24">
        <v>18627.34375</v>
      </c>
      <c r="S10" s="25">
        <v>2113256</v>
      </c>
      <c r="T10" s="25">
        <v>896584</v>
      </c>
      <c r="U10" s="25">
        <v>685008</v>
      </c>
      <c r="V10" s="25">
        <v>531664</v>
      </c>
      <c r="W10" s="26">
        <v>65.984581250000005</v>
      </c>
      <c r="X10" s="26">
        <v>67.849337500000004</v>
      </c>
      <c r="Y10" s="26">
        <v>31.005690625</v>
      </c>
      <c r="Z10" s="26">
        <v>38.767843749999997</v>
      </c>
      <c r="AA10" s="26">
        <v>30.082462499999998</v>
      </c>
      <c r="AB10" s="27">
        <v>2930.51</v>
      </c>
      <c r="AC10" s="27">
        <v>5153.1499999999996</v>
      </c>
      <c r="AD10" s="27">
        <v>6.806</v>
      </c>
      <c r="AE10" s="27">
        <v>24.635999999999999</v>
      </c>
      <c r="AG10" s="22">
        <f t="shared" si="7"/>
        <v>1.9811775</v>
      </c>
      <c r="AH10" s="23">
        <f t="shared" si="8"/>
        <v>9.3280762844447584E-2</v>
      </c>
      <c r="AI10" s="23">
        <f t="shared" si="9"/>
        <v>6.9812700528793278E-2</v>
      </c>
      <c r="AJ10" s="23">
        <f t="shared" si="10"/>
        <v>3.9575914831958929E-2</v>
      </c>
      <c r="AK10" s="23">
        <f t="shared" si="11"/>
        <v>2.346806231565432E-2</v>
      </c>
      <c r="AL10" s="20">
        <f t="shared" si="12"/>
        <v>1581592</v>
      </c>
      <c r="AM10" s="23">
        <f t="shared" si="13"/>
        <v>0.10090725306813045</v>
      </c>
      <c r="AN10" s="24">
        <v>20942558</v>
      </c>
      <c r="AO10" s="24">
        <v>654454.9375</v>
      </c>
      <c r="AP10" s="24">
        <v>18627.34375</v>
      </c>
      <c r="AQ10" s="25">
        <v>2113256</v>
      </c>
      <c r="AR10" s="25">
        <v>896584</v>
      </c>
      <c r="AS10" s="25">
        <v>685008</v>
      </c>
      <c r="AT10" s="25">
        <v>531664</v>
      </c>
      <c r="AU10" s="26">
        <v>65.984581250000005</v>
      </c>
      <c r="AV10" s="26">
        <v>67.849337500000004</v>
      </c>
      <c r="AW10" s="26">
        <v>31.005690625</v>
      </c>
      <c r="AX10" s="26">
        <v>38.767843749999997</v>
      </c>
      <c r="AY10" s="26">
        <v>30.082462499999998</v>
      </c>
      <c r="AZ10" s="27">
        <v>4412.25</v>
      </c>
      <c r="BA10" s="27">
        <v>6958.09</v>
      </c>
      <c r="BB10" s="27">
        <v>7.6470000000000002</v>
      </c>
      <c r="BC10" s="27">
        <v>26.652999999999999</v>
      </c>
      <c r="BE10" s="28">
        <f t="shared" si="14"/>
        <v>1</v>
      </c>
      <c r="BF10" s="29">
        <f t="shared" si="15"/>
        <v>0</v>
      </c>
      <c r="BG10" s="29">
        <f t="shared" si="16"/>
        <v>0</v>
      </c>
      <c r="BH10" s="29">
        <f t="array" ref="BH10">AVERAGE(AL10:AL14/AQ10:AQ14) - AVERAGE(N10:N14/S10:S14)</f>
        <v>0</v>
      </c>
      <c r="BJ10" s="28">
        <f>IF( OR(ISBLANK(N10:N14),ISBLANK(AL10:AL14), ISBLANK(W10:W14),ISBLANK(AU10:AU14)), "·", bdRateExtend( N10:N14,W10:W14, AL10:AL14,AU10:AU14))</f>
        <v>-4.8849813083506888E-15</v>
      </c>
      <c r="BK10" s="28">
        <f>IF( OR(ISBLANK(N10:N14),ISBLANK(AL10:AL14), ISBLANK(X10:X14),ISBLANK(AV10:AV14)), "·", bdRateExtend( N10:N14,X10:X14, AL10:AL14,AV10:AV14))</f>
        <v>-7.3274719625260332E-15</v>
      </c>
      <c r="BL10" s="28">
        <f>IF( OR(ISBLANK(V10:V14),ISBLANK(AT10:AT14), ISBLANK(Y10:Y14),ISBLANK(AW10:AW14)), "·", bdRateExtend( V10:V14,Y10:Y14, AT10:AT14,AW10:AW14))</f>
        <v>-1.9984014443252818E-15</v>
      </c>
      <c r="BM10" s="28">
        <f>IF( OR(ISBLANK(V10:V14),ISBLANK(AT10:AT14), ISBLANK(Z10:Z14),ISBLANK(AX10:AX14)), "·", bdRateExtend( V10:V14,Z10:Z14, AT10:AT14,AX10:AX14))</f>
        <v>-1.7541523789077473E-14</v>
      </c>
      <c r="BN10" s="28">
        <f>IF( OR(ISBLANK(V10:V14),ISBLANK(AT10:AT14), ISBLANK(AA10:AA14),ISBLANK(AY10:AY14)), "·", bdRateExtend( V10:V14,AA10:AA14, AT10:AT14,AY10:AY14))</f>
        <v>-2.3980817331903381E-14</v>
      </c>
      <c r="BP10" s="28">
        <f>IF( OR(ISBLANK(S10:S14),ISBLANK(AQ10:AQ14), ISBLANK(W10:W14),ISBLANK(AU10:AU14)), "·", bdRateExtend( S10:S14,W10:W14, AQ10:AQ14,AU10:AU14))</f>
        <v>-6.6613381477509392E-15</v>
      </c>
      <c r="BQ10" s="28">
        <f>IF( OR(ISBLANK(S10:S14),ISBLANK(AQ10:AQ14), ISBLANK(X10:X14),ISBLANK(AV10:AV14)), "·", bdRateExtend( S10:S14,X10:X14, AQ10:AQ14,AV10:AV14))</f>
        <v>-1.4432899320127035E-14</v>
      </c>
      <c r="BR10" s="28">
        <f>IF( OR(ISBLANK(S10:S14),ISBLANK(AQ10:AQ14), ISBLANK(Y10:Y14),ISBLANK(AW10:AW14)), "·", bdRateExtend( S10:S14,Y10:Y14, AQ10:AQ14,AW10:AW14))</f>
        <v>1.9984014443252818E-15</v>
      </c>
      <c r="BS10" s="28">
        <f>IF( OR(ISBLANK(S10:S14),ISBLANK(AQ10:AQ14), ISBLANK(Z10:Z14),ISBLANK(AX10:AX14)), "·", bdRateExtend( S10:S14,Z10:Z14, AQ10:AQ14,AX10:AX14))</f>
        <v>-7.7715611723760958E-15</v>
      </c>
      <c r="BT10" s="28">
        <f>IF( OR(ISBLANK(S10:S14),ISBLANK(AQ10:AQ14), ISBLANK(AA10:AA14),ISBLANK(AY10:AY14)), "·", bdRateExtend( S10:S14,AA10:AA14, AQ10:AQ14,AY10:AY14))</f>
        <v>-1.5987211554602254E-14</v>
      </c>
      <c r="BV10">
        <f t="shared" si="17"/>
        <v>0</v>
      </c>
      <c r="BW10">
        <f t="shared" si="18"/>
        <v>0</v>
      </c>
      <c r="BX10">
        <f t="shared" si="19"/>
        <v>0</v>
      </c>
      <c r="BY10">
        <f t="shared" si="20"/>
        <v>0</v>
      </c>
      <c r="BZ10">
        <f t="shared" si="21"/>
        <v>0</v>
      </c>
      <c r="CA10">
        <f t="shared" si="22"/>
        <v>0</v>
      </c>
      <c r="CB10">
        <f t="shared" si="23"/>
        <v>0</v>
      </c>
      <c r="CC10">
        <f t="shared" si="24"/>
        <v>0</v>
      </c>
      <c r="CD10">
        <f t="shared" si="25"/>
        <v>0</v>
      </c>
      <c r="CE10">
        <f t="shared" si="26"/>
        <v>0</v>
      </c>
      <c r="CF10">
        <f t="shared" si="27"/>
        <v>0</v>
      </c>
      <c r="CG10">
        <f t="shared" si="28"/>
        <v>0</v>
      </c>
      <c r="CJ10" t="s">
        <v>593</v>
      </c>
    </row>
    <row r="11" spans="1:88" outlineLevel="1" x14ac:dyDescent="0.3">
      <c r="A11" s="10"/>
      <c r="B11" s="10" t="s">
        <v>57</v>
      </c>
      <c r="C11" s="11" t="s">
        <v>238</v>
      </c>
      <c r="D11" s="10">
        <v>22654789</v>
      </c>
      <c r="E11" s="11">
        <v>10</v>
      </c>
      <c r="F11" s="11">
        <v>32</v>
      </c>
      <c r="G11" s="11">
        <v>30</v>
      </c>
      <c r="I11" s="12">
        <f t="shared" si="0"/>
        <v>2.6997075000000001</v>
      </c>
      <c r="J11" s="13">
        <f t="shared" si="1"/>
        <v>0.1271116672064348</v>
      </c>
      <c r="K11" s="13">
        <f t="shared" si="2"/>
        <v>8.5688195992467645E-2</v>
      </c>
      <c r="L11" s="13">
        <f t="shared" si="3"/>
        <v>5.5451410295633295E-2</v>
      </c>
      <c r="M11" s="13">
        <f t="shared" si="4"/>
        <v>4.1423471213967167E-2</v>
      </c>
      <c r="N11" s="10">
        <f t="shared" si="5"/>
        <v>1941248</v>
      </c>
      <c r="O11" s="13">
        <f t="shared" si="6"/>
        <v>0.12952216838923578</v>
      </c>
      <c r="P11" s="14">
        <v>22233167</v>
      </c>
      <c r="Q11" s="14">
        <v>694786.46875</v>
      </c>
      <c r="R11" s="14">
        <v>22845.875</v>
      </c>
      <c r="S11" s="15">
        <v>2879688</v>
      </c>
      <c r="T11" s="15">
        <v>1256240</v>
      </c>
      <c r="U11" s="15">
        <v>685008</v>
      </c>
      <c r="V11" s="15">
        <v>938440</v>
      </c>
      <c r="W11" s="16">
        <v>67.675543749999903</v>
      </c>
      <c r="X11" s="16">
        <v>69.741678125000007</v>
      </c>
      <c r="Y11" s="16">
        <v>32.829974999999997</v>
      </c>
      <c r="Z11" s="16">
        <v>39.679287499999901</v>
      </c>
      <c r="AA11" s="16">
        <v>32.227290624999902</v>
      </c>
      <c r="AB11" s="17">
        <v>2916.32</v>
      </c>
      <c r="AC11" s="17">
        <v>5506.55</v>
      </c>
      <c r="AD11" s="17">
        <v>7.1390000000000002</v>
      </c>
      <c r="AE11" s="17">
        <v>26.43</v>
      </c>
      <c r="AG11" s="12">
        <f t="shared" si="7"/>
        <v>2.6997075000000001</v>
      </c>
      <c r="AH11" s="13">
        <f t="shared" si="8"/>
        <v>0.1271116672064348</v>
      </c>
      <c r="AI11" s="13">
        <f t="shared" si="9"/>
        <v>8.5688195992467645E-2</v>
      </c>
      <c r="AJ11" s="13">
        <f t="shared" si="10"/>
        <v>5.5451410295633295E-2</v>
      </c>
      <c r="AK11" s="13">
        <f t="shared" si="11"/>
        <v>4.1423471213967167E-2</v>
      </c>
      <c r="AL11" s="10">
        <f t="shared" si="12"/>
        <v>1941248</v>
      </c>
      <c r="AM11" s="13">
        <f t="shared" si="13"/>
        <v>0.12952216838923578</v>
      </c>
      <c r="AN11" s="14">
        <v>22233167</v>
      </c>
      <c r="AO11" s="14">
        <v>694786.46875</v>
      </c>
      <c r="AP11" s="14">
        <v>22845.875</v>
      </c>
      <c r="AQ11" s="15">
        <v>2879688</v>
      </c>
      <c r="AR11" s="15">
        <v>1256240</v>
      </c>
      <c r="AS11" s="15">
        <v>685008</v>
      </c>
      <c r="AT11" s="15">
        <v>938440</v>
      </c>
      <c r="AU11" s="16">
        <v>67.675543750000003</v>
      </c>
      <c r="AV11" s="16">
        <v>69.741678125000007</v>
      </c>
      <c r="AW11" s="16">
        <v>32.829974999999997</v>
      </c>
      <c r="AX11" s="16">
        <v>39.679287500000001</v>
      </c>
      <c r="AY11" s="16">
        <v>32.227290625000002</v>
      </c>
      <c r="AZ11" s="17">
        <v>4402.22</v>
      </c>
      <c r="BA11" s="17">
        <v>7331.36</v>
      </c>
      <c r="BB11" s="17">
        <v>7.9669999999999996</v>
      </c>
      <c r="BC11" s="17">
        <v>30.596</v>
      </c>
      <c r="BE11" s="18">
        <f t="shared" si="14"/>
        <v>1</v>
      </c>
      <c r="BF11" s="19">
        <f t="shared" si="15"/>
        <v>0</v>
      </c>
      <c r="BG11" s="19">
        <f t="shared" si="16"/>
        <v>0</v>
      </c>
      <c r="BH11" s="19"/>
      <c r="BJ11" s="18"/>
      <c r="BK11" s="18"/>
      <c r="BL11" s="18"/>
      <c r="BM11" s="18"/>
      <c r="BN11" s="18"/>
      <c r="BP11" s="18"/>
      <c r="BQ11" s="18"/>
      <c r="BR11" s="18"/>
      <c r="BS11" s="18"/>
      <c r="BT11" s="18"/>
      <c r="BV11">
        <f t="shared" si="17"/>
        <v>0</v>
      </c>
      <c r="BW11">
        <f t="shared" si="18"/>
        <v>0</v>
      </c>
      <c r="BX11">
        <f t="shared" si="19"/>
        <v>0</v>
      </c>
      <c r="BY11">
        <f t="shared" si="20"/>
        <v>0</v>
      </c>
      <c r="BZ11">
        <f t="shared" si="21"/>
        <v>0</v>
      </c>
      <c r="CA11">
        <f t="shared" si="22"/>
        <v>0</v>
      </c>
      <c r="CB11">
        <f t="shared" si="23"/>
        <v>0</v>
      </c>
      <c r="CC11">
        <f t="shared" si="24"/>
        <v>0</v>
      </c>
      <c r="CD11">
        <f t="shared" si="25"/>
        <v>0</v>
      </c>
      <c r="CE11">
        <f t="shared" si="26"/>
        <v>0</v>
      </c>
      <c r="CF11">
        <f t="shared" si="27"/>
        <v>9.9475983006414026E-14</v>
      </c>
      <c r="CG11">
        <f t="shared" si="28"/>
        <v>9.9475983006414026E-14</v>
      </c>
      <c r="CJ11" t="s">
        <v>593</v>
      </c>
    </row>
    <row r="12" spans="1:88" outlineLevel="1" x14ac:dyDescent="0.3">
      <c r="A12" s="20"/>
      <c r="B12" s="20" t="s">
        <v>57</v>
      </c>
      <c r="C12" s="21" t="s">
        <v>239</v>
      </c>
      <c r="D12" s="20">
        <v>22654789</v>
      </c>
      <c r="E12" s="21">
        <v>10</v>
      </c>
      <c r="F12" s="21">
        <v>32</v>
      </c>
      <c r="G12" s="21">
        <v>30</v>
      </c>
      <c r="I12" s="22">
        <f t="shared" si="0"/>
        <v>3.8534475000000001</v>
      </c>
      <c r="J12" s="23">
        <f t="shared" si="1"/>
        <v>0.18143377985113876</v>
      </c>
      <c r="K12" s="23">
        <f t="shared" si="2"/>
        <v>0.10992889847705048</v>
      </c>
      <c r="L12" s="23">
        <f t="shared" si="3"/>
        <v>7.9692112780216137E-2</v>
      </c>
      <c r="M12" s="23">
        <f t="shared" si="4"/>
        <v>7.150488137408828E-2</v>
      </c>
      <c r="N12" s="20">
        <f t="shared" si="5"/>
        <v>2490416</v>
      </c>
      <c r="O12" s="23">
        <f t="shared" si="6"/>
        <v>0.18211617321671017</v>
      </c>
      <c r="P12" s="24">
        <v>22569901</v>
      </c>
      <c r="Q12" s="24">
        <v>705309.40625</v>
      </c>
      <c r="R12" s="24">
        <v>24354.5625</v>
      </c>
      <c r="S12" s="25">
        <v>4110344</v>
      </c>
      <c r="T12" s="25">
        <v>1805408</v>
      </c>
      <c r="U12" s="25">
        <v>685008</v>
      </c>
      <c r="V12" s="25">
        <v>1619928</v>
      </c>
      <c r="W12" s="26">
        <v>69.011218749999998</v>
      </c>
      <c r="X12" s="26">
        <v>71.364221874999998</v>
      </c>
      <c r="Y12" s="26">
        <v>34.869784375000002</v>
      </c>
      <c r="Z12" s="26">
        <v>40.639946875</v>
      </c>
      <c r="AA12" s="26">
        <v>34.150390624999901</v>
      </c>
      <c r="AB12" s="27">
        <v>2926.2</v>
      </c>
      <c r="AC12" s="27">
        <v>5859.51</v>
      </c>
      <c r="AD12" s="27">
        <v>7.0549999999999997</v>
      </c>
      <c r="AE12" s="27">
        <v>25.561</v>
      </c>
      <c r="AG12" s="22">
        <f t="shared" si="7"/>
        <v>3.8534475000000001</v>
      </c>
      <c r="AH12" s="23">
        <f t="shared" si="8"/>
        <v>0.18143377985113876</v>
      </c>
      <c r="AI12" s="23">
        <f t="shared" si="9"/>
        <v>0.10992889847705048</v>
      </c>
      <c r="AJ12" s="23">
        <f t="shared" si="10"/>
        <v>7.9692112780216137E-2</v>
      </c>
      <c r="AK12" s="23">
        <f t="shared" si="11"/>
        <v>7.150488137408828E-2</v>
      </c>
      <c r="AL12" s="20">
        <f t="shared" si="12"/>
        <v>2490416</v>
      </c>
      <c r="AM12" s="23">
        <f t="shared" si="13"/>
        <v>0.18211617321671017</v>
      </c>
      <c r="AN12" s="24">
        <v>22569901</v>
      </c>
      <c r="AO12" s="24">
        <v>705309.40625</v>
      </c>
      <c r="AP12" s="24">
        <v>24354.5625</v>
      </c>
      <c r="AQ12" s="25">
        <v>4110344</v>
      </c>
      <c r="AR12" s="25">
        <v>1805408</v>
      </c>
      <c r="AS12" s="25">
        <v>685008</v>
      </c>
      <c r="AT12" s="25">
        <v>1619928</v>
      </c>
      <c r="AU12" s="26">
        <v>69.011218749999998</v>
      </c>
      <c r="AV12" s="26">
        <v>71.364221874999998</v>
      </c>
      <c r="AW12" s="26">
        <v>34.869784375000002</v>
      </c>
      <c r="AX12" s="26">
        <v>40.639946875</v>
      </c>
      <c r="AY12" s="26">
        <v>34.150390625</v>
      </c>
      <c r="AZ12" s="27">
        <v>4366</v>
      </c>
      <c r="BA12" s="27">
        <v>7724.11</v>
      </c>
      <c r="BB12" s="27">
        <v>7.0069999999999997</v>
      </c>
      <c r="BC12" s="27">
        <v>26.902000000000001</v>
      </c>
      <c r="BE12" s="28">
        <f t="shared" si="14"/>
        <v>1</v>
      </c>
      <c r="BF12" s="29">
        <f t="shared" si="15"/>
        <v>0</v>
      </c>
      <c r="BG12" s="29">
        <f t="shared" si="16"/>
        <v>0</v>
      </c>
      <c r="BH12" s="29"/>
      <c r="BJ12" s="28"/>
      <c r="BK12" s="28"/>
      <c r="BL12" s="28"/>
      <c r="BM12" s="28"/>
      <c r="BN12" s="28"/>
      <c r="BP12" s="28"/>
      <c r="BQ12" s="28"/>
      <c r="BR12" s="28"/>
      <c r="BS12" s="28"/>
      <c r="BT12" s="28"/>
      <c r="BV12">
        <f t="shared" si="17"/>
        <v>0</v>
      </c>
      <c r="BW12">
        <f t="shared" si="18"/>
        <v>0</v>
      </c>
      <c r="BX12">
        <f t="shared" si="19"/>
        <v>0</v>
      </c>
      <c r="BY12">
        <f t="shared" si="20"/>
        <v>0</v>
      </c>
      <c r="BZ12">
        <f t="shared" si="21"/>
        <v>0</v>
      </c>
      <c r="CA12">
        <f t="shared" si="22"/>
        <v>0</v>
      </c>
      <c r="CB12">
        <f t="shared" si="23"/>
        <v>0</v>
      </c>
      <c r="CC12">
        <f t="shared" si="24"/>
        <v>0</v>
      </c>
      <c r="CD12">
        <f t="shared" si="25"/>
        <v>0</v>
      </c>
      <c r="CE12">
        <f t="shared" si="26"/>
        <v>0</v>
      </c>
      <c r="CF12">
        <f t="shared" si="27"/>
        <v>0</v>
      </c>
      <c r="CG12">
        <f t="shared" si="28"/>
        <v>9.9475983006414026E-14</v>
      </c>
      <c r="CJ12" t="s">
        <v>593</v>
      </c>
    </row>
    <row r="13" spans="1:88" outlineLevel="1" x14ac:dyDescent="0.3">
      <c r="A13" s="10"/>
      <c r="B13" s="10" t="s">
        <v>57</v>
      </c>
      <c r="C13" s="11" t="s">
        <v>240</v>
      </c>
      <c r="D13" s="10">
        <v>22654789</v>
      </c>
      <c r="E13" s="11">
        <v>10</v>
      </c>
      <c r="F13" s="11">
        <v>32</v>
      </c>
      <c r="G13" s="11">
        <v>30</v>
      </c>
      <c r="I13" s="12">
        <f t="shared" si="0"/>
        <v>6.2255549999999999</v>
      </c>
      <c r="J13" s="13">
        <f t="shared" si="1"/>
        <v>0.29312089377658734</v>
      </c>
      <c r="K13" s="13">
        <f t="shared" si="2"/>
        <v>0.15327832009382211</v>
      </c>
      <c r="L13" s="13">
        <f t="shared" si="3"/>
        <v>0.12304153439698776</v>
      </c>
      <c r="M13" s="13">
        <f t="shared" si="4"/>
        <v>0.13984257368276526</v>
      </c>
      <c r="N13" s="10">
        <f t="shared" si="5"/>
        <v>3472488</v>
      </c>
      <c r="O13" s="13">
        <f t="shared" si="6"/>
        <v>0.28490071172922188</v>
      </c>
      <c r="P13" s="14">
        <v>23308443</v>
      </c>
      <c r="Q13" s="14">
        <v>728388.84375</v>
      </c>
      <c r="R13" s="14">
        <v>27633.65625</v>
      </c>
      <c r="S13" s="15">
        <v>6640592</v>
      </c>
      <c r="T13" s="15">
        <v>2787480</v>
      </c>
      <c r="U13" s="15">
        <v>685008</v>
      </c>
      <c r="V13" s="15">
        <v>3168104</v>
      </c>
      <c r="W13" s="16">
        <v>70.049418750000001</v>
      </c>
      <c r="X13" s="16">
        <v>72.553224999999898</v>
      </c>
      <c r="Y13" s="16">
        <v>37.060143750000002</v>
      </c>
      <c r="Z13" s="16">
        <v>41.66785625</v>
      </c>
      <c r="AA13" s="16">
        <v>36.088718749999899</v>
      </c>
      <c r="AB13" s="17">
        <v>2930.55</v>
      </c>
      <c r="AC13" s="17">
        <v>6275.48</v>
      </c>
      <c r="AD13" s="17">
        <v>7.2679999999999998</v>
      </c>
      <c r="AE13" s="17">
        <v>26.343</v>
      </c>
      <c r="AG13" s="12">
        <f t="shared" si="7"/>
        <v>6.2255549999999999</v>
      </c>
      <c r="AH13" s="13">
        <f t="shared" si="8"/>
        <v>0.29312089377658734</v>
      </c>
      <c r="AI13" s="13">
        <f t="shared" si="9"/>
        <v>0.15327832009382211</v>
      </c>
      <c r="AJ13" s="13">
        <f t="shared" si="10"/>
        <v>0.12304153439698776</v>
      </c>
      <c r="AK13" s="13">
        <f t="shared" si="11"/>
        <v>0.13984257368276526</v>
      </c>
      <c r="AL13" s="10">
        <f t="shared" si="12"/>
        <v>3472488</v>
      </c>
      <c r="AM13" s="13">
        <f t="shared" si="13"/>
        <v>0.28490071172922188</v>
      </c>
      <c r="AN13" s="14">
        <v>23308443</v>
      </c>
      <c r="AO13" s="14">
        <v>728388.84375</v>
      </c>
      <c r="AP13" s="14">
        <v>27633.65625</v>
      </c>
      <c r="AQ13" s="15">
        <v>6640592</v>
      </c>
      <c r="AR13" s="15">
        <v>2787480</v>
      </c>
      <c r="AS13" s="15">
        <v>685008</v>
      </c>
      <c r="AT13" s="15">
        <v>3168104</v>
      </c>
      <c r="AU13" s="16">
        <v>70.049418750000001</v>
      </c>
      <c r="AV13" s="16">
        <v>72.553224999999998</v>
      </c>
      <c r="AW13" s="16">
        <v>37.060143750000002</v>
      </c>
      <c r="AX13" s="16">
        <v>41.66785625</v>
      </c>
      <c r="AY13" s="16">
        <v>36.088718749999998</v>
      </c>
      <c r="AZ13" s="17">
        <v>4419.5600000000004</v>
      </c>
      <c r="BA13" s="17">
        <v>8210.31</v>
      </c>
      <c r="BB13" s="17">
        <v>8.8360000000000003</v>
      </c>
      <c r="BC13" s="17">
        <v>32.759</v>
      </c>
      <c r="BE13" s="18">
        <f t="shared" si="14"/>
        <v>1</v>
      </c>
      <c r="BF13" s="19">
        <f t="shared" si="15"/>
        <v>0</v>
      </c>
      <c r="BG13" s="19">
        <f t="shared" si="16"/>
        <v>0</v>
      </c>
      <c r="BH13" s="19"/>
      <c r="BJ13" s="18"/>
      <c r="BK13" s="18"/>
      <c r="BL13" s="18"/>
      <c r="BM13" s="18"/>
      <c r="BN13" s="18"/>
      <c r="BP13" s="18"/>
      <c r="BQ13" s="18"/>
      <c r="BR13" s="18"/>
      <c r="BS13" s="18"/>
      <c r="BT13" s="18"/>
      <c r="BV13">
        <f t="shared" si="17"/>
        <v>0</v>
      </c>
      <c r="BW13">
        <f t="shared" si="18"/>
        <v>0</v>
      </c>
      <c r="BX13">
        <f t="shared" si="19"/>
        <v>0</v>
      </c>
      <c r="BY13">
        <f t="shared" si="20"/>
        <v>0</v>
      </c>
      <c r="BZ13">
        <f t="shared" si="21"/>
        <v>0</v>
      </c>
      <c r="CA13">
        <f t="shared" si="22"/>
        <v>0</v>
      </c>
      <c r="CB13">
        <f t="shared" si="23"/>
        <v>0</v>
      </c>
      <c r="CC13">
        <f t="shared" si="24"/>
        <v>0</v>
      </c>
      <c r="CD13">
        <f t="shared" si="25"/>
        <v>0</v>
      </c>
      <c r="CE13">
        <f t="shared" si="26"/>
        <v>0</v>
      </c>
      <c r="CF13">
        <f t="shared" si="27"/>
        <v>0</v>
      </c>
      <c r="CG13">
        <f t="shared" si="28"/>
        <v>9.9475983006414026E-14</v>
      </c>
      <c r="CJ13" t="s">
        <v>593</v>
      </c>
    </row>
    <row r="14" spans="1:88" ht="15.75" customHeight="1" outlineLevel="1" thickBot="1" x14ac:dyDescent="0.35">
      <c r="A14" s="20"/>
      <c r="B14" s="40" t="s">
        <v>57</v>
      </c>
      <c r="C14" s="41" t="s">
        <v>241</v>
      </c>
      <c r="D14" s="40">
        <v>22654789</v>
      </c>
      <c r="E14" s="41">
        <v>10</v>
      </c>
      <c r="F14" s="41">
        <v>32</v>
      </c>
      <c r="G14" s="41">
        <v>30</v>
      </c>
      <c r="I14" s="42">
        <f t="shared" si="0"/>
        <v>12.2631525</v>
      </c>
      <c r="J14" s="43">
        <f t="shared" si="1"/>
        <v>0.57739209135869685</v>
      </c>
      <c r="K14" s="43">
        <f t="shared" si="2"/>
        <v>0.25826486399851262</v>
      </c>
      <c r="L14" s="43">
        <f t="shared" si="3"/>
        <v>0.19969993982287806</v>
      </c>
      <c r="M14" s="43">
        <f t="shared" si="4"/>
        <v>0.31912722736018417</v>
      </c>
      <c r="N14" s="40">
        <f t="shared" si="5"/>
        <v>5850936</v>
      </c>
      <c r="O14" s="43">
        <f t="shared" si="6"/>
        <v>0.59055034286666241</v>
      </c>
      <c r="P14" s="44">
        <v>22150010</v>
      </c>
      <c r="Q14" s="44">
        <v>692187.8125</v>
      </c>
      <c r="R14" s="44">
        <v>13186.28125</v>
      </c>
      <c r="S14" s="45">
        <v>13080696</v>
      </c>
      <c r="T14" s="45">
        <v>4524160</v>
      </c>
      <c r="U14" s="45">
        <v>1326776</v>
      </c>
      <c r="V14" s="45">
        <v>7229760</v>
      </c>
      <c r="W14" s="46">
        <v>70.927415624999995</v>
      </c>
      <c r="X14" s="46">
        <v>74.638240624999995</v>
      </c>
      <c r="Y14" s="46">
        <v>39.465649999999897</v>
      </c>
      <c r="Z14" s="46">
        <v>42.965468749999999</v>
      </c>
      <c r="AA14" s="46">
        <v>38.243240624999999</v>
      </c>
      <c r="AB14" s="47">
        <v>2901.51</v>
      </c>
      <c r="AC14" s="47">
        <v>6896.03</v>
      </c>
      <c r="AD14" s="47">
        <v>6.9980000000000002</v>
      </c>
      <c r="AE14" s="47">
        <v>28.606999999999999</v>
      </c>
      <c r="AG14" s="42">
        <f t="shared" si="7"/>
        <v>12.2631525</v>
      </c>
      <c r="AH14" s="43">
        <f t="shared" si="8"/>
        <v>0.57739209135869685</v>
      </c>
      <c r="AI14" s="43">
        <f t="shared" si="9"/>
        <v>0.25826486399851262</v>
      </c>
      <c r="AJ14" s="43">
        <f t="shared" si="10"/>
        <v>0.19969993982287806</v>
      </c>
      <c r="AK14" s="43">
        <f t="shared" si="11"/>
        <v>0.31912722736018417</v>
      </c>
      <c r="AL14" s="40">
        <f t="shared" si="12"/>
        <v>5850936</v>
      </c>
      <c r="AM14" s="43">
        <f t="shared" si="13"/>
        <v>0.59055034286666241</v>
      </c>
      <c r="AN14" s="44">
        <v>22150010</v>
      </c>
      <c r="AO14" s="44">
        <v>692187.8125</v>
      </c>
      <c r="AP14" s="44">
        <v>13186.28125</v>
      </c>
      <c r="AQ14" s="45">
        <v>13080696</v>
      </c>
      <c r="AR14" s="45">
        <v>4524160</v>
      </c>
      <c r="AS14" s="45">
        <v>1326776</v>
      </c>
      <c r="AT14" s="45">
        <v>7229760</v>
      </c>
      <c r="AU14" s="46">
        <v>70.927415624999995</v>
      </c>
      <c r="AV14" s="46">
        <v>74.638240624999995</v>
      </c>
      <c r="AW14" s="46">
        <v>39.465649999999997</v>
      </c>
      <c r="AX14" s="46">
        <v>42.965468749999999</v>
      </c>
      <c r="AY14" s="46">
        <v>38.243240624999999</v>
      </c>
      <c r="AZ14" s="47">
        <v>2544.23</v>
      </c>
      <c r="BA14" s="47">
        <v>5437.36</v>
      </c>
      <c r="BB14" s="47">
        <v>5.7370000000000001</v>
      </c>
      <c r="BC14" s="47">
        <v>24.664999999999999</v>
      </c>
      <c r="BE14" s="48">
        <f t="shared" si="14"/>
        <v>1</v>
      </c>
      <c r="BF14" s="49">
        <f t="shared" si="15"/>
        <v>0</v>
      </c>
      <c r="BG14" s="49">
        <f t="shared" si="16"/>
        <v>0</v>
      </c>
      <c r="BH14" s="49"/>
      <c r="BJ14" s="48"/>
      <c r="BK14" s="48"/>
      <c r="BL14" s="48"/>
      <c r="BM14" s="48"/>
      <c r="BN14" s="48"/>
      <c r="BP14" s="48"/>
      <c r="BQ14" s="48"/>
      <c r="BR14" s="48"/>
      <c r="BS14" s="48"/>
      <c r="BT14" s="48"/>
      <c r="BV14">
        <f t="shared" si="17"/>
        <v>0</v>
      </c>
      <c r="BW14">
        <f t="shared" si="18"/>
        <v>0</v>
      </c>
      <c r="BX14">
        <f t="shared" si="19"/>
        <v>0</v>
      </c>
      <c r="BY14">
        <f t="shared" si="20"/>
        <v>0</v>
      </c>
      <c r="BZ14">
        <f t="shared" si="21"/>
        <v>0</v>
      </c>
      <c r="CA14">
        <f t="shared" si="22"/>
        <v>0</v>
      </c>
      <c r="CB14">
        <f t="shared" si="23"/>
        <v>0</v>
      </c>
      <c r="CC14">
        <f t="shared" si="24"/>
        <v>0</v>
      </c>
      <c r="CD14">
        <f t="shared" si="25"/>
        <v>0</v>
      </c>
      <c r="CE14">
        <f t="shared" si="26"/>
        <v>9.9475983006414026E-14</v>
      </c>
      <c r="CF14">
        <f t="shared" si="27"/>
        <v>0</v>
      </c>
      <c r="CG14">
        <f t="shared" si="28"/>
        <v>0</v>
      </c>
      <c r="CJ14" t="s">
        <v>593</v>
      </c>
    </row>
    <row r="15" spans="1:88" x14ac:dyDescent="0.3">
      <c r="A15" s="10"/>
      <c r="B15" s="10" t="s">
        <v>62</v>
      </c>
      <c r="C15" s="11" t="s">
        <v>236</v>
      </c>
      <c r="D15" s="10">
        <v>33947718</v>
      </c>
      <c r="E15" s="11">
        <v>10</v>
      </c>
      <c r="F15" s="11">
        <v>32</v>
      </c>
      <c r="G15" s="11">
        <v>30</v>
      </c>
      <c r="I15" s="12">
        <f t="shared" si="0"/>
        <v>1.62738</v>
      </c>
      <c r="J15" s="13">
        <f t="shared" si="1"/>
        <v>5.1133687395423753E-2</v>
      </c>
      <c r="K15" s="13">
        <f t="shared" si="2"/>
        <v>4.301414310087058E-2</v>
      </c>
      <c r="L15" s="13">
        <f t="shared" si="3"/>
        <v>2.2479743704716764E-2</v>
      </c>
      <c r="M15" s="13">
        <f t="shared" si="4"/>
        <v>8.1195442945531712E-3</v>
      </c>
      <c r="N15" s="10">
        <f t="shared" si="5"/>
        <v>1460232</v>
      </c>
      <c r="O15" s="13">
        <f t="shared" si="6"/>
        <v>5.3550005557456717E-2</v>
      </c>
      <c r="P15" s="14">
        <v>32415907</v>
      </c>
      <c r="Q15" s="14">
        <v>1012997.09375</v>
      </c>
      <c r="R15" s="14">
        <v>31572.59375</v>
      </c>
      <c r="S15" s="15">
        <v>1735872</v>
      </c>
      <c r="T15" s="15">
        <v>763136</v>
      </c>
      <c r="U15" s="15">
        <v>697096</v>
      </c>
      <c r="V15" s="15">
        <v>275640</v>
      </c>
      <c r="W15" s="16">
        <v>66.291603124999995</v>
      </c>
      <c r="X15" s="16">
        <v>67.836553124999995</v>
      </c>
      <c r="Y15" s="16">
        <v>29.261015624999899</v>
      </c>
      <c r="Z15" s="16">
        <v>43.477215624999999</v>
      </c>
      <c r="AA15" s="16">
        <v>43.537599999999998</v>
      </c>
      <c r="AB15" s="17">
        <v>4103.5600000000004</v>
      </c>
      <c r="AC15" s="17">
        <v>4108.62</v>
      </c>
      <c r="AD15" s="17">
        <v>9.5259999999999998</v>
      </c>
      <c r="AE15" s="17">
        <v>22.47</v>
      </c>
      <c r="AG15" s="12">
        <f t="shared" si="7"/>
        <v>1.62738</v>
      </c>
      <c r="AH15" s="13">
        <f t="shared" si="8"/>
        <v>5.1133687395423753E-2</v>
      </c>
      <c r="AI15" s="13">
        <f t="shared" si="9"/>
        <v>4.301414310087058E-2</v>
      </c>
      <c r="AJ15" s="13">
        <f t="shared" si="10"/>
        <v>2.2479743704716764E-2</v>
      </c>
      <c r="AK15" s="13">
        <f t="shared" si="11"/>
        <v>8.1195442945531712E-3</v>
      </c>
      <c r="AL15" s="10">
        <f t="shared" si="12"/>
        <v>1460232</v>
      </c>
      <c r="AM15" s="13">
        <f t="shared" si="13"/>
        <v>5.3550005557456717E-2</v>
      </c>
      <c r="AN15" s="14">
        <v>32415907</v>
      </c>
      <c r="AO15" s="14">
        <v>1012997.09375</v>
      </c>
      <c r="AP15" s="14">
        <v>31572.59375</v>
      </c>
      <c r="AQ15" s="15">
        <v>1735872</v>
      </c>
      <c r="AR15" s="15">
        <v>763136</v>
      </c>
      <c r="AS15" s="15">
        <v>697096</v>
      </c>
      <c r="AT15" s="15">
        <v>275640</v>
      </c>
      <c r="AU15" s="16">
        <v>66.291603124999995</v>
      </c>
      <c r="AV15" s="16">
        <v>67.836553124999995</v>
      </c>
      <c r="AW15" s="16">
        <v>29.261015624999999</v>
      </c>
      <c r="AX15" s="16">
        <v>43.477215624999999</v>
      </c>
      <c r="AY15" s="16">
        <v>43.537599999999998</v>
      </c>
      <c r="AZ15" s="17">
        <v>3635.68</v>
      </c>
      <c r="BA15" s="17">
        <v>3183.96</v>
      </c>
      <c r="BB15" s="17">
        <v>7.4660000000000002</v>
      </c>
      <c r="BC15" s="17">
        <v>20.556999999999999</v>
      </c>
      <c r="BE15" s="18">
        <f t="shared" si="14"/>
        <v>1</v>
      </c>
      <c r="BF15" s="19">
        <f t="shared" si="15"/>
        <v>0</v>
      </c>
      <c r="BG15" s="19">
        <f t="shared" si="16"/>
        <v>0</v>
      </c>
      <c r="BH15" s="19">
        <f t="array" ref="BH15">AVERAGE(AL15:AL19/AQ15:AQ19) - AVERAGE(N15:N19/S15:S19)</f>
        <v>0</v>
      </c>
      <c r="BJ15" s="18">
        <f>IF( OR(ISBLANK(N15:N19),ISBLANK(AL15:AL19), ISBLANK(W15:W19),ISBLANK(AU15:AU19)), "·", bdRateExtend( N15:N19,W15:W19, AL15:AL19,AU15:AU19))</f>
        <v>0</v>
      </c>
      <c r="BK15" s="18">
        <f>IF( OR(ISBLANK(N15:N19),ISBLANK(AL15:AL19), ISBLANK(X15:X19),ISBLANK(AV15:AV19)), "·", bdRateExtend( N15:N19,X15:X19, AL15:AL19,AV15:AV19))</f>
        <v>-1.354472090042691E-14</v>
      </c>
      <c r="BL15" s="18">
        <f>IF( OR(ISBLANK(V15:V19),ISBLANK(AT15:AT19), ISBLANK(Y15:Y19),ISBLANK(AW15:AW19)), "·", bdRateExtend( V15:V19,Y15:Y19, AT15:AT19,AW15:AW19))</f>
        <v>-1.5543122344752192E-14</v>
      </c>
      <c r="BM15" s="18">
        <f>IF( OR(ISBLANK(V15:V19),ISBLANK(AT15:AT19), ISBLANK(Z15:Z19),ISBLANK(AX15:AX19)), "·", bdRateExtend( V15:V19,Z15:Z19, AT15:AT19,AX15:AX19))</f>
        <v>-1.3988810110276972E-14</v>
      </c>
      <c r="BN15" s="18">
        <f>IF( OR(ISBLANK(V15:V19),ISBLANK(AT15:AT19), ISBLANK(AA15:AA19),ISBLANK(AY15:AY19)), "·", bdRateExtend( V15:V19,AA15:AA19, AT15:AT19,AY15:AY19))</f>
        <v>-3.1530333899354446E-14</v>
      </c>
      <c r="BP15" s="18">
        <f>IF( OR(ISBLANK(S15:S19),ISBLANK(AQ15:AQ19), ISBLANK(W15:W19),ISBLANK(AU15:AU19)), "·", bdRateExtend( S15:S19,W15:W19, AQ15:AQ19,AU15:AU19))</f>
        <v>0</v>
      </c>
      <c r="BQ15" s="18">
        <f>IF( OR(ISBLANK(S15:S19),ISBLANK(AQ15:AQ19), ISBLANK(X15:X19),ISBLANK(AV15:AV19)), "·", bdRateExtend( S15:S19,X15:X19, AQ15:AQ19,AV15:AV19))</f>
        <v>-1.7985612998927536E-14</v>
      </c>
      <c r="BR15" s="18">
        <f>IF( OR(ISBLANK(S15:S19),ISBLANK(AQ15:AQ19), ISBLANK(Y15:Y19),ISBLANK(AW15:AW19)), "·", bdRateExtend( S15:S19,Y15:Y19, AQ15:AQ19,AW15:AW19))</f>
        <v>-3.5527136788005009E-15</v>
      </c>
      <c r="BS15" s="18">
        <f>IF( OR(ISBLANK(S15:S19),ISBLANK(AQ15:AQ19), ISBLANK(Z15:Z19),ISBLANK(AX15:AX19)), "·", bdRateExtend( S15:S19,Z15:Z19, AQ15:AQ19,AX15:AX19))</f>
        <v>-8.659739592076221E-15</v>
      </c>
      <c r="BT15" s="18">
        <f>IF( OR(ISBLANK(S15:S19),ISBLANK(AQ15:AQ19), ISBLANK(AA15:AA19),ISBLANK(AY15:AY19)), "·", bdRateExtend( S15:S19,AA15:AA19, AQ15:AQ19,AY15:AY19))</f>
        <v>-1.2656542480726785E-14</v>
      </c>
      <c r="BV15">
        <f t="shared" si="17"/>
        <v>0</v>
      </c>
      <c r="BW15">
        <f t="shared" si="18"/>
        <v>0</v>
      </c>
      <c r="BX15">
        <f t="shared" si="19"/>
        <v>0</v>
      </c>
      <c r="BY15">
        <f t="shared" si="20"/>
        <v>0</v>
      </c>
      <c r="BZ15">
        <f t="shared" si="21"/>
        <v>0</v>
      </c>
      <c r="CA15">
        <f t="shared" si="22"/>
        <v>0</v>
      </c>
      <c r="CB15">
        <f t="shared" si="23"/>
        <v>0</v>
      </c>
      <c r="CC15">
        <f t="shared" si="24"/>
        <v>0</v>
      </c>
      <c r="CD15">
        <f t="shared" si="25"/>
        <v>0</v>
      </c>
      <c r="CE15">
        <f t="shared" si="26"/>
        <v>9.9475983006414026E-14</v>
      </c>
      <c r="CF15">
        <f t="shared" si="27"/>
        <v>0</v>
      </c>
      <c r="CG15">
        <f t="shared" si="28"/>
        <v>0</v>
      </c>
      <c r="CJ15" t="s">
        <v>237</v>
      </c>
    </row>
    <row r="16" spans="1:88" outlineLevel="1" x14ac:dyDescent="0.3">
      <c r="A16" s="20"/>
      <c r="B16" s="20" t="s">
        <v>62</v>
      </c>
      <c r="C16" s="21" t="s">
        <v>238</v>
      </c>
      <c r="D16" s="20">
        <v>33947718</v>
      </c>
      <c r="E16" s="21">
        <v>10</v>
      </c>
      <c r="F16" s="21">
        <v>32</v>
      </c>
      <c r="G16" s="21">
        <v>30</v>
      </c>
      <c r="I16" s="22">
        <f t="shared" si="0"/>
        <v>2.1331725000000001</v>
      </c>
      <c r="J16" s="23">
        <f t="shared" si="1"/>
        <v>6.7026125290660182E-2</v>
      </c>
      <c r="K16" s="23">
        <f t="shared" si="2"/>
        <v>5.185456059226131E-2</v>
      </c>
      <c r="L16" s="23">
        <f t="shared" si="3"/>
        <v>3.1320161196107497E-2</v>
      </c>
      <c r="M16" s="23">
        <f t="shared" si="4"/>
        <v>1.5171564698398874E-2</v>
      </c>
      <c r="N16" s="20">
        <f t="shared" si="5"/>
        <v>1760344</v>
      </c>
      <c r="O16" s="23">
        <f t="shared" si="6"/>
        <v>6.7171665107366191E-2</v>
      </c>
      <c r="P16" s="24">
        <v>33874164</v>
      </c>
      <c r="Q16" s="24">
        <v>1058567.625</v>
      </c>
      <c r="R16" s="24">
        <v>36348.40625</v>
      </c>
      <c r="S16" s="25">
        <v>2275384</v>
      </c>
      <c r="T16" s="25">
        <v>1063248</v>
      </c>
      <c r="U16" s="25">
        <v>697096</v>
      </c>
      <c r="V16" s="25">
        <v>515040</v>
      </c>
      <c r="W16" s="26">
        <v>68.020284375000003</v>
      </c>
      <c r="X16" s="26">
        <v>69.988659374999997</v>
      </c>
      <c r="Y16" s="26">
        <v>31.558062499999998</v>
      </c>
      <c r="Z16" s="26">
        <v>44.096293750000001</v>
      </c>
      <c r="AA16" s="26">
        <v>44.368199999999902</v>
      </c>
      <c r="AB16" s="27">
        <v>4164.51</v>
      </c>
      <c r="AC16" s="27">
        <v>4391.04</v>
      </c>
      <c r="AD16" s="27">
        <v>10.164</v>
      </c>
      <c r="AE16" s="27">
        <v>22.672999999999998</v>
      </c>
      <c r="AG16" s="22">
        <f t="shared" si="7"/>
        <v>2.1331725000000001</v>
      </c>
      <c r="AH16" s="23">
        <f t="shared" si="8"/>
        <v>6.7026125290660182E-2</v>
      </c>
      <c r="AI16" s="23">
        <f t="shared" si="9"/>
        <v>5.185456059226131E-2</v>
      </c>
      <c r="AJ16" s="23">
        <f t="shared" si="10"/>
        <v>3.1320161196107497E-2</v>
      </c>
      <c r="AK16" s="23">
        <f t="shared" si="11"/>
        <v>1.5171564698398874E-2</v>
      </c>
      <c r="AL16" s="20">
        <f t="shared" si="12"/>
        <v>1760344</v>
      </c>
      <c r="AM16" s="23">
        <f t="shared" si="13"/>
        <v>6.7171665107366191E-2</v>
      </c>
      <c r="AN16" s="24">
        <v>33874164</v>
      </c>
      <c r="AO16" s="24">
        <v>1058567.625</v>
      </c>
      <c r="AP16" s="24">
        <v>36348.40625</v>
      </c>
      <c r="AQ16" s="25">
        <v>2275384</v>
      </c>
      <c r="AR16" s="25">
        <v>1063248</v>
      </c>
      <c r="AS16" s="25">
        <v>697096</v>
      </c>
      <c r="AT16" s="25">
        <v>515040</v>
      </c>
      <c r="AU16" s="26">
        <v>68.020284375000003</v>
      </c>
      <c r="AV16" s="26">
        <v>69.988659374999997</v>
      </c>
      <c r="AW16" s="26">
        <v>31.558062499999998</v>
      </c>
      <c r="AX16" s="26">
        <v>44.096293750000001</v>
      </c>
      <c r="AY16" s="26">
        <v>44.368200000000002</v>
      </c>
      <c r="AZ16" s="27">
        <v>3629.99</v>
      </c>
      <c r="BA16" s="27">
        <v>3409.49</v>
      </c>
      <c r="BB16" s="27">
        <v>8.1039999999999992</v>
      </c>
      <c r="BC16" s="27">
        <v>20.123999999999999</v>
      </c>
      <c r="BE16" s="28">
        <f t="shared" si="14"/>
        <v>1</v>
      </c>
      <c r="BF16" s="29">
        <f t="shared" si="15"/>
        <v>0</v>
      </c>
      <c r="BG16" s="29">
        <f t="shared" si="16"/>
        <v>0</v>
      </c>
      <c r="BH16" s="29"/>
      <c r="BJ16" s="28"/>
      <c r="BK16" s="28"/>
      <c r="BL16" s="28"/>
      <c r="BM16" s="28"/>
      <c r="BN16" s="28"/>
      <c r="BP16" s="28"/>
      <c r="BQ16" s="28"/>
      <c r="BR16" s="28"/>
      <c r="BS16" s="28"/>
      <c r="BT16" s="28"/>
      <c r="BV16">
        <f t="shared" si="17"/>
        <v>0</v>
      </c>
      <c r="BW16">
        <f t="shared" si="18"/>
        <v>0</v>
      </c>
      <c r="BX16">
        <f t="shared" si="19"/>
        <v>0</v>
      </c>
      <c r="BY16">
        <f t="shared" si="20"/>
        <v>0</v>
      </c>
      <c r="BZ16">
        <f t="shared" si="21"/>
        <v>0</v>
      </c>
      <c r="CA16">
        <f t="shared" si="22"/>
        <v>0</v>
      </c>
      <c r="CB16">
        <f t="shared" si="23"/>
        <v>0</v>
      </c>
      <c r="CC16">
        <f t="shared" si="24"/>
        <v>0</v>
      </c>
      <c r="CD16">
        <f t="shared" si="25"/>
        <v>0</v>
      </c>
      <c r="CE16">
        <f t="shared" si="26"/>
        <v>0</v>
      </c>
      <c r="CF16">
        <f t="shared" si="27"/>
        <v>0</v>
      </c>
      <c r="CG16">
        <f t="shared" si="28"/>
        <v>9.9475983006414026E-14</v>
      </c>
      <c r="CJ16" t="s">
        <v>237</v>
      </c>
    </row>
    <row r="17" spans="1:88" outlineLevel="1" x14ac:dyDescent="0.3">
      <c r="A17" s="10"/>
      <c r="B17" s="10" t="s">
        <v>62</v>
      </c>
      <c r="C17" s="11" t="s">
        <v>239</v>
      </c>
      <c r="D17" s="10">
        <v>33947718</v>
      </c>
      <c r="E17" s="11">
        <v>10</v>
      </c>
      <c r="F17" s="11">
        <v>32</v>
      </c>
      <c r="G17" s="11">
        <v>30</v>
      </c>
      <c r="I17" s="12">
        <f t="shared" si="0"/>
        <v>3.019215</v>
      </c>
      <c r="J17" s="13">
        <f t="shared" si="1"/>
        <v>9.4866347128251746E-2</v>
      </c>
      <c r="K17" s="13">
        <f t="shared" si="2"/>
        <v>6.3302752780024854E-2</v>
      </c>
      <c r="L17" s="13">
        <f t="shared" si="3"/>
        <v>4.2768353383871048E-2</v>
      </c>
      <c r="M17" s="13">
        <f t="shared" si="4"/>
        <v>3.1563594348226885E-2</v>
      </c>
      <c r="N17" s="10">
        <f t="shared" si="5"/>
        <v>2148984</v>
      </c>
      <c r="O17" s="13">
        <f t="shared" si="6"/>
        <v>9.5341172466666735E-2</v>
      </c>
      <c r="P17" s="14">
        <v>33778649</v>
      </c>
      <c r="Q17" s="14">
        <v>1055582.78125</v>
      </c>
      <c r="R17" s="14">
        <v>36858.84375</v>
      </c>
      <c r="S17" s="15">
        <v>3220496</v>
      </c>
      <c r="T17" s="15">
        <v>1451888</v>
      </c>
      <c r="U17" s="15">
        <v>697096</v>
      </c>
      <c r="V17" s="15">
        <v>1071512</v>
      </c>
      <c r="W17" s="16">
        <v>69.351378124999997</v>
      </c>
      <c r="X17" s="16">
        <v>71.816215624999998</v>
      </c>
      <c r="Y17" s="16">
        <v>33.932503124999997</v>
      </c>
      <c r="Z17" s="16">
        <v>45.173224999999903</v>
      </c>
      <c r="AA17" s="16">
        <v>45.643393749999902</v>
      </c>
      <c r="AB17" s="17">
        <v>4161.58</v>
      </c>
      <c r="AC17" s="17">
        <v>4687.78</v>
      </c>
      <c r="AD17" s="17">
        <v>10.169</v>
      </c>
      <c r="AE17" s="17">
        <v>23.401</v>
      </c>
      <c r="AG17" s="12">
        <f t="shared" si="7"/>
        <v>3.019215</v>
      </c>
      <c r="AH17" s="13">
        <f t="shared" si="8"/>
        <v>9.4866347128251746E-2</v>
      </c>
      <c r="AI17" s="13">
        <f t="shared" si="9"/>
        <v>6.3302752780024854E-2</v>
      </c>
      <c r="AJ17" s="13">
        <f t="shared" si="10"/>
        <v>4.2768353383871048E-2</v>
      </c>
      <c r="AK17" s="13">
        <f t="shared" si="11"/>
        <v>3.1563594348226885E-2</v>
      </c>
      <c r="AL17" s="10">
        <f t="shared" si="12"/>
        <v>2148984</v>
      </c>
      <c r="AM17" s="13">
        <f t="shared" si="13"/>
        <v>9.5341172466666735E-2</v>
      </c>
      <c r="AN17" s="14">
        <v>33778649</v>
      </c>
      <c r="AO17" s="14">
        <v>1055582.78125</v>
      </c>
      <c r="AP17" s="14">
        <v>36858.84375</v>
      </c>
      <c r="AQ17" s="15">
        <v>3220496</v>
      </c>
      <c r="AR17" s="15">
        <v>1451888</v>
      </c>
      <c r="AS17" s="15">
        <v>697096</v>
      </c>
      <c r="AT17" s="15">
        <v>1071512</v>
      </c>
      <c r="AU17" s="16">
        <v>69.351378124999997</v>
      </c>
      <c r="AV17" s="16">
        <v>71.816215624999998</v>
      </c>
      <c r="AW17" s="16">
        <v>33.932503124999997</v>
      </c>
      <c r="AX17" s="16">
        <v>45.173225000000002</v>
      </c>
      <c r="AY17" s="16">
        <v>45.643393750000001</v>
      </c>
      <c r="AZ17" s="17">
        <v>3578.85</v>
      </c>
      <c r="BA17" s="17">
        <v>3628.66</v>
      </c>
      <c r="BB17" s="17">
        <v>8.2370000000000001</v>
      </c>
      <c r="BC17" s="17">
        <v>20.576000000000001</v>
      </c>
      <c r="BE17" s="18">
        <f t="shared" si="14"/>
        <v>1</v>
      </c>
      <c r="BF17" s="19">
        <f t="shared" si="15"/>
        <v>0</v>
      </c>
      <c r="BG17" s="19">
        <f t="shared" si="16"/>
        <v>0</v>
      </c>
      <c r="BH17" s="19"/>
      <c r="BJ17" s="18"/>
      <c r="BK17" s="18"/>
      <c r="BL17" s="18"/>
      <c r="BM17" s="18"/>
      <c r="BN17" s="18"/>
      <c r="BP17" s="18"/>
      <c r="BQ17" s="18"/>
      <c r="BR17" s="18"/>
      <c r="BS17" s="18"/>
      <c r="BT17" s="18"/>
      <c r="BV17">
        <f t="shared" si="17"/>
        <v>0</v>
      </c>
      <c r="BW17">
        <f t="shared" si="18"/>
        <v>0</v>
      </c>
      <c r="BX17">
        <f t="shared" si="19"/>
        <v>0</v>
      </c>
      <c r="BY17">
        <f t="shared" si="20"/>
        <v>0</v>
      </c>
      <c r="BZ17">
        <f t="shared" si="21"/>
        <v>0</v>
      </c>
      <c r="CA17">
        <f t="shared" si="22"/>
        <v>0</v>
      </c>
      <c r="CB17">
        <f t="shared" si="23"/>
        <v>0</v>
      </c>
      <c r="CC17">
        <f t="shared" si="24"/>
        <v>0</v>
      </c>
      <c r="CD17">
        <f t="shared" si="25"/>
        <v>0</v>
      </c>
      <c r="CE17">
        <f t="shared" si="26"/>
        <v>0</v>
      </c>
      <c r="CF17">
        <f t="shared" si="27"/>
        <v>9.9475983006414026E-14</v>
      </c>
      <c r="CG17">
        <f t="shared" si="28"/>
        <v>9.9475983006414026E-14</v>
      </c>
      <c r="CJ17" t="s">
        <v>237</v>
      </c>
    </row>
    <row r="18" spans="1:88" outlineLevel="1" x14ac:dyDescent="0.3">
      <c r="A18" s="20"/>
      <c r="B18" s="20" t="s">
        <v>62</v>
      </c>
      <c r="C18" s="21" t="s">
        <v>240</v>
      </c>
      <c r="D18" s="20">
        <v>33947718</v>
      </c>
      <c r="E18" s="21">
        <v>10</v>
      </c>
      <c r="F18" s="21">
        <v>32</v>
      </c>
      <c r="G18" s="21">
        <v>30</v>
      </c>
      <c r="I18" s="22">
        <f t="shared" si="0"/>
        <v>5.35128</v>
      </c>
      <c r="J18" s="23">
        <f t="shared" si="1"/>
        <v>0.16814184682457889</v>
      </c>
      <c r="K18" s="23">
        <f t="shared" si="2"/>
        <v>9.4301007213504012E-2</v>
      </c>
      <c r="L18" s="23">
        <f t="shared" si="3"/>
        <v>7.3766607817350199E-2</v>
      </c>
      <c r="M18" s="23">
        <f t="shared" si="4"/>
        <v>7.384083961107489E-2</v>
      </c>
      <c r="N18" s="20">
        <f t="shared" si="5"/>
        <v>3201304</v>
      </c>
      <c r="O18" s="23">
        <f t="shared" si="6"/>
        <v>0.16348682095386349</v>
      </c>
      <c r="P18" s="24">
        <v>34914325</v>
      </c>
      <c r="Q18" s="24">
        <v>1091072.65625</v>
      </c>
      <c r="R18" s="24">
        <v>41019.625</v>
      </c>
      <c r="S18" s="25">
        <v>5708032</v>
      </c>
      <c r="T18" s="25">
        <v>2504208</v>
      </c>
      <c r="U18" s="25">
        <v>697096</v>
      </c>
      <c r="V18" s="25">
        <v>2506728</v>
      </c>
      <c r="W18" s="26">
        <v>70.511306250000004</v>
      </c>
      <c r="X18" s="26">
        <v>73.106734374999903</v>
      </c>
      <c r="Y18" s="26">
        <v>36.2919499999999</v>
      </c>
      <c r="Z18" s="26">
        <v>46.423034375</v>
      </c>
      <c r="AA18" s="26">
        <v>46.92108125</v>
      </c>
      <c r="AB18" s="27">
        <v>4165.2700000000004</v>
      </c>
      <c r="AC18" s="27">
        <v>5138.0200000000004</v>
      </c>
      <c r="AD18" s="27">
        <v>10.425000000000001</v>
      </c>
      <c r="AE18" s="27">
        <v>24.376999999999999</v>
      </c>
      <c r="AG18" s="22">
        <f t="shared" si="7"/>
        <v>5.35128</v>
      </c>
      <c r="AH18" s="23">
        <f t="shared" si="8"/>
        <v>0.16814184682457889</v>
      </c>
      <c r="AI18" s="23">
        <f t="shared" si="9"/>
        <v>9.4301007213504012E-2</v>
      </c>
      <c r="AJ18" s="23">
        <f t="shared" si="10"/>
        <v>7.3766607817350199E-2</v>
      </c>
      <c r="AK18" s="23">
        <f t="shared" si="11"/>
        <v>7.384083961107489E-2</v>
      </c>
      <c r="AL18" s="20">
        <f t="shared" si="12"/>
        <v>3201304</v>
      </c>
      <c r="AM18" s="23">
        <f t="shared" si="13"/>
        <v>0.16348682095386349</v>
      </c>
      <c r="AN18" s="24">
        <v>34914325</v>
      </c>
      <c r="AO18" s="24">
        <v>1091072.65625</v>
      </c>
      <c r="AP18" s="24">
        <v>41019.625</v>
      </c>
      <c r="AQ18" s="25">
        <v>5708032</v>
      </c>
      <c r="AR18" s="25">
        <v>2504208</v>
      </c>
      <c r="AS18" s="25">
        <v>697096</v>
      </c>
      <c r="AT18" s="25">
        <v>2506728</v>
      </c>
      <c r="AU18" s="26">
        <v>70.511306250000004</v>
      </c>
      <c r="AV18" s="26">
        <v>73.106734375000002</v>
      </c>
      <c r="AW18" s="26">
        <v>36.29195</v>
      </c>
      <c r="AX18" s="26">
        <v>46.423034375</v>
      </c>
      <c r="AY18" s="26">
        <v>46.92108125</v>
      </c>
      <c r="AZ18" s="27">
        <v>3647.52</v>
      </c>
      <c r="BA18" s="27">
        <v>4009.08</v>
      </c>
      <c r="BB18" s="27">
        <v>8.2230000000000008</v>
      </c>
      <c r="BC18" s="27">
        <v>21.5</v>
      </c>
      <c r="BE18" s="28">
        <f t="shared" si="14"/>
        <v>1</v>
      </c>
      <c r="BF18" s="29">
        <f t="shared" si="15"/>
        <v>0</v>
      </c>
      <c r="BG18" s="29">
        <f t="shared" si="16"/>
        <v>0</v>
      </c>
      <c r="BH18" s="29"/>
      <c r="BJ18" s="28"/>
      <c r="BK18" s="28"/>
      <c r="BL18" s="28"/>
      <c r="BM18" s="28"/>
      <c r="BN18" s="28"/>
      <c r="BP18" s="28"/>
      <c r="BQ18" s="28"/>
      <c r="BR18" s="28"/>
      <c r="BS18" s="28"/>
      <c r="BT18" s="28"/>
      <c r="BV18">
        <f t="shared" si="17"/>
        <v>0</v>
      </c>
      <c r="BW18">
        <f t="shared" si="18"/>
        <v>0</v>
      </c>
      <c r="BX18">
        <f t="shared" si="19"/>
        <v>0</v>
      </c>
      <c r="BY18">
        <f t="shared" si="20"/>
        <v>0</v>
      </c>
      <c r="BZ18">
        <f t="shared" si="21"/>
        <v>0</v>
      </c>
      <c r="CA18">
        <f t="shared" si="22"/>
        <v>0</v>
      </c>
      <c r="CB18">
        <f t="shared" si="23"/>
        <v>0</v>
      </c>
      <c r="CC18">
        <f t="shared" si="24"/>
        <v>0</v>
      </c>
      <c r="CD18">
        <f t="shared" si="25"/>
        <v>0</v>
      </c>
      <c r="CE18">
        <f t="shared" si="26"/>
        <v>9.9475983006414026E-14</v>
      </c>
      <c r="CF18">
        <f t="shared" si="27"/>
        <v>0</v>
      </c>
      <c r="CG18">
        <f t="shared" si="28"/>
        <v>0</v>
      </c>
      <c r="CJ18" t="s">
        <v>237</v>
      </c>
    </row>
    <row r="19" spans="1:88" ht="15.75" customHeight="1" outlineLevel="1" thickBot="1" x14ac:dyDescent="0.35">
      <c r="A19" s="10"/>
      <c r="B19" s="30" t="s">
        <v>62</v>
      </c>
      <c r="C19" s="31" t="s">
        <v>241</v>
      </c>
      <c r="D19" s="30">
        <v>33947718</v>
      </c>
      <c r="E19" s="31">
        <v>10</v>
      </c>
      <c r="F19" s="31">
        <v>32</v>
      </c>
      <c r="G19" s="31">
        <v>30</v>
      </c>
      <c r="I19" s="32">
        <f t="shared" si="0"/>
        <v>11.613960000000001</v>
      </c>
      <c r="J19" s="33">
        <f t="shared" si="1"/>
        <v>0.36492067007272772</v>
      </c>
      <c r="K19" s="33">
        <f t="shared" si="2"/>
        <v>0.16582369395197638</v>
      </c>
      <c r="L19" s="33">
        <f t="shared" si="3"/>
        <v>0.12174509049474254</v>
      </c>
      <c r="M19" s="33">
        <f t="shared" si="4"/>
        <v>0.19909697612075133</v>
      </c>
      <c r="N19" s="30">
        <f t="shared" si="5"/>
        <v>5629336</v>
      </c>
      <c r="O19" s="33">
        <f t="shared" si="6"/>
        <v>0.37518145076845544</v>
      </c>
      <c r="P19" s="34">
        <v>33019287</v>
      </c>
      <c r="Q19" s="34">
        <v>1031852.71875</v>
      </c>
      <c r="R19" s="34">
        <v>17626.4375</v>
      </c>
      <c r="S19" s="35">
        <v>12388224</v>
      </c>
      <c r="T19" s="35">
        <v>4132968</v>
      </c>
      <c r="U19" s="35">
        <v>1496368</v>
      </c>
      <c r="V19" s="35">
        <v>6758888</v>
      </c>
      <c r="W19" s="36">
        <v>71.188796874999994</v>
      </c>
      <c r="X19" s="36">
        <v>75.072268749999907</v>
      </c>
      <c r="Y19" s="36">
        <v>38.691440624999998</v>
      </c>
      <c r="Z19" s="36">
        <v>48.183934375</v>
      </c>
      <c r="AA19" s="36">
        <v>48.727393749999997</v>
      </c>
      <c r="AB19" s="37">
        <v>4153.67</v>
      </c>
      <c r="AC19" s="37">
        <v>5884.5</v>
      </c>
      <c r="AD19" s="37">
        <v>9.5730000000000004</v>
      </c>
      <c r="AE19" s="37">
        <v>26.504000000000001</v>
      </c>
      <c r="AG19" s="32">
        <f t="shared" si="7"/>
        <v>11.613960000000001</v>
      </c>
      <c r="AH19" s="33">
        <f t="shared" si="8"/>
        <v>0.36492067007272772</v>
      </c>
      <c r="AI19" s="33">
        <f t="shared" si="9"/>
        <v>0.16582369395197638</v>
      </c>
      <c r="AJ19" s="33">
        <f t="shared" si="10"/>
        <v>0.12174509049474254</v>
      </c>
      <c r="AK19" s="33">
        <f t="shared" si="11"/>
        <v>0.19909697612075133</v>
      </c>
      <c r="AL19" s="30">
        <f t="shared" si="12"/>
        <v>5629336</v>
      </c>
      <c r="AM19" s="33">
        <f t="shared" si="13"/>
        <v>0.37518145076845544</v>
      </c>
      <c r="AN19" s="34">
        <v>33019287</v>
      </c>
      <c r="AO19" s="34">
        <v>1031852.71875</v>
      </c>
      <c r="AP19" s="34">
        <v>17626.4375</v>
      </c>
      <c r="AQ19" s="35">
        <v>12388224</v>
      </c>
      <c r="AR19" s="35">
        <v>4132968</v>
      </c>
      <c r="AS19" s="35">
        <v>1496368</v>
      </c>
      <c r="AT19" s="35">
        <v>6758888</v>
      </c>
      <c r="AU19" s="36">
        <v>71.188796874999994</v>
      </c>
      <c r="AV19" s="36">
        <v>75.072268750000006</v>
      </c>
      <c r="AW19" s="36">
        <v>38.691440624999998</v>
      </c>
      <c r="AX19" s="36">
        <v>48.183934375</v>
      </c>
      <c r="AY19" s="36">
        <v>48.727393749999997</v>
      </c>
      <c r="AZ19" s="37">
        <v>3623.86</v>
      </c>
      <c r="BA19" s="37">
        <v>4599.95</v>
      </c>
      <c r="BB19" s="37">
        <v>7.5709999999999997</v>
      </c>
      <c r="BC19" s="37">
        <v>23.071000000000002</v>
      </c>
      <c r="BE19" s="38">
        <f t="shared" si="14"/>
        <v>1</v>
      </c>
      <c r="BF19" s="39">
        <f t="shared" si="15"/>
        <v>0</v>
      </c>
      <c r="BG19" s="39">
        <f t="shared" si="16"/>
        <v>0</v>
      </c>
      <c r="BH19" s="39"/>
      <c r="BJ19" s="38"/>
      <c r="BK19" s="38"/>
      <c r="BL19" s="38"/>
      <c r="BM19" s="38"/>
      <c r="BN19" s="38"/>
      <c r="BP19" s="38"/>
      <c r="BQ19" s="38"/>
      <c r="BR19" s="38"/>
      <c r="BS19" s="38"/>
      <c r="BT19" s="38"/>
      <c r="BV19">
        <f t="shared" si="17"/>
        <v>0</v>
      </c>
      <c r="BW19">
        <f t="shared" si="18"/>
        <v>0</v>
      </c>
      <c r="BX19">
        <f t="shared" si="19"/>
        <v>0</v>
      </c>
      <c r="BY19">
        <f t="shared" si="20"/>
        <v>0</v>
      </c>
      <c r="BZ19">
        <f t="shared" si="21"/>
        <v>0</v>
      </c>
      <c r="CA19">
        <f t="shared" si="22"/>
        <v>0</v>
      </c>
      <c r="CB19">
        <f t="shared" si="23"/>
        <v>0</v>
      </c>
      <c r="CC19">
        <f t="shared" si="24"/>
        <v>0</v>
      </c>
      <c r="CD19">
        <f t="shared" si="25"/>
        <v>0</v>
      </c>
      <c r="CE19">
        <f t="shared" si="26"/>
        <v>0</v>
      </c>
      <c r="CF19">
        <f t="shared" si="27"/>
        <v>0</v>
      </c>
      <c r="CG19">
        <f t="shared" si="28"/>
        <v>0</v>
      </c>
      <c r="CJ19" t="s">
        <v>237</v>
      </c>
    </row>
    <row r="20" spans="1:88" x14ac:dyDescent="0.3">
      <c r="A20" s="20"/>
      <c r="B20" s="20" t="s">
        <v>68</v>
      </c>
      <c r="C20" s="21" t="s">
        <v>236</v>
      </c>
      <c r="D20" s="20">
        <v>32209643</v>
      </c>
      <c r="E20" s="21">
        <v>10</v>
      </c>
      <c r="F20" s="21">
        <v>32</v>
      </c>
      <c r="G20" s="21">
        <v>50</v>
      </c>
      <c r="I20" s="22">
        <f t="shared" si="0"/>
        <v>1.9933875000000001</v>
      </c>
      <c r="J20" s="23">
        <f t="shared" si="1"/>
        <v>3.9608262656000252E-2</v>
      </c>
      <c r="K20" s="23">
        <f t="shared" si="2"/>
        <v>3.0730672798826117E-2</v>
      </c>
      <c r="L20" s="23">
        <f t="shared" si="3"/>
        <v>1.7879366126473367E-2</v>
      </c>
      <c r="M20" s="23">
        <f t="shared" si="4"/>
        <v>8.8775898571741389E-3</v>
      </c>
      <c r="N20" s="20">
        <f t="shared" si="5"/>
        <v>989824</v>
      </c>
      <c r="O20" s="23">
        <f t="shared" si="6"/>
        <v>4.199428411791177E-2</v>
      </c>
      <c r="P20" s="24">
        <v>30379563</v>
      </c>
      <c r="Q20" s="24">
        <v>949361.34375</v>
      </c>
      <c r="R20" s="24">
        <v>28427.8125</v>
      </c>
      <c r="S20" s="25">
        <v>1275768</v>
      </c>
      <c r="T20" s="25">
        <v>575888</v>
      </c>
      <c r="U20" s="25">
        <v>413936</v>
      </c>
      <c r="V20" s="25">
        <v>285944</v>
      </c>
      <c r="W20" s="26">
        <v>67.240771874999993</v>
      </c>
      <c r="X20" s="26">
        <v>68.976050000000001</v>
      </c>
      <c r="Y20" s="26">
        <v>30.079515624999999</v>
      </c>
      <c r="Z20" s="26">
        <v>39.50413125</v>
      </c>
      <c r="AA20" s="26">
        <v>38.054240624999899</v>
      </c>
      <c r="AB20" s="27">
        <v>3549.23</v>
      </c>
      <c r="AC20" s="27">
        <v>4301.66</v>
      </c>
      <c r="AD20" s="27">
        <v>8.5380000000000003</v>
      </c>
      <c r="AE20" s="27">
        <v>24.695</v>
      </c>
      <c r="AG20" s="22">
        <f t="shared" si="7"/>
        <v>1.9933875000000001</v>
      </c>
      <c r="AH20" s="23">
        <f t="shared" si="8"/>
        <v>3.9608262656000252E-2</v>
      </c>
      <c r="AI20" s="23">
        <f t="shared" si="9"/>
        <v>3.0730672798826117E-2</v>
      </c>
      <c r="AJ20" s="23">
        <f t="shared" si="10"/>
        <v>1.7879366126473367E-2</v>
      </c>
      <c r="AK20" s="23">
        <f t="shared" si="11"/>
        <v>8.8775898571741389E-3</v>
      </c>
      <c r="AL20" s="20">
        <f t="shared" si="12"/>
        <v>989824</v>
      </c>
      <c r="AM20" s="23">
        <f t="shared" si="13"/>
        <v>4.199428411791177E-2</v>
      </c>
      <c r="AN20" s="24">
        <v>30379563</v>
      </c>
      <c r="AO20" s="24">
        <v>949361.34375</v>
      </c>
      <c r="AP20" s="24">
        <v>28427.8125</v>
      </c>
      <c r="AQ20" s="25">
        <v>1275768</v>
      </c>
      <c r="AR20" s="25">
        <v>575888</v>
      </c>
      <c r="AS20" s="25">
        <v>413936</v>
      </c>
      <c r="AT20" s="25">
        <v>285944</v>
      </c>
      <c r="AU20" s="26">
        <v>67.240771874999993</v>
      </c>
      <c r="AV20" s="26">
        <v>68.976050000000001</v>
      </c>
      <c r="AW20" s="26">
        <v>30.079515624999999</v>
      </c>
      <c r="AX20" s="26">
        <v>39.50413125</v>
      </c>
      <c r="AY20" s="26">
        <v>38.054240624999998</v>
      </c>
      <c r="AZ20" s="27">
        <v>6379.1</v>
      </c>
      <c r="BA20" s="27">
        <v>5458.67</v>
      </c>
      <c r="BB20" s="27">
        <v>8.7550000000000008</v>
      </c>
      <c r="BC20" s="27">
        <v>27.145</v>
      </c>
      <c r="BE20" s="28">
        <f t="shared" si="14"/>
        <v>1</v>
      </c>
      <c r="BF20" s="29">
        <f t="shared" si="15"/>
        <v>0</v>
      </c>
      <c r="BG20" s="29">
        <f t="shared" si="16"/>
        <v>0</v>
      </c>
      <c r="BH20" s="29">
        <f t="array" ref="BH20">AVERAGE(AL20:AL24/AQ20:AQ24) - AVERAGE(N20:N24/S20:S24)</f>
        <v>0</v>
      </c>
      <c r="BJ20" s="28">
        <f>IF( OR(ISBLANK(N20:N24),ISBLANK(AL20:AL24), ISBLANK(W20:W24),ISBLANK(AU20:AU24)), "·", bdRateExtend( N20:N24,W20:W24, AL20:AL24,AU20:AU24))</f>
        <v>0</v>
      </c>
      <c r="BK20" s="28">
        <f>IF( OR(ISBLANK(N20:N24),ISBLANK(AL20:AL24), ISBLANK(X20:X24),ISBLANK(AV20:AV24)), "·", bdRateExtend( N20:N24,X20:X24, AL20:AL24,AV20:AV24))</f>
        <v>0</v>
      </c>
      <c r="BL20" s="28">
        <f>IF( OR(ISBLANK(V20:V24),ISBLANK(AT20:AT24), ISBLANK(Y20:Y24),ISBLANK(AW20:AW24)), "·", bdRateExtend( V20:V24,Y20:Y24, AT20:AT24,AW20:AW24))</f>
        <v>-2.1760371282653068E-14</v>
      </c>
      <c r="BM20" s="28">
        <f>IF( OR(ISBLANK(V20:V24),ISBLANK(AT20:AT24), ISBLANK(Z20:Z24),ISBLANK(AX20:AX24)), "·", bdRateExtend( V20:V24,Z20:Z24, AT20:AT24,AX20:AX24))</f>
        <v>-2.2648549702353193E-14</v>
      </c>
      <c r="BN20" s="28">
        <f>IF( OR(ISBLANK(V20:V24),ISBLANK(AT20:AT24), ISBLANK(AA20:AA24),ISBLANK(AY20:AY24)), "·", bdRateExtend( V20:V24,AA20:AA24, AT20:AT24,AY20:AY24))</f>
        <v>-6.5503158452884236E-14</v>
      </c>
      <c r="BP20" s="28">
        <f>IF( OR(ISBLANK(S20:S24),ISBLANK(AQ20:AQ24), ISBLANK(W20:W24),ISBLANK(AU20:AU24)), "·", bdRateExtend( S20:S24,W20:W24, AQ20:AQ24,AU20:AU24))</f>
        <v>0</v>
      </c>
      <c r="BQ20" s="28">
        <f>IF( OR(ISBLANK(S20:S24),ISBLANK(AQ20:AQ24), ISBLANK(X20:X24),ISBLANK(AV20:AV24)), "·", bdRateExtend( S20:S24,X20:X24, AQ20:AQ24,AV20:AV24))</f>
        <v>0</v>
      </c>
      <c r="BR20" s="28">
        <f>IF( OR(ISBLANK(S20:S24),ISBLANK(AQ20:AQ24), ISBLANK(Y20:Y24),ISBLANK(AW20:AW24)), "·", bdRateExtend( S20:S24,Y20:Y24, AQ20:AQ24,AW20:AW24))</f>
        <v>-1.1990408665951691E-14</v>
      </c>
      <c r="BS20" s="28">
        <f>IF( OR(ISBLANK(S20:S24),ISBLANK(AQ20:AQ24), ISBLANK(Z20:Z24),ISBLANK(AX20:AX24)), "·", bdRateExtend( S20:S24,Z20:Z24, AQ20:AQ24,AX20:AX24))</f>
        <v>-1.021405182655144E-14</v>
      </c>
      <c r="BT20" s="28">
        <f>IF( OR(ISBLANK(S20:S24),ISBLANK(AQ20:AQ24), ISBLANK(AA20:AA24),ISBLANK(AY20:AY24)), "·", bdRateExtend( S20:S24,AA20:AA24, AQ20:AQ24,AY20:AY24))</f>
        <v>-4.5075054799781356E-14</v>
      </c>
      <c r="BV20">
        <f t="shared" si="17"/>
        <v>0</v>
      </c>
      <c r="BW20">
        <f t="shared" si="18"/>
        <v>0</v>
      </c>
      <c r="BX20">
        <f t="shared" si="19"/>
        <v>0</v>
      </c>
      <c r="BY20">
        <f t="shared" si="20"/>
        <v>0</v>
      </c>
      <c r="BZ20">
        <f t="shared" si="21"/>
        <v>0</v>
      </c>
      <c r="CA20">
        <f t="shared" si="22"/>
        <v>0</v>
      </c>
      <c r="CB20">
        <f t="shared" si="23"/>
        <v>0</v>
      </c>
      <c r="CC20">
        <f t="shared" si="24"/>
        <v>0</v>
      </c>
      <c r="CD20">
        <f t="shared" si="25"/>
        <v>0</v>
      </c>
      <c r="CE20">
        <f t="shared" si="26"/>
        <v>0</v>
      </c>
      <c r="CF20">
        <f t="shared" si="27"/>
        <v>0</v>
      </c>
      <c r="CG20">
        <f t="shared" si="28"/>
        <v>9.9475983006414026E-14</v>
      </c>
      <c r="CJ20" t="s">
        <v>243</v>
      </c>
    </row>
    <row r="21" spans="1:88" outlineLevel="1" x14ac:dyDescent="0.3">
      <c r="A21" s="10"/>
      <c r="B21" s="10" t="s">
        <v>68</v>
      </c>
      <c r="C21" s="11" t="s">
        <v>238</v>
      </c>
      <c r="D21" s="10">
        <v>32209643</v>
      </c>
      <c r="E21" s="11">
        <v>10</v>
      </c>
      <c r="F21" s="11">
        <v>32</v>
      </c>
      <c r="G21" s="11">
        <v>50</v>
      </c>
      <c r="I21" s="12">
        <f t="shared" si="0"/>
        <v>2.6972125</v>
      </c>
      <c r="J21" s="13">
        <f t="shared" si="1"/>
        <v>5.3593142898230819E-2</v>
      </c>
      <c r="K21" s="13">
        <f t="shared" si="2"/>
        <v>3.652098845057053E-2</v>
      </c>
      <c r="L21" s="13">
        <f t="shared" si="3"/>
        <v>2.3669681778217783E-2</v>
      </c>
      <c r="M21" s="13">
        <f t="shared" si="4"/>
        <v>1.7072154447660286E-2</v>
      </c>
      <c r="N21" s="10">
        <f t="shared" si="5"/>
        <v>1176328</v>
      </c>
      <c r="O21" s="13">
        <f t="shared" si="6"/>
        <v>5.4460240354771323E-2</v>
      </c>
      <c r="P21" s="14">
        <v>31696812</v>
      </c>
      <c r="Q21" s="14">
        <v>990525.375</v>
      </c>
      <c r="R21" s="14">
        <v>33162.625</v>
      </c>
      <c r="S21" s="15">
        <v>1726216</v>
      </c>
      <c r="T21" s="15">
        <v>762392</v>
      </c>
      <c r="U21" s="15">
        <v>413936</v>
      </c>
      <c r="V21" s="15">
        <v>549888</v>
      </c>
      <c r="W21" s="16">
        <v>68.860878124999999</v>
      </c>
      <c r="X21" s="16">
        <v>70.982453125000006</v>
      </c>
      <c r="Y21" s="16">
        <v>31.536868749999901</v>
      </c>
      <c r="Z21" s="16">
        <v>40.497399999999899</v>
      </c>
      <c r="AA21" s="16">
        <v>39.292818749999903</v>
      </c>
      <c r="AB21" s="17">
        <v>3544.32</v>
      </c>
      <c r="AC21" s="17">
        <v>4532.62</v>
      </c>
      <c r="AD21" s="17">
        <v>8.8179999999999996</v>
      </c>
      <c r="AE21" s="17">
        <v>25.542999999999999</v>
      </c>
      <c r="AG21" s="12">
        <f t="shared" si="7"/>
        <v>2.6972125</v>
      </c>
      <c r="AH21" s="13">
        <f t="shared" si="8"/>
        <v>5.3593142898230819E-2</v>
      </c>
      <c r="AI21" s="13">
        <f t="shared" si="9"/>
        <v>3.652098845057053E-2</v>
      </c>
      <c r="AJ21" s="13">
        <f t="shared" si="10"/>
        <v>2.3669681778217783E-2</v>
      </c>
      <c r="AK21" s="13">
        <f t="shared" si="11"/>
        <v>1.7072154447660286E-2</v>
      </c>
      <c r="AL21" s="10">
        <f t="shared" si="12"/>
        <v>1176328</v>
      </c>
      <c r="AM21" s="13">
        <f t="shared" si="13"/>
        <v>5.4460240354771323E-2</v>
      </c>
      <c r="AN21" s="14">
        <v>31696812</v>
      </c>
      <c r="AO21" s="14">
        <v>990525.375</v>
      </c>
      <c r="AP21" s="14">
        <v>33162.625</v>
      </c>
      <c r="AQ21" s="15">
        <v>1726216</v>
      </c>
      <c r="AR21" s="15">
        <v>762392</v>
      </c>
      <c r="AS21" s="15">
        <v>413936</v>
      </c>
      <c r="AT21" s="15">
        <v>549888</v>
      </c>
      <c r="AU21" s="16">
        <v>68.860878124999999</v>
      </c>
      <c r="AV21" s="16">
        <v>70.982453125000006</v>
      </c>
      <c r="AW21" s="16">
        <v>31.53686875</v>
      </c>
      <c r="AX21" s="16">
        <v>40.497399999999999</v>
      </c>
      <c r="AY21" s="16">
        <v>39.292818750000002</v>
      </c>
      <c r="AZ21" s="17">
        <v>6351.37</v>
      </c>
      <c r="BA21" s="17">
        <v>5712.79</v>
      </c>
      <c r="BB21" s="17">
        <v>10.436999999999999</v>
      </c>
      <c r="BC21" s="17">
        <v>26.527999999999999</v>
      </c>
      <c r="BE21" s="18">
        <f t="shared" si="14"/>
        <v>1</v>
      </c>
      <c r="BF21" s="19">
        <f t="shared" si="15"/>
        <v>0</v>
      </c>
      <c r="BG21" s="19">
        <f t="shared" si="16"/>
        <v>0</v>
      </c>
      <c r="BH21" s="19"/>
      <c r="BJ21" s="18"/>
      <c r="BK21" s="18"/>
      <c r="BL21" s="18"/>
      <c r="BM21" s="18"/>
      <c r="BN21" s="18"/>
      <c r="BP21" s="18"/>
      <c r="BQ21" s="18"/>
      <c r="BR21" s="18"/>
      <c r="BS21" s="18"/>
      <c r="BT21" s="18"/>
      <c r="BV21">
        <f t="shared" si="17"/>
        <v>0</v>
      </c>
      <c r="BW21">
        <f t="shared" si="18"/>
        <v>0</v>
      </c>
      <c r="BX21">
        <f t="shared" si="19"/>
        <v>0</v>
      </c>
      <c r="BY21">
        <f t="shared" si="20"/>
        <v>0</v>
      </c>
      <c r="BZ21">
        <f t="shared" si="21"/>
        <v>0</v>
      </c>
      <c r="CA21">
        <f t="shared" si="22"/>
        <v>0</v>
      </c>
      <c r="CB21">
        <f t="shared" si="23"/>
        <v>0</v>
      </c>
      <c r="CC21">
        <f t="shared" si="24"/>
        <v>0</v>
      </c>
      <c r="CD21">
        <f t="shared" si="25"/>
        <v>0</v>
      </c>
      <c r="CE21">
        <f t="shared" si="26"/>
        <v>9.9475983006414026E-14</v>
      </c>
      <c r="CF21">
        <f t="shared" si="27"/>
        <v>9.9475983006414026E-14</v>
      </c>
      <c r="CG21">
        <f t="shared" si="28"/>
        <v>9.9475983006414026E-14</v>
      </c>
      <c r="CJ21" t="s">
        <v>243</v>
      </c>
    </row>
    <row r="22" spans="1:88" outlineLevel="1" x14ac:dyDescent="0.3">
      <c r="A22" s="20"/>
      <c r="B22" s="20" t="s">
        <v>68</v>
      </c>
      <c r="C22" s="21" t="s">
        <v>239</v>
      </c>
      <c r="D22" s="20">
        <v>32209643</v>
      </c>
      <c r="E22" s="21">
        <v>10</v>
      </c>
      <c r="F22" s="21">
        <v>32</v>
      </c>
      <c r="G22" s="21">
        <v>50</v>
      </c>
      <c r="I22" s="22">
        <f t="shared" si="0"/>
        <v>4.1997749999999998</v>
      </c>
      <c r="J22" s="23">
        <f t="shared" si="1"/>
        <v>8.3448798237223551E-2</v>
      </c>
      <c r="K22" s="23">
        <f t="shared" si="2"/>
        <v>4.335471833698995E-2</v>
      </c>
      <c r="L22" s="23">
        <f t="shared" si="3"/>
        <v>3.0503411664637201E-2</v>
      </c>
      <c r="M22" s="23">
        <f t="shared" si="4"/>
        <v>4.0094079900233601E-2</v>
      </c>
      <c r="N22" s="20">
        <f t="shared" si="5"/>
        <v>1396440</v>
      </c>
      <c r="O22" s="23">
        <f t="shared" si="6"/>
        <v>8.2437308634675785E-2</v>
      </c>
      <c r="P22" s="24">
        <v>32604849</v>
      </c>
      <c r="Q22" s="24">
        <v>1018901.53125</v>
      </c>
      <c r="R22" s="24">
        <v>34636.46875</v>
      </c>
      <c r="S22" s="25">
        <v>2687856</v>
      </c>
      <c r="T22" s="25">
        <v>982504</v>
      </c>
      <c r="U22" s="25">
        <v>413936</v>
      </c>
      <c r="V22" s="25">
        <v>1291416</v>
      </c>
      <c r="W22" s="26">
        <v>70.077665624999995</v>
      </c>
      <c r="X22" s="26">
        <v>72.535868750000006</v>
      </c>
      <c r="Y22" s="26">
        <v>33.413846874999997</v>
      </c>
      <c r="Z22" s="26">
        <v>41.710109375000002</v>
      </c>
      <c r="AA22" s="26">
        <v>40.493006249999901</v>
      </c>
      <c r="AB22" s="27">
        <v>3565.79</v>
      </c>
      <c r="AC22" s="27">
        <v>4753.1499999999996</v>
      </c>
      <c r="AD22" s="27">
        <v>8.9109999999999996</v>
      </c>
      <c r="AE22" s="27">
        <v>25.111000000000001</v>
      </c>
      <c r="AG22" s="22">
        <f t="shared" si="7"/>
        <v>4.1997749999999998</v>
      </c>
      <c r="AH22" s="23">
        <f t="shared" si="8"/>
        <v>8.3448798237223551E-2</v>
      </c>
      <c r="AI22" s="23">
        <f t="shared" si="9"/>
        <v>4.335471833698995E-2</v>
      </c>
      <c r="AJ22" s="23">
        <f t="shared" si="10"/>
        <v>3.0503411664637201E-2</v>
      </c>
      <c r="AK22" s="23">
        <f t="shared" si="11"/>
        <v>4.0094079900233601E-2</v>
      </c>
      <c r="AL22" s="20">
        <f t="shared" si="12"/>
        <v>1396440</v>
      </c>
      <c r="AM22" s="23">
        <f t="shared" si="13"/>
        <v>8.2437308634675785E-2</v>
      </c>
      <c r="AN22" s="24">
        <v>32604849</v>
      </c>
      <c r="AO22" s="24">
        <v>1018901.53125</v>
      </c>
      <c r="AP22" s="24">
        <v>34636.46875</v>
      </c>
      <c r="AQ22" s="25">
        <v>2687856</v>
      </c>
      <c r="AR22" s="25">
        <v>982504</v>
      </c>
      <c r="AS22" s="25">
        <v>413936</v>
      </c>
      <c r="AT22" s="25">
        <v>1291416</v>
      </c>
      <c r="AU22" s="26">
        <v>70.077665624999995</v>
      </c>
      <c r="AV22" s="26">
        <v>72.535868750000006</v>
      </c>
      <c r="AW22" s="26">
        <v>33.413846874999997</v>
      </c>
      <c r="AX22" s="26">
        <v>41.710109375000002</v>
      </c>
      <c r="AY22" s="26">
        <v>40.493006250000001</v>
      </c>
      <c r="AZ22" s="27">
        <v>6251</v>
      </c>
      <c r="BA22" s="27">
        <v>5692.89</v>
      </c>
      <c r="BB22" s="27">
        <v>9.2029999999999994</v>
      </c>
      <c r="BC22" s="27">
        <v>26.81</v>
      </c>
      <c r="BE22" s="28">
        <f t="shared" si="14"/>
        <v>1</v>
      </c>
      <c r="BF22" s="29">
        <f t="shared" si="15"/>
        <v>0</v>
      </c>
      <c r="BG22" s="29">
        <f t="shared" si="16"/>
        <v>0</v>
      </c>
      <c r="BH22" s="29"/>
      <c r="BJ22" s="28"/>
      <c r="BK22" s="28"/>
      <c r="BL22" s="28"/>
      <c r="BM22" s="28"/>
      <c r="BN22" s="28"/>
      <c r="BP22" s="28"/>
      <c r="BQ22" s="28"/>
      <c r="BR22" s="28"/>
      <c r="BS22" s="28"/>
      <c r="BT22" s="28"/>
      <c r="BV22">
        <f t="shared" si="17"/>
        <v>0</v>
      </c>
      <c r="BW22">
        <f t="shared" si="18"/>
        <v>0</v>
      </c>
      <c r="BX22">
        <f t="shared" si="19"/>
        <v>0</v>
      </c>
      <c r="BY22">
        <f t="shared" si="20"/>
        <v>0</v>
      </c>
      <c r="BZ22">
        <f t="shared" si="21"/>
        <v>0</v>
      </c>
      <c r="CA22">
        <f t="shared" si="22"/>
        <v>0</v>
      </c>
      <c r="CB22">
        <f t="shared" si="23"/>
        <v>0</v>
      </c>
      <c r="CC22">
        <f t="shared" si="24"/>
        <v>0</v>
      </c>
      <c r="CD22">
        <f t="shared" si="25"/>
        <v>0</v>
      </c>
      <c r="CE22">
        <f t="shared" si="26"/>
        <v>0</v>
      </c>
      <c r="CF22">
        <f t="shared" si="27"/>
        <v>0</v>
      </c>
      <c r="CG22">
        <f t="shared" si="28"/>
        <v>9.9475983006414026E-14</v>
      </c>
      <c r="CJ22" t="s">
        <v>243</v>
      </c>
    </row>
    <row r="23" spans="1:88" outlineLevel="1" x14ac:dyDescent="0.3">
      <c r="A23" s="10"/>
      <c r="B23" s="10" t="s">
        <v>68</v>
      </c>
      <c r="C23" s="11" t="s">
        <v>240</v>
      </c>
      <c r="D23" s="10">
        <v>32209643</v>
      </c>
      <c r="E23" s="11">
        <v>10</v>
      </c>
      <c r="F23" s="11">
        <v>32</v>
      </c>
      <c r="G23" s="11">
        <v>50</v>
      </c>
      <c r="I23" s="12">
        <f t="shared" si="0"/>
        <v>7.9698000000000002</v>
      </c>
      <c r="J23" s="13">
        <f t="shared" si="1"/>
        <v>0.15835853877672595</v>
      </c>
      <c r="K23" s="13">
        <f t="shared" si="2"/>
        <v>6.4348182933912063E-2</v>
      </c>
      <c r="L23" s="13">
        <f t="shared" si="3"/>
        <v>5.1496876261559313E-2</v>
      </c>
      <c r="M23" s="13">
        <f t="shared" si="4"/>
        <v>9.4010355842813906E-2</v>
      </c>
      <c r="N23" s="10">
        <f t="shared" si="5"/>
        <v>2072632</v>
      </c>
      <c r="O23" s="13">
        <f t="shared" si="6"/>
        <v>0.1554451857288669</v>
      </c>
      <c r="P23" s="14">
        <v>32813316</v>
      </c>
      <c r="Q23" s="14">
        <v>1025416.125</v>
      </c>
      <c r="R23" s="14">
        <v>36587.4375</v>
      </c>
      <c r="S23" s="15">
        <v>5100672</v>
      </c>
      <c r="T23" s="15">
        <v>1658696</v>
      </c>
      <c r="U23" s="15">
        <v>413936</v>
      </c>
      <c r="V23" s="15">
        <v>3028040</v>
      </c>
      <c r="W23" s="16">
        <v>71.028415624999994</v>
      </c>
      <c r="X23" s="16">
        <v>73.777868749999996</v>
      </c>
      <c r="Y23" s="16">
        <v>35.2948968749999</v>
      </c>
      <c r="Z23" s="16">
        <v>42.740084375000002</v>
      </c>
      <c r="AA23" s="16">
        <v>41.4801874999999</v>
      </c>
      <c r="AB23" s="17">
        <v>3549.36</v>
      </c>
      <c r="AC23" s="17">
        <v>5103</v>
      </c>
      <c r="AD23" s="17">
        <v>8.8949999999999996</v>
      </c>
      <c r="AE23" s="17">
        <v>25.722999999999999</v>
      </c>
      <c r="AG23" s="12">
        <f t="shared" si="7"/>
        <v>7.9698000000000002</v>
      </c>
      <c r="AH23" s="13">
        <f t="shared" si="8"/>
        <v>0.15835853877672595</v>
      </c>
      <c r="AI23" s="13">
        <f t="shared" si="9"/>
        <v>6.4348182933912063E-2</v>
      </c>
      <c r="AJ23" s="13">
        <f t="shared" si="10"/>
        <v>5.1496876261559313E-2</v>
      </c>
      <c r="AK23" s="13">
        <f t="shared" si="11"/>
        <v>9.4010355842813906E-2</v>
      </c>
      <c r="AL23" s="10">
        <f t="shared" si="12"/>
        <v>2072632</v>
      </c>
      <c r="AM23" s="13">
        <f t="shared" si="13"/>
        <v>0.1554451857288669</v>
      </c>
      <c r="AN23" s="14">
        <v>32813316</v>
      </c>
      <c r="AO23" s="14">
        <v>1025416.125</v>
      </c>
      <c r="AP23" s="14">
        <v>36587.4375</v>
      </c>
      <c r="AQ23" s="15">
        <v>5100672</v>
      </c>
      <c r="AR23" s="15">
        <v>1658696</v>
      </c>
      <c r="AS23" s="15">
        <v>413936</v>
      </c>
      <c r="AT23" s="15">
        <v>3028040</v>
      </c>
      <c r="AU23" s="16">
        <v>71.028415624999994</v>
      </c>
      <c r="AV23" s="16">
        <v>73.777868749999996</v>
      </c>
      <c r="AW23" s="16">
        <v>35.294896874999999</v>
      </c>
      <c r="AX23" s="16">
        <v>42.740084375000002</v>
      </c>
      <c r="AY23" s="16">
        <v>41.4801875</v>
      </c>
      <c r="AZ23" s="17">
        <v>6333.26</v>
      </c>
      <c r="BA23" s="17">
        <v>5903.26</v>
      </c>
      <c r="BB23" s="17">
        <v>8.8030000000000008</v>
      </c>
      <c r="BC23" s="17">
        <v>26.617000000000001</v>
      </c>
      <c r="BE23" s="18">
        <f t="shared" si="14"/>
        <v>1</v>
      </c>
      <c r="BF23" s="19">
        <f t="shared" si="15"/>
        <v>0</v>
      </c>
      <c r="BG23" s="19">
        <f t="shared" si="16"/>
        <v>0</v>
      </c>
      <c r="BH23" s="19"/>
      <c r="BJ23" s="18"/>
      <c r="BK23" s="18"/>
      <c r="BL23" s="18"/>
      <c r="BM23" s="18"/>
      <c r="BN23" s="18"/>
      <c r="BP23" s="18"/>
      <c r="BQ23" s="18"/>
      <c r="BR23" s="18"/>
      <c r="BS23" s="18"/>
      <c r="BT23" s="18"/>
      <c r="BV23">
        <f t="shared" si="17"/>
        <v>0</v>
      </c>
      <c r="BW23">
        <f t="shared" si="18"/>
        <v>0</v>
      </c>
      <c r="BX23">
        <f t="shared" si="19"/>
        <v>0</v>
      </c>
      <c r="BY23">
        <f t="shared" si="20"/>
        <v>0</v>
      </c>
      <c r="BZ23">
        <f t="shared" si="21"/>
        <v>0</v>
      </c>
      <c r="CA23">
        <f t="shared" si="22"/>
        <v>0</v>
      </c>
      <c r="CB23">
        <f t="shared" si="23"/>
        <v>0</v>
      </c>
      <c r="CC23">
        <f t="shared" si="24"/>
        <v>0</v>
      </c>
      <c r="CD23">
        <f t="shared" si="25"/>
        <v>0</v>
      </c>
      <c r="CE23">
        <f t="shared" si="26"/>
        <v>9.9475983006414026E-14</v>
      </c>
      <c r="CF23">
        <f t="shared" si="27"/>
        <v>0</v>
      </c>
      <c r="CG23">
        <f t="shared" si="28"/>
        <v>9.9475983006414026E-14</v>
      </c>
      <c r="CJ23" t="s">
        <v>243</v>
      </c>
    </row>
    <row r="24" spans="1:88" ht="15.75" customHeight="1" outlineLevel="1" thickBot="1" x14ac:dyDescent="0.35">
      <c r="A24" s="40"/>
      <c r="B24" s="40" t="s">
        <v>68</v>
      </c>
      <c r="C24" s="41" t="s">
        <v>241</v>
      </c>
      <c r="D24" s="40">
        <v>32209643</v>
      </c>
      <c r="E24" s="41">
        <v>10</v>
      </c>
      <c r="F24" s="41">
        <v>32</v>
      </c>
      <c r="G24" s="41">
        <v>50</v>
      </c>
      <c r="I24" s="42">
        <f t="shared" si="0"/>
        <v>16.427637499999999</v>
      </c>
      <c r="J24" s="43">
        <f t="shared" si="1"/>
        <v>0.32641429773065167</v>
      </c>
      <c r="K24" s="43">
        <f t="shared" si="2"/>
        <v>0.11080656808273225</v>
      </c>
      <c r="L24" s="43">
        <f t="shared" si="3"/>
        <v>8.2587192909899687E-2</v>
      </c>
      <c r="M24" s="43">
        <f t="shared" si="4"/>
        <v>0.21560772964791941</v>
      </c>
      <c r="N24" s="40">
        <f t="shared" si="5"/>
        <v>3569040</v>
      </c>
      <c r="O24" s="43">
        <f t="shared" si="6"/>
        <v>0.3361691882235614</v>
      </c>
      <c r="P24" s="44">
        <v>31274990</v>
      </c>
      <c r="Q24" s="44">
        <v>977343.4375</v>
      </c>
      <c r="R24" s="44">
        <v>17772.0625</v>
      </c>
      <c r="S24" s="45">
        <v>10513688</v>
      </c>
      <c r="T24" s="45">
        <v>2660104</v>
      </c>
      <c r="U24" s="45">
        <v>908936</v>
      </c>
      <c r="V24" s="45">
        <v>6944648</v>
      </c>
      <c r="W24" s="46">
        <v>71.77360625</v>
      </c>
      <c r="X24" s="46">
        <v>75.813893750000005</v>
      </c>
      <c r="Y24" s="46">
        <v>36.877218749999997</v>
      </c>
      <c r="Z24" s="46">
        <v>43.49555625</v>
      </c>
      <c r="AA24" s="46">
        <v>42.048012499999999</v>
      </c>
      <c r="AB24" s="47">
        <v>3561.51</v>
      </c>
      <c r="AC24" s="47">
        <v>5646.05</v>
      </c>
      <c r="AD24" s="47">
        <v>8.7240000000000002</v>
      </c>
      <c r="AE24" s="47">
        <v>27.808</v>
      </c>
      <c r="AG24" s="42">
        <f t="shared" si="7"/>
        <v>16.427637499999999</v>
      </c>
      <c r="AH24" s="43">
        <f t="shared" si="8"/>
        <v>0.32641429773065167</v>
      </c>
      <c r="AI24" s="43">
        <f t="shared" si="9"/>
        <v>0.11080656808273225</v>
      </c>
      <c r="AJ24" s="43">
        <f t="shared" si="10"/>
        <v>8.2587192909899687E-2</v>
      </c>
      <c r="AK24" s="43">
        <f t="shared" si="11"/>
        <v>0.21560772964791941</v>
      </c>
      <c r="AL24" s="40">
        <f t="shared" si="12"/>
        <v>3569040</v>
      </c>
      <c r="AM24" s="43">
        <f t="shared" si="13"/>
        <v>0.3361691882235614</v>
      </c>
      <c r="AN24" s="44">
        <v>31274990</v>
      </c>
      <c r="AO24" s="44">
        <v>977343.4375</v>
      </c>
      <c r="AP24" s="44">
        <v>17772.0625</v>
      </c>
      <c r="AQ24" s="45">
        <v>10513688</v>
      </c>
      <c r="AR24" s="45">
        <v>2660104</v>
      </c>
      <c r="AS24" s="45">
        <v>908936</v>
      </c>
      <c r="AT24" s="45">
        <v>6944648</v>
      </c>
      <c r="AU24" s="46">
        <v>71.77360625</v>
      </c>
      <c r="AV24" s="46">
        <v>75.813893750000005</v>
      </c>
      <c r="AW24" s="46">
        <v>36.877218749999997</v>
      </c>
      <c r="AX24" s="46">
        <v>43.49555625</v>
      </c>
      <c r="AY24" s="46">
        <v>42.048012499999999</v>
      </c>
      <c r="AZ24" s="47">
        <v>6192.48</v>
      </c>
      <c r="BA24" s="47">
        <v>6825.22</v>
      </c>
      <c r="BB24" s="47">
        <v>8.5489999999999995</v>
      </c>
      <c r="BC24" s="47">
        <v>28.616</v>
      </c>
      <c r="BE24" s="48">
        <f t="shared" si="14"/>
        <v>1</v>
      </c>
      <c r="BF24" s="49">
        <f t="shared" si="15"/>
        <v>0</v>
      </c>
      <c r="BG24" s="49">
        <f t="shared" si="16"/>
        <v>0</v>
      </c>
      <c r="BH24" s="49"/>
      <c r="BJ24" s="48"/>
      <c r="BK24" s="48"/>
      <c r="BL24" s="48"/>
      <c r="BM24" s="48"/>
      <c r="BN24" s="48"/>
      <c r="BP24" s="48"/>
      <c r="BQ24" s="48"/>
      <c r="BR24" s="48"/>
      <c r="BS24" s="48"/>
      <c r="BT24" s="48"/>
      <c r="BV24">
        <f t="shared" si="17"/>
        <v>0</v>
      </c>
      <c r="BW24">
        <f t="shared" si="18"/>
        <v>0</v>
      </c>
      <c r="BX24">
        <f t="shared" si="19"/>
        <v>0</v>
      </c>
      <c r="BY24">
        <f t="shared" si="20"/>
        <v>0</v>
      </c>
      <c r="BZ24">
        <f t="shared" si="21"/>
        <v>0</v>
      </c>
      <c r="CA24">
        <f t="shared" si="22"/>
        <v>0</v>
      </c>
      <c r="CB24">
        <f t="shared" si="23"/>
        <v>0</v>
      </c>
      <c r="CC24">
        <f t="shared" si="24"/>
        <v>0</v>
      </c>
      <c r="CD24">
        <f t="shared" si="25"/>
        <v>0</v>
      </c>
      <c r="CE24">
        <f t="shared" si="26"/>
        <v>0</v>
      </c>
      <c r="CF24">
        <f t="shared" si="27"/>
        <v>0</v>
      </c>
      <c r="CG24">
        <f t="shared" si="28"/>
        <v>0</v>
      </c>
      <c r="CJ24" t="s">
        <v>243</v>
      </c>
    </row>
    <row r="25" spans="1:88" x14ac:dyDescent="0.3">
      <c r="A25" s="10" t="s">
        <v>244</v>
      </c>
      <c r="B25" s="10" t="s">
        <v>71</v>
      </c>
      <c r="C25" s="11" t="s">
        <v>236</v>
      </c>
      <c r="D25" s="10">
        <v>25312408</v>
      </c>
      <c r="E25" s="11">
        <v>10</v>
      </c>
      <c r="F25" s="11">
        <v>32</v>
      </c>
      <c r="G25" s="11">
        <v>30</v>
      </c>
      <c r="I25" s="12">
        <f t="shared" si="0"/>
        <v>2.0616599999999998</v>
      </c>
      <c r="J25" s="13">
        <f t="shared" si="1"/>
        <v>8.6878498481851266E-2</v>
      </c>
      <c r="K25" s="13">
        <f t="shared" si="2"/>
        <v>5.6512363422713478E-2</v>
      </c>
      <c r="L25" s="13">
        <f t="shared" si="3"/>
        <v>3.4663158084367159E-2</v>
      </c>
      <c r="M25" s="13">
        <f t="shared" si="4"/>
        <v>3.0366135059137794E-2</v>
      </c>
      <c r="N25" s="10">
        <f t="shared" si="5"/>
        <v>1430464</v>
      </c>
      <c r="O25" s="13">
        <f t="shared" si="6"/>
        <v>9.3883599831606657E-2</v>
      </c>
      <c r="P25" s="14">
        <v>23423729</v>
      </c>
      <c r="Q25" s="14">
        <v>731991.53125</v>
      </c>
      <c r="R25" s="14">
        <v>14345.71875</v>
      </c>
      <c r="S25" s="15">
        <v>2199104</v>
      </c>
      <c r="T25" s="15">
        <v>877408</v>
      </c>
      <c r="U25" s="15">
        <v>553056</v>
      </c>
      <c r="V25" s="15">
        <v>768640</v>
      </c>
      <c r="W25" s="16">
        <v>66.249403125000001</v>
      </c>
      <c r="X25" s="16">
        <v>67.991318749999905</v>
      </c>
      <c r="Y25" s="16">
        <v>25.916684374999999</v>
      </c>
      <c r="Z25" s="16">
        <v>32.444403125000001</v>
      </c>
      <c r="AA25" s="16">
        <v>31.665159374999899</v>
      </c>
      <c r="AB25" s="17">
        <v>1218.1300000000001</v>
      </c>
      <c r="AC25" s="17">
        <v>5526.03</v>
      </c>
      <c r="AD25" s="17">
        <v>7.5179999999999998</v>
      </c>
      <c r="AE25" s="17">
        <v>26.98</v>
      </c>
      <c r="AG25" s="12">
        <f t="shared" si="7"/>
        <v>2.0616599999999998</v>
      </c>
      <c r="AH25" s="13">
        <f t="shared" si="8"/>
        <v>8.6878498481851266E-2</v>
      </c>
      <c r="AI25" s="13">
        <f t="shared" si="9"/>
        <v>5.6512363422713478E-2</v>
      </c>
      <c r="AJ25" s="13">
        <f t="shared" si="10"/>
        <v>3.4663158084367159E-2</v>
      </c>
      <c r="AK25" s="13">
        <f t="shared" si="11"/>
        <v>3.0366135059137794E-2</v>
      </c>
      <c r="AL25" s="10">
        <f t="shared" si="12"/>
        <v>1430464</v>
      </c>
      <c r="AM25" s="13">
        <f t="shared" si="13"/>
        <v>9.3883599831606657E-2</v>
      </c>
      <c r="AN25" s="14">
        <v>23423729</v>
      </c>
      <c r="AO25" s="14">
        <v>731991.53125</v>
      </c>
      <c r="AP25" s="14">
        <v>14345.71875</v>
      </c>
      <c r="AQ25" s="15">
        <v>2199104</v>
      </c>
      <c r="AR25" s="15">
        <v>877408</v>
      </c>
      <c r="AS25" s="15">
        <v>553056</v>
      </c>
      <c r="AT25" s="15">
        <v>768640</v>
      </c>
      <c r="AU25" s="16">
        <v>66.249403125000001</v>
      </c>
      <c r="AV25" s="16">
        <v>67.991318750000005</v>
      </c>
      <c r="AW25" s="16">
        <v>25.916684374999999</v>
      </c>
      <c r="AX25" s="16">
        <v>32.444403125000001</v>
      </c>
      <c r="AY25" s="16">
        <v>31.665159375000002</v>
      </c>
      <c r="AZ25" s="17">
        <v>1964.6</v>
      </c>
      <c r="BA25" s="17">
        <v>8306.7900000000009</v>
      </c>
      <c r="BB25" s="17">
        <v>8.52</v>
      </c>
      <c r="BC25" s="17">
        <v>32.515000000000001</v>
      </c>
      <c r="BE25" s="18">
        <f t="shared" si="14"/>
        <v>1</v>
      </c>
      <c r="BF25" s="19">
        <f t="shared" si="15"/>
        <v>0</v>
      </c>
      <c r="BG25" s="19">
        <f t="shared" si="16"/>
        <v>0</v>
      </c>
      <c r="BH25" s="19">
        <f t="array" ref="BH25">AVERAGE(AL25:AL29/AQ25:AQ29) - AVERAGE(N25:N29/S25:S29)</f>
        <v>0</v>
      </c>
      <c r="BJ25" s="18">
        <f>IF( OR(ISBLANK(N25:N29),ISBLANK(AL25:AL29), ISBLANK(W25:W29),ISBLANK(AU25:AU29)), "·", bdRateExtend( N25:N29,W25:W29, AL25:AL29,AU25:AU29))</f>
        <v>0</v>
      </c>
      <c r="BK25" s="18">
        <f>IF( OR(ISBLANK(N25:N29),ISBLANK(AL25:AL29), ISBLANK(X25:X29),ISBLANK(AV25:AV29)), "·", bdRateExtend( N25:N29,X25:X29, AL25:AL29,AV25:AV29))</f>
        <v>-1.1990408665951691E-14</v>
      </c>
      <c r="BL25" s="18">
        <f>IF( OR(ISBLANK(V25:V29),ISBLANK(AT25:AT29), ISBLANK(Y25:Y29),ISBLANK(AW25:AW29)), "·", bdRateExtend( V25:V29,Y25:Y29, AT25:AT29,AW25:AW29))</f>
        <v>-9.9920072216264089E-15</v>
      </c>
      <c r="BM25" s="18">
        <f>IF( OR(ISBLANK(V25:V29),ISBLANK(AT25:AT29), ISBLANK(Z25:Z29),ISBLANK(AX25:AX29)), "·", bdRateExtend( V25:V29,Z25:Z29, AT25:AT29,AX25:AX29))</f>
        <v>-1.9317880628477724E-14</v>
      </c>
      <c r="BN25" s="18">
        <f>IF( OR(ISBLANK(V25:V29),ISBLANK(AT25:AT29), ISBLANK(AA25:AA29),ISBLANK(AY25:AY29)), "·", bdRateExtend( V25:V29,AA25:AA29, AT25:AT29,AY25:AY29))</f>
        <v>-1.6209256159527285E-14</v>
      </c>
      <c r="BP25" s="18">
        <f>IF( OR(ISBLANK(S25:S29),ISBLANK(AQ25:AQ29), ISBLANK(W25:W29),ISBLANK(AU25:AU29)), "·", bdRateExtend( S25:S29,W25:W29, AQ25:AQ29,AU25:AU29))</f>
        <v>0</v>
      </c>
      <c r="BQ25" s="18">
        <f>IF( OR(ISBLANK(S25:S29),ISBLANK(AQ25:AQ29), ISBLANK(X25:X29),ISBLANK(AV25:AV29)), "·", bdRateExtend( S25:S29,X25:X29, AQ25:AQ29,AV25:AV29))</f>
        <v>-1.6653345369377348E-14</v>
      </c>
      <c r="BR25" s="18">
        <f>IF( OR(ISBLANK(S25:S29),ISBLANK(AQ25:AQ29), ISBLANK(Y25:Y29),ISBLANK(AW25:AW29)), "·", bdRateExtend( S25:S29,Y25:Y29, AQ25:AQ29,AW25:AW29))</f>
        <v>-9.9920072216264089E-15</v>
      </c>
      <c r="BS25" s="18">
        <f>IF( OR(ISBLANK(S25:S29),ISBLANK(AQ25:AQ29), ISBLANK(Z25:Z29),ISBLANK(AX25:AX29)), "·", bdRateExtend( S25:S29,Z25:Z29, AQ25:AQ29,AX25:AX29))</f>
        <v>-1.9317880628477724E-14</v>
      </c>
      <c r="BT25" s="18">
        <f>IF( OR(ISBLANK(S25:S29),ISBLANK(AQ25:AQ29), ISBLANK(AA25:AA29),ISBLANK(AY25:AY29)), "·", bdRateExtend( S25:S29,AA25:AA29, AQ25:AQ29,AY25:AY29))</f>
        <v>-7.9936057773011271E-15</v>
      </c>
      <c r="BV25">
        <f t="shared" si="17"/>
        <v>0</v>
      </c>
      <c r="BW25">
        <f t="shared" si="18"/>
        <v>0</v>
      </c>
      <c r="BX25">
        <f t="shared" si="19"/>
        <v>0</v>
      </c>
      <c r="BY25">
        <f t="shared" si="20"/>
        <v>0</v>
      </c>
      <c r="BZ25">
        <f t="shared" si="21"/>
        <v>0</v>
      </c>
      <c r="CA25">
        <f t="shared" si="22"/>
        <v>0</v>
      </c>
      <c r="CB25">
        <f t="shared" si="23"/>
        <v>0</v>
      </c>
      <c r="CC25">
        <f t="shared" si="24"/>
        <v>0</v>
      </c>
      <c r="CD25">
        <f t="shared" si="25"/>
        <v>0</v>
      </c>
      <c r="CE25">
        <f t="shared" si="26"/>
        <v>0</v>
      </c>
      <c r="CF25">
        <f t="shared" si="27"/>
        <v>0</v>
      </c>
      <c r="CG25">
        <f t="shared" si="28"/>
        <v>1.0302869668521453E-13</v>
      </c>
      <c r="CJ25" t="s">
        <v>585</v>
      </c>
    </row>
    <row r="26" spans="1:88" outlineLevel="1" x14ac:dyDescent="0.3">
      <c r="A26" s="20"/>
      <c r="B26" s="20" t="s">
        <v>71</v>
      </c>
      <c r="C26" s="21" t="s">
        <v>238</v>
      </c>
      <c r="D26" s="20">
        <v>25312408</v>
      </c>
      <c r="E26" s="21">
        <v>10</v>
      </c>
      <c r="F26" s="21">
        <v>32</v>
      </c>
      <c r="G26" s="21">
        <v>30</v>
      </c>
      <c r="I26" s="22">
        <f t="shared" si="0"/>
        <v>3.1781999999999999</v>
      </c>
      <c r="J26" s="23">
        <f t="shared" si="1"/>
        <v>0.13392957319588086</v>
      </c>
      <c r="K26" s="23">
        <f t="shared" si="2"/>
        <v>7.1090826285669859E-2</v>
      </c>
      <c r="L26" s="23">
        <f t="shared" si="3"/>
        <v>4.9241620947323539E-2</v>
      </c>
      <c r="M26" s="23">
        <f t="shared" si="4"/>
        <v>6.2838746910210991E-2</v>
      </c>
      <c r="N26" s="20">
        <f t="shared" si="5"/>
        <v>1799480</v>
      </c>
      <c r="O26" s="23">
        <f t="shared" si="6"/>
        <v>0.13757139543449054</v>
      </c>
      <c r="P26" s="24">
        <v>24642332</v>
      </c>
      <c r="Q26" s="24">
        <v>770072.875</v>
      </c>
      <c r="R26" s="24">
        <v>17551.15625</v>
      </c>
      <c r="S26" s="25">
        <v>3390080</v>
      </c>
      <c r="T26" s="25">
        <v>1246424</v>
      </c>
      <c r="U26" s="25">
        <v>553056</v>
      </c>
      <c r="V26" s="25">
        <v>1590600</v>
      </c>
      <c r="W26" s="26">
        <v>68.004034375000003</v>
      </c>
      <c r="X26" s="26">
        <v>70.002456249999895</v>
      </c>
      <c r="Y26" s="26">
        <v>27.92943125</v>
      </c>
      <c r="Z26" s="26">
        <v>33.654784374999998</v>
      </c>
      <c r="AA26" s="26">
        <v>33.024293749999998</v>
      </c>
      <c r="AB26" s="27">
        <v>1218.18</v>
      </c>
      <c r="AC26" s="27">
        <v>5930.12</v>
      </c>
      <c r="AD26" s="27">
        <v>7.766</v>
      </c>
      <c r="AE26" s="27">
        <v>26.87</v>
      </c>
      <c r="AG26" s="22">
        <f t="shared" si="7"/>
        <v>3.1781999999999999</v>
      </c>
      <c r="AH26" s="23">
        <f t="shared" si="8"/>
        <v>0.13392957319588086</v>
      </c>
      <c r="AI26" s="23">
        <f t="shared" si="9"/>
        <v>7.1090826285669859E-2</v>
      </c>
      <c r="AJ26" s="23">
        <f t="shared" si="10"/>
        <v>4.9241620947323539E-2</v>
      </c>
      <c r="AK26" s="23">
        <f t="shared" si="11"/>
        <v>6.2838746910210991E-2</v>
      </c>
      <c r="AL26" s="20">
        <f t="shared" si="12"/>
        <v>1799480</v>
      </c>
      <c r="AM26" s="23">
        <f t="shared" si="13"/>
        <v>0.13757139543449054</v>
      </c>
      <c r="AN26" s="24">
        <v>24642332</v>
      </c>
      <c r="AO26" s="24">
        <v>770072.875</v>
      </c>
      <c r="AP26" s="24">
        <v>17551.15625</v>
      </c>
      <c r="AQ26" s="25">
        <v>3390080</v>
      </c>
      <c r="AR26" s="25">
        <v>1246424</v>
      </c>
      <c r="AS26" s="25">
        <v>553056</v>
      </c>
      <c r="AT26" s="25">
        <v>1590600</v>
      </c>
      <c r="AU26" s="26">
        <v>68.004034375000003</v>
      </c>
      <c r="AV26" s="26">
        <v>70.002456249999994</v>
      </c>
      <c r="AW26" s="26">
        <v>27.92943125</v>
      </c>
      <c r="AX26" s="26">
        <v>33.654784374999998</v>
      </c>
      <c r="AY26" s="26">
        <v>33.024293749999998</v>
      </c>
      <c r="AZ26" s="27">
        <v>1997.62</v>
      </c>
      <c r="BA26" s="27">
        <v>8767.5300000000007</v>
      </c>
      <c r="BB26" s="27">
        <v>8.16</v>
      </c>
      <c r="BC26" s="27">
        <v>27.434000000000001</v>
      </c>
      <c r="BE26" s="28">
        <f t="shared" si="14"/>
        <v>1</v>
      </c>
      <c r="BF26" s="29">
        <f t="shared" si="15"/>
        <v>0</v>
      </c>
      <c r="BG26" s="29">
        <f t="shared" si="16"/>
        <v>0</v>
      </c>
      <c r="BH26" s="29"/>
      <c r="BJ26" s="28"/>
      <c r="BK26" s="28"/>
      <c r="BL26" s="28"/>
      <c r="BM26" s="28"/>
      <c r="BN26" s="28"/>
      <c r="BP26" s="28"/>
      <c r="BQ26" s="28"/>
      <c r="BR26" s="28"/>
      <c r="BS26" s="28"/>
      <c r="BT26" s="28"/>
      <c r="BV26">
        <f t="shared" si="17"/>
        <v>0</v>
      </c>
      <c r="BW26">
        <f t="shared" si="18"/>
        <v>0</v>
      </c>
      <c r="BX26">
        <f t="shared" si="19"/>
        <v>0</v>
      </c>
      <c r="BY26">
        <f t="shared" si="20"/>
        <v>0</v>
      </c>
      <c r="BZ26">
        <f t="shared" si="21"/>
        <v>0</v>
      </c>
      <c r="CA26">
        <f t="shared" si="22"/>
        <v>0</v>
      </c>
      <c r="CB26">
        <f t="shared" si="23"/>
        <v>0</v>
      </c>
      <c r="CC26">
        <f t="shared" si="24"/>
        <v>0</v>
      </c>
      <c r="CD26">
        <f t="shared" si="25"/>
        <v>0</v>
      </c>
      <c r="CE26">
        <f t="shared" si="26"/>
        <v>0</v>
      </c>
      <c r="CF26">
        <f t="shared" si="27"/>
        <v>0</v>
      </c>
      <c r="CG26">
        <f t="shared" si="28"/>
        <v>0</v>
      </c>
      <c r="CJ26" t="s">
        <v>585</v>
      </c>
    </row>
    <row r="27" spans="1:88" outlineLevel="1" x14ac:dyDescent="0.3">
      <c r="A27" s="10"/>
      <c r="B27" s="10" t="s">
        <v>71</v>
      </c>
      <c r="C27" s="11" t="s">
        <v>239</v>
      </c>
      <c r="D27" s="10">
        <v>25312408</v>
      </c>
      <c r="E27" s="11">
        <v>10</v>
      </c>
      <c r="F27" s="11">
        <v>32</v>
      </c>
      <c r="G27" s="11">
        <v>30</v>
      </c>
      <c r="I27" s="12">
        <f t="shared" si="0"/>
        <v>5.3839724999999996</v>
      </c>
      <c r="J27" s="13">
        <f t="shared" si="1"/>
        <v>0.22688098263902826</v>
      </c>
      <c r="K27" s="13">
        <f t="shared" si="2"/>
        <v>9.2478913898669773E-2</v>
      </c>
      <c r="L27" s="13">
        <f t="shared" si="3"/>
        <v>7.0629708560323454E-2</v>
      </c>
      <c r="M27" s="13">
        <f t="shared" si="4"/>
        <v>0.13440206874035848</v>
      </c>
      <c r="N27" s="10">
        <f t="shared" si="5"/>
        <v>2340864</v>
      </c>
      <c r="O27" s="13">
        <f t="shared" si="6"/>
        <v>0.2308667351653784</v>
      </c>
      <c r="P27" s="14">
        <v>24875407</v>
      </c>
      <c r="Q27" s="14">
        <v>777356.46875</v>
      </c>
      <c r="R27" s="14">
        <v>18390.125</v>
      </c>
      <c r="S27" s="15">
        <v>5742904</v>
      </c>
      <c r="T27" s="15">
        <v>1787808</v>
      </c>
      <c r="U27" s="15">
        <v>553056</v>
      </c>
      <c r="V27" s="15">
        <v>3402040</v>
      </c>
      <c r="W27" s="16">
        <v>69.303674999999998</v>
      </c>
      <c r="X27" s="16">
        <v>71.6733218749999</v>
      </c>
      <c r="Y27" s="16">
        <v>30.214996874999901</v>
      </c>
      <c r="Z27" s="16">
        <v>34.906668749999902</v>
      </c>
      <c r="AA27" s="16">
        <v>34.350503124999904</v>
      </c>
      <c r="AB27" s="17">
        <v>1218.18</v>
      </c>
      <c r="AC27" s="17">
        <v>6352.48</v>
      </c>
      <c r="AD27" s="17">
        <v>7.7480000000000002</v>
      </c>
      <c r="AE27" s="17">
        <v>27.477</v>
      </c>
      <c r="AG27" s="12">
        <f t="shared" si="7"/>
        <v>5.3839724999999996</v>
      </c>
      <c r="AH27" s="13">
        <f t="shared" si="8"/>
        <v>0.22688098263902826</v>
      </c>
      <c r="AI27" s="13">
        <f t="shared" si="9"/>
        <v>9.2478913898669773E-2</v>
      </c>
      <c r="AJ27" s="13">
        <f t="shared" si="10"/>
        <v>7.0629708560323454E-2</v>
      </c>
      <c r="AK27" s="13">
        <f t="shared" si="11"/>
        <v>0.13440206874035848</v>
      </c>
      <c r="AL27" s="10">
        <f t="shared" si="12"/>
        <v>2340864</v>
      </c>
      <c r="AM27" s="13">
        <f t="shared" si="13"/>
        <v>0.2308667351653784</v>
      </c>
      <c r="AN27" s="14">
        <v>24875407</v>
      </c>
      <c r="AO27" s="14">
        <v>777356.46875</v>
      </c>
      <c r="AP27" s="14">
        <v>18390.125</v>
      </c>
      <c r="AQ27" s="15">
        <v>5742904</v>
      </c>
      <c r="AR27" s="15">
        <v>1787808</v>
      </c>
      <c r="AS27" s="15">
        <v>553056</v>
      </c>
      <c r="AT27" s="15">
        <v>3402040</v>
      </c>
      <c r="AU27" s="16">
        <v>69.303674999999998</v>
      </c>
      <c r="AV27" s="16">
        <v>71.673321874999999</v>
      </c>
      <c r="AW27" s="16">
        <v>30.214996875000001</v>
      </c>
      <c r="AX27" s="16">
        <v>34.906668750000001</v>
      </c>
      <c r="AY27" s="16">
        <v>34.350503125000003</v>
      </c>
      <c r="AZ27" s="17">
        <v>2012.02</v>
      </c>
      <c r="BA27" s="17">
        <v>9175.5</v>
      </c>
      <c r="BB27" s="17">
        <v>11.403</v>
      </c>
      <c r="BC27" s="17">
        <v>41.652999999999999</v>
      </c>
      <c r="BE27" s="18">
        <f t="shared" si="14"/>
        <v>1</v>
      </c>
      <c r="BF27" s="19">
        <f t="shared" si="15"/>
        <v>0</v>
      </c>
      <c r="BG27" s="19">
        <f t="shared" si="16"/>
        <v>0</v>
      </c>
      <c r="BH27" s="19"/>
      <c r="BJ27" s="18"/>
      <c r="BK27" s="18"/>
      <c r="BL27" s="18"/>
      <c r="BM27" s="18"/>
      <c r="BN27" s="18"/>
      <c r="BP27" s="18"/>
      <c r="BQ27" s="18"/>
      <c r="BR27" s="18"/>
      <c r="BS27" s="18"/>
      <c r="BT27" s="18"/>
      <c r="BV27">
        <f t="shared" si="17"/>
        <v>0</v>
      </c>
      <c r="BW27">
        <f t="shared" si="18"/>
        <v>0</v>
      </c>
      <c r="BX27">
        <f t="shared" si="19"/>
        <v>0</v>
      </c>
      <c r="BY27">
        <f t="shared" si="20"/>
        <v>0</v>
      </c>
      <c r="BZ27">
        <f t="shared" si="21"/>
        <v>0</v>
      </c>
      <c r="CA27">
        <f t="shared" si="22"/>
        <v>0</v>
      </c>
      <c r="CB27">
        <f t="shared" si="23"/>
        <v>0</v>
      </c>
      <c r="CC27">
        <f t="shared" si="24"/>
        <v>0</v>
      </c>
      <c r="CD27">
        <f t="shared" si="25"/>
        <v>0</v>
      </c>
      <c r="CE27">
        <f t="shared" si="26"/>
        <v>9.9475983006414026E-14</v>
      </c>
      <c r="CF27">
        <f t="shared" si="27"/>
        <v>9.9475983006414026E-14</v>
      </c>
      <c r="CG27">
        <f t="shared" si="28"/>
        <v>9.9475983006414026E-14</v>
      </c>
      <c r="CJ27" t="s">
        <v>585</v>
      </c>
    </row>
    <row r="28" spans="1:88" outlineLevel="1" x14ac:dyDescent="0.3">
      <c r="A28" s="20"/>
      <c r="B28" s="20" t="s">
        <v>71</v>
      </c>
      <c r="C28" s="21" t="s">
        <v>240</v>
      </c>
      <c r="D28" s="20">
        <v>25312408</v>
      </c>
      <c r="E28" s="21">
        <v>10</v>
      </c>
      <c r="F28" s="21">
        <v>32</v>
      </c>
      <c r="G28" s="21">
        <v>30</v>
      </c>
      <c r="I28" s="22">
        <f t="shared" si="0"/>
        <v>10.381155</v>
      </c>
      <c r="J28" s="23">
        <f t="shared" si="1"/>
        <v>0.43746260727150099</v>
      </c>
      <c r="K28" s="23">
        <f t="shared" si="2"/>
        <v>0.13039201959766136</v>
      </c>
      <c r="L28" s="23">
        <f t="shared" si="3"/>
        <v>0.10854281425931504</v>
      </c>
      <c r="M28" s="23">
        <f t="shared" si="4"/>
        <v>0.30707058767383966</v>
      </c>
      <c r="N28" s="20">
        <f t="shared" si="5"/>
        <v>3300536</v>
      </c>
      <c r="O28" s="23">
        <f t="shared" si="6"/>
        <v>0.43324819315461066</v>
      </c>
      <c r="P28" s="24">
        <v>25558634</v>
      </c>
      <c r="Q28" s="24">
        <v>798707.3125</v>
      </c>
      <c r="R28" s="24">
        <v>20824</v>
      </c>
      <c r="S28" s="25">
        <v>11073232</v>
      </c>
      <c r="T28" s="25">
        <v>2747480</v>
      </c>
      <c r="U28" s="25">
        <v>553056</v>
      </c>
      <c r="V28" s="25">
        <v>7772696</v>
      </c>
      <c r="W28" s="26">
        <v>70.45199375</v>
      </c>
      <c r="X28" s="26">
        <v>72.973940624999997</v>
      </c>
      <c r="Y28" s="26">
        <v>32.720790624999999</v>
      </c>
      <c r="Z28" s="26">
        <v>36.42493125</v>
      </c>
      <c r="AA28" s="26">
        <v>35.859749999999998</v>
      </c>
      <c r="AB28" s="27">
        <v>1211.57</v>
      </c>
      <c r="AC28" s="27">
        <v>6878.3</v>
      </c>
      <c r="AD28" s="27">
        <v>7.8319999999999999</v>
      </c>
      <c r="AE28" s="27">
        <v>28.677</v>
      </c>
      <c r="AG28" s="22">
        <f t="shared" si="7"/>
        <v>10.381155</v>
      </c>
      <c r="AH28" s="23">
        <f t="shared" si="8"/>
        <v>0.43746260727150099</v>
      </c>
      <c r="AI28" s="23">
        <f t="shared" si="9"/>
        <v>0.13039201959766136</v>
      </c>
      <c r="AJ28" s="23">
        <f t="shared" si="10"/>
        <v>0.10854281425931504</v>
      </c>
      <c r="AK28" s="23">
        <f t="shared" si="11"/>
        <v>0.30707058767383966</v>
      </c>
      <c r="AL28" s="20">
        <f t="shared" si="12"/>
        <v>3300536</v>
      </c>
      <c r="AM28" s="23">
        <f t="shared" si="13"/>
        <v>0.43324819315461066</v>
      </c>
      <c r="AN28" s="24">
        <v>25558634</v>
      </c>
      <c r="AO28" s="24">
        <v>798707.3125</v>
      </c>
      <c r="AP28" s="24">
        <v>20824</v>
      </c>
      <c r="AQ28" s="25">
        <v>11073232</v>
      </c>
      <c r="AR28" s="25">
        <v>2747480</v>
      </c>
      <c r="AS28" s="25">
        <v>553056</v>
      </c>
      <c r="AT28" s="25">
        <v>7772696</v>
      </c>
      <c r="AU28" s="26">
        <v>70.45199375</v>
      </c>
      <c r="AV28" s="26">
        <v>72.973940624999997</v>
      </c>
      <c r="AW28" s="26">
        <v>32.720790624999999</v>
      </c>
      <c r="AX28" s="26">
        <v>36.42493125</v>
      </c>
      <c r="AY28" s="26">
        <v>35.859749999999998</v>
      </c>
      <c r="AZ28" s="27">
        <v>2021.3</v>
      </c>
      <c r="BA28" s="27">
        <v>9610.65</v>
      </c>
      <c r="BB28" s="27">
        <v>10.106999999999999</v>
      </c>
      <c r="BC28" s="27">
        <v>38.905999999999999</v>
      </c>
      <c r="BE28" s="28">
        <f t="shared" si="14"/>
        <v>1</v>
      </c>
      <c r="BF28" s="29">
        <f t="shared" si="15"/>
        <v>0</v>
      </c>
      <c r="BG28" s="29">
        <f t="shared" si="16"/>
        <v>0</v>
      </c>
      <c r="BH28" s="29"/>
      <c r="BJ28" s="28"/>
      <c r="BK28" s="28"/>
      <c r="BL28" s="28"/>
      <c r="BM28" s="28"/>
      <c r="BN28" s="28"/>
      <c r="BP28" s="28"/>
      <c r="BQ28" s="28"/>
      <c r="BR28" s="28"/>
      <c r="BS28" s="28"/>
      <c r="BT28" s="28"/>
      <c r="BV28">
        <f t="shared" si="17"/>
        <v>0</v>
      </c>
      <c r="BW28">
        <f t="shared" si="18"/>
        <v>0</v>
      </c>
      <c r="BX28">
        <f t="shared" si="19"/>
        <v>0</v>
      </c>
      <c r="BY28">
        <f t="shared" si="20"/>
        <v>0</v>
      </c>
      <c r="BZ28">
        <f t="shared" si="21"/>
        <v>0</v>
      </c>
      <c r="CA28">
        <f t="shared" si="22"/>
        <v>0</v>
      </c>
      <c r="CB28">
        <f t="shared" si="23"/>
        <v>0</v>
      </c>
      <c r="CC28">
        <f t="shared" si="24"/>
        <v>0</v>
      </c>
      <c r="CD28">
        <f t="shared" si="25"/>
        <v>0</v>
      </c>
      <c r="CE28">
        <f t="shared" si="26"/>
        <v>0</v>
      </c>
      <c r="CF28">
        <f t="shared" si="27"/>
        <v>0</v>
      </c>
      <c r="CG28">
        <f t="shared" si="28"/>
        <v>0</v>
      </c>
      <c r="CJ28" t="s">
        <v>585</v>
      </c>
    </row>
    <row r="29" spans="1:88" ht="15.75" customHeight="1" outlineLevel="1" thickBot="1" x14ac:dyDescent="0.35">
      <c r="A29" s="30"/>
      <c r="B29" s="30" t="s">
        <v>71</v>
      </c>
      <c r="C29" s="31" t="s">
        <v>241</v>
      </c>
      <c r="D29" s="30">
        <v>25312408</v>
      </c>
      <c r="E29" s="31">
        <v>10</v>
      </c>
      <c r="F29" s="31">
        <v>32</v>
      </c>
      <c r="G29" s="31">
        <v>30</v>
      </c>
      <c r="I29" s="32">
        <f t="shared" si="0"/>
        <v>23.942985</v>
      </c>
      <c r="J29" s="33">
        <f t="shared" si="1"/>
        <v>1.0089590844142524</v>
      </c>
      <c r="K29" s="33">
        <f t="shared" si="2"/>
        <v>0.21400887659522555</v>
      </c>
      <c r="L29" s="33">
        <f t="shared" si="3"/>
        <v>0.17038631804607449</v>
      </c>
      <c r="M29" s="33">
        <f t="shared" si="4"/>
        <v>0.79495020781902692</v>
      </c>
      <c r="N29" s="30">
        <f t="shared" si="5"/>
        <v>5417080</v>
      </c>
      <c r="O29" s="33">
        <f t="shared" si="6"/>
        <v>1.0385560600299704</v>
      </c>
      <c r="P29" s="34">
        <v>24591050</v>
      </c>
      <c r="Q29" s="34">
        <v>768470.3125</v>
      </c>
      <c r="R29" s="34">
        <v>9759.78125</v>
      </c>
      <c r="S29" s="35">
        <v>25539184</v>
      </c>
      <c r="T29" s="35">
        <v>4312888</v>
      </c>
      <c r="U29" s="35">
        <v>1104192</v>
      </c>
      <c r="V29" s="35">
        <v>20122104</v>
      </c>
      <c r="W29" s="36">
        <v>71.142418750000004</v>
      </c>
      <c r="X29" s="36">
        <v>74.868674999999996</v>
      </c>
      <c r="Y29" s="36">
        <v>35.761112500000003</v>
      </c>
      <c r="Z29" s="36">
        <v>38.357624999999899</v>
      </c>
      <c r="AA29" s="36">
        <v>37.754456249999997</v>
      </c>
      <c r="AB29" s="37">
        <v>1226.48</v>
      </c>
      <c r="AC29" s="37">
        <v>7760.91</v>
      </c>
      <c r="AD29" s="37">
        <v>7.73</v>
      </c>
      <c r="AE29" s="37">
        <v>31.411000000000001</v>
      </c>
      <c r="AG29" s="32">
        <f t="shared" si="7"/>
        <v>23.942985</v>
      </c>
      <c r="AH29" s="33">
        <f t="shared" si="8"/>
        <v>1.0089590844142524</v>
      </c>
      <c r="AI29" s="33">
        <f t="shared" si="9"/>
        <v>0.21400887659522555</v>
      </c>
      <c r="AJ29" s="33">
        <f t="shared" si="10"/>
        <v>0.17038631804607449</v>
      </c>
      <c r="AK29" s="33">
        <f t="shared" si="11"/>
        <v>0.79495020781902692</v>
      </c>
      <c r="AL29" s="30">
        <f t="shared" si="12"/>
        <v>5417080</v>
      </c>
      <c r="AM29" s="33">
        <f t="shared" si="13"/>
        <v>1.0385560600299704</v>
      </c>
      <c r="AN29" s="34">
        <v>24591050</v>
      </c>
      <c r="AO29" s="34">
        <v>768470.3125</v>
      </c>
      <c r="AP29" s="34">
        <v>9759.78125</v>
      </c>
      <c r="AQ29" s="35">
        <v>25539184</v>
      </c>
      <c r="AR29" s="35">
        <v>4312888</v>
      </c>
      <c r="AS29" s="35">
        <v>1104192</v>
      </c>
      <c r="AT29" s="35">
        <v>20122104</v>
      </c>
      <c r="AU29" s="36">
        <v>71.142418750000004</v>
      </c>
      <c r="AV29" s="36">
        <v>74.868674999999996</v>
      </c>
      <c r="AW29" s="36">
        <v>35.761112500000003</v>
      </c>
      <c r="AX29" s="36">
        <v>38.357624999999999</v>
      </c>
      <c r="AY29" s="36">
        <v>37.754456249999997</v>
      </c>
      <c r="AZ29" s="37">
        <v>2052.77</v>
      </c>
      <c r="BA29" s="37">
        <v>10599.6</v>
      </c>
      <c r="BB29" s="37">
        <v>9.0289999999999999</v>
      </c>
      <c r="BC29" s="37">
        <v>35.759</v>
      </c>
      <c r="BE29" s="38">
        <f t="shared" si="14"/>
        <v>1</v>
      </c>
      <c r="BF29" s="39">
        <f t="shared" si="15"/>
        <v>0</v>
      </c>
      <c r="BG29" s="39">
        <f t="shared" si="16"/>
        <v>0</v>
      </c>
      <c r="BH29" s="39"/>
      <c r="BJ29" s="38"/>
      <c r="BK29" s="38"/>
      <c r="BL29" s="38"/>
      <c r="BM29" s="38"/>
      <c r="BN29" s="38"/>
      <c r="BP29" s="38"/>
      <c r="BQ29" s="38"/>
      <c r="BR29" s="38"/>
      <c r="BS29" s="38"/>
      <c r="BT29" s="38"/>
      <c r="BV29">
        <f t="shared" si="17"/>
        <v>0</v>
      </c>
      <c r="BW29">
        <f t="shared" si="18"/>
        <v>0</v>
      </c>
      <c r="BX29">
        <f t="shared" si="19"/>
        <v>0</v>
      </c>
      <c r="BY29">
        <f t="shared" si="20"/>
        <v>0</v>
      </c>
      <c r="BZ29">
        <f t="shared" si="21"/>
        <v>0</v>
      </c>
      <c r="CA29">
        <f t="shared" si="22"/>
        <v>0</v>
      </c>
      <c r="CB29">
        <f t="shared" si="23"/>
        <v>0</v>
      </c>
      <c r="CC29">
        <f t="shared" si="24"/>
        <v>0</v>
      </c>
      <c r="CD29">
        <f t="shared" si="25"/>
        <v>0</v>
      </c>
      <c r="CE29">
        <f t="shared" si="26"/>
        <v>0</v>
      </c>
      <c r="CF29">
        <f t="shared" si="27"/>
        <v>9.9475983006414026E-14</v>
      </c>
      <c r="CG29">
        <f t="shared" si="28"/>
        <v>0</v>
      </c>
      <c r="CJ29" t="s">
        <v>585</v>
      </c>
    </row>
    <row r="30" spans="1:88" x14ac:dyDescent="0.3">
      <c r="A30" s="20" t="s">
        <v>246</v>
      </c>
      <c r="B30" s="20" t="s">
        <v>75</v>
      </c>
      <c r="C30" s="21" t="s">
        <v>236</v>
      </c>
      <c r="D30" s="20">
        <v>28802925</v>
      </c>
      <c r="E30" s="21">
        <v>11</v>
      </c>
      <c r="F30" s="21">
        <v>10</v>
      </c>
      <c r="G30" s="21">
        <v>30</v>
      </c>
      <c r="I30" s="22">
        <f t="shared" si="0"/>
        <v>3.184272</v>
      </c>
      <c r="J30" s="23">
        <f t="shared" si="1"/>
        <v>3.685125729418106E-2</v>
      </c>
      <c r="K30" s="23">
        <f t="shared" si="2"/>
        <v>2.9567274851425681E-2</v>
      </c>
      <c r="L30" s="23">
        <f t="shared" si="3"/>
        <v>1.7862074771919867E-2</v>
      </c>
      <c r="M30" s="23">
        <f t="shared" si="4"/>
        <v>7.2839824427553797E-3</v>
      </c>
      <c r="N30" s="20">
        <f t="shared" si="5"/>
        <v>851624</v>
      </c>
      <c r="O30" s="23">
        <f t="shared" si="6"/>
        <v>3.9067541371127071E-2</v>
      </c>
      <c r="P30" s="24">
        <v>27168948</v>
      </c>
      <c r="Q30" s="24">
        <v>2716894.8</v>
      </c>
      <c r="R30" s="24">
        <v>34879.4</v>
      </c>
      <c r="S30" s="25">
        <v>1061424</v>
      </c>
      <c r="T30" s="25">
        <v>514480</v>
      </c>
      <c r="U30" s="25">
        <v>337144</v>
      </c>
      <c r="V30" s="25">
        <v>209800</v>
      </c>
      <c r="W30" s="26">
        <v>73.806030000000007</v>
      </c>
      <c r="X30" s="26">
        <v>75.812089999999998</v>
      </c>
      <c r="Y30" s="26">
        <v>33.861640000000001</v>
      </c>
      <c r="Z30" s="26">
        <v>41.972589999999997</v>
      </c>
      <c r="AA30" s="26">
        <v>43.699649999999998</v>
      </c>
      <c r="AB30" s="27">
        <v>908.20600000000002</v>
      </c>
      <c r="AC30" s="27">
        <v>3688.06</v>
      </c>
      <c r="AD30" s="27">
        <v>8.2739999999999991</v>
      </c>
      <c r="AE30" s="27">
        <v>20.286000000000001</v>
      </c>
      <c r="AG30" s="22">
        <f t="shared" si="7"/>
        <v>3.184272</v>
      </c>
      <c r="AH30" s="23">
        <f t="shared" si="8"/>
        <v>3.685125729418106E-2</v>
      </c>
      <c r="AI30" s="23">
        <f t="shared" si="9"/>
        <v>2.9567274851425681E-2</v>
      </c>
      <c r="AJ30" s="23">
        <f t="shared" si="10"/>
        <v>1.7862074771919867E-2</v>
      </c>
      <c r="AK30" s="23">
        <f t="shared" si="11"/>
        <v>7.2839824427553797E-3</v>
      </c>
      <c r="AL30" s="20">
        <f t="shared" si="12"/>
        <v>851624</v>
      </c>
      <c r="AM30" s="23">
        <f t="shared" si="13"/>
        <v>3.9067541371127071E-2</v>
      </c>
      <c r="AN30" s="24">
        <v>27168948</v>
      </c>
      <c r="AO30" s="24">
        <v>2716894.8</v>
      </c>
      <c r="AP30" s="24">
        <v>34879.4</v>
      </c>
      <c r="AQ30" s="25">
        <v>1061424</v>
      </c>
      <c r="AR30" s="25">
        <v>514480</v>
      </c>
      <c r="AS30" s="25">
        <v>337144</v>
      </c>
      <c r="AT30" s="25">
        <v>209800</v>
      </c>
      <c r="AU30" s="26">
        <v>73.806030000000007</v>
      </c>
      <c r="AV30" s="26">
        <v>75.812089999999998</v>
      </c>
      <c r="AW30" s="26">
        <v>33.861640000000001</v>
      </c>
      <c r="AX30" s="26">
        <v>41.972589999999997</v>
      </c>
      <c r="AY30" s="26">
        <v>43.699649999999998</v>
      </c>
      <c r="AZ30" s="27">
        <v>1395.91</v>
      </c>
      <c r="BA30" s="27">
        <v>6198.51</v>
      </c>
      <c r="BB30" s="27">
        <v>11.776</v>
      </c>
      <c r="BC30" s="27">
        <v>24.594999999999999</v>
      </c>
      <c r="BE30" s="28">
        <f t="shared" si="14"/>
        <v>1</v>
      </c>
      <c r="BF30" s="29">
        <f t="shared" si="15"/>
        <v>0</v>
      </c>
      <c r="BG30" s="29">
        <f t="shared" si="16"/>
        <v>0</v>
      </c>
      <c r="BH30" s="29">
        <f t="array" ref="BH30">AVERAGE(AL30:AL34/AQ30:AQ34) - AVERAGE(N30:N34/S30:S34)</f>
        <v>0</v>
      </c>
      <c r="BJ30" s="28">
        <f>IF( OR(ISBLANK(N30:N34),ISBLANK(AL30:AL34), ISBLANK(W30:W34),ISBLANK(AU30:AU34)), "·", bdRateExtend( N30:N34,W30:W34, AL30:AL34,AU30:AU34))</f>
        <v>0</v>
      </c>
      <c r="BK30" s="28">
        <f>IF( OR(ISBLANK(N30:N34),ISBLANK(AL30:AL34), ISBLANK(X30:X34),ISBLANK(AV30:AV34)), "·", bdRateExtend( N30:N34,X30:X34, AL30:AL34,AV30:AV34))</f>
        <v>-2.6645352591003757E-15</v>
      </c>
      <c r="BL30" s="28">
        <f>IF( OR(ISBLANK(V30:V34),ISBLANK(AT30:AT34), ISBLANK(Y30:Y34),ISBLANK(AW30:AW34)), "·", bdRateExtend( V30:V34,Y30:Y34, AT30:AT34,AW30:AW34))</f>
        <v>-2.4868995751603507E-14</v>
      </c>
      <c r="BM30" s="28">
        <f>IF( OR(ISBLANK(V30:V34),ISBLANK(AT30:AT34), ISBLANK(Z30:Z34),ISBLANK(AX30:AX34)), "·", bdRateExtend( V30:V34,Z30:Z34, AT30:AT34,AX30:AX34))</f>
        <v>-3.219646771412954E-14</v>
      </c>
      <c r="BN30" s="28">
        <f>IF( OR(ISBLANK(V30:V34),ISBLANK(AT30:AT34), ISBLANK(AA30:AA34),ISBLANK(AY30:AY34)), "·", bdRateExtend( V30:V34,AA30:AA34, AT30:AT34,AY30:AY34))</f>
        <v>-2.0206059048177849E-14</v>
      </c>
      <c r="BP30" s="28">
        <f>IF( OR(ISBLANK(S30:S34),ISBLANK(AQ30:AQ34), ISBLANK(W30:W34),ISBLANK(AU30:AU34)), "·", bdRateExtend( S30:S34,W30:W34, AQ30:AQ34,AU30:AU34))</f>
        <v>0</v>
      </c>
      <c r="BQ30" s="28">
        <f>IF( OR(ISBLANK(S30:S34),ISBLANK(AQ30:AQ34), ISBLANK(X30:X34),ISBLANK(AV30:AV34)), "·", bdRateExtend( S30:S34,X30:X34, AQ30:AQ34,AV30:AV34))</f>
        <v>-7.9936057773011271E-15</v>
      </c>
      <c r="BR30" s="28">
        <f>IF( OR(ISBLANK(S30:S34),ISBLANK(AQ30:AQ34), ISBLANK(Y30:Y34),ISBLANK(AW30:AW34)), "·", bdRateExtend( S30:S34,Y30:Y34, AQ30:AQ34,AW30:AW34))</f>
        <v>-1.7541523789077473E-14</v>
      </c>
      <c r="BS30" s="28">
        <f>IF( OR(ISBLANK(S30:S34),ISBLANK(AQ30:AQ34), ISBLANK(Z30:Z34),ISBLANK(AX30:AX34)), "·", bdRateExtend( S30:S34,Z30:Z34, AQ30:AQ34,AX30:AX34))</f>
        <v>-1.9095836023552692E-14</v>
      </c>
      <c r="BT30" s="28">
        <f>IF( OR(ISBLANK(S30:S34),ISBLANK(AQ30:AQ34), ISBLANK(AA30:AA34),ISBLANK(AY30:AY34)), "·", bdRateExtend( S30:S34,AA30:AA34, AQ30:AQ34,AY30:AY34))</f>
        <v>-1.865174681370263E-14</v>
      </c>
      <c r="BV30">
        <f t="shared" si="17"/>
        <v>0</v>
      </c>
      <c r="BW30">
        <f t="shared" si="18"/>
        <v>0</v>
      </c>
      <c r="BX30">
        <f t="shared" si="19"/>
        <v>0</v>
      </c>
      <c r="BY30">
        <f t="shared" si="20"/>
        <v>0</v>
      </c>
      <c r="BZ30">
        <f t="shared" si="21"/>
        <v>0</v>
      </c>
      <c r="CA30">
        <f t="shared" si="22"/>
        <v>0</v>
      </c>
      <c r="CB30">
        <f t="shared" si="23"/>
        <v>0</v>
      </c>
      <c r="CC30">
        <f t="shared" si="24"/>
        <v>0</v>
      </c>
      <c r="CD30">
        <f t="shared" si="25"/>
        <v>0</v>
      </c>
      <c r="CE30">
        <f t="shared" si="26"/>
        <v>0</v>
      </c>
      <c r="CF30">
        <f t="shared" si="27"/>
        <v>0</v>
      </c>
      <c r="CG30">
        <f t="shared" si="28"/>
        <v>0</v>
      </c>
      <c r="CJ30" t="s">
        <v>247</v>
      </c>
    </row>
    <row r="31" spans="1:88" outlineLevel="1" x14ac:dyDescent="0.3">
      <c r="A31" s="10"/>
      <c r="B31" s="10" t="s">
        <v>75</v>
      </c>
      <c r="C31" s="11" t="s">
        <v>238</v>
      </c>
      <c r="D31" s="10">
        <v>28802925</v>
      </c>
      <c r="E31" s="11">
        <v>11</v>
      </c>
      <c r="F31" s="11">
        <v>10</v>
      </c>
      <c r="G31" s="11">
        <v>30</v>
      </c>
      <c r="I31" s="12">
        <f t="shared" si="0"/>
        <v>4.2951600000000001</v>
      </c>
      <c r="J31" s="13">
        <f t="shared" si="1"/>
        <v>4.9707451586948198E-2</v>
      </c>
      <c r="K31" s="13">
        <f t="shared" si="2"/>
        <v>3.6640723121002465E-2</v>
      </c>
      <c r="L31" s="13">
        <f t="shared" si="3"/>
        <v>2.4935523041496654E-2</v>
      </c>
      <c r="M31" s="13">
        <f t="shared" si="4"/>
        <v>1.3066728465945733E-2</v>
      </c>
      <c r="N31" s="10">
        <f t="shared" si="5"/>
        <v>1055360</v>
      </c>
      <c r="O31" s="13">
        <f t="shared" si="6"/>
        <v>5.057753745765952E-2</v>
      </c>
      <c r="P31" s="14">
        <v>28307428</v>
      </c>
      <c r="Q31" s="14">
        <v>2830742.8</v>
      </c>
      <c r="R31" s="14">
        <v>41717.4</v>
      </c>
      <c r="S31" s="15">
        <v>1431720</v>
      </c>
      <c r="T31" s="15">
        <v>718216</v>
      </c>
      <c r="U31" s="15">
        <v>337144</v>
      </c>
      <c r="V31" s="15">
        <v>376360</v>
      </c>
      <c r="W31" s="16">
        <v>75.3643</v>
      </c>
      <c r="X31" s="16">
        <v>77.614440000000002</v>
      </c>
      <c r="Y31" s="16">
        <v>35.624009999999899</v>
      </c>
      <c r="Z31" s="16">
        <v>42.373820000000002</v>
      </c>
      <c r="AA31" s="16">
        <v>44.414619999999999</v>
      </c>
      <c r="AB31" s="17">
        <v>913.27</v>
      </c>
      <c r="AC31" s="17">
        <v>3942.9</v>
      </c>
      <c r="AD31" s="17">
        <v>8.4670000000000005</v>
      </c>
      <c r="AE31" s="17">
        <v>21.05</v>
      </c>
      <c r="AG31" s="12">
        <f t="shared" si="7"/>
        <v>4.2951600000000001</v>
      </c>
      <c r="AH31" s="13">
        <f t="shared" si="8"/>
        <v>4.9707451586948198E-2</v>
      </c>
      <c r="AI31" s="13">
        <f t="shared" si="9"/>
        <v>3.6640723121002465E-2</v>
      </c>
      <c r="AJ31" s="13">
        <f t="shared" si="10"/>
        <v>2.4935523041496654E-2</v>
      </c>
      <c r="AK31" s="13">
        <f t="shared" si="11"/>
        <v>1.3066728465945733E-2</v>
      </c>
      <c r="AL31" s="10">
        <f t="shared" si="12"/>
        <v>1055360</v>
      </c>
      <c r="AM31" s="13">
        <f t="shared" si="13"/>
        <v>5.057753745765952E-2</v>
      </c>
      <c r="AN31" s="14">
        <v>28307428</v>
      </c>
      <c r="AO31" s="14">
        <v>2830742.8</v>
      </c>
      <c r="AP31" s="14">
        <v>41717.4</v>
      </c>
      <c r="AQ31" s="15">
        <v>1431720</v>
      </c>
      <c r="AR31" s="15">
        <v>718216</v>
      </c>
      <c r="AS31" s="15">
        <v>337144</v>
      </c>
      <c r="AT31" s="15">
        <v>376360</v>
      </c>
      <c r="AU31" s="16">
        <v>75.3643</v>
      </c>
      <c r="AV31" s="16">
        <v>77.614440000000002</v>
      </c>
      <c r="AW31" s="16">
        <v>35.624009999999998</v>
      </c>
      <c r="AX31" s="16">
        <v>42.373820000000002</v>
      </c>
      <c r="AY31" s="16">
        <v>44.414619999999999</v>
      </c>
      <c r="AZ31" s="17">
        <v>1372.12</v>
      </c>
      <c r="BA31" s="17">
        <v>6188.06</v>
      </c>
      <c r="BB31" s="17">
        <v>13.821</v>
      </c>
      <c r="BC31" s="17">
        <v>33.581000000000003</v>
      </c>
      <c r="BE31" s="18">
        <f t="shared" si="14"/>
        <v>1</v>
      </c>
      <c r="BF31" s="19">
        <f t="shared" si="15"/>
        <v>0</v>
      </c>
      <c r="BG31" s="19">
        <f t="shared" si="16"/>
        <v>0</v>
      </c>
      <c r="BH31" s="19"/>
      <c r="BJ31" s="18"/>
      <c r="BK31" s="18"/>
      <c r="BL31" s="18"/>
      <c r="BM31" s="18"/>
      <c r="BN31" s="18"/>
      <c r="BP31" s="18"/>
      <c r="BQ31" s="18"/>
      <c r="BR31" s="18"/>
      <c r="BS31" s="18"/>
      <c r="BT31" s="18"/>
      <c r="BV31">
        <f t="shared" si="17"/>
        <v>0</v>
      </c>
      <c r="BW31">
        <f t="shared" si="18"/>
        <v>0</v>
      </c>
      <c r="BX31">
        <f t="shared" si="19"/>
        <v>0</v>
      </c>
      <c r="BY31">
        <f t="shared" si="20"/>
        <v>0</v>
      </c>
      <c r="BZ31">
        <f t="shared" si="21"/>
        <v>0</v>
      </c>
      <c r="CA31">
        <f t="shared" si="22"/>
        <v>0</v>
      </c>
      <c r="CB31">
        <f t="shared" si="23"/>
        <v>0</v>
      </c>
      <c r="CC31">
        <f t="shared" si="24"/>
        <v>0</v>
      </c>
      <c r="CD31">
        <f t="shared" si="25"/>
        <v>0</v>
      </c>
      <c r="CE31">
        <f t="shared" si="26"/>
        <v>9.9475983006414026E-14</v>
      </c>
      <c r="CF31">
        <f t="shared" si="27"/>
        <v>0</v>
      </c>
      <c r="CG31">
        <f t="shared" si="28"/>
        <v>0</v>
      </c>
      <c r="CJ31" t="s">
        <v>247</v>
      </c>
    </row>
    <row r="32" spans="1:88" outlineLevel="1" x14ac:dyDescent="0.3">
      <c r="A32" s="20"/>
      <c r="B32" s="20" t="s">
        <v>75</v>
      </c>
      <c r="C32" s="21" t="s">
        <v>239</v>
      </c>
      <c r="D32" s="20">
        <v>28802925</v>
      </c>
      <c r="E32" s="21">
        <v>11</v>
      </c>
      <c r="F32" s="21">
        <v>10</v>
      </c>
      <c r="G32" s="21">
        <v>30</v>
      </c>
      <c r="I32" s="22">
        <f t="shared" si="0"/>
        <v>6.3547200000000004</v>
      </c>
      <c r="J32" s="23">
        <f t="shared" si="1"/>
        <v>7.3542530836711903E-2</v>
      </c>
      <c r="K32" s="23">
        <f t="shared" si="2"/>
        <v>4.7301029322542765E-2</v>
      </c>
      <c r="L32" s="23">
        <f t="shared" si="3"/>
        <v>3.5595829243036947E-2</v>
      </c>
      <c r="M32" s="23">
        <f t="shared" si="4"/>
        <v>2.6241501514169135E-2</v>
      </c>
      <c r="N32" s="20">
        <f t="shared" si="5"/>
        <v>1362408</v>
      </c>
      <c r="O32" s="23">
        <f t="shared" si="6"/>
        <v>7.417473152524838E-2</v>
      </c>
      <c r="P32" s="24">
        <v>28557434</v>
      </c>
      <c r="Q32" s="24">
        <v>2855743.4</v>
      </c>
      <c r="R32" s="24">
        <v>44461.5</v>
      </c>
      <c r="S32" s="25">
        <v>2118240</v>
      </c>
      <c r="T32" s="25">
        <v>1025264</v>
      </c>
      <c r="U32" s="25">
        <v>337144</v>
      </c>
      <c r="V32" s="25">
        <v>755832</v>
      </c>
      <c r="W32" s="26">
        <v>76.520079999999993</v>
      </c>
      <c r="X32" s="26">
        <v>79.105729999999994</v>
      </c>
      <c r="Y32" s="26">
        <v>37.183669999999999</v>
      </c>
      <c r="Z32" s="26">
        <v>42.957229999999903</v>
      </c>
      <c r="AA32" s="26">
        <v>46.169490000000003</v>
      </c>
      <c r="AB32" s="27">
        <v>907.49099999999999</v>
      </c>
      <c r="AC32" s="27">
        <v>4174.57</v>
      </c>
      <c r="AD32" s="27">
        <v>8.9280000000000008</v>
      </c>
      <c r="AE32" s="27">
        <v>21.327000000000002</v>
      </c>
      <c r="AG32" s="22">
        <f t="shared" si="7"/>
        <v>6.3547200000000004</v>
      </c>
      <c r="AH32" s="23">
        <f t="shared" si="8"/>
        <v>7.3542530836711903E-2</v>
      </c>
      <c r="AI32" s="23">
        <f t="shared" si="9"/>
        <v>4.7301029322542765E-2</v>
      </c>
      <c r="AJ32" s="23">
        <f t="shared" si="10"/>
        <v>3.5595829243036947E-2</v>
      </c>
      <c r="AK32" s="23">
        <f t="shared" si="11"/>
        <v>2.6241501514169135E-2</v>
      </c>
      <c r="AL32" s="20">
        <f t="shared" si="12"/>
        <v>1362408</v>
      </c>
      <c r="AM32" s="23">
        <f t="shared" si="13"/>
        <v>7.417473152524838E-2</v>
      </c>
      <c r="AN32" s="24">
        <v>28557434</v>
      </c>
      <c r="AO32" s="24">
        <v>2855743.4</v>
      </c>
      <c r="AP32" s="24">
        <v>44461.5</v>
      </c>
      <c r="AQ32" s="25">
        <v>2118240</v>
      </c>
      <c r="AR32" s="25">
        <v>1025264</v>
      </c>
      <c r="AS32" s="25">
        <v>337144</v>
      </c>
      <c r="AT32" s="25">
        <v>755832</v>
      </c>
      <c r="AU32" s="26">
        <v>76.520079999999993</v>
      </c>
      <c r="AV32" s="26">
        <v>79.105729999999994</v>
      </c>
      <c r="AW32" s="26">
        <v>37.183669999999999</v>
      </c>
      <c r="AX32" s="26">
        <v>42.957230000000003</v>
      </c>
      <c r="AY32" s="26">
        <v>46.169490000000003</v>
      </c>
      <c r="AZ32" s="27">
        <v>1377.59</v>
      </c>
      <c r="BA32" s="27">
        <v>6495.71</v>
      </c>
      <c r="BB32" s="27">
        <v>9.3919999999999995</v>
      </c>
      <c r="BC32" s="27">
        <v>30.056000000000001</v>
      </c>
      <c r="BE32" s="28">
        <f t="shared" si="14"/>
        <v>1</v>
      </c>
      <c r="BF32" s="29">
        <f t="shared" si="15"/>
        <v>0</v>
      </c>
      <c r="BG32" s="29">
        <f t="shared" si="16"/>
        <v>0</v>
      </c>
      <c r="BH32" s="29"/>
      <c r="BJ32" s="28"/>
      <c r="BK32" s="28"/>
      <c r="BL32" s="28"/>
      <c r="BM32" s="28"/>
      <c r="BN32" s="28"/>
      <c r="BP32" s="28"/>
      <c r="BQ32" s="28"/>
      <c r="BR32" s="28"/>
      <c r="BS32" s="28"/>
      <c r="BT32" s="28"/>
      <c r="BV32">
        <f t="shared" si="17"/>
        <v>0</v>
      </c>
      <c r="BW32">
        <f t="shared" si="18"/>
        <v>0</v>
      </c>
      <c r="BX32">
        <f t="shared" si="19"/>
        <v>0</v>
      </c>
      <c r="BY32">
        <f t="shared" si="20"/>
        <v>0</v>
      </c>
      <c r="BZ32">
        <f t="shared" si="21"/>
        <v>0</v>
      </c>
      <c r="CA32">
        <f t="shared" si="22"/>
        <v>0</v>
      </c>
      <c r="CB32">
        <f t="shared" si="23"/>
        <v>0</v>
      </c>
      <c r="CC32">
        <f t="shared" si="24"/>
        <v>0</v>
      </c>
      <c r="CD32">
        <f t="shared" si="25"/>
        <v>0</v>
      </c>
      <c r="CE32">
        <f t="shared" si="26"/>
        <v>0</v>
      </c>
      <c r="CF32">
        <f t="shared" si="27"/>
        <v>9.9475983006414026E-14</v>
      </c>
      <c r="CG32">
        <f t="shared" si="28"/>
        <v>0</v>
      </c>
      <c r="CJ32" t="s">
        <v>247</v>
      </c>
    </row>
    <row r="33" spans="1:88" outlineLevel="1" x14ac:dyDescent="0.3">
      <c r="A33" s="10"/>
      <c r="B33" s="10" t="s">
        <v>75</v>
      </c>
      <c r="C33" s="11" t="s">
        <v>240</v>
      </c>
      <c r="D33" s="10">
        <v>28802925</v>
      </c>
      <c r="E33" s="11">
        <v>11</v>
      </c>
      <c r="F33" s="11">
        <v>10</v>
      </c>
      <c r="G33" s="11">
        <v>30</v>
      </c>
      <c r="I33" s="12">
        <f t="shared" si="0"/>
        <v>11.049936000000001</v>
      </c>
      <c r="J33" s="13">
        <f t="shared" si="1"/>
        <v>0.12787978998660726</v>
      </c>
      <c r="K33" s="13">
        <f t="shared" si="2"/>
        <v>6.8446381747687079E-2</v>
      </c>
      <c r="L33" s="13">
        <f t="shared" si="3"/>
        <v>5.6741181668181269E-2</v>
      </c>
      <c r="M33" s="13">
        <f t="shared" si="4"/>
        <v>5.9433408238920182E-2</v>
      </c>
      <c r="N33" s="10">
        <f t="shared" si="5"/>
        <v>1971456</v>
      </c>
      <c r="O33" s="13">
        <f t="shared" si="6"/>
        <v>0.12597898637814964</v>
      </c>
      <c r="P33" s="14">
        <v>29237511</v>
      </c>
      <c r="Q33" s="14">
        <v>2923751.1</v>
      </c>
      <c r="R33" s="14">
        <v>49346.2</v>
      </c>
      <c r="S33" s="15">
        <v>3683312</v>
      </c>
      <c r="T33" s="15">
        <v>1634312</v>
      </c>
      <c r="U33" s="15">
        <v>337144</v>
      </c>
      <c r="V33" s="15">
        <v>1711856</v>
      </c>
      <c r="W33" s="16">
        <v>77.601410000000001</v>
      </c>
      <c r="X33" s="16">
        <v>80.289709999999999</v>
      </c>
      <c r="Y33" s="16">
        <v>38.743219999999901</v>
      </c>
      <c r="Z33" s="16">
        <v>43.518300000000004</v>
      </c>
      <c r="AA33" s="16">
        <v>47.703199999999903</v>
      </c>
      <c r="AB33" s="17">
        <v>918.75599999999997</v>
      </c>
      <c r="AC33" s="17">
        <v>4470.66</v>
      </c>
      <c r="AD33" s="17">
        <v>8.89</v>
      </c>
      <c r="AE33" s="17">
        <v>23.315999999999999</v>
      </c>
      <c r="AG33" s="12">
        <f t="shared" si="7"/>
        <v>11.049936000000001</v>
      </c>
      <c r="AH33" s="13">
        <f t="shared" si="8"/>
        <v>0.12787978998660726</v>
      </c>
      <c r="AI33" s="13">
        <f t="shared" si="9"/>
        <v>6.8446381747687079E-2</v>
      </c>
      <c r="AJ33" s="13">
        <f t="shared" si="10"/>
        <v>5.6741181668181269E-2</v>
      </c>
      <c r="AK33" s="13">
        <f t="shared" si="11"/>
        <v>5.9433408238920182E-2</v>
      </c>
      <c r="AL33" s="10">
        <f t="shared" si="12"/>
        <v>1971456</v>
      </c>
      <c r="AM33" s="13">
        <f t="shared" si="13"/>
        <v>0.12597898637814964</v>
      </c>
      <c r="AN33" s="14">
        <v>29237511</v>
      </c>
      <c r="AO33" s="14">
        <v>2923751.1</v>
      </c>
      <c r="AP33" s="14">
        <v>49346.2</v>
      </c>
      <c r="AQ33" s="15">
        <v>3683312</v>
      </c>
      <c r="AR33" s="15">
        <v>1634312</v>
      </c>
      <c r="AS33" s="15">
        <v>337144</v>
      </c>
      <c r="AT33" s="15">
        <v>1711856</v>
      </c>
      <c r="AU33" s="16">
        <v>77.601410000000001</v>
      </c>
      <c r="AV33" s="16">
        <v>80.289709999999999</v>
      </c>
      <c r="AW33" s="16">
        <v>38.743220000000001</v>
      </c>
      <c r="AX33" s="16">
        <v>43.518300000000004</v>
      </c>
      <c r="AY33" s="16">
        <v>47.703200000000002</v>
      </c>
      <c r="AZ33" s="17">
        <v>1388.89</v>
      </c>
      <c r="BA33" s="17">
        <v>7006.52</v>
      </c>
      <c r="BB33" s="17">
        <v>14.295</v>
      </c>
      <c r="BC33" s="17">
        <v>31.116</v>
      </c>
      <c r="BE33" s="18">
        <f t="shared" si="14"/>
        <v>1</v>
      </c>
      <c r="BF33" s="19">
        <f t="shared" si="15"/>
        <v>0</v>
      </c>
      <c r="BG33" s="19">
        <f t="shared" si="16"/>
        <v>0</v>
      </c>
      <c r="BH33" s="19"/>
      <c r="BJ33" s="18"/>
      <c r="BK33" s="18"/>
      <c r="BL33" s="18"/>
      <c r="BM33" s="18"/>
      <c r="BN33" s="18"/>
      <c r="BP33" s="18"/>
      <c r="BQ33" s="18"/>
      <c r="BR33" s="18"/>
      <c r="BS33" s="18"/>
      <c r="BT33" s="18"/>
      <c r="BV33">
        <f t="shared" si="17"/>
        <v>0</v>
      </c>
      <c r="BW33">
        <f t="shared" si="18"/>
        <v>0</v>
      </c>
      <c r="BX33">
        <f t="shared" si="19"/>
        <v>0</v>
      </c>
      <c r="BY33">
        <f t="shared" si="20"/>
        <v>0</v>
      </c>
      <c r="BZ33">
        <f t="shared" si="21"/>
        <v>0</v>
      </c>
      <c r="CA33">
        <f t="shared" si="22"/>
        <v>0</v>
      </c>
      <c r="CB33">
        <f t="shared" si="23"/>
        <v>0</v>
      </c>
      <c r="CC33">
        <f t="shared" si="24"/>
        <v>0</v>
      </c>
      <c r="CD33">
        <f t="shared" si="25"/>
        <v>0</v>
      </c>
      <c r="CE33">
        <f t="shared" si="26"/>
        <v>9.9475983006414026E-14</v>
      </c>
      <c r="CF33">
        <f t="shared" si="27"/>
        <v>0</v>
      </c>
      <c r="CG33">
        <f t="shared" si="28"/>
        <v>9.9475983006414026E-14</v>
      </c>
      <c r="CJ33" t="s">
        <v>247</v>
      </c>
    </row>
    <row r="34" spans="1:88" ht="15.75" customHeight="1" outlineLevel="1" thickBot="1" x14ac:dyDescent="0.35">
      <c r="A34" s="20"/>
      <c r="B34" s="40" t="s">
        <v>75</v>
      </c>
      <c r="C34" s="41" t="s">
        <v>241</v>
      </c>
      <c r="D34" s="40">
        <v>28802925</v>
      </c>
      <c r="E34" s="41">
        <v>11</v>
      </c>
      <c r="F34" s="41">
        <v>10</v>
      </c>
      <c r="G34" s="41">
        <v>30</v>
      </c>
      <c r="I34" s="42">
        <f t="shared" si="0"/>
        <v>23.607792</v>
      </c>
      <c r="J34" s="43">
        <f t="shared" si="1"/>
        <v>0.27321058538325532</v>
      </c>
      <c r="K34" s="43">
        <f t="shared" si="2"/>
        <v>0.11593044803609355</v>
      </c>
      <c r="L34" s="43">
        <f t="shared" si="3"/>
        <v>9.162986050895873E-2</v>
      </c>
      <c r="M34" s="43">
        <f t="shared" si="4"/>
        <v>0.15728013734716179</v>
      </c>
      <c r="N34" s="40">
        <f t="shared" si="5"/>
        <v>3339136</v>
      </c>
      <c r="O34" s="43">
        <f t="shared" si="6"/>
        <v>0.27500578020460947</v>
      </c>
      <c r="P34" s="44">
        <v>28614904</v>
      </c>
      <c r="Q34" s="44">
        <v>2861490.4</v>
      </c>
      <c r="R34" s="44">
        <v>21253.8</v>
      </c>
      <c r="S34" s="45">
        <v>7869264</v>
      </c>
      <c r="T34" s="45">
        <v>2639208</v>
      </c>
      <c r="U34" s="45">
        <v>699928</v>
      </c>
      <c r="V34" s="45">
        <v>4530128</v>
      </c>
      <c r="W34" s="46">
        <v>78.512379999999993</v>
      </c>
      <c r="X34" s="46">
        <v>81.884179999999901</v>
      </c>
      <c r="Y34" s="46">
        <v>40.428179999999998</v>
      </c>
      <c r="Z34" s="46">
        <v>44.127049999999997</v>
      </c>
      <c r="AA34" s="46">
        <v>48.959009999999999</v>
      </c>
      <c r="AB34" s="47">
        <v>910.923</v>
      </c>
      <c r="AC34" s="47">
        <v>5020.16</v>
      </c>
      <c r="AD34" s="47">
        <v>8.4740000000000002</v>
      </c>
      <c r="AE34" s="47">
        <v>23.882999999999999</v>
      </c>
      <c r="AG34" s="42">
        <f t="shared" si="7"/>
        <v>23.607792</v>
      </c>
      <c r="AH34" s="43">
        <f t="shared" si="8"/>
        <v>0.27321058538325532</v>
      </c>
      <c r="AI34" s="43">
        <f t="shared" si="9"/>
        <v>0.11593044803609355</v>
      </c>
      <c r="AJ34" s="43">
        <f t="shared" si="10"/>
        <v>9.162986050895873E-2</v>
      </c>
      <c r="AK34" s="43">
        <f t="shared" si="11"/>
        <v>0.15728013734716179</v>
      </c>
      <c r="AL34" s="40">
        <f t="shared" si="12"/>
        <v>3339136</v>
      </c>
      <c r="AM34" s="43">
        <f t="shared" si="13"/>
        <v>0.27500578020460947</v>
      </c>
      <c r="AN34" s="44">
        <v>28614904</v>
      </c>
      <c r="AO34" s="44">
        <v>2861490.4</v>
      </c>
      <c r="AP34" s="44">
        <v>21253.8</v>
      </c>
      <c r="AQ34" s="45">
        <v>7869264</v>
      </c>
      <c r="AR34" s="45">
        <v>2639208</v>
      </c>
      <c r="AS34" s="45">
        <v>699928</v>
      </c>
      <c r="AT34" s="45">
        <v>4530128</v>
      </c>
      <c r="AU34" s="46">
        <v>78.512379999999993</v>
      </c>
      <c r="AV34" s="46">
        <v>81.884180000000001</v>
      </c>
      <c r="AW34" s="46">
        <v>40.428179999999998</v>
      </c>
      <c r="AX34" s="46">
        <v>44.127049999999997</v>
      </c>
      <c r="AY34" s="46">
        <v>48.959009999999999</v>
      </c>
      <c r="AZ34" s="47">
        <v>1393.73</v>
      </c>
      <c r="BA34" s="47">
        <v>7704.57</v>
      </c>
      <c r="BB34" s="47">
        <v>11.068</v>
      </c>
      <c r="BC34" s="47">
        <v>30.684000000000001</v>
      </c>
      <c r="BE34" s="48">
        <f t="shared" si="14"/>
        <v>1</v>
      </c>
      <c r="BF34" s="49">
        <f t="shared" si="15"/>
        <v>0</v>
      </c>
      <c r="BG34" s="49">
        <f t="shared" si="16"/>
        <v>0</v>
      </c>
      <c r="BH34" s="49"/>
      <c r="BJ34" s="48"/>
      <c r="BK34" s="48"/>
      <c r="BL34" s="48"/>
      <c r="BM34" s="48"/>
      <c r="BN34" s="48"/>
      <c r="BP34" s="48"/>
      <c r="BQ34" s="48"/>
      <c r="BR34" s="48"/>
      <c r="BS34" s="48"/>
      <c r="BT34" s="48"/>
      <c r="BV34">
        <f t="shared" si="17"/>
        <v>0</v>
      </c>
      <c r="BW34">
        <f t="shared" si="18"/>
        <v>0</v>
      </c>
      <c r="BX34">
        <f t="shared" si="19"/>
        <v>0</v>
      </c>
      <c r="BY34">
        <f t="shared" si="20"/>
        <v>0</v>
      </c>
      <c r="BZ34">
        <f t="shared" si="21"/>
        <v>0</v>
      </c>
      <c r="CA34">
        <f t="shared" si="22"/>
        <v>0</v>
      </c>
      <c r="CB34">
        <f t="shared" si="23"/>
        <v>0</v>
      </c>
      <c r="CC34">
        <f t="shared" si="24"/>
        <v>0</v>
      </c>
      <c r="CD34">
        <f t="shared" si="25"/>
        <v>0</v>
      </c>
      <c r="CE34">
        <f t="shared" si="26"/>
        <v>0</v>
      </c>
      <c r="CF34">
        <f t="shared" si="27"/>
        <v>0</v>
      </c>
      <c r="CG34">
        <f t="shared" si="28"/>
        <v>0</v>
      </c>
      <c r="CJ34" t="s">
        <v>247</v>
      </c>
    </row>
    <row r="35" spans="1:88" x14ac:dyDescent="0.3">
      <c r="A35" s="10"/>
      <c r="B35" s="10" t="s">
        <v>80</v>
      </c>
      <c r="C35" s="11" t="s">
        <v>236</v>
      </c>
      <c r="D35" s="10">
        <v>25767032</v>
      </c>
      <c r="E35" s="11">
        <v>11</v>
      </c>
      <c r="F35" s="11">
        <v>10</v>
      </c>
      <c r="G35" s="11">
        <v>30</v>
      </c>
      <c r="I35" s="12">
        <f t="shared" si="0"/>
        <v>4.6505039999999997</v>
      </c>
      <c r="J35" s="13">
        <f t="shared" si="1"/>
        <v>6.0160906386113849E-2</v>
      </c>
      <c r="K35" s="13">
        <f t="shared" si="2"/>
        <v>4.4368944005658086E-2</v>
      </c>
      <c r="L35" s="13">
        <f t="shared" si="3"/>
        <v>2.8376104783818329E-2</v>
      </c>
      <c r="M35" s="13">
        <f t="shared" si="4"/>
        <v>1.5791962380455771E-2</v>
      </c>
      <c r="N35" s="10">
        <f t="shared" si="5"/>
        <v>1143256</v>
      </c>
      <c r="O35" s="13">
        <f t="shared" si="6"/>
        <v>6.6804982525495077E-2</v>
      </c>
      <c r="P35" s="14">
        <v>23204377</v>
      </c>
      <c r="Q35" s="14">
        <v>2320437.7000000002</v>
      </c>
      <c r="R35" s="14">
        <v>29148.2</v>
      </c>
      <c r="S35" s="15">
        <v>1550168</v>
      </c>
      <c r="T35" s="15">
        <v>731168</v>
      </c>
      <c r="U35" s="15">
        <v>412088</v>
      </c>
      <c r="V35" s="15">
        <v>406912</v>
      </c>
      <c r="W35" s="16">
        <v>73.224720000000005</v>
      </c>
      <c r="X35" s="16">
        <v>75.451710000000006</v>
      </c>
      <c r="Y35" s="16">
        <v>32.014359999999897</v>
      </c>
      <c r="Z35" s="16">
        <v>42.256430000000002</v>
      </c>
      <c r="AA35" s="16">
        <v>43.557070000000003</v>
      </c>
      <c r="AB35" s="17">
        <v>839.43499999999995</v>
      </c>
      <c r="AC35" s="17">
        <v>6799.22</v>
      </c>
      <c r="AD35" s="17">
        <v>8.484</v>
      </c>
      <c r="AE35" s="17">
        <v>34.164999999999999</v>
      </c>
      <c r="AG35" s="12">
        <f t="shared" si="7"/>
        <v>4.6505039999999997</v>
      </c>
      <c r="AH35" s="13">
        <f t="shared" si="8"/>
        <v>6.0160906386113849E-2</v>
      </c>
      <c r="AI35" s="13">
        <f t="shared" si="9"/>
        <v>4.4368944005658086E-2</v>
      </c>
      <c r="AJ35" s="13">
        <f t="shared" si="10"/>
        <v>2.8376104783818329E-2</v>
      </c>
      <c r="AK35" s="13">
        <f t="shared" si="11"/>
        <v>1.5791962380455771E-2</v>
      </c>
      <c r="AL35" s="10">
        <f t="shared" si="12"/>
        <v>1143256</v>
      </c>
      <c r="AM35" s="13">
        <f t="shared" si="13"/>
        <v>6.6804982525495077E-2</v>
      </c>
      <c r="AN35" s="14">
        <v>23204377</v>
      </c>
      <c r="AO35" s="14">
        <v>2320437.7000000002</v>
      </c>
      <c r="AP35" s="14">
        <v>29148.2</v>
      </c>
      <c r="AQ35" s="15">
        <v>1550168</v>
      </c>
      <c r="AR35" s="15">
        <v>731168</v>
      </c>
      <c r="AS35" s="15">
        <v>412088</v>
      </c>
      <c r="AT35" s="15">
        <v>406912</v>
      </c>
      <c r="AU35" s="16">
        <v>73.224720000000005</v>
      </c>
      <c r="AV35" s="16">
        <v>75.451710000000006</v>
      </c>
      <c r="AW35" s="16">
        <v>32.014360000000003</v>
      </c>
      <c r="AX35" s="16">
        <v>42.256430000000002</v>
      </c>
      <c r="AY35" s="16">
        <v>43.557070000000003</v>
      </c>
      <c r="AZ35" s="17">
        <v>1251.97</v>
      </c>
      <c r="BA35" s="17">
        <v>9602.69</v>
      </c>
      <c r="BB35" s="17">
        <v>9.423</v>
      </c>
      <c r="BC35" s="17">
        <v>39.279000000000003</v>
      </c>
      <c r="BE35" s="18">
        <f t="shared" si="14"/>
        <v>1</v>
      </c>
      <c r="BF35" s="19">
        <f t="shared" si="15"/>
        <v>0</v>
      </c>
      <c r="BG35" s="19">
        <f t="shared" si="16"/>
        <v>0</v>
      </c>
      <c r="BH35" s="19">
        <f t="array" ref="BH35">AVERAGE(AL35:AL39/AQ35:AQ39) - AVERAGE(N35:N39/S35:S39)</f>
        <v>0</v>
      </c>
      <c r="BJ35" s="18">
        <f>IF( OR(ISBLANK(N35:N39),ISBLANK(AL35:AL39), ISBLANK(W35:W39),ISBLANK(AU35:AU39)), "·", bdRateExtend( N35:N39,W35:W39, AL35:AL39,AU35:AU39))</f>
        <v>-4.8849813083506888E-15</v>
      </c>
      <c r="BK35" s="18">
        <f>IF( OR(ISBLANK(N35:N39),ISBLANK(AL35:AL39), ISBLANK(X35:X39),ISBLANK(AV35:AV39)), "·", bdRateExtend( N35:N39,X35:X39, AL35:AL39,AV35:AV39))</f>
        <v>-1.021405182655144E-14</v>
      </c>
      <c r="BL35" s="18">
        <f>IF( OR(ISBLANK(V35:V39),ISBLANK(AT35:AT39), ISBLANK(Y35:Y39),ISBLANK(AW35:AW39)), "·", bdRateExtend( V35:V39,Y35:Y39, AT35:AT39,AW35:AW39))</f>
        <v>-1.9984014443252818E-14</v>
      </c>
      <c r="BM35" s="18">
        <f>IF( OR(ISBLANK(V35:V39),ISBLANK(AT35:AT39), ISBLANK(Z35:Z39),ISBLANK(AX35:AX39)), "·", bdRateExtend( V35:V39,Z35:Z39, AT35:AT39,AX35:AX39))</f>
        <v>0</v>
      </c>
      <c r="BN35" s="18">
        <f>IF( OR(ISBLANK(V35:V39),ISBLANK(AT35:AT39), ISBLANK(AA35:AA39),ISBLANK(AY35:AY39)), "·", bdRateExtend( V35:V39,AA35:AA39, AT35:AT39,AY35:AY39))</f>
        <v>-1.1102230246251565E-14</v>
      </c>
      <c r="BP35" s="18">
        <f>IF( OR(ISBLANK(S35:S39),ISBLANK(AQ35:AQ39), ISBLANK(W35:W39),ISBLANK(AU35:AU39)), "·", bdRateExtend( S35:S39,W35:W39, AQ35:AQ39,AU35:AU39))</f>
        <v>-9.7699626167013776E-15</v>
      </c>
      <c r="BQ35" s="18">
        <f>IF( OR(ISBLANK(S35:S39),ISBLANK(AQ35:AQ39), ISBLANK(X35:X39),ISBLANK(AV35:AV39)), "·", bdRateExtend( S35:S39,X35:X39, AQ35:AQ39,AV35:AV39))</f>
        <v>-1.532107773982716E-14</v>
      </c>
      <c r="BR35" s="18">
        <f>IF( OR(ISBLANK(S35:S39),ISBLANK(AQ35:AQ39), ISBLANK(Y35:Y39),ISBLANK(AW35:AW39)), "·", bdRateExtend( S35:S39,Y35:Y39, AQ35:AQ39,AW35:AW39))</f>
        <v>-1.1990408665951691E-14</v>
      </c>
      <c r="BS35" s="18">
        <f>IF( OR(ISBLANK(S35:S39),ISBLANK(AQ35:AQ39), ISBLANK(Z35:Z39),ISBLANK(AX35:AX39)), "·", bdRateExtend( S35:S39,Z35:Z39, AQ35:AQ39,AX35:AX39))</f>
        <v>0</v>
      </c>
      <c r="BT35" s="18">
        <f>IF( OR(ISBLANK(S35:S39),ISBLANK(AQ35:AQ39), ISBLANK(AA35:AA39),ISBLANK(AY35:AY39)), "·", bdRateExtend( S35:S39,AA35:AA39, AQ35:AQ39,AY35:AY39))</f>
        <v>-9.5479180117763462E-15</v>
      </c>
      <c r="BV35">
        <f t="shared" si="17"/>
        <v>0</v>
      </c>
      <c r="BW35">
        <f t="shared" si="18"/>
        <v>0</v>
      </c>
      <c r="BX35">
        <f t="shared" si="19"/>
        <v>0</v>
      </c>
      <c r="BY35">
        <f t="shared" si="20"/>
        <v>0</v>
      </c>
      <c r="BZ35">
        <f t="shared" si="21"/>
        <v>0</v>
      </c>
      <c r="CA35">
        <f t="shared" si="22"/>
        <v>0</v>
      </c>
      <c r="CB35">
        <f t="shared" si="23"/>
        <v>0</v>
      </c>
      <c r="CC35">
        <f t="shared" si="24"/>
        <v>0</v>
      </c>
      <c r="CD35">
        <f t="shared" si="25"/>
        <v>0</v>
      </c>
      <c r="CE35">
        <f t="shared" si="26"/>
        <v>1.0658141036401503E-13</v>
      </c>
      <c r="CF35">
        <f t="shared" si="27"/>
        <v>0</v>
      </c>
      <c r="CG35">
        <f t="shared" si="28"/>
        <v>0</v>
      </c>
      <c r="CJ35" t="s">
        <v>594</v>
      </c>
    </row>
    <row r="36" spans="1:88" outlineLevel="1" x14ac:dyDescent="0.3">
      <c r="A36" s="20"/>
      <c r="B36" s="20" t="s">
        <v>80</v>
      </c>
      <c r="C36" s="21" t="s">
        <v>238</v>
      </c>
      <c r="D36" s="20">
        <v>25767032</v>
      </c>
      <c r="E36" s="21">
        <v>11</v>
      </c>
      <c r="F36" s="21">
        <v>10</v>
      </c>
      <c r="G36" s="21">
        <v>30</v>
      </c>
      <c r="I36" s="22">
        <f t="shared" si="0"/>
        <v>6.2792399999999997</v>
      </c>
      <c r="J36" s="23">
        <f t="shared" si="1"/>
        <v>8.1230931059502701E-2</v>
      </c>
      <c r="K36" s="23">
        <f t="shared" si="2"/>
        <v>5.4625150463584633E-2</v>
      </c>
      <c r="L36" s="23">
        <f t="shared" si="3"/>
        <v>3.8632311241744877E-2</v>
      </c>
      <c r="M36" s="23">
        <f t="shared" si="4"/>
        <v>2.6605780595918071E-2</v>
      </c>
      <c r="N36" s="20">
        <f t="shared" si="5"/>
        <v>1407528</v>
      </c>
      <c r="O36" s="23">
        <f t="shared" si="6"/>
        <v>8.4488223970407242E-2</v>
      </c>
      <c r="P36" s="24">
        <v>24773630</v>
      </c>
      <c r="Q36" s="24">
        <v>2477363</v>
      </c>
      <c r="R36" s="24">
        <v>37204.199999999997</v>
      </c>
      <c r="S36" s="25">
        <v>2093080</v>
      </c>
      <c r="T36" s="25">
        <v>995440</v>
      </c>
      <c r="U36" s="25">
        <v>412088</v>
      </c>
      <c r="V36" s="25">
        <v>685552</v>
      </c>
      <c r="W36" s="26">
        <v>74.958129999999898</v>
      </c>
      <c r="X36" s="26">
        <v>77.389159999999904</v>
      </c>
      <c r="Y36" s="26">
        <v>34.241879999999902</v>
      </c>
      <c r="Z36" s="26">
        <v>42.982309999999998</v>
      </c>
      <c r="AA36" s="26">
        <v>44.673839999999998</v>
      </c>
      <c r="AB36" s="27">
        <v>838.56600000000003</v>
      </c>
      <c r="AC36" s="27">
        <v>7133.05</v>
      </c>
      <c r="AD36" s="27">
        <v>8.9019999999999992</v>
      </c>
      <c r="AE36" s="27">
        <v>35.892000000000003</v>
      </c>
      <c r="AG36" s="22">
        <f t="shared" si="7"/>
        <v>6.2792399999999997</v>
      </c>
      <c r="AH36" s="23">
        <f t="shared" si="8"/>
        <v>8.1230931059502701E-2</v>
      </c>
      <c r="AI36" s="23">
        <f t="shared" si="9"/>
        <v>5.4625150463584633E-2</v>
      </c>
      <c r="AJ36" s="23">
        <f t="shared" si="10"/>
        <v>3.8632311241744877E-2</v>
      </c>
      <c r="AK36" s="23">
        <f t="shared" si="11"/>
        <v>2.6605780595918071E-2</v>
      </c>
      <c r="AL36" s="20">
        <f t="shared" si="12"/>
        <v>1407528</v>
      </c>
      <c r="AM36" s="23">
        <f t="shared" si="13"/>
        <v>8.4488223970407242E-2</v>
      </c>
      <c r="AN36" s="24">
        <v>24773630</v>
      </c>
      <c r="AO36" s="24">
        <v>2477363</v>
      </c>
      <c r="AP36" s="24">
        <v>37204.199999999997</v>
      </c>
      <c r="AQ36" s="25">
        <v>2093080</v>
      </c>
      <c r="AR36" s="25">
        <v>995440</v>
      </c>
      <c r="AS36" s="25">
        <v>412088</v>
      </c>
      <c r="AT36" s="25">
        <v>685552</v>
      </c>
      <c r="AU36" s="26">
        <v>74.958129999999997</v>
      </c>
      <c r="AV36" s="26">
        <v>77.389160000000004</v>
      </c>
      <c r="AW36" s="26">
        <v>34.241880000000002</v>
      </c>
      <c r="AX36" s="26">
        <v>42.982309999999998</v>
      </c>
      <c r="AY36" s="26">
        <v>44.673839999999998</v>
      </c>
      <c r="AZ36" s="27">
        <v>1247.1199999999999</v>
      </c>
      <c r="BA36" s="27">
        <v>10138.9</v>
      </c>
      <c r="BB36" s="27">
        <v>10.474</v>
      </c>
      <c r="BC36" s="27">
        <v>39.036000000000001</v>
      </c>
      <c r="BE36" s="28">
        <f t="shared" si="14"/>
        <v>1</v>
      </c>
      <c r="BF36" s="29">
        <f t="shared" si="15"/>
        <v>0</v>
      </c>
      <c r="BG36" s="29">
        <f t="shared" si="16"/>
        <v>0</v>
      </c>
      <c r="BH36" s="29"/>
      <c r="BJ36" s="28"/>
      <c r="BK36" s="28"/>
      <c r="BL36" s="28"/>
      <c r="BM36" s="28"/>
      <c r="BN36" s="28"/>
      <c r="BP36" s="28"/>
      <c r="BQ36" s="28"/>
      <c r="BR36" s="28"/>
      <c r="BS36" s="28"/>
      <c r="BT36" s="28"/>
      <c r="BV36">
        <f t="shared" si="17"/>
        <v>0</v>
      </c>
      <c r="BW36">
        <f t="shared" si="18"/>
        <v>0</v>
      </c>
      <c r="BX36">
        <f t="shared" si="19"/>
        <v>0</v>
      </c>
      <c r="BY36">
        <f t="shared" si="20"/>
        <v>0</v>
      </c>
      <c r="BZ36">
        <f t="shared" si="21"/>
        <v>0</v>
      </c>
      <c r="CA36">
        <f t="shared" si="22"/>
        <v>0</v>
      </c>
      <c r="CB36">
        <f t="shared" si="23"/>
        <v>0</v>
      </c>
      <c r="CC36">
        <f t="shared" si="24"/>
        <v>0</v>
      </c>
      <c r="CD36">
        <f t="shared" si="25"/>
        <v>0</v>
      </c>
      <c r="CE36">
        <f t="shared" si="26"/>
        <v>9.9475983006414026E-14</v>
      </c>
      <c r="CF36">
        <f t="shared" si="27"/>
        <v>0</v>
      </c>
      <c r="CG36">
        <f t="shared" si="28"/>
        <v>0</v>
      </c>
      <c r="CJ36" t="s">
        <v>594</v>
      </c>
    </row>
    <row r="37" spans="1:88" outlineLevel="1" x14ac:dyDescent="0.3">
      <c r="A37" s="10"/>
      <c r="B37" s="10" t="s">
        <v>80</v>
      </c>
      <c r="C37" s="11" t="s">
        <v>239</v>
      </c>
      <c r="D37" s="10">
        <v>25767032</v>
      </c>
      <c r="E37" s="11">
        <v>11</v>
      </c>
      <c r="F37" s="11">
        <v>10</v>
      </c>
      <c r="G37" s="11">
        <v>30</v>
      </c>
      <c r="I37" s="12">
        <f t="shared" si="0"/>
        <v>9.0617280000000004</v>
      </c>
      <c r="J37" s="13">
        <f t="shared" si="1"/>
        <v>0.11722638447454872</v>
      </c>
      <c r="K37" s="13">
        <f t="shared" si="2"/>
        <v>6.9606775044948915E-2</v>
      </c>
      <c r="L37" s="13">
        <f t="shared" si="3"/>
        <v>5.3613935823109159E-2</v>
      </c>
      <c r="M37" s="13">
        <f t="shared" si="4"/>
        <v>4.7619609429599807E-2</v>
      </c>
      <c r="N37" s="10">
        <f t="shared" si="5"/>
        <v>1793560</v>
      </c>
      <c r="O37" s="13">
        <f t="shared" si="6"/>
        <v>0.11929020382531803</v>
      </c>
      <c r="P37" s="14">
        <v>25321241</v>
      </c>
      <c r="Q37" s="14">
        <v>2532124.1</v>
      </c>
      <c r="R37" s="14">
        <v>40926.1</v>
      </c>
      <c r="S37" s="15">
        <v>3020576</v>
      </c>
      <c r="T37" s="15">
        <v>1381472</v>
      </c>
      <c r="U37" s="15">
        <v>412088</v>
      </c>
      <c r="V37" s="15">
        <v>1227016</v>
      </c>
      <c r="W37" s="16">
        <v>76.252920000000003</v>
      </c>
      <c r="X37" s="16">
        <v>78.959090000000003</v>
      </c>
      <c r="Y37" s="16">
        <v>36.265810000000002</v>
      </c>
      <c r="Z37" s="16">
        <v>43.628059999999998</v>
      </c>
      <c r="AA37" s="16">
        <v>46.227189999999901</v>
      </c>
      <c r="AB37" s="17">
        <v>836.41600000000005</v>
      </c>
      <c r="AC37" s="17">
        <v>7521.35</v>
      </c>
      <c r="AD37" s="17">
        <v>8.7910000000000004</v>
      </c>
      <c r="AE37" s="17">
        <v>34.542999999999999</v>
      </c>
      <c r="AG37" s="12">
        <f t="shared" si="7"/>
        <v>9.0617280000000004</v>
      </c>
      <c r="AH37" s="13">
        <f t="shared" si="8"/>
        <v>0.11722638447454872</v>
      </c>
      <c r="AI37" s="13">
        <f t="shared" si="9"/>
        <v>6.9606775044948915E-2</v>
      </c>
      <c r="AJ37" s="13">
        <f t="shared" si="10"/>
        <v>5.3613935823109159E-2</v>
      </c>
      <c r="AK37" s="13">
        <f t="shared" si="11"/>
        <v>4.7619609429599807E-2</v>
      </c>
      <c r="AL37" s="10">
        <f t="shared" si="12"/>
        <v>1793560</v>
      </c>
      <c r="AM37" s="13">
        <f t="shared" si="13"/>
        <v>0.11929020382531803</v>
      </c>
      <c r="AN37" s="14">
        <v>25321241</v>
      </c>
      <c r="AO37" s="14">
        <v>2532124.1</v>
      </c>
      <c r="AP37" s="14">
        <v>40926.1</v>
      </c>
      <c r="AQ37" s="15">
        <v>3020576</v>
      </c>
      <c r="AR37" s="15">
        <v>1381472</v>
      </c>
      <c r="AS37" s="15">
        <v>412088</v>
      </c>
      <c r="AT37" s="15">
        <v>1227016</v>
      </c>
      <c r="AU37" s="16">
        <v>76.252920000000003</v>
      </c>
      <c r="AV37" s="16">
        <v>78.959090000000003</v>
      </c>
      <c r="AW37" s="16">
        <v>36.265810000000002</v>
      </c>
      <c r="AX37" s="16">
        <v>43.628059999999998</v>
      </c>
      <c r="AY37" s="16">
        <v>46.22719</v>
      </c>
      <c r="AZ37" s="17">
        <v>1221.02</v>
      </c>
      <c r="BA37" s="17">
        <v>10519</v>
      </c>
      <c r="BB37" s="17">
        <v>9.6329999999999991</v>
      </c>
      <c r="BC37" s="17">
        <v>36.622</v>
      </c>
      <c r="BE37" s="18">
        <f t="shared" si="14"/>
        <v>1</v>
      </c>
      <c r="BF37" s="19">
        <f t="shared" si="15"/>
        <v>0</v>
      </c>
      <c r="BG37" s="19">
        <f t="shared" si="16"/>
        <v>0</v>
      </c>
      <c r="BH37" s="19"/>
      <c r="BJ37" s="18"/>
      <c r="BK37" s="18"/>
      <c r="BL37" s="18"/>
      <c r="BM37" s="18"/>
      <c r="BN37" s="18"/>
      <c r="BP37" s="18"/>
      <c r="BQ37" s="18"/>
      <c r="BR37" s="18"/>
      <c r="BS37" s="18"/>
      <c r="BT37" s="18"/>
      <c r="BV37">
        <f t="shared" si="17"/>
        <v>0</v>
      </c>
      <c r="BW37">
        <f t="shared" si="18"/>
        <v>0</v>
      </c>
      <c r="BX37">
        <f t="shared" si="19"/>
        <v>0</v>
      </c>
      <c r="BY37">
        <f t="shared" si="20"/>
        <v>0</v>
      </c>
      <c r="BZ37">
        <f t="shared" si="21"/>
        <v>0</v>
      </c>
      <c r="CA37">
        <f t="shared" si="22"/>
        <v>0</v>
      </c>
      <c r="CB37">
        <f t="shared" si="23"/>
        <v>0</v>
      </c>
      <c r="CC37">
        <f t="shared" si="24"/>
        <v>0</v>
      </c>
      <c r="CD37">
        <f t="shared" si="25"/>
        <v>0</v>
      </c>
      <c r="CE37">
        <f t="shared" si="26"/>
        <v>0</v>
      </c>
      <c r="CF37">
        <f t="shared" si="27"/>
        <v>0</v>
      </c>
      <c r="CG37">
        <f t="shared" si="28"/>
        <v>9.9475983006414026E-14</v>
      </c>
      <c r="CJ37" t="s">
        <v>594</v>
      </c>
    </row>
    <row r="38" spans="1:88" outlineLevel="1" x14ac:dyDescent="0.3">
      <c r="A38" s="20"/>
      <c r="B38" s="20" t="s">
        <v>80</v>
      </c>
      <c r="C38" s="21" t="s">
        <v>240</v>
      </c>
      <c r="D38" s="20">
        <v>25767032</v>
      </c>
      <c r="E38" s="21">
        <v>11</v>
      </c>
      <c r="F38" s="21">
        <v>10</v>
      </c>
      <c r="G38" s="21">
        <v>30</v>
      </c>
      <c r="I38" s="22">
        <f t="shared" si="0"/>
        <v>14.723712000000001</v>
      </c>
      <c r="J38" s="23">
        <f t="shared" si="1"/>
        <v>0.19047222823334872</v>
      </c>
      <c r="K38" s="23">
        <f t="shared" si="2"/>
        <v>9.4801139688886177E-2</v>
      </c>
      <c r="L38" s="23">
        <f t="shared" si="3"/>
        <v>7.8808300467046413E-2</v>
      </c>
      <c r="M38" s="23">
        <f t="shared" si="4"/>
        <v>9.5671088544462546E-2</v>
      </c>
      <c r="N38" s="20">
        <f t="shared" si="5"/>
        <v>2442744</v>
      </c>
      <c r="O38" s="23">
        <f t="shared" si="6"/>
        <v>0.18911771201009203</v>
      </c>
      <c r="P38" s="24">
        <v>25951583</v>
      </c>
      <c r="Q38" s="24">
        <v>2595158.2999999998</v>
      </c>
      <c r="R38" s="24">
        <v>45753.7</v>
      </c>
      <c r="S38" s="25">
        <v>4907904</v>
      </c>
      <c r="T38" s="25">
        <v>2030656</v>
      </c>
      <c r="U38" s="25">
        <v>412088</v>
      </c>
      <c r="V38" s="25">
        <v>2465160</v>
      </c>
      <c r="W38" s="26">
        <v>77.425529999999995</v>
      </c>
      <c r="X38" s="26">
        <v>80.159799999999905</v>
      </c>
      <c r="Y38" s="26">
        <v>38.169529999999902</v>
      </c>
      <c r="Z38" s="26">
        <v>44.267980000000001</v>
      </c>
      <c r="AA38" s="26">
        <v>47.382899999999999</v>
      </c>
      <c r="AB38" s="27">
        <v>838.54399999999998</v>
      </c>
      <c r="AC38" s="27">
        <v>7897.98</v>
      </c>
      <c r="AD38" s="27">
        <v>8.7710000000000008</v>
      </c>
      <c r="AE38" s="27">
        <v>35.06</v>
      </c>
      <c r="AG38" s="22">
        <f t="shared" si="7"/>
        <v>14.723712000000001</v>
      </c>
      <c r="AH38" s="23">
        <f t="shared" si="8"/>
        <v>0.19047222823334872</v>
      </c>
      <c r="AI38" s="23">
        <f t="shared" si="9"/>
        <v>9.4801139688886177E-2</v>
      </c>
      <c r="AJ38" s="23">
        <f t="shared" si="10"/>
        <v>7.8808300467046413E-2</v>
      </c>
      <c r="AK38" s="23">
        <f t="shared" si="11"/>
        <v>9.5671088544462546E-2</v>
      </c>
      <c r="AL38" s="20">
        <f t="shared" si="12"/>
        <v>2442744</v>
      </c>
      <c r="AM38" s="23">
        <f t="shared" si="13"/>
        <v>0.18911771201009203</v>
      </c>
      <c r="AN38" s="24">
        <v>25951583</v>
      </c>
      <c r="AO38" s="24">
        <v>2595158.2999999998</v>
      </c>
      <c r="AP38" s="24">
        <v>45753.7</v>
      </c>
      <c r="AQ38" s="25">
        <v>4907904</v>
      </c>
      <c r="AR38" s="25">
        <v>2030656</v>
      </c>
      <c r="AS38" s="25">
        <v>412088</v>
      </c>
      <c r="AT38" s="25">
        <v>2465160</v>
      </c>
      <c r="AU38" s="26">
        <v>77.425529999999995</v>
      </c>
      <c r="AV38" s="26">
        <v>80.159800000000004</v>
      </c>
      <c r="AW38" s="26">
        <v>38.169530000000002</v>
      </c>
      <c r="AX38" s="26">
        <v>44.267980000000001</v>
      </c>
      <c r="AY38" s="26">
        <v>47.382899999999999</v>
      </c>
      <c r="AZ38" s="27">
        <v>1274.08</v>
      </c>
      <c r="BA38" s="27">
        <v>11034.5</v>
      </c>
      <c r="BB38" s="27">
        <v>9.8000000000000007</v>
      </c>
      <c r="BC38" s="27">
        <v>35.689</v>
      </c>
      <c r="BE38" s="28">
        <f t="shared" si="14"/>
        <v>1</v>
      </c>
      <c r="BF38" s="29">
        <f t="shared" si="15"/>
        <v>0</v>
      </c>
      <c r="BG38" s="29">
        <f t="shared" si="16"/>
        <v>0</v>
      </c>
      <c r="BH38" s="29"/>
      <c r="BJ38" s="28"/>
      <c r="BK38" s="28"/>
      <c r="BL38" s="28"/>
      <c r="BM38" s="28"/>
      <c r="BN38" s="28"/>
      <c r="BP38" s="28"/>
      <c r="BQ38" s="28"/>
      <c r="BR38" s="28"/>
      <c r="BS38" s="28"/>
      <c r="BT38" s="28"/>
      <c r="BV38">
        <f t="shared" si="17"/>
        <v>0</v>
      </c>
      <c r="BW38">
        <f t="shared" si="18"/>
        <v>0</v>
      </c>
      <c r="BX38">
        <f t="shared" si="19"/>
        <v>0</v>
      </c>
      <c r="BY38">
        <f t="shared" si="20"/>
        <v>0</v>
      </c>
      <c r="BZ38">
        <f t="shared" si="21"/>
        <v>0</v>
      </c>
      <c r="CA38">
        <f t="shared" si="22"/>
        <v>0</v>
      </c>
      <c r="CB38">
        <f t="shared" si="23"/>
        <v>0</v>
      </c>
      <c r="CC38">
        <f t="shared" si="24"/>
        <v>0</v>
      </c>
      <c r="CD38">
        <f t="shared" si="25"/>
        <v>0</v>
      </c>
      <c r="CE38">
        <f t="shared" si="26"/>
        <v>9.9475983006414026E-14</v>
      </c>
      <c r="CF38">
        <f t="shared" si="27"/>
        <v>0</v>
      </c>
      <c r="CG38">
        <f t="shared" si="28"/>
        <v>0</v>
      </c>
      <c r="CJ38" t="s">
        <v>594</v>
      </c>
    </row>
    <row r="39" spans="1:88" ht="15.75" customHeight="1" outlineLevel="1" thickBot="1" x14ac:dyDescent="0.35">
      <c r="A39" s="30"/>
      <c r="B39" s="30" t="s">
        <v>80</v>
      </c>
      <c r="C39" s="31" t="s">
        <v>241</v>
      </c>
      <c r="D39" s="30">
        <v>25767032</v>
      </c>
      <c r="E39" s="31">
        <v>11</v>
      </c>
      <c r="F39" s="31">
        <v>10</v>
      </c>
      <c r="G39" s="31">
        <v>30</v>
      </c>
      <c r="I39" s="32">
        <f t="shared" si="0"/>
        <v>29.212128</v>
      </c>
      <c r="J39" s="33">
        <f t="shared" si="1"/>
        <v>0.37790056689493767</v>
      </c>
      <c r="K39" s="33">
        <f t="shared" si="2"/>
        <v>0.15336341414874635</v>
      </c>
      <c r="L39" s="33">
        <f t="shared" si="3"/>
        <v>0.12114984760371315</v>
      </c>
      <c r="M39" s="33">
        <f t="shared" si="4"/>
        <v>0.22453715274619135</v>
      </c>
      <c r="N39" s="30">
        <f t="shared" si="5"/>
        <v>3951720</v>
      </c>
      <c r="O39" s="33">
        <f t="shared" si="6"/>
        <v>0.38313326538164394</v>
      </c>
      <c r="P39" s="34">
        <v>25415115</v>
      </c>
      <c r="Q39" s="34">
        <v>2541511.5</v>
      </c>
      <c r="R39" s="34">
        <v>18289.099999999999</v>
      </c>
      <c r="S39" s="35">
        <v>9737376</v>
      </c>
      <c r="T39" s="35">
        <v>3121672</v>
      </c>
      <c r="U39" s="35">
        <v>830048</v>
      </c>
      <c r="V39" s="35">
        <v>5785656</v>
      </c>
      <c r="W39" s="36">
        <v>78.300060000000002</v>
      </c>
      <c r="X39" s="36">
        <v>81.864459999999994</v>
      </c>
      <c r="Y39" s="36">
        <v>40.208910000000003</v>
      </c>
      <c r="Z39" s="36">
        <v>45.201419999999999</v>
      </c>
      <c r="AA39" s="36">
        <v>48.694670000000002</v>
      </c>
      <c r="AB39" s="37">
        <v>840.61599999999999</v>
      </c>
      <c r="AC39" s="37">
        <v>8589.1200000000008</v>
      </c>
      <c r="AD39" s="37">
        <v>8.7349999999999994</v>
      </c>
      <c r="AE39" s="37">
        <v>37.33</v>
      </c>
      <c r="AG39" s="32">
        <f t="shared" si="7"/>
        <v>29.212128</v>
      </c>
      <c r="AH39" s="33">
        <f t="shared" si="8"/>
        <v>0.37790056689493767</v>
      </c>
      <c r="AI39" s="33">
        <f t="shared" si="9"/>
        <v>0.15336341414874635</v>
      </c>
      <c r="AJ39" s="33">
        <f t="shared" si="10"/>
        <v>0.12114984760371315</v>
      </c>
      <c r="AK39" s="33">
        <f t="shared" si="11"/>
        <v>0.22453715274619135</v>
      </c>
      <c r="AL39" s="30">
        <f t="shared" si="12"/>
        <v>3951720</v>
      </c>
      <c r="AM39" s="33">
        <f t="shared" si="13"/>
        <v>0.38313326538164394</v>
      </c>
      <c r="AN39" s="34">
        <v>25415115</v>
      </c>
      <c r="AO39" s="34">
        <v>2541511.5</v>
      </c>
      <c r="AP39" s="34">
        <v>18289.099999999999</v>
      </c>
      <c r="AQ39" s="35">
        <v>9737376</v>
      </c>
      <c r="AR39" s="35">
        <v>3121672</v>
      </c>
      <c r="AS39" s="35">
        <v>830048</v>
      </c>
      <c r="AT39" s="35">
        <v>5785656</v>
      </c>
      <c r="AU39" s="36">
        <v>78.300060000000002</v>
      </c>
      <c r="AV39" s="36">
        <v>81.864459999999994</v>
      </c>
      <c r="AW39" s="36">
        <v>40.208910000000003</v>
      </c>
      <c r="AX39" s="36">
        <v>45.201419999999999</v>
      </c>
      <c r="AY39" s="36">
        <v>48.694670000000002</v>
      </c>
      <c r="AZ39" s="37">
        <v>1258.47</v>
      </c>
      <c r="BA39" s="37">
        <v>11213.4</v>
      </c>
      <c r="BB39" s="37">
        <v>10.416</v>
      </c>
      <c r="BC39" s="37">
        <v>43.802</v>
      </c>
      <c r="BE39" s="38">
        <f t="shared" si="14"/>
        <v>1</v>
      </c>
      <c r="BF39" s="39">
        <f t="shared" si="15"/>
        <v>0</v>
      </c>
      <c r="BG39" s="39">
        <f t="shared" si="16"/>
        <v>0</v>
      </c>
      <c r="BH39" s="39"/>
      <c r="BJ39" s="38"/>
      <c r="BK39" s="38"/>
      <c r="BL39" s="38"/>
      <c r="BM39" s="38"/>
      <c r="BN39" s="38"/>
      <c r="BP39" s="38"/>
      <c r="BQ39" s="38"/>
      <c r="BR39" s="38"/>
      <c r="BS39" s="38"/>
      <c r="BT39" s="38"/>
      <c r="BV39">
        <f t="shared" si="17"/>
        <v>0</v>
      </c>
      <c r="BW39">
        <f t="shared" si="18"/>
        <v>0</v>
      </c>
      <c r="BX39">
        <f t="shared" si="19"/>
        <v>0</v>
      </c>
      <c r="BY39">
        <f t="shared" si="20"/>
        <v>0</v>
      </c>
      <c r="BZ39">
        <f t="shared" si="21"/>
        <v>0</v>
      </c>
      <c r="CA39">
        <f t="shared" si="22"/>
        <v>0</v>
      </c>
      <c r="CB39">
        <f t="shared" si="23"/>
        <v>0</v>
      </c>
      <c r="CC39">
        <f t="shared" si="24"/>
        <v>0</v>
      </c>
      <c r="CD39">
        <f t="shared" si="25"/>
        <v>0</v>
      </c>
      <c r="CE39">
        <f t="shared" si="26"/>
        <v>0</v>
      </c>
      <c r="CF39">
        <f t="shared" si="27"/>
        <v>0</v>
      </c>
      <c r="CG39">
        <f t="shared" si="28"/>
        <v>0</v>
      </c>
      <c r="CJ39" t="s">
        <v>594</v>
      </c>
    </row>
    <row r="40" spans="1:88" x14ac:dyDescent="0.3">
      <c r="B40" s="50" t="s">
        <v>14</v>
      </c>
      <c r="J40" s="51">
        <f>AVERAGE(J5:J24)</f>
        <v>0.163398232698235</v>
      </c>
      <c r="K40" s="51">
        <f>AVERAGE(K5:K24)</f>
        <v>8.7931579137228294E-2</v>
      </c>
      <c r="L40" s="51">
        <f>AVERAGE(L5:L24)</f>
        <v>6.4157107284175924E-2</v>
      </c>
      <c r="M40" s="51">
        <f>AVERAGE(M5:M24)</f>
        <v>7.546665356100675E-2</v>
      </c>
      <c r="AH40" s="51">
        <f>AVERAGE(AH5:AH24)</f>
        <v>0.163398232698235</v>
      </c>
      <c r="AI40" s="51">
        <f>AVERAGE(AI5:AI24)</f>
        <v>8.7931579137228294E-2</v>
      </c>
      <c r="AJ40" s="51">
        <f>AVERAGE(AJ5:AJ24)</f>
        <v>6.4157107284175924E-2</v>
      </c>
      <c r="AK40" s="51">
        <f>AVERAGE(AK5:AK24)</f>
        <v>7.546665356100675E-2</v>
      </c>
      <c r="BE40" s="4">
        <f t="shared" si="14"/>
        <v>1</v>
      </c>
      <c r="BH40" s="55">
        <f>AVERAGE(BH5:BH24)</f>
        <v>0</v>
      </c>
      <c r="BJ40" s="4">
        <f>AVERAGE(BJ5:BJ24)</f>
        <v>-4.829470157119431E-15</v>
      </c>
      <c r="BK40" s="4">
        <f>AVERAGE(BK5:BK24)</f>
        <v>-5.2180482157382357E-15</v>
      </c>
      <c r="BL40" s="4">
        <f>AVERAGE(BL5:BL24)</f>
        <v>-9.8254737679326354E-15</v>
      </c>
      <c r="BM40" s="4">
        <f>AVERAGE(BM5:BM24)</f>
        <v>-2.0927704014184201E-14</v>
      </c>
      <c r="BN40" s="4">
        <f>AVERAGE(BN5:BN24)</f>
        <v>-3.0975222387041867E-14</v>
      </c>
      <c r="BP40" s="4">
        <f>AVERAGE(BP5:BP24)</f>
        <v>-4.0523140398818214E-15</v>
      </c>
      <c r="BQ40" s="4">
        <f>AVERAGE(BQ5:BQ24)</f>
        <v>-8.1046280797636427E-15</v>
      </c>
      <c r="BR40" s="4">
        <f>AVERAGE(BR5:BR24)</f>
        <v>-3.3861802251067274E-15</v>
      </c>
      <c r="BS40" s="4">
        <f>AVERAGE(BS5:BS24)</f>
        <v>-9.5479180117763462E-15</v>
      </c>
      <c r="BT40" s="4">
        <f>AVERAGE(BT5:BT24)</f>
        <v>-2.0594637106796654E-14</v>
      </c>
    </row>
    <row r="41" spans="1:88" x14ac:dyDescent="0.3">
      <c r="B41" s="50" t="s">
        <v>15</v>
      </c>
      <c r="J41" s="51">
        <f>AVERAGE(J25:J29)</f>
        <v>0.37882214920050278</v>
      </c>
      <c r="K41" s="51">
        <f>AVERAGE(K25:K29)</f>
        <v>0.11289659995998802</v>
      </c>
      <c r="L41" s="51">
        <f>AVERAGE(L25:L29)</f>
        <v>8.6692723979480732E-2</v>
      </c>
      <c r="M41" s="51">
        <f>AVERAGE(M25:M29)</f>
        <v>0.26592554924051476</v>
      </c>
      <c r="AH41" s="51">
        <f>AVERAGE(AH25:AH29)</f>
        <v>0.37882214920050278</v>
      </c>
      <c r="AI41" s="51">
        <f>AVERAGE(AI25:AI29)</f>
        <v>0.11289659995998802</v>
      </c>
      <c r="AJ41" s="51">
        <f>AVERAGE(AJ25:AJ29)</f>
        <v>8.6692723979480732E-2</v>
      </c>
      <c r="AK41" s="51">
        <f>AVERAGE(AK25:AK29)</f>
        <v>0.26592554924051476</v>
      </c>
      <c r="BE41" s="4">
        <f t="shared" si="14"/>
        <v>1</v>
      </c>
      <c r="BH41" s="55">
        <f>AVERAGE(BH25:BH29)</f>
        <v>0</v>
      </c>
      <c r="BJ41" s="4">
        <f>AVERAGE(BJ25:BJ29)</f>
        <v>0</v>
      </c>
      <c r="BK41" s="4">
        <f>AVERAGE(BK25:BK29)</f>
        <v>-1.1990408665951691E-14</v>
      </c>
      <c r="BL41" s="4">
        <f>AVERAGE(BL25:BL29)</f>
        <v>-9.9920072216264089E-15</v>
      </c>
      <c r="BM41" s="4">
        <f>AVERAGE(BM25:BM29)</f>
        <v>-1.9317880628477724E-14</v>
      </c>
      <c r="BN41" s="4">
        <f>AVERAGE(BN25:BN29)</f>
        <v>-1.6209256159527285E-14</v>
      </c>
      <c r="BP41" s="4">
        <f>AVERAGE(BP25:BP29)</f>
        <v>0</v>
      </c>
      <c r="BQ41" s="4">
        <f>AVERAGE(BQ25:BQ29)</f>
        <v>-1.6653345369377348E-14</v>
      </c>
      <c r="BR41" s="4">
        <f>AVERAGE(BR25:BR29)</f>
        <v>-9.9920072216264089E-15</v>
      </c>
      <c r="BS41" s="4">
        <f>AVERAGE(BS25:BS29)</f>
        <v>-1.9317880628477724E-14</v>
      </c>
      <c r="BT41" s="4">
        <f>AVERAGE(BT25:BT29)</f>
        <v>-7.9936057773011271E-15</v>
      </c>
    </row>
    <row r="42" spans="1:88" x14ac:dyDescent="0.3">
      <c r="B42" s="50" t="s">
        <v>16</v>
      </c>
      <c r="J42" s="51">
        <f>AVERAGE(J30:J39)</f>
        <v>0.13881826321361554</v>
      </c>
      <c r="K42" s="51">
        <f>AVERAGE(K30:K39)</f>
        <v>7.1465128043057574E-2</v>
      </c>
      <c r="L42" s="51">
        <f>AVERAGE(L30:L39)</f>
        <v>5.4734496915302536E-2</v>
      </c>
      <c r="M42" s="51">
        <f>AVERAGE(M30:M39)</f>
        <v>6.7353135170557979E-2</v>
      </c>
      <c r="AH42" s="51">
        <f>AVERAGE(AH30:AH39)</f>
        <v>0.13881826321361554</v>
      </c>
      <c r="AI42" s="51">
        <f>AVERAGE(AI30:AI39)</f>
        <v>7.1465128043057574E-2</v>
      </c>
      <c r="AJ42" s="51">
        <f>AVERAGE(AJ30:AJ39)</f>
        <v>5.4734496915302536E-2</v>
      </c>
      <c r="AK42" s="51">
        <f>AVERAGE(AK30:AK39)</f>
        <v>6.7353135170557979E-2</v>
      </c>
      <c r="BE42" s="4">
        <f t="shared" si="14"/>
        <v>1</v>
      </c>
      <c r="BH42" s="55">
        <f>AVERAGE(BH30:BH39)</f>
        <v>0</v>
      </c>
      <c r="BJ42" s="4">
        <f>AVERAGE(BJ30:BJ39)</f>
        <v>-2.4424906541753444E-15</v>
      </c>
      <c r="BK42" s="4">
        <f>AVERAGE(BK30:BK39)</f>
        <v>-6.4392935428259079E-15</v>
      </c>
      <c r="BL42" s="4">
        <f>AVERAGE(BL30:BL39)</f>
        <v>-2.2426505097428162E-14</v>
      </c>
      <c r="BM42" s="4">
        <f>AVERAGE(BM30:BM39)</f>
        <v>-1.609823385706477E-14</v>
      </c>
      <c r="BN42" s="4">
        <f>AVERAGE(BN30:BN39)</f>
        <v>-1.5654144647214707E-14</v>
      </c>
      <c r="BP42" s="4">
        <f>AVERAGE(BP30:BP39)</f>
        <v>-4.8849813083506888E-15</v>
      </c>
      <c r="BQ42" s="4">
        <f>AVERAGE(BQ30:BQ39)</f>
        <v>-1.1657341758564144E-14</v>
      </c>
      <c r="BR42" s="4">
        <f>AVERAGE(BR30:BR39)</f>
        <v>-1.4765966227514582E-14</v>
      </c>
      <c r="BS42" s="4">
        <f>AVERAGE(BS30:BS39)</f>
        <v>-9.5479180117763462E-15</v>
      </c>
      <c r="BT42" s="4">
        <f>AVERAGE(BT30:BT39)</f>
        <v>-1.4099832412739488E-14</v>
      </c>
    </row>
    <row r="43" spans="1:88" collapsed="1" x14ac:dyDescent="0.3">
      <c r="B43" s="50" t="s">
        <v>17</v>
      </c>
      <c r="J43" s="51">
        <f>AVERAGE(J5:J39)</f>
        <v>0.18715022948866766</v>
      </c>
      <c r="K43" s="51">
        <f>AVERAGE(K5:K39)</f>
        <v>8.6793310370716609E-2</v>
      </c>
      <c r="L43" s="51">
        <f>AVERAGE(L5:L39)</f>
        <v>6.4684306706684194E-2</v>
      </c>
      <c r="M43" s="51">
        <f>AVERAGE(M5:M39)</f>
        <v>0.10035691911795111</v>
      </c>
      <c r="AH43" s="51">
        <f>AVERAGE(AH5:AH39)</f>
        <v>0.18715022948866766</v>
      </c>
      <c r="AI43" s="51">
        <f>AVERAGE(AI5:AI39)</f>
        <v>8.6793310370716609E-2</v>
      </c>
      <c r="AJ43" s="51">
        <f>AVERAGE(AJ5:AJ39)</f>
        <v>6.4684306706684194E-2</v>
      </c>
      <c r="AK43" s="51">
        <f>AVERAGE(AK5:AK39)</f>
        <v>0.10035691911795111</v>
      </c>
      <c r="BE43" s="4">
        <f t="shared" si="14"/>
        <v>1</v>
      </c>
      <c r="BH43" s="55">
        <f>AVERAGE(BH5:BH39)</f>
        <v>0</v>
      </c>
      <c r="BJ43" s="4">
        <f>AVERAGE(BJ5:BJ39)</f>
        <v>-3.4575517052612017E-15</v>
      </c>
      <c r="BK43" s="4">
        <f>AVERAGE(BK5:BK39)</f>
        <v>-6.5344555163652067E-15</v>
      </c>
      <c r="BL43" s="4">
        <f>AVERAGE(BL5:BL39)</f>
        <v>-1.344955892688761E-14</v>
      </c>
      <c r="BM43" s="4">
        <f>AVERAGE(BM5:BM39)</f>
        <v>-1.9317880628477724E-14</v>
      </c>
      <c r="BN43" s="4">
        <f>AVERAGE(BN5:BN39)</f>
        <v>-2.4488347857446311E-14</v>
      </c>
      <c r="BP43" s="4">
        <f>AVERAGE(BP5:BP39)</f>
        <v>-3.7113169680326664E-15</v>
      </c>
      <c r="BQ43" s="4">
        <f>AVERAGE(BQ5:BQ39)</f>
        <v>-1.0340934457937172E-14</v>
      </c>
      <c r="BR43" s="4">
        <f>AVERAGE(BR5:BR39)</f>
        <v>-7.5812372252974982E-15</v>
      </c>
      <c r="BS43" s="4">
        <f>AVERAGE(BS5:BS39)</f>
        <v>-1.09436269570194E-14</v>
      </c>
      <c r="BT43" s="4">
        <f>AVERAGE(BT5:BT39)</f>
        <v>-1.6938831289995247E-14</v>
      </c>
    </row>
    <row r="44" spans="1:88" hidden="1" outlineLevel="2" x14ac:dyDescent="0.3">
      <c r="A44" s="50" t="s">
        <v>249</v>
      </c>
      <c r="B44" s="50" t="s">
        <v>250</v>
      </c>
      <c r="AB44" s="52">
        <f>SUM(AB5:AB24,AB25:AB29,AB30:AB39)</f>
        <v>84130.542999999976</v>
      </c>
      <c r="AC44" s="52">
        <f>SUM(AC5:AC24,AC25:AC29,AC30:AC39)</f>
        <v>194001.7</v>
      </c>
      <c r="AD44" s="52">
        <f>SUM(AD5:AD24,AD25:AD29,AD30:AD39)</f>
        <v>292.72699999999998</v>
      </c>
      <c r="AE44" s="52">
        <f>SUM(AE5:AE24,AE25:AE29,AE30:AE39)</f>
        <v>928.62200000000018</v>
      </c>
      <c r="AZ44" s="52">
        <f>SUM(AZ5:AZ24,AZ25:AZ29,AZ30:AZ39)</f>
        <v>117282.32999999999</v>
      </c>
      <c r="BA44" s="52">
        <f>SUM(BA5:BA24,BA25:BA29,BA30:BA39)</f>
        <v>248397.90999999997</v>
      </c>
      <c r="BB44" s="52">
        <f>SUM(BB5:BB24,BB25:BB29,BB30:BB39)</f>
        <v>328.11199999999997</v>
      </c>
      <c r="BC44" s="52">
        <f>SUM(BC5:BC24,BC25:BC29,BC30:BC39)</f>
        <v>1052.164</v>
      </c>
    </row>
    <row r="45" spans="1:88" hidden="1" outlineLevel="2" x14ac:dyDescent="0.3">
      <c r="B45" s="50" t="s">
        <v>251</v>
      </c>
      <c r="AZ45" s="55">
        <f>AZ44/AB44</f>
        <v>1.3940517417081217</v>
      </c>
      <c r="BA45" s="55">
        <f>BA44/AC44</f>
        <v>1.2803903780224604</v>
      </c>
      <c r="BB45" s="55">
        <f>BB44/AD44</f>
        <v>1.1208805474042367</v>
      </c>
      <c r="BC45" s="55">
        <f>BC44/AE44</f>
        <v>1.1330379853158763</v>
      </c>
    </row>
    <row r="46" spans="1:88" hidden="1" outlineLevel="2" x14ac:dyDescent="0.3">
      <c r="B46" s="50" t="s">
        <v>252</v>
      </c>
      <c r="AB46" s="52">
        <f>GEOMEAN(AB5:AB24,AB25:AB29,AB30:AB39)</f>
        <v>2003.8633959171623</v>
      </c>
      <c r="AC46" s="52">
        <f>GEOMEAN(AC5:AC24,AC25:AC29,AC30:AC39)</f>
        <v>5411.5054336575149</v>
      </c>
      <c r="AD46" s="52">
        <f>GEOMEAN(AD5:AD24,AD25:AD29,AD30:AD39)</f>
        <v>8.3145660515747188</v>
      </c>
      <c r="AE46" s="52">
        <f>GEOMEAN(AE5:AE24,AE25:AE29,AE30:AE39)</f>
        <v>26.213277415118295</v>
      </c>
      <c r="AZ46" s="52">
        <f>GEOMEAN(AZ5:AZ24,AZ25:AZ29,AZ30:AZ39)</f>
        <v>2848.6781663019019</v>
      </c>
      <c r="BA46" s="52">
        <f>GEOMEAN(BA5:BA24,BA25:BA29,BA30:BA39)</f>
        <v>6751.5755264090767</v>
      </c>
      <c r="BB46" s="52">
        <f>GEOMEAN(BB5:BB24,BB25:BB29,BB30:BB39)</f>
        <v>9.1957288082720492</v>
      </c>
      <c r="BC46" s="52">
        <f>GEOMEAN(BC5:BC24,BC25:BC29,BC30:BC39)</f>
        <v>29.430445805091001</v>
      </c>
    </row>
    <row r="47" spans="1:88" hidden="1" outlineLevel="2" collapsed="1" x14ac:dyDescent="0.3">
      <c r="B47" s="50" t="s">
        <v>253</v>
      </c>
      <c r="AZ47" s="55">
        <f>AZ46/AB46</f>
        <v>1.4215929948648374</v>
      </c>
      <c r="BA47" s="55">
        <f>BA46/AC46</f>
        <v>1.2476335114470796</v>
      </c>
      <c r="BB47" s="55">
        <f>BB46/AD46</f>
        <v>1.105978201535899</v>
      </c>
      <c r="BC47" s="55">
        <f>BC46/AE46</f>
        <v>1.1227304903169883</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P19"/>
  <sheetViews>
    <sheetView zoomScale="85" zoomScaleNormal="85" workbookViewId="0">
      <pane xSplit="2" ySplit="4" topLeftCell="M5" activePane="bottomRight" state="frozen"/>
      <selection activeCell="BJ29" sqref="BJ29"/>
      <selection pane="topRight" activeCell="BJ29" sqref="BJ29"/>
      <selection pane="bottomLeft" activeCell="BJ29" sqref="BJ29"/>
      <selection pane="bottomRight" activeCell="H1" sqref="H1:AC1"/>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2" max="62" width="8.6640625" style="53" customWidth="1"/>
    <col min="63" max="63" width="9.5546875" style="53" customWidth="1"/>
    <col min="64" max="64" width="10.109375" style="53" customWidth="1"/>
  </cols>
  <sheetData>
    <row r="1" spans="1:68" x14ac:dyDescent="0.3">
      <c r="A1" s="75" t="s">
        <v>576</v>
      </c>
      <c r="B1" s="61"/>
      <c r="C1" s="61"/>
      <c r="D1" s="61"/>
      <c r="E1" s="61"/>
      <c r="F1" s="61"/>
      <c r="H1" s="60"/>
      <c r="I1" s="61"/>
      <c r="J1" s="61"/>
      <c r="K1" s="61"/>
      <c r="L1" s="61"/>
      <c r="M1" s="61"/>
      <c r="N1" s="61"/>
      <c r="O1" s="61"/>
      <c r="P1" s="61"/>
      <c r="Q1" s="61"/>
      <c r="R1" s="61"/>
      <c r="S1" s="61"/>
      <c r="T1" s="61"/>
      <c r="U1" s="61"/>
      <c r="V1" s="61"/>
      <c r="W1" s="61"/>
      <c r="X1" s="61"/>
      <c r="Y1" s="61"/>
      <c r="Z1" s="61"/>
      <c r="AA1" s="61"/>
      <c r="AB1" s="61"/>
      <c r="AC1" s="61"/>
      <c r="AE1" s="62"/>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5">
      <c r="A2" s="71" t="s">
        <v>137</v>
      </c>
      <c r="B2" s="72" t="s">
        <v>138</v>
      </c>
      <c r="C2" s="71" t="s">
        <v>140</v>
      </c>
      <c r="D2" s="72" t="s">
        <v>141</v>
      </c>
      <c r="E2" s="71" t="s">
        <v>142</v>
      </c>
      <c r="F2" s="72" t="s">
        <v>143</v>
      </c>
      <c r="H2" s="71" t="s">
        <v>577</v>
      </c>
      <c r="I2" s="72" t="s">
        <v>144</v>
      </c>
      <c r="J2" s="73" t="s">
        <v>145</v>
      </c>
      <c r="K2" s="61"/>
      <c r="L2" s="61"/>
      <c r="M2" s="61"/>
      <c r="N2" s="71" t="s">
        <v>146</v>
      </c>
      <c r="O2" s="72" t="s">
        <v>147</v>
      </c>
      <c r="P2" s="71" t="s">
        <v>84</v>
      </c>
      <c r="Q2" s="74" t="s">
        <v>148</v>
      </c>
      <c r="R2" s="61"/>
      <c r="S2" s="61"/>
      <c r="T2" s="61"/>
      <c r="U2" s="73" t="s">
        <v>149</v>
      </c>
      <c r="V2" s="61"/>
      <c r="W2" s="74" t="s">
        <v>150</v>
      </c>
      <c r="X2" s="61"/>
      <c r="Y2" s="61"/>
      <c r="Z2" s="73" t="s">
        <v>151</v>
      </c>
      <c r="AA2" s="61"/>
      <c r="AB2" s="74" t="s">
        <v>152</v>
      </c>
      <c r="AC2" s="61"/>
      <c r="AE2" s="71" t="s">
        <v>577</v>
      </c>
      <c r="AF2" s="72" t="s">
        <v>144</v>
      </c>
      <c r="AG2" s="73" t="s">
        <v>145</v>
      </c>
      <c r="AH2" s="61"/>
      <c r="AI2" s="61"/>
      <c r="AJ2" s="61"/>
      <c r="AK2" s="71" t="s">
        <v>153</v>
      </c>
      <c r="AL2" s="72" t="s">
        <v>147</v>
      </c>
      <c r="AM2" s="71" t="s">
        <v>84</v>
      </c>
      <c r="AN2" s="74" t="s">
        <v>148</v>
      </c>
      <c r="AO2" s="61"/>
      <c r="AP2" s="61"/>
      <c r="AQ2" s="61"/>
      <c r="AR2" s="73" t="s">
        <v>149</v>
      </c>
      <c r="AS2" s="61"/>
      <c r="AT2" s="74" t="s">
        <v>150</v>
      </c>
      <c r="AU2" s="61"/>
      <c r="AV2" s="61"/>
      <c r="AW2" s="73" t="s">
        <v>151</v>
      </c>
      <c r="AX2" s="61"/>
      <c r="AY2" s="74" t="s">
        <v>152</v>
      </c>
      <c r="AZ2" s="61"/>
      <c r="BB2" s="73" t="s">
        <v>22</v>
      </c>
      <c r="BC2" s="61"/>
      <c r="BD2" s="61"/>
      <c r="BE2" s="61"/>
      <c r="BF2" s="72" t="s">
        <v>156</v>
      </c>
      <c r="BG2" s="71" t="s">
        <v>156</v>
      </c>
      <c r="BI2" s="77" t="s">
        <v>157</v>
      </c>
      <c r="BJ2" s="76" t="s">
        <v>578</v>
      </c>
      <c r="BK2" s="61"/>
      <c r="BL2" s="61"/>
      <c r="BM2" s="61"/>
    </row>
    <row r="3" spans="1:68" ht="30.75" customHeight="1" thickBot="1" x14ac:dyDescent="0.35">
      <c r="A3" s="64"/>
      <c r="B3" s="64"/>
      <c r="C3" s="64"/>
      <c r="D3" s="64"/>
      <c r="E3" s="64"/>
      <c r="F3" s="64"/>
      <c r="H3" s="64"/>
      <c r="I3" s="64"/>
      <c r="J3" s="56" t="s">
        <v>25</v>
      </c>
      <c r="K3" s="56" t="s">
        <v>23</v>
      </c>
      <c r="L3" s="56" t="s">
        <v>163</v>
      </c>
      <c r="M3" s="56" t="s">
        <v>164</v>
      </c>
      <c r="N3" s="64"/>
      <c r="O3" s="64"/>
      <c r="P3" s="64"/>
      <c r="Q3" s="57" t="s">
        <v>25</v>
      </c>
      <c r="R3" s="57" t="s">
        <v>163</v>
      </c>
      <c r="S3" s="57" t="s">
        <v>165</v>
      </c>
      <c r="T3" s="57" t="s">
        <v>24</v>
      </c>
      <c r="U3" s="56" t="s">
        <v>9</v>
      </c>
      <c r="V3" s="56" t="s">
        <v>10</v>
      </c>
      <c r="W3" s="57" t="s">
        <v>11</v>
      </c>
      <c r="X3" s="57" t="s">
        <v>12</v>
      </c>
      <c r="Y3" s="57" t="s">
        <v>13</v>
      </c>
      <c r="Z3" s="56" t="s">
        <v>166</v>
      </c>
      <c r="AA3" s="56" t="s">
        <v>167</v>
      </c>
      <c r="AB3" s="57" t="s">
        <v>166</v>
      </c>
      <c r="AC3" s="57" t="s">
        <v>167</v>
      </c>
      <c r="AE3" s="64"/>
      <c r="AF3" s="64"/>
      <c r="AG3" s="56" t="s">
        <v>25</v>
      </c>
      <c r="AH3" s="56" t="s">
        <v>23</v>
      </c>
      <c r="AI3" s="56" t="s">
        <v>163</v>
      </c>
      <c r="AJ3" s="56" t="s">
        <v>164</v>
      </c>
      <c r="AK3" s="64"/>
      <c r="AL3" s="64"/>
      <c r="AM3" s="64"/>
      <c r="AN3" s="57" t="s">
        <v>25</v>
      </c>
      <c r="AO3" s="57" t="s">
        <v>163</v>
      </c>
      <c r="AP3" s="57" t="s">
        <v>165</v>
      </c>
      <c r="AQ3" s="57" t="s">
        <v>24</v>
      </c>
      <c r="AR3" s="56" t="s">
        <v>9</v>
      </c>
      <c r="AS3" s="56" t="s">
        <v>10</v>
      </c>
      <c r="AT3" s="57" t="s">
        <v>11</v>
      </c>
      <c r="AU3" s="57" t="s">
        <v>12</v>
      </c>
      <c r="AV3" s="57" t="s">
        <v>13</v>
      </c>
      <c r="AW3" s="56" t="s">
        <v>166</v>
      </c>
      <c r="AX3" s="56" t="s">
        <v>167</v>
      </c>
      <c r="AY3" s="57" t="s">
        <v>166</v>
      </c>
      <c r="AZ3" s="57" t="s">
        <v>167</v>
      </c>
      <c r="BB3" s="56" t="s">
        <v>25</v>
      </c>
      <c r="BC3" s="56" t="s">
        <v>23</v>
      </c>
      <c r="BD3" s="56" t="s">
        <v>163</v>
      </c>
      <c r="BE3" s="56" t="s">
        <v>24</v>
      </c>
      <c r="BF3" s="64"/>
      <c r="BG3" s="64"/>
      <c r="BI3" s="64"/>
      <c r="BJ3" s="59" t="s">
        <v>25</v>
      </c>
      <c r="BK3" s="59" t="s">
        <v>163</v>
      </c>
      <c r="BL3" s="59" t="s">
        <v>165</v>
      </c>
      <c r="BM3" s="59" t="s">
        <v>24</v>
      </c>
    </row>
    <row r="4" spans="1:68" ht="122.25" hidden="1" customHeight="1" thickBot="1" x14ac:dyDescent="0.35">
      <c r="A4" s="8" t="s">
        <v>168</v>
      </c>
      <c r="B4" s="9" t="s">
        <v>169</v>
      </c>
      <c r="C4" s="8" t="s">
        <v>171</v>
      </c>
      <c r="D4" s="9" t="s">
        <v>172</v>
      </c>
      <c r="E4" s="8" t="s">
        <v>173</v>
      </c>
      <c r="F4" s="9" t="s">
        <v>174</v>
      </c>
      <c r="H4" s="8" t="s">
        <v>579</v>
      </c>
      <c r="I4" s="9" t="s">
        <v>175</v>
      </c>
      <c r="J4" s="8" t="s">
        <v>176</v>
      </c>
      <c r="K4" s="8" t="s">
        <v>177</v>
      </c>
      <c r="L4" s="8" t="s">
        <v>178</v>
      </c>
      <c r="M4" s="8" t="s">
        <v>179</v>
      </c>
      <c r="N4" s="8" t="s">
        <v>180</v>
      </c>
      <c r="O4" s="9" t="s">
        <v>181</v>
      </c>
      <c r="P4" s="8" t="s">
        <v>182</v>
      </c>
      <c r="Q4" s="9" t="s">
        <v>185</v>
      </c>
      <c r="R4" s="9" t="s">
        <v>186</v>
      </c>
      <c r="S4" s="9" t="s">
        <v>187</v>
      </c>
      <c r="T4" s="9" t="s">
        <v>188</v>
      </c>
      <c r="U4" s="8" t="s">
        <v>189</v>
      </c>
      <c r="V4" s="8" t="s">
        <v>190</v>
      </c>
      <c r="W4" s="9" t="s">
        <v>191</v>
      </c>
      <c r="X4" s="9" t="s">
        <v>192</v>
      </c>
      <c r="Y4" s="9" t="s">
        <v>193</v>
      </c>
      <c r="Z4" s="8" t="s">
        <v>194</v>
      </c>
      <c r="AA4" s="8" t="s">
        <v>195</v>
      </c>
      <c r="AB4" s="9" t="s">
        <v>196</v>
      </c>
      <c r="AC4" s="9" t="s">
        <v>197</v>
      </c>
      <c r="AE4" s="8" t="s">
        <v>580</v>
      </c>
      <c r="AF4" s="9" t="s">
        <v>198</v>
      </c>
      <c r="AG4" s="8" t="s">
        <v>199</v>
      </c>
      <c r="AH4" s="8" t="s">
        <v>200</v>
      </c>
      <c r="AI4" s="8" t="s">
        <v>201</v>
      </c>
      <c r="AJ4" s="8" t="s">
        <v>202</v>
      </c>
      <c r="AK4" s="8" t="s">
        <v>203</v>
      </c>
      <c r="AL4" s="9" t="s">
        <v>204</v>
      </c>
      <c r="AM4" s="8" t="s">
        <v>205</v>
      </c>
      <c r="AN4" s="9" t="s">
        <v>208</v>
      </c>
      <c r="AO4" s="9" t="s">
        <v>209</v>
      </c>
      <c r="AP4" s="9" t="s">
        <v>210</v>
      </c>
      <c r="AQ4" s="9" t="s">
        <v>211</v>
      </c>
      <c r="AR4" s="8" t="s">
        <v>212</v>
      </c>
      <c r="AS4" s="8" t="s">
        <v>213</v>
      </c>
      <c r="AT4" s="9" t="s">
        <v>214</v>
      </c>
      <c r="AU4" s="9" t="s">
        <v>215</v>
      </c>
      <c r="AV4" s="9" t="s">
        <v>216</v>
      </c>
      <c r="AW4" s="8" t="s">
        <v>217</v>
      </c>
      <c r="AX4" s="8" t="s">
        <v>218</v>
      </c>
      <c r="AY4" s="9" t="s">
        <v>219</v>
      </c>
      <c r="AZ4" s="9" t="s">
        <v>220</v>
      </c>
      <c r="BB4" s="8" t="s">
        <v>581</v>
      </c>
      <c r="BC4" s="8" t="s">
        <v>221</v>
      </c>
      <c r="BD4" s="8" t="s">
        <v>582</v>
      </c>
      <c r="BE4" s="8" t="s">
        <v>583</v>
      </c>
      <c r="BF4" s="9" t="s">
        <v>223</v>
      </c>
      <c r="BG4" s="8" t="s">
        <v>224</v>
      </c>
    </row>
    <row r="5" spans="1:68" collapsed="1" x14ac:dyDescent="0.3">
      <c r="A5" s="10" t="s">
        <v>235</v>
      </c>
      <c r="B5" s="10" t="s">
        <v>49</v>
      </c>
      <c r="C5" s="10">
        <v>24964341</v>
      </c>
      <c r="D5" s="11">
        <v>10</v>
      </c>
      <c r="E5" s="11">
        <v>32</v>
      </c>
      <c r="F5" s="11">
        <v>30</v>
      </c>
      <c r="H5" s="19">
        <f t="shared" ref="H5:H11" si="0">IF(ISBLANK(Q5),"·",Q5/(C5*(D5*3+IF(AND(ISNUMBER(T5),T5&gt;0),24,0))))</f>
        <v>0.16452052623854635</v>
      </c>
      <c r="I5" s="12">
        <f t="shared" ref="I5:I11" si="1">IF(OR(ISBLANK(Q5),ISBLANK(F5)),"·",Q5*F5/E5/1000000)</f>
        <v>207.92429250000001</v>
      </c>
      <c r="J5" s="13">
        <f t="shared" ref="J5:J11" si="2">IF(ISBLANK(Q5),"·",Q5/C5)</f>
        <v>8.884108416881503</v>
      </c>
      <c r="K5" s="13">
        <f t="shared" ref="K5:K11" si="3">IF(N5="","·",N5/C5)</f>
        <v>1.3893622106828296</v>
      </c>
      <c r="L5" s="13">
        <f t="shared" ref="L5:L11" si="4">IF(R5="","·",R5/C5)</f>
        <v>1.3041674122301086</v>
      </c>
      <c r="M5" s="13">
        <f t="shared" ref="M5:M11" si="5">IF(ISBLANK(T5),"·",T5/C5)</f>
        <v>7.4947462061986734</v>
      </c>
      <c r="N5" s="10">
        <f t="shared" ref="N5:N11" si="6">IF(OR(ISBLANK(R5),ISBLANK(S5)),"",R5+S5)</f>
        <v>34684512</v>
      </c>
      <c r="O5" s="13">
        <f t="shared" ref="O5:O11" si="7">IF(ISBLANK(Q5),"·",Q5/P5)</f>
        <v>8.884108416881503</v>
      </c>
      <c r="P5" s="14">
        <v>24964341</v>
      </c>
      <c r="Q5" s="15">
        <v>221785912</v>
      </c>
      <c r="R5" s="15">
        <v>32557680</v>
      </c>
      <c r="S5" s="15">
        <v>2126832</v>
      </c>
      <c r="T5" s="15">
        <v>187101400</v>
      </c>
      <c r="U5" s="16" t="s">
        <v>584</v>
      </c>
      <c r="V5" s="16" t="s">
        <v>584</v>
      </c>
      <c r="W5" s="16" t="s">
        <v>584</v>
      </c>
      <c r="X5" s="16" t="s">
        <v>584</v>
      </c>
      <c r="Y5" s="16" t="s">
        <v>584</v>
      </c>
      <c r="Z5" s="17">
        <v>3599.79</v>
      </c>
      <c r="AA5" s="17">
        <v>5296.09</v>
      </c>
      <c r="AB5" s="17">
        <v>3.7240000000000002</v>
      </c>
      <c r="AC5" s="17">
        <v>22.704000000000001</v>
      </c>
      <c r="AE5" s="19">
        <f t="shared" ref="AE5:AE11" si="8">IF(ISBLANK(Q5),"·",Q5/(C5*(D5*3+IF(AND(ISNUMBER(T5),T5&gt;0),24,0))))</f>
        <v>0.16452052623854635</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-221785912</v>
      </c>
      <c r="BK5">
        <f t="shared" si="21"/>
        <v>-32557680</v>
      </c>
      <c r="BL5">
        <f t="shared" si="21"/>
        <v>-2126832</v>
      </c>
      <c r="BM5">
        <f t="shared" si="21"/>
        <v>-187101400</v>
      </c>
      <c r="BP5" t="s">
        <v>237</v>
      </c>
    </row>
    <row r="6" spans="1:68" collapsed="1" x14ac:dyDescent="0.3">
      <c r="A6" s="20"/>
      <c r="B6" s="20" t="s">
        <v>57</v>
      </c>
      <c r="C6" s="20">
        <v>22654789</v>
      </c>
      <c r="D6" s="21">
        <v>10</v>
      </c>
      <c r="E6" s="21">
        <v>32</v>
      </c>
      <c r="F6" s="21">
        <v>30</v>
      </c>
      <c r="H6" s="29">
        <f t="shared" si="0"/>
        <v>0.2363510017274526</v>
      </c>
      <c r="I6" s="22">
        <f t="shared" si="1"/>
        <v>271.07065499999999</v>
      </c>
      <c r="J6" s="23">
        <f t="shared" si="2"/>
        <v>12.76295409328244</v>
      </c>
      <c r="K6" s="23">
        <f t="shared" si="3"/>
        <v>1.7044046625196996</v>
      </c>
      <c r="L6" s="23">
        <f t="shared" si="4"/>
        <v>1.5568300371281321</v>
      </c>
      <c r="M6" s="23">
        <f t="shared" si="5"/>
        <v>11.05854943076274</v>
      </c>
      <c r="N6" s="20">
        <f t="shared" si="6"/>
        <v>38612928</v>
      </c>
      <c r="O6" s="23">
        <f t="shared" si="7"/>
        <v>12.76295409328244</v>
      </c>
      <c r="P6" s="24">
        <v>22654789</v>
      </c>
      <c r="Q6" s="25">
        <v>289142032</v>
      </c>
      <c r="R6" s="25">
        <v>35269656</v>
      </c>
      <c r="S6" s="25">
        <v>3343272</v>
      </c>
      <c r="T6" s="25">
        <v>250529104</v>
      </c>
      <c r="U6" s="26" t="s">
        <v>584</v>
      </c>
      <c r="V6" s="26" t="s">
        <v>584</v>
      </c>
      <c r="W6" s="26" t="s">
        <v>584</v>
      </c>
      <c r="X6" s="26" t="s">
        <v>584</v>
      </c>
      <c r="Y6" s="26" t="s">
        <v>584</v>
      </c>
      <c r="Z6" s="27">
        <v>3289.34</v>
      </c>
      <c r="AA6" s="27">
        <v>5353.72</v>
      </c>
      <c r="AB6" s="27">
        <v>3.78</v>
      </c>
      <c r="AC6" s="27">
        <v>24.5</v>
      </c>
      <c r="AE6" s="29">
        <f t="shared" si="8"/>
        <v>0.2363510017274526</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-289142032</v>
      </c>
      <c r="BK6">
        <f t="shared" si="21"/>
        <v>-35269656</v>
      </c>
      <c r="BL6">
        <f t="shared" si="21"/>
        <v>-3343272</v>
      </c>
      <c r="BM6">
        <f t="shared" si="21"/>
        <v>-250529104</v>
      </c>
      <c r="BP6" t="s">
        <v>237</v>
      </c>
    </row>
    <row r="7" spans="1:68" collapsed="1" x14ac:dyDescent="0.3">
      <c r="A7" s="10"/>
      <c r="B7" s="10" t="s">
        <v>62</v>
      </c>
      <c r="C7" s="10">
        <v>33947718</v>
      </c>
      <c r="D7" s="11">
        <v>10</v>
      </c>
      <c r="E7" s="11">
        <v>32</v>
      </c>
      <c r="F7" s="11">
        <v>30</v>
      </c>
      <c r="H7" s="19">
        <f t="shared" si="0"/>
        <v>0.18456217707301389</v>
      </c>
      <c r="I7" s="12">
        <f t="shared" si="1"/>
        <v>317.18915249999998</v>
      </c>
      <c r="J7" s="13">
        <f t="shared" si="2"/>
        <v>9.9663575619427505</v>
      </c>
      <c r="K7" s="13">
        <f t="shared" si="3"/>
        <v>1.6528946069364663</v>
      </c>
      <c r="L7" s="13">
        <f t="shared" si="4"/>
        <v>1.5294473696287922</v>
      </c>
      <c r="M7" s="13">
        <f t="shared" si="5"/>
        <v>8.3134629550062833</v>
      </c>
      <c r="N7" s="10">
        <f t="shared" si="6"/>
        <v>56112000</v>
      </c>
      <c r="O7" s="13">
        <f t="shared" si="7"/>
        <v>9.9663575619427505</v>
      </c>
      <c r="P7" s="14">
        <v>33947718</v>
      </c>
      <c r="Q7" s="15">
        <v>338335096</v>
      </c>
      <c r="R7" s="15">
        <v>51921248</v>
      </c>
      <c r="S7" s="15">
        <v>4190752</v>
      </c>
      <c r="T7" s="15">
        <v>282223096</v>
      </c>
      <c r="U7" s="16" t="s">
        <v>584</v>
      </c>
      <c r="V7" s="16" t="s">
        <v>584</v>
      </c>
      <c r="W7" s="16" t="s">
        <v>584</v>
      </c>
      <c r="X7" s="16" t="s">
        <v>584</v>
      </c>
      <c r="Y7" s="16" t="s">
        <v>584</v>
      </c>
      <c r="Z7" s="17">
        <v>4730.5200000000004</v>
      </c>
      <c r="AA7" s="17">
        <v>6951.06</v>
      </c>
      <c r="AB7" s="17">
        <v>5.5920000000000014</v>
      </c>
      <c r="AC7" s="17">
        <v>27.364000000000001</v>
      </c>
      <c r="AE7" s="19">
        <f t="shared" si="8"/>
        <v>0.18456217707301389</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-338335096</v>
      </c>
      <c r="BK7">
        <f t="shared" si="21"/>
        <v>-51921248</v>
      </c>
      <c r="BL7">
        <f t="shared" si="21"/>
        <v>-4190752</v>
      </c>
      <c r="BM7">
        <f t="shared" si="21"/>
        <v>-282223096</v>
      </c>
      <c r="BP7" t="s">
        <v>237</v>
      </c>
    </row>
    <row r="8" spans="1:68" ht="15.75" customHeight="1" collapsed="1" thickBot="1" x14ac:dyDescent="0.35">
      <c r="A8" s="40"/>
      <c r="B8" s="40" t="s">
        <v>68</v>
      </c>
      <c r="C8" s="40">
        <v>32209643</v>
      </c>
      <c r="D8" s="41">
        <v>10</v>
      </c>
      <c r="E8" s="41">
        <v>32</v>
      </c>
      <c r="F8" s="41">
        <v>50</v>
      </c>
      <c r="H8" s="49">
        <f t="shared" si="0"/>
        <v>0.14988544246183022</v>
      </c>
      <c r="I8" s="42">
        <f t="shared" si="1"/>
        <v>407.34196250000002</v>
      </c>
      <c r="J8" s="43">
        <f t="shared" si="2"/>
        <v>8.0938138929388312</v>
      </c>
      <c r="K8" s="43">
        <f t="shared" si="3"/>
        <v>1.2737678588986534</v>
      </c>
      <c r="L8" s="43">
        <f t="shared" si="4"/>
        <v>1.11339451977161</v>
      </c>
      <c r="M8" s="43">
        <f t="shared" si="5"/>
        <v>6.8200460340401783</v>
      </c>
      <c r="N8" s="40">
        <f t="shared" si="6"/>
        <v>41027608</v>
      </c>
      <c r="O8" s="43">
        <f t="shared" si="7"/>
        <v>8.0938138929388312</v>
      </c>
      <c r="P8" s="44">
        <v>32209643</v>
      </c>
      <c r="Q8" s="45">
        <v>260698856</v>
      </c>
      <c r="R8" s="45">
        <v>35862040</v>
      </c>
      <c r="S8" s="45">
        <v>5165568</v>
      </c>
      <c r="T8" s="45">
        <v>219671248</v>
      </c>
      <c r="U8" s="46" t="s">
        <v>584</v>
      </c>
      <c r="V8" s="46" t="s">
        <v>584</v>
      </c>
      <c r="W8" s="46" t="s">
        <v>584</v>
      </c>
      <c r="X8" s="46" t="s">
        <v>584</v>
      </c>
      <c r="Y8" s="46" t="s">
        <v>584</v>
      </c>
      <c r="Z8" s="47">
        <v>4453.5</v>
      </c>
      <c r="AA8" s="47">
        <v>5627.94</v>
      </c>
      <c r="AB8" s="47">
        <v>5.2759999999999998</v>
      </c>
      <c r="AC8" s="47">
        <v>32.72</v>
      </c>
      <c r="AE8" s="49">
        <f t="shared" si="8"/>
        <v>0.14988544246183022</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-260698856</v>
      </c>
      <c r="BK8">
        <f t="shared" si="21"/>
        <v>-35862040</v>
      </c>
      <c r="BL8">
        <f t="shared" si="21"/>
        <v>-5165568</v>
      </c>
      <c r="BM8">
        <f t="shared" si="21"/>
        <v>-219671248</v>
      </c>
      <c r="BP8" t="s">
        <v>585</v>
      </c>
    </row>
    <row r="9" spans="1:68" ht="15.75" customHeight="1" collapsed="1" thickBot="1" x14ac:dyDescent="0.35">
      <c r="A9" s="30" t="s">
        <v>244</v>
      </c>
      <c r="B9" s="30" t="s">
        <v>71</v>
      </c>
      <c r="C9" s="30">
        <v>25312408</v>
      </c>
      <c r="D9" s="31">
        <v>10</v>
      </c>
      <c r="E9" s="31">
        <v>32</v>
      </c>
      <c r="F9" s="31">
        <v>30</v>
      </c>
      <c r="H9" s="39">
        <f t="shared" si="0"/>
        <v>0.27656920054561557</v>
      </c>
      <c r="I9" s="32">
        <f t="shared" si="1"/>
        <v>354.40701749999999</v>
      </c>
      <c r="J9" s="33">
        <f t="shared" si="2"/>
        <v>14.934736829463242</v>
      </c>
      <c r="K9" s="33">
        <f t="shared" si="3"/>
        <v>1.5087231526925451</v>
      </c>
      <c r="L9" s="33">
        <f t="shared" si="4"/>
        <v>1.4115600538676525</v>
      </c>
      <c r="M9" s="33">
        <f t="shared" si="5"/>
        <v>13.426013676770697</v>
      </c>
      <c r="N9" s="30">
        <f t="shared" si="6"/>
        <v>38189416</v>
      </c>
      <c r="O9" s="33">
        <f t="shared" si="7"/>
        <v>14.934736829463242</v>
      </c>
      <c r="P9" s="34">
        <v>25312408</v>
      </c>
      <c r="Q9" s="35">
        <v>378034152</v>
      </c>
      <c r="R9" s="35">
        <v>35729984</v>
      </c>
      <c r="S9" s="35">
        <v>2459432</v>
      </c>
      <c r="T9" s="35">
        <v>339844736</v>
      </c>
      <c r="U9" s="36" t="s">
        <v>584</v>
      </c>
      <c r="V9" s="36" t="s">
        <v>584</v>
      </c>
      <c r="W9" s="36" t="s">
        <v>584</v>
      </c>
      <c r="X9" s="36" t="s">
        <v>584</v>
      </c>
      <c r="Y9" s="36" t="s">
        <v>584</v>
      </c>
      <c r="Z9" s="37">
        <v>1376.92</v>
      </c>
      <c r="AA9" s="37">
        <v>5516.73</v>
      </c>
      <c r="AB9" s="37">
        <v>3.456</v>
      </c>
      <c r="AC9" s="37">
        <v>22.716000000000001</v>
      </c>
      <c r="AE9" s="39">
        <f t="shared" si="8"/>
        <v>0.27656920054561557</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-378034152</v>
      </c>
      <c r="BK9">
        <f t="shared" si="21"/>
        <v>-35729984</v>
      </c>
      <c r="BL9">
        <f t="shared" si="21"/>
        <v>-2459432</v>
      </c>
      <c r="BM9">
        <f t="shared" si="21"/>
        <v>-339844736</v>
      </c>
      <c r="BP9" t="s">
        <v>242</v>
      </c>
    </row>
    <row r="10" spans="1:68" collapsed="1" x14ac:dyDescent="0.3">
      <c r="A10" s="20" t="s">
        <v>246</v>
      </c>
      <c r="B10" s="20" t="s">
        <v>75</v>
      </c>
      <c r="C10" s="20">
        <v>92854683</v>
      </c>
      <c r="D10" s="21">
        <v>11</v>
      </c>
      <c r="E10" s="21">
        <v>10</v>
      </c>
      <c r="F10" s="21">
        <v>30</v>
      </c>
      <c r="H10" s="29">
        <f t="shared" si="0"/>
        <v>5.3107976803681435E-2</v>
      </c>
      <c r="I10" s="22">
        <f t="shared" si="1"/>
        <v>843.25646400000005</v>
      </c>
      <c r="J10" s="23">
        <f t="shared" si="2"/>
        <v>3.0271546778098419</v>
      </c>
      <c r="K10" s="23">
        <f t="shared" si="3"/>
        <v>0.3427185681092681</v>
      </c>
      <c r="L10" s="23">
        <f t="shared" si="4"/>
        <v>0.32727689135506499</v>
      </c>
      <c r="M10" s="23">
        <f t="shared" si="5"/>
        <v>2.6844361097005738</v>
      </c>
      <c r="N10" s="20">
        <f t="shared" si="6"/>
        <v>31823024</v>
      </c>
      <c r="O10" s="23">
        <f t="shared" si="7"/>
        <v>9.7589216372989895</v>
      </c>
      <c r="P10" s="24">
        <v>28802925</v>
      </c>
      <c r="Q10" s="25">
        <v>281085488</v>
      </c>
      <c r="R10" s="25">
        <v>30389192</v>
      </c>
      <c r="S10" s="25">
        <v>1433832</v>
      </c>
      <c r="T10" s="25">
        <v>249262464</v>
      </c>
      <c r="U10" s="26" t="s">
        <v>584</v>
      </c>
      <c r="V10" s="26" t="s">
        <v>584</v>
      </c>
      <c r="W10" s="26" t="s">
        <v>584</v>
      </c>
      <c r="X10" s="26" t="s">
        <v>584</v>
      </c>
      <c r="Y10" s="26" t="s">
        <v>584</v>
      </c>
      <c r="Z10" s="27">
        <v>954.46800000000007</v>
      </c>
      <c r="AA10" s="27">
        <v>4916</v>
      </c>
      <c r="AB10" s="27">
        <v>4.3159999999999998</v>
      </c>
      <c r="AC10" s="27">
        <v>25.004000000000001</v>
      </c>
      <c r="AE10" s="29">
        <f t="shared" si="8"/>
        <v>5.3107976803681435E-2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-281085488</v>
      </c>
      <c r="BK10">
        <f t="shared" si="21"/>
        <v>-30389192</v>
      </c>
      <c r="BL10">
        <f t="shared" si="21"/>
        <v>-1433832</v>
      </c>
      <c r="BM10">
        <f t="shared" si="21"/>
        <v>-249262464</v>
      </c>
      <c r="BP10" t="s">
        <v>586</v>
      </c>
    </row>
    <row r="11" spans="1:68" ht="15.75" customHeight="1" collapsed="1" thickBot="1" x14ac:dyDescent="0.35">
      <c r="A11" s="30"/>
      <c r="B11" s="30" t="s">
        <v>80</v>
      </c>
      <c r="C11" s="30">
        <v>83104648</v>
      </c>
      <c r="D11" s="31">
        <v>11</v>
      </c>
      <c r="E11" s="31">
        <v>10</v>
      </c>
      <c r="F11" s="31">
        <v>30</v>
      </c>
      <c r="H11" s="39">
        <f t="shared" si="0"/>
        <v>5.4325706750386636E-2</v>
      </c>
      <c r="I11" s="32">
        <f t="shared" si="1"/>
        <v>772.01690399999995</v>
      </c>
      <c r="J11" s="33">
        <f t="shared" si="2"/>
        <v>3.0965652847720384</v>
      </c>
      <c r="K11" s="33">
        <f t="shared" si="3"/>
        <v>0.37062408350493226</v>
      </c>
      <c r="L11" s="33">
        <f t="shared" si="4"/>
        <v>0.35162827475064934</v>
      </c>
      <c r="M11" s="33">
        <f t="shared" si="5"/>
        <v>2.7259412012671058</v>
      </c>
      <c r="N11" s="30">
        <f t="shared" si="6"/>
        <v>30800584</v>
      </c>
      <c r="O11" s="33">
        <f t="shared" si="7"/>
        <v>9.9871404669346475</v>
      </c>
      <c r="P11" s="34">
        <v>25767032</v>
      </c>
      <c r="Q11" s="35">
        <v>257338968</v>
      </c>
      <c r="R11" s="35">
        <v>29221944</v>
      </c>
      <c r="S11" s="35">
        <v>1578640</v>
      </c>
      <c r="T11" s="35">
        <v>226538384</v>
      </c>
      <c r="U11" s="36" t="s">
        <v>584</v>
      </c>
      <c r="V11" s="36" t="s">
        <v>584</v>
      </c>
      <c r="W11" s="36" t="s">
        <v>584</v>
      </c>
      <c r="X11" s="36" t="s">
        <v>584</v>
      </c>
      <c r="Y11" s="36" t="s">
        <v>584</v>
      </c>
      <c r="Z11" s="37">
        <v>858.68399999999997</v>
      </c>
      <c r="AA11" s="37">
        <v>5137.76</v>
      </c>
      <c r="AB11" s="37">
        <v>4.0960000000000001</v>
      </c>
      <c r="AC11" s="37">
        <v>30.448</v>
      </c>
      <c r="AE11" s="39">
        <f t="shared" si="8"/>
        <v>5.4325706750386636E-2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-257338968</v>
      </c>
      <c r="BK11">
        <f t="shared" si="21"/>
        <v>-29221944</v>
      </c>
      <c r="BL11">
        <f t="shared" si="21"/>
        <v>-1578640</v>
      </c>
      <c r="BM11">
        <f t="shared" si="21"/>
        <v>-226538384</v>
      </c>
      <c r="BP11" t="s">
        <v>587</v>
      </c>
    </row>
    <row r="12" spans="1:68" x14ac:dyDescent="0.3">
      <c r="B12" s="50" t="s">
        <v>14</v>
      </c>
      <c r="J12" s="51">
        <f>AVERAGE(J5:J8)</f>
        <v>9.9268084912613812</v>
      </c>
      <c r="K12" s="51">
        <f>AVERAGE(K5:K8)</f>
        <v>1.5051073347594124</v>
      </c>
      <c r="L12" s="51">
        <f>AVERAGE(L5:L8)</f>
        <v>1.3759598346896609</v>
      </c>
      <c r="M12" s="51">
        <f>AVERAGE(M5:M8)</f>
        <v>8.4217011565019693</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3">
      <c r="B13" s="50" t="s">
        <v>15</v>
      </c>
      <c r="J13" s="51">
        <f>AVERAGE(J9:J9)</f>
        <v>14.934736829463242</v>
      </c>
      <c r="K13" s="51">
        <f>AVERAGE(K9:K9)</f>
        <v>1.5087231526925451</v>
      </c>
      <c r="L13" s="51">
        <f>AVERAGE(L9:L9)</f>
        <v>1.4115600538676525</v>
      </c>
      <c r="M13" s="51">
        <f>AVERAGE(M9:M9)</f>
        <v>13.426013676770697</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3">
      <c r="B14" s="50" t="s">
        <v>16</v>
      </c>
      <c r="J14" s="51">
        <f>AVERAGE(J10:J11)</f>
        <v>3.0618599812909402</v>
      </c>
      <c r="K14" s="51">
        <f>AVERAGE(K10:K11)</f>
        <v>0.35667132580710015</v>
      </c>
      <c r="L14" s="51">
        <f>AVERAGE(L10:L11)</f>
        <v>0.33945258305285719</v>
      </c>
      <c r="M14" s="51">
        <f>AVERAGE(M10:M11)</f>
        <v>2.7051886554838398</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collapsed="1" x14ac:dyDescent="0.3">
      <c r="B15" s="50" t="s">
        <v>17</v>
      </c>
      <c r="J15" s="51">
        <f>AVERAGE(J5:J11)</f>
        <v>8.6808129652986636</v>
      </c>
      <c r="K15" s="51">
        <f>AVERAGE(K5:K11)</f>
        <v>1.1774993061920562</v>
      </c>
      <c r="L15" s="51">
        <f>AVERAGE(L5:L11)</f>
        <v>1.08490065124743</v>
      </c>
      <c r="M15" s="51">
        <f>AVERAGE(M5:M11)</f>
        <v>7.5033136591066079</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3">
      <c r="A16" s="50" t="s">
        <v>249</v>
      </c>
      <c r="B16" s="50" t="s">
        <v>250</v>
      </c>
      <c r="Z16" s="52">
        <f>SUM(Z5:Z8,Z9:Z9,Z10:Z11)</f>
        <v>19263.222000000002</v>
      </c>
      <c r="AA16" s="52">
        <f>SUM(AA5:AA8,AA9:AA9,AA10:AA11)</f>
        <v>38799.300000000003</v>
      </c>
      <c r="AB16" s="52">
        <f>SUM(AB5:AB8,AB9:AB9,AB10:AB11)</f>
        <v>30.24</v>
      </c>
      <c r="AC16" s="52">
        <f>SUM(AC5:AC8,AC9:AC9,AC10:AC11)</f>
        <v>185.45599999999999</v>
      </c>
      <c r="AW16" s="52">
        <f>SUM(AW5:AW8,AW9:AW9,AW10:AW11)</f>
        <v>0</v>
      </c>
      <c r="AX16" s="52">
        <f>SUM(AX5:AX8,AX9:AX9,AX10:AX11)</f>
        <v>0</v>
      </c>
      <c r="AY16" s="52">
        <f>SUM(AY5:AY8,AY9:AY9,AY10:AY11)</f>
        <v>0</v>
      </c>
      <c r="AZ16" s="52">
        <f>SUM(AZ5:AZ8,AZ9:AZ9,AZ10:AZ11)</f>
        <v>0</v>
      </c>
    </row>
    <row r="17" spans="2:52" hidden="1" outlineLevel="2" x14ac:dyDescent="0.3">
      <c r="B17" s="50" t="s">
        <v>251</v>
      </c>
      <c r="AW17" s="55">
        <f>AW16/Z16</f>
        <v>0</v>
      </c>
      <c r="AX17" s="55">
        <f>AX16/AA16</f>
        <v>0</v>
      </c>
      <c r="AY17" s="55">
        <f>AY16/AB16</f>
        <v>0</v>
      </c>
      <c r="AZ17" s="55">
        <f>AZ16/AC16</f>
        <v>0</v>
      </c>
    </row>
    <row r="18" spans="2:52" hidden="1" outlineLevel="2" x14ac:dyDescent="0.3">
      <c r="B18" s="50" t="s">
        <v>252</v>
      </c>
      <c r="Z18" s="52">
        <f>GEOMEAN(Z5:Z8,Z9:Z9,Z10:Z11)</f>
        <v>2238.3527620297946</v>
      </c>
      <c r="AA18" s="52">
        <f>GEOMEAN(AA5:AA8,AA9:AA9,AA10:AA11)</f>
        <v>5511.8449094380003</v>
      </c>
      <c r="AB18" s="52">
        <f>GEOMEAN(AB5:AB8,AB9:AB9,AB10:AB11)</f>
        <v>4.2579284842111838</v>
      </c>
      <c r="AC18" s="52">
        <f>GEOMEAN(AC5:AC8,AC9:AC9,AC10:AC11)</f>
        <v>26.260850061654043</v>
      </c>
      <c r="AW18" s="52" t="e">
        <f>GEOMEAN(AW5:AW8,AW9:AW9,AW10:AW11)</f>
        <v>#NUM!</v>
      </c>
      <c r="AX18" s="52" t="e">
        <f>GEOMEAN(AX5:AX8,AX9:AX9,AX10:AX11)</f>
        <v>#NUM!</v>
      </c>
      <c r="AY18" s="52" t="e">
        <f>GEOMEAN(AY5:AY8,AY9:AY9,AY10:AY11)</f>
        <v>#NUM!</v>
      </c>
      <c r="AZ18" s="52" t="e">
        <f>GEOMEAN(AZ5:AZ8,AZ9:AZ9,AZ10:AZ11)</f>
        <v>#NUM!</v>
      </c>
    </row>
    <row r="19" spans="2:52" outlineLevel="2" collapsed="1" x14ac:dyDescent="0.3">
      <c r="B19" s="50" t="s">
        <v>253</v>
      </c>
      <c r="AW19" s="55" t="e">
        <f>AW18/Z18</f>
        <v>#NUM!</v>
      </c>
      <c r="AX19" s="55" t="e">
        <f>AX18/AA18</f>
        <v>#NUM!</v>
      </c>
      <c r="AY19" s="55" t="e">
        <f>AY18/AB18</f>
        <v>#NUM!</v>
      </c>
      <c r="AZ19" s="55" t="e">
        <f>AZ18/AC18</f>
        <v>#NUM!</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P19"/>
  <sheetViews>
    <sheetView zoomScale="85" zoomScaleNormal="85" workbookViewId="0">
      <pane xSplit="2" ySplit="4" topLeftCell="O5" activePane="bottomRight" state="frozen"/>
      <selection activeCell="BJ29" sqref="BJ29"/>
      <selection pane="topRight" activeCell="BJ29" sqref="BJ29"/>
      <selection pane="bottomLeft" activeCell="BJ29" sqref="BJ29"/>
      <selection pane="bottomRight" activeCell="AE1" sqref="AE1:AZ1"/>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3" max="63" width="10.44140625" style="53" customWidth="1"/>
    <col min="64" max="64" width="10.109375" style="53" customWidth="1"/>
  </cols>
  <sheetData>
    <row r="1" spans="1:68" x14ac:dyDescent="0.3">
      <c r="A1" s="75" t="s">
        <v>588</v>
      </c>
      <c r="B1" s="61"/>
      <c r="C1" s="61"/>
      <c r="D1" s="61"/>
      <c r="E1" s="61"/>
      <c r="F1" s="61"/>
      <c r="H1" s="60"/>
      <c r="I1" s="61"/>
      <c r="J1" s="61"/>
      <c r="K1" s="61"/>
      <c r="L1" s="61"/>
      <c r="M1" s="61"/>
      <c r="N1" s="61"/>
      <c r="O1" s="61"/>
      <c r="P1" s="61"/>
      <c r="Q1" s="61"/>
      <c r="R1" s="61"/>
      <c r="S1" s="61"/>
      <c r="T1" s="61"/>
      <c r="U1" s="61"/>
      <c r="V1" s="61"/>
      <c r="W1" s="61"/>
      <c r="X1" s="61"/>
      <c r="Y1" s="61"/>
      <c r="Z1" s="61"/>
      <c r="AA1" s="61"/>
      <c r="AB1" s="61"/>
      <c r="AC1" s="61"/>
      <c r="AE1" s="62"/>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5">
      <c r="A2" s="71" t="s">
        <v>137</v>
      </c>
      <c r="B2" s="72" t="s">
        <v>138</v>
      </c>
      <c r="C2" s="71" t="s">
        <v>140</v>
      </c>
      <c r="D2" s="72" t="s">
        <v>141</v>
      </c>
      <c r="E2" s="71" t="s">
        <v>142</v>
      </c>
      <c r="F2" s="72" t="s">
        <v>143</v>
      </c>
      <c r="H2" s="71" t="s">
        <v>577</v>
      </c>
      <c r="I2" s="72" t="s">
        <v>144</v>
      </c>
      <c r="J2" s="73" t="s">
        <v>145</v>
      </c>
      <c r="K2" s="61"/>
      <c r="L2" s="61"/>
      <c r="M2" s="61"/>
      <c r="N2" s="71" t="s">
        <v>146</v>
      </c>
      <c r="O2" s="72" t="s">
        <v>147</v>
      </c>
      <c r="P2" s="71" t="s">
        <v>84</v>
      </c>
      <c r="Q2" s="74" t="s">
        <v>148</v>
      </c>
      <c r="R2" s="61"/>
      <c r="S2" s="61"/>
      <c r="T2" s="61"/>
      <c r="U2" s="73" t="s">
        <v>149</v>
      </c>
      <c r="V2" s="61"/>
      <c r="W2" s="74" t="s">
        <v>150</v>
      </c>
      <c r="X2" s="61"/>
      <c r="Y2" s="61"/>
      <c r="Z2" s="73" t="s">
        <v>151</v>
      </c>
      <c r="AA2" s="61"/>
      <c r="AB2" s="74" t="s">
        <v>152</v>
      </c>
      <c r="AC2" s="61"/>
      <c r="AE2" s="71" t="s">
        <v>577</v>
      </c>
      <c r="AF2" s="72" t="s">
        <v>144</v>
      </c>
      <c r="AG2" s="73" t="s">
        <v>145</v>
      </c>
      <c r="AH2" s="61"/>
      <c r="AI2" s="61"/>
      <c r="AJ2" s="61"/>
      <c r="AK2" s="71" t="s">
        <v>153</v>
      </c>
      <c r="AL2" s="72" t="s">
        <v>147</v>
      </c>
      <c r="AM2" s="71" t="s">
        <v>84</v>
      </c>
      <c r="AN2" s="74" t="s">
        <v>148</v>
      </c>
      <c r="AO2" s="61"/>
      <c r="AP2" s="61"/>
      <c r="AQ2" s="61"/>
      <c r="AR2" s="73" t="s">
        <v>149</v>
      </c>
      <c r="AS2" s="61"/>
      <c r="AT2" s="74" t="s">
        <v>150</v>
      </c>
      <c r="AU2" s="61"/>
      <c r="AV2" s="61"/>
      <c r="AW2" s="73" t="s">
        <v>151</v>
      </c>
      <c r="AX2" s="61"/>
      <c r="AY2" s="74" t="s">
        <v>152</v>
      </c>
      <c r="AZ2" s="61"/>
      <c r="BB2" s="73" t="s">
        <v>22</v>
      </c>
      <c r="BC2" s="61"/>
      <c r="BD2" s="61"/>
      <c r="BE2" s="61"/>
      <c r="BF2" s="72" t="s">
        <v>156</v>
      </c>
      <c r="BG2" s="71" t="s">
        <v>156</v>
      </c>
      <c r="BI2" s="77" t="s">
        <v>157</v>
      </c>
      <c r="BJ2" s="76" t="s">
        <v>578</v>
      </c>
      <c r="BK2" s="61"/>
      <c r="BL2" s="61"/>
      <c r="BM2" s="61"/>
    </row>
    <row r="3" spans="1:68" ht="30.75" customHeight="1" thickBot="1" x14ac:dyDescent="0.35">
      <c r="A3" s="64"/>
      <c r="B3" s="64"/>
      <c r="C3" s="64"/>
      <c r="D3" s="64"/>
      <c r="E3" s="64"/>
      <c r="F3" s="64"/>
      <c r="H3" s="64"/>
      <c r="I3" s="64"/>
      <c r="J3" s="56" t="s">
        <v>25</v>
      </c>
      <c r="K3" s="56" t="s">
        <v>23</v>
      </c>
      <c r="L3" s="56" t="s">
        <v>163</v>
      </c>
      <c r="M3" s="56" t="s">
        <v>164</v>
      </c>
      <c r="N3" s="64"/>
      <c r="O3" s="64"/>
      <c r="P3" s="64"/>
      <c r="Q3" s="57" t="s">
        <v>25</v>
      </c>
      <c r="R3" s="57" t="s">
        <v>163</v>
      </c>
      <c r="S3" s="57" t="s">
        <v>165</v>
      </c>
      <c r="T3" s="57" t="s">
        <v>24</v>
      </c>
      <c r="U3" s="56" t="s">
        <v>9</v>
      </c>
      <c r="V3" s="56" t="s">
        <v>10</v>
      </c>
      <c r="W3" s="57" t="s">
        <v>11</v>
      </c>
      <c r="X3" s="57" t="s">
        <v>12</v>
      </c>
      <c r="Y3" s="57" t="s">
        <v>13</v>
      </c>
      <c r="Z3" s="56" t="s">
        <v>166</v>
      </c>
      <c r="AA3" s="56" t="s">
        <v>167</v>
      </c>
      <c r="AB3" s="57" t="s">
        <v>166</v>
      </c>
      <c r="AC3" s="57" t="s">
        <v>167</v>
      </c>
      <c r="AE3" s="64"/>
      <c r="AF3" s="64"/>
      <c r="AG3" s="56" t="s">
        <v>25</v>
      </c>
      <c r="AH3" s="56" t="s">
        <v>23</v>
      </c>
      <c r="AI3" s="56" t="s">
        <v>163</v>
      </c>
      <c r="AJ3" s="56" t="s">
        <v>164</v>
      </c>
      <c r="AK3" s="64"/>
      <c r="AL3" s="64"/>
      <c r="AM3" s="64"/>
      <c r="AN3" s="57" t="s">
        <v>25</v>
      </c>
      <c r="AO3" s="57" t="s">
        <v>163</v>
      </c>
      <c r="AP3" s="57" t="s">
        <v>165</v>
      </c>
      <c r="AQ3" s="57" t="s">
        <v>24</v>
      </c>
      <c r="AR3" s="56" t="s">
        <v>9</v>
      </c>
      <c r="AS3" s="56" t="s">
        <v>10</v>
      </c>
      <c r="AT3" s="57" t="s">
        <v>11</v>
      </c>
      <c r="AU3" s="57" t="s">
        <v>12</v>
      </c>
      <c r="AV3" s="57" t="s">
        <v>13</v>
      </c>
      <c r="AW3" s="56" t="s">
        <v>166</v>
      </c>
      <c r="AX3" s="56" t="s">
        <v>167</v>
      </c>
      <c r="AY3" s="57" t="s">
        <v>166</v>
      </c>
      <c r="AZ3" s="57" t="s">
        <v>167</v>
      </c>
      <c r="BB3" s="56" t="s">
        <v>25</v>
      </c>
      <c r="BC3" s="56" t="s">
        <v>23</v>
      </c>
      <c r="BD3" s="56" t="s">
        <v>163</v>
      </c>
      <c r="BE3" s="56" t="s">
        <v>24</v>
      </c>
      <c r="BF3" s="64"/>
      <c r="BG3" s="64"/>
      <c r="BI3" s="64"/>
      <c r="BJ3" s="59" t="s">
        <v>25</v>
      </c>
      <c r="BK3" s="59" t="s">
        <v>163</v>
      </c>
      <c r="BL3" s="59" t="s">
        <v>165</v>
      </c>
      <c r="BM3" s="59" t="s">
        <v>24</v>
      </c>
    </row>
    <row r="4" spans="1:68" ht="122.25" hidden="1" customHeight="1" thickBot="1" x14ac:dyDescent="0.35">
      <c r="A4" s="8" t="s">
        <v>168</v>
      </c>
      <c r="B4" s="9" t="s">
        <v>169</v>
      </c>
      <c r="C4" s="8" t="s">
        <v>171</v>
      </c>
      <c r="D4" s="9" t="s">
        <v>172</v>
      </c>
      <c r="E4" s="8" t="s">
        <v>173</v>
      </c>
      <c r="F4" s="9" t="s">
        <v>174</v>
      </c>
      <c r="H4" s="8" t="s">
        <v>579</v>
      </c>
      <c r="I4" s="9" t="s">
        <v>175</v>
      </c>
      <c r="J4" s="8" t="s">
        <v>176</v>
      </c>
      <c r="K4" s="8" t="s">
        <v>177</v>
      </c>
      <c r="L4" s="8" t="s">
        <v>178</v>
      </c>
      <c r="M4" s="8" t="s">
        <v>179</v>
      </c>
      <c r="N4" s="8" t="s">
        <v>180</v>
      </c>
      <c r="O4" s="9" t="s">
        <v>181</v>
      </c>
      <c r="P4" s="8" t="s">
        <v>182</v>
      </c>
      <c r="Q4" s="9" t="s">
        <v>185</v>
      </c>
      <c r="R4" s="9" t="s">
        <v>186</v>
      </c>
      <c r="S4" s="9" t="s">
        <v>187</v>
      </c>
      <c r="T4" s="9" t="s">
        <v>188</v>
      </c>
      <c r="U4" s="8" t="s">
        <v>189</v>
      </c>
      <c r="V4" s="8" t="s">
        <v>190</v>
      </c>
      <c r="W4" s="9" t="s">
        <v>191</v>
      </c>
      <c r="X4" s="9" t="s">
        <v>192</v>
      </c>
      <c r="Y4" s="9" t="s">
        <v>193</v>
      </c>
      <c r="Z4" s="8" t="s">
        <v>194</v>
      </c>
      <c r="AA4" s="8" t="s">
        <v>195</v>
      </c>
      <c r="AB4" s="9" t="s">
        <v>196</v>
      </c>
      <c r="AC4" s="9" t="s">
        <v>197</v>
      </c>
      <c r="AE4" s="8" t="s">
        <v>580</v>
      </c>
      <c r="AF4" s="9" t="s">
        <v>198</v>
      </c>
      <c r="AG4" s="8" t="s">
        <v>199</v>
      </c>
      <c r="AH4" s="8" t="s">
        <v>200</v>
      </c>
      <c r="AI4" s="8" t="s">
        <v>201</v>
      </c>
      <c r="AJ4" s="8" t="s">
        <v>202</v>
      </c>
      <c r="AK4" s="8" t="s">
        <v>203</v>
      </c>
      <c r="AL4" s="9" t="s">
        <v>204</v>
      </c>
      <c r="AM4" s="8" t="s">
        <v>205</v>
      </c>
      <c r="AN4" s="9" t="s">
        <v>208</v>
      </c>
      <c r="AO4" s="9" t="s">
        <v>209</v>
      </c>
      <c r="AP4" s="9" t="s">
        <v>210</v>
      </c>
      <c r="AQ4" s="9" t="s">
        <v>211</v>
      </c>
      <c r="AR4" s="8" t="s">
        <v>212</v>
      </c>
      <c r="AS4" s="8" t="s">
        <v>213</v>
      </c>
      <c r="AT4" s="9" t="s">
        <v>214</v>
      </c>
      <c r="AU4" s="9" t="s">
        <v>215</v>
      </c>
      <c r="AV4" s="9" t="s">
        <v>216</v>
      </c>
      <c r="AW4" s="8" t="s">
        <v>217</v>
      </c>
      <c r="AX4" s="8" t="s">
        <v>218</v>
      </c>
      <c r="AY4" s="9" t="s">
        <v>219</v>
      </c>
      <c r="AZ4" s="9" t="s">
        <v>220</v>
      </c>
      <c r="BB4" s="8" t="s">
        <v>581</v>
      </c>
      <c r="BC4" s="8" t="s">
        <v>221</v>
      </c>
      <c r="BD4" s="8" t="s">
        <v>582</v>
      </c>
      <c r="BE4" s="8" t="s">
        <v>583</v>
      </c>
      <c r="BF4" s="9" t="s">
        <v>223</v>
      </c>
      <c r="BG4" s="8" t="s">
        <v>224</v>
      </c>
    </row>
    <row r="5" spans="1:68" collapsed="1" x14ac:dyDescent="0.3">
      <c r="A5" s="10" t="s">
        <v>235</v>
      </c>
      <c r="B5" s="10" t="s">
        <v>49</v>
      </c>
      <c r="C5" s="10">
        <v>24964341</v>
      </c>
      <c r="D5" s="11">
        <v>10</v>
      </c>
      <c r="E5" s="11">
        <v>32</v>
      </c>
      <c r="F5" s="11">
        <v>30</v>
      </c>
      <c r="H5" s="19">
        <f t="shared" ref="H5:H11" si="0">IF(ISBLANK(Q5),"·",Q5/(C5*(D5*3+IF(AND(ISNUMBER(T5),T5&gt;0),24,0))))</f>
        <v>0.16318706275809489</v>
      </c>
      <c r="I5" s="12">
        <f t="shared" ref="I5:I11" si="1">IF(OR(ISBLANK(Q5),ISBLANK(F5)),"·",Q5*F5/E5/1000000)</f>
        <v>206.239035</v>
      </c>
      <c r="J5" s="13">
        <f t="shared" ref="J5:J11" si="2">IF(ISBLANK(Q5),"·",Q5/C5)</f>
        <v>8.8121013889371245</v>
      </c>
      <c r="K5" s="13">
        <f t="shared" ref="K5:K11" si="3">IF(N5="","·",N5/C5)</f>
        <v>1.3647853952964351</v>
      </c>
      <c r="L5" s="13">
        <f t="shared" ref="L5:L11" si="4">IF(R5="","·",R5/C5)</f>
        <v>1.27838471682469</v>
      </c>
      <c r="M5" s="13">
        <f t="shared" ref="M5:M11" si="5">IF(ISBLANK(T5),"·",T5/C5)</f>
        <v>7.4473159936406894</v>
      </c>
      <c r="N5" s="10">
        <f t="shared" ref="N5:N11" si="6">IF(OR(ISBLANK(R5),ISBLANK(S5)),"",R5+S5)</f>
        <v>34070968</v>
      </c>
      <c r="O5" s="13">
        <f t="shared" ref="O5:O11" si="7">IF(ISBLANK(Q5),"·",Q5/P5)</f>
        <v>8.8121013889371245</v>
      </c>
      <c r="P5" s="14">
        <v>24964341</v>
      </c>
      <c r="Q5" s="15">
        <v>219988304</v>
      </c>
      <c r="R5" s="15">
        <v>31914032</v>
      </c>
      <c r="S5" s="15">
        <v>2156936</v>
      </c>
      <c r="T5" s="15">
        <v>185917336</v>
      </c>
      <c r="U5" s="16" t="s">
        <v>584</v>
      </c>
      <c r="V5" s="16" t="s">
        <v>584</v>
      </c>
      <c r="W5" s="16" t="s">
        <v>584</v>
      </c>
      <c r="X5" s="16" t="s">
        <v>584</v>
      </c>
      <c r="Y5" s="16" t="s">
        <v>584</v>
      </c>
      <c r="Z5" s="17">
        <v>3252.32</v>
      </c>
      <c r="AA5" s="17">
        <v>6422.17</v>
      </c>
      <c r="AB5" s="17">
        <v>4.3079999999999998</v>
      </c>
      <c r="AC5" s="17">
        <v>28.891999999999999</v>
      </c>
      <c r="AE5" s="19">
        <f t="shared" ref="AE5:AE11" si="8">IF(ISBLANK(Q5),"·",Q5/(C5*(D5*3+IF(AND(ISNUMBER(T5),T5&gt;0),24,0))))</f>
        <v>0.16318706275809489</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-219988304</v>
      </c>
      <c r="BK5">
        <f t="shared" si="21"/>
        <v>-31914032</v>
      </c>
      <c r="BL5">
        <f t="shared" si="21"/>
        <v>-2156936</v>
      </c>
      <c r="BM5">
        <f t="shared" si="21"/>
        <v>-185917336</v>
      </c>
      <c r="BP5" t="s">
        <v>237</v>
      </c>
    </row>
    <row r="6" spans="1:68" collapsed="1" x14ac:dyDescent="0.3">
      <c r="A6" s="20"/>
      <c r="B6" s="20" t="s">
        <v>57</v>
      </c>
      <c r="C6" s="20">
        <v>22654789</v>
      </c>
      <c r="D6" s="21">
        <v>10</v>
      </c>
      <c r="E6" s="21">
        <v>32</v>
      </c>
      <c r="F6" s="21">
        <v>30</v>
      </c>
      <c r="H6" s="29">
        <f t="shared" si="0"/>
        <v>0.23519909745908144</v>
      </c>
      <c r="I6" s="22">
        <f t="shared" si="1"/>
        <v>269.74953749999997</v>
      </c>
      <c r="J6" s="23">
        <f t="shared" si="2"/>
        <v>12.700751262790398</v>
      </c>
      <c r="K6" s="23">
        <f t="shared" si="3"/>
        <v>1.701679940607701</v>
      </c>
      <c r="L6" s="23">
        <f t="shared" si="4"/>
        <v>1.5483362921632156</v>
      </c>
      <c r="M6" s="23">
        <f t="shared" si="5"/>
        <v>10.999071322182695</v>
      </c>
      <c r="N6" s="20">
        <f t="shared" si="6"/>
        <v>38551200</v>
      </c>
      <c r="O6" s="23">
        <f t="shared" si="7"/>
        <v>12.700751262790398</v>
      </c>
      <c r="P6" s="24">
        <v>22654789</v>
      </c>
      <c r="Q6" s="25">
        <v>287732840</v>
      </c>
      <c r="R6" s="25">
        <v>35077232</v>
      </c>
      <c r="S6" s="25">
        <v>3473968</v>
      </c>
      <c r="T6" s="25">
        <v>249181640</v>
      </c>
      <c r="U6" s="26" t="s">
        <v>584</v>
      </c>
      <c r="V6" s="26" t="s">
        <v>584</v>
      </c>
      <c r="W6" s="26" t="s">
        <v>584</v>
      </c>
      <c r="X6" s="26" t="s">
        <v>584</v>
      </c>
      <c r="Y6" s="26" t="s">
        <v>584</v>
      </c>
      <c r="Z6" s="27">
        <v>2929.92</v>
      </c>
      <c r="AA6" s="27">
        <v>9246.2999999999993</v>
      </c>
      <c r="AB6" s="27">
        <v>3.968</v>
      </c>
      <c r="AC6" s="27">
        <v>24.175999999999998</v>
      </c>
      <c r="AE6" s="29">
        <f t="shared" si="8"/>
        <v>0.23519909745908144</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-287732840</v>
      </c>
      <c r="BK6">
        <f t="shared" si="21"/>
        <v>-35077232</v>
      </c>
      <c r="BL6">
        <f t="shared" si="21"/>
        <v>-3473968</v>
      </c>
      <c r="BM6">
        <f t="shared" si="21"/>
        <v>-249181640</v>
      </c>
      <c r="BP6" t="s">
        <v>237</v>
      </c>
    </row>
    <row r="7" spans="1:68" collapsed="1" x14ac:dyDescent="0.3">
      <c r="A7" s="10"/>
      <c r="B7" s="10" t="s">
        <v>62</v>
      </c>
      <c r="C7" s="10">
        <v>33947718</v>
      </c>
      <c r="D7" s="11">
        <v>10</v>
      </c>
      <c r="E7" s="11">
        <v>32</v>
      </c>
      <c r="F7" s="11">
        <v>30</v>
      </c>
      <c r="H7" s="19">
        <f t="shared" si="0"/>
        <v>0.17896661850131712</v>
      </c>
      <c r="I7" s="12">
        <f t="shared" si="1"/>
        <v>307.5726075</v>
      </c>
      <c r="J7" s="13">
        <f t="shared" si="2"/>
        <v>9.6641973990711243</v>
      </c>
      <c r="K7" s="13">
        <f t="shared" si="3"/>
        <v>1.5023308488658944</v>
      </c>
      <c r="L7" s="13">
        <f t="shared" si="4"/>
        <v>1.3829979381824722</v>
      </c>
      <c r="M7" s="13">
        <f t="shared" si="5"/>
        <v>8.1618665502052306</v>
      </c>
      <c r="N7" s="10">
        <f t="shared" si="6"/>
        <v>51000704</v>
      </c>
      <c r="O7" s="13">
        <f t="shared" si="7"/>
        <v>9.6641973990711243</v>
      </c>
      <c r="P7" s="14">
        <v>33947718</v>
      </c>
      <c r="Q7" s="15">
        <v>328077448</v>
      </c>
      <c r="R7" s="15">
        <v>46949624</v>
      </c>
      <c r="S7" s="15">
        <v>4051080</v>
      </c>
      <c r="T7" s="15">
        <v>277076744</v>
      </c>
      <c r="U7" s="16" t="s">
        <v>584</v>
      </c>
      <c r="V7" s="16" t="s">
        <v>584</v>
      </c>
      <c r="W7" s="16" t="s">
        <v>584</v>
      </c>
      <c r="X7" s="16" t="s">
        <v>584</v>
      </c>
      <c r="Y7" s="16" t="s">
        <v>584</v>
      </c>
      <c r="Z7" s="17">
        <v>4240.33</v>
      </c>
      <c r="AA7" s="17">
        <v>9452.86</v>
      </c>
      <c r="AB7" s="17">
        <v>5.0839999999999996</v>
      </c>
      <c r="AC7" s="17">
        <v>27.347999999999999</v>
      </c>
      <c r="AE7" s="19">
        <f t="shared" si="8"/>
        <v>0.17896661850131712</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-328077448</v>
      </c>
      <c r="BK7">
        <f t="shared" si="21"/>
        <v>-46949624</v>
      </c>
      <c r="BL7">
        <f t="shared" si="21"/>
        <v>-4051080</v>
      </c>
      <c r="BM7">
        <f t="shared" si="21"/>
        <v>-277076744</v>
      </c>
      <c r="BP7" t="s">
        <v>589</v>
      </c>
    </row>
    <row r="8" spans="1:68" ht="15.75" customHeight="1" collapsed="1" thickBot="1" x14ac:dyDescent="0.35">
      <c r="A8" s="40"/>
      <c r="B8" s="40" t="s">
        <v>68</v>
      </c>
      <c r="C8" s="40">
        <v>32209643</v>
      </c>
      <c r="D8" s="41">
        <v>10</v>
      </c>
      <c r="E8" s="41">
        <v>32</v>
      </c>
      <c r="F8" s="41">
        <v>50</v>
      </c>
      <c r="H8" s="49">
        <f t="shared" si="0"/>
        <v>0.13451106805131249</v>
      </c>
      <c r="I8" s="42">
        <f t="shared" si="1"/>
        <v>365.55919999999998</v>
      </c>
      <c r="J8" s="43">
        <f t="shared" si="2"/>
        <v>7.2635976747708755</v>
      </c>
      <c r="K8" s="43">
        <f t="shared" si="3"/>
        <v>0.91875641092948468</v>
      </c>
      <c r="L8" s="43">
        <f t="shared" si="4"/>
        <v>0.80980369760695581</v>
      </c>
      <c r="M8" s="43">
        <f t="shared" si="5"/>
        <v>6.3448412638413902</v>
      </c>
      <c r="N8" s="40">
        <f t="shared" si="6"/>
        <v>29592816</v>
      </c>
      <c r="O8" s="43">
        <f t="shared" si="7"/>
        <v>7.2635976747708755</v>
      </c>
      <c r="P8" s="44">
        <v>32209643</v>
      </c>
      <c r="Q8" s="45">
        <v>233957888</v>
      </c>
      <c r="R8" s="45">
        <v>26083488</v>
      </c>
      <c r="S8" s="45">
        <v>3509328</v>
      </c>
      <c r="T8" s="45">
        <v>204365072</v>
      </c>
      <c r="U8" s="46" t="s">
        <v>584</v>
      </c>
      <c r="V8" s="46" t="s">
        <v>584</v>
      </c>
      <c r="W8" s="46" t="s">
        <v>584</v>
      </c>
      <c r="X8" s="46" t="s">
        <v>584</v>
      </c>
      <c r="Y8" s="46" t="s">
        <v>584</v>
      </c>
      <c r="Z8" s="47">
        <v>3603.04</v>
      </c>
      <c r="AA8" s="47">
        <v>7394.84</v>
      </c>
      <c r="AB8" s="47">
        <v>5.2079999999999993</v>
      </c>
      <c r="AC8" s="47">
        <v>30.596</v>
      </c>
      <c r="AE8" s="49">
        <f t="shared" si="8"/>
        <v>0.13451106805131249</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-233957888</v>
      </c>
      <c r="BK8">
        <f t="shared" si="21"/>
        <v>-26083488</v>
      </c>
      <c r="BL8">
        <f t="shared" si="21"/>
        <v>-3509328</v>
      </c>
      <c r="BM8">
        <f t="shared" si="21"/>
        <v>-204365072</v>
      </c>
      <c r="BP8" t="s">
        <v>585</v>
      </c>
    </row>
    <row r="9" spans="1:68" ht="15.75" customHeight="1" collapsed="1" thickBot="1" x14ac:dyDescent="0.35">
      <c r="A9" s="30" t="s">
        <v>244</v>
      </c>
      <c r="B9" s="30" t="s">
        <v>71</v>
      </c>
      <c r="C9" s="30">
        <v>25312408</v>
      </c>
      <c r="D9" s="31">
        <v>10</v>
      </c>
      <c r="E9" s="31">
        <v>32</v>
      </c>
      <c r="F9" s="31">
        <v>30</v>
      </c>
      <c r="H9" s="39">
        <f t="shared" si="0"/>
        <v>0.2748532041852535</v>
      </c>
      <c r="I9" s="32">
        <f t="shared" si="1"/>
        <v>352.20807000000002</v>
      </c>
      <c r="J9" s="33">
        <f t="shared" si="2"/>
        <v>14.842073026003689</v>
      </c>
      <c r="K9" s="33">
        <f t="shared" si="3"/>
        <v>1.5085578582646109</v>
      </c>
      <c r="L9" s="33">
        <f t="shared" si="4"/>
        <v>1.408000060681702</v>
      </c>
      <c r="M9" s="33">
        <f t="shared" si="5"/>
        <v>13.333515167739078</v>
      </c>
      <c r="N9" s="30">
        <f t="shared" si="6"/>
        <v>38185232</v>
      </c>
      <c r="O9" s="33">
        <f t="shared" si="7"/>
        <v>14.842073026003689</v>
      </c>
      <c r="P9" s="34">
        <v>25312408</v>
      </c>
      <c r="Q9" s="35">
        <v>375688608</v>
      </c>
      <c r="R9" s="35">
        <v>35639872</v>
      </c>
      <c r="S9" s="35">
        <v>2545360</v>
      </c>
      <c r="T9" s="35">
        <v>337503376</v>
      </c>
      <c r="U9" s="36" t="s">
        <v>584</v>
      </c>
      <c r="V9" s="36" t="s">
        <v>584</v>
      </c>
      <c r="W9" s="36" t="s">
        <v>584</v>
      </c>
      <c r="X9" s="36" t="s">
        <v>584</v>
      </c>
      <c r="Y9" s="36" t="s">
        <v>584</v>
      </c>
      <c r="Z9" s="37">
        <v>1346.64</v>
      </c>
      <c r="AA9" s="37">
        <v>10512.1</v>
      </c>
      <c r="AB9" s="37">
        <v>4.1360000000000001</v>
      </c>
      <c r="AC9" s="37">
        <v>27.827999999999999</v>
      </c>
      <c r="AE9" s="39">
        <f t="shared" si="8"/>
        <v>0.2748532041852535</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-375688608</v>
      </c>
      <c r="BK9">
        <f t="shared" si="21"/>
        <v>-35639872</v>
      </c>
      <c r="BL9">
        <f t="shared" si="21"/>
        <v>-2545360</v>
      </c>
      <c r="BM9">
        <f t="shared" si="21"/>
        <v>-337503376</v>
      </c>
      <c r="BP9" t="s">
        <v>590</v>
      </c>
    </row>
    <row r="10" spans="1:68" collapsed="1" x14ac:dyDescent="0.3">
      <c r="A10" s="20" t="s">
        <v>246</v>
      </c>
      <c r="B10" s="20" t="s">
        <v>75</v>
      </c>
      <c r="C10" s="20">
        <v>92854683</v>
      </c>
      <c r="D10" s="21">
        <v>11</v>
      </c>
      <c r="E10" s="21">
        <v>10</v>
      </c>
      <c r="F10" s="21">
        <v>30</v>
      </c>
      <c r="H10" s="29">
        <f t="shared" si="0"/>
        <v>5.305165336831047E-2</v>
      </c>
      <c r="I10" s="22">
        <f t="shared" si="1"/>
        <v>842.36215200000004</v>
      </c>
      <c r="J10" s="23">
        <f t="shared" si="2"/>
        <v>3.0239442419936968</v>
      </c>
      <c r="K10" s="23">
        <f t="shared" si="3"/>
        <v>0.34051796827522418</v>
      </c>
      <c r="L10" s="23">
        <f t="shared" si="4"/>
        <v>0.32481825391617569</v>
      </c>
      <c r="M10" s="23">
        <f t="shared" si="5"/>
        <v>2.6834262737184726</v>
      </c>
      <c r="N10" s="20">
        <f t="shared" si="6"/>
        <v>31618688</v>
      </c>
      <c r="O10" s="23">
        <f t="shared" si="7"/>
        <v>9.7485718551154097</v>
      </c>
      <c r="P10" s="24">
        <v>28802925</v>
      </c>
      <c r="Q10" s="25">
        <v>280787384</v>
      </c>
      <c r="R10" s="25">
        <v>30160896</v>
      </c>
      <c r="S10" s="25">
        <v>1457792</v>
      </c>
      <c r="T10" s="25">
        <v>249168696</v>
      </c>
      <c r="U10" s="26" t="s">
        <v>584</v>
      </c>
      <c r="V10" s="26" t="s">
        <v>584</v>
      </c>
      <c r="W10" s="26" t="s">
        <v>584</v>
      </c>
      <c r="X10" s="26" t="s">
        <v>584</v>
      </c>
      <c r="Y10" s="26" t="s">
        <v>584</v>
      </c>
      <c r="Z10" s="27">
        <v>980.96399999999994</v>
      </c>
      <c r="AA10" s="27">
        <v>8375.67</v>
      </c>
      <c r="AB10" s="27">
        <v>4.1040000000000001</v>
      </c>
      <c r="AC10" s="27">
        <v>25.852</v>
      </c>
      <c r="AE10" s="29">
        <f t="shared" si="8"/>
        <v>5.305165336831047E-2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-280787384</v>
      </c>
      <c r="BK10">
        <f t="shared" si="21"/>
        <v>-30160896</v>
      </c>
      <c r="BL10">
        <f t="shared" si="21"/>
        <v>-1457792</v>
      </c>
      <c r="BM10">
        <f t="shared" si="21"/>
        <v>-249168696</v>
      </c>
      <c r="BP10" t="s">
        <v>586</v>
      </c>
    </row>
    <row r="11" spans="1:68" ht="15.75" customHeight="1" collapsed="1" thickBot="1" x14ac:dyDescent="0.35">
      <c r="A11" s="30"/>
      <c r="B11" s="30" t="s">
        <v>80</v>
      </c>
      <c r="C11" s="30">
        <v>83104648</v>
      </c>
      <c r="D11" s="31">
        <v>11</v>
      </c>
      <c r="E11" s="31">
        <v>10</v>
      </c>
      <c r="F11" s="31">
        <v>30</v>
      </c>
      <c r="H11" s="39">
        <f t="shared" si="0"/>
        <v>5.4334875490410425E-2</v>
      </c>
      <c r="I11" s="32">
        <f t="shared" si="1"/>
        <v>772.1472</v>
      </c>
      <c r="J11" s="33">
        <f t="shared" si="2"/>
        <v>3.0970879029533944</v>
      </c>
      <c r="K11" s="33">
        <f t="shared" si="3"/>
        <v>0.37133836364964812</v>
      </c>
      <c r="L11" s="33">
        <f t="shared" si="4"/>
        <v>0.35163780490352359</v>
      </c>
      <c r="M11" s="33">
        <f t="shared" si="5"/>
        <v>2.7257495393037461</v>
      </c>
      <c r="N11" s="30">
        <f t="shared" si="6"/>
        <v>30859944</v>
      </c>
      <c r="O11" s="33">
        <f t="shared" si="7"/>
        <v>9.9888260316516089</v>
      </c>
      <c r="P11" s="34">
        <v>25767032</v>
      </c>
      <c r="Q11" s="35">
        <v>257382400</v>
      </c>
      <c r="R11" s="35">
        <v>29222736</v>
      </c>
      <c r="S11" s="35">
        <v>1637208</v>
      </c>
      <c r="T11" s="35">
        <v>226522456</v>
      </c>
      <c r="U11" s="36" t="s">
        <v>584</v>
      </c>
      <c r="V11" s="36" t="s">
        <v>584</v>
      </c>
      <c r="W11" s="36" t="s">
        <v>584</v>
      </c>
      <c r="X11" s="36" t="s">
        <v>584</v>
      </c>
      <c r="Y11" s="36" t="s">
        <v>584</v>
      </c>
      <c r="Z11" s="37">
        <v>867.94</v>
      </c>
      <c r="AA11" s="37">
        <v>12200.3</v>
      </c>
      <c r="AB11" s="37">
        <v>4.0960000000000001</v>
      </c>
      <c r="AC11" s="37">
        <v>30.463999999999999</v>
      </c>
      <c r="AE11" s="39">
        <f t="shared" si="8"/>
        <v>5.4334875490410425E-2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-257382400</v>
      </c>
      <c r="BK11">
        <f t="shared" si="21"/>
        <v>-29222736</v>
      </c>
      <c r="BL11">
        <f t="shared" si="21"/>
        <v>-1637208</v>
      </c>
      <c r="BM11">
        <f t="shared" si="21"/>
        <v>-226522456</v>
      </c>
      <c r="BP11" t="s">
        <v>591</v>
      </c>
    </row>
    <row r="12" spans="1:68" x14ac:dyDescent="0.3">
      <c r="B12" s="50" t="s">
        <v>14</v>
      </c>
      <c r="J12" s="51">
        <f>AVERAGE(J5:J8)</f>
        <v>9.6101619313923798</v>
      </c>
      <c r="K12" s="51">
        <f>AVERAGE(K5:K8)</f>
        <v>1.3718881489248786</v>
      </c>
      <c r="L12" s="51">
        <f>AVERAGE(L5:L8)</f>
        <v>1.2548806611943335</v>
      </c>
      <c r="M12" s="51">
        <f>AVERAGE(M5:M8)</f>
        <v>8.2382737824675019</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3">
      <c r="B13" s="50" t="s">
        <v>15</v>
      </c>
      <c r="J13" s="51">
        <f>AVERAGE(J9:J9)</f>
        <v>14.842073026003689</v>
      </c>
      <c r="K13" s="51">
        <f>AVERAGE(K9:K9)</f>
        <v>1.5085578582646109</v>
      </c>
      <c r="L13" s="51">
        <f>AVERAGE(L9:L9)</f>
        <v>1.408000060681702</v>
      </c>
      <c r="M13" s="51">
        <f>AVERAGE(M9:M9)</f>
        <v>13.333515167739078</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3">
      <c r="B14" s="50" t="s">
        <v>16</v>
      </c>
      <c r="J14" s="51">
        <f>AVERAGE(J10:J11)</f>
        <v>3.0605160724735456</v>
      </c>
      <c r="K14" s="51">
        <f>AVERAGE(K10:K11)</f>
        <v>0.35592816596243615</v>
      </c>
      <c r="L14" s="51">
        <f>AVERAGE(L10:L11)</f>
        <v>0.33822802940984964</v>
      </c>
      <c r="M14" s="51">
        <f>AVERAGE(M10:M11)</f>
        <v>2.7045879065111094</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x14ac:dyDescent="0.3">
      <c r="B15" s="50" t="s">
        <v>17</v>
      </c>
      <c r="J15" s="51">
        <f>AVERAGE(J5:J11)</f>
        <v>8.4862504137886141</v>
      </c>
      <c r="K15" s="51">
        <f>AVERAGE(K5:K11)</f>
        <v>1.1011381122698569</v>
      </c>
      <c r="L15" s="51">
        <f>AVERAGE(L5:L11)</f>
        <v>1.0148541091826764</v>
      </c>
      <c r="M15" s="51">
        <f>AVERAGE(M5:M11)</f>
        <v>7.3851123015187587</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3">
      <c r="A16" s="50" t="s">
        <v>249</v>
      </c>
      <c r="B16" s="50" t="s">
        <v>250</v>
      </c>
      <c r="Z16" s="52">
        <f>SUM(Z5:Z8,Z9:Z9,Z10:Z11)</f>
        <v>17221.153999999999</v>
      </c>
      <c r="AA16" s="52">
        <f>SUM(AA5:AA8,AA9:AA9,AA10:AA11)</f>
        <v>63604.240000000005</v>
      </c>
      <c r="AB16" s="52">
        <f>SUM(AB5:AB8,AB9:AB9,AB10:AB11)</f>
        <v>30.903999999999996</v>
      </c>
      <c r="AC16" s="52">
        <f>SUM(AC5:AC8,AC9:AC9,AC10:AC11)</f>
        <v>195.15600000000001</v>
      </c>
      <c r="AW16" s="52">
        <f>SUM(AW5:AW8,AW9:AW9,AW10:AW11)</f>
        <v>0</v>
      </c>
      <c r="AX16" s="52">
        <f>SUM(AX5:AX8,AX9:AX9,AX10:AX11)</f>
        <v>0</v>
      </c>
      <c r="AY16" s="52">
        <f>SUM(AY5:AY8,AY9:AY9,AY10:AY11)</f>
        <v>0</v>
      </c>
      <c r="AZ16" s="52">
        <f>SUM(AZ5:AZ8,AZ9:AZ9,AZ10:AZ11)</f>
        <v>0</v>
      </c>
    </row>
    <row r="17" spans="2:52" hidden="1" outlineLevel="2" x14ac:dyDescent="0.3">
      <c r="B17" s="50" t="s">
        <v>251</v>
      </c>
      <c r="AW17" s="55">
        <f>AW16/Z16</f>
        <v>0</v>
      </c>
      <c r="AX17" s="55">
        <f>AX16/AA16</f>
        <v>0</v>
      </c>
      <c r="AY17" s="55">
        <f>AY16/AB16</f>
        <v>0</v>
      </c>
      <c r="AZ17" s="55">
        <f>AZ16/AC16</f>
        <v>0</v>
      </c>
    </row>
    <row r="18" spans="2:52" hidden="1" outlineLevel="2" x14ac:dyDescent="0.3">
      <c r="B18" s="50" t="s">
        <v>252</v>
      </c>
      <c r="Z18" s="52">
        <f>GEOMEAN(Z5:Z8,Z9:Z9,Z10:Z11)</f>
        <v>2077.3119636338693</v>
      </c>
      <c r="AA18" s="52">
        <f>GEOMEAN(AA5:AA8,AA9:AA9,AA10:AA11)</f>
        <v>8910.2268764367273</v>
      </c>
      <c r="AB18" s="52">
        <f>GEOMEAN(AB5:AB8,AB9:AB9,AB10:AB11)</f>
        <v>4.3908954946312839</v>
      </c>
      <c r="AC18" s="52">
        <f>GEOMEAN(AC5:AC8,AC9:AC9,AC10:AC11)</f>
        <v>27.792701537733667</v>
      </c>
      <c r="AW18" s="52" t="e">
        <f>GEOMEAN(AW5:AW8,AW9:AW9,AW10:AW11)</f>
        <v>#NUM!</v>
      </c>
      <c r="AX18" s="52" t="e">
        <f>GEOMEAN(AX5:AX8,AX9:AX9,AX10:AX11)</f>
        <v>#NUM!</v>
      </c>
      <c r="AY18" s="52" t="e">
        <f>GEOMEAN(AY5:AY8,AY9:AY9,AY10:AY11)</f>
        <v>#NUM!</v>
      </c>
      <c r="AZ18" s="52" t="e">
        <f>GEOMEAN(AZ5:AZ8,AZ9:AZ9,AZ10:AZ11)</f>
        <v>#NUM!</v>
      </c>
    </row>
    <row r="19" spans="2:52" outlineLevel="2" collapsed="1" x14ac:dyDescent="0.3">
      <c r="B19" s="50" t="s">
        <v>253</v>
      </c>
      <c r="AW19" s="55" t="e">
        <f>AW18/Z18</f>
        <v>#NUM!</v>
      </c>
      <c r="AX19" s="55" t="e">
        <f>AX18/AA18</f>
        <v>#NUM!</v>
      </c>
      <c r="AY19" s="55" t="e">
        <f>AY18/AB18</f>
        <v>#NUM!</v>
      </c>
      <c r="AZ19" s="55" t="e">
        <f>AZ18/AC18</f>
        <v>#NUM!</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Hossein Najaf-Zadeh</cp:lastModifiedBy>
  <dcterms:created xsi:type="dcterms:W3CDTF">2019-04-23T13:57:55Z</dcterms:created>
  <dcterms:modified xsi:type="dcterms:W3CDTF">2019-07-31T00:45:38Z</dcterms:modified>
</cp:coreProperties>
</file>