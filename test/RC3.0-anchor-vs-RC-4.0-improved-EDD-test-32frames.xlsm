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r.joshi\Desktop\projects\PCC\Marrakech-01-19\"/>
    </mc:Choice>
  </mc:AlternateContent>
  <bookViews>
    <workbookView xWindow="6624" yWindow="1176" windowWidth="16416" windowHeight="8016" firstSheet="1" activeTab="5"/>
  </bookViews>
  <sheets>
    <sheet name="Summary" sheetId="1" r:id="rId1"/>
    <sheet name="Graphs" sheetId="2" r:id="rId2"/>
    <sheet name="C2 lossyG,lossyA,intra" sheetId="3" r:id="rId3"/>
    <sheet name="C2 lossyG,lossyA,interRA" sheetId="7" r:id="rId4"/>
    <sheet name="names" sheetId="4" state="hidden" r:id="rId5"/>
    <sheet name="CW losslG,losslA,intra" sheetId="5" r:id="rId6"/>
    <sheet name="CW losslG,losslA,interLD" sheetId="6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AQ24" i="6" l="1"/>
  <c r="AP24" i="6"/>
  <c r="AO24" i="6"/>
  <c r="AN24" i="6"/>
  <c r="AQ23" i="6"/>
  <c r="AP23" i="6"/>
  <c r="AO23" i="6"/>
  <c r="AN23" i="6"/>
  <c r="AQ22" i="6"/>
  <c r="AP22" i="6"/>
  <c r="AO22" i="6"/>
  <c r="AN22" i="6"/>
  <c r="AQ21" i="6"/>
  <c r="AP21" i="6"/>
  <c r="AO21" i="6"/>
  <c r="AN21" i="6"/>
  <c r="AQ20" i="6"/>
  <c r="AP20" i="6"/>
  <c r="AO20" i="6"/>
  <c r="AN20" i="6"/>
  <c r="AM24" i="6"/>
  <c r="AM23" i="6"/>
  <c r="AM22" i="6"/>
  <c r="AM21" i="6"/>
  <c r="AM20" i="6"/>
  <c r="AQ24" i="5"/>
  <c r="AP24" i="5"/>
  <c r="AO24" i="5"/>
  <c r="AN24" i="5"/>
  <c r="AM24" i="5"/>
  <c r="AQ23" i="5"/>
  <c r="AP23" i="5"/>
  <c r="AO23" i="5"/>
  <c r="AN23" i="5"/>
  <c r="AM23" i="5"/>
  <c r="AQ22" i="5"/>
  <c r="AP22" i="5"/>
  <c r="AO22" i="5"/>
  <c r="AN22" i="5"/>
  <c r="AM22" i="5"/>
  <c r="AQ21" i="5"/>
  <c r="AP21" i="5"/>
  <c r="AO21" i="5"/>
  <c r="AN21" i="5"/>
  <c r="AM21" i="5"/>
  <c r="AQ20" i="5"/>
  <c r="AP20" i="5"/>
  <c r="AO20" i="5"/>
  <c r="AN20" i="5"/>
  <c r="AM20" i="5"/>
  <c r="BU5" i="7" l="1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H5" i="6"/>
  <c r="BH6" i="6"/>
  <c r="BH7" i="6"/>
  <c r="BH8" i="6"/>
  <c r="BH9" i="6"/>
  <c r="BH6" i="5" l="1"/>
  <c r="BH7" i="5"/>
  <c r="BH8" i="5"/>
  <c r="BH9" i="5"/>
  <c r="BH5" i="5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BF28" i="7" s="1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I25" i="7" s="1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BF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I21" i="7" s="1"/>
  <c r="AK21" i="7"/>
  <c r="AJ21" i="7"/>
  <c r="AH21" i="7"/>
  <c r="AG21" i="7"/>
  <c r="O21" i="7"/>
  <c r="N21" i="7"/>
  <c r="K21" i="7" s="1"/>
  <c r="M21" i="7"/>
  <c r="L21" i="7"/>
  <c r="J21" i="7"/>
  <c r="I21" i="7"/>
  <c r="BG20" i="7" a="1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I19" i="7" s="1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G15" i="7" a="1"/>
  <c r="BE15" i="7"/>
  <c r="AM15" i="7"/>
  <c r="AL15" i="7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BF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BG10" i="7" s="1" a="1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AX16" i="6" s="1"/>
  <c r="Z15" i="6"/>
  <c r="AZ13" i="6"/>
  <c r="AY13" i="6"/>
  <c r="AX13" i="6"/>
  <c r="AW13" i="6"/>
  <c r="AC13" i="6"/>
  <c r="AB13" i="6"/>
  <c r="AA13" i="6"/>
  <c r="AX14" i="6" s="1"/>
  <c r="Z13" i="6"/>
  <c r="AL9" i="6"/>
  <c r="AK9" i="6"/>
  <c r="BF9" i="6" s="1" a="1"/>
  <c r="AJ9" i="6"/>
  <c r="AI9" i="6"/>
  <c r="AI11" i="6" s="1"/>
  <c r="AG9" i="6"/>
  <c r="AG11" i="6" s="1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BF7" i="6" a="1"/>
  <c r="AL7" i="6"/>
  <c r="AK7" i="6"/>
  <c r="AH7" i="6" s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BF5" i="6" a="1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BF8" i="5" s="1" a="1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BF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BG25" i="3" s="1" a="1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K21" i="3" s="1"/>
  <c r="M21" i="3"/>
  <c r="L21" i="3"/>
  <c r="J21" i="3"/>
  <c r="I21" i="3"/>
  <c r="BE20" i="3"/>
  <c r="AM20" i="3"/>
  <c r="AL20" i="3"/>
  <c r="AK20" i="3"/>
  <c r="AJ20" i="3"/>
  <c r="AH20" i="3"/>
  <c r="AG20" i="3"/>
  <c r="O20" i="3"/>
  <c r="N20" i="3"/>
  <c r="BG20" i="3" s="1" a="1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K19" i="3" s="1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K16" i="3" s="1"/>
  <c r="M16" i="3"/>
  <c r="L16" i="3"/>
  <c r="J16" i="3"/>
  <c r="I16" i="3"/>
  <c r="BE15" i="3"/>
  <c r="AM15" i="3"/>
  <c r="AL15" i="3"/>
  <c r="AK15" i="3"/>
  <c r="AJ15" i="3"/>
  <c r="AH15" i="3"/>
  <c r="AG15" i="3"/>
  <c r="O15" i="3"/>
  <c r="N15" i="3"/>
  <c r="BG15" i="3" s="1" a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K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K13" i="3" s="1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K12" i="3" s="1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K11" i="3" s="1"/>
  <c r="M11" i="3"/>
  <c r="L11" i="3"/>
  <c r="J11" i="3"/>
  <c r="I11" i="3"/>
  <c r="BE10" i="3"/>
  <c r="AM10" i="3"/>
  <c r="AL10" i="3"/>
  <c r="AK10" i="3"/>
  <c r="AJ10" i="3"/>
  <c r="AH10" i="3"/>
  <c r="AG10" i="3"/>
  <c r="O10" i="3"/>
  <c r="N10" i="3"/>
  <c r="BG10" i="3" s="1" a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K9" i="3" s="1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Q25" i="3"/>
  <c r="BO5" i="7"/>
  <c r="BR15" i="7"/>
  <c r="BP15" i="3"/>
  <c r="BP5" i="3"/>
  <c r="BP5" i="7"/>
  <c r="BR20" i="7"/>
  <c r="BM5" i="7"/>
  <c r="BP25" i="7"/>
  <c r="BK15" i="7"/>
  <c r="BP10" i="3"/>
  <c r="BP20" i="7"/>
  <c r="BP10" i="7"/>
  <c r="BS20" i="7"/>
  <c r="BL20" i="3"/>
  <c r="BK25" i="3"/>
  <c r="BS15" i="7"/>
  <c r="BP20" i="3"/>
  <c r="BM10" i="3"/>
  <c r="BM10" i="7"/>
  <c r="BL5" i="7"/>
  <c r="BM25" i="3"/>
  <c r="BR10" i="7"/>
  <c r="BM20" i="3"/>
  <c r="BO10" i="7"/>
  <c r="BQ10" i="3"/>
  <c r="BS5" i="3"/>
  <c r="BL20" i="7"/>
  <c r="BQ20" i="7"/>
  <c r="BO20" i="7"/>
  <c r="BS10" i="3"/>
  <c r="BM5" i="3"/>
  <c r="BK10" i="3"/>
  <c r="BL25" i="3"/>
  <c r="BP25" i="3"/>
  <c r="BS5" i="7"/>
  <c r="BM15" i="3"/>
  <c r="BL25" i="7"/>
  <c r="BQ15" i="7"/>
  <c r="BO5" i="3"/>
  <c r="BS15" i="3"/>
  <c r="BP15" i="7"/>
  <c r="BM20" i="7"/>
  <c r="BS25" i="3"/>
  <c r="BK5" i="3"/>
  <c r="BK20" i="3"/>
  <c r="BL15" i="3"/>
  <c r="BR5" i="3"/>
  <c r="BO25" i="7"/>
  <c r="BR20" i="3"/>
  <c r="BM15" i="7"/>
  <c r="BL5" i="3"/>
  <c r="BS20" i="3"/>
  <c r="BL15" i="7"/>
  <c r="BM25" i="7"/>
  <c r="BQ15" i="3"/>
  <c r="BO20" i="3"/>
  <c r="BQ5" i="3"/>
  <c r="BR25" i="3"/>
  <c r="BO15" i="7"/>
  <c r="BO10" i="3"/>
  <c r="BK10" i="7"/>
  <c r="BL10" i="7"/>
  <c r="BQ10" i="7"/>
  <c r="BK15" i="3"/>
  <c r="BR10" i="3"/>
  <c r="BQ25" i="7"/>
  <c r="BK25" i="7"/>
  <c r="BS10" i="7"/>
  <c r="BQ20" i="3"/>
  <c r="BO25" i="3"/>
  <c r="BK5" i="7"/>
  <c r="BQ5" i="7"/>
  <c r="BK20" i="7"/>
  <c r="BR25" i="7"/>
  <c r="BO15" i="3"/>
  <c r="BR15" i="3"/>
  <c r="BS25" i="7"/>
  <c r="BL10" i="3"/>
  <c r="BR5" i="7"/>
  <c r="BC34" i="3" l="1"/>
  <c r="BF28" i="3"/>
  <c r="M32" i="3"/>
  <c r="BF10" i="3"/>
  <c r="J31" i="7"/>
  <c r="BF11" i="7"/>
  <c r="BF15" i="7"/>
  <c r="BF29" i="7"/>
  <c r="L31" i="7"/>
  <c r="BF12" i="7"/>
  <c r="BF26" i="7"/>
  <c r="BF13" i="7"/>
  <c r="BF23" i="7"/>
  <c r="BF27" i="7"/>
  <c r="BB6" i="6"/>
  <c r="K12" i="6"/>
  <c r="BB8" i="6"/>
  <c r="BE8" i="6"/>
  <c r="BB7" i="5"/>
  <c r="BC8" i="5"/>
  <c r="BC7" i="5"/>
  <c r="BB5" i="5"/>
  <c r="BE5" i="5"/>
  <c r="AZ14" i="5"/>
  <c r="L12" i="5"/>
  <c r="K28" i="3"/>
  <c r="BF15" i="3"/>
  <c r="BF20" i="3"/>
  <c r="BC11" i="6"/>
  <c r="D30" i="1" s="1"/>
  <c r="AI15" i="7"/>
  <c r="BG20" i="3"/>
  <c r="AI20" i="3"/>
  <c r="BF27" i="3"/>
  <c r="BC6" i="5"/>
  <c r="AI28" i="7"/>
  <c r="BC7" i="6"/>
  <c r="AI12" i="5"/>
  <c r="BC12" i="5" s="1"/>
  <c r="C20" i="1" s="1"/>
  <c r="BE7" i="5"/>
  <c r="AI10" i="3"/>
  <c r="AI26" i="7"/>
  <c r="AI13" i="7"/>
  <c r="BG10" i="7"/>
  <c r="AI24" i="7"/>
  <c r="AI29" i="7"/>
  <c r="AH30" i="7"/>
  <c r="AH31" i="7"/>
  <c r="AI12" i="7"/>
  <c r="AI14" i="7"/>
  <c r="AI23" i="7"/>
  <c r="AI27" i="7"/>
  <c r="AJ31" i="7"/>
  <c r="BO31" i="7"/>
  <c r="H41" i="1" s="1"/>
  <c r="BS31" i="7"/>
  <c r="L41" i="1" s="1"/>
  <c r="BR31" i="7"/>
  <c r="K41" i="1" s="1"/>
  <c r="BK31" i="7"/>
  <c r="E41" i="1" s="1"/>
  <c r="BP31" i="7"/>
  <c r="I41" i="1" s="1"/>
  <c r="BM31" i="7"/>
  <c r="G41" i="1" s="1"/>
  <c r="BL31" i="7"/>
  <c r="F41" i="1" s="1"/>
  <c r="BQ31" i="7"/>
  <c r="J41" i="1" s="1"/>
  <c r="AJ32" i="7"/>
  <c r="AI11" i="7"/>
  <c r="AK31" i="7"/>
  <c r="AK30" i="7"/>
  <c r="AK32" i="7"/>
  <c r="BE6" i="6"/>
  <c r="AI12" i="6"/>
  <c r="BF7" i="6"/>
  <c r="BE9" i="6"/>
  <c r="AH8" i="6"/>
  <c r="AH10" i="6" s="1"/>
  <c r="AH9" i="6"/>
  <c r="AH11" i="6" s="1"/>
  <c r="BE9" i="5"/>
  <c r="BF9" i="5"/>
  <c r="BF11" i="5" s="1"/>
  <c r="BF6" i="5"/>
  <c r="AH7" i="5"/>
  <c r="BG5" i="3"/>
  <c r="BF11" i="3"/>
  <c r="BF21" i="3"/>
  <c r="BF17" i="3"/>
  <c r="BF23" i="3"/>
  <c r="AH31" i="3"/>
  <c r="BF12" i="3"/>
  <c r="BF19" i="3"/>
  <c r="AI25" i="3"/>
  <c r="AI31" i="3" s="1"/>
  <c r="BF6" i="3"/>
  <c r="BM31" i="3"/>
  <c r="G10" i="1" s="1"/>
  <c r="BR30" i="3"/>
  <c r="K9" i="1" s="1"/>
  <c r="BO31" i="3"/>
  <c r="H10" i="1" s="1"/>
  <c r="BS31" i="3"/>
  <c r="L10" i="1" s="1"/>
  <c r="BQ30" i="3"/>
  <c r="J9" i="1" s="1"/>
  <c r="BO32" i="3"/>
  <c r="H11" i="1" s="1"/>
  <c r="BS32" i="3"/>
  <c r="L11" i="1" s="1"/>
  <c r="BK31" i="3"/>
  <c r="E10" i="1" s="1"/>
  <c r="BP31" i="3"/>
  <c r="I10" i="1" s="1"/>
  <c r="BL30" i="3"/>
  <c r="F9" i="1" s="1"/>
  <c r="BR31" i="3"/>
  <c r="K10" i="1" s="1"/>
  <c r="BM30" i="3"/>
  <c r="G9" i="1" s="1"/>
  <c r="BL31" i="3"/>
  <c r="F10" i="1" s="1"/>
  <c r="BQ31" i="3"/>
  <c r="J10" i="1" s="1"/>
  <c r="AJ32" i="3"/>
  <c r="BG15" i="3"/>
  <c r="AI15" i="3"/>
  <c r="BF16" i="3"/>
  <c r="BF24" i="3"/>
  <c r="AJ31" i="3"/>
  <c r="BF29" i="3"/>
  <c r="AK31" i="3"/>
  <c r="BF26" i="3"/>
  <c r="AK32" i="3"/>
  <c r="AH30" i="3"/>
  <c r="BF18" i="3"/>
  <c r="BF22" i="3"/>
  <c r="AZ34" i="7"/>
  <c r="AZ36" i="7"/>
  <c r="C43" i="1" s="1"/>
  <c r="BM32" i="7"/>
  <c r="G42" i="1" s="1"/>
  <c r="BR32" i="7"/>
  <c r="K42" i="1" s="1"/>
  <c r="BA34" i="7"/>
  <c r="BA36" i="7"/>
  <c r="L32" i="7"/>
  <c r="BG5" i="7"/>
  <c r="BO32" i="7"/>
  <c r="H42" i="1" s="1"/>
  <c r="BS32" i="7"/>
  <c r="L42" i="1" s="1"/>
  <c r="BG20" i="7"/>
  <c r="M31" i="7"/>
  <c r="BB34" i="7"/>
  <c r="BB36" i="7"/>
  <c r="C44" i="1" s="1"/>
  <c r="M30" i="7"/>
  <c r="BF5" i="7"/>
  <c r="BK30" i="7"/>
  <c r="E40" i="1" s="1"/>
  <c r="BP30" i="7"/>
  <c r="I40" i="1" s="1"/>
  <c r="BG15" i="7"/>
  <c r="BC34" i="7"/>
  <c r="BC36" i="7"/>
  <c r="BB36" i="3"/>
  <c r="C13" i="1" s="1"/>
  <c r="BF9" i="3"/>
  <c r="BF14" i="3"/>
  <c r="L31" i="3"/>
  <c r="BF25" i="3"/>
  <c r="K27" i="3"/>
  <c r="AZ34" i="3"/>
  <c r="BC36" i="3"/>
  <c r="J30" i="3"/>
  <c r="BK32" i="3"/>
  <c r="E11" i="1" s="1"/>
  <c r="BP32" i="3"/>
  <c r="I11" i="1" s="1"/>
  <c r="BF8" i="3"/>
  <c r="BF13" i="3"/>
  <c r="M31" i="3"/>
  <c r="BG25" i="3"/>
  <c r="BG31" i="3" s="1"/>
  <c r="K26" i="3"/>
  <c r="BA34" i="3"/>
  <c r="AZ36" i="3"/>
  <c r="C12" i="1" s="1"/>
  <c r="BG10" i="3"/>
  <c r="L32" i="3"/>
  <c r="BF5" i="3"/>
  <c r="BF7" i="3"/>
  <c r="J31" i="3"/>
  <c r="BA36" i="3"/>
  <c r="BC9" i="6"/>
  <c r="AY14" i="6"/>
  <c r="BE7" i="6"/>
  <c r="BC8" i="6"/>
  <c r="AZ14" i="6"/>
  <c r="AY16" i="6"/>
  <c r="C33" i="1" s="1"/>
  <c r="BE5" i="6"/>
  <c r="BC6" i="6"/>
  <c r="BD7" i="6"/>
  <c r="L12" i="6"/>
  <c r="BC5" i="6"/>
  <c r="BF6" i="6"/>
  <c r="BF9" i="6"/>
  <c r="BF11" i="6" s="1"/>
  <c r="AW14" i="6"/>
  <c r="AZ16" i="6"/>
  <c r="BF5" i="6"/>
  <c r="BF8" i="6"/>
  <c r="AW16" i="6"/>
  <c r="C32" i="1" s="1"/>
  <c r="K12" i="5"/>
  <c r="BC11" i="5"/>
  <c r="C19" i="1" s="1"/>
  <c r="AY16" i="5"/>
  <c r="C22" i="1" s="1"/>
  <c r="AZ16" i="5"/>
  <c r="M10" i="5"/>
  <c r="BE6" i="5"/>
  <c r="BD8" i="5"/>
  <c r="BB9" i="5"/>
  <c r="AX14" i="5"/>
  <c r="AW16" i="5"/>
  <c r="C21" i="1" s="1"/>
  <c r="BD6" i="5"/>
  <c r="AW14" i="5"/>
  <c r="BF5" i="5"/>
  <c r="BF8" i="5"/>
  <c r="BC9" i="5"/>
  <c r="AY14" i="5"/>
  <c r="AX16" i="5"/>
  <c r="BM30" i="7"/>
  <c r="G40" i="1" s="1"/>
  <c r="BR30" i="7"/>
  <c r="K40" i="1" s="1"/>
  <c r="K5" i="3"/>
  <c r="K10" i="3"/>
  <c r="K15" i="3"/>
  <c r="K20" i="3"/>
  <c r="L30" i="3"/>
  <c r="AJ30" i="3"/>
  <c r="BO30" i="3"/>
  <c r="H9" i="1" s="1"/>
  <c r="BS30" i="3"/>
  <c r="L9" i="1" s="1"/>
  <c r="J32" i="3"/>
  <c r="AH32" i="3"/>
  <c r="BL32" i="3"/>
  <c r="F11" i="1" s="1"/>
  <c r="BQ32" i="3"/>
  <c r="J11" i="1" s="1"/>
  <c r="BB6" i="5"/>
  <c r="BD9" i="5"/>
  <c r="K10" i="5"/>
  <c r="AI10" i="5"/>
  <c r="M12" i="5"/>
  <c r="BB7" i="6"/>
  <c r="BB11" i="6"/>
  <c r="C30" i="1" s="1"/>
  <c r="K10" i="6"/>
  <c r="J30" i="7"/>
  <c r="J32" i="7"/>
  <c r="K20" i="7"/>
  <c r="BF22" i="7"/>
  <c r="M30" i="3"/>
  <c r="AK30" i="3"/>
  <c r="BK30" i="3"/>
  <c r="E9" i="1" s="1"/>
  <c r="BP30" i="3"/>
  <c r="I9" i="1" s="1"/>
  <c r="BM32" i="3"/>
  <c r="G11" i="1" s="1"/>
  <c r="BR32" i="3"/>
  <c r="K11" i="1" s="1"/>
  <c r="BB34" i="3"/>
  <c r="BB8" i="5"/>
  <c r="BE8" i="5"/>
  <c r="BB11" i="5"/>
  <c r="D19" i="1" s="1"/>
  <c r="L10" i="5"/>
  <c r="AJ10" i="5"/>
  <c r="BF6" i="7"/>
  <c r="BF8" i="7"/>
  <c r="BF10" i="7"/>
  <c r="K15" i="7"/>
  <c r="BF17" i="7"/>
  <c r="BF19" i="7"/>
  <c r="BD5" i="5"/>
  <c r="BC5" i="5"/>
  <c r="AH8" i="5"/>
  <c r="AJ11" i="5"/>
  <c r="BD11" i="5" s="1"/>
  <c r="E19" i="1" s="1"/>
  <c r="M12" i="6"/>
  <c r="M10" i="6"/>
  <c r="AJ12" i="6"/>
  <c r="AJ10" i="6"/>
  <c r="BD5" i="6"/>
  <c r="BD6" i="6"/>
  <c r="K10" i="7"/>
  <c r="BF21" i="7"/>
  <c r="BF25" i="7"/>
  <c r="J12" i="5"/>
  <c r="AG12" i="5"/>
  <c r="BD7" i="5"/>
  <c r="AJ12" i="5"/>
  <c r="BD12" i="5" s="1"/>
  <c r="E20" i="1" s="1"/>
  <c r="J12" i="6"/>
  <c r="J10" i="6"/>
  <c r="AG12" i="6"/>
  <c r="AG10" i="6"/>
  <c r="BB5" i="6"/>
  <c r="BD8" i="6"/>
  <c r="BD9" i="6"/>
  <c r="AJ11" i="6"/>
  <c r="BD11" i="6" s="1"/>
  <c r="E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F16" i="7"/>
  <c r="BF18" i="7"/>
  <c r="BF20" i="7"/>
  <c r="K25" i="7"/>
  <c r="K31" i="7" s="1"/>
  <c r="BG25" i="7" a="1"/>
  <c r="BG25" i="7" s="1"/>
  <c r="BG31" i="7" s="1"/>
  <c r="M32" i="7"/>
  <c r="BK32" i="7"/>
  <c r="E42" i="1" s="1"/>
  <c r="BP32" i="7"/>
  <c r="I42" i="1" s="1"/>
  <c r="J10" i="5"/>
  <c r="AG10" i="5"/>
  <c r="BB9" i="6"/>
  <c r="L10" i="6"/>
  <c r="AI10" i="6"/>
  <c r="L30" i="7"/>
  <c r="AJ30" i="7"/>
  <c r="BO30" i="7"/>
  <c r="H40" i="1" s="1"/>
  <c r="BS30" i="7"/>
  <c r="L40" i="1" s="1"/>
  <c r="AH32" i="7"/>
  <c r="BJ20" i="3"/>
  <c r="BJ15" i="3"/>
  <c r="BI5" i="7"/>
  <c r="BJ20" i="7"/>
  <c r="BJ10" i="3"/>
  <c r="BJ25" i="7"/>
  <c r="BJ10" i="7"/>
  <c r="BI25" i="7"/>
  <c r="BI20" i="3"/>
  <c r="BJ5" i="3"/>
  <c r="BI5" i="3"/>
  <c r="BJ5" i="7"/>
  <c r="BI20" i="7"/>
  <c r="BJ25" i="3"/>
  <c r="BJ15" i="7"/>
  <c r="BI10" i="3"/>
  <c r="BI15" i="3"/>
  <c r="BI25" i="3"/>
  <c r="BI15" i="7"/>
  <c r="BI10" i="7"/>
  <c r="BJ31" i="3" l="1"/>
  <c r="D10" i="1" s="1"/>
  <c r="BC10" i="6"/>
  <c r="D29" i="1" s="1"/>
  <c r="K31" i="3"/>
  <c r="BC12" i="6"/>
  <c r="D31" i="1" s="1"/>
  <c r="BF10" i="6"/>
  <c r="BB12" i="6"/>
  <c r="C31" i="1" s="1"/>
  <c r="BB10" i="5"/>
  <c r="D18" i="1" s="1"/>
  <c r="BD10" i="5"/>
  <c r="E18" i="1" s="1"/>
  <c r="AI30" i="3"/>
  <c r="BG30" i="3"/>
  <c r="BF12" i="5"/>
  <c r="AI31" i="7"/>
  <c r="AI32" i="7"/>
  <c r="AI30" i="7"/>
  <c r="BI31" i="7"/>
  <c r="C41" i="1" s="1"/>
  <c r="BJ31" i="7"/>
  <c r="D41" i="1" s="1"/>
  <c r="BG30" i="7"/>
  <c r="BF12" i="6"/>
  <c r="AH12" i="6"/>
  <c r="BF10" i="5"/>
  <c r="AH12" i="5"/>
  <c r="AI32" i="3"/>
  <c r="BG32" i="3"/>
  <c r="BI31" i="3"/>
  <c r="C10" i="1" s="1"/>
  <c r="BJ30" i="3"/>
  <c r="D9" i="1" s="1"/>
  <c r="BG32" i="7"/>
  <c r="BJ32" i="3"/>
  <c r="D11" i="1" s="1"/>
  <c r="BB10" i="6"/>
  <c r="C29" i="1" s="1"/>
  <c r="BD12" i="6"/>
  <c r="E31" i="1" s="1"/>
  <c r="BI30" i="3"/>
  <c r="C9" i="1" s="1"/>
  <c r="K32" i="7"/>
  <c r="K30" i="7"/>
  <c r="BC10" i="5"/>
  <c r="C18" i="1" s="1"/>
  <c r="AH10" i="5"/>
  <c r="BI32" i="7"/>
  <c r="C42" i="1" s="1"/>
  <c r="BI30" i="7"/>
  <c r="C40" i="1" s="1"/>
  <c r="BB12" i="5"/>
  <c r="D20" i="1" s="1"/>
  <c r="BI32" i="3"/>
  <c r="C11" i="1" s="1"/>
  <c r="BJ32" i="7"/>
  <c r="D42" i="1" s="1"/>
  <c r="BJ30" i="7"/>
  <c r="D40" i="1" s="1"/>
  <c r="BD10" i="6"/>
  <c r="E29" i="1" s="1"/>
  <c r="K30" i="3"/>
  <c r="K32" i="3"/>
</calcChain>
</file>

<file path=xl/sharedStrings.xml><?xml version="1.0" encoding="utf-8"?>
<sst xmlns="http://schemas.openxmlformats.org/spreadsheetml/2006/main" count="1410" uniqueCount="552">
  <si>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</si>
  <si>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</si>
  <si>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</si>
  <si>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</si>
  <si>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</si>
  <si>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</si>
  <si>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</si>
  <si>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</si>
  <si>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</si>
  <si>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</si>
  <si>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</si>
  <si>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</si>
  <si>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</si>
  <si>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</si>
  <si>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</si>
  <si>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</si>
  <si>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</si>
  <si>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</si>
  <si>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</si>
  <si>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</si>
  <si>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</si>
  <si>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</si>
  <si>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</si>
  <si>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</si>
  <si>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</si>
  <si>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</si>
  <si>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</si>
  <si>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</si>
  <si>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</si>
  <si>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</si>
  <si>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</si>
  <si>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</si>
  <si>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</si>
  <si>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</si>
  <si>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</si>
  <si>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</si>
  <si>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</si>
  <si>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</si>
  <si>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</si>
  <si>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</si>
  <si>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</si>
  <si>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</si>
  <si>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</si>
  <si>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</si>
  <si>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</si>
  <si>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</si>
  <si>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</si>
  <si>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</si>
  <si>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</si>
  <si>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</si>
  <si>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</si>
  <si>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</si>
  <si>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</si>
  <si>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</si>
  <si>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</si>
  <si>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</si>
  <si>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</si>
  <si>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</si>
  <si>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</si>
  <si>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</si>
  <si>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</si>
  <si>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</si>
  <si>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</si>
  <si>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</si>
  <si>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</si>
  <si>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</si>
  <si>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</si>
  <si>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</si>
  <si>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</si>
  <si>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</si>
  <si>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</si>
  <si>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</si>
  <si>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</si>
  <si>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</si>
  <si>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</si>
  <si>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</si>
  <si>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</si>
  <si>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</si>
  <si>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</si>
  <si>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</si>
  <si>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</si>
  <si>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</si>
  <si>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</si>
  <si>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</si>
  <si>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</si>
  <si>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</si>
  <si>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</si>
  <si>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</si>
  <si>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</si>
  <si>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</si>
  <si>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</si>
  <si>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</si>
  <si>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</si>
  <si>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</si>
  <si>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</si>
  <si>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</si>
  <si>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</si>
  <si>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</si>
  <si>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</si>
  <si>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</si>
  <si>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</si>
  <si>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</si>
  <si>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</si>
  <si>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</si>
  <si>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</si>
  <si>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</si>
  <si>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</si>
  <si>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</si>
  <si>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</si>
  <si>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</si>
  <si>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</si>
  <si>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</si>
  <si>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</si>
  <si>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</si>
  <si>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</si>
  <si>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</si>
  <si>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</si>
  <si>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</si>
  <si>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</si>
  <si>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</si>
  <si>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</si>
  <si>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</si>
  <si>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</si>
  <si>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</si>
  <si>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</si>
  <si>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</si>
  <si>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</si>
  <si>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</si>
  <si>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</si>
  <si>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</si>
  <si>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</si>
  <si>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</si>
  <si>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</si>
  <si>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</si>
  <si>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</si>
  <si>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</si>
  <si>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</si>
  <si>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</si>
  <si>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</si>
  <si>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</si>
  <si>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</si>
  <si>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</si>
  <si>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</si>
  <si>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</si>
  <si>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</si>
  <si>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</si>
  <si>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</si>
  <si>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</si>
  <si>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</si>
  <si>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</si>
  <si>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</si>
  <si>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</si>
  <si>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</si>
  <si>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</si>
  <si>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</si>
  <si>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</si>
  <si>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</si>
  <si>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</si>
  <si>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</si>
  <si>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</si>
  <si>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</si>
  <si>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</si>
  <si>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</si>
  <si>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</si>
  <si>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</si>
  <si>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</si>
  <si>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</si>
  <si>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</si>
  <si>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</si>
  <si>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</si>
  <si>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</si>
  <si>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</si>
  <si>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</si>
  <si>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</si>
  <si>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</si>
  <si>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</si>
  <si>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</si>
  <si>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</si>
  <si>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</si>
  <si>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</si>
  <si>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</si>
  <si>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</si>
  <si>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</si>
  <si>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</si>
  <si>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</si>
  <si>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</si>
  <si>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</si>
  <si>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</si>
  <si>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</si>
  <si>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</si>
  <si>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</si>
  <si>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</si>
  <si>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</si>
  <si>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</si>
  <si>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</si>
  <si>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</si>
  <si>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</si>
  <si>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</si>
  <si>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</si>
  <si>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</si>
  <si>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</si>
  <si>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</si>
  <si>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</si>
  <si>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</si>
  <si>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</si>
  <si>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</si>
  <si>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</si>
  <si>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</si>
  <si>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</si>
  <si>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</si>
  <si>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</si>
  <si>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</si>
  <si>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</si>
  <si>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</si>
  <si>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</si>
  <si>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</si>
  <si>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</si>
  <si>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</si>
  <si>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</si>
  <si>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</si>
  <si>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</si>
  <si>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</si>
  <si>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</si>
  <si>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</si>
  <si>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</si>
  <si>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</si>
  <si>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</si>
  <si>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</si>
  <si>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</si>
  <si>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</si>
  <si>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</si>
  <si>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</si>
  <si>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</si>
  <si>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</si>
  <si>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</si>
  <si>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</si>
  <si>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</si>
  <si>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</si>
  <si>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</si>
  <si>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</si>
  <si>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</si>
  <si>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</si>
  <si>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</si>
  <si>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</si>
  <si>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</si>
  <si>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</si>
  <si>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</si>
  <si>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</si>
  <si>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</si>
  <si>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</si>
  <si>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</si>
  <si>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</si>
  <si>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</si>
  <si>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</si>
  <si>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</si>
  <si>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</si>
  <si>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</si>
  <si>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</si>
  <si>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</si>
  <si>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</si>
  <si>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</si>
  <si>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</si>
  <si>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</si>
  <si>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</si>
  <si>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</si>
  <si>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</si>
  <si>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</si>
  <si>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</si>
  <si>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</si>
  <si>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</si>
  <si>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</si>
  <si>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</si>
  <si>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</si>
  <si>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</si>
  <si>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</si>
  <si>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</si>
  <si>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</si>
  <si>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</si>
  <si>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</si>
  <si>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</si>
  <si>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</si>
  <si>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</si>
  <si>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</si>
  <si>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</si>
  <si>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</si>
  <si>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</si>
  <si>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</si>
  <si>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</si>
  <si>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</si>
  <si>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</si>
  <si>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</si>
  <si>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</si>
  <si>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</si>
  <si>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</si>
  <si>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</si>
  <si>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</si>
  <si>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</si>
  <si>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</si>
  <si>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</si>
  <si>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</si>
  <si>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</si>
  <si>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</si>
  <si>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</si>
  <si>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</si>
  <si>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</si>
  <si>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</si>
  <si>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</si>
  <si>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</si>
  <si>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</si>
  <si>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</si>
  <si>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</si>
  <si>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</si>
  <si>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</si>
  <si>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</si>
  <si>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</si>
  <si>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</si>
  <si>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</si>
  <si>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</si>
  <si>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</si>
  <si>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</si>
  <si>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</si>
  <si>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</si>
  <si>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</si>
  <si>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</si>
  <si>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</si>
  <si>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</si>
  <si>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</si>
  <si>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</si>
  <si>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</si>
  <si>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</si>
  <si>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</si>
  <si>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</si>
  <si>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</si>
  <si>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</si>
  <si>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</si>
  <si>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</si>
  <si>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</si>
  <si>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</si>
  <si>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</si>
  <si>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</si>
  <si>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</si>
  <si>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</si>
  <si>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</si>
  <si>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</si>
  <si>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</si>
  <si>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</si>
  <si>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</si>
  <si>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</si>
  <si>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</si>
  <si>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</si>
  <si>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</si>
  <si>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</si>
  <si>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</si>
  <si>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</si>
  <si>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</si>
  <si>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</si>
  <si>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</si>
  <si>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</si>
  <si>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</si>
  <si>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</si>
  <si>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</si>
  <si>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</si>
  <si>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</si>
  <si>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</si>
  <si>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</si>
  <si>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</si>
  <si>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</si>
  <si>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</si>
  <si>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</si>
  <si>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</si>
  <si>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</si>
  <si>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</si>
  <si>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</si>
  <si>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</si>
  <si>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</si>
  <si>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</si>
  <si>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</si>
  <si>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</si>
  <si>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</si>
  <si>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</si>
  <si>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</si>
  <si>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</si>
  <si>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</si>
  <si>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</si>
  <si>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</si>
  <si>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</si>
  <si>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</si>
  <si>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</si>
  <si>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</si>
  <si>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</si>
  <si>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</si>
  <si>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</si>
  <si>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</si>
  <si>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</si>
  <si>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</si>
  <si>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</si>
  <si>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</si>
  <si>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</si>
  <si>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</si>
  <si>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</si>
  <si>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</si>
  <si>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</si>
  <si>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</si>
  <si>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</si>
  <si>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</si>
  <si>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</si>
  <si>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</si>
  <si>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</si>
  <si>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</si>
  <si>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</si>
  <si>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</si>
  <si>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</si>
  <si>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</si>
  <si>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</si>
  <si>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</si>
  <si>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</si>
  <si>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</si>
  <si>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</si>
  <si>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</si>
  <si>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</si>
  <si>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</si>
  <si>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</si>
  <si>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</si>
  <si>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</si>
  <si>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</si>
  <si>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</si>
  <si>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</si>
  <si>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</si>
  <si>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</si>
  <si>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</si>
  <si>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</si>
  <si>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</si>
  <si>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</si>
  <si>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</si>
  <si>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</si>
  <si>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</si>
  <si>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</si>
  <si>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</si>
  <si>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</si>
  <si>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</si>
  <si>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</si>
  <si>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</si>
  <si>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</si>
  <si>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</si>
  <si>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</si>
  <si>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</si>
  <si>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</si>
  <si>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</si>
  <si>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</si>
  <si>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</si>
  <si>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</si>
  <si>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</si>
  <si>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</si>
  <si>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</si>
  <si>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</si>
  <si>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</si>
  <si>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</si>
  <si>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</si>
  <si>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</si>
  <si>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</si>
  <si>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</si>
  <si>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</si>
  <si>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</si>
  <si>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</si>
  <si>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</si>
  <si>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</si>
  <si>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</si>
  <si>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</si>
  <si>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</si>
  <si>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</si>
  <si>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</si>
  <si>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</si>
  <si>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</si>
  <si>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</si>
  <si>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</si>
  <si>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</si>
  <si>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</si>
  <si>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</si>
  <si>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</si>
  <si>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</si>
  <si>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</si>
  <si>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</si>
  <si>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</si>
  <si>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</si>
  <si>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</si>
  <si>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</si>
  <si>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</si>
  <si>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</si>
  <si>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</si>
  <si>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</si>
  <si>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</si>
  <si>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</si>
  <si>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</si>
  <si>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</si>
  <si>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</si>
  <si>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</si>
  <si>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</si>
  <si>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</si>
  <si>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</si>
  <si>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</si>
  <si>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</si>
  <si>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</si>
  <si>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</si>
  <si>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</si>
  <si>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</si>
  <si>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</si>
  <si>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</si>
  <si>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</si>
  <si>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</si>
  <si>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</si>
  <si>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</si>
  <si>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</si>
  <si>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</si>
  <si>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</si>
  <si>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</si>
  <si>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</si>
  <si>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</si>
  <si>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</si>
  <si>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</si>
  <si>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</si>
  <si>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</si>
  <si>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</si>
  <si>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</si>
  <si>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</si>
  <si>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</si>
  <si>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</si>
  <si>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</si>
  <si>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</si>
  <si>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</si>
  <si>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</si>
  <si>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</si>
  <si>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</si>
  <si>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</si>
  <si>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</si>
  <si>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</si>
  <si>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</si>
  <si>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</si>
  <si>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</si>
  <si>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</si>
  <si>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</si>
  <si>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</si>
  <si>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</si>
  <si>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</si>
  <si>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</si>
  <si>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</si>
  <si>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</si>
  <si>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</si>
  <si>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</si>
  <si>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</si>
  <si>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</si>
  <si>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Diff</t>
  </si>
  <si>
    <t>reference (tmc2v4.0rc1.0_pc_error_0.12.3a, Samsung)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</si>
</sst>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00"/>
    <numFmt numFmtId="166" formatCode="[&gt;1000]0;[&gt;100]0.0;0.00"/>
    <numFmt numFmtId="167" formatCode="0.000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8" borderId="0" xfId="0" applyNumberFormat="1" applyFill="1" applyAlignment="1">
      <alignment horizontal="center"/>
    </xf>
    <xf numFmtId="167" fontId="0" fillId="0" borderId="0" xfId="0" applyNumberFormat="1"/>
    <xf numFmtId="167" fontId="0" fillId="10" borderId="0" xfId="0" applyNumberFormat="1" applyFill="1" applyAlignment="1">
      <alignment horizontal="center"/>
    </xf>
    <xf numFmtId="167" fontId="0" fillId="8" borderId="3" xfId="0" applyNumberFormat="1" applyFill="1" applyBorder="1" applyAlignment="1">
      <alignment horizontal="center"/>
    </xf>
    <xf numFmtId="167" fontId="0" fillId="10" borderId="3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 (tmc2v4.0rc1.0_pc_error_0.12.3a, Samsung)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66.340317333333303</c:v>
                </c:pt>
                <c:pt idx="1">
                  <c:v>68.184736666666694</c:v>
                </c:pt>
                <c:pt idx="2">
                  <c:v>69.569712999999993</c:v>
                </c:pt>
                <c:pt idx="3">
                  <c:v>70.658252333333294</c:v>
                </c:pt>
                <c:pt idx="4">
                  <c:v>71.548071666666601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BB1-AF44-2FD8799E849B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66.340316999999999</c:v>
                </c:pt>
                <c:pt idx="1">
                  <c:v>68.184736999999998</c:v>
                </c:pt>
                <c:pt idx="2">
                  <c:v>69.569712999999993</c:v>
                </c:pt>
                <c:pt idx="3">
                  <c:v>70.658252000000005</c:v>
                </c:pt>
                <c:pt idx="4">
                  <c:v>71.548072000000005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BB1-AF44-2FD8799E8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 (tmc2v4.0rc1.0_pc_error_0.12.3a, Samsung)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68.561721000000006</c:v>
                </c:pt>
                <c:pt idx="1">
                  <c:v>70.4934576666667</c:v>
                </c:pt>
                <c:pt idx="2">
                  <c:v>72.221947666666594</c:v>
                </c:pt>
                <c:pt idx="3">
                  <c:v>73.500326333333405</c:v>
                </c:pt>
                <c:pt idx="4">
                  <c:v>74.677958666666697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EFC-8492-79C5CA1812E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68.561721000000006</c:v>
                </c:pt>
                <c:pt idx="1">
                  <c:v>70.493458000000004</c:v>
                </c:pt>
                <c:pt idx="2">
                  <c:v>72.221947999999998</c:v>
                </c:pt>
                <c:pt idx="3">
                  <c:v>73.500326000000001</c:v>
                </c:pt>
                <c:pt idx="4">
                  <c:v>74.677959000000001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5-4EFC-8492-79C5CA18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 (tmc2v4.0rc1.0_pc_error_0.12.3a, Samsung)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32.366104</c:v>
                </c:pt>
                <c:pt idx="1">
                  <c:v>34.667805666666702</c:v>
                </c:pt>
                <c:pt idx="2">
                  <c:v>37.211393999999999</c:v>
                </c:pt>
                <c:pt idx="3">
                  <c:v>39.837471000000001</c:v>
                </c:pt>
                <c:pt idx="4">
                  <c:v>42.391047999999998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F-4F06-BA4B-670C3549F337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32.366104</c:v>
                </c:pt>
                <c:pt idx="1">
                  <c:v>34.667805999999999</c:v>
                </c:pt>
                <c:pt idx="2">
                  <c:v>37.211393999999999</c:v>
                </c:pt>
                <c:pt idx="3">
                  <c:v>39.837471000000001</c:v>
                </c:pt>
                <c:pt idx="4">
                  <c:v>42.391047999999998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5F-4F06-BA4B-670C3549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 (tmc2v4.0rc1.0_pc_error_0.12.3a, Samsung)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44.116950000000003</c:v>
                </c:pt>
                <c:pt idx="1">
                  <c:v>45.356425666666603</c:v>
                </c:pt>
                <c:pt idx="2">
                  <c:v>46.468997999999999</c:v>
                </c:pt>
                <c:pt idx="3">
                  <c:v>47.801783333333297</c:v>
                </c:pt>
                <c:pt idx="4">
                  <c:v>49.426718666666602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A3-42FC-85AA-E87E90E955E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44.116950000000003</c:v>
                </c:pt>
                <c:pt idx="1">
                  <c:v>45.356425999999999</c:v>
                </c:pt>
                <c:pt idx="2">
                  <c:v>46.468997999999999</c:v>
                </c:pt>
                <c:pt idx="3">
                  <c:v>47.801783</c:v>
                </c:pt>
                <c:pt idx="4">
                  <c:v>49.426718999999999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A3-42FC-85AA-E87E90E95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 (tmc2v4.0rc1.0_pc_error_0.12.3a, Samsung)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43.815321333333301</c:v>
                </c:pt>
                <c:pt idx="1">
                  <c:v>45.171864333333303</c:v>
                </c:pt>
                <c:pt idx="2">
                  <c:v>46.385699333333299</c:v>
                </c:pt>
                <c:pt idx="3">
                  <c:v>47.872759333333299</c:v>
                </c:pt>
                <c:pt idx="4">
                  <c:v>49.579079333333297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4-4102-BDCD-0DD3DA70743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43.815320999999997</c:v>
                </c:pt>
                <c:pt idx="1">
                  <c:v>45.171863999999999</c:v>
                </c:pt>
                <c:pt idx="2">
                  <c:v>46.385699000000002</c:v>
                </c:pt>
                <c:pt idx="3">
                  <c:v>47.872759000000002</c:v>
                </c:pt>
                <c:pt idx="4">
                  <c:v>49.579079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4-4102-BDCD-0DD3DA707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 (tmc2v4.0rc1.0_pc_error_0.12.3a, Samsung)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B-40DE-BE7C-7C1A4F204F66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9.8077220074269361E-2</c:v>
                </c:pt>
                <c:pt idx="1">
                  <c:v>0.14965655305689685</c:v>
                </c:pt>
                <c:pt idx="2">
                  <c:v>0.2423231515610077</c:v>
                </c:pt>
                <c:pt idx="3">
                  <c:v>0.4187642381697903</c:v>
                </c:pt>
                <c:pt idx="4">
                  <c:v>0.75924271302519974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7B-40DE-BE7C-7C1A4F204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ColWidth="8.77734375"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9" t="s">
        <v>2</v>
      </c>
      <c r="D1" s="69"/>
      <c r="E1" s="69"/>
    </row>
    <row r="2" spans="2:12" x14ac:dyDescent="0.3">
      <c r="B2" t="s">
        <v>1</v>
      </c>
      <c r="C2" s="70" t="s">
        <v>3</v>
      </c>
      <c r="D2" s="70"/>
      <c r="E2" s="70"/>
    </row>
    <row r="4" spans="2:12" s="1" customFormat="1" x14ac:dyDescent="0.3">
      <c r="B4" s="1" t="s">
        <v>296</v>
      </c>
    </row>
    <row r="6" spans="2:12" x14ac:dyDescent="0.3">
      <c r="B6" s="65" t="s">
        <v>297</v>
      </c>
      <c r="C6" s="66" t="s">
        <v>298</v>
      </c>
      <c r="D6" s="66"/>
      <c r="E6" s="66"/>
      <c r="F6" s="66"/>
      <c r="G6" s="66"/>
      <c r="H6" s="66"/>
      <c r="I6" s="66"/>
      <c r="J6" s="66"/>
      <c r="K6" s="66"/>
      <c r="L6" s="66"/>
    </row>
    <row r="7" spans="2:12" x14ac:dyDescent="0.3">
      <c r="B7" s="65"/>
      <c r="C7" s="67" t="s">
        <v>237</v>
      </c>
      <c r="D7" s="67"/>
      <c r="E7" s="68" t="s">
        <v>242</v>
      </c>
      <c r="F7" s="68"/>
      <c r="G7" s="68"/>
      <c r="H7" s="67" t="s">
        <v>249</v>
      </c>
      <c r="I7" s="67"/>
      <c r="J7" s="68" t="s">
        <v>254</v>
      </c>
      <c r="K7" s="68"/>
      <c r="L7" s="68"/>
    </row>
    <row r="8" spans="2:12" x14ac:dyDescent="0.3">
      <c r="B8" s="65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2.3063595921968272E-8</v>
      </c>
      <c r="D9" s="5">
        <f>'C2 lossyG,lossyA,intra'!$BJ$30:$BJ$30</f>
        <v>7.1983224936289503E-9</v>
      </c>
      <c r="E9" s="5">
        <f>'C2 lossyG,lossyA,intra'!$BK$30:$BK$30</f>
        <v>-2.8861941808733249E-8</v>
      </c>
      <c r="F9" s="5">
        <f>'C2 lossyG,lossyA,intra'!$BL$30:$BL$30</f>
        <v>1.0802938710252619E-8</v>
      </c>
      <c r="G9" s="5">
        <f>'C2 lossyG,lossyA,intra'!$BM$30:$BM$30</f>
        <v>5.4269091359637756E-8</v>
      </c>
      <c r="H9" s="5">
        <f>'C2 lossyG,lossyA,intra'!$BO$30:$BO$30</f>
        <v>4.055364580257681E-8</v>
      </c>
      <c r="I9" s="5">
        <f>'C2 lossyG,lossyA,intra'!$BP$30:$BP$30</f>
        <v>1.0225125302021354E-8</v>
      </c>
      <c r="J9" s="5">
        <f>'C2 lossyG,lossyA,intra'!$BQ$30:$BQ$30</f>
        <v>-2.1684996742710183E-8</v>
      </c>
      <c r="K9" s="5">
        <f>'C2 lossyG,lossyA,intra'!$BR$30:$BR$30</f>
        <v>6.0549435187962075E-9</v>
      </c>
      <c r="L9" s="5">
        <f>'C2 lossyG,lossyA,intra'!$BS$30:$BS$30</f>
        <v>4.0919656441040786E-8</v>
      </c>
    </row>
    <row r="10" spans="2:12" x14ac:dyDescent="0.3">
      <c r="B10" s="4" t="s">
        <v>289</v>
      </c>
      <c r="C10" s="5">
        <f>'C2 lossyG,lossyA,intra'!$BI$31:$BI$31</f>
        <v>3.339226117837768E-8</v>
      </c>
      <c r="D10" s="5">
        <f>'C2 lossyG,lossyA,intra'!$BJ$31:$BJ$31</f>
        <v>-8.8672343911966323E-9</v>
      </c>
      <c r="E10" s="5">
        <f>'C2 lossyG,lossyA,intra'!$BK$31:$BK$31</f>
        <v>-1.3256572506392672E-8</v>
      </c>
      <c r="F10" s="5">
        <f>'C2 lossyG,lossyA,intra'!$BL$31:$BL$31</f>
        <v>8.8115836183177976E-8</v>
      </c>
      <c r="G10" s="5">
        <f>'C2 lossyG,lossyA,intra'!$BM$31:$BM$31</f>
        <v>-7.5873962890327107E-8</v>
      </c>
      <c r="H10" s="5">
        <f>'C2 lossyG,lossyA,intra'!$BO$31:$BO$31</f>
        <v>9.2285679764714246E-8</v>
      </c>
      <c r="I10" s="5">
        <f>'C2 lossyG,lossyA,intra'!$BP$31:$BP$31</f>
        <v>-2.1893508339587697E-8</v>
      </c>
      <c r="J10" s="5">
        <f>'C2 lossyG,lossyA,intra'!$BQ$31:$BQ$31</f>
        <v>-1.0531967409299625E-8</v>
      </c>
      <c r="K10" s="5">
        <f>'C2 lossyG,lossyA,intra'!$BR$31:$BR$31</f>
        <v>8.1500580506599363E-8</v>
      </c>
      <c r="L10" s="5">
        <f>'C2 lossyG,lossyA,intra'!$BS$31:$BS$31</f>
        <v>-6.5099378776523054E-8</v>
      </c>
    </row>
    <row r="11" spans="2:12" x14ac:dyDescent="0.3">
      <c r="B11" s="6" t="s">
        <v>290</v>
      </c>
      <c r="C11" s="7">
        <f>'C2 lossyG,lossyA,intra'!$BI$32:$BI$32</f>
        <v>2.5129328973250152E-8</v>
      </c>
      <c r="D11" s="7">
        <f>'C2 lossyG,lossyA,intra'!$BJ$32:$BJ$32</f>
        <v>3.9852111166638339E-9</v>
      </c>
      <c r="E11" s="7">
        <f>'C2 lossyG,lossyA,intra'!$BK$32:$BK$32</f>
        <v>-2.5740867948265133E-8</v>
      </c>
      <c r="F11" s="7">
        <f>'C2 lossyG,lossyA,intra'!$BL$32:$BL$32</f>
        <v>2.626551820483769E-8</v>
      </c>
      <c r="G11" s="7">
        <f>'C2 lossyG,lossyA,intra'!$BM$32:$BM$32</f>
        <v>2.8240480509644783E-8</v>
      </c>
      <c r="H11" s="7">
        <f>'C2 lossyG,lossyA,intra'!$BO$32:$BO$32</f>
        <v>5.0900052595004298E-8</v>
      </c>
      <c r="I11" s="7">
        <f>'C2 lossyG,lossyA,intra'!$BP$32:$BP$32</f>
        <v>3.8013985736995435E-9</v>
      </c>
      <c r="J11" s="7">
        <f>'C2 lossyG,lossyA,intra'!$BQ$32:$BQ$32</f>
        <v>-1.9454390876028071E-8</v>
      </c>
      <c r="K11" s="7">
        <f>'C2 lossyG,lossyA,intra'!$BR$32:$BR$32</f>
        <v>2.114407091635684E-8</v>
      </c>
      <c r="L11" s="7">
        <f>'C2 lossyG,lossyA,intra'!$BS$32:$BS$32</f>
        <v>1.9715849397528018E-8</v>
      </c>
    </row>
    <row r="12" spans="2:12" x14ac:dyDescent="0.3">
      <c r="B12" t="s">
        <v>299</v>
      </c>
      <c r="C12" s="63">
        <f>'C2 lossyG,lossyA,intra'!AZ36</f>
        <v>0.87711034475481497</v>
      </c>
      <c r="D12" s="63"/>
      <c r="E12" s="63"/>
      <c r="F12" s="63"/>
      <c r="G12" s="63"/>
      <c r="H12" s="63"/>
      <c r="I12" s="63"/>
      <c r="J12" s="63"/>
      <c r="K12" s="63"/>
      <c r="L12" s="63"/>
    </row>
    <row r="13" spans="2:12" x14ac:dyDescent="0.3">
      <c r="B13" s="9" t="s">
        <v>300</v>
      </c>
      <c r="C13" s="64">
        <f>'C2 lossyG,lossyA,intra'!BB36</f>
        <v>1.5229567841735525</v>
      </c>
      <c r="D13" s="64"/>
      <c r="E13" s="64"/>
      <c r="F13" s="64"/>
      <c r="G13" s="64"/>
      <c r="H13" s="64"/>
      <c r="I13" s="64"/>
      <c r="J13" s="64"/>
      <c r="K13" s="64"/>
      <c r="L13" s="64"/>
    </row>
    <row r="15" spans="2:12" x14ac:dyDescent="0.3">
      <c r="B15" s="65" t="s">
        <v>381</v>
      </c>
      <c r="C15" s="66" t="s">
        <v>382</v>
      </c>
      <c r="D15" s="66"/>
      <c r="E15" s="66"/>
    </row>
    <row r="16" spans="2:12" x14ac:dyDescent="0.3">
      <c r="B16" s="65"/>
      <c r="C16" s="67" t="s">
        <v>357</v>
      </c>
      <c r="D16" s="67"/>
      <c r="E16" s="67"/>
    </row>
    <row r="17" spans="2:5" x14ac:dyDescent="0.3">
      <c r="B17" s="65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>
        <f>'CW losslG,losslA,intra'!BC10</f>
        <v>0.94910190716462939</v>
      </c>
      <c r="D18" s="5">
        <f>'CW losslG,losslA,intra'!BB10</f>
        <v>0.99527971617651512</v>
      </c>
      <c r="E18" s="5">
        <f>'CW losslG,losslA,intra'!BD10</f>
        <v>1</v>
      </c>
    </row>
    <row r="19" spans="2:5" x14ac:dyDescent="0.3">
      <c r="B19" s="4" t="s">
        <v>289</v>
      </c>
      <c r="C19" s="5">
        <f>'CW losslG,losslA,intra'!BC11</f>
        <v>0.95697218133701045</v>
      </c>
      <c r="D19" s="5">
        <f>'CW losslG,losslA,intra'!BB11</f>
        <v>0.99635890304048069</v>
      </c>
      <c r="E19" s="5">
        <f>'CW losslG,losslA,intra'!BD11</f>
        <v>1</v>
      </c>
    </row>
    <row r="20" spans="2:5" x14ac:dyDescent="0.3">
      <c r="B20" s="6" t="s">
        <v>290</v>
      </c>
      <c r="C20" s="7">
        <f>'CW losslG,losslA,intra'!BC12</f>
        <v>0.9506820678867921</v>
      </c>
      <c r="D20" s="7">
        <f>'CW losslG,losslA,intra'!BB12</f>
        <v>0.9955574175579236</v>
      </c>
      <c r="E20" s="7">
        <f>'CW losslG,losslA,intra'!BD12</f>
        <v>1</v>
      </c>
    </row>
    <row r="21" spans="2:5" x14ac:dyDescent="0.3">
      <c r="B21" t="s">
        <v>299</v>
      </c>
      <c r="C21" s="63">
        <f>'CW losslG,losslA,intra'!AW16</f>
        <v>0.87357018682213217</v>
      </c>
      <c r="D21" s="63"/>
      <c r="E21" s="63"/>
    </row>
    <row r="22" spans="2:5" x14ac:dyDescent="0.3">
      <c r="B22" s="9" t="s">
        <v>300</v>
      </c>
      <c r="C22" s="64">
        <f>'CW losslG,losslA,intra'!AY16</f>
        <v>0.79200058440217136</v>
      </c>
      <c r="D22" s="64"/>
      <c r="E22" s="64"/>
    </row>
    <row r="24" spans="2:5" s="1" customFormat="1" x14ac:dyDescent="0.3">
      <c r="B24" s="1" t="s">
        <v>456</v>
      </c>
    </row>
    <row r="26" spans="2:5" x14ac:dyDescent="0.3">
      <c r="B26" s="65" t="s">
        <v>457</v>
      </c>
      <c r="C26" s="66" t="s">
        <v>458</v>
      </c>
      <c r="D26" s="66"/>
      <c r="E26" s="66"/>
    </row>
    <row r="27" spans="2:5" x14ac:dyDescent="0.3">
      <c r="B27" s="65"/>
      <c r="C27" s="67" t="s">
        <v>357</v>
      </c>
      <c r="D27" s="67"/>
      <c r="E27" s="67"/>
    </row>
    <row r="28" spans="2:5" x14ac:dyDescent="0.3">
      <c r="B28" s="65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0.99464054441840721</v>
      </c>
      <c r="D29" s="5">
        <f>'CW losslG,losslA,interLD'!BC10</f>
        <v>0.94760942369216183</v>
      </c>
      <c r="E29" s="5">
        <f>'CW losslG,losslA,interLD'!BD10</f>
        <v>1</v>
      </c>
    </row>
    <row r="30" spans="2:5" x14ac:dyDescent="0.3">
      <c r="B30" s="4" t="s">
        <v>289</v>
      </c>
      <c r="C30" s="5">
        <f>'CW losslG,losslA,interLD'!BB11</f>
        <v>0.99626586045957155</v>
      </c>
      <c r="D30" s="5">
        <f>'CW losslG,losslA,interLD'!BC11</f>
        <v>0.95691046068163021</v>
      </c>
      <c r="E30" s="5">
        <f>'CW losslG,losslA,interLD'!BD11</f>
        <v>1</v>
      </c>
    </row>
    <row r="31" spans="2:5" x14ac:dyDescent="0.3">
      <c r="B31" s="6" t="s">
        <v>290</v>
      </c>
      <c r="C31" s="7">
        <f>'CW losslG,losslA,interLD'!BB12</f>
        <v>0.99506909974393309</v>
      </c>
      <c r="D31" s="7">
        <f>'CW losslG,losslA,interLD'!BC12</f>
        <v>0.94951589134382297</v>
      </c>
      <c r="E31" s="7">
        <f>'CW losslG,losslA,interLD'!BD12</f>
        <v>1</v>
      </c>
    </row>
    <row r="32" spans="2:5" x14ac:dyDescent="0.3">
      <c r="B32" t="s">
        <v>299</v>
      </c>
      <c r="C32" s="63">
        <f>'CW losslG,losslA,interLD'!AW16</f>
        <v>0.87381300275711749</v>
      </c>
      <c r="D32" s="63"/>
      <c r="E32" s="63"/>
    </row>
    <row r="33" spans="2:12" x14ac:dyDescent="0.3">
      <c r="B33" s="9" t="s">
        <v>300</v>
      </c>
      <c r="C33" s="64">
        <f>'CW losslG,losslA,interLD'!AY16</f>
        <v>0.83767151336499535</v>
      </c>
      <c r="D33" s="64"/>
      <c r="E33" s="64"/>
    </row>
    <row r="35" spans="2:12" s="1" customFormat="1" x14ac:dyDescent="0.3">
      <c r="B35" s="1" t="s">
        <v>543</v>
      </c>
    </row>
    <row r="37" spans="2:12" x14ac:dyDescent="0.3">
      <c r="B37" s="65" t="s">
        <v>544</v>
      </c>
      <c r="C37" s="66" t="s">
        <v>545</v>
      </c>
      <c r="D37" s="66"/>
      <c r="E37" s="66"/>
      <c r="F37" s="66"/>
      <c r="G37" s="66"/>
      <c r="H37" s="66"/>
      <c r="I37" s="66"/>
      <c r="J37" s="66"/>
      <c r="K37" s="66"/>
      <c r="L37" s="66"/>
    </row>
    <row r="38" spans="2:12" x14ac:dyDescent="0.3">
      <c r="B38" s="65"/>
      <c r="C38" s="67" t="s">
        <v>237</v>
      </c>
      <c r="D38" s="67"/>
      <c r="E38" s="68" t="s">
        <v>242</v>
      </c>
      <c r="F38" s="68"/>
      <c r="G38" s="68"/>
      <c r="H38" s="67" t="s">
        <v>249</v>
      </c>
      <c r="I38" s="67"/>
      <c r="J38" s="68" t="s">
        <v>254</v>
      </c>
      <c r="K38" s="68"/>
      <c r="L38" s="68"/>
    </row>
    <row r="39" spans="2:12" x14ac:dyDescent="0.3">
      <c r="B39" s="65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4.8845593125790288E-9</v>
      </c>
      <c r="D40" s="5">
        <f>'C2 lossyG,lossyA,interRA'!$BJ$30:$BJ$30</f>
        <v>2.1764937269130868E-8</v>
      </c>
      <c r="E40" s="5">
        <f>'C2 lossyG,lossyA,interRA'!$BK$30:$BK$30</f>
        <v>1.7242086147728486E-8</v>
      </c>
      <c r="F40" s="5">
        <f>'C2 lossyG,lossyA,interRA'!$BL$30:$BL$30</f>
        <v>1.063022657676882E-7</v>
      </c>
      <c r="G40" s="5">
        <f>'C2 lossyG,lossyA,interRA'!$BM$30:$BM$30</f>
        <v>2.2117549264288883E-8</v>
      </c>
      <c r="H40" s="5">
        <f>'C2 lossyG,lossyA,interRA'!$BO$30:$BO$30</f>
        <v>5.2696816632558097E-9</v>
      </c>
      <c r="I40" s="5">
        <f>'C2 lossyG,lossyA,interRA'!$BP$30:$BP$30</f>
        <v>4.020262484027981E-8</v>
      </c>
      <c r="J40" s="5">
        <f>'C2 lossyG,lossyA,interRA'!$BQ$30:$BQ$30</f>
        <v>1.1185957438097915E-8</v>
      </c>
      <c r="K40" s="5">
        <f>'C2 lossyG,lossyA,interRA'!$BR$30:$BR$30</f>
        <v>6.4161019885933257E-8</v>
      </c>
      <c r="L40" s="5">
        <f>'C2 lossyG,lossyA,interRA'!$BS$30:$BS$30</f>
        <v>1.9247198834726476E-8</v>
      </c>
    </row>
    <row r="41" spans="2:12" x14ac:dyDescent="0.3">
      <c r="B41" s="4" t="s">
        <v>289</v>
      </c>
      <c r="C41" s="5">
        <f>'C2 lossyG,lossyA,interRA'!$BI$31:$BI$31</f>
        <v>-8.3865517863657146E-9</v>
      </c>
      <c r="D41" s="5">
        <f>'C2 lossyG,lossyA,interRA'!$BJ$31:$BJ$31</f>
        <v>1.8895418119058149E-8</v>
      </c>
      <c r="E41" s="5">
        <f>'C2 lossyG,lossyA,interRA'!$BK$31:$BK$31</f>
        <v>3.4269935555997222E-8</v>
      </c>
      <c r="F41" s="5">
        <f>'C2 lossyG,lossyA,interRA'!$BL$31:$BL$31</f>
        <v>1.4401442394174069E-7</v>
      </c>
      <c r="G41" s="5">
        <f>'C2 lossyG,lossyA,interRA'!$BM$31:$BM$31</f>
        <v>1.2705551011293892E-7</v>
      </c>
      <c r="H41" s="5">
        <f>'C2 lossyG,lossyA,interRA'!$BO$31:$BO$31</f>
        <v>-1.954017114780271E-8</v>
      </c>
      <c r="I41" s="5">
        <f>'C2 lossyG,lossyA,interRA'!$BP$31:$BP$31</f>
        <v>4.4888216699234817E-8</v>
      </c>
      <c r="J41" s="5">
        <f>'C2 lossyG,lossyA,interRA'!$BQ$31:$BQ$31</f>
        <v>2.401547360975087E-8</v>
      </c>
      <c r="K41" s="5">
        <f>'C2 lossyG,lossyA,interRA'!$BR$31:$BR$31</f>
        <v>1.0963025265375848E-7</v>
      </c>
      <c r="L41" s="5">
        <f>'C2 lossyG,lossyA,interRA'!$BS$31:$BS$31</f>
        <v>8.8697824862649099E-8</v>
      </c>
    </row>
    <row r="42" spans="2:12" x14ac:dyDescent="0.3">
      <c r="B42" s="6" t="s">
        <v>290</v>
      </c>
      <c r="C42" s="7">
        <f>'C2 lossyG,lossyA,interRA'!$BI$32:$BI$32</f>
        <v>2.2303370927900802E-9</v>
      </c>
      <c r="D42" s="7">
        <f>'C2 lossyG,lossyA,interRA'!$BJ$32:$BJ$32</f>
        <v>2.1191033439116324E-8</v>
      </c>
      <c r="E42" s="7">
        <f>'C2 lossyG,lossyA,interRA'!$BK$32:$BK$32</f>
        <v>2.0647656029382233E-8</v>
      </c>
      <c r="F42" s="7">
        <f>'C2 lossyG,lossyA,interRA'!$BL$32:$BL$32</f>
        <v>1.138446974024987E-7</v>
      </c>
      <c r="G42" s="7">
        <f>'C2 lossyG,lossyA,interRA'!$BM$32:$BM$32</f>
        <v>4.3105141434018891E-8</v>
      </c>
      <c r="H42" s="7">
        <f>'C2 lossyG,lossyA,interRA'!$BO$32:$BO$32</f>
        <v>3.0771110104410584E-10</v>
      </c>
      <c r="I42" s="7">
        <f>'C2 lossyG,lossyA,interRA'!$BP$32:$BP$32</f>
        <v>4.1139743212070809E-8</v>
      </c>
      <c r="J42" s="7">
        <f>'C2 lossyG,lossyA,interRA'!$BQ$32:$BQ$32</f>
        <v>1.3751860672428507E-8</v>
      </c>
      <c r="K42" s="7">
        <f>'C2 lossyG,lossyA,interRA'!$BR$32:$BR$32</f>
        <v>7.3254866439498298E-8</v>
      </c>
      <c r="L42" s="7">
        <f>'C2 lossyG,lossyA,interRA'!$BS$32:$BS$32</f>
        <v>3.3137324040310998E-8</v>
      </c>
    </row>
    <row r="43" spans="2:12" x14ac:dyDescent="0.3">
      <c r="B43" t="s">
        <v>299</v>
      </c>
      <c r="C43" s="63">
        <f>'C2 lossyG,lossyA,interRA'!AZ36</f>
        <v>0.8928436963941595</v>
      </c>
      <c r="D43" s="63"/>
      <c r="E43" s="63"/>
      <c r="F43" s="63"/>
      <c r="G43" s="63"/>
      <c r="H43" s="63"/>
      <c r="I43" s="63"/>
      <c r="J43" s="63"/>
      <c r="K43" s="63"/>
      <c r="L43" s="63"/>
    </row>
    <row r="44" spans="2:12" x14ac:dyDescent="0.3">
      <c r="B44" s="9" t="s">
        <v>300</v>
      </c>
      <c r="C44" s="64">
        <f>'C2 lossyG,lossyA,interRA'!BB36</f>
        <v>1.4268054447423211</v>
      </c>
      <c r="D44" s="64"/>
      <c r="E44" s="64"/>
      <c r="F44" s="64"/>
      <c r="G44" s="64"/>
      <c r="H44" s="64"/>
      <c r="I44" s="64"/>
      <c r="J44" s="64"/>
      <c r="K44" s="64"/>
      <c r="L44" s="64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77734375"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4"/>
  <sheetViews>
    <sheetView zoomScale="85" zoomScaleNormal="85" workbookViewId="0">
      <pane xSplit="2" topLeftCell="AY1" activePane="topRight" state="frozen"/>
      <selection pane="topRight" activeCell="AB20" sqref="AB20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21875" bestFit="1" customWidth="1"/>
    <col min="63" max="65" width="11.6640625" customWidth="1"/>
    <col min="66" max="66" width="1.6640625" customWidth="1"/>
    <col min="67" max="67" width="9.77734375" bestFit="1" customWidth="1"/>
    <col min="68" max="68" width="9.21875" bestFit="1" customWidth="1"/>
    <col min="69" max="71" width="11.6640625" customWidth="1"/>
    <col min="72" max="72" width="1.6640625" customWidth="1"/>
  </cols>
  <sheetData>
    <row r="1" spans="1:73" x14ac:dyDescent="0.3">
      <c r="A1" s="73" t="s">
        <v>261</v>
      </c>
      <c r="B1" s="73"/>
      <c r="C1" s="73"/>
      <c r="D1" s="73"/>
      <c r="E1" s="73"/>
      <c r="F1" s="73"/>
      <c r="G1" s="73"/>
      <c r="I1" s="69" t="s">
        <v>551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G1" s="70" t="s">
        <v>3</v>
      </c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</row>
    <row r="2" spans="1:73" ht="30" customHeight="1" x14ac:dyDescent="0.3">
      <c r="A2" s="75" t="s">
        <v>93</v>
      </c>
      <c r="B2" s="74" t="s">
        <v>96</v>
      </c>
      <c r="C2" s="75" t="s">
        <v>99</v>
      </c>
      <c r="D2" s="74" t="s">
        <v>102</v>
      </c>
      <c r="E2" s="75" t="s">
        <v>105</v>
      </c>
      <c r="F2" s="74" t="s">
        <v>108</v>
      </c>
      <c r="G2" s="75" t="s">
        <v>111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4" t="s">
        <v>26</v>
      </c>
      <c r="R2" s="75" t="s">
        <v>22</v>
      </c>
      <c r="S2" s="71" t="s">
        <v>142</v>
      </c>
      <c r="T2" s="71"/>
      <c r="U2" s="71"/>
      <c r="V2" s="71"/>
      <c r="W2" s="72" t="s">
        <v>153</v>
      </c>
      <c r="X2" s="72"/>
      <c r="Y2" s="71" t="s">
        <v>160</v>
      </c>
      <c r="Z2" s="71"/>
      <c r="AA2" s="71"/>
      <c r="AB2" s="72" t="s">
        <v>170</v>
      </c>
      <c r="AC2" s="72"/>
      <c r="AD2" s="71" t="s">
        <v>177</v>
      </c>
      <c r="AE2" s="71"/>
      <c r="AG2" s="75" t="s">
        <v>114</v>
      </c>
      <c r="AH2" s="71" t="s">
        <v>117</v>
      </c>
      <c r="AI2" s="71"/>
      <c r="AJ2" s="71"/>
      <c r="AK2" s="71"/>
      <c r="AL2" s="74" t="s">
        <v>192</v>
      </c>
      <c r="AM2" s="75" t="s">
        <v>133</v>
      </c>
      <c r="AN2" s="74" t="s">
        <v>24</v>
      </c>
      <c r="AO2" s="75" t="s">
        <v>26</v>
      </c>
      <c r="AP2" s="74" t="s">
        <v>22</v>
      </c>
      <c r="AQ2" s="72" t="s">
        <v>142</v>
      </c>
      <c r="AR2" s="72"/>
      <c r="AS2" s="72"/>
      <c r="AT2" s="72"/>
      <c r="AU2" s="71" t="s">
        <v>153</v>
      </c>
      <c r="AV2" s="71"/>
      <c r="AW2" s="72" t="s">
        <v>160</v>
      </c>
      <c r="AX2" s="72"/>
      <c r="AY2" s="72"/>
      <c r="AZ2" s="71" t="s">
        <v>170</v>
      </c>
      <c r="BA2" s="71"/>
      <c r="BB2" s="72" t="s">
        <v>177</v>
      </c>
      <c r="BC2" s="72"/>
      <c r="BE2" s="74" t="s">
        <v>229</v>
      </c>
      <c r="BF2" s="75" t="s">
        <v>232</v>
      </c>
      <c r="BG2" s="74" t="s">
        <v>232</v>
      </c>
      <c r="BI2" s="72" t="s">
        <v>237</v>
      </c>
      <c r="BJ2" s="72"/>
      <c r="BK2" s="71" t="s">
        <v>242</v>
      </c>
      <c r="BL2" s="71"/>
      <c r="BM2" s="71"/>
      <c r="BO2" s="72" t="s">
        <v>249</v>
      </c>
      <c r="BP2" s="72"/>
      <c r="BQ2" s="71" t="s">
        <v>254</v>
      </c>
      <c r="BR2" s="71"/>
      <c r="BS2" s="71"/>
      <c r="BU2" t="s">
        <v>550</v>
      </c>
    </row>
    <row r="3" spans="1:73" ht="15" thickBot="1" x14ac:dyDescent="0.35">
      <c r="A3" s="75"/>
      <c r="B3" s="74"/>
      <c r="C3" s="75"/>
      <c r="D3" s="74"/>
      <c r="E3" s="75"/>
      <c r="F3" s="74"/>
      <c r="G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74"/>
      <c r="R3" s="75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5"/>
      <c r="AH3" s="12" t="s">
        <v>118</v>
      </c>
      <c r="AI3" s="12" t="s">
        <v>121</v>
      </c>
      <c r="AJ3" s="12" t="s">
        <v>124</v>
      </c>
      <c r="AK3" s="12" t="s">
        <v>127</v>
      </c>
      <c r="AL3" s="74"/>
      <c r="AM3" s="75"/>
      <c r="AN3" s="74"/>
      <c r="AO3" s="75"/>
      <c r="AP3" s="74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4"/>
      <c r="BF3" s="75"/>
      <c r="BG3" s="74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7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2.3356736000000002</v>
      </c>
      <c r="J5" s="18">
        <f t="shared" ref="J5:J29" si="1">IF(ISBLANK(S5),"·",S5/D5)</f>
        <v>9.8077220074269361E-2</v>
      </c>
      <c r="K5" s="18">
        <f t="shared" ref="K5:K29" si="2">IF(N5="","·",N5/D5)</f>
        <v>6.3231157678975705E-2</v>
      </c>
      <c r="L5" s="18">
        <f t="shared" ref="L5:L29" si="3">IF(T5="","·",T5/D5)</f>
        <v>3.3863406311288591E-2</v>
      </c>
      <c r="M5" s="18">
        <f t="shared" ref="M5:M29" si="4">IF(ISBLANK(V5),"·",V5/D5)</f>
        <v>3.4831382349187062E-2</v>
      </c>
      <c r="N5" s="15">
        <f t="shared" ref="N5:N29" si="5">IF(OR(ISBLANK(T5),ISBLANK(U5)),"",T5+U5)</f>
        <v>15058272</v>
      </c>
      <c r="O5" s="18">
        <f t="shared" ref="O5:O29" si="6">IF(ISBLANK(S5),"·",S5/P5)</f>
        <v>6.4394760815905644E-2</v>
      </c>
      <c r="P5" s="19">
        <v>362711744</v>
      </c>
      <c r="Q5" s="19">
        <v>1209039.14666667</v>
      </c>
      <c r="R5" s="19">
        <v>523424.69666666701</v>
      </c>
      <c r="S5" s="20">
        <v>23356736</v>
      </c>
      <c r="T5" s="20">
        <v>8064448</v>
      </c>
      <c r="U5" s="20">
        <v>6993824</v>
      </c>
      <c r="V5" s="20">
        <v>8294968</v>
      </c>
      <c r="W5" s="21">
        <v>66.340317333333303</v>
      </c>
      <c r="X5" s="21">
        <v>68.561721000000006</v>
      </c>
      <c r="Y5" s="21">
        <v>32.366104</v>
      </c>
      <c r="Z5" s="21">
        <v>44.116950000000003</v>
      </c>
      <c r="AA5" s="21">
        <v>43.815321333333301</v>
      </c>
      <c r="AB5" s="22">
        <v>77402.5</v>
      </c>
      <c r="AC5" s="22">
        <v>9984.68</v>
      </c>
      <c r="AD5" s="22">
        <v>82.974000000000004</v>
      </c>
      <c r="AE5" s="22">
        <v>185.69499999999999</v>
      </c>
      <c r="AG5" s="17">
        <f t="shared" ref="AG5:AG29" si="7">IF(OR(ISBLANK(AQ5),ISBLANK(G5)),"·",AQ5*G5/F5/1000000)</f>
        <v>2.3356736000000002</v>
      </c>
      <c r="AH5" s="18">
        <f t="shared" ref="AH5:AH29" si="8">IF(ISBLANK(AQ5),"·",AQ5/D5)</f>
        <v>9.8077220074269361E-2</v>
      </c>
      <c r="AI5" s="18">
        <f t="shared" ref="AI5:AI29" si="9">IF(AL5="","·",AL5/D5)</f>
        <v>6.3231157678975705E-2</v>
      </c>
      <c r="AJ5" s="18">
        <f t="shared" ref="AJ5:AJ29" si="10">IF(AR5="","·",AR5/D5)</f>
        <v>3.3863406311288591E-2</v>
      </c>
      <c r="AK5" s="18">
        <f t="shared" ref="AK5:AK29" si="11">IF(ISBLANK(AT5),"·",AT5/D5)</f>
        <v>3.4831382349187062E-2</v>
      </c>
      <c r="AL5" s="15">
        <f t="shared" ref="AL5:AL29" si="12">IF(OR(ISBLANK(AR5),ISBLANK(AS5)),"",AR5+AS5)</f>
        <v>15058272</v>
      </c>
      <c r="AM5" s="18">
        <f t="shared" ref="AM5:AM29" si="13">IF(ISBLANK(AQ5),"·",AQ5/AN5)</f>
        <v>6.4394760815905644E-2</v>
      </c>
      <c r="AN5" s="19">
        <v>362711744</v>
      </c>
      <c r="AO5" s="19">
        <v>1209039.1466669999</v>
      </c>
      <c r="AP5" s="19">
        <v>523424.69666700001</v>
      </c>
      <c r="AQ5" s="20">
        <v>23356736</v>
      </c>
      <c r="AR5" s="20">
        <v>8064448</v>
      </c>
      <c r="AS5" s="20">
        <v>6993824</v>
      </c>
      <c r="AT5" s="20">
        <v>8294968</v>
      </c>
      <c r="AU5" s="21">
        <v>66.340316999999999</v>
      </c>
      <c r="AV5" s="21">
        <v>68.561721000000006</v>
      </c>
      <c r="AW5" s="21">
        <v>32.366104</v>
      </c>
      <c r="AX5" s="21">
        <v>44.116950000000003</v>
      </c>
      <c r="AY5" s="21">
        <v>43.815320999999997</v>
      </c>
      <c r="AZ5" s="22">
        <v>68686.600000000006</v>
      </c>
      <c r="BA5" s="22">
        <v>10966.1</v>
      </c>
      <c r="BB5" s="22">
        <v>179.917</v>
      </c>
      <c r="BC5" s="22">
        <v>158.32400000000001</v>
      </c>
      <c r="BE5" s="23">
        <f t="shared" ref="BE5:BE29" si="14">(AP5/AO5) - (R5/Q5)</f>
        <v>1.5731860258938468E-13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58">
        <f>IF( OR(ISBLANK(N5:N9),ISBLANK(AL5:AL9), ISBLANK(W5:W9),ISBLANK(AU5:AU9)), "·", bdRateExtend( N5:N9,W5:W9, AL5:AL9,AU5:AU9))</f>
        <v>3.8562286697185755E-10</v>
      </c>
      <c r="BJ5" s="58">
        <f>IF( OR(ISBLANK(N5:N9),ISBLANK(AL5:AL9), ISBLANK(X5:X9),ISBLANK(AV5:AV9)), "·", bdRateExtend( N5:N9,X5:X9, AL5:AL9,AV5:AV9))</f>
        <v>-1.3607357463030212E-8</v>
      </c>
      <c r="BK5" s="58">
        <f>IF( OR(ISBLANK(V5:V9),ISBLANK(AT5:AT9), ISBLANK(Y5:Y9),ISBLANK(AW5:AW9)), "·", bdRateExtend( V5:V9,Y5:Y9, AT5:AT9,AW5:AW9))</f>
        <v>-2.7381614198240811E-8</v>
      </c>
      <c r="BL5" s="58">
        <f>IF( OR(ISBLANK(V5:V9),ISBLANK(AT5:AT9), ISBLANK(Z5:Z9),ISBLANK(AX5:AX9)), "·", bdRateExtend( V5:V9,Z5:Z9, AT5:AT9,AX5:AX9))</f>
        <v>-1.595659826492124E-8</v>
      </c>
      <c r="BM5" s="58">
        <f>IF( OR(ISBLANK(V5:V9),ISBLANK(AT5:AT9), ISBLANK(AA5:AA9),ISBLANK(AY5:AY9)), "·", bdRateExtend( V5:V9,AA5:AA9, AT5:AT9,AY5:AY9))</f>
        <v>1.6275227232576128E-7</v>
      </c>
      <c r="BN5" s="59"/>
      <c r="BO5" s="58">
        <f>IF( OR(ISBLANK(S5:S9),ISBLANK(AQ5:AQ9), ISBLANK(W5:W9),ISBLANK(AU5:AU9)), "·", bdRateExtend( S5:S9,W5:W9, AQ5:AQ9,AU5:AU9))</f>
        <v>-2.9949183133481938E-9</v>
      </c>
      <c r="BP5" s="58">
        <f>IF( OR(ISBLANK(S5:S9),ISBLANK(AQ5:AQ9), ISBLANK(X5:X9),ISBLANK(AV5:AV9)), "·", bdRateExtend( S5:S9,X5:X9, AQ5:AQ9,AV5:AV9))</f>
        <v>-3.2340729316793215E-8</v>
      </c>
      <c r="BQ5" s="58">
        <f>IF( OR(ISBLANK(S5:S9),ISBLANK(AQ5:AQ9), ISBLANK(Y5:Y9),ISBLANK(AW5:AW9)), "·", bdRateExtend( S5:S9,Y5:Y9, AQ5:AQ9,AW5:AW9))</f>
        <v>-1.7176982169964106E-8</v>
      </c>
      <c r="BR5" s="58">
        <f>IF( OR(ISBLANK(S5:S9),ISBLANK(AQ5:AQ9), ISBLANK(Z5:Z9),ISBLANK(AX5:AX9)), "·", bdRateExtend( S5:S9,Z5:Z9, AQ5:AQ9,AX5:AX9))</f>
        <v>-3.3452558501068097E-9</v>
      </c>
      <c r="BS5" s="58">
        <f>IF( OR(ISBLANK(S5:S9),ISBLANK(AQ5:AQ9), ISBLANK(AA5:AA9),ISBLANK(AY5:AY9)), "·", bdRateExtend( S5:S9,AA5:AA9, AQ5:AQ9,AY5:AY9))</f>
        <v>1.1835833269024931E-7</v>
      </c>
      <c r="BU5">
        <f>AQ5-S5</f>
        <v>0</v>
      </c>
    </row>
    <row r="6" spans="1:73" outlineLevel="1" x14ac:dyDescent="0.3">
      <c r="A6" s="25"/>
      <c r="B6" s="25" t="s">
        <v>266</v>
      </c>
      <c r="C6" s="26" t="s">
        <v>269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3.5640167999999997</v>
      </c>
      <c r="J6" s="28">
        <f t="shared" si="1"/>
        <v>0.14965655305689685</v>
      </c>
      <c r="K6" s="28">
        <f t="shared" si="2"/>
        <v>7.6228272550223117E-2</v>
      </c>
      <c r="L6" s="28">
        <f t="shared" si="3"/>
        <v>4.6860521182535995E-2</v>
      </c>
      <c r="M6" s="28">
        <f t="shared" si="4"/>
        <v>7.3413600460567136E-2</v>
      </c>
      <c r="N6" s="25">
        <f t="shared" si="5"/>
        <v>18153488</v>
      </c>
      <c r="O6" s="28">
        <f t="shared" si="6"/>
        <v>9.826030888043151E-2</v>
      </c>
      <c r="P6" s="29">
        <v>362711744</v>
      </c>
      <c r="Q6" s="29">
        <v>1209039.14666667</v>
      </c>
      <c r="R6" s="29">
        <v>457594.34333333297</v>
      </c>
      <c r="S6" s="30">
        <v>35640168</v>
      </c>
      <c r="T6" s="30">
        <v>11159664</v>
      </c>
      <c r="U6" s="30">
        <v>6993824</v>
      </c>
      <c r="V6" s="30">
        <v>17483184</v>
      </c>
      <c r="W6" s="31">
        <v>68.184736666666694</v>
      </c>
      <c r="X6" s="31">
        <v>70.4934576666667</v>
      </c>
      <c r="Y6" s="31">
        <v>34.667805666666702</v>
      </c>
      <c r="Z6" s="31">
        <v>45.356425666666603</v>
      </c>
      <c r="AA6" s="31">
        <v>45.171864333333303</v>
      </c>
      <c r="AB6" s="32">
        <v>76784.800000000003</v>
      </c>
      <c r="AC6" s="32">
        <v>10692.1</v>
      </c>
      <c r="AD6" s="32">
        <v>95.17</v>
      </c>
      <c r="AE6" s="32">
        <v>183.11799999999999</v>
      </c>
      <c r="AG6" s="27">
        <f t="shared" si="7"/>
        <v>3.5640167999999997</v>
      </c>
      <c r="AH6" s="28">
        <f t="shared" si="8"/>
        <v>0.14965655305689685</v>
      </c>
      <c r="AI6" s="28">
        <f t="shared" si="9"/>
        <v>7.6228272550223117E-2</v>
      </c>
      <c r="AJ6" s="28">
        <f t="shared" si="10"/>
        <v>4.6860521182535995E-2</v>
      </c>
      <c r="AK6" s="28">
        <f t="shared" si="11"/>
        <v>7.3413600460567136E-2</v>
      </c>
      <c r="AL6" s="25">
        <f t="shared" si="12"/>
        <v>18153488</v>
      </c>
      <c r="AM6" s="28">
        <f t="shared" si="13"/>
        <v>9.826030888043151E-2</v>
      </c>
      <c r="AN6" s="29">
        <v>362711744</v>
      </c>
      <c r="AO6" s="29">
        <v>1209039.1466669999</v>
      </c>
      <c r="AP6" s="29">
        <v>457594.34333300003</v>
      </c>
      <c r="AQ6" s="30">
        <v>35640168</v>
      </c>
      <c r="AR6" s="30">
        <v>11159664</v>
      </c>
      <c r="AS6" s="30">
        <v>6993824</v>
      </c>
      <c r="AT6" s="30">
        <v>17483184</v>
      </c>
      <c r="AU6" s="31">
        <v>68.184736999999998</v>
      </c>
      <c r="AV6" s="31">
        <v>70.493458000000004</v>
      </c>
      <c r="AW6" s="31">
        <v>34.667805999999999</v>
      </c>
      <c r="AX6" s="31">
        <v>45.356425999999999</v>
      </c>
      <c r="AY6" s="31">
        <v>45.171863999999999</v>
      </c>
      <c r="AZ6" s="32">
        <v>76080.100000000006</v>
      </c>
      <c r="BA6" s="32">
        <v>12700.2</v>
      </c>
      <c r="BB6" s="32">
        <v>189.82300000000001</v>
      </c>
      <c r="BC6" s="32">
        <v>171.59800000000001</v>
      </c>
      <c r="BE6" s="33">
        <f t="shared" si="14"/>
        <v>-3.7864156254840964E-13</v>
      </c>
      <c r="BF6" s="33">
        <f t="shared" si="15"/>
        <v>0</v>
      </c>
      <c r="BG6" s="33"/>
      <c r="BI6" s="60"/>
      <c r="BJ6" s="60"/>
      <c r="BK6" s="60"/>
      <c r="BL6" s="60"/>
      <c r="BM6" s="60"/>
      <c r="BN6" s="59"/>
      <c r="BO6" s="60"/>
      <c r="BP6" s="60"/>
      <c r="BQ6" s="60"/>
      <c r="BR6" s="60"/>
      <c r="BS6" s="60"/>
      <c r="BU6" s="4">
        <f t="shared" ref="BU6:BU29" si="16">AQ6-S6</f>
        <v>0</v>
      </c>
    </row>
    <row r="7" spans="1:73" outlineLevel="1" x14ac:dyDescent="0.3">
      <c r="A7" s="15"/>
      <c r="B7" s="15" t="s">
        <v>266</v>
      </c>
      <c r="C7" s="16" t="s">
        <v>270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5.7708384000000006</v>
      </c>
      <c r="J7" s="18">
        <f t="shared" si="1"/>
        <v>0.2423231515610077</v>
      </c>
      <c r="K7" s="18">
        <f t="shared" si="2"/>
        <v>9.4734704587650043E-2</v>
      </c>
      <c r="L7" s="18">
        <f t="shared" si="3"/>
        <v>6.5366953219962928E-2</v>
      </c>
      <c r="M7" s="18">
        <f t="shared" si="4"/>
        <v>0.14757376692725105</v>
      </c>
      <c r="N7" s="15">
        <f t="shared" si="5"/>
        <v>22560728</v>
      </c>
      <c r="O7" s="18">
        <f t="shared" si="6"/>
        <v>0.15910260683480928</v>
      </c>
      <c r="P7" s="19">
        <v>362711744</v>
      </c>
      <c r="Q7" s="19">
        <v>1209039.14666667</v>
      </c>
      <c r="R7" s="19">
        <v>443350.25333333301</v>
      </c>
      <c r="S7" s="20">
        <v>57708384</v>
      </c>
      <c r="T7" s="20">
        <v>15566904</v>
      </c>
      <c r="U7" s="20">
        <v>6993824</v>
      </c>
      <c r="V7" s="20">
        <v>35144160</v>
      </c>
      <c r="W7" s="21">
        <v>69.569712999999993</v>
      </c>
      <c r="X7" s="21">
        <v>72.221947666666594</v>
      </c>
      <c r="Y7" s="21">
        <v>37.211393999999999</v>
      </c>
      <c r="Z7" s="21">
        <v>46.468997999999999</v>
      </c>
      <c r="AA7" s="21">
        <v>46.385699333333299</v>
      </c>
      <c r="AB7" s="22">
        <v>77753.2</v>
      </c>
      <c r="AC7" s="22">
        <v>11117.6</v>
      </c>
      <c r="AD7" s="22">
        <v>96.733999999999995</v>
      </c>
      <c r="AE7" s="22">
        <v>198.702</v>
      </c>
      <c r="AG7" s="17">
        <f t="shared" si="7"/>
        <v>5.7708384000000006</v>
      </c>
      <c r="AH7" s="18">
        <f t="shared" si="8"/>
        <v>0.2423231515610077</v>
      </c>
      <c r="AI7" s="18">
        <f t="shared" si="9"/>
        <v>9.4734704587650043E-2</v>
      </c>
      <c r="AJ7" s="18">
        <f t="shared" si="10"/>
        <v>6.5366953219962928E-2</v>
      </c>
      <c r="AK7" s="18">
        <f t="shared" si="11"/>
        <v>0.14757376692725105</v>
      </c>
      <c r="AL7" s="15">
        <f t="shared" si="12"/>
        <v>22560728</v>
      </c>
      <c r="AM7" s="18">
        <f t="shared" si="13"/>
        <v>0.15910260683480928</v>
      </c>
      <c r="AN7" s="19">
        <v>362711744</v>
      </c>
      <c r="AO7" s="19">
        <v>1209039.1466669999</v>
      </c>
      <c r="AP7" s="19">
        <v>443350.253333</v>
      </c>
      <c r="AQ7" s="20">
        <v>57708384</v>
      </c>
      <c r="AR7" s="20">
        <v>15566904</v>
      </c>
      <c r="AS7" s="20">
        <v>6993824</v>
      </c>
      <c r="AT7" s="20">
        <v>35144160</v>
      </c>
      <c r="AU7" s="21">
        <v>69.569712999999993</v>
      </c>
      <c r="AV7" s="21">
        <v>72.221947999999998</v>
      </c>
      <c r="AW7" s="21">
        <v>37.211393999999999</v>
      </c>
      <c r="AX7" s="21">
        <v>46.468997999999999</v>
      </c>
      <c r="AY7" s="21">
        <v>46.385699000000002</v>
      </c>
      <c r="AZ7" s="22">
        <v>66554.8</v>
      </c>
      <c r="BA7" s="22">
        <v>7990.59</v>
      </c>
      <c r="BB7" s="22">
        <v>121.185</v>
      </c>
      <c r="BC7" s="22">
        <v>116.379</v>
      </c>
      <c r="BE7" s="23">
        <f t="shared" si="14"/>
        <v>-3.7547742692822794E-13</v>
      </c>
      <c r="BF7" s="23">
        <f t="shared" si="15"/>
        <v>0</v>
      </c>
      <c r="BG7" s="23"/>
      <c r="BI7" s="58"/>
      <c r="BJ7" s="58"/>
      <c r="BK7" s="58"/>
      <c r="BL7" s="58"/>
      <c r="BM7" s="58"/>
      <c r="BN7" s="59"/>
      <c r="BO7" s="58"/>
      <c r="BP7" s="58"/>
      <c r="BQ7" s="58"/>
      <c r="BR7" s="58"/>
      <c r="BS7" s="58"/>
      <c r="BU7" s="4">
        <f t="shared" si="16"/>
        <v>0</v>
      </c>
    </row>
    <row r="8" spans="1:73" outlineLevel="1" x14ac:dyDescent="0.3">
      <c r="A8" s="25"/>
      <c r="B8" s="25" t="s">
        <v>266</v>
      </c>
      <c r="C8" s="26" t="s">
        <v>271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9.9727191999999985</v>
      </c>
      <c r="J8" s="28">
        <f t="shared" si="1"/>
        <v>0.4187642381697903</v>
      </c>
      <c r="K8" s="28">
        <f t="shared" si="2"/>
        <v>0.12566586406929844</v>
      </c>
      <c r="L8" s="28">
        <f t="shared" si="3"/>
        <v>9.6298112701611344E-2</v>
      </c>
      <c r="M8" s="28">
        <f t="shared" si="4"/>
        <v>0.29308369405438522</v>
      </c>
      <c r="N8" s="25">
        <f t="shared" si="5"/>
        <v>29926872</v>
      </c>
      <c r="O8" s="28">
        <f t="shared" si="6"/>
        <v>0.27494889164658531</v>
      </c>
      <c r="P8" s="29">
        <v>362711744</v>
      </c>
      <c r="Q8" s="29">
        <v>1209039.14666667</v>
      </c>
      <c r="R8" s="29">
        <v>410661.51333333302</v>
      </c>
      <c r="S8" s="30">
        <v>99727192</v>
      </c>
      <c r="T8" s="30">
        <v>22933048</v>
      </c>
      <c r="U8" s="30">
        <v>6993824</v>
      </c>
      <c r="V8" s="30">
        <v>69796824</v>
      </c>
      <c r="W8" s="31">
        <v>70.658252333333294</v>
      </c>
      <c r="X8" s="31">
        <v>73.500326333333405</v>
      </c>
      <c r="Y8" s="31">
        <v>39.837471000000001</v>
      </c>
      <c r="Z8" s="31">
        <v>47.801783333333297</v>
      </c>
      <c r="AA8" s="31">
        <v>47.872759333333299</v>
      </c>
      <c r="AB8" s="32">
        <v>76522.899999999994</v>
      </c>
      <c r="AC8" s="32">
        <v>12134</v>
      </c>
      <c r="AD8" s="32">
        <v>96.302999999999997</v>
      </c>
      <c r="AE8" s="32">
        <v>205.20699999999999</v>
      </c>
      <c r="AG8" s="27">
        <f t="shared" si="7"/>
        <v>9.9727191999999985</v>
      </c>
      <c r="AH8" s="28">
        <f t="shared" si="8"/>
        <v>0.4187642381697903</v>
      </c>
      <c r="AI8" s="28">
        <f t="shared" si="9"/>
        <v>0.12566586406929844</v>
      </c>
      <c r="AJ8" s="28">
        <f t="shared" si="10"/>
        <v>9.6298112701611344E-2</v>
      </c>
      <c r="AK8" s="28">
        <f t="shared" si="11"/>
        <v>0.29308369405438522</v>
      </c>
      <c r="AL8" s="25">
        <f t="shared" si="12"/>
        <v>29926872</v>
      </c>
      <c r="AM8" s="28">
        <f t="shared" si="13"/>
        <v>0.27494889164658531</v>
      </c>
      <c r="AN8" s="29">
        <v>362711744</v>
      </c>
      <c r="AO8" s="29">
        <v>1209039.1466669999</v>
      </c>
      <c r="AP8" s="29">
        <v>410661.51333300001</v>
      </c>
      <c r="AQ8" s="30">
        <v>99727192</v>
      </c>
      <c r="AR8" s="30">
        <v>22933048</v>
      </c>
      <c r="AS8" s="30">
        <v>6993824</v>
      </c>
      <c r="AT8" s="30">
        <v>69796824</v>
      </c>
      <c r="AU8" s="31">
        <v>70.658252000000005</v>
      </c>
      <c r="AV8" s="31">
        <v>73.500326000000001</v>
      </c>
      <c r="AW8" s="31">
        <v>39.837471000000001</v>
      </c>
      <c r="AX8" s="31">
        <v>47.801783</v>
      </c>
      <c r="AY8" s="31">
        <v>47.872759000000002</v>
      </c>
      <c r="AZ8" s="32">
        <v>64298.6</v>
      </c>
      <c r="BA8" s="32">
        <v>8349.7900000000009</v>
      </c>
      <c r="BB8" s="32">
        <v>115.377</v>
      </c>
      <c r="BC8" s="32">
        <v>118.61799999999999</v>
      </c>
      <c r="BE8" s="33">
        <f t="shared" si="14"/>
        <v>-3.6809444381447065E-13</v>
      </c>
      <c r="BF8" s="33">
        <f t="shared" si="15"/>
        <v>0</v>
      </c>
      <c r="BG8" s="33"/>
      <c r="BI8" s="60"/>
      <c r="BJ8" s="60"/>
      <c r="BK8" s="60"/>
      <c r="BL8" s="60"/>
      <c r="BM8" s="60"/>
      <c r="BN8" s="59"/>
      <c r="BO8" s="60"/>
      <c r="BP8" s="60"/>
      <c r="BQ8" s="60"/>
      <c r="BR8" s="60"/>
      <c r="BS8" s="60"/>
      <c r="BU8" s="4">
        <f t="shared" si="16"/>
        <v>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18.081091199999999</v>
      </c>
      <c r="J9" s="38">
        <f t="shared" si="1"/>
        <v>0.75924271302519974</v>
      </c>
      <c r="K9" s="38">
        <f t="shared" si="2"/>
        <v>0.17824999077983089</v>
      </c>
      <c r="L9" s="38">
        <f t="shared" si="3"/>
        <v>0.14888223941214376</v>
      </c>
      <c r="M9" s="38">
        <f t="shared" si="4"/>
        <v>0.58097804219926219</v>
      </c>
      <c r="N9" s="35">
        <f t="shared" si="5"/>
        <v>42449592</v>
      </c>
      <c r="O9" s="38">
        <f t="shared" si="6"/>
        <v>0.49849753968815524</v>
      </c>
      <c r="P9" s="39">
        <v>362711744</v>
      </c>
      <c r="Q9" s="39">
        <v>1209039.14666667</v>
      </c>
      <c r="R9" s="39">
        <v>404668.36666666699</v>
      </c>
      <c r="S9" s="40">
        <v>180810912</v>
      </c>
      <c r="T9" s="40">
        <v>35455768</v>
      </c>
      <c r="U9" s="40">
        <v>6993824</v>
      </c>
      <c r="V9" s="40">
        <v>138357824</v>
      </c>
      <c r="W9" s="41">
        <v>71.548071666666601</v>
      </c>
      <c r="X9" s="41">
        <v>74.677958666666697</v>
      </c>
      <c r="Y9" s="41">
        <v>42.391047999999998</v>
      </c>
      <c r="Z9" s="41">
        <v>49.426718666666602</v>
      </c>
      <c r="AA9" s="41">
        <v>49.579079333333297</v>
      </c>
      <c r="AB9" s="42">
        <v>77143.899999999994</v>
      </c>
      <c r="AC9" s="42">
        <v>14134.8</v>
      </c>
      <c r="AD9" s="42">
        <v>97.412000000000006</v>
      </c>
      <c r="AE9" s="42">
        <v>231.88499999999999</v>
      </c>
      <c r="AG9" s="37">
        <f t="shared" si="7"/>
        <v>18.081091199999999</v>
      </c>
      <c r="AH9" s="38">
        <f t="shared" si="8"/>
        <v>0.75924271302519974</v>
      </c>
      <c r="AI9" s="38">
        <f t="shared" si="9"/>
        <v>0.17824999077983089</v>
      </c>
      <c r="AJ9" s="38">
        <f t="shared" si="10"/>
        <v>0.14888223941214376</v>
      </c>
      <c r="AK9" s="38">
        <f t="shared" si="11"/>
        <v>0.58097804219926219</v>
      </c>
      <c r="AL9" s="35">
        <f t="shared" si="12"/>
        <v>42449592</v>
      </c>
      <c r="AM9" s="38">
        <f t="shared" si="13"/>
        <v>0.49849753968815524</v>
      </c>
      <c r="AN9" s="39">
        <v>362711744</v>
      </c>
      <c r="AO9" s="39">
        <v>1209039.1466669999</v>
      </c>
      <c r="AP9" s="39">
        <v>404668.36666699999</v>
      </c>
      <c r="AQ9" s="40">
        <v>180810912</v>
      </c>
      <c r="AR9" s="40">
        <v>35455768</v>
      </c>
      <c r="AS9" s="40">
        <v>6993824</v>
      </c>
      <c r="AT9" s="40">
        <v>138357824</v>
      </c>
      <c r="AU9" s="41">
        <v>71.548072000000005</v>
      </c>
      <c r="AV9" s="41">
        <v>74.677959000000001</v>
      </c>
      <c r="AW9" s="41">
        <v>42.391047999999998</v>
      </c>
      <c r="AX9" s="41">
        <v>49.426718999999999</v>
      </c>
      <c r="AY9" s="41">
        <v>49.579079</v>
      </c>
      <c r="AZ9" s="42">
        <v>61448.4</v>
      </c>
      <c r="BA9" s="42">
        <v>9290.1200000000008</v>
      </c>
      <c r="BB9" s="42">
        <v>182.12299999999999</v>
      </c>
      <c r="BC9" s="42">
        <v>193.024</v>
      </c>
      <c r="BE9" s="43">
        <f t="shared" si="14"/>
        <v>1.8407497748285095E-13</v>
      </c>
      <c r="BF9" s="43">
        <f t="shared" si="15"/>
        <v>0</v>
      </c>
      <c r="BG9" s="43"/>
      <c r="BI9" s="61"/>
      <c r="BJ9" s="61"/>
      <c r="BK9" s="61"/>
      <c r="BL9" s="61"/>
      <c r="BM9" s="61"/>
      <c r="BN9" s="59"/>
      <c r="BO9" s="61"/>
      <c r="BP9" s="61"/>
      <c r="BQ9" s="61"/>
      <c r="BR9" s="61"/>
      <c r="BS9" s="61"/>
      <c r="BU9" s="4">
        <f t="shared" si="16"/>
        <v>0</v>
      </c>
    </row>
    <row r="10" spans="1:73" x14ac:dyDescent="0.3">
      <c r="A10" s="25"/>
      <c r="B10" s="25" t="s">
        <v>275</v>
      </c>
      <c r="C10" s="26" t="s">
        <v>268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3.448928</v>
      </c>
      <c r="J10" s="28">
        <f t="shared" si="1"/>
        <v>0.15811976717059037</v>
      </c>
      <c r="K10" s="28">
        <f t="shared" si="2"/>
        <v>8.245755358389166E-2</v>
      </c>
      <c r="L10" s="28">
        <f t="shared" si="3"/>
        <v>4.0692524573099582E-2</v>
      </c>
      <c r="M10" s="28">
        <f t="shared" si="4"/>
        <v>7.5646185803398283E-2</v>
      </c>
      <c r="N10" s="25">
        <f t="shared" si="5"/>
        <v>17985744</v>
      </c>
      <c r="O10" s="28">
        <f t="shared" si="6"/>
        <v>0.10506860815655036</v>
      </c>
      <c r="P10" s="29">
        <v>328254848</v>
      </c>
      <c r="Q10" s="29">
        <v>1094182.8266666699</v>
      </c>
      <c r="R10" s="29">
        <v>447216.26</v>
      </c>
      <c r="S10" s="30">
        <v>34489280</v>
      </c>
      <c r="T10" s="30">
        <v>8875904</v>
      </c>
      <c r="U10" s="30">
        <v>9109840</v>
      </c>
      <c r="V10" s="30">
        <v>16500040</v>
      </c>
      <c r="W10" s="31">
        <v>65.880266000000006</v>
      </c>
      <c r="X10" s="31">
        <v>67.941261666666705</v>
      </c>
      <c r="Y10" s="31">
        <v>32.367836666666697</v>
      </c>
      <c r="Z10" s="31">
        <v>39.222366333333298</v>
      </c>
      <c r="AA10" s="31">
        <v>32.067003</v>
      </c>
      <c r="AB10" s="32">
        <v>71777.600000000006</v>
      </c>
      <c r="AC10" s="32">
        <v>10595.8</v>
      </c>
      <c r="AD10" s="32">
        <v>86.492000000000004</v>
      </c>
      <c r="AE10" s="32">
        <v>188.60499999999999</v>
      </c>
      <c r="AG10" s="27">
        <f t="shared" si="7"/>
        <v>3.448928</v>
      </c>
      <c r="AH10" s="28">
        <f t="shared" si="8"/>
        <v>0.15811976717059037</v>
      </c>
      <c r="AI10" s="28">
        <f t="shared" si="9"/>
        <v>8.245755358389166E-2</v>
      </c>
      <c r="AJ10" s="28">
        <f t="shared" si="10"/>
        <v>4.0692524573099582E-2</v>
      </c>
      <c r="AK10" s="28">
        <f t="shared" si="11"/>
        <v>7.5646185803398283E-2</v>
      </c>
      <c r="AL10" s="25">
        <f t="shared" si="12"/>
        <v>17985744</v>
      </c>
      <c r="AM10" s="28">
        <f t="shared" si="13"/>
        <v>0.10506860815655036</v>
      </c>
      <c r="AN10" s="29">
        <v>328254848</v>
      </c>
      <c r="AO10" s="29">
        <v>1094182.8266670001</v>
      </c>
      <c r="AP10" s="29">
        <v>447216.26</v>
      </c>
      <c r="AQ10" s="30">
        <v>34489280</v>
      </c>
      <c r="AR10" s="30">
        <v>8875904</v>
      </c>
      <c r="AS10" s="30">
        <v>9109840</v>
      </c>
      <c r="AT10" s="30">
        <v>16500040</v>
      </c>
      <c r="AU10" s="31">
        <v>65.880266000000006</v>
      </c>
      <c r="AV10" s="31">
        <v>67.941261999999995</v>
      </c>
      <c r="AW10" s="31">
        <v>32.367837000000002</v>
      </c>
      <c r="AX10" s="31">
        <v>39.222366000000001</v>
      </c>
      <c r="AY10" s="31">
        <v>32.067003</v>
      </c>
      <c r="AZ10" s="32">
        <v>64654.3</v>
      </c>
      <c r="BA10" s="32">
        <v>10770.4</v>
      </c>
      <c r="BB10" s="32">
        <v>170.273</v>
      </c>
      <c r="BC10" s="32">
        <v>166.858</v>
      </c>
      <c r="BE10" s="33">
        <f t="shared" si="14"/>
        <v>-1.2329026688462363E-13</v>
      </c>
      <c r="BF10" s="33">
        <f t="shared" si="15"/>
        <v>0</v>
      </c>
      <c r="BG10" s="33">
        <f t="array" ref="BG10">AVERAGE(AL10:AL14/AQ10:AQ14) - AVERAGE(N10:N14/S10:S14)</f>
        <v>0</v>
      </c>
      <c r="BI10" s="60">
        <f>IF( OR(ISBLANK(N10:N14),ISBLANK(AL10:AL14), ISBLANK(W10:W14),ISBLANK(AU10:AU14)), "·", bdRateExtend( N10:N14,W10:W14, AL10:AL14,AU10:AU14))</f>
        <v>6.3575568365337176E-8</v>
      </c>
      <c r="BJ10" s="60">
        <f>IF( OR(ISBLANK(N10:N14),ISBLANK(AL10:AL14), ISBLANK(X10:X14),ISBLANK(AV10:AV14)), "·", bdRateExtend( N10:N14,X10:X14, AL10:AL14,AV10:AV14))</f>
        <v>3.157597761038744E-8</v>
      </c>
      <c r="BK10" s="60">
        <f>IF( OR(ISBLANK(V10:V14),ISBLANK(AT10:AT14), ISBLANK(Y10:Y14),ISBLANK(AW10:AW14)), "·", bdRateExtend( V10:V14,Y10:Y14, AT10:AT14,AW10:AW14))</f>
        <v>1.6576458650163772E-8</v>
      </c>
      <c r="BL10" s="60">
        <f>IF( OR(ISBLANK(V10:V14),ISBLANK(AT10:AT14), ISBLANK(Z10:Z14),ISBLANK(AX10:AX14)), "·", bdRateExtend( V10:V14,Z10:Z14, AT10:AT14,AX10:AX14))</f>
        <v>2.7858772622124661E-8</v>
      </c>
      <c r="BM10" s="60">
        <f>IF( OR(ISBLANK(V10:V14),ISBLANK(AT10:AT14), ISBLANK(AA10:AA14),ISBLANK(AY10:AY14)), "·", bdRateExtend( V10:V14,AA10:AA14, AT10:AT14,AY10:AY14))</f>
        <v>-9.0602209068535444E-9</v>
      </c>
      <c r="BN10" s="59"/>
      <c r="BO10" s="60">
        <f>IF( OR(ISBLANK(S10:S14),ISBLANK(AQ10:AQ14), ISBLANK(W10:W14),ISBLANK(AU10:AU14)), "·", bdRateExtend( S10:S14,W10:W14, AQ10:AQ14,AU10:AU14))</f>
        <v>1.1287230772261125E-7</v>
      </c>
      <c r="BP10" s="60">
        <f>IF( OR(ISBLANK(S10:S14),ISBLANK(AQ10:AQ14), ISBLANK(X10:X14),ISBLANK(AV10:AV14)), "·", bdRateExtend( S10:S14,X10:X14, AQ10:AQ14,AV10:AV14))</f>
        <v>5.8558957460874694E-8</v>
      </c>
      <c r="BQ10" s="60">
        <f>IF( OR(ISBLANK(S10:S14),ISBLANK(AQ10:AQ14), ISBLANK(Y10:Y14),ISBLANK(AW10:AW14)), "·", bdRateExtend( S10:S14,Y10:Y14, AQ10:AQ14,AW10:AW14))</f>
        <v>1.245931380289278E-8</v>
      </c>
      <c r="BR10" s="60">
        <f>IF( OR(ISBLANK(S10:S14),ISBLANK(AQ10:AQ14), ISBLANK(Z10:Z14),ISBLANK(AX10:AX14)), "·", bdRateExtend( S10:S14,Z10:Z14, AQ10:AQ14,AX10:AX14))</f>
        <v>2.6154624022112216E-8</v>
      </c>
      <c r="BS10" s="60">
        <f>IF( OR(ISBLANK(S10:S14),ISBLANK(AQ10:AQ14), ISBLANK(AA10:AA14),ISBLANK(AY10:AY14)), "·", bdRateExtend( S10:S14,AA10:AA14, AQ10:AQ14,AY10:AY14))</f>
        <v>-1.300942908954994E-9</v>
      </c>
      <c r="BU10" s="4">
        <f t="shared" si="16"/>
        <v>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4.9789680000000001</v>
      </c>
      <c r="J11" s="18">
        <f t="shared" si="1"/>
        <v>0.2282660759835578</v>
      </c>
      <c r="K11" s="18">
        <f t="shared" si="2"/>
        <v>9.8817482434837775E-2</v>
      </c>
      <c r="L11" s="18">
        <f t="shared" si="3"/>
        <v>5.7052453424045697E-2</v>
      </c>
      <c r="M11" s="18">
        <f t="shared" si="4"/>
        <v>0.12943256576541959</v>
      </c>
      <c r="N11" s="15">
        <f t="shared" si="5"/>
        <v>21554192</v>
      </c>
      <c r="O11" s="18">
        <f t="shared" si="6"/>
        <v>0.15167995325388156</v>
      </c>
      <c r="P11" s="19">
        <v>328254848</v>
      </c>
      <c r="Q11" s="19">
        <v>1094182.8266666699</v>
      </c>
      <c r="R11" s="19">
        <v>398698.78333333298</v>
      </c>
      <c r="S11" s="20">
        <v>49789680</v>
      </c>
      <c r="T11" s="20">
        <v>12444352</v>
      </c>
      <c r="U11" s="20">
        <v>9109840</v>
      </c>
      <c r="V11" s="20">
        <v>28231992</v>
      </c>
      <c r="W11" s="21">
        <v>67.607667333333296</v>
      </c>
      <c r="X11" s="21">
        <v>69.807119333333404</v>
      </c>
      <c r="Y11" s="21">
        <v>34.234750333333302</v>
      </c>
      <c r="Z11" s="21">
        <v>40.080583666666598</v>
      </c>
      <c r="AA11" s="21">
        <v>33.843173666666701</v>
      </c>
      <c r="AB11" s="22">
        <v>72053</v>
      </c>
      <c r="AC11" s="22">
        <v>11129.5</v>
      </c>
      <c r="AD11" s="22">
        <v>84.043000000000006</v>
      </c>
      <c r="AE11" s="22">
        <v>187.32</v>
      </c>
      <c r="AG11" s="17">
        <f t="shared" si="7"/>
        <v>4.9789680000000001</v>
      </c>
      <c r="AH11" s="18">
        <f t="shared" si="8"/>
        <v>0.2282660759835578</v>
      </c>
      <c r="AI11" s="18">
        <f t="shared" si="9"/>
        <v>9.8817482434837775E-2</v>
      </c>
      <c r="AJ11" s="18">
        <f t="shared" si="10"/>
        <v>5.7052453424045697E-2</v>
      </c>
      <c r="AK11" s="18">
        <f t="shared" si="11"/>
        <v>0.12943256576541959</v>
      </c>
      <c r="AL11" s="15">
        <f t="shared" si="12"/>
        <v>21554192</v>
      </c>
      <c r="AM11" s="18">
        <f t="shared" si="13"/>
        <v>0.15167995325388156</v>
      </c>
      <c r="AN11" s="19">
        <v>328254848</v>
      </c>
      <c r="AO11" s="19">
        <v>1094182.8266670001</v>
      </c>
      <c r="AP11" s="19">
        <v>398698.78333300003</v>
      </c>
      <c r="AQ11" s="20">
        <v>49789680</v>
      </c>
      <c r="AR11" s="20">
        <v>12444352</v>
      </c>
      <c r="AS11" s="20">
        <v>9109840</v>
      </c>
      <c r="AT11" s="20">
        <v>28231992</v>
      </c>
      <c r="AU11" s="21">
        <v>67.607667000000006</v>
      </c>
      <c r="AV11" s="21">
        <v>69.807119</v>
      </c>
      <c r="AW11" s="21">
        <v>34.234749999999998</v>
      </c>
      <c r="AX11" s="21">
        <v>40.080584000000002</v>
      </c>
      <c r="AY11" s="21">
        <v>33.843173999999998</v>
      </c>
      <c r="AZ11" s="22">
        <v>64244</v>
      </c>
      <c r="BA11" s="22">
        <v>11619.2</v>
      </c>
      <c r="BB11" s="22">
        <v>164.18199999999999</v>
      </c>
      <c r="BC11" s="22">
        <v>167.48500000000001</v>
      </c>
      <c r="BE11" s="23">
        <f t="shared" si="14"/>
        <v>-4.1422421048764591E-13</v>
      </c>
      <c r="BF11" s="23">
        <f t="shared" si="15"/>
        <v>0</v>
      </c>
      <c r="BG11" s="23"/>
      <c r="BI11" s="58"/>
      <c r="BJ11" s="58"/>
      <c r="BK11" s="58"/>
      <c r="BL11" s="58"/>
      <c r="BM11" s="58"/>
      <c r="BN11" s="59"/>
      <c r="BO11" s="58"/>
      <c r="BP11" s="58"/>
      <c r="BQ11" s="58"/>
      <c r="BR11" s="58"/>
      <c r="BS11" s="58"/>
      <c r="BU11" s="4">
        <f t="shared" si="16"/>
        <v>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7.7919175999999997</v>
      </c>
      <c r="J12" s="28">
        <f t="shared" si="1"/>
        <v>0.35722873795116206</v>
      </c>
      <c r="K12" s="28">
        <f t="shared" si="2"/>
        <v>0.12329392476134901</v>
      </c>
      <c r="L12" s="28">
        <f t="shared" si="3"/>
        <v>8.1528895750556926E-2</v>
      </c>
      <c r="M12" s="28">
        <f t="shared" si="4"/>
        <v>0.23391878540651259</v>
      </c>
      <c r="N12" s="25">
        <f t="shared" si="5"/>
        <v>26893024</v>
      </c>
      <c r="O12" s="28">
        <f t="shared" si="6"/>
        <v>0.23737402958325843</v>
      </c>
      <c r="P12" s="29">
        <v>328254848</v>
      </c>
      <c r="Q12" s="29">
        <v>1094182.8266666699</v>
      </c>
      <c r="R12" s="29">
        <v>389794.86333333299</v>
      </c>
      <c r="S12" s="30">
        <v>77919176</v>
      </c>
      <c r="T12" s="30">
        <v>17783184</v>
      </c>
      <c r="U12" s="30">
        <v>9109840</v>
      </c>
      <c r="V12" s="30">
        <v>51022656</v>
      </c>
      <c r="W12" s="31">
        <v>68.962118000000004</v>
      </c>
      <c r="X12" s="31">
        <v>71.504686000000007</v>
      </c>
      <c r="Y12" s="31">
        <v>36.370595999999999</v>
      </c>
      <c r="Z12" s="31">
        <v>40.972432333333302</v>
      </c>
      <c r="AA12" s="31">
        <v>35.611563666666697</v>
      </c>
      <c r="AB12" s="32">
        <v>71454.3</v>
      </c>
      <c r="AC12" s="32">
        <v>13009.5</v>
      </c>
      <c r="AD12" s="32">
        <v>89.018000000000001</v>
      </c>
      <c r="AE12" s="32">
        <v>209.66499999999999</v>
      </c>
      <c r="AG12" s="27">
        <f t="shared" si="7"/>
        <v>7.7919175999999997</v>
      </c>
      <c r="AH12" s="28">
        <f t="shared" si="8"/>
        <v>0.35722873795116206</v>
      </c>
      <c r="AI12" s="28">
        <f t="shared" si="9"/>
        <v>0.12329392476134901</v>
      </c>
      <c r="AJ12" s="28">
        <f t="shared" si="10"/>
        <v>8.1528895750556926E-2</v>
      </c>
      <c r="AK12" s="28">
        <f t="shared" si="11"/>
        <v>0.23391878540651259</v>
      </c>
      <c r="AL12" s="25">
        <f t="shared" si="12"/>
        <v>26893024</v>
      </c>
      <c r="AM12" s="28">
        <f t="shared" si="13"/>
        <v>0.23737402958325843</v>
      </c>
      <c r="AN12" s="29">
        <v>328254848</v>
      </c>
      <c r="AO12" s="29">
        <v>1094182.8266670001</v>
      </c>
      <c r="AP12" s="29">
        <v>389794.86333299999</v>
      </c>
      <c r="AQ12" s="30">
        <v>77919176</v>
      </c>
      <c r="AR12" s="30">
        <v>17783184</v>
      </c>
      <c r="AS12" s="30">
        <v>9109840</v>
      </c>
      <c r="AT12" s="30">
        <v>51022656</v>
      </c>
      <c r="AU12" s="31">
        <v>68.962118000000004</v>
      </c>
      <c r="AV12" s="31">
        <v>71.504686000000007</v>
      </c>
      <c r="AW12" s="31">
        <v>36.370595999999999</v>
      </c>
      <c r="AX12" s="31">
        <v>40.972431999999998</v>
      </c>
      <c r="AY12" s="31">
        <v>35.611564000000001</v>
      </c>
      <c r="AZ12" s="32">
        <v>61937.3</v>
      </c>
      <c r="BA12" s="32">
        <v>7987.4</v>
      </c>
      <c r="BB12" s="32">
        <v>104.498</v>
      </c>
      <c r="BC12" s="32">
        <v>115.90300000000001</v>
      </c>
      <c r="BE12" s="33">
        <f t="shared" si="14"/>
        <v>-4.1183723098470182E-13</v>
      </c>
      <c r="BF12" s="33">
        <f t="shared" si="15"/>
        <v>0</v>
      </c>
      <c r="BG12" s="33"/>
      <c r="BI12" s="60"/>
      <c r="BJ12" s="60"/>
      <c r="BK12" s="60"/>
      <c r="BL12" s="60"/>
      <c r="BM12" s="60"/>
      <c r="BN12" s="59"/>
      <c r="BO12" s="60"/>
      <c r="BP12" s="60"/>
      <c r="BQ12" s="60"/>
      <c r="BR12" s="60"/>
      <c r="BS12" s="60"/>
      <c r="BU12" s="4">
        <f t="shared" si="16"/>
        <v>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13.6181416</v>
      </c>
      <c r="J13" s="18">
        <f t="shared" si="1"/>
        <v>0.62433816510177398</v>
      </c>
      <c r="K13" s="18">
        <f t="shared" si="2"/>
        <v>0.16592962550616688</v>
      </c>
      <c r="L13" s="18">
        <f t="shared" si="3"/>
        <v>0.12416459649537481</v>
      </c>
      <c r="M13" s="18">
        <f t="shared" si="4"/>
        <v>0.45839251181230667</v>
      </c>
      <c r="N13" s="15">
        <f t="shared" si="5"/>
        <v>36192776</v>
      </c>
      <c r="O13" s="18">
        <f t="shared" si="6"/>
        <v>0.41486490399069442</v>
      </c>
      <c r="P13" s="19">
        <v>328254848</v>
      </c>
      <c r="Q13" s="19">
        <v>1094182.8266666699</v>
      </c>
      <c r="R13" s="19">
        <v>363560.85666666698</v>
      </c>
      <c r="S13" s="20">
        <v>136181416</v>
      </c>
      <c r="T13" s="20">
        <v>27082936</v>
      </c>
      <c r="U13" s="20">
        <v>9109840</v>
      </c>
      <c r="V13" s="20">
        <v>99985144</v>
      </c>
      <c r="W13" s="21">
        <v>69.962902333333304</v>
      </c>
      <c r="X13" s="21">
        <v>72.747041333333399</v>
      </c>
      <c r="Y13" s="21">
        <v>38.746782000000003</v>
      </c>
      <c r="Z13" s="21">
        <v>42.147092999999998</v>
      </c>
      <c r="AA13" s="21">
        <v>37.661314333333401</v>
      </c>
      <c r="AB13" s="22">
        <v>71454.3</v>
      </c>
      <c r="AC13" s="22">
        <v>13009.5</v>
      </c>
      <c r="AD13" s="22">
        <v>89.018000000000001</v>
      </c>
      <c r="AE13" s="22">
        <v>209.66499999999999</v>
      </c>
      <c r="AG13" s="17">
        <f t="shared" si="7"/>
        <v>13.6181416</v>
      </c>
      <c r="AH13" s="18">
        <f t="shared" si="8"/>
        <v>0.62433816510177398</v>
      </c>
      <c r="AI13" s="18">
        <f t="shared" si="9"/>
        <v>0.16592962550616688</v>
      </c>
      <c r="AJ13" s="18">
        <f t="shared" si="10"/>
        <v>0.12416459649537481</v>
      </c>
      <c r="AK13" s="18">
        <f t="shared" si="11"/>
        <v>0.45839251181230667</v>
      </c>
      <c r="AL13" s="15">
        <f t="shared" si="12"/>
        <v>36192776</v>
      </c>
      <c r="AM13" s="18">
        <f t="shared" si="13"/>
        <v>0.41486490399069442</v>
      </c>
      <c r="AN13" s="19">
        <v>328254848</v>
      </c>
      <c r="AO13" s="19">
        <v>1094182.8266670001</v>
      </c>
      <c r="AP13" s="19">
        <v>363560.85666699999</v>
      </c>
      <c r="AQ13" s="20">
        <v>136181416</v>
      </c>
      <c r="AR13" s="20">
        <v>27082936</v>
      </c>
      <c r="AS13" s="20">
        <v>9109840</v>
      </c>
      <c r="AT13" s="20">
        <v>99985144</v>
      </c>
      <c r="AU13" s="21">
        <v>69.962902</v>
      </c>
      <c r="AV13" s="21">
        <v>72.747040999999996</v>
      </c>
      <c r="AW13" s="21">
        <v>38.746782000000003</v>
      </c>
      <c r="AX13" s="21">
        <v>42.147092999999998</v>
      </c>
      <c r="AY13" s="21">
        <v>37.661313999999997</v>
      </c>
      <c r="AZ13" s="22">
        <v>64676.7</v>
      </c>
      <c r="BA13" s="22">
        <v>13537.5</v>
      </c>
      <c r="BB13" s="22">
        <v>157.66200000000001</v>
      </c>
      <c r="BC13" s="22">
        <v>181.42500000000001</v>
      </c>
      <c r="BE13" s="23">
        <f t="shared" si="14"/>
        <v>2.0411450307733503E-13</v>
      </c>
      <c r="BF13" s="23">
        <f t="shared" si="15"/>
        <v>0</v>
      </c>
      <c r="BG13" s="23"/>
      <c r="BI13" s="58"/>
      <c r="BJ13" s="58"/>
      <c r="BK13" s="58"/>
      <c r="BL13" s="58"/>
      <c r="BM13" s="58"/>
      <c r="BN13" s="59"/>
      <c r="BO13" s="58"/>
      <c r="BP13" s="58"/>
      <c r="BQ13" s="58"/>
      <c r="BR13" s="58"/>
      <c r="BS13" s="58"/>
      <c r="BU13" s="4">
        <f t="shared" si="16"/>
        <v>0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24.8795672</v>
      </c>
      <c r="J14" s="48">
        <f t="shared" si="1"/>
        <v>1.1406301821809726</v>
      </c>
      <c r="K14" s="48">
        <f t="shared" si="2"/>
        <v>0.23875756218186214</v>
      </c>
      <c r="L14" s="48">
        <f t="shared" si="3"/>
        <v>0.19699253317107007</v>
      </c>
      <c r="M14" s="48">
        <f t="shared" si="4"/>
        <v>0.90185659221580994</v>
      </c>
      <c r="N14" s="45">
        <f t="shared" si="5"/>
        <v>52078096</v>
      </c>
      <c r="O14" s="48">
        <f t="shared" si="6"/>
        <v>0.75793449362856025</v>
      </c>
      <c r="P14" s="49">
        <v>328254848</v>
      </c>
      <c r="Q14" s="49">
        <v>1094182.8266666699</v>
      </c>
      <c r="R14" s="49">
        <v>358119.88333333301</v>
      </c>
      <c r="S14" s="50">
        <v>248795672</v>
      </c>
      <c r="T14" s="50">
        <v>42968256</v>
      </c>
      <c r="U14" s="50">
        <v>9109840</v>
      </c>
      <c r="V14" s="50">
        <v>196714080</v>
      </c>
      <c r="W14" s="51">
        <v>70.786573666666698</v>
      </c>
      <c r="X14" s="51">
        <v>73.817545000000095</v>
      </c>
      <c r="Y14" s="51">
        <v>41.211955000000003</v>
      </c>
      <c r="Z14" s="51">
        <v>43.523493333333299</v>
      </c>
      <c r="AA14" s="51">
        <v>39.563456333333299</v>
      </c>
      <c r="AB14" s="52">
        <v>71860.399999999994</v>
      </c>
      <c r="AC14" s="52">
        <v>15035</v>
      </c>
      <c r="AD14" s="52">
        <v>96.43</v>
      </c>
      <c r="AE14" s="52">
        <v>241.40199999999999</v>
      </c>
      <c r="AG14" s="47">
        <f t="shared" si="7"/>
        <v>24.8795672</v>
      </c>
      <c r="AH14" s="48">
        <f t="shared" si="8"/>
        <v>1.1406301821809726</v>
      </c>
      <c r="AI14" s="48">
        <f t="shared" si="9"/>
        <v>0.23875756218186214</v>
      </c>
      <c r="AJ14" s="48">
        <f t="shared" si="10"/>
        <v>0.19699253317107007</v>
      </c>
      <c r="AK14" s="48">
        <f t="shared" si="11"/>
        <v>0.90185659221580994</v>
      </c>
      <c r="AL14" s="45">
        <f t="shared" si="12"/>
        <v>52078096</v>
      </c>
      <c r="AM14" s="48">
        <f t="shared" si="13"/>
        <v>0.75793449362856025</v>
      </c>
      <c r="AN14" s="49">
        <v>328254848</v>
      </c>
      <c r="AO14" s="49">
        <v>1094182.8266670001</v>
      </c>
      <c r="AP14" s="49">
        <v>358119.88333300001</v>
      </c>
      <c r="AQ14" s="50">
        <v>248795672</v>
      </c>
      <c r="AR14" s="50">
        <v>42968256</v>
      </c>
      <c r="AS14" s="50">
        <v>9109840</v>
      </c>
      <c r="AT14" s="50">
        <v>196714080</v>
      </c>
      <c r="AU14" s="51">
        <v>70.786573000000004</v>
      </c>
      <c r="AV14" s="51">
        <v>73.817544999999996</v>
      </c>
      <c r="AW14" s="51">
        <v>41.211955000000003</v>
      </c>
      <c r="AX14" s="51">
        <v>43.523493000000002</v>
      </c>
      <c r="AY14" s="51">
        <v>39.563456000000002</v>
      </c>
      <c r="AZ14" s="52">
        <v>62522.8</v>
      </c>
      <c r="BA14" s="52">
        <v>10814</v>
      </c>
      <c r="BB14" s="52">
        <v>106.06399999999999</v>
      </c>
      <c r="BC14" s="52">
        <v>138.613</v>
      </c>
      <c r="BE14" s="53">
        <f t="shared" si="14"/>
        <v>-4.0312198024139434E-13</v>
      </c>
      <c r="BF14" s="53">
        <f t="shared" si="15"/>
        <v>0</v>
      </c>
      <c r="BG14" s="53"/>
      <c r="BI14" s="62"/>
      <c r="BJ14" s="62"/>
      <c r="BK14" s="62"/>
      <c r="BL14" s="62"/>
      <c r="BM14" s="62"/>
      <c r="BN14" s="59"/>
      <c r="BO14" s="62"/>
      <c r="BP14" s="62"/>
      <c r="BQ14" s="62"/>
      <c r="BR14" s="62"/>
      <c r="BS14" s="62"/>
      <c r="BU14" s="4">
        <f t="shared" si="16"/>
        <v>0</v>
      </c>
    </row>
    <row r="15" spans="1:73" x14ac:dyDescent="0.3">
      <c r="A15" s="15"/>
      <c r="B15" s="15" t="s">
        <v>278</v>
      </c>
      <c r="C15" s="16" t="s">
        <v>268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4.4161664000000007</v>
      </c>
      <c r="J15" s="18">
        <f t="shared" si="1"/>
        <v>0.13689731399486946</v>
      </c>
      <c r="K15" s="18">
        <f t="shared" si="2"/>
        <v>7.7071573245251504E-2</v>
      </c>
      <c r="L15" s="18">
        <f t="shared" si="3"/>
        <v>3.925652878245612E-2</v>
      </c>
      <c r="M15" s="18">
        <f t="shared" si="4"/>
        <v>5.9814903453955244E-2</v>
      </c>
      <c r="N15" s="15">
        <f t="shared" si="5"/>
        <v>24862496</v>
      </c>
      <c r="O15" s="18">
        <f t="shared" si="6"/>
        <v>9.1474306100735134E-2</v>
      </c>
      <c r="P15" s="19">
        <v>482776704</v>
      </c>
      <c r="Q15" s="19">
        <v>1609255.68</v>
      </c>
      <c r="R15" s="19">
        <v>651463.06000000006</v>
      </c>
      <c r="S15" s="20">
        <v>44161664</v>
      </c>
      <c r="T15" s="20">
        <v>12663752</v>
      </c>
      <c r="U15" s="20">
        <v>12198744</v>
      </c>
      <c r="V15" s="20">
        <v>19295672</v>
      </c>
      <c r="W15" s="21">
        <v>66.050027</v>
      </c>
      <c r="X15" s="21">
        <v>68.036509666666703</v>
      </c>
      <c r="Y15" s="21">
        <v>29.653113000000001</v>
      </c>
      <c r="Z15" s="21">
        <v>43.2739986666666</v>
      </c>
      <c r="AA15" s="21">
        <v>43.517900666666698</v>
      </c>
      <c r="AB15" s="22">
        <v>101966</v>
      </c>
      <c r="AC15" s="22">
        <v>11355.7</v>
      </c>
      <c r="AD15" s="22">
        <v>127.56100000000001</v>
      </c>
      <c r="AE15" s="22">
        <v>214.02799999999999</v>
      </c>
      <c r="AG15" s="17">
        <f t="shared" si="7"/>
        <v>4.4161664000000007</v>
      </c>
      <c r="AH15" s="18">
        <f t="shared" si="8"/>
        <v>0.13689731399486946</v>
      </c>
      <c r="AI15" s="18">
        <f t="shared" si="9"/>
        <v>7.7071573245251504E-2</v>
      </c>
      <c r="AJ15" s="18">
        <f t="shared" si="10"/>
        <v>3.925652878245612E-2</v>
      </c>
      <c r="AK15" s="18">
        <f t="shared" si="11"/>
        <v>5.9814903453955244E-2</v>
      </c>
      <c r="AL15" s="15">
        <f t="shared" si="12"/>
        <v>24862496</v>
      </c>
      <c r="AM15" s="18">
        <f t="shared" si="13"/>
        <v>9.1474306100735134E-2</v>
      </c>
      <c r="AN15" s="19">
        <v>482776704</v>
      </c>
      <c r="AO15" s="19">
        <v>1609255.68</v>
      </c>
      <c r="AP15" s="19">
        <v>651463.06000000006</v>
      </c>
      <c r="AQ15" s="20">
        <v>44161664</v>
      </c>
      <c r="AR15" s="20">
        <v>12663752</v>
      </c>
      <c r="AS15" s="20">
        <v>12198744</v>
      </c>
      <c r="AT15" s="20">
        <v>19295672</v>
      </c>
      <c r="AU15" s="21">
        <v>66.050027</v>
      </c>
      <c r="AV15" s="21">
        <v>68.036508999999995</v>
      </c>
      <c r="AW15" s="21">
        <v>29.653113000000001</v>
      </c>
      <c r="AX15" s="21">
        <v>43.273999000000003</v>
      </c>
      <c r="AY15" s="21">
        <v>43.517899999999997</v>
      </c>
      <c r="AZ15" s="22">
        <v>90923.1</v>
      </c>
      <c r="BA15" s="22">
        <v>11390.6</v>
      </c>
      <c r="BB15" s="22">
        <v>220.52699999999999</v>
      </c>
      <c r="BC15" s="22">
        <v>169.21299999999999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58">
        <f>IF( OR(ISBLANK(N15:N19),ISBLANK(AL15:AL19), ISBLANK(W15:W19),ISBLANK(AU15:AU19)), "·", bdRateExtend( N15:N19,W15:W19, AL15:AL19,AU15:AU19))</f>
        <v>-1.4242078849591167E-8</v>
      </c>
      <c r="BJ15" s="58">
        <f>IF( OR(ISBLANK(N15:N19),ISBLANK(AL15:AL19), ISBLANK(X15:X19),ISBLANK(AV15:AV19)), "·", bdRateExtend( N15:N19,X15:X19, AL15:AL19,AV15:AV19))</f>
        <v>-3.6904839406659562E-8</v>
      </c>
      <c r="BK15" s="58">
        <f>IF( OR(ISBLANK(V15:V19),ISBLANK(AT15:AT19), ISBLANK(Y15:Y19),ISBLANK(AW15:AW19)), "·", bdRateExtend( V15:V19,Y15:Y19, AT15:AT19,AW15:AW19))</f>
        <v>3.4981676444445498E-8</v>
      </c>
      <c r="BL15" s="58">
        <f>IF( OR(ISBLANK(V15:V19),ISBLANK(AT15:AT19), ISBLANK(Z15:Z19),ISBLANK(AX15:AX19)), "·", bdRateExtend( V15:V19,Z15:Z19, AT15:AT19,AX15:AX19))</f>
        <v>-5.1541876322502844E-8</v>
      </c>
      <c r="BM15" s="58">
        <f>IF( OR(ISBLANK(V15:V19),ISBLANK(AT15:AT19), ISBLANK(AA15:AA19),ISBLANK(AY15:AY19)), "·", bdRateExtend( V15:V19,AA15:AA19, AT15:AT19,AY15:AY19))</f>
        <v>6.4515980779944471E-8</v>
      </c>
      <c r="BN15" s="59"/>
      <c r="BO15" s="58">
        <f>IF( OR(ISBLANK(S15:S19),ISBLANK(AQ15:AQ19), ISBLANK(W15:W19),ISBLANK(AU15:AU19)), "·", bdRateExtend( S15:S19,W15:W19, AQ15:AQ19,AU15:AU19))</f>
        <v>-3.2198411603623356E-8</v>
      </c>
      <c r="BP15" s="58">
        <f>IF( OR(ISBLANK(S15:S19),ISBLANK(AQ15:AQ19), ISBLANK(X15:X19),ISBLANK(AV15:AV19)), "·", bdRateExtend( S15:S19,X15:X19, AQ15:AQ19,AV15:AV19))</f>
        <v>-7.7806972975658084E-8</v>
      </c>
      <c r="BQ15" s="58">
        <f>IF( OR(ISBLANK(S15:S19),ISBLANK(AQ15:AQ19), ISBLANK(Y15:Y19),ISBLANK(AW15:AW19)), "·", bdRateExtend( S15:S19,Y15:Y19, AQ15:AQ19,AW15:AW19))</f>
        <v>3.1052989513113971E-8</v>
      </c>
      <c r="BR15" s="58">
        <f>IF( OR(ISBLANK(S15:S19),ISBLANK(AQ15:AQ19), ISBLANK(Z15:Z19),ISBLANK(AX15:AX19)), "·", bdRateExtend( S15:S19,Z15:Z19, AQ15:AQ19,AX15:AX19))</f>
        <v>-4.5342744336984708E-8</v>
      </c>
      <c r="BS15" s="58">
        <f>IF( OR(ISBLANK(S15:S19),ISBLANK(AQ15:AQ19), ISBLANK(AA15:AA19),ISBLANK(AY15:AY19)), "·", bdRateExtend( S15:S19,AA15:AA19, AQ15:AQ19,AY15:AY19))</f>
        <v>3.9156244913129967E-8</v>
      </c>
      <c r="BU15" s="4">
        <f t="shared" si="16"/>
        <v>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7.0847112000000001</v>
      </c>
      <c r="J16" s="28">
        <f t="shared" si="1"/>
        <v>0.21961987974668901</v>
      </c>
      <c r="K16" s="28">
        <f t="shared" si="2"/>
        <v>9.269704404453033E-2</v>
      </c>
      <c r="L16" s="28">
        <f t="shared" si="3"/>
        <v>5.4881999581734946E-2</v>
      </c>
      <c r="M16" s="28">
        <f t="shared" si="4"/>
        <v>0.12691199840649595</v>
      </c>
      <c r="N16" s="25">
        <f t="shared" si="5"/>
        <v>29903112</v>
      </c>
      <c r="O16" s="28">
        <f t="shared" si="6"/>
        <v>0.14674923502522608</v>
      </c>
      <c r="P16" s="29">
        <v>482776704</v>
      </c>
      <c r="Q16" s="29">
        <v>1609255.68</v>
      </c>
      <c r="R16" s="29">
        <v>580881.03333333298</v>
      </c>
      <c r="S16" s="30">
        <v>70847112</v>
      </c>
      <c r="T16" s="30">
        <v>17704368</v>
      </c>
      <c r="U16" s="30">
        <v>12198744</v>
      </c>
      <c r="V16" s="30">
        <v>40940504</v>
      </c>
      <c r="W16" s="31">
        <v>67.874712000000002</v>
      </c>
      <c r="X16" s="31">
        <v>70.078400666666695</v>
      </c>
      <c r="Y16" s="31">
        <v>32.125734000000001</v>
      </c>
      <c r="Z16" s="31">
        <v>44.112621333333301</v>
      </c>
      <c r="AA16" s="31">
        <v>44.455196333333298</v>
      </c>
      <c r="AB16" s="32">
        <v>102202</v>
      </c>
      <c r="AC16" s="32">
        <v>12115.4</v>
      </c>
      <c r="AD16" s="32">
        <v>131.02699999999999</v>
      </c>
      <c r="AE16" s="32">
        <v>219.65</v>
      </c>
      <c r="AG16" s="27">
        <f t="shared" si="7"/>
        <v>7.0847112000000001</v>
      </c>
      <c r="AH16" s="28">
        <f t="shared" si="8"/>
        <v>0.21961987974668901</v>
      </c>
      <c r="AI16" s="28">
        <f t="shared" si="9"/>
        <v>9.269704404453033E-2</v>
      </c>
      <c r="AJ16" s="28">
        <f t="shared" si="10"/>
        <v>5.4881999581734946E-2</v>
      </c>
      <c r="AK16" s="28">
        <f t="shared" si="11"/>
        <v>0.12691199840649595</v>
      </c>
      <c r="AL16" s="25">
        <f t="shared" si="12"/>
        <v>29903112</v>
      </c>
      <c r="AM16" s="28">
        <f t="shared" si="13"/>
        <v>0.14674923502522608</v>
      </c>
      <c r="AN16" s="29">
        <v>482776704</v>
      </c>
      <c r="AO16" s="29">
        <v>1609255.68</v>
      </c>
      <c r="AP16" s="29">
        <v>580881.03333300003</v>
      </c>
      <c r="AQ16" s="30">
        <v>70847112</v>
      </c>
      <c r="AR16" s="30">
        <v>17704368</v>
      </c>
      <c r="AS16" s="30">
        <v>12198744</v>
      </c>
      <c r="AT16" s="30">
        <v>40940504</v>
      </c>
      <c r="AU16" s="31">
        <v>67.874712000000002</v>
      </c>
      <c r="AV16" s="31">
        <v>70.078400999999999</v>
      </c>
      <c r="AW16" s="31">
        <v>32.125734000000001</v>
      </c>
      <c r="AX16" s="31">
        <v>44.112620999999997</v>
      </c>
      <c r="AY16" s="31">
        <v>44.455196000000001</v>
      </c>
      <c r="AZ16" s="32">
        <v>88794.3</v>
      </c>
      <c r="BA16" s="32">
        <v>7948.27</v>
      </c>
      <c r="BB16" s="32">
        <v>143.16399999999999</v>
      </c>
      <c r="BC16" s="32">
        <v>117.63200000000001</v>
      </c>
      <c r="BE16" s="33">
        <f t="shared" si="14"/>
        <v>-2.0689006063889792E-13</v>
      </c>
      <c r="BF16" s="33">
        <f t="shared" si="15"/>
        <v>0</v>
      </c>
      <c r="BG16" s="33"/>
      <c r="BI16" s="60"/>
      <c r="BJ16" s="60"/>
      <c r="BK16" s="60"/>
      <c r="BL16" s="60"/>
      <c r="BM16" s="60"/>
      <c r="BN16" s="59"/>
      <c r="BO16" s="60"/>
      <c r="BP16" s="60"/>
      <c r="BQ16" s="60"/>
      <c r="BR16" s="60"/>
      <c r="BS16" s="60"/>
      <c r="BU16" s="4">
        <f t="shared" si="16"/>
        <v>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12.0393224</v>
      </c>
      <c r="J17" s="18">
        <f t="shared" si="1"/>
        <v>0.37320851380923181</v>
      </c>
      <c r="K17" s="18">
        <f t="shared" si="2"/>
        <v>0.11551587523698524</v>
      </c>
      <c r="L17" s="18">
        <f t="shared" si="3"/>
        <v>7.7700830774189864E-2</v>
      </c>
      <c r="M17" s="18">
        <f t="shared" si="4"/>
        <v>0.25768180127658386</v>
      </c>
      <c r="N17" s="15">
        <f t="shared" si="5"/>
        <v>37264232</v>
      </c>
      <c r="O17" s="18">
        <f t="shared" si="6"/>
        <v>0.24937662277921346</v>
      </c>
      <c r="P17" s="19">
        <v>482776704</v>
      </c>
      <c r="Q17" s="19">
        <v>1609255.68</v>
      </c>
      <c r="R17" s="19">
        <v>572172.75666666694</v>
      </c>
      <c r="S17" s="20">
        <v>120393224</v>
      </c>
      <c r="T17" s="20">
        <v>25065488</v>
      </c>
      <c r="U17" s="20">
        <v>12198744</v>
      </c>
      <c r="V17" s="20">
        <v>83125496</v>
      </c>
      <c r="W17" s="21">
        <v>69.270091666666701</v>
      </c>
      <c r="X17" s="21">
        <v>71.939570666666697</v>
      </c>
      <c r="Y17" s="21">
        <v>34.711466000000001</v>
      </c>
      <c r="Z17" s="21">
        <v>44.975187666666699</v>
      </c>
      <c r="AA17" s="21">
        <v>45.389537666666698</v>
      </c>
      <c r="AB17" s="22">
        <v>101455</v>
      </c>
      <c r="AC17" s="22">
        <v>13377.9</v>
      </c>
      <c r="AD17" s="22">
        <v>132.45699999999999</v>
      </c>
      <c r="AE17" s="22">
        <v>232.65799999999999</v>
      </c>
      <c r="AG17" s="17">
        <f t="shared" si="7"/>
        <v>12.0393224</v>
      </c>
      <c r="AH17" s="18">
        <f t="shared" si="8"/>
        <v>0.37320851380923181</v>
      </c>
      <c r="AI17" s="18">
        <f t="shared" si="9"/>
        <v>0.11551587523698524</v>
      </c>
      <c r="AJ17" s="18">
        <f t="shared" si="10"/>
        <v>7.7700830774189864E-2</v>
      </c>
      <c r="AK17" s="18">
        <f t="shared" si="11"/>
        <v>0.25768180127658386</v>
      </c>
      <c r="AL17" s="15">
        <f t="shared" si="12"/>
        <v>37264232</v>
      </c>
      <c r="AM17" s="18">
        <f t="shared" si="13"/>
        <v>0.24937662277921346</v>
      </c>
      <c r="AN17" s="19">
        <v>482776704</v>
      </c>
      <c r="AO17" s="19">
        <v>1609255.68</v>
      </c>
      <c r="AP17" s="19">
        <v>572172.75666700001</v>
      </c>
      <c r="AQ17" s="20">
        <v>120393224</v>
      </c>
      <c r="AR17" s="20">
        <v>25065488</v>
      </c>
      <c r="AS17" s="20">
        <v>12198744</v>
      </c>
      <c r="AT17" s="20">
        <v>83125496</v>
      </c>
      <c r="AU17" s="21">
        <v>69.270092000000005</v>
      </c>
      <c r="AV17" s="21">
        <v>71.939571000000001</v>
      </c>
      <c r="AW17" s="21">
        <v>34.711466000000001</v>
      </c>
      <c r="AX17" s="21">
        <v>44.975188000000003</v>
      </c>
      <c r="AY17" s="21">
        <v>45.389538000000002</v>
      </c>
      <c r="AZ17" s="22">
        <v>96631.2</v>
      </c>
      <c r="BA17" s="22">
        <v>14847.6</v>
      </c>
      <c r="BB17" s="22">
        <v>243.393</v>
      </c>
      <c r="BC17" s="22">
        <v>196.512</v>
      </c>
      <c r="BE17" s="23">
        <f t="shared" si="14"/>
        <v>2.0694557179012918E-13</v>
      </c>
      <c r="BF17" s="23">
        <f t="shared" si="15"/>
        <v>0</v>
      </c>
      <c r="BG17" s="23"/>
      <c r="BI17" s="58"/>
      <c r="BJ17" s="58"/>
      <c r="BK17" s="58"/>
      <c r="BL17" s="58"/>
      <c r="BM17" s="58"/>
      <c r="BN17" s="59"/>
      <c r="BO17" s="58"/>
      <c r="BP17" s="58"/>
      <c r="BQ17" s="58"/>
      <c r="BR17" s="58"/>
      <c r="BS17" s="58"/>
      <c r="BU17" s="4">
        <f t="shared" si="16"/>
        <v>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21.933502399999998</v>
      </c>
      <c r="J18" s="28">
        <f t="shared" si="1"/>
        <v>0.67991948062917718</v>
      </c>
      <c r="K18" s="28">
        <f t="shared" si="2"/>
        <v>0.15364368851648161</v>
      </c>
      <c r="L18" s="28">
        <f t="shared" si="3"/>
        <v>0.11582864405368623</v>
      </c>
      <c r="M18" s="28">
        <f t="shared" si="4"/>
        <v>0.52626495481703284</v>
      </c>
      <c r="N18" s="25">
        <f t="shared" si="5"/>
        <v>49563872</v>
      </c>
      <c r="O18" s="28">
        <f t="shared" si="6"/>
        <v>0.45431981738704608</v>
      </c>
      <c r="P18" s="29">
        <v>482776704</v>
      </c>
      <c r="Q18" s="29">
        <v>1609255.68</v>
      </c>
      <c r="R18" s="29">
        <v>530045.04333333299</v>
      </c>
      <c r="S18" s="30">
        <v>219335024</v>
      </c>
      <c r="T18" s="30">
        <v>37365128</v>
      </c>
      <c r="U18" s="30">
        <v>12198744</v>
      </c>
      <c r="V18" s="30">
        <v>169767656</v>
      </c>
      <c r="W18" s="31">
        <v>70.383852000000005</v>
      </c>
      <c r="X18" s="31">
        <v>73.267806666666601</v>
      </c>
      <c r="Y18" s="31">
        <v>37.402474333333402</v>
      </c>
      <c r="Z18" s="31">
        <v>46.3361326666667</v>
      </c>
      <c r="AA18" s="31">
        <v>46.821857999999999</v>
      </c>
      <c r="AB18" s="32">
        <v>101313</v>
      </c>
      <c r="AC18" s="32">
        <v>16038.3</v>
      </c>
      <c r="AD18" s="32">
        <v>126.10299999999999</v>
      </c>
      <c r="AE18" s="32">
        <v>243.934</v>
      </c>
      <c r="AG18" s="27">
        <f t="shared" si="7"/>
        <v>21.933502399999998</v>
      </c>
      <c r="AH18" s="28">
        <f t="shared" si="8"/>
        <v>0.67991948062917718</v>
      </c>
      <c r="AI18" s="28">
        <f t="shared" si="9"/>
        <v>0.15364368851648161</v>
      </c>
      <c r="AJ18" s="28">
        <f t="shared" si="10"/>
        <v>0.11582864405368623</v>
      </c>
      <c r="AK18" s="28">
        <f t="shared" si="11"/>
        <v>0.52626495481703284</v>
      </c>
      <c r="AL18" s="25">
        <f t="shared" si="12"/>
        <v>49563872</v>
      </c>
      <c r="AM18" s="28">
        <f t="shared" si="13"/>
        <v>0.45431981738704608</v>
      </c>
      <c r="AN18" s="29">
        <v>482776704</v>
      </c>
      <c r="AO18" s="29">
        <v>1609255.68</v>
      </c>
      <c r="AP18" s="29">
        <v>530045.04333300004</v>
      </c>
      <c r="AQ18" s="30">
        <v>219335024</v>
      </c>
      <c r="AR18" s="30">
        <v>37365128</v>
      </c>
      <c r="AS18" s="30">
        <v>12198744</v>
      </c>
      <c r="AT18" s="30">
        <v>169767656</v>
      </c>
      <c r="AU18" s="31">
        <v>70.383852000000005</v>
      </c>
      <c r="AV18" s="31">
        <v>73.267807000000005</v>
      </c>
      <c r="AW18" s="31">
        <v>37.402473999999998</v>
      </c>
      <c r="AX18" s="31">
        <v>46.336132999999997</v>
      </c>
      <c r="AY18" s="31">
        <v>46.821857999999999</v>
      </c>
      <c r="AZ18" s="32">
        <v>88646.399999999994</v>
      </c>
      <c r="BA18" s="32">
        <v>10588.2</v>
      </c>
      <c r="BB18" s="32">
        <v>142.45400000000001</v>
      </c>
      <c r="BC18" s="32">
        <v>133.083</v>
      </c>
      <c r="BE18" s="33">
        <f t="shared" si="14"/>
        <v>-2.0689006063889792E-13</v>
      </c>
      <c r="BF18" s="33">
        <f t="shared" si="15"/>
        <v>0</v>
      </c>
      <c r="BG18" s="33"/>
      <c r="BI18" s="60"/>
      <c r="BJ18" s="60"/>
      <c r="BK18" s="60"/>
      <c r="BL18" s="60"/>
      <c r="BM18" s="60"/>
      <c r="BN18" s="59"/>
      <c r="BO18" s="60"/>
      <c r="BP18" s="60"/>
      <c r="BQ18" s="60"/>
      <c r="BR18" s="60"/>
      <c r="BS18" s="60"/>
      <c r="BU18" s="4">
        <f t="shared" si="16"/>
        <v>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40.420877600000004</v>
      </c>
      <c r="J19" s="38">
        <f t="shared" si="1"/>
        <v>1.2530120180153053</v>
      </c>
      <c r="K19" s="38">
        <f t="shared" si="2"/>
        <v>0.21659560467559125</v>
      </c>
      <c r="L19" s="38">
        <f t="shared" si="3"/>
        <v>0.17878056021279587</v>
      </c>
      <c r="M19" s="38">
        <f t="shared" si="4"/>
        <v>1.0364055760440514</v>
      </c>
      <c r="N19" s="35">
        <f t="shared" si="5"/>
        <v>69871512</v>
      </c>
      <c r="O19" s="38">
        <f t="shared" si="6"/>
        <v>0.83725824517000724</v>
      </c>
      <c r="P19" s="39">
        <v>482776704</v>
      </c>
      <c r="Q19" s="39">
        <v>1609255.68</v>
      </c>
      <c r="R19" s="39">
        <v>522934.72666666697</v>
      </c>
      <c r="S19" s="40">
        <v>404208776</v>
      </c>
      <c r="T19" s="40">
        <v>57672768</v>
      </c>
      <c r="U19" s="40">
        <v>12198744</v>
      </c>
      <c r="V19" s="40">
        <v>334333768</v>
      </c>
      <c r="W19" s="41">
        <v>71.288881000000003</v>
      </c>
      <c r="X19" s="41">
        <v>74.436338000000006</v>
      </c>
      <c r="Y19" s="41">
        <v>39.669734333333302</v>
      </c>
      <c r="Z19" s="41">
        <v>48.194327333333298</v>
      </c>
      <c r="AA19" s="41">
        <v>48.754962333333303</v>
      </c>
      <c r="AB19" s="42">
        <v>100559</v>
      </c>
      <c r="AC19" s="42">
        <v>19920.8</v>
      </c>
      <c r="AD19" s="42">
        <v>168.93299999999999</v>
      </c>
      <c r="AE19" s="42">
        <v>320.06700000000001</v>
      </c>
      <c r="AG19" s="37">
        <f t="shared" si="7"/>
        <v>40.420877600000004</v>
      </c>
      <c r="AH19" s="38">
        <f t="shared" si="8"/>
        <v>1.2530120180153053</v>
      </c>
      <c r="AI19" s="38">
        <f t="shared" si="9"/>
        <v>0.21659560467559125</v>
      </c>
      <c r="AJ19" s="38">
        <f t="shared" si="10"/>
        <v>0.17878056021279587</v>
      </c>
      <c r="AK19" s="38">
        <f t="shared" si="11"/>
        <v>1.0364055760440514</v>
      </c>
      <c r="AL19" s="35">
        <f t="shared" si="12"/>
        <v>69871512</v>
      </c>
      <c r="AM19" s="38">
        <f t="shared" si="13"/>
        <v>0.83725824517000724</v>
      </c>
      <c r="AN19" s="39">
        <v>482776704</v>
      </c>
      <c r="AO19" s="39">
        <v>1609255.68</v>
      </c>
      <c r="AP19" s="39">
        <v>522934.72666699998</v>
      </c>
      <c r="AQ19" s="40">
        <v>404208776</v>
      </c>
      <c r="AR19" s="40">
        <v>57672768</v>
      </c>
      <c r="AS19" s="40">
        <v>12198744</v>
      </c>
      <c r="AT19" s="40">
        <v>334333768</v>
      </c>
      <c r="AU19" s="41">
        <v>71.288881000000003</v>
      </c>
      <c r="AV19" s="41">
        <v>74.436338000000006</v>
      </c>
      <c r="AW19" s="41">
        <v>39.669733999999998</v>
      </c>
      <c r="AX19" s="41">
        <v>48.194327000000001</v>
      </c>
      <c r="AY19" s="41">
        <v>48.754961999999999</v>
      </c>
      <c r="AZ19" s="42">
        <v>98155.199999999997</v>
      </c>
      <c r="BA19" s="42">
        <v>20485.599999999999</v>
      </c>
      <c r="BB19" s="42">
        <v>193.59</v>
      </c>
      <c r="BC19" s="42">
        <v>188.86600000000001</v>
      </c>
      <c r="BE19" s="43">
        <f t="shared" si="14"/>
        <v>2.0694557179012918E-13</v>
      </c>
      <c r="BF19" s="43">
        <f t="shared" si="15"/>
        <v>0</v>
      </c>
      <c r="BG19" s="43"/>
      <c r="BI19" s="61"/>
      <c r="BJ19" s="61"/>
      <c r="BK19" s="61"/>
      <c r="BL19" s="61"/>
      <c r="BM19" s="61"/>
      <c r="BN19" s="59"/>
      <c r="BO19" s="61"/>
      <c r="BP19" s="61"/>
      <c r="BQ19" s="61"/>
      <c r="BR19" s="61"/>
      <c r="BS19" s="61"/>
      <c r="BU19" s="4">
        <f t="shared" si="16"/>
        <v>0</v>
      </c>
    </row>
    <row r="20" spans="1:73" x14ac:dyDescent="0.3">
      <c r="A20" s="25"/>
      <c r="B20" s="25" t="s">
        <v>281</v>
      </c>
      <c r="C20" s="26" t="s">
        <v>268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4.9544912000000005</v>
      </c>
      <c r="J20" s="28">
        <f t="shared" si="1"/>
        <v>9.8851437432140393E-2</v>
      </c>
      <c r="K20" s="28">
        <f t="shared" si="2"/>
        <v>5.7262707316493008E-2</v>
      </c>
      <c r="L20" s="28">
        <f t="shared" si="3"/>
        <v>2.8120122524843499E-2</v>
      </c>
      <c r="M20" s="28">
        <f t="shared" si="4"/>
        <v>4.1577461291138894E-2</v>
      </c>
      <c r="N20" s="25">
        <f t="shared" si="5"/>
        <v>14350200</v>
      </c>
      <c r="O20" s="28">
        <f t="shared" si="6"/>
        <v>7.7777323990882608E-2</v>
      </c>
      <c r="P20" s="29">
        <v>318504864</v>
      </c>
      <c r="Q20" s="29">
        <v>1274019.456</v>
      </c>
      <c r="R20" s="29">
        <v>358872.408</v>
      </c>
      <c r="S20" s="30">
        <v>24772456</v>
      </c>
      <c r="T20" s="30">
        <v>7046984</v>
      </c>
      <c r="U20" s="30">
        <v>7303216</v>
      </c>
      <c r="V20" s="30">
        <v>10419432</v>
      </c>
      <c r="W20" s="31">
        <v>67.287995199999997</v>
      </c>
      <c r="X20" s="31">
        <v>69.138462399999995</v>
      </c>
      <c r="Y20" s="31">
        <v>31.148923199999999</v>
      </c>
      <c r="Z20" s="31">
        <v>40.277186399999998</v>
      </c>
      <c r="AA20" s="31">
        <v>39.142818800000001</v>
      </c>
      <c r="AB20" s="32">
        <v>80805.100000000006</v>
      </c>
      <c r="AC20" s="32">
        <v>9401.7800000000007</v>
      </c>
      <c r="AD20" s="32">
        <v>79.414000000000001</v>
      </c>
      <c r="AE20" s="32">
        <v>157.64500000000001</v>
      </c>
      <c r="AG20" s="27">
        <f t="shared" si="7"/>
        <v>4.9544912000000005</v>
      </c>
      <c r="AH20" s="28">
        <f t="shared" si="8"/>
        <v>9.8851437432140393E-2</v>
      </c>
      <c r="AI20" s="28">
        <f t="shared" si="9"/>
        <v>5.7262707316493008E-2</v>
      </c>
      <c r="AJ20" s="28">
        <f t="shared" si="10"/>
        <v>2.8120122524843499E-2</v>
      </c>
      <c r="AK20" s="28">
        <f t="shared" si="11"/>
        <v>4.1577461291138894E-2</v>
      </c>
      <c r="AL20" s="25">
        <f t="shared" si="12"/>
        <v>14350200</v>
      </c>
      <c r="AM20" s="28">
        <f t="shared" si="13"/>
        <v>7.7777323990882608E-2</v>
      </c>
      <c r="AN20" s="29">
        <v>318504864</v>
      </c>
      <c r="AO20" s="29">
        <v>1274019.456</v>
      </c>
      <c r="AP20" s="29">
        <v>358872.408</v>
      </c>
      <c r="AQ20" s="30">
        <v>24772456</v>
      </c>
      <c r="AR20" s="30">
        <v>7046984</v>
      </c>
      <c r="AS20" s="30">
        <v>7303216</v>
      </c>
      <c r="AT20" s="30">
        <v>10419432</v>
      </c>
      <c r="AU20" s="31">
        <v>67.287994999999995</v>
      </c>
      <c r="AV20" s="31">
        <v>69.138462000000004</v>
      </c>
      <c r="AW20" s="31">
        <v>31.148923</v>
      </c>
      <c r="AX20" s="31">
        <v>40.277186</v>
      </c>
      <c r="AY20" s="31">
        <v>39.142819000000003</v>
      </c>
      <c r="AZ20" s="32">
        <v>67218.2</v>
      </c>
      <c r="BA20" s="32">
        <v>6129.81</v>
      </c>
      <c r="BB20" s="32">
        <v>105.035</v>
      </c>
      <c r="BC20" s="32">
        <v>93.432000000000002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60">
        <f>IF( OR(ISBLANK(N20:N24),ISBLANK(AL20:AL24), ISBLANK(W20:W24),ISBLANK(AU20:AU24)), "·", bdRateExtend( N20:N24,W20:W24, AL20:AL24,AU20:AU24))</f>
        <v>4.253527130515522E-8</v>
      </c>
      <c r="BJ20" s="60">
        <f>IF( OR(ISBLANK(N20:N24),ISBLANK(AL20:AL24), ISBLANK(X20:X24),ISBLANK(AV20:AV24)), "·", bdRateExtend( N20:N24,X20:X24, AL20:AL24,AV20:AV24))</f>
        <v>4.7729509233818135E-8</v>
      </c>
      <c r="BK20" s="60">
        <f>IF( OR(ISBLANK(V20:V24),ISBLANK(AT20:AT24), ISBLANK(Y20:Y24),ISBLANK(AW20:AW24)), "·", bdRateExtend( V20:V24,Y20:Y24, AT20:AT24,AW20:AW24))</f>
        <v>-1.3962428813130145E-7</v>
      </c>
      <c r="BL20" s="60">
        <f>IF( OR(ISBLANK(V20:V24),ISBLANK(AT20:AT24), ISBLANK(Z20:Z24),ISBLANK(AX20:AX24)), "·", bdRateExtend( V20:V24,Z20:Z24, AT20:AT24,AX20:AX24))</f>
        <v>8.2851456806309898E-8</v>
      </c>
      <c r="BM20" s="60">
        <f>IF( OR(ISBLANK(V20:V24),ISBLANK(AT20:AT24), ISBLANK(AA20:AA24),ISBLANK(AY20:AY24)), "·", bdRateExtend( V20:V24,AA20:AA24, AT20:AT24,AY20:AY24))</f>
        <v>-1.1316667603011865E-9</v>
      </c>
      <c r="BN20" s="59"/>
      <c r="BO20" s="60">
        <f>IF( OR(ISBLANK(S20:S24),ISBLANK(AQ20:AQ24), ISBLANK(W20:W24),ISBLANK(AU20:AU24)), "·", bdRateExtend( S20:S24,W20:W24, AQ20:AQ24,AU20:AU24))</f>
        <v>8.4535605404667535E-8</v>
      </c>
      <c r="BP20" s="60">
        <f>IF( OR(ISBLANK(S20:S24),ISBLANK(AQ20:AQ24), ISBLANK(X20:X24),ISBLANK(AV20:AV24)), "·", bdRateExtend( S20:S24,X20:X24, AQ20:AQ24,AV20:AV24))</f>
        <v>9.2489246039662021E-8</v>
      </c>
      <c r="BQ20" s="60">
        <f>IF( OR(ISBLANK(S20:S24),ISBLANK(AQ20:AQ24), ISBLANK(Y20:Y24),ISBLANK(AW20:AW24)), "·", bdRateExtend( S20:S24,Y20:Y24, AQ20:AQ24,AW20:AW24))</f>
        <v>-1.1307530811688338E-7</v>
      </c>
      <c r="BR20" s="60">
        <f>IF( OR(ISBLANK(S20:S24),ISBLANK(AQ20:AQ24), ISBLANK(Z20:Z24),ISBLANK(AX20:AX24)), "·", bdRateExtend( S20:S24,Z20:Z24, AQ20:AQ24,AX20:AX24))</f>
        <v>4.6753150240164132E-8</v>
      </c>
      <c r="BS20" s="60">
        <f>IF( OR(ISBLANK(S20:S24),ISBLANK(AQ20:AQ24), ISBLANK(AA20:AA24),ISBLANK(AY20:AY24)), "·", bdRateExtend( S20:S24,AA20:AA24, AQ20:AQ24,AY20:AY24))</f>
        <v>7.4649910697388577E-9</v>
      </c>
      <c r="BU20" s="4">
        <f t="shared" si="16"/>
        <v>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7.7571455999999994</v>
      </c>
      <c r="J21" s="18">
        <f t="shared" si="1"/>
        <v>0.15476967502342182</v>
      </c>
      <c r="K21" s="18">
        <f t="shared" si="2"/>
        <v>6.7634750470616081E-2</v>
      </c>
      <c r="L21" s="18">
        <f t="shared" si="3"/>
        <v>3.8492165678966565E-2</v>
      </c>
      <c r="M21" s="18">
        <f t="shared" si="4"/>
        <v>8.712365572829725E-2</v>
      </c>
      <c r="N21" s="15">
        <f t="shared" si="5"/>
        <v>16949464</v>
      </c>
      <c r="O21" s="18">
        <f t="shared" si="6"/>
        <v>0.1217743663719999</v>
      </c>
      <c r="P21" s="19">
        <v>318504864</v>
      </c>
      <c r="Q21" s="19">
        <v>1274019.456</v>
      </c>
      <c r="R21" s="19">
        <v>328041.74800000002</v>
      </c>
      <c r="S21" s="20">
        <v>38785728</v>
      </c>
      <c r="T21" s="20">
        <v>9646248</v>
      </c>
      <c r="U21" s="20">
        <v>7303216</v>
      </c>
      <c r="V21" s="20">
        <v>21833440</v>
      </c>
      <c r="W21" s="21">
        <v>68.863668399999995</v>
      </c>
      <c r="X21" s="21">
        <v>71.117537999999996</v>
      </c>
      <c r="Y21" s="21">
        <v>33.031345600000002</v>
      </c>
      <c r="Z21" s="21">
        <v>41.429246399999997</v>
      </c>
      <c r="AA21" s="21">
        <v>40.453640800000002</v>
      </c>
      <c r="AB21" s="22">
        <v>81042.899999999994</v>
      </c>
      <c r="AC21" s="22">
        <v>9691.74</v>
      </c>
      <c r="AD21" s="22">
        <v>83.054000000000002</v>
      </c>
      <c r="AE21" s="22">
        <v>162.786</v>
      </c>
      <c r="AG21" s="17">
        <f t="shared" si="7"/>
        <v>7.7571455999999994</v>
      </c>
      <c r="AH21" s="18">
        <f t="shared" si="8"/>
        <v>0.15476967502342182</v>
      </c>
      <c r="AI21" s="18">
        <f t="shared" si="9"/>
        <v>6.7634750470616081E-2</v>
      </c>
      <c r="AJ21" s="18">
        <f t="shared" si="10"/>
        <v>3.8492165678966565E-2</v>
      </c>
      <c r="AK21" s="18">
        <f t="shared" si="11"/>
        <v>8.712365572829725E-2</v>
      </c>
      <c r="AL21" s="15">
        <f t="shared" si="12"/>
        <v>16949464</v>
      </c>
      <c r="AM21" s="18">
        <f t="shared" si="13"/>
        <v>0.1217743663719999</v>
      </c>
      <c r="AN21" s="19">
        <v>318504864</v>
      </c>
      <c r="AO21" s="19">
        <v>1274019.456</v>
      </c>
      <c r="AP21" s="19">
        <v>328041.74800000002</v>
      </c>
      <c r="AQ21" s="20">
        <v>38785728</v>
      </c>
      <c r="AR21" s="20">
        <v>9646248</v>
      </c>
      <c r="AS21" s="20">
        <v>7303216</v>
      </c>
      <c r="AT21" s="20">
        <v>21833440</v>
      </c>
      <c r="AU21" s="21">
        <v>68.863668000000004</v>
      </c>
      <c r="AV21" s="21">
        <v>71.117537999999996</v>
      </c>
      <c r="AW21" s="21">
        <v>33.031345999999999</v>
      </c>
      <c r="AX21" s="21">
        <v>41.429245999999999</v>
      </c>
      <c r="AY21" s="21">
        <v>40.453640999999998</v>
      </c>
      <c r="AZ21" s="22">
        <v>67189.100000000006</v>
      </c>
      <c r="BA21" s="22">
        <v>10241.9</v>
      </c>
      <c r="BB21" s="22">
        <v>157.905</v>
      </c>
      <c r="BC21" s="22">
        <v>141.6</v>
      </c>
      <c r="BE21" s="23">
        <f t="shared" si="14"/>
        <v>0</v>
      </c>
      <c r="BF21" s="23">
        <f t="shared" si="15"/>
        <v>0</v>
      </c>
      <c r="BG21" s="23"/>
      <c r="BI21" s="58"/>
      <c r="BJ21" s="58"/>
      <c r="BK21" s="58"/>
      <c r="BL21" s="58"/>
      <c r="BM21" s="58"/>
      <c r="BN21" s="59"/>
      <c r="BO21" s="58"/>
      <c r="BP21" s="58"/>
      <c r="BQ21" s="58"/>
      <c r="BR21" s="58"/>
      <c r="BS21" s="58"/>
      <c r="BU21" s="4">
        <f t="shared" si="16"/>
        <v>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12.9143744</v>
      </c>
      <c r="J22" s="28">
        <f t="shared" si="1"/>
        <v>0.25766610968586151</v>
      </c>
      <c r="K22" s="28">
        <f t="shared" si="2"/>
        <v>8.3545053755984006E-2</v>
      </c>
      <c r="L22" s="28">
        <f t="shared" si="3"/>
        <v>5.4402468964334497E-2</v>
      </c>
      <c r="M22" s="28">
        <f t="shared" si="4"/>
        <v>0.17410978710536903</v>
      </c>
      <c r="N22" s="25">
        <f t="shared" si="5"/>
        <v>20936632</v>
      </c>
      <c r="O22" s="28">
        <f t="shared" si="6"/>
        <v>0.20273433563639393</v>
      </c>
      <c r="P22" s="29">
        <v>318504864</v>
      </c>
      <c r="Q22" s="29">
        <v>1274019.456</v>
      </c>
      <c r="R22" s="29">
        <v>285879.03600000002</v>
      </c>
      <c r="S22" s="30">
        <v>64571872</v>
      </c>
      <c r="T22" s="30">
        <v>13633416</v>
      </c>
      <c r="U22" s="30">
        <v>7303216</v>
      </c>
      <c r="V22" s="30">
        <v>43632416</v>
      </c>
      <c r="W22" s="31">
        <v>70.010619599999998</v>
      </c>
      <c r="X22" s="31">
        <v>72.598440400000001</v>
      </c>
      <c r="Y22" s="31">
        <v>34.968677599999999</v>
      </c>
      <c r="Z22" s="31">
        <v>42.5005144</v>
      </c>
      <c r="AA22" s="31">
        <v>41.559023199999999</v>
      </c>
      <c r="AB22" s="32">
        <v>80807.5</v>
      </c>
      <c r="AC22" s="32">
        <v>10439.1</v>
      </c>
      <c r="AD22" s="32">
        <v>85.825000000000003</v>
      </c>
      <c r="AE22" s="32">
        <v>172.49100000000001</v>
      </c>
      <c r="AG22" s="27">
        <f t="shared" si="7"/>
        <v>12.9143744</v>
      </c>
      <c r="AH22" s="28">
        <f t="shared" si="8"/>
        <v>0.25766610968586151</v>
      </c>
      <c r="AI22" s="28">
        <f t="shared" si="9"/>
        <v>8.3545053755984006E-2</v>
      </c>
      <c r="AJ22" s="28">
        <f t="shared" si="10"/>
        <v>5.4402468964334497E-2</v>
      </c>
      <c r="AK22" s="28">
        <f t="shared" si="11"/>
        <v>0.17410978710536903</v>
      </c>
      <c r="AL22" s="25">
        <f t="shared" si="12"/>
        <v>20936632</v>
      </c>
      <c r="AM22" s="28">
        <f t="shared" si="13"/>
        <v>0.20273433563639393</v>
      </c>
      <c r="AN22" s="29">
        <v>318504864</v>
      </c>
      <c r="AO22" s="29">
        <v>1274019.456</v>
      </c>
      <c r="AP22" s="29">
        <v>285879.03600000002</v>
      </c>
      <c r="AQ22" s="30">
        <v>64571872</v>
      </c>
      <c r="AR22" s="30">
        <v>13633416</v>
      </c>
      <c r="AS22" s="30">
        <v>7303216</v>
      </c>
      <c r="AT22" s="30">
        <v>43632416</v>
      </c>
      <c r="AU22" s="31">
        <v>70.010620000000003</v>
      </c>
      <c r="AV22" s="31">
        <v>72.598439999999997</v>
      </c>
      <c r="AW22" s="31">
        <v>34.968677999999997</v>
      </c>
      <c r="AX22" s="31">
        <v>42.500514000000003</v>
      </c>
      <c r="AY22" s="31">
        <v>41.559023000000003</v>
      </c>
      <c r="AZ22" s="32">
        <v>65471.1</v>
      </c>
      <c r="BA22" s="32">
        <v>10773.4</v>
      </c>
      <c r="BB22" s="32">
        <v>134.66399999999999</v>
      </c>
      <c r="BC22" s="32">
        <v>131.911</v>
      </c>
      <c r="BE22" s="33">
        <f t="shared" si="14"/>
        <v>0</v>
      </c>
      <c r="BF22" s="33">
        <f t="shared" si="15"/>
        <v>0</v>
      </c>
      <c r="BG22" s="33"/>
      <c r="BI22" s="60"/>
      <c r="BJ22" s="60"/>
      <c r="BK22" s="60"/>
      <c r="BL22" s="60"/>
      <c r="BM22" s="60"/>
      <c r="BN22" s="59"/>
      <c r="BO22" s="60"/>
      <c r="BP22" s="60"/>
      <c r="BQ22" s="60"/>
      <c r="BR22" s="60"/>
      <c r="BS22" s="60"/>
      <c r="BU22" s="4">
        <f t="shared" si="16"/>
        <v>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22.436107199999999</v>
      </c>
      <c r="J23" s="18">
        <f t="shared" si="1"/>
        <v>0.44764262516029796</v>
      </c>
      <c r="K23" s="18">
        <f t="shared" si="2"/>
        <v>0.11065522783613857</v>
      </c>
      <c r="L23" s="18">
        <f t="shared" si="3"/>
        <v>8.1512643044489061E-2</v>
      </c>
      <c r="M23" s="18">
        <f t="shared" si="4"/>
        <v>0.33697612849965086</v>
      </c>
      <c r="N23" s="15">
        <f t="shared" si="5"/>
        <v>27730520</v>
      </c>
      <c r="O23" s="18">
        <f t="shared" si="6"/>
        <v>0.35220980487130016</v>
      </c>
      <c r="P23" s="19">
        <v>318504864</v>
      </c>
      <c r="Q23" s="19">
        <v>1274019.456</v>
      </c>
      <c r="R23" s="19">
        <v>287694.71999999997</v>
      </c>
      <c r="S23" s="20">
        <v>112180536</v>
      </c>
      <c r="T23" s="20">
        <v>20427304</v>
      </c>
      <c r="U23" s="20">
        <v>7303216</v>
      </c>
      <c r="V23" s="20">
        <v>84447192</v>
      </c>
      <c r="W23" s="21">
        <v>71.025622400000003</v>
      </c>
      <c r="X23" s="21">
        <v>73.9673564</v>
      </c>
      <c r="Y23" s="21">
        <v>36.600167599999999</v>
      </c>
      <c r="Z23" s="21">
        <v>43.819517599999998</v>
      </c>
      <c r="AA23" s="21">
        <v>42.798809200000001</v>
      </c>
      <c r="AB23" s="22">
        <v>80609.2</v>
      </c>
      <c r="AC23" s="22">
        <v>12206.6</v>
      </c>
      <c r="AD23" s="22">
        <v>90.878</v>
      </c>
      <c r="AE23" s="22">
        <v>189.69800000000001</v>
      </c>
      <c r="AG23" s="17">
        <f t="shared" si="7"/>
        <v>22.436107199999999</v>
      </c>
      <c r="AH23" s="18">
        <f t="shared" si="8"/>
        <v>0.44764262516029796</v>
      </c>
      <c r="AI23" s="18">
        <f t="shared" si="9"/>
        <v>0.11065522783613857</v>
      </c>
      <c r="AJ23" s="18">
        <f t="shared" si="10"/>
        <v>8.1512643044489061E-2</v>
      </c>
      <c r="AK23" s="18">
        <f t="shared" si="11"/>
        <v>0.33697612849965086</v>
      </c>
      <c r="AL23" s="15">
        <f t="shared" si="12"/>
        <v>27730520</v>
      </c>
      <c r="AM23" s="18">
        <f t="shared" si="13"/>
        <v>0.35220980487130016</v>
      </c>
      <c r="AN23" s="19">
        <v>318504864</v>
      </c>
      <c r="AO23" s="19">
        <v>1274019.456</v>
      </c>
      <c r="AP23" s="19">
        <v>287694.71999999997</v>
      </c>
      <c r="AQ23" s="20">
        <v>112180536</v>
      </c>
      <c r="AR23" s="20">
        <v>20427304</v>
      </c>
      <c r="AS23" s="20">
        <v>7303216</v>
      </c>
      <c r="AT23" s="20">
        <v>84447192</v>
      </c>
      <c r="AU23" s="21">
        <v>71.025621999999998</v>
      </c>
      <c r="AV23" s="21">
        <v>73.967355999999995</v>
      </c>
      <c r="AW23" s="21">
        <v>36.600167999999996</v>
      </c>
      <c r="AX23" s="21">
        <v>43.819518000000002</v>
      </c>
      <c r="AY23" s="21">
        <v>42.798808999999999</v>
      </c>
      <c r="AZ23" s="22">
        <v>72284.7</v>
      </c>
      <c r="BA23" s="22">
        <v>13408.8</v>
      </c>
      <c r="BB23" s="22">
        <v>162.49100000000001</v>
      </c>
      <c r="BC23" s="22">
        <v>160.55500000000001</v>
      </c>
      <c r="BE23" s="23">
        <f t="shared" si="14"/>
        <v>0</v>
      </c>
      <c r="BF23" s="23">
        <f t="shared" si="15"/>
        <v>0</v>
      </c>
      <c r="BG23" s="23"/>
      <c r="BI23" s="58"/>
      <c r="BJ23" s="58"/>
      <c r="BK23" s="58"/>
      <c r="BL23" s="58"/>
      <c r="BM23" s="58"/>
      <c r="BN23" s="59"/>
      <c r="BO23" s="58"/>
      <c r="BP23" s="58"/>
      <c r="BQ23" s="58"/>
      <c r="BR23" s="58"/>
      <c r="BS23" s="58"/>
      <c r="BU23" s="4">
        <f t="shared" si="16"/>
        <v>0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38.720249600000002</v>
      </c>
      <c r="J24" s="48">
        <f t="shared" si="1"/>
        <v>0.77254195762649847</v>
      </c>
      <c r="K24" s="48">
        <f t="shared" si="2"/>
        <v>0.15620598726452842</v>
      </c>
      <c r="L24" s="48">
        <f t="shared" si="3"/>
        <v>0.12706340247287889</v>
      </c>
      <c r="M24" s="48">
        <f t="shared" si="4"/>
        <v>0.61632470153746155</v>
      </c>
      <c r="N24" s="45">
        <f t="shared" si="5"/>
        <v>39145672</v>
      </c>
      <c r="O24" s="48">
        <f t="shared" si="6"/>
        <v>0.60784392919035612</v>
      </c>
      <c r="P24" s="49">
        <v>318504864</v>
      </c>
      <c r="Q24" s="49">
        <v>1274019.456</v>
      </c>
      <c r="R24" s="49">
        <v>274768.348</v>
      </c>
      <c r="S24" s="50">
        <v>193601248</v>
      </c>
      <c r="T24" s="50">
        <v>31842456</v>
      </c>
      <c r="U24" s="50">
        <v>7303216</v>
      </c>
      <c r="V24" s="50">
        <v>154452752</v>
      </c>
      <c r="W24" s="51">
        <v>71.713239200000103</v>
      </c>
      <c r="X24" s="51">
        <v>74.910987200000093</v>
      </c>
      <c r="Y24" s="51">
        <v>37.958102399999902</v>
      </c>
      <c r="Z24" s="51">
        <v>45.130035999999997</v>
      </c>
      <c r="AA24" s="51">
        <v>43.942210799999998</v>
      </c>
      <c r="AB24" s="52">
        <v>80271.199999999997</v>
      </c>
      <c r="AC24" s="52">
        <v>14207.9</v>
      </c>
      <c r="AD24" s="52">
        <v>94.79</v>
      </c>
      <c r="AE24" s="52">
        <v>205.42500000000001</v>
      </c>
      <c r="AG24" s="47">
        <f t="shared" si="7"/>
        <v>38.720249600000002</v>
      </c>
      <c r="AH24" s="48">
        <f t="shared" si="8"/>
        <v>0.77254195762649847</v>
      </c>
      <c r="AI24" s="48">
        <f t="shared" si="9"/>
        <v>0.15620598726452842</v>
      </c>
      <c r="AJ24" s="48">
        <f t="shared" si="10"/>
        <v>0.12706340247287889</v>
      </c>
      <c r="AK24" s="48">
        <f t="shared" si="11"/>
        <v>0.61632470153746155</v>
      </c>
      <c r="AL24" s="45">
        <f t="shared" si="12"/>
        <v>39145672</v>
      </c>
      <c r="AM24" s="48">
        <f t="shared" si="13"/>
        <v>0.60784392919035612</v>
      </c>
      <c r="AN24" s="49">
        <v>318504864</v>
      </c>
      <c r="AO24" s="49">
        <v>1274019.456</v>
      </c>
      <c r="AP24" s="49">
        <v>274768.348</v>
      </c>
      <c r="AQ24" s="50">
        <v>193601248</v>
      </c>
      <c r="AR24" s="50">
        <v>31842456</v>
      </c>
      <c r="AS24" s="50">
        <v>7303216</v>
      </c>
      <c r="AT24" s="50">
        <v>154452752</v>
      </c>
      <c r="AU24" s="51">
        <v>71.713239000000002</v>
      </c>
      <c r="AV24" s="51">
        <v>74.910987000000006</v>
      </c>
      <c r="AW24" s="51">
        <v>37.958103000000001</v>
      </c>
      <c r="AX24" s="51">
        <v>45.130035999999997</v>
      </c>
      <c r="AY24" s="51">
        <v>43.942211</v>
      </c>
      <c r="AZ24" s="52">
        <v>74795</v>
      </c>
      <c r="BA24" s="52">
        <v>14707.1</v>
      </c>
      <c r="BB24" s="52">
        <v>160.04499999999999</v>
      </c>
      <c r="BC24" s="52">
        <v>174.8</v>
      </c>
      <c r="BE24" s="53">
        <f t="shared" si="14"/>
        <v>0</v>
      </c>
      <c r="BF24" s="53">
        <f t="shared" si="15"/>
        <v>0</v>
      </c>
      <c r="BG24" s="53"/>
      <c r="BI24" s="62"/>
      <c r="BJ24" s="62"/>
      <c r="BK24" s="62"/>
      <c r="BL24" s="62"/>
      <c r="BM24" s="62"/>
      <c r="BN24" s="59"/>
      <c r="BO24" s="62"/>
      <c r="BP24" s="62"/>
      <c r="BQ24" s="62"/>
      <c r="BR24" s="62"/>
      <c r="BS24" s="62"/>
      <c r="BU24" s="4">
        <f t="shared" si="16"/>
        <v>0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4.9379911999999999</v>
      </c>
      <c r="J25" s="18">
        <f t="shared" si="1"/>
        <v>0.19728717899295159</v>
      </c>
      <c r="K25" s="18">
        <f t="shared" si="2"/>
        <v>6.7574678863803778E-2</v>
      </c>
      <c r="L25" s="18">
        <f t="shared" si="3"/>
        <v>3.6096858061434187E-2</v>
      </c>
      <c r="M25" s="18">
        <f t="shared" si="4"/>
        <v>0.12969853258749325</v>
      </c>
      <c r="N25" s="15">
        <f t="shared" si="5"/>
        <v>16913576</v>
      </c>
      <c r="O25" s="18">
        <f t="shared" si="6"/>
        <v>0.13184135572414002</v>
      </c>
      <c r="P25" s="19">
        <v>374540384</v>
      </c>
      <c r="Q25" s="19">
        <v>1248467.94666667</v>
      </c>
      <c r="R25" s="19">
        <v>505016.63666666701</v>
      </c>
      <c r="S25" s="20">
        <v>49379912</v>
      </c>
      <c r="T25" s="20">
        <v>9034848</v>
      </c>
      <c r="U25" s="20">
        <v>7878728</v>
      </c>
      <c r="V25" s="20">
        <v>32462840</v>
      </c>
      <c r="W25" s="21">
        <v>66.328404000000006</v>
      </c>
      <c r="X25" s="21">
        <v>68.346871333333297</v>
      </c>
      <c r="Y25" s="21">
        <v>27.425598000000001</v>
      </c>
      <c r="Z25" s="21">
        <v>33.182346666666703</v>
      </c>
      <c r="AA25" s="21">
        <v>32.640450000000001</v>
      </c>
      <c r="AB25" s="22">
        <v>80410.2</v>
      </c>
      <c r="AC25" s="22">
        <v>10914.6</v>
      </c>
      <c r="AD25" s="22">
        <v>106.33</v>
      </c>
      <c r="AE25" s="22">
        <v>219.35900000000001</v>
      </c>
      <c r="AG25" s="17">
        <f t="shared" si="7"/>
        <v>4.9379911999999999</v>
      </c>
      <c r="AH25" s="18">
        <f t="shared" si="8"/>
        <v>0.19728717899295159</v>
      </c>
      <c r="AI25" s="18">
        <f t="shared" si="9"/>
        <v>6.7574678863803778E-2</v>
      </c>
      <c r="AJ25" s="18">
        <f t="shared" si="10"/>
        <v>3.6096858061434187E-2</v>
      </c>
      <c r="AK25" s="18">
        <f t="shared" si="11"/>
        <v>0.12969853258749325</v>
      </c>
      <c r="AL25" s="15">
        <f t="shared" si="12"/>
        <v>16913576</v>
      </c>
      <c r="AM25" s="18">
        <f t="shared" si="13"/>
        <v>0.13184135572414002</v>
      </c>
      <c r="AN25" s="19">
        <v>374540384</v>
      </c>
      <c r="AO25" s="19">
        <v>1248467.946667</v>
      </c>
      <c r="AP25" s="19">
        <v>505016.63666700001</v>
      </c>
      <c r="AQ25" s="20">
        <v>49379912</v>
      </c>
      <c r="AR25" s="20">
        <v>9034848</v>
      </c>
      <c r="AS25" s="20">
        <v>7878728</v>
      </c>
      <c r="AT25" s="20">
        <v>32462840</v>
      </c>
      <c r="AU25" s="21">
        <v>66.328404000000006</v>
      </c>
      <c r="AV25" s="21">
        <v>68.346870999999993</v>
      </c>
      <c r="AW25" s="21">
        <v>27.425598000000001</v>
      </c>
      <c r="AX25" s="21">
        <v>33.182347</v>
      </c>
      <c r="AY25" s="21">
        <v>32.640450000000001</v>
      </c>
      <c r="AZ25" s="22">
        <v>75534.100000000006</v>
      </c>
      <c r="BA25" s="22">
        <v>12402.2</v>
      </c>
      <c r="BB25" s="22">
        <v>203.19200000000001</v>
      </c>
      <c r="BC25" s="22">
        <v>189.422</v>
      </c>
      <c r="BE25" s="23">
        <f t="shared" si="14"/>
        <v>1.5981660439479128E-13</v>
      </c>
      <c r="BF25" s="23">
        <f t="shared" si="15"/>
        <v>0</v>
      </c>
      <c r="BG25" s="23">
        <f t="array" ref="BG25">AVERAGE(AL25:AL29/AQ25:AQ29) - AVERAGE(N25:N29/S25:S29)</f>
        <v>0</v>
      </c>
      <c r="BI25" s="58">
        <f>IF( OR(ISBLANK(N25:N29),ISBLANK(AL25:AL29), ISBLANK(W25:W29),ISBLANK(AU25:AU29)), "·", bdRateExtend( N25:N29,W25:W29, AL25:AL29,AU25:AU29))</f>
        <v>3.339226117837768E-8</v>
      </c>
      <c r="BJ25" s="58">
        <f>IF( OR(ISBLANK(N25:N29),ISBLANK(AL25:AL29), ISBLANK(X25:X29),ISBLANK(AV25:AV29)), "·", bdRateExtend( N25:N29,X25:X29, AL25:AL29,AV25:AV29))</f>
        <v>-8.8672343911966323E-9</v>
      </c>
      <c r="BK25" s="58">
        <f>IF( OR(ISBLANK(V25:V29),ISBLANK(AT25:AT29), ISBLANK(Y25:Y29),ISBLANK(AW25:AW29)), "·", bdRateExtend( V25:V29,Y25:Y29, AT25:AT29,AW25:AW29))</f>
        <v>-1.3256572506392672E-8</v>
      </c>
      <c r="BL25" s="58">
        <f>IF( OR(ISBLANK(V25:V29),ISBLANK(AT25:AT29), ISBLANK(Z25:Z29),ISBLANK(AX25:AX29)), "·", bdRateExtend( V25:V29,Z25:Z29, AT25:AT29,AX25:AX29))</f>
        <v>8.8115836183177976E-8</v>
      </c>
      <c r="BM25" s="58">
        <f>IF( OR(ISBLANK(V25:V29),ISBLANK(AT25:AT29), ISBLANK(AA25:AA29),ISBLANK(AY25:AY29)), "·", bdRateExtend( V25:V29,AA25:AA29, AT25:AT29,AY25:AY29))</f>
        <v>-7.5873962890327107E-8</v>
      </c>
      <c r="BN25" s="59"/>
      <c r="BO25" s="58">
        <f>IF( OR(ISBLANK(S25:S29),ISBLANK(AQ25:AQ29), ISBLANK(W25:W29),ISBLANK(AU25:AU29)), "·", bdRateExtend( S25:S29,W25:W29, AQ25:AQ29,AU25:AU29))</f>
        <v>9.2285679764714246E-8</v>
      </c>
      <c r="BP25" s="58">
        <f>IF( OR(ISBLANK(S25:S29),ISBLANK(AQ25:AQ29), ISBLANK(X25:X29),ISBLANK(AV25:AV29)), "·", bdRateExtend( S25:S29,X25:X29, AQ25:AQ29,AV25:AV29))</f>
        <v>-2.1893508339587697E-8</v>
      </c>
      <c r="BQ25" s="58">
        <f>IF( OR(ISBLANK(S25:S29),ISBLANK(AQ25:AQ29), ISBLANK(Y25:Y29),ISBLANK(AW25:AW29)), "·", bdRateExtend( S25:S29,Y25:Y29, AQ25:AQ29,AW25:AW29))</f>
        <v>-1.0531967409299625E-8</v>
      </c>
      <c r="BR25" s="58">
        <f>IF( OR(ISBLANK(S25:S29),ISBLANK(AQ25:AQ29), ISBLANK(Z25:Z29),ISBLANK(AX25:AX29)), "·", bdRateExtend( S25:S29,Z25:Z29, AQ25:AQ29,AX25:AX29))</f>
        <v>8.1500580506599363E-8</v>
      </c>
      <c r="BS25" s="58">
        <f>IF( OR(ISBLANK(S25:S29),ISBLANK(AQ25:AQ29), ISBLANK(AA25:AA29),ISBLANK(AY25:AY29)), "·", bdRateExtend( S25:S29,AA25:AA29, AQ25:AQ29,AY25:AY29))</f>
        <v>-6.5099378776523054E-8</v>
      </c>
      <c r="BU25" s="4">
        <f t="shared" si="16"/>
        <v>0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8.5997143999999999</v>
      </c>
      <c r="J26" s="28">
        <f t="shared" si="1"/>
        <v>0.3435837216803998</v>
      </c>
      <c r="K26" s="28">
        <f t="shared" si="2"/>
        <v>8.1515563928587151E-2</v>
      </c>
      <c r="L26" s="28">
        <f t="shared" si="3"/>
        <v>5.0037743126217574E-2</v>
      </c>
      <c r="M26" s="28">
        <f t="shared" si="4"/>
        <v>0.26205419021015802</v>
      </c>
      <c r="N26" s="25">
        <f t="shared" si="5"/>
        <v>20402904</v>
      </c>
      <c r="O26" s="28">
        <f t="shared" si="6"/>
        <v>0.22960713363288482</v>
      </c>
      <c r="P26" s="29">
        <v>374540384</v>
      </c>
      <c r="Q26" s="29">
        <v>1248467.94666667</v>
      </c>
      <c r="R26" s="29">
        <v>448272.74666666699</v>
      </c>
      <c r="S26" s="30">
        <v>85997144</v>
      </c>
      <c r="T26" s="30">
        <v>12524176</v>
      </c>
      <c r="U26" s="30">
        <v>7878728</v>
      </c>
      <c r="V26" s="30">
        <v>65590744</v>
      </c>
      <c r="W26" s="31">
        <v>68.115905666666706</v>
      </c>
      <c r="X26" s="31">
        <v>70.310421666666599</v>
      </c>
      <c r="Y26" s="31">
        <v>29.8530366666667</v>
      </c>
      <c r="Z26" s="31">
        <v>34.366765333333298</v>
      </c>
      <c r="AA26" s="31">
        <v>33.975445666666701</v>
      </c>
      <c r="AB26" s="32">
        <v>81806.8</v>
      </c>
      <c r="AC26" s="32">
        <v>11921.1</v>
      </c>
      <c r="AD26" s="32">
        <v>105.363</v>
      </c>
      <c r="AE26" s="32">
        <v>229.17099999999999</v>
      </c>
      <c r="AG26" s="27">
        <f t="shared" si="7"/>
        <v>8.5997143999999999</v>
      </c>
      <c r="AH26" s="28">
        <f t="shared" si="8"/>
        <v>0.3435837216803998</v>
      </c>
      <c r="AI26" s="28">
        <f t="shared" si="9"/>
        <v>8.1515563928587151E-2</v>
      </c>
      <c r="AJ26" s="28">
        <f t="shared" si="10"/>
        <v>5.0037743126217574E-2</v>
      </c>
      <c r="AK26" s="28">
        <f t="shared" si="11"/>
        <v>0.26205419021015802</v>
      </c>
      <c r="AL26" s="25">
        <f t="shared" si="12"/>
        <v>20402904</v>
      </c>
      <c r="AM26" s="28">
        <f t="shared" si="13"/>
        <v>0.22960713363288482</v>
      </c>
      <c r="AN26" s="29">
        <v>374540384</v>
      </c>
      <c r="AO26" s="29">
        <v>1248467.946667</v>
      </c>
      <c r="AP26" s="29">
        <v>448272.746667</v>
      </c>
      <c r="AQ26" s="30">
        <v>85997144</v>
      </c>
      <c r="AR26" s="30">
        <v>12524176</v>
      </c>
      <c r="AS26" s="30">
        <v>7878728</v>
      </c>
      <c r="AT26" s="30">
        <v>65590744</v>
      </c>
      <c r="AU26" s="31">
        <v>68.115904999999998</v>
      </c>
      <c r="AV26" s="31">
        <v>70.310422000000003</v>
      </c>
      <c r="AW26" s="31">
        <v>29.853037</v>
      </c>
      <c r="AX26" s="31">
        <v>34.366765000000001</v>
      </c>
      <c r="AY26" s="31">
        <v>33.975445999999998</v>
      </c>
      <c r="AZ26" s="32">
        <v>71529.399999999994</v>
      </c>
      <c r="BA26" s="32">
        <v>13044.9</v>
      </c>
      <c r="BB26" s="32">
        <v>194.98099999999999</v>
      </c>
      <c r="BC26" s="32">
        <v>193.86199999999999</v>
      </c>
      <c r="BE26" s="33">
        <f t="shared" si="14"/>
        <v>1.7180701306074297E-13</v>
      </c>
      <c r="BF26" s="33">
        <f t="shared" si="15"/>
        <v>0</v>
      </c>
      <c r="BG26" s="33"/>
      <c r="BI26" s="60"/>
      <c r="BJ26" s="60"/>
      <c r="BK26" s="60"/>
      <c r="BL26" s="60"/>
      <c r="BM26" s="60"/>
      <c r="BN26" s="59"/>
      <c r="BO26" s="60"/>
      <c r="BP26" s="60"/>
      <c r="BQ26" s="60"/>
      <c r="BR26" s="60"/>
      <c r="BS26" s="60"/>
      <c r="BU26" s="4">
        <f t="shared" si="16"/>
        <v>0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15.812644800000001</v>
      </c>
      <c r="J27" s="18">
        <f t="shared" si="1"/>
        <v>0.63176136988854192</v>
      </c>
      <c r="K27" s="18">
        <f t="shared" si="2"/>
        <v>0.10198977459288351</v>
      </c>
      <c r="L27" s="18">
        <f t="shared" si="3"/>
        <v>7.0511953790513934E-2</v>
      </c>
      <c r="M27" s="18">
        <f t="shared" si="4"/>
        <v>0.52975762775400392</v>
      </c>
      <c r="N27" s="15">
        <f t="shared" si="5"/>
        <v>25527488</v>
      </c>
      <c r="O27" s="18">
        <f t="shared" si="6"/>
        <v>0.42218797960115295</v>
      </c>
      <c r="P27" s="19">
        <v>374540384</v>
      </c>
      <c r="Q27" s="19">
        <v>1248467.94666667</v>
      </c>
      <c r="R27" s="19">
        <v>440450.493333333</v>
      </c>
      <c r="S27" s="20">
        <v>158126448</v>
      </c>
      <c r="T27" s="20">
        <v>17648760</v>
      </c>
      <c r="U27" s="20">
        <v>7878728</v>
      </c>
      <c r="V27" s="20">
        <v>132595464</v>
      </c>
      <c r="W27" s="21">
        <v>69.462910666666701</v>
      </c>
      <c r="X27" s="21">
        <v>72.086722333333299</v>
      </c>
      <c r="Y27" s="21">
        <v>32.376469333333397</v>
      </c>
      <c r="Z27" s="21">
        <v>35.651710999999999</v>
      </c>
      <c r="AA27" s="21">
        <v>35.336047666666701</v>
      </c>
      <c r="AB27" s="22">
        <v>81346.3</v>
      </c>
      <c r="AC27" s="22">
        <v>12941.2</v>
      </c>
      <c r="AD27" s="22">
        <v>110.18899999999999</v>
      </c>
      <c r="AE27" s="22">
        <v>240.93299999999999</v>
      </c>
      <c r="AG27" s="17">
        <f t="shared" si="7"/>
        <v>15.812644800000001</v>
      </c>
      <c r="AH27" s="18">
        <f t="shared" si="8"/>
        <v>0.63176136988854192</v>
      </c>
      <c r="AI27" s="18">
        <f t="shared" si="9"/>
        <v>0.10198977459288351</v>
      </c>
      <c r="AJ27" s="18">
        <f t="shared" si="10"/>
        <v>7.0511953790513934E-2</v>
      </c>
      <c r="AK27" s="18">
        <f t="shared" si="11"/>
        <v>0.52975762775400392</v>
      </c>
      <c r="AL27" s="15">
        <f t="shared" si="12"/>
        <v>25527488</v>
      </c>
      <c r="AM27" s="18">
        <f t="shared" si="13"/>
        <v>0.42218797960115295</v>
      </c>
      <c r="AN27" s="19">
        <v>374540384</v>
      </c>
      <c r="AO27" s="19">
        <v>1248467.946667</v>
      </c>
      <c r="AP27" s="19">
        <v>440450.49333299999</v>
      </c>
      <c r="AQ27" s="20">
        <v>158126448</v>
      </c>
      <c r="AR27" s="20">
        <v>17648760</v>
      </c>
      <c r="AS27" s="20">
        <v>7878728</v>
      </c>
      <c r="AT27" s="20">
        <v>132595464</v>
      </c>
      <c r="AU27" s="21">
        <v>69.462911000000005</v>
      </c>
      <c r="AV27" s="21">
        <v>72.086721999999995</v>
      </c>
      <c r="AW27" s="21">
        <v>32.376469</v>
      </c>
      <c r="AX27" s="21">
        <v>35.651710999999999</v>
      </c>
      <c r="AY27" s="21">
        <v>35.336047999999998</v>
      </c>
      <c r="AZ27" s="22">
        <v>67195.899999999994</v>
      </c>
      <c r="BA27" s="22">
        <v>8664.61</v>
      </c>
      <c r="BB27" s="22">
        <v>112.163</v>
      </c>
      <c r="BC27" s="22">
        <v>125.402</v>
      </c>
      <c r="BE27" s="23">
        <f t="shared" si="14"/>
        <v>-3.5998981573470701E-13</v>
      </c>
      <c r="BF27" s="23">
        <f t="shared" si="15"/>
        <v>0</v>
      </c>
      <c r="BG27" s="23"/>
      <c r="BI27" s="58"/>
      <c r="BJ27" s="58"/>
      <c r="BK27" s="58"/>
      <c r="BL27" s="58"/>
      <c r="BM27" s="58"/>
      <c r="BN27" s="59"/>
      <c r="BO27" s="58"/>
      <c r="BP27" s="58"/>
      <c r="BQ27" s="58"/>
      <c r="BR27" s="58"/>
      <c r="BS27" s="58"/>
      <c r="BU27" s="4">
        <f t="shared" si="16"/>
        <v>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30.1131864</v>
      </c>
      <c r="J28" s="28">
        <f t="shared" si="1"/>
        <v>1.2031097980378975</v>
      </c>
      <c r="K28" s="28">
        <f t="shared" si="2"/>
        <v>0.13579243996579998</v>
      </c>
      <c r="L28" s="28">
        <f t="shared" si="3"/>
        <v>0.10431461916343039</v>
      </c>
      <c r="M28" s="28">
        <f t="shared" si="4"/>
        <v>1.067303390530443</v>
      </c>
      <c r="N28" s="25">
        <f t="shared" si="5"/>
        <v>33988112</v>
      </c>
      <c r="O28" s="28">
        <f t="shared" si="6"/>
        <v>0.80400372526984965</v>
      </c>
      <c r="P28" s="29">
        <v>374540384</v>
      </c>
      <c r="Q28" s="29">
        <v>1248467.94666667</v>
      </c>
      <c r="R28" s="29">
        <v>412487.61</v>
      </c>
      <c r="S28" s="30">
        <v>301131864</v>
      </c>
      <c r="T28" s="30">
        <v>26109384</v>
      </c>
      <c r="U28" s="30">
        <v>7878728</v>
      </c>
      <c r="V28" s="30">
        <v>267140256</v>
      </c>
      <c r="W28" s="31">
        <v>70.511603333333298</v>
      </c>
      <c r="X28" s="31">
        <v>73.378617666666599</v>
      </c>
      <c r="Y28" s="31">
        <v>35.010145999999999</v>
      </c>
      <c r="Z28" s="31">
        <v>37.506692333333298</v>
      </c>
      <c r="AA28" s="31">
        <v>37.126201000000002</v>
      </c>
      <c r="AB28" s="32">
        <v>80454.7</v>
      </c>
      <c r="AC28" s="32">
        <v>16147.7</v>
      </c>
      <c r="AD28" s="32">
        <v>106.646</v>
      </c>
      <c r="AE28" s="32">
        <v>256.83699999999999</v>
      </c>
      <c r="AG28" s="27">
        <f t="shared" si="7"/>
        <v>30.1131864</v>
      </c>
      <c r="AH28" s="28">
        <f t="shared" si="8"/>
        <v>1.2031097980378975</v>
      </c>
      <c r="AI28" s="28">
        <f t="shared" si="9"/>
        <v>0.13579243996579998</v>
      </c>
      <c r="AJ28" s="28">
        <f t="shared" si="10"/>
        <v>0.10431461916343039</v>
      </c>
      <c r="AK28" s="28">
        <f t="shared" si="11"/>
        <v>1.067303390530443</v>
      </c>
      <c r="AL28" s="25">
        <f t="shared" si="12"/>
        <v>33988112</v>
      </c>
      <c r="AM28" s="28">
        <f t="shared" si="13"/>
        <v>0.80400372526984965</v>
      </c>
      <c r="AN28" s="29">
        <v>374540384</v>
      </c>
      <c r="AO28" s="29">
        <v>1248467.946667</v>
      </c>
      <c r="AP28" s="29">
        <v>412487.61</v>
      </c>
      <c r="AQ28" s="30">
        <v>301131864</v>
      </c>
      <c r="AR28" s="30">
        <v>26109384</v>
      </c>
      <c r="AS28" s="30">
        <v>7878728</v>
      </c>
      <c r="AT28" s="30">
        <v>267140256</v>
      </c>
      <c r="AU28" s="31">
        <v>70.511602999999994</v>
      </c>
      <c r="AV28" s="31">
        <v>73.378618000000003</v>
      </c>
      <c r="AW28" s="31">
        <v>35.010145999999999</v>
      </c>
      <c r="AX28" s="31">
        <v>37.506692000000001</v>
      </c>
      <c r="AY28" s="31">
        <v>37.126201000000002</v>
      </c>
      <c r="AZ28" s="32">
        <v>67923.399999999994</v>
      </c>
      <c r="BA28" s="32">
        <v>10717.1</v>
      </c>
      <c r="BB28" s="32">
        <v>115.24</v>
      </c>
      <c r="BC28" s="32">
        <v>135.685</v>
      </c>
      <c r="BE28" s="33">
        <f t="shared" si="14"/>
        <v>-8.7319040886768562E-14</v>
      </c>
      <c r="BF28" s="33">
        <f t="shared" si="15"/>
        <v>0</v>
      </c>
      <c r="BG28" s="33"/>
      <c r="BI28" s="60"/>
      <c r="BJ28" s="60"/>
      <c r="BK28" s="60"/>
      <c r="BL28" s="60"/>
      <c r="BM28" s="60"/>
      <c r="BN28" s="59"/>
      <c r="BO28" s="60"/>
      <c r="BP28" s="60"/>
      <c r="BQ28" s="60"/>
      <c r="BR28" s="60"/>
      <c r="BS28" s="60"/>
      <c r="BU28" s="4">
        <f t="shared" si="16"/>
        <v>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53.512235200000006</v>
      </c>
      <c r="J29" s="38">
        <f t="shared" si="1"/>
        <v>2.1379701778762437</v>
      </c>
      <c r="K29" s="38">
        <f t="shared" si="2"/>
        <v>0.19148940267512463</v>
      </c>
      <c r="L29" s="38">
        <f t="shared" si="3"/>
        <v>0.16001158187275505</v>
      </c>
      <c r="M29" s="38">
        <f t="shared" si="4"/>
        <v>1.9464668076594642</v>
      </c>
      <c r="N29" s="35">
        <f t="shared" si="5"/>
        <v>47928760</v>
      </c>
      <c r="O29" s="38">
        <f t="shared" si="6"/>
        <v>1.4287440683565915</v>
      </c>
      <c r="P29" s="39">
        <v>374540384</v>
      </c>
      <c r="Q29" s="39">
        <v>1248467.94666667</v>
      </c>
      <c r="R29" s="39">
        <v>406694.85333333298</v>
      </c>
      <c r="S29" s="40">
        <v>535122352</v>
      </c>
      <c r="T29" s="40">
        <v>40050032</v>
      </c>
      <c r="U29" s="40">
        <v>7878728</v>
      </c>
      <c r="V29" s="40">
        <v>487190096</v>
      </c>
      <c r="W29" s="41">
        <v>71.359120666666598</v>
      </c>
      <c r="X29" s="41">
        <v>74.486593333333303</v>
      </c>
      <c r="Y29" s="41">
        <v>36.749559666666599</v>
      </c>
      <c r="Z29" s="41">
        <v>39.6591076666666</v>
      </c>
      <c r="AA29" s="41">
        <v>39.072298000000004</v>
      </c>
      <c r="AB29" s="42">
        <v>80351</v>
      </c>
      <c r="AC29" s="42">
        <v>19117</v>
      </c>
      <c r="AD29" s="42">
        <v>107.654</v>
      </c>
      <c r="AE29" s="42">
        <v>272.601</v>
      </c>
      <c r="AG29" s="37">
        <f t="shared" si="7"/>
        <v>53.512235200000006</v>
      </c>
      <c r="AH29" s="38">
        <f t="shared" si="8"/>
        <v>2.1379701778762437</v>
      </c>
      <c r="AI29" s="38">
        <f t="shared" si="9"/>
        <v>0.19148940267512463</v>
      </c>
      <c r="AJ29" s="38">
        <f t="shared" si="10"/>
        <v>0.16001158187275505</v>
      </c>
      <c r="AK29" s="38">
        <f t="shared" si="11"/>
        <v>1.9464668076594642</v>
      </c>
      <c r="AL29" s="35">
        <f t="shared" si="12"/>
        <v>47928760</v>
      </c>
      <c r="AM29" s="38">
        <f t="shared" si="13"/>
        <v>1.4287440683565915</v>
      </c>
      <c r="AN29" s="39">
        <v>374540384</v>
      </c>
      <c r="AO29" s="39">
        <v>1248467.946667</v>
      </c>
      <c r="AP29" s="39">
        <v>406694.85333299998</v>
      </c>
      <c r="AQ29" s="40">
        <v>535122352</v>
      </c>
      <c r="AR29" s="40">
        <v>40050032</v>
      </c>
      <c r="AS29" s="40">
        <v>7878728</v>
      </c>
      <c r="AT29" s="40">
        <v>487190096</v>
      </c>
      <c r="AU29" s="41">
        <v>71.359121000000002</v>
      </c>
      <c r="AV29" s="41">
        <v>74.486592999999999</v>
      </c>
      <c r="AW29" s="41">
        <v>36.749560000000002</v>
      </c>
      <c r="AX29" s="41">
        <v>39.659106999999999</v>
      </c>
      <c r="AY29" s="41">
        <v>39.072298000000004</v>
      </c>
      <c r="AZ29" s="42">
        <v>65086.6</v>
      </c>
      <c r="BA29" s="42">
        <v>18808.8</v>
      </c>
      <c r="BB29" s="42">
        <v>178.83699999999999</v>
      </c>
      <c r="BC29" s="42">
        <v>227.863</v>
      </c>
      <c r="BE29" s="43">
        <f t="shared" si="14"/>
        <v>-3.5282887722587475E-13</v>
      </c>
      <c r="BF29" s="43">
        <f t="shared" si="15"/>
        <v>0</v>
      </c>
      <c r="BG29" s="43"/>
      <c r="BI29" s="61"/>
      <c r="BJ29" s="61"/>
      <c r="BK29" s="61"/>
      <c r="BL29" s="61"/>
      <c r="BM29" s="61"/>
      <c r="BN29" s="59"/>
      <c r="BO29" s="61"/>
      <c r="BP29" s="61"/>
      <c r="BQ29" s="61"/>
      <c r="BR29" s="61"/>
      <c r="BS29" s="61"/>
      <c r="BU29" s="4">
        <f t="shared" si="16"/>
        <v>0</v>
      </c>
    </row>
    <row r="30" spans="1:73" x14ac:dyDescent="0.3">
      <c r="B30" s="55" t="s">
        <v>288</v>
      </c>
      <c r="J30" s="56">
        <f>AVERAGE(J5:J24)</f>
        <v>0.42853879076993556</v>
      </c>
      <c r="K30" s="56">
        <f>AVERAGE(K5:K24)</f>
        <v>0.11890968252483429</v>
      </c>
      <c r="L30" s="56">
        <f>AVERAGE(L5:L24)</f>
        <v>8.4387080116603258E-2</v>
      </c>
      <c r="M30" s="56">
        <f>AVERAGE(M5:M24)</f>
        <v>0.30961590475770684</v>
      </c>
      <c r="AH30" s="56">
        <f>AVERAGE(AH5:AH24)</f>
        <v>0.42853879076993556</v>
      </c>
      <c r="AI30" s="56">
        <f>AVERAGE(AI5:AI24)</f>
        <v>0.11890968252483429</v>
      </c>
      <c r="AJ30" s="56">
        <f>AVERAGE(AJ5:AJ24)</f>
        <v>8.4387080116603258E-2</v>
      </c>
      <c r="AK30" s="56">
        <f>AVERAGE(AK5:AK24)</f>
        <v>0.30961590475770684</v>
      </c>
      <c r="BG30" s="8">
        <f>AVERAGE(BG5:BG24)</f>
        <v>0</v>
      </c>
      <c r="BI30" s="5">
        <f>AVERAGE(BI5:BI24)</f>
        <v>2.3063595921968272E-8</v>
      </c>
      <c r="BJ30" s="5">
        <f>AVERAGE(BJ5:BJ24)</f>
        <v>7.1983224936289503E-9</v>
      </c>
      <c r="BK30" s="5">
        <f>AVERAGE(BK5:BK24)</f>
        <v>-2.8861941808733249E-8</v>
      </c>
      <c r="BL30" s="5">
        <f>AVERAGE(BL5:BL24)</f>
        <v>1.0802938710252619E-8</v>
      </c>
      <c r="BM30" s="5">
        <f>AVERAGE(BM5:BM24)</f>
        <v>5.4269091359637756E-8</v>
      </c>
      <c r="BO30" s="5">
        <f>AVERAGE(BO5:BO24)</f>
        <v>4.055364580257681E-8</v>
      </c>
      <c r="BP30" s="5">
        <f>AVERAGE(BP5:BP24)</f>
        <v>1.0225125302021354E-8</v>
      </c>
      <c r="BQ30" s="5">
        <f>AVERAGE(BQ5:BQ24)</f>
        <v>-2.1684996742710183E-8</v>
      </c>
      <c r="BR30" s="5">
        <f>AVERAGE(BR5:BR24)</f>
        <v>6.0549435187962075E-9</v>
      </c>
      <c r="BS30" s="5">
        <f>AVERAGE(BS5:BS24)</f>
        <v>4.0919656441040786E-8</v>
      </c>
    </row>
    <row r="31" spans="1:73" x14ac:dyDescent="0.3">
      <c r="B31" s="55" t="s">
        <v>289</v>
      </c>
      <c r="J31" s="56">
        <f>AVERAGE(J25:J29)</f>
        <v>0.90274244929520686</v>
      </c>
      <c r="K31" s="56">
        <f>AVERAGE(K25:K29)</f>
        <v>0.1156723720052398</v>
      </c>
      <c r="L31" s="56">
        <f>AVERAGE(L25:L29)</f>
        <v>8.4194551202870227E-2</v>
      </c>
      <c r="M31" s="56">
        <f>AVERAGE(M25:M29)</f>
        <v>0.78705610974831253</v>
      </c>
      <c r="AH31" s="56">
        <f>AVERAGE(AH25:AH29)</f>
        <v>0.90274244929520686</v>
      </c>
      <c r="AI31" s="56">
        <f>AVERAGE(AI25:AI29)</f>
        <v>0.1156723720052398</v>
      </c>
      <c r="AJ31" s="56">
        <f>AVERAGE(AJ25:AJ29)</f>
        <v>8.4194551202870227E-2</v>
      </c>
      <c r="AK31" s="56">
        <f>AVERAGE(AK25:AK29)</f>
        <v>0.78705610974831253</v>
      </c>
      <c r="BG31" s="8">
        <f>AVERAGE(BG25:BG29)</f>
        <v>0</v>
      </c>
      <c r="BI31" s="5">
        <f>AVERAGE(BI25:BI29)</f>
        <v>3.339226117837768E-8</v>
      </c>
      <c r="BJ31" s="5">
        <f>AVERAGE(BJ25:BJ29)</f>
        <v>-8.8672343911966323E-9</v>
      </c>
      <c r="BK31" s="5">
        <f>AVERAGE(BK25:BK29)</f>
        <v>-1.3256572506392672E-8</v>
      </c>
      <c r="BL31" s="5">
        <f>AVERAGE(BL25:BL29)</f>
        <v>8.8115836183177976E-8</v>
      </c>
      <c r="BM31" s="5">
        <f>AVERAGE(BM25:BM29)</f>
        <v>-7.5873962890327107E-8</v>
      </c>
      <c r="BO31" s="5">
        <f>AVERAGE(BO25:BO29)</f>
        <v>9.2285679764714246E-8</v>
      </c>
      <c r="BP31" s="5">
        <f>AVERAGE(BP25:BP29)</f>
        <v>-2.1893508339587697E-8</v>
      </c>
      <c r="BQ31" s="5">
        <f>AVERAGE(BQ25:BQ29)</f>
        <v>-1.0531967409299625E-8</v>
      </c>
      <c r="BR31" s="5">
        <f>AVERAGE(BR25:BR29)</f>
        <v>8.1500580506599363E-8</v>
      </c>
      <c r="BS31" s="5">
        <f>AVERAGE(BS25:BS29)</f>
        <v>-6.5099378776523054E-8</v>
      </c>
    </row>
    <row r="32" spans="1:73" collapsed="1" x14ac:dyDescent="0.3">
      <c r="B32" s="55" t="s">
        <v>290</v>
      </c>
      <c r="J32" s="56">
        <f>AVERAGE(J5:J29)</f>
        <v>0.52337952247498987</v>
      </c>
      <c r="K32" s="56">
        <f>AVERAGE(K5:K29)</f>
        <v>0.1182622204209154</v>
      </c>
      <c r="L32" s="56">
        <f>AVERAGE(L5:L29)</f>
        <v>8.434857433385666E-2</v>
      </c>
      <c r="M32" s="56">
        <f>AVERAGE(M5:M29)</f>
        <v>0.40510394575582792</v>
      </c>
      <c r="AH32" s="56">
        <f>AVERAGE(AH5:AH29)</f>
        <v>0.52337952247498987</v>
      </c>
      <c r="AI32" s="56">
        <f>AVERAGE(AI5:AI29)</f>
        <v>0.1182622204209154</v>
      </c>
      <c r="AJ32" s="56">
        <f>AVERAGE(AJ5:AJ29)</f>
        <v>8.434857433385666E-2</v>
      </c>
      <c r="AK32" s="56">
        <f>AVERAGE(AK5:AK29)</f>
        <v>0.40510394575582792</v>
      </c>
      <c r="BG32" s="8">
        <f>AVERAGE(BG5:BG29)</f>
        <v>0</v>
      </c>
      <c r="BI32" s="5">
        <f>AVERAGE(BI5:BI29)</f>
        <v>2.5129328973250152E-8</v>
      </c>
      <c r="BJ32" s="5">
        <f>AVERAGE(BJ5:BJ29)</f>
        <v>3.9852111166638339E-9</v>
      </c>
      <c r="BK32" s="5">
        <f>AVERAGE(BK5:BK29)</f>
        <v>-2.5740867948265133E-8</v>
      </c>
      <c r="BL32" s="5">
        <f>AVERAGE(BL5:BL29)</f>
        <v>2.626551820483769E-8</v>
      </c>
      <c r="BM32" s="5">
        <f>AVERAGE(BM5:BM29)</f>
        <v>2.8240480509644783E-8</v>
      </c>
      <c r="BO32" s="5">
        <f>AVERAGE(BO5:BO29)</f>
        <v>5.0900052595004298E-8</v>
      </c>
      <c r="BP32" s="5">
        <f>AVERAGE(BP5:BP29)</f>
        <v>3.8013985736995435E-9</v>
      </c>
      <c r="BQ32" s="5">
        <f>AVERAGE(BQ5:BQ29)</f>
        <v>-1.9454390876028071E-8</v>
      </c>
      <c r="BR32" s="5">
        <f>AVERAGE(BR5:BR29)</f>
        <v>2.114407091635684E-8</v>
      </c>
      <c r="BS32" s="5">
        <f>AVERAGE(BS5:BS29)</f>
        <v>1.9715849397528018E-8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2059606.8</v>
      </c>
      <c r="AC33" s="57">
        <f>SUM(AC5:AC24,AC25:AC29)</f>
        <v>320639.3</v>
      </c>
      <c r="AD33" s="57">
        <f>SUM(AD5:AD24,AD25:AD29)</f>
        <v>2569.8180000000002</v>
      </c>
      <c r="AE33" s="57">
        <f>SUM(AE5:AE24,AE25:AE29)</f>
        <v>5378.5469999999996</v>
      </c>
      <c r="AZ33" s="57">
        <f>SUM(AZ5:AZ24,AZ25:AZ29)</f>
        <v>1812481.3</v>
      </c>
      <c r="BA33" s="57">
        <f>SUM(BA5:BA24,BA25:BA29)</f>
        <v>288184.19</v>
      </c>
      <c r="BB33" s="57">
        <f>SUM(BB5:BB24,BB25:BB29)</f>
        <v>3958.7849999999999</v>
      </c>
      <c r="BC33" s="57">
        <f>SUM(BC5:BC24,BC25:BC29)</f>
        <v>3908.0649999999996</v>
      </c>
    </row>
    <row r="34" spans="1:55" hidden="1" outlineLevel="2" x14ac:dyDescent="0.3">
      <c r="B34" s="55" t="s">
        <v>293</v>
      </c>
      <c r="AZ34" s="8">
        <f>AZ33/AB33</f>
        <v>0.88001326272568148</v>
      </c>
      <c r="BA34" s="8">
        <f>BA33/AC33</f>
        <v>0.89877999983158652</v>
      </c>
      <c r="BB34" s="8">
        <f>BB33/AD33</f>
        <v>1.5404923617158879</v>
      </c>
      <c r="BC34" s="8">
        <f>BC33/AE33</f>
        <v>0.72660237049151</v>
      </c>
    </row>
    <row r="35" spans="1:55" hidden="1" outlineLevel="2" x14ac:dyDescent="0.3">
      <c r="B35" s="55" t="s">
        <v>294</v>
      </c>
      <c r="AB35" s="57">
        <f>GEOMEAN(AB5:AB24,AB25:AB29)</f>
        <v>81807.545703002543</v>
      </c>
      <c r="AC35" s="57">
        <f>GEOMEAN(AC5:AC24,AC25:AC29)</f>
        <v>12576.006993692172</v>
      </c>
      <c r="AD35" s="57">
        <f>GEOMEAN(AD5:AD24,AD25:AD29)</f>
        <v>101.04678053908189</v>
      </c>
      <c r="AE35" s="57">
        <f>GEOMEAN(AE5:AE24,AE25:AE29)</f>
        <v>212.37798914056182</v>
      </c>
      <c r="AZ35" s="57">
        <f>GEOMEAN(AZ5:AZ24,AZ25:AZ29)</f>
        <v>71754.244615105839</v>
      </c>
      <c r="BA35" s="57">
        <f>GEOMEAN(BA5:BA24,BA25:BA29)</f>
        <v>11109.586403984213</v>
      </c>
      <c r="BB35" s="57">
        <f>GEOMEAN(BB5:BB24,BB25:BB29)</f>
        <v>153.88987994089086</v>
      </c>
      <c r="BC35" s="57">
        <f>GEOMEAN(BC5:BC24,BC25:BC29)</f>
        <v>152.85057991188552</v>
      </c>
    </row>
    <row r="36" spans="1:55" outlineLevel="2" collapsed="1" x14ac:dyDescent="0.3">
      <c r="B36" s="55" t="s">
        <v>295</v>
      </c>
      <c r="AZ36" s="8">
        <f>AZ35/AB35</f>
        <v>0.87711034475481497</v>
      </c>
      <c r="BA36" s="8">
        <f>BA35/AC35</f>
        <v>0.88339537418804859</v>
      </c>
      <c r="BB36" s="8">
        <f>BB35/AD35</f>
        <v>1.5229567841735525</v>
      </c>
      <c r="BC36" s="8">
        <f>BC35/AE35</f>
        <v>0.71971008168234307</v>
      </c>
    </row>
    <row r="40" spans="1:55" x14ac:dyDescent="0.3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3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3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3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3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3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3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3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3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3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3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3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3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3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3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3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3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3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3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3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3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3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3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3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3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6"/>
  <sheetViews>
    <sheetView zoomScale="85" zoomScaleNormal="85" workbookViewId="0">
      <pane xSplit="2" topLeftCell="C1" activePane="topRight" state="frozen"/>
      <selection pane="topRight" activeCell="BI5" sqref="BI5:BS29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73" t="s">
        <v>528</v>
      </c>
      <c r="B1" s="73"/>
      <c r="C1" s="73"/>
      <c r="D1" s="73"/>
      <c r="E1" s="73"/>
      <c r="F1" s="73"/>
      <c r="G1" s="73"/>
      <c r="I1" s="69" t="s">
        <v>551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G1" s="70" t="s">
        <v>3</v>
      </c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</row>
    <row r="2" spans="1:73" ht="30" customHeight="1" x14ac:dyDescent="0.3">
      <c r="A2" s="75" t="s">
        <v>93</v>
      </c>
      <c r="B2" s="74" t="s">
        <v>96</v>
      </c>
      <c r="C2" s="75" t="s">
        <v>99</v>
      </c>
      <c r="D2" s="74" t="s">
        <v>102</v>
      </c>
      <c r="E2" s="75" t="s">
        <v>105</v>
      </c>
      <c r="F2" s="74" t="s">
        <v>108</v>
      </c>
      <c r="G2" s="75" t="s">
        <v>111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4" t="s">
        <v>26</v>
      </c>
      <c r="R2" s="75" t="s">
        <v>22</v>
      </c>
      <c r="S2" s="71" t="s">
        <v>142</v>
      </c>
      <c r="T2" s="71"/>
      <c r="U2" s="71"/>
      <c r="V2" s="71"/>
      <c r="W2" s="72" t="s">
        <v>153</v>
      </c>
      <c r="X2" s="72"/>
      <c r="Y2" s="71" t="s">
        <v>160</v>
      </c>
      <c r="Z2" s="71"/>
      <c r="AA2" s="71"/>
      <c r="AB2" s="72" t="s">
        <v>170</v>
      </c>
      <c r="AC2" s="72"/>
      <c r="AD2" s="71" t="s">
        <v>177</v>
      </c>
      <c r="AE2" s="71"/>
      <c r="AG2" s="75" t="s">
        <v>114</v>
      </c>
      <c r="AH2" s="71" t="s">
        <v>117</v>
      </c>
      <c r="AI2" s="71"/>
      <c r="AJ2" s="71"/>
      <c r="AK2" s="71"/>
      <c r="AL2" s="74" t="s">
        <v>192</v>
      </c>
      <c r="AM2" s="75" t="s">
        <v>133</v>
      </c>
      <c r="AN2" s="74" t="s">
        <v>24</v>
      </c>
      <c r="AO2" s="75" t="s">
        <v>26</v>
      </c>
      <c r="AP2" s="74" t="s">
        <v>22</v>
      </c>
      <c r="AQ2" s="72" t="s">
        <v>142</v>
      </c>
      <c r="AR2" s="72"/>
      <c r="AS2" s="72"/>
      <c r="AT2" s="72"/>
      <c r="AU2" s="71" t="s">
        <v>153</v>
      </c>
      <c r="AV2" s="71"/>
      <c r="AW2" s="72" t="s">
        <v>160</v>
      </c>
      <c r="AX2" s="72"/>
      <c r="AY2" s="72"/>
      <c r="AZ2" s="71" t="s">
        <v>170</v>
      </c>
      <c r="BA2" s="71"/>
      <c r="BB2" s="72" t="s">
        <v>177</v>
      </c>
      <c r="BC2" s="72"/>
      <c r="BE2" s="74" t="s">
        <v>229</v>
      </c>
      <c r="BF2" s="75" t="s">
        <v>232</v>
      </c>
      <c r="BG2" s="74" t="s">
        <v>232</v>
      </c>
      <c r="BI2" s="72" t="s">
        <v>237</v>
      </c>
      <c r="BJ2" s="72"/>
      <c r="BK2" s="71" t="s">
        <v>242</v>
      </c>
      <c r="BL2" s="71"/>
      <c r="BM2" s="71"/>
      <c r="BO2" s="72" t="s">
        <v>249</v>
      </c>
      <c r="BP2" s="72"/>
      <c r="BQ2" s="71" t="s">
        <v>254</v>
      </c>
      <c r="BR2" s="71"/>
      <c r="BS2" s="71"/>
      <c r="BU2" t="s">
        <v>550</v>
      </c>
    </row>
    <row r="3" spans="1:73" ht="15" thickBot="1" x14ac:dyDescent="0.35">
      <c r="A3" s="75"/>
      <c r="B3" s="74"/>
      <c r="C3" s="75"/>
      <c r="D3" s="74"/>
      <c r="E3" s="75"/>
      <c r="F3" s="74"/>
      <c r="G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74"/>
      <c r="R3" s="75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5"/>
      <c r="AH3" s="12" t="s">
        <v>118</v>
      </c>
      <c r="AI3" s="12" t="s">
        <v>121</v>
      </c>
      <c r="AJ3" s="12" t="s">
        <v>124</v>
      </c>
      <c r="AK3" s="12" t="s">
        <v>127</v>
      </c>
      <c r="AL3" s="74"/>
      <c r="AM3" s="75"/>
      <c r="AN3" s="74"/>
      <c r="AO3" s="75"/>
      <c r="AP3" s="74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4"/>
      <c r="BF3" s="75"/>
      <c r="BG3" s="74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7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1.5166048000000001</v>
      </c>
      <c r="J5" s="18">
        <f t="shared" ref="J5:J29" si="1">IF(ISBLANK(S5),"·",S5/D5)</f>
        <v>6.3683719649566303E-2</v>
      </c>
      <c r="K5" s="18">
        <f t="shared" ref="K5:K29" si="2">IF(N5="","·",N5/D5)</f>
        <v>5.1616587378811044E-2</v>
      </c>
      <c r="L5" s="18">
        <f t="shared" ref="L5:L29" si="3">IF(T5="","·",T5/D5)</f>
        <v>2.9812251070393085E-2</v>
      </c>
      <c r="M5" s="18">
        <f t="shared" ref="M5:M29" si="4">IF(ISBLANK(V5),"·",V5/D5)</f>
        <v>1.2052452224648661E-2</v>
      </c>
      <c r="N5" s="15">
        <f t="shared" ref="N5:N29" si="5">IF(OR(ISBLANK(T5),ISBLANK(U5)),"",T5+U5)</f>
        <v>12292304</v>
      </c>
      <c r="O5" s="18">
        <f t="shared" ref="O5:O29" si="6">IF(ISBLANK(S5),"·",S5/P5)</f>
        <v>4.1812949955102638E-2</v>
      </c>
      <c r="P5" s="19">
        <v>362711744</v>
      </c>
      <c r="Q5" s="19">
        <v>1209039.14666667</v>
      </c>
      <c r="R5" s="19">
        <v>500908.17</v>
      </c>
      <c r="S5" s="20">
        <v>15166048</v>
      </c>
      <c r="T5" s="20">
        <v>7099680</v>
      </c>
      <c r="U5" s="20">
        <v>5192624</v>
      </c>
      <c r="V5" s="20">
        <v>2870248</v>
      </c>
      <c r="W5" s="21">
        <v>66.5266083333334</v>
      </c>
      <c r="X5" s="21">
        <v>68.588713999999996</v>
      </c>
      <c r="Y5" s="21">
        <v>31.253358666666699</v>
      </c>
      <c r="Z5" s="21">
        <v>43.338613666666603</v>
      </c>
      <c r="AA5" s="21">
        <v>42.824490333333401</v>
      </c>
      <c r="AB5" s="22">
        <v>77485.2</v>
      </c>
      <c r="AC5" s="22">
        <v>40523.9</v>
      </c>
      <c r="AD5" s="22">
        <v>119.488</v>
      </c>
      <c r="AE5" s="22">
        <v>234.80199999999999</v>
      </c>
      <c r="AG5" s="17">
        <f t="shared" ref="AG5:AG29" si="7">IF(OR(ISBLANK(AQ5),ISBLANK(G5)),"·",AQ5*G5/F5/1000000)</f>
        <v>1.5166048000000001</v>
      </c>
      <c r="AH5" s="18">
        <f t="shared" ref="AH5:AH29" si="8">IF(ISBLANK(AQ5),"·",AQ5/D5)</f>
        <v>6.3683719649566303E-2</v>
      </c>
      <c r="AI5" s="18">
        <f t="shared" ref="AI5:AI29" si="9">IF(AL5="","·",AL5/D5)</f>
        <v>5.1616587378811044E-2</v>
      </c>
      <c r="AJ5" s="18">
        <f t="shared" ref="AJ5:AJ29" si="10">IF(AR5="","·",AR5/D5)</f>
        <v>2.9812251070393085E-2</v>
      </c>
      <c r="AK5" s="18">
        <f t="shared" ref="AK5:AK29" si="11">IF(ISBLANK(AT5),"·",AT5/D5)</f>
        <v>1.2052452224648661E-2</v>
      </c>
      <c r="AL5" s="15">
        <f t="shared" ref="AL5:AL29" si="12">IF(OR(ISBLANK(AR5),ISBLANK(AS5)),"",AR5+AS5)</f>
        <v>12292304</v>
      </c>
      <c r="AM5" s="18">
        <f t="shared" ref="AM5:AM29" si="13">IF(ISBLANK(AQ5),"·",AQ5/AN5)</f>
        <v>4.1812949955102638E-2</v>
      </c>
      <c r="AN5" s="19">
        <v>362711744</v>
      </c>
      <c r="AO5" s="19">
        <v>1209039.1466669999</v>
      </c>
      <c r="AP5" s="19">
        <v>500908.17</v>
      </c>
      <c r="AQ5" s="20">
        <v>15166048</v>
      </c>
      <c r="AR5" s="20">
        <v>7099680</v>
      </c>
      <c r="AS5" s="20">
        <v>5192624</v>
      </c>
      <c r="AT5" s="20">
        <v>2870248</v>
      </c>
      <c r="AU5" s="21">
        <v>66.526607999999996</v>
      </c>
      <c r="AV5" s="21">
        <v>68.588713999999996</v>
      </c>
      <c r="AW5" s="21">
        <v>31.253359</v>
      </c>
      <c r="AX5" s="21">
        <v>43.338613000000002</v>
      </c>
      <c r="AY5" s="21">
        <v>42.824489999999997</v>
      </c>
      <c r="AZ5" s="22">
        <v>75561.899999999994</v>
      </c>
      <c r="BA5" s="22">
        <v>39675.699999999997</v>
      </c>
      <c r="BB5" s="22">
        <v>122.407</v>
      </c>
      <c r="BC5" s="22">
        <v>110.892</v>
      </c>
      <c r="BE5" s="23">
        <f t="shared" ref="BE5:BE29" si="14">(AP5/AO5) - (R5/Q5)</f>
        <v>-1.1307621505807219E-13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58">
        <f>IF( OR(ISBLANK(N5:N9),ISBLANK(AL5:AL9), ISBLANK(W5:W9),ISBLANK(AU5:AU9)), "·", bdRateExtend( N5:N9,W5:W9, AL5:AL9,AU5:AU9))</f>
        <v>-9.0486468318218272E-9</v>
      </c>
      <c r="BJ5" s="58">
        <f>IF( OR(ISBLANK(N5:N9),ISBLANK(AL5:AL9), ISBLANK(X5:X9),ISBLANK(AV5:AV9)), "·", bdRateExtend( N5:N9,X5:X9, AL5:AL9,AV5:AV9))</f>
        <v>4.0694541958430364E-8</v>
      </c>
      <c r="BK5" s="58">
        <f>IF( OR(ISBLANK(V5:V9),ISBLANK(AT5:AT9), ISBLANK(Y5:Y9),ISBLANK(AW5:AW9)), "·", bdRateExtend( V5:V9,Y5:Y9, AT5:AT9,AW5:AW9))</f>
        <v>1.692960460708548E-8</v>
      </c>
      <c r="BL5" s="58">
        <f>IF( OR(ISBLANK(V5:V9),ISBLANK(AT5:AT9), ISBLANK(Z5:Z9),ISBLANK(AX5:AX9)), "·", bdRateExtend( V5:V9,Z5:Z9, AT5:AT9,AX5:AX9))</f>
        <v>2.0364932873384589E-7</v>
      </c>
      <c r="BM5" s="58">
        <f>IF( OR(ISBLANK(V5:V9),ISBLANK(AT5:AT9), ISBLANK(AA5:AA9),ISBLANK(AY5:AY9)), "·", bdRateExtend( V5:V9,AA5:AA9, AT5:AT9,AY5:AY9))</f>
        <v>-2.3063539966727831E-9</v>
      </c>
      <c r="BN5" s="59"/>
      <c r="BO5" s="58">
        <f>IF( OR(ISBLANK(S5:S9),ISBLANK(AQ5:AQ9), ISBLANK(W5:W9),ISBLANK(AU5:AU9)), "·", bdRateExtend( S5:S9,W5:W9, AQ5:AQ9,AU5:AU9))</f>
        <v>-1.7382979611291205E-8</v>
      </c>
      <c r="BP5" s="58">
        <f>IF( OR(ISBLANK(S5:S9),ISBLANK(AQ5:AQ9), ISBLANK(X5:X9),ISBLANK(AV5:AV9)), "·", bdRateExtend( S5:S9,X5:X9, AQ5:AQ9,AV5:AV9))</f>
        <v>7.0806182916882676E-8</v>
      </c>
      <c r="BQ5" s="58">
        <f>IF( OR(ISBLANK(S5:S9),ISBLANK(AQ5:AQ9), ISBLANK(Y5:Y9),ISBLANK(AW5:AW9)), "·", bdRateExtend( S5:S9,Y5:Y9, AQ5:AQ9,AW5:AW9))</f>
        <v>1.7558710263543276E-8</v>
      </c>
      <c r="BR5" s="58">
        <f>IF( OR(ISBLANK(S5:S9),ISBLANK(AQ5:AQ9), ISBLANK(Z5:Z9),ISBLANK(AX5:AX9)), "·", bdRateExtend( S5:S9,Z5:Z9, AQ5:AQ9,AX5:AX9))</f>
        <v>1.2115509928634083E-7</v>
      </c>
      <c r="BS5" s="58">
        <f>IF( OR(ISBLANK(S5:S9),ISBLANK(AQ5:AQ9), ISBLANK(AA5:AA9),ISBLANK(AY5:AY9)), "·", bdRateExtend( S5:S9,AA5:AA9, AQ5:AQ9,AY5:AY9))</f>
        <v>5.3393511834087803E-10</v>
      </c>
      <c r="BU5">
        <f>AQ5-S5</f>
        <v>0</v>
      </c>
    </row>
    <row r="6" spans="1:73" outlineLevel="1" x14ac:dyDescent="0.3">
      <c r="A6" s="25"/>
      <c r="B6" s="25" t="s">
        <v>266</v>
      </c>
      <c r="C6" s="26" t="s">
        <v>269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2.0043319999999998</v>
      </c>
      <c r="J6" s="28">
        <f t="shared" si="1"/>
        <v>8.4163862050716534E-2</v>
      </c>
      <c r="K6" s="28">
        <f t="shared" si="2"/>
        <v>6.2417305328805087E-2</v>
      </c>
      <c r="L6" s="28">
        <f t="shared" si="3"/>
        <v>4.0612969020387128E-2</v>
      </c>
      <c r="M6" s="28">
        <f t="shared" si="4"/>
        <v>2.173187667580484E-2</v>
      </c>
      <c r="N6" s="25">
        <f t="shared" si="5"/>
        <v>14864456</v>
      </c>
      <c r="O6" s="28">
        <f t="shared" si="6"/>
        <v>5.5259638904882002E-2</v>
      </c>
      <c r="P6" s="29">
        <v>362711744</v>
      </c>
      <c r="Q6" s="29">
        <v>1209039.14666667</v>
      </c>
      <c r="R6" s="29">
        <v>450076.66</v>
      </c>
      <c r="S6" s="30">
        <v>20043320</v>
      </c>
      <c r="T6" s="30">
        <v>9671832</v>
      </c>
      <c r="U6" s="30">
        <v>5192624</v>
      </c>
      <c r="V6" s="30">
        <v>5175368</v>
      </c>
      <c r="W6" s="31">
        <v>68.289270666666695</v>
      </c>
      <c r="X6" s="31">
        <v>70.556821999999997</v>
      </c>
      <c r="Y6" s="31">
        <v>33.2837556666667</v>
      </c>
      <c r="Z6" s="31">
        <v>44.796911333333298</v>
      </c>
      <c r="AA6" s="31">
        <v>44.452010000000001</v>
      </c>
      <c r="AB6" s="32">
        <v>77110.600000000006</v>
      </c>
      <c r="AC6" s="32">
        <v>43519.6</v>
      </c>
      <c r="AD6" s="32">
        <v>103.188</v>
      </c>
      <c r="AE6" s="32">
        <v>201.203</v>
      </c>
      <c r="AG6" s="27">
        <f t="shared" si="7"/>
        <v>2.0043319999999998</v>
      </c>
      <c r="AH6" s="28">
        <f t="shared" si="8"/>
        <v>8.4163862050716534E-2</v>
      </c>
      <c r="AI6" s="28">
        <f t="shared" si="9"/>
        <v>6.2417305328805087E-2</v>
      </c>
      <c r="AJ6" s="28">
        <f t="shared" si="10"/>
        <v>4.0612969020387128E-2</v>
      </c>
      <c r="AK6" s="28">
        <f t="shared" si="11"/>
        <v>2.173187667580484E-2</v>
      </c>
      <c r="AL6" s="25">
        <f t="shared" si="12"/>
        <v>14864456</v>
      </c>
      <c r="AM6" s="28">
        <f t="shared" si="13"/>
        <v>5.5259638904882002E-2</v>
      </c>
      <c r="AN6" s="29">
        <v>362711744</v>
      </c>
      <c r="AO6" s="29">
        <v>1209039.1466669999</v>
      </c>
      <c r="AP6" s="29">
        <v>450076.66</v>
      </c>
      <c r="AQ6" s="30">
        <v>20043320</v>
      </c>
      <c r="AR6" s="30">
        <v>9671832</v>
      </c>
      <c r="AS6" s="30">
        <v>5192624</v>
      </c>
      <c r="AT6" s="30">
        <v>5175368</v>
      </c>
      <c r="AU6" s="31">
        <v>68.289270999999999</v>
      </c>
      <c r="AV6" s="31">
        <v>70.556821999999997</v>
      </c>
      <c r="AW6" s="31">
        <v>33.283755999999997</v>
      </c>
      <c r="AX6" s="31">
        <v>44.796911000000001</v>
      </c>
      <c r="AY6" s="31">
        <v>44.452010000000001</v>
      </c>
      <c r="AZ6" s="32">
        <v>66812</v>
      </c>
      <c r="BA6" s="32">
        <v>24263.4</v>
      </c>
      <c r="BB6" s="32">
        <v>194.42099999999999</v>
      </c>
      <c r="BC6" s="32">
        <v>175.70500000000001</v>
      </c>
      <c r="BE6" s="33">
        <f t="shared" si="14"/>
        <v>-1.0158540675320182E-13</v>
      </c>
      <c r="BF6" s="33">
        <f t="shared" si="15"/>
        <v>0</v>
      </c>
      <c r="BG6" s="33"/>
      <c r="BI6" s="60"/>
      <c r="BJ6" s="60"/>
      <c r="BK6" s="60"/>
      <c r="BL6" s="60"/>
      <c r="BM6" s="60"/>
      <c r="BN6" s="59"/>
      <c r="BO6" s="60"/>
      <c r="BP6" s="60"/>
      <c r="BQ6" s="60"/>
      <c r="BR6" s="60"/>
      <c r="BS6" s="60"/>
      <c r="BU6" s="4">
        <f t="shared" ref="BU6:BU29" si="16">AQ6-S6</f>
        <v>0</v>
      </c>
    </row>
    <row r="7" spans="1:73" outlineLevel="1" x14ac:dyDescent="0.3">
      <c r="A7" s="15"/>
      <c r="B7" s="15" t="s">
        <v>266</v>
      </c>
      <c r="C7" s="16" t="s">
        <v>270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2.8604856000000001</v>
      </c>
      <c r="J7" s="18">
        <f t="shared" si="1"/>
        <v>0.120114589517336</v>
      </c>
      <c r="K7" s="18">
        <f t="shared" si="2"/>
        <v>7.7620391064418856E-2</v>
      </c>
      <c r="L7" s="18">
        <f t="shared" si="3"/>
        <v>5.5816054756000898E-2</v>
      </c>
      <c r="M7" s="18">
        <f t="shared" si="4"/>
        <v>4.2479518406810537E-2</v>
      </c>
      <c r="N7" s="15">
        <f t="shared" si="5"/>
        <v>18485016</v>
      </c>
      <c r="O7" s="18">
        <f t="shared" si="6"/>
        <v>7.8863881506963288E-2</v>
      </c>
      <c r="P7" s="19">
        <v>362711744</v>
      </c>
      <c r="Q7" s="19">
        <v>1209039.14666667</v>
      </c>
      <c r="R7" s="19">
        <v>441373.26666666701</v>
      </c>
      <c r="S7" s="20">
        <v>28604856</v>
      </c>
      <c r="T7" s="20">
        <v>13292392</v>
      </c>
      <c r="U7" s="20">
        <v>5192624</v>
      </c>
      <c r="V7" s="20">
        <v>10116344</v>
      </c>
      <c r="W7" s="21">
        <v>69.626238333333305</v>
      </c>
      <c r="X7" s="21">
        <v>72.276128</v>
      </c>
      <c r="Y7" s="21">
        <v>35.728466333333301</v>
      </c>
      <c r="Z7" s="21">
        <v>46.082499333333303</v>
      </c>
      <c r="AA7" s="21">
        <v>45.825022666666598</v>
      </c>
      <c r="AB7" s="22">
        <v>77713</v>
      </c>
      <c r="AC7" s="22">
        <v>46243.6</v>
      </c>
      <c r="AD7" s="22">
        <v>93.356999999999999</v>
      </c>
      <c r="AE7" s="22">
        <v>201.345</v>
      </c>
      <c r="AG7" s="17">
        <f t="shared" si="7"/>
        <v>2.8604856000000001</v>
      </c>
      <c r="AH7" s="18">
        <f t="shared" si="8"/>
        <v>0.120114589517336</v>
      </c>
      <c r="AI7" s="18">
        <f t="shared" si="9"/>
        <v>7.7620391064418856E-2</v>
      </c>
      <c r="AJ7" s="18">
        <f t="shared" si="10"/>
        <v>5.5816054756000898E-2</v>
      </c>
      <c r="AK7" s="18">
        <f t="shared" si="11"/>
        <v>4.2479518406810537E-2</v>
      </c>
      <c r="AL7" s="15">
        <f t="shared" si="12"/>
        <v>18485016</v>
      </c>
      <c r="AM7" s="18">
        <f t="shared" si="13"/>
        <v>7.8863881506963288E-2</v>
      </c>
      <c r="AN7" s="19">
        <v>362711744</v>
      </c>
      <c r="AO7" s="19">
        <v>1209039.1466669999</v>
      </c>
      <c r="AP7" s="19">
        <v>441373.26666700002</v>
      </c>
      <c r="AQ7" s="20">
        <v>28604856</v>
      </c>
      <c r="AR7" s="20">
        <v>13292392</v>
      </c>
      <c r="AS7" s="20">
        <v>5192624</v>
      </c>
      <c r="AT7" s="20">
        <v>10116344</v>
      </c>
      <c r="AU7" s="21">
        <v>69.626238000000001</v>
      </c>
      <c r="AV7" s="21">
        <v>72.276128</v>
      </c>
      <c r="AW7" s="21">
        <v>35.728465999999997</v>
      </c>
      <c r="AX7" s="21">
        <v>46.082498999999999</v>
      </c>
      <c r="AY7" s="21">
        <v>45.825023000000002</v>
      </c>
      <c r="AZ7" s="22">
        <v>72980.399999999994</v>
      </c>
      <c r="BA7" s="22">
        <v>44778.9</v>
      </c>
      <c r="BB7" s="22">
        <v>111.80800000000001</v>
      </c>
      <c r="BC7" s="22">
        <v>109.045</v>
      </c>
      <c r="BE7" s="23">
        <f t="shared" si="14"/>
        <v>1.7580381594939354E-13</v>
      </c>
      <c r="BF7" s="23">
        <f t="shared" si="15"/>
        <v>0</v>
      </c>
      <c r="BG7" s="23"/>
      <c r="BI7" s="58"/>
      <c r="BJ7" s="58"/>
      <c r="BK7" s="58"/>
      <c r="BL7" s="58"/>
      <c r="BM7" s="58"/>
      <c r="BN7" s="59"/>
      <c r="BO7" s="58"/>
      <c r="BP7" s="58"/>
      <c r="BQ7" s="58"/>
      <c r="BR7" s="58"/>
      <c r="BS7" s="58"/>
      <c r="BU7" s="4">
        <f t="shared" si="16"/>
        <v>0</v>
      </c>
    </row>
    <row r="8" spans="1:73" outlineLevel="1" x14ac:dyDescent="0.3">
      <c r="A8" s="25"/>
      <c r="B8" s="25" t="s">
        <v>266</v>
      </c>
      <c r="C8" s="26" t="s">
        <v>271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4.7030079999999996</v>
      </c>
      <c r="J8" s="28">
        <f t="shared" si="1"/>
        <v>0.19748390812271432</v>
      </c>
      <c r="K8" s="28">
        <f t="shared" si="2"/>
        <v>0.1061876600095107</v>
      </c>
      <c r="L8" s="28">
        <f t="shared" si="3"/>
        <v>8.4383323701092749E-2</v>
      </c>
      <c r="M8" s="28">
        <f t="shared" si="4"/>
        <v>9.1281568067097016E-2</v>
      </c>
      <c r="N8" s="25">
        <f t="shared" si="5"/>
        <v>25288208</v>
      </c>
      <c r="O8" s="28">
        <f t="shared" si="6"/>
        <v>0.1296624131365319</v>
      </c>
      <c r="P8" s="29">
        <v>362711744</v>
      </c>
      <c r="Q8" s="29">
        <v>1209039.14666667</v>
      </c>
      <c r="R8" s="29">
        <v>408505.506666667</v>
      </c>
      <c r="S8" s="30">
        <v>47030080</v>
      </c>
      <c r="T8" s="30">
        <v>20095584</v>
      </c>
      <c r="U8" s="30">
        <v>5192624</v>
      </c>
      <c r="V8" s="30">
        <v>21738376</v>
      </c>
      <c r="W8" s="31">
        <v>70.670281000000003</v>
      </c>
      <c r="X8" s="31">
        <v>73.508468333333397</v>
      </c>
      <c r="Y8" s="31">
        <v>38.309153000000002</v>
      </c>
      <c r="Z8" s="31">
        <v>47.390941666666698</v>
      </c>
      <c r="AA8" s="31">
        <v>47.27704</v>
      </c>
      <c r="AB8" s="32">
        <v>79103.5</v>
      </c>
      <c r="AC8" s="32">
        <v>49267.9</v>
      </c>
      <c r="AD8" s="32">
        <v>87.866</v>
      </c>
      <c r="AE8" s="32">
        <v>203.137</v>
      </c>
      <c r="AG8" s="27">
        <f t="shared" si="7"/>
        <v>4.7030079999999996</v>
      </c>
      <c r="AH8" s="28">
        <f t="shared" si="8"/>
        <v>0.19748390812271432</v>
      </c>
      <c r="AI8" s="28">
        <f t="shared" si="9"/>
        <v>0.1061876600095107</v>
      </c>
      <c r="AJ8" s="28">
        <f t="shared" si="10"/>
        <v>8.4383323701092749E-2</v>
      </c>
      <c r="AK8" s="28">
        <f t="shared" si="11"/>
        <v>9.1281568067097016E-2</v>
      </c>
      <c r="AL8" s="25">
        <f t="shared" si="12"/>
        <v>25288208</v>
      </c>
      <c r="AM8" s="28">
        <f t="shared" si="13"/>
        <v>0.1296624131365319</v>
      </c>
      <c r="AN8" s="29">
        <v>362711744</v>
      </c>
      <c r="AO8" s="29">
        <v>1209039.1466669999</v>
      </c>
      <c r="AP8" s="29">
        <v>408505.50666700001</v>
      </c>
      <c r="AQ8" s="30">
        <v>47030080</v>
      </c>
      <c r="AR8" s="30">
        <v>20095584</v>
      </c>
      <c r="AS8" s="30">
        <v>5192624</v>
      </c>
      <c r="AT8" s="30">
        <v>21738376</v>
      </c>
      <c r="AU8" s="31">
        <v>70.670281000000003</v>
      </c>
      <c r="AV8" s="31">
        <v>73.508467999999993</v>
      </c>
      <c r="AW8" s="31">
        <v>38.309153000000002</v>
      </c>
      <c r="AX8" s="31">
        <v>47.390940999999998</v>
      </c>
      <c r="AY8" s="31">
        <v>47.27704</v>
      </c>
      <c r="AZ8" s="32">
        <v>68430.3</v>
      </c>
      <c r="BA8" s="32">
        <v>43633.8</v>
      </c>
      <c r="BB8" s="32">
        <v>121.989</v>
      </c>
      <c r="BC8" s="32">
        <v>121.705</v>
      </c>
      <c r="BE8" s="33">
        <f t="shared" si="14"/>
        <v>1.8324231021438209E-13</v>
      </c>
      <c r="BF8" s="33">
        <f t="shared" si="15"/>
        <v>0</v>
      </c>
      <c r="BG8" s="33"/>
      <c r="BI8" s="60"/>
      <c r="BJ8" s="60"/>
      <c r="BK8" s="60"/>
      <c r="BL8" s="60"/>
      <c r="BM8" s="60"/>
      <c r="BN8" s="59"/>
      <c r="BO8" s="60"/>
      <c r="BP8" s="60"/>
      <c r="BQ8" s="60"/>
      <c r="BR8" s="60"/>
      <c r="BS8" s="60"/>
      <c r="BU8" s="4">
        <f t="shared" si="16"/>
        <v>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9.4068191999999993</v>
      </c>
      <c r="J9" s="38">
        <f t="shared" si="1"/>
        <v>0.39500154339941268</v>
      </c>
      <c r="K9" s="38">
        <f t="shared" si="2"/>
        <v>0.1572225211676628</v>
      </c>
      <c r="L9" s="38">
        <f t="shared" si="3"/>
        <v>0.13541818485924484</v>
      </c>
      <c r="M9" s="38">
        <f t="shared" si="4"/>
        <v>0.2377643421856433</v>
      </c>
      <c r="N9" s="35">
        <f t="shared" si="5"/>
        <v>37441976</v>
      </c>
      <c r="O9" s="38">
        <f t="shared" si="6"/>
        <v>0.25934697057948031</v>
      </c>
      <c r="P9" s="39">
        <v>362711744</v>
      </c>
      <c r="Q9" s="39">
        <v>1209039.14666667</v>
      </c>
      <c r="R9" s="39">
        <v>403447.49</v>
      </c>
      <c r="S9" s="40">
        <v>94068192</v>
      </c>
      <c r="T9" s="40">
        <v>32249352</v>
      </c>
      <c r="U9" s="40">
        <v>5192624</v>
      </c>
      <c r="V9" s="40">
        <v>56622720</v>
      </c>
      <c r="W9" s="41">
        <v>71.519283666666695</v>
      </c>
      <c r="X9" s="41">
        <v>74.643330666666699</v>
      </c>
      <c r="Y9" s="41">
        <v>41.115292666666697</v>
      </c>
      <c r="Z9" s="41">
        <v>49.112877666666698</v>
      </c>
      <c r="AA9" s="41">
        <v>49.125778333333301</v>
      </c>
      <c r="AB9" s="42">
        <v>76339</v>
      </c>
      <c r="AC9" s="42">
        <v>53622.8</v>
      </c>
      <c r="AD9" s="42">
        <v>93.037000000000006</v>
      </c>
      <c r="AE9" s="42">
        <v>225.24100000000001</v>
      </c>
      <c r="AG9" s="37">
        <f t="shared" si="7"/>
        <v>9.4068191999999993</v>
      </c>
      <c r="AH9" s="38">
        <f t="shared" si="8"/>
        <v>0.39500154339941268</v>
      </c>
      <c r="AI9" s="38">
        <f t="shared" si="9"/>
        <v>0.1572225211676628</v>
      </c>
      <c r="AJ9" s="38">
        <f t="shared" si="10"/>
        <v>0.13541818485924484</v>
      </c>
      <c r="AK9" s="38">
        <f t="shared" si="11"/>
        <v>0.2377643421856433</v>
      </c>
      <c r="AL9" s="35">
        <f t="shared" si="12"/>
        <v>37441976</v>
      </c>
      <c r="AM9" s="38">
        <f t="shared" si="13"/>
        <v>0.25934697057948031</v>
      </c>
      <c r="AN9" s="39">
        <v>362711744</v>
      </c>
      <c r="AO9" s="39">
        <v>1209039.1466669999</v>
      </c>
      <c r="AP9" s="39">
        <v>403447.49</v>
      </c>
      <c r="AQ9" s="40">
        <v>94068192</v>
      </c>
      <c r="AR9" s="40">
        <v>32249352</v>
      </c>
      <c r="AS9" s="40">
        <v>5192624</v>
      </c>
      <c r="AT9" s="40">
        <v>56622720</v>
      </c>
      <c r="AU9" s="41">
        <v>71.519283999999999</v>
      </c>
      <c r="AV9" s="41">
        <v>74.643330000000006</v>
      </c>
      <c r="AW9" s="41">
        <v>41.115291999999997</v>
      </c>
      <c r="AX9" s="41">
        <v>49.112878000000002</v>
      </c>
      <c r="AY9" s="41">
        <v>49.125777999999997</v>
      </c>
      <c r="AZ9" s="42">
        <v>66544.899999999994</v>
      </c>
      <c r="BA9" s="42">
        <v>31776.2</v>
      </c>
      <c r="BB9" s="42">
        <v>186.238</v>
      </c>
      <c r="BC9" s="42">
        <v>198.54900000000001</v>
      </c>
      <c r="BE9" s="43">
        <f t="shared" si="14"/>
        <v>-9.1093799170494094E-14</v>
      </c>
      <c r="BF9" s="43">
        <f t="shared" si="15"/>
        <v>0</v>
      </c>
      <c r="BG9" s="43"/>
      <c r="BI9" s="61"/>
      <c r="BJ9" s="61"/>
      <c r="BK9" s="61"/>
      <c r="BL9" s="61"/>
      <c r="BM9" s="61"/>
      <c r="BN9" s="59"/>
      <c r="BO9" s="61"/>
      <c r="BP9" s="61"/>
      <c r="BQ9" s="61"/>
      <c r="BR9" s="61"/>
      <c r="BS9" s="61"/>
      <c r="BU9" s="4">
        <f t="shared" si="16"/>
        <v>0</v>
      </c>
    </row>
    <row r="10" spans="1:73" x14ac:dyDescent="0.3">
      <c r="A10" s="25"/>
      <c r="B10" s="25" t="s">
        <v>275</v>
      </c>
      <c r="C10" s="26" t="s">
        <v>268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2.2912119999999998</v>
      </c>
      <c r="J10" s="28">
        <f t="shared" si="1"/>
        <v>0.10504304757259726</v>
      </c>
      <c r="K10" s="28">
        <f t="shared" si="2"/>
        <v>7.5468633174205019E-2</v>
      </c>
      <c r="L10" s="28">
        <f t="shared" si="3"/>
        <v>4.0224821386263702E-2</v>
      </c>
      <c r="M10" s="28">
        <f t="shared" si="4"/>
        <v>2.9558386615091803E-2</v>
      </c>
      <c r="N10" s="25">
        <f t="shared" si="5"/>
        <v>16461312</v>
      </c>
      <c r="O10" s="28">
        <f t="shared" si="6"/>
        <v>6.9799791654562252E-2</v>
      </c>
      <c r="P10" s="29">
        <v>328254848</v>
      </c>
      <c r="Q10" s="29">
        <v>1094182.8266666699</v>
      </c>
      <c r="R10" s="29">
        <v>439467.25333333301</v>
      </c>
      <c r="S10" s="30">
        <v>22912120</v>
      </c>
      <c r="T10" s="30">
        <v>8773888</v>
      </c>
      <c r="U10" s="30">
        <v>7687424</v>
      </c>
      <c r="V10" s="30">
        <v>6447312</v>
      </c>
      <c r="W10" s="31">
        <v>65.938708666666699</v>
      </c>
      <c r="X10" s="31">
        <v>67.932312666666704</v>
      </c>
      <c r="Y10" s="31">
        <v>30.578288000000001</v>
      </c>
      <c r="Z10" s="31">
        <v>38.24485</v>
      </c>
      <c r="AA10" s="31">
        <v>29.701077000000002</v>
      </c>
      <c r="AB10" s="32">
        <v>72062.3</v>
      </c>
      <c r="AC10" s="32">
        <v>47460.4</v>
      </c>
      <c r="AD10" s="32">
        <v>85.498999999999995</v>
      </c>
      <c r="AE10" s="32">
        <v>202.69200000000001</v>
      </c>
      <c r="AG10" s="27">
        <f t="shared" si="7"/>
        <v>2.2912119999999998</v>
      </c>
      <c r="AH10" s="28">
        <f t="shared" si="8"/>
        <v>0.10504304757259726</v>
      </c>
      <c r="AI10" s="28">
        <f t="shared" si="9"/>
        <v>7.5468633174205019E-2</v>
      </c>
      <c r="AJ10" s="28">
        <f t="shared" si="10"/>
        <v>4.0224821386263702E-2</v>
      </c>
      <c r="AK10" s="28">
        <f t="shared" si="11"/>
        <v>2.9558386615091803E-2</v>
      </c>
      <c r="AL10" s="25">
        <f t="shared" si="12"/>
        <v>16461312</v>
      </c>
      <c r="AM10" s="28">
        <f t="shared" si="13"/>
        <v>6.9799791654562252E-2</v>
      </c>
      <c r="AN10" s="29">
        <v>328254848</v>
      </c>
      <c r="AO10" s="29">
        <v>1094182.8266670001</v>
      </c>
      <c r="AP10" s="29">
        <v>439467.253333</v>
      </c>
      <c r="AQ10" s="30">
        <v>22912120</v>
      </c>
      <c r="AR10" s="30">
        <v>8773888</v>
      </c>
      <c r="AS10" s="30">
        <v>7687424</v>
      </c>
      <c r="AT10" s="30">
        <v>6447312</v>
      </c>
      <c r="AU10" s="31">
        <v>65.938709000000003</v>
      </c>
      <c r="AV10" s="31">
        <v>67.932311999999996</v>
      </c>
      <c r="AW10" s="31">
        <v>30.578288000000001</v>
      </c>
      <c r="AX10" s="31">
        <v>38.24485</v>
      </c>
      <c r="AY10" s="31">
        <v>29.701077000000002</v>
      </c>
      <c r="AZ10" s="32">
        <v>65871</v>
      </c>
      <c r="BA10" s="32">
        <v>41734.400000000001</v>
      </c>
      <c r="BB10" s="32">
        <v>177.92400000000001</v>
      </c>
      <c r="BC10" s="32">
        <v>187.678</v>
      </c>
      <c r="BE10" s="33">
        <f t="shared" si="14"/>
        <v>-4.255484853388225E-13</v>
      </c>
      <c r="BF10" s="33">
        <f t="shared" si="15"/>
        <v>0</v>
      </c>
      <c r="BG10" s="33">
        <f t="array" ref="BG10">AVERAGE(AL10:AL14/AQ10:AQ14) - AVERAGE(N10:N14/S10:S14)</f>
        <v>0</v>
      </c>
      <c r="BI10" s="60">
        <f>IF( OR(ISBLANK(N10:N14),ISBLANK(AL10:AL14), ISBLANK(W10:W14),ISBLANK(AU10:AU14)), "·", bdRateExtend( N10:N14,W10:W14, AL10:AL14,AU10:AU14))</f>
        <v>-1.3908653340166666E-8</v>
      </c>
      <c r="BJ10" s="60">
        <f>IF( OR(ISBLANK(N10:N14),ISBLANK(AL10:AL14), ISBLANK(X10:X14),ISBLANK(AV10:AV14)), "·", bdRateExtend( N10:N14,X10:X14, AL10:AL14,AV10:AV14))</f>
        <v>2.1053814025506767E-8</v>
      </c>
      <c r="BK10" s="60">
        <f>IF( OR(ISBLANK(V10:V14),ISBLANK(AT10:AT14), ISBLANK(Y10:Y14),ISBLANK(AW10:AW14)), "·", bdRateExtend( V10:V14,Y10:Y14, AT10:AT14,AW10:AW14))</f>
        <v>1.145242256583856E-8</v>
      </c>
      <c r="BL10" s="60">
        <f>IF( OR(ISBLANK(V10:V14),ISBLANK(AT10:AT14), ISBLANK(Z10:Z14),ISBLANK(AX10:AX14)), "·", bdRateExtend( V10:V14,Z10:Z14, AT10:AT14,AX10:AX14))</f>
        <v>1.0476737477560505E-8</v>
      </c>
      <c r="BM10" s="60">
        <f>IF( OR(ISBLANK(V10:V14),ISBLANK(AT10:AT14), ISBLANK(AA10:AA14),ISBLANK(AY10:AY14)), "·", bdRateExtend( V10:V14,AA10:AA14, AT10:AT14,AY10:AY14))</f>
        <v>-5.0855509470260074E-8</v>
      </c>
      <c r="BN10" s="59"/>
      <c r="BO10" s="60">
        <f>IF( OR(ISBLANK(S10:S14),ISBLANK(AQ10:AQ14), ISBLANK(W10:W14),ISBLANK(AU10:AU14)), "·", bdRateExtend( S10:S14,W10:W14, AQ10:AQ14,AU10:AU14))</f>
        <v>-2.4883675786568915E-8</v>
      </c>
      <c r="BP10" s="60">
        <f>IF( OR(ISBLANK(S10:S14),ISBLANK(AQ10:AQ14), ISBLANK(X10:X14),ISBLANK(AV10:AV14)), "·", bdRateExtend( S10:S14,X10:X14, AQ10:AQ14,AV10:AV14))</f>
        <v>3.485482791276695E-8</v>
      </c>
      <c r="BQ10" s="60">
        <f>IF( OR(ISBLANK(S10:S14),ISBLANK(AQ10:AQ14), ISBLANK(Y10:Y14),ISBLANK(AW10:AW14)), "·", bdRateExtend( S10:S14,Y10:Y14, AQ10:AQ14,AW10:AW14))</f>
        <v>1.2266932802873498E-8</v>
      </c>
      <c r="BR10" s="60">
        <f>IF( OR(ISBLANK(S10:S14),ISBLANK(AQ10:AQ14), ISBLANK(Z10:Z14),ISBLANK(AX10:AX14)), "·", bdRateExtend( S10:S14,Z10:Z14, AQ10:AQ14,AX10:AX14))</f>
        <v>4.5588017805187064E-9</v>
      </c>
      <c r="BS10" s="60">
        <f>IF( OR(ISBLANK(S10:S14),ISBLANK(AQ10:AQ14), ISBLANK(AA10:AA14),ISBLANK(AY10:AY14)), "·", bdRateExtend( S10:S14,AA10:AA14, AQ10:AQ14,AY10:AY14))</f>
        <v>-3.8823309678193141E-8</v>
      </c>
      <c r="BU10" s="4">
        <f t="shared" si="16"/>
        <v>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3.1515336</v>
      </c>
      <c r="J11" s="18">
        <f t="shared" si="1"/>
        <v>0.1444854050482621</v>
      </c>
      <c r="K11" s="18">
        <f t="shared" si="2"/>
        <v>9.1366397042613581E-2</v>
      </c>
      <c r="L11" s="18">
        <f t="shared" si="3"/>
        <v>5.6122585254672265E-2</v>
      </c>
      <c r="M11" s="18">
        <f t="shared" si="4"/>
        <v>5.3102980222348085E-2</v>
      </c>
      <c r="N11" s="15">
        <f t="shared" si="5"/>
        <v>19928952</v>
      </c>
      <c r="O11" s="18">
        <f t="shared" si="6"/>
        <v>9.6008745010218402E-2</v>
      </c>
      <c r="P11" s="19">
        <v>328254848</v>
      </c>
      <c r="Q11" s="19">
        <v>1094182.8266666699</v>
      </c>
      <c r="R11" s="19">
        <v>397491.46</v>
      </c>
      <c r="S11" s="20">
        <v>31515336</v>
      </c>
      <c r="T11" s="20">
        <v>12241528</v>
      </c>
      <c r="U11" s="20">
        <v>7687424</v>
      </c>
      <c r="V11" s="20">
        <v>11582888</v>
      </c>
      <c r="W11" s="21">
        <v>67.643539333333294</v>
      </c>
      <c r="X11" s="21">
        <v>69.836983333333293</v>
      </c>
      <c r="Y11" s="21">
        <v>32.463792666666599</v>
      </c>
      <c r="Z11" s="21">
        <v>39.425483999999997</v>
      </c>
      <c r="AA11" s="21">
        <v>32.003245</v>
      </c>
      <c r="AB11" s="22">
        <v>71619.7</v>
      </c>
      <c r="AC11" s="22">
        <v>50040.800000000003</v>
      </c>
      <c r="AD11" s="22">
        <v>82.406000000000006</v>
      </c>
      <c r="AE11" s="22">
        <v>214.96899999999999</v>
      </c>
      <c r="AG11" s="17">
        <f t="shared" si="7"/>
        <v>3.1515336</v>
      </c>
      <c r="AH11" s="18">
        <f t="shared" si="8"/>
        <v>0.1444854050482621</v>
      </c>
      <c r="AI11" s="18">
        <f t="shared" si="9"/>
        <v>9.1366397042613581E-2</v>
      </c>
      <c r="AJ11" s="18">
        <f t="shared" si="10"/>
        <v>5.6122585254672258E-2</v>
      </c>
      <c r="AK11" s="18">
        <f t="shared" si="11"/>
        <v>5.3102980222348085E-2</v>
      </c>
      <c r="AL11" s="15">
        <f t="shared" si="12"/>
        <v>19928952</v>
      </c>
      <c r="AM11" s="18">
        <f t="shared" si="13"/>
        <v>9.6008745010218402E-2</v>
      </c>
      <c r="AN11" s="19">
        <v>328254848</v>
      </c>
      <c r="AO11" s="19">
        <v>1094182.8266670001</v>
      </c>
      <c r="AP11" s="19">
        <v>397491.46</v>
      </c>
      <c r="AQ11" s="20">
        <v>31515336</v>
      </c>
      <c r="AR11" s="20">
        <v>12241528</v>
      </c>
      <c r="AS11" s="20">
        <v>7687424</v>
      </c>
      <c r="AT11" s="20">
        <v>11582888</v>
      </c>
      <c r="AU11" s="21">
        <v>67.643539000000004</v>
      </c>
      <c r="AV11" s="21">
        <v>69.836983000000004</v>
      </c>
      <c r="AW11" s="21">
        <v>32.463793000000003</v>
      </c>
      <c r="AX11" s="21">
        <v>39.425483999999997</v>
      </c>
      <c r="AY11" s="21">
        <v>32.003245</v>
      </c>
      <c r="AZ11" s="22">
        <v>64119.8</v>
      </c>
      <c r="BA11" s="22">
        <v>29424.799999999999</v>
      </c>
      <c r="BB11" s="22">
        <v>107.376</v>
      </c>
      <c r="BC11" s="22">
        <v>119.58199999999999</v>
      </c>
      <c r="BE11" s="23">
        <f t="shared" si="14"/>
        <v>-1.0963452368173421E-13</v>
      </c>
      <c r="BF11" s="23">
        <f t="shared" si="15"/>
        <v>0</v>
      </c>
      <c r="BG11" s="23"/>
      <c r="BI11" s="58"/>
      <c r="BJ11" s="58"/>
      <c r="BK11" s="58"/>
      <c r="BL11" s="58"/>
      <c r="BM11" s="58"/>
      <c r="BN11" s="59"/>
      <c r="BO11" s="58"/>
      <c r="BP11" s="58"/>
      <c r="BQ11" s="58"/>
      <c r="BR11" s="58"/>
      <c r="BS11" s="58"/>
      <c r="BU11" s="4">
        <f t="shared" si="16"/>
        <v>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4.5187112000000003</v>
      </c>
      <c r="J12" s="28">
        <f t="shared" si="1"/>
        <v>0.20716511416160008</v>
      </c>
      <c r="K12" s="28">
        <f t="shared" si="2"/>
        <v>0.11457613101249442</v>
      </c>
      <c r="L12" s="28">
        <f t="shared" si="3"/>
        <v>7.9332319224553111E-2</v>
      </c>
      <c r="M12" s="28">
        <f t="shared" si="4"/>
        <v>9.2572955365805232E-2</v>
      </c>
      <c r="N12" s="25">
        <f t="shared" si="5"/>
        <v>24991488</v>
      </c>
      <c r="O12" s="28">
        <f t="shared" si="6"/>
        <v>0.13765862796944892</v>
      </c>
      <c r="P12" s="29">
        <v>328254848</v>
      </c>
      <c r="Q12" s="29">
        <v>1094182.8266666699</v>
      </c>
      <c r="R12" s="29">
        <v>389854.876666667</v>
      </c>
      <c r="S12" s="30">
        <v>45187112</v>
      </c>
      <c r="T12" s="30">
        <v>17304064</v>
      </c>
      <c r="U12" s="30">
        <v>7687424</v>
      </c>
      <c r="V12" s="30">
        <v>20192128</v>
      </c>
      <c r="W12" s="31">
        <v>68.979821666666695</v>
      </c>
      <c r="X12" s="31">
        <v>71.530321000000001</v>
      </c>
      <c r="Y12" s="31">
        <v>34.554851999999997</v>
      </c>
      <c r="Z12" s="31">
        <v>40.348724333333301</v>
      </c>
      <c r="AA12" s="31">
        <v>33.911451</v>
      </c>
      <c r="AB12" s="32">
        <v>71883.199999999997</v>
      </c>
      <c r="AC12" s="32">
        <v>53611.1</v>
      </c>
      <c r="AD12" s="32">
        <v>85.070999999999998</v>
      </c>
      <c r="AE12" s="32">
        <v>221.679</v>
      </c>
      <c r="AG12" s="27">
        <f t="shared" si="7"/>
        <v>4.5187112000000003</v>
      </c>
      <c r="AH12" s="28">
        <f t="shared" si="8"/>
        <v>0.20716511416160008</v>
      </c>
      <c r="AI12" s="28">
        <f t="shared" si="9"/>
        <v>0.11457613101249442</v>
      </c>
      <c r="AJ12" s="28">
        <f t="shared" si="10"/>
        <v>7.9332319224553111E-2</v>
      </c>
      <c r="AK12" s="28">
        <f t="shared" si="11"/>
        <v>9.2572955365805232E-2</v>
      </c>
      <c r="AL12" s="25">
        <f t="shared" si="12"/>
        <v>24991488</v>
      </c>
      <c r="AM12" s="28">
        <f t="shared" si="13"/>
        <v>0.13765862796944892</v>
      </c>
      <c r="AN12" s="29">
        <v>328254848</v>
      </c>
      <c r="AO12" s="29">
        <v>1094182.8266670001</v>
      </c>
      <c r="AP12" s="29">
        <v>389854.876667</v>
      </c>
      <c r="AQ12" s="30">
        <v>45187112</v>
      </c>
      <c r="AR12" s="30">
        <v>17304064</v>
      </c>
      <c r="AS12" s="30">
        <v>7687424</v>
      </c>
      <c r="AT12" s="30">
        <v>20192128</v>
      </c>
      <c r="AU12" s="31">
        <v>68.979821999999999</v>
      </c>
      <c r="AV12" s="31">
        <v>71.530321000000001</v>
      </c>
      <c r="AW12" s="31">
        <v>34.554851999999997</v>
      </c>
      <c r="AX12" s="31">
        <v>40.348723999999997</v>
      </c>
      <c r="AY12" s="31">
        <v>33.911451</v>
      </c>
      <c r="AZ12" s="32">
        <v>65996.800000000003</v>
      </c>
      <c r="BA12" s="32">
        <v>47151.8</v>
      </c>
      <c r="BB12" s="32">
        <v>111.351</v>
      </c>
      <c r="BC12" s="32">
        <v>127.733</v>
      </c>
      <c r="BE12" s="33">
        <f t="shared" si="14"/>
        <v>1.9684254226604025E-13</v>
      </c>
      <c r="BF12" s="33">
        <f t="shared" si="15"/>
        <v>0</v>
      </c>
      <c r="BG12" s="33"/>
      <c r="BI12" s="60"/>
      <c r="BJ12" s="60"/>
      <c r="BK12" s="60"/>
      <c r="BL12" s="60"/>
      <c r="BM12" s="60"/>
      <c r="BN12" s="59"/>
      <c r="BO12" s="60"/>
      <c r="BP12" s="60"/>
      <c r="BQ12" s="60"/>
      <c r="BR12" s="60"/>
      <c r="BS12" s="60"/>
      <c r="BU12" s="4">
        <f t="shared" si="16"/>
        <v>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7.4173815999999997</v>
      </c>
      <c r="J13" s="18">
        <f t="shared" si="1"/>
        <v>0.34005773724688398</v>
      </c>
      <c r="K13" s="18">
        <f t="shared" si="2"/>
        <v>0.15652938561573018</v>
      </c>
      <c r="L13" s="18">
        <f t="shared" si="3"/>
        <v>0.12128557382778886</v>
      </c>
      <c r="M13" s="18">
        <f t="shared" si="4"/>
        <v>0.18351232384785338</v>
      </c>
      <c r="N13" s="15">
        <f t="shared" si="5"/>
        <v>34142384</v>
      </c>
      <c r="O13" s="18">
        <f t="shared" si="6"/>
        <v>0.22596411432132146</v>
      </c>
      <c r="P13" s="19">
        <v>328254848</v>
      </c>
      <c r="Q13" s="19">
        <v>1094182.8266666699</v>
      </c>
      <c r="R13" s="19">
        <v>362046.39666666702</v>
      </c>
      <c r="S13" s="20">
        <v>74173816</v>
      </c>
      <c r="T13" s="20">
        <v>26454960</v>
      </c>
      <c r="U13" s="20">
        <v>7687424</v>
      </c>
      <c r="V13" s="20">
        <v>40027936</v>
      </c>
      <c r="W13" s="21">
        <v>69.941640000000007</v>
      </c>
      <c r="X13" s="21">
        <v>72.713435000000004</v>
      </c>
      <c r="Y13" s="21">
        <v>36.871567333333303</v>
      </c>
      <c r="Z13" s="21">
        <v>41.426344999999998</v>
      </c>
      <c r="AA13" s="21">
        <v>35.914746666666701</v>
      </c>
      <c r="AB13" s="22">
        <v>71622.7</v>
      </c>
      <c r="AC13" s="22">
        <v>57428.2</v>
      </c>
      <c r="AD13" s="22">
        <v>83.781000000000006</v>
      </c>
      <c r="AE13" s="22">
        <v>227.22900000000001</v>
      </c>
      <c r="AG13" s="17">
        <f t="shared" si="7"/>
        <v>7.4173815999999997</v>
      </c>
      <c r="AH13" s="18">
        <f t="shared" si="8"/>
        <v>0.34005773724688398</v>
      </c>
      <c r="AI13" s="18">
        <f t="shared" si="9"/>
        <v>0.15652938561573018</v>
      </c>
      <c r="AJ13" s="18">
        <f t="shared" si="10"/>
        <v>0.12128557382778886</v>
      </c>
      <c r="AK13" s="18">
        <f t="shared" si="11"/>
        <v>0.18351232384785338</v>
      </c>
      <c r="AL13" s="15">
        <f t="shared" si="12"/>
        <v>34142384</v>
      </c>
      <c r="AM13" s="18">
        <f t="shared" si="13"/>
        <v>0.22596411432132146</v>
      </c>
      <c r="AN13" s="19">
        <v>328254848</v>
      </c>
      <c r="AO13" s="19">
        <v>1094182.8266670001</v>
      </c>
      <c r="AP13" s="19">
        <v>362046.39666700002</v>
      </c>
      <c r="AQ13" s="20">
        <v>74173816</v>
      </c>
      <c r="AR13" s="20">
        <v>26454960</v>
      </c>
      <c r="AS13" s="20">
        <v>7687424</v>
      </c>
      <c r="AT13" s="20">
        <v>40027936</v>
      </c>
      <c r="AU13" s="21">
        <v>69.941640000000007</v>
      </c>
      <c r="AV13" s="21">
        <v>72.713435000000004</v>
      </c>
      <c r="AW13" s="21">
        <v>36.871566999999999</v>
      </c>
      <c r="AX13" s="21">
        <v>41.426344999999998</v>
      </c>
      <c r="AY13" s="21">
        <v>35.914746999999998</v>
      </c>
      <c r="AZ13" s="22">
        <v>66541.100000000006</v>
      </c>
      <c r="BA13" s="22">
        <v>51200.6</v>
      </c>
      <c r="BB13" s="22">
        <v>108.48399999999999</v>
      </c>
      <c r="BC13" s="22">
        <v>131.358</v>
      </c>
      <c r="BE13" s="23">
        <f t="shared" si="14"/>
        <v>2.0450308113595383E-13</v>
      </c>
      <c r="BF13" s="23">
        <f t="shared" si="15"/>
        <v>0</v>
      </c>
      <c r="BG13" s="23"/>
      <c r="BI13" s="58"/>
      <c r="BJ13" s="58"/>
      <c r="BK13" s="58"/>
      <c r="BL13" s="58"/>
      <c r="BM13" s="58"/>
      <c r="BN13" s="59"/>
      <c r="BO13" s="58"/>
      <c r="BP13" s="58"/>
      <c r="BQ13" s="58"/>
      <c r="BR13" s="58"/>
      <c r="BS13" s="58"/>
      <c r="BU13" s="4">
        <f t="shared" si="16"/>
        <v>0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14.8679504</v>
      </c>
      <c r="J14" s="48">
        <f t="shared" si="1"/>
        <v>0.68163697692497094</v>
      </c>
      <c r="K14" s="48">
        <f t="shared" si="2"/>
        <v>0.23111355656043808</v>
      </c>
      <c r="L14" s="48">
        <f t="shared" si="3"/>
        <v>0.19586974477249675</v>
      </c>
      <c r="M14" s="48">
        <f t="shared" si="4"/>
        <v>0.4505073925812324</v>
      </c>
      <c r="N14" s="45">
        <f t="shared" si="5"/>
        <v>50410776</v>
      </c>
      <c r="O14" s="48">
        <f t="shared" si="6"/>
        <v>0.45293924798332302</v>
      </c>
      <c r="P14" s="49">
        <v>328254848</v>
      </c>
      <c r="Q14" s="49">
        <v>1094182.8266666699</v>
      </c>
      <c r="R14" s="49">
        <v>357557.09</v>
      </c>
      <c r="S14" s="50">
        <v>148679504</v>
      </c>
      <c r="T14" s="50">
        <v>42723352</v>
      </c>
      <c r="U14" s="50">
        <v>7687424</v>
      </c>
      <c r="V14" s="50">
        <v>98265232</v>
      </c>
      <c r="W14" s="51">
        <v>70.778259666666699</v>
      </c>
      <c r="X14" s="51">
        <v>73.808852999999999</v>
      </c>
      <c r="Y14" s="51">
        <v>39.622742000000002</v>
      </c>
      <c r="Z14" s="51">
        <v>42.879654666666703</v>
      </c>
      <c r="AA14" s="51">
        <v>38.302837666666598</v>
      </c>
      <c r="AB14" s="52">
        <v>70696</v>
      </c>
      <c r="AC14" s="52">
        <v>62797.5</v>
      </c>
      <c r="AD14" s="52">
        <v>83.647999999999996</v>
      </c>
      <c r="AE14" s="52">
        <v>244.095</v>
      </c>
      <c r="AG14" s="47">
        <f t="shared" si="7"/>
        <v>14.8679504</v>
      </c>
      <c r="AH14" s="48">
        <f t="shared" si="8"/>
        <v>0.68163697692497094</v>
      </c>
      <c r="AI14" s="48">
        <f t="shared" si="9"/>
        <v>0.23111355656043808</v>
      </c>
      <c r="AJ14" s="48">
        <f t="shared" si="10"/>
        <v>0.19586974477249675</v>
      </c>
      <c r="AK14" s="48">
        <f t="shared" si="11"/>
        <v>0.4505073925812324</v>
      </c>
      <c r="AL14" s="45">
        <f t="shared" si="12"/>
        <v>50410776</v>
      </c>
      <c r="AM14" s="48">
        <f t="shared" si="13"/>
        <v>0.45293924798332302</v>
      </c>
      <c r="AN14" s="49">
        <v>328254848</v>
      </c>
      <c r="AO14" s="49">
        <v>1094182.8266670001</v>
      </c>
      <c r="AP14" s="49">
        <v>357557.09</v>
      </c>
      <c r="AQ14" s="50">
        <v>148679504</v>
      </c>
      <c r="AR14" s="50">
        <v>42723352</v>
      </c>
      <c r="AS14" s="50">
        <v>7687424</v>
      </c>
      <c r="AT14" s="50">
        <v>98265232</v>
      </c>
      <c r="AU14" s="51">
        <v>70.778260000000003</v>
      </c>
      <c r="AV14" s="51">
        <v>73.808852999999999</v>
      </c>
      <c r="AW14" s="51">
        <v>39.622742000000002</v>
      </c>
      <c r="AX14" s="51">
        <v>42.879655</v>
      </c>
      <c r="AY14" s="51">
        <v>38.302838000000001</v>
      </c>
      <c r="AZ14" s="52">
        <v>61525.5</v>
      </c>
      <c r="BA14" s="52">
        <v>35690</v>
      </c>
      <c r="BB14" s="52">
        <v>193.30199999999999</v>
      </c>
      <c r="BC14" s="52">
        <v>251.78299999999999</v>
      </c>
      <c r="BE14" s="53">
        <f t="shared" si="14"/>
        <v>-9.8587804586713901E-14</v>
      </c>
      <c r="BF14" s="53">
        <f t="shared" si="15"/>
        <v>0</v>
      </c>
      <c r="BG14" s="53"/>
      <c r="BI14" s="62"/>
      <c r="BJ14" s="62"/>
      <c r="BK14" s="62"/>
      <c r="BL14" s="62"/>
      <c r="BM14" s="62"/>
      <c r="BN14" s="59"/>
      <c r="BO14" s="62"/>
      <c r="BP14" s="62"/>
      <c r="BQ14" s="62"/>
      <c r="BR14" s="62"/>
      <c r="BS14" s="62"/>
      <c r="BU14" s="4">
        <f t="shared" si="16"/>
        <v>0</v>
      </c>
    </row>
    <row r="15" spans="1:73" x14ac:dyDescent="0.3">
      <c r="A15" s="15"/>
      <c r="B15" s="15" t="s">
        <v>278</v>
      </c>
      <c r="C15" s="16" t="s">
        <v>268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2.3798383999999997</v>
      </c>
      <c r="J15" s="18">
        <f t="shared" si="1"/>
        <v>7.3772918679388483E-2</v>
      </c>
      <c r="K15" s="18">
        <f t="shared" si="2"/>
        <v>5.7843854805731801E-2</v>
      </c>
      <c r="L15" s="18">
        <f t="shared" si="3"/>
        <v>3.0473855421002526E-2</v>
      </c>
      <c r="M15" s="18">
        <f t="shared" si="4"/>
        <v>1.5918226577993945E-2</v>
      </c>
      <c r="N15" s="15">
        <f t="shared" si="5"/>
        <v>18659832</v>
      </c>
      <c r="O15" s="18">
        <f t="shared" si="6"/>
        <v>4.9294806072498476E-2</v>
      </c>
      <c r="P15" s="19">
        <v>482776704</v>
      </c>
      <c r="Q15" s="19">
        <v>1609255.68</v>
      </c>
      <c r="R15" s="19">
        <v>618730.05333333299</v>
      </c>
      <c r="S15" s="20">
        <v>23798384</v>
      </c>
      <c r="T15" s="20">
        <v>9830552</v>
      </c>
      <c r="U15" s="20">
        <v>8829280</v>
      </c>
      <c r="V15" s="20">
        <v>5135056</v>
      </c>
      <c r="W15" s="21">
        <v>66.292028999999999</v>
      </c>
      <c r="X15" s="21">
        <v>68.068136333333399</v>
      </c>
      <c r="Y15" s="21">
        <v>28.3675483333333</v>
      </c>
      <c r="Z15" s="21">
        <v>42.626625666666698</v>
      </c>
      <c r="AA15" s="21">
        <v>42.718074000000001</v>
      </c>
      <c r="AB15" s="22">
        <v>101873</v>
      </c>
      <c r="AC15" s="22">
        <v>46945.8</v>
      </c>
      <c r="AD15" s="22">
        <v>116.01</v>
      </c>
      <c r="AE15" s="22">
        <v>234.08699999999999</v>
      </c>
      <c r="AG15" s="17">
        <f t="shared" si="7"/>
        <v>2.3798383999999997</v>
      </c>
      <c r="AH15" s="18">
        <f t="shared" si="8"/>
        <v>7.3772918679388483E-2</v>
      </c>
      <c r="AI15" s="18">
        <f t="shared" si="9"/>
        <v>5.7843854805731801E-2</v>
      </c>
      <c r="AJ15" s="18">
        <f t="shared" si="10"/>
        <v>3.0473855421002526E-2</v>
      </c>
      <c r="AK15" s="18">
        <f t="shared" si="11"/>
        <v>1.5918226577993945E-2</v>
      </c>
      <c r="AL15" s="15">
        <f t="shared" si="12"/>
        <v>18659832</v>
      </c>
      <c r="AM15" s="18">
        <f t="shared" si="13"/>
        <v>4.9294806072498476E-2</v>
      </c>
      <c r="AN15" s="19">
        <v>482776704</v>
      </c>
      <c r="AO15" s="19">
        <v>1609255.68</v>
      </c>
      <c r="AP15" s="19">
        <v>618730.05333300005</v>
      </c>
      <c r="AQ15" s="20">
        <v>23798384</v>
      </c>
      <c r="AR15" s="20">
        <v>9830552</v>
      </c>
      <c r="AS15" s="20">
        <v>8829280</v>
      </c>
      <c r="AT15" s="20">
        <v>5135056</v>
      </c>
      <c r="AU15" s="21">
        <v>66.292028999999999</v>
      </c>
      <c r="AV15" s="21">
        <v>68.068135999999996</v>
      </c>
      <c r="AW15" s="21">
        <v>28.367547999999999</v>
      </c>
      <c r="AX15" s="21">
        <v>42.626626000000002</v>
      </c>
      <c r="AY15" s="21">
        <v>42.718074000000001</v>
      </c>
      <c r="AZ15" s="22">
        <v>96284.9</v>
      </c>
      <c r="BA15" s="22">
        <v>28946.2</v>
      </c>
      <c r="BB15" s="22">
        <v>148.517</v>
      </c>
      <c r="BC15" s="22">
        <v>129.36099999999999</v>
      </c>
      <c r="BE15" s="23">
        <f t="shared" si="14"/>
        <v>-2.0689006063889792E-13</v>
      </c>
      <c r="BF15" s="23">
        <f t="shared" si="15"/>
        <v>0</v>
      </c>
      <c r="BG15" s="23">
        <f t="array" ref="BG15">AVERAGE(AL15:AL19/AQ15:AQ19) - AVERAGE(N15:N19/S15:S19)</f>
        <v>0</v>
      </c>
      <c r="BI15" s="58">
        <f>IF( OR(ISBLANK(N15:N19),ISBLANK(AL15:AL19), ISBLANK(W15:W19),ISBLANK(AU15:AU19)), "·", bdRateExtend( N15:N19,W15:W19, AL15:AL19,AU15:AU19))</f>
        <v>-3.8095557042261419E-8</v>
      </c>
      <c r="BJ15" s="58">
        <f>IF( OR(ISBLANK(N15:N19),ISBLANK(AL15:AL19), ISBLANK(X15:X19),ISBLANK(AV15:AV19)), "·", bdRateExtend( N15:N19,X15:X19, AL15:AL19,AV15:AV19))</f>
        <v>-7.4810336814223888E-9</v>
      </c>
      <c r="BK15" s="58">
        <f>IF( OR(ISBLANK(V15:V19),ISBLANK(AT15:AT19), ISBLANK(Y15:Y19),ISBLANK(AW15:AW19)), "·", bdRateExtend( V15:V19,Y15:Y19, AT15:AT19,AW15:AW19))</f>
        <v>3.424301842080979E-8</v>
      </c>
      <c r="BL15" s="58">
        <f>IF( OR(ISBLANK(V15:V19),ISBLANK(AT15:AT19), ISBLANK(Z15:Z19),ISBLANK(AX15:AX19)), "·", bdRateExtend( V15:V19,Z15:Z19, AT15:AT19,AX15:AX19))</f>
        <v>1.1534521426881383E-7</v>
      </c>
      <c r="BM15" s="58">
        <f>IF( OR(ISBLANK(V15:V19),ISBLANK(AT15:AT19), ISBLANK(AA15:AA19),ISBLANK(AY15:AY19)), "·", bdRateExtend( V15:V19,AA15:AA19, AT15:AT19,AY15:AY19))</f>
        <v>1.4371843648497418E-7</v>
      </c>
      <c r="BN15" s="59"/>
      <c r="BO15" s="58">
        <f>IF( OR(ISBLANK(S15:S19),ISBLANK(AQ15:AQ19), ISBLANK(W15:W19),ISBLANK(AU15:AU19)), "·", bdRateExtend( S15:S19,W15:W19, AQ15:AQ19,AU15:AU19))</f>
        <v>-7.4134168137618417E-8</v>
      </c>
      <c r="BP15" s="58">
        <f>IF( OR(ISBLANK(S15:S19),ISBLANK(AQ15:AQ19), ISBLANK(X15:X19),ISBLANK(AV15:AV19)), "·", bdRateExtend( S15:S19,X15:X19, AQ15:AQ19,AV15:AV19))</f>
        <v>-1.388149439840447E-8</v>
      </c>
      <c r="BQ15" s="58">
        <f>IF( OR(ISBLANK(S15:S19),ISBLANK(AQ15:AQ19), ISBLANK(Y15:Y19),ISBLANK(AW15:AW19)), "·", bdRateExtend( S15:S19,Y15:Y19, AQ15:AQ19,AW15:AW19))</f>
        <v>1.594860110643026E-8</v>
      </c>
      <c r="BR15" s="58">
        <f>IF( OR(ISBLANK(S15:S19),ISBLANK(AQ15:AQ19), ISBLANK(Z15:Z19),ISBLANK(AX15:AX19)), "·", bdRateExtend( S15:S19,Z15:Z19, AQ15:AQ19,AX15:AX19))</f>
        <v>6.6961847400293095E-8</v>
      </c>
      <c r="BS15" s="58">
        <f>IF( OR(ISBLANK(S15:S19),ISBLANK(AQ15:AQ19), ISBLANK(AA15:AA19),ISBLANK(AY15:AY19)), "·", bdRateExtend( S15:S19,AA15:AA19, AQ15:AQ19,AY15:AY19))</f>
        <v>9.5430265689699922E-8</v>
      </c>
      <c r="BU15" s="4">
        <f t="shared" si="16"/>
        <v>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3.2334144</v>
      </c>
      <c r="J16" s="28">
        <f t="shared" si="1"/>
        <v>0.10023303161591295</v>
      </c>
      <c r="K16" s="28">
        <f t="shared" si="2"/>
        <v>6.8494163719496765E-2</v>
      </c>
      <c r="L16" s="28">
        <f t="shared" si="3"/>
        <v>4.1124164334767482E-2</v>
      </c>
      <c r="M16" s="28">
        <f t="shared" si="4"/>
        <v>3.1728030600753458E-2</v>
      </c>
      <c r="N16" s="25">
        <f t="shared" si="5"/>
        <v>22095512</v>
      </c>
      <c r="O16" s="28">
        <f t="shared" si="6"/>
        <v>6.6975360932080105E-2</v>
      </c>
      <c r="P16" s="29">
        <v>482776704</v>
      </c>
      <c r="Q16" s="29">
        <v>1609255.68</v>
      </c>
      <c r="R16" s="29">
        <v>569431.6</v>
      </c>
      <c r="S16" s="30">
        <v>32334144</v>
      </c>
      <c r="T16" s="30">
        <v>13266232</v>
      </c>
      <c r="U16" s="30">
        <v>8829280</v>
      </c>
      <c r="V16" s="30">
        <v>10235136</v>
      </c>
      <c r="W16" s="31">
        <v>68.026786333333305</v>
      </c>
      <c r="X16" s="31">
        <v>70.199087333333395</v>
      </c>
      <c r="Y16" s="31">
        <v>30.707905333333301</v>
      </c>
      <c r="Z16" s="31">
        <v>43.729957333333303</v>
      </c>
      <c r="AA16" s="31">
        <v>43.995491333333298</v>
      </c>
      <c r="AB16" s="32">
        <v>103132</v>
      </c>
      <c r="AC16" s="32">
        <v>50263.7</v>
      </c>
      <c r="AD16" s="32">
        <v>113.34699999999999</v>
      </c>
      <c r="AE16" s="32">
        <v>233.92599999999999</v>
      </c>
      <c r="AG16" s="27">
        <f t="shared" si="7"/>
        <v>3.2334144</v>
      </c>
      <c r="AH16" s="28">
        <f t="shared" si="8"/>
        <v>0.10023303161591295</v>
      </c>
      <c r="AI16" s="28">
        <f t="shared" si="9"/>
        <v>6.8494163719496765E-2</v>
      </c>
      <c r="AJ16" s="28">
        <f t="shared" si="10"/>
        <v>4.1124164334767482E-2</v>
      </c>
      <c r="AK16" s="28">
        <f t="shared" si="11"/>
        <v>3.1728030600753458E-2</v>
      </c>
      <c r="AL16" s="25">
        <f t="shared" si="12"/>
        <v>22095512</v>
      </c>
      <c r="AM16" s="28">
        <f t="shared" si="13"/>
        <v>6.6975360932080105E-2</v>
      </c>
      <c r="AN16" s="29">
        <v>482776704</v>
      </c>
      <c r="AO16" s="29">
        <v>1609255.68</v>
      </c>
      <c r="AP16" s="29">
        <v>569431.6</v>
      </c>
      <c r="AQ16" s="30">
        <v>32334144</v>
      </c>
      <c r="AR16" s="30">
        <v>13266232</v>
      </c>
      <c r="AS16" s="30">
        <v>8829280</v>
      </c>
      <c r="AT16" s="30">
        <v>10235136</v>
      </c>
      <c r="AU16" s="31">
        <v>68.026786000000001</v>
      </c>
      <c r="AV16" s="31">
        <v>70.199087000000006</v>
      </c>
      <c r="AW16" s="31">
        <v>30.707905</v>
      </c>
      <c r="AX16" s="31">
        <v>43.729956999999999</v>
      </c>
      <c r="AY16" s="31">
        <v>43.995491000000001</v>
      </c>
      <c r="AZ16" s="32">
        <v>99063</v>
      </c>
      <c r="BA16" s="32">
        <v>29835.5</v>
      </c>
      <c r="BB16" s="32">
        <v>154.76599999999999</v>
      </c>
      <c r="BC16" s="32">
        <v>134.46</v>
      </c>
      <c r="BE16" s="33">
        <f t="shared" si="14"/>
        <v>0</v>
      </c>
      <c r="BF16" s="33">
        <f t="shared" si="15"/>
        <v>0</v>
      </c>
      <c r="BG16" s="33"/>
      <c r="BI16" s="60"/>
      <c r="BJ16" s="60"/>
      <c r="BK16" s="60"/>
      <c r="BL16" s="60"/>
      <c r="BM16" s="60"/>
      <c r="BN16" s="59"/>
      <c r="BO16" s="60"/>
      <c r="BP16" s="60"/>
      <c r="BQ16" s="60"/>
      <c r="BR16" s="60"/>
      <c r="BS16" s="60"/>
      <c r="BU16" s="4">
        <f t="shared" si="16"/>
        <v>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4.8068952000000005</v>
      </c>
      <c r="J17" s="18">
        <f t="shared" si="1"/>
        <v>0.1490095666537454</v>
      </c>
      <c r="K17" s="18">
        <f t="shared" si="2"/>
        <v>8.2831881081982708E-2</v>
      </c>
      <c r="L17" s="18">
        <f t="shared" si="3"/>
        <v>5.5461881697253426E-2</v>
      </c>
      <c r="M17" s="18">
        <f t="shared" si="4"/>
        <v>6.6166848276099977E-2</v>
      </c>
      <c r="N17" s="15">
        <f t="shared" si="5"/>
        <v>26720712</v>
      </c>
      <c r="O17" s="18">
        <f t="shared" si="6"/>
        <v>9.9567670937162706E-2</v>
      </c>
      <c r="P17" s="19">
        <v>482776704</v>
      </c>
      <c r="Q17" s="19">
        <v>1609255.68</v>
      </c>
      <c r="R17" s="19">
        <v>568110.94333333301</v>
      </c>
      <c r="S17" s="20">
        <v>48068952</v>
      </c>
      <c r="T17" s="20">
        <v>17891432</v>
      </c>
      <c r="U17" s="20">
        <v>8829280</v>
      </c>
      <c r="V17" s="20">
        <v>21344744</v>
      </c>
      <c r="W17" s="21">
        <v>69.386131666666699</v>
      </c>
      <c r="X17" s="21">
        <v>72.0534999999999</v>
      </c>
      <c r="Y17" s="21">
        <v>33.309294999999999</v>
      </c>
      <c r="Z17" s="21">
        <v>44.710947666666698</v>
      </c>
      <c r="AA17" s="21">
        <v>45.076230000000002</v>
      </c>
      <c r="AB17" s="22">
        <v>101478</v>
      </c>
      <c r="AC17" s="22">
        <v>53885.599999999999</v>
      </c>
      <c r="AD17" s="22">
        <v>121.16200000000001</v>
      </c>
      <c r="AE17" s="22">
        <v>249.81200000000001</v>
      </c>
      <c r="AG17" s="17">
        <f t="shared" si="7"/>
        <v>4.8068952000000005</v>
      </c>
      <c r="AH17" s="18">
        <f t="shared" si="8"/>
        <v>0.1490095666537454</v>
      </c>
      <c r="AI17" s="18">
        <f t="shared" si="9"/>
        <v>8.2831881081982708E-2</v>
      </c>
      <c r="AJ17" s="18">
        <f t="shared" si="10"/>
        <v>5.5461881697253426E-2</v>
      </c>
      <c r="AK17" s="18">
        <f t="shared" si="11"/>
        <v>6.6166848276099977E-2</v>
      </c>
      <c r="AL17" s="15">
        <f t="shared" si="12"/>
        <v>26720712</v>
      </c>
      <c r="AM17" s="18">
        <f t="shared" si="13"/>
        <v>9.9567670937162706E-2</v>
      </c>
      <c r="AN17" s="19">
        <v>482776704</v>
      </c>
      <c r="AO17" s="19">
        <v>1609255.68</v>
      </c>
      <c r="AP17" s="19">
        <v>568110.94333299994</v>
      </c>
      <c r="AQ17" s="20">
        <v>48068952</v>
      </c>
      <c r="AR17" s="20">
        <v>17891432</v>
      </c>
      <c r="AS17" s="20">
        <v>8829280</v>
      </c>
      <c r="AT17" s="20">
        <v>21344744</v>
      </c>
      <c r="AU17" s="21">
        <v>69.386132000000003</v>
      </c>
      <c r="AV17" s="21">
        <v>72.0535</v>
      </c>
      <c r="AW17" s="21">
        <v>33.309294999999999</v>
      </c>
      <c r="AX17" s="21">
        <v>44.710946999999997</v>
      </c>
      <c r="AY17" s="21">
        <v>45.076230000000002</v>
      </c>
      <c r="AZ17" s="22">
        <v>92728.1</v>
      </c>
      <c r="BA17" s="22">
        <v>31927.4</v>
      </c>
      <c r="BB17" s="22">
        <v>158.72</v>
      </c>
      <c r="BC17" s="22">
        <v>143.58699999999999</v>
      </c>
      <c r="BE17" s="23">
        <f t="shared" si="14"/>
        <v>-2.0694557179012918E-13</v>
      </c>
      <c r="BF17" s="23">
        <f t="shared" si="15"/>
        <v>0</v>
      </c>
      <c r="BG17" s="23"/>
      <c r="BI17" s="58"/>
      <c r="BJ17" s="58"/>
      <c r="BK17" s="58"/>
      <c r="BL17" s="58"/>
      <c r="BM17" s="58"/>
      <c r="BN17" s="59"/>
      <c r="BO17" s="58"/>
      <c r="BP17" s="58"/>
      <c r="BQ17" s="58"/>
      <c r="BR17" s="58"/>
      <c r="BS17" s="58"/>
      <c r="BU17" s="4">
        <f t="shared" si="16"/>
        <v>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8.5615991999999999</v>
      </c>
      <c r="J18" s="28">
        <f t="shared" si="1"/>
        <v>0.26540212207144714</v>
      </c>
      <c r="K18" s="28">
        <f t="shared" si="2"/>
        <v>0.11400440728263293</v>
      </c>
      <c r="L18" s="28">
        <f t="shared" si="3"/>
        <v>8.6634407897903651E-2</v>
      </c>
      <c r="M18" s="28">
        <f t="shared" si="4"/>
        <v>0.15138687749315149</v>
      </c>
      <c r="N18" s="25">
        <f t="shared" si="5"/>
        <v>36776648</v>
      </c>
      <c r="O18" s="28">
        <f t="shared" si="6"/>
        <v>0.17734076911880156</v>
      </c>
      <c r="P18" s="29">
        <v>482776704</v>
      </c>
      <c r="Q18" s="29">
        <v>1609255.68</v>
      </c>
      <c r="R18" s="29">
        <v>527501.77666666696</v>
      </c>
      <c r="S18" s="30">
        <v>85615992</v>
      </c>
      <c r="T18" s="30">
        <v>27947368</v>
      </c>
      <c r="U18" s="30">
        <v>8829280</v>
      </c>
      <c r="V18" s="30">
        <v>48835848</v>
      </c>
      <c r="W18" s="31">
        <v>70.436287666666601</v>
      </c>
      <c r="X18" s="31">
        <v>73.325162666666699</v>
      </c>
      <c r="Y18" s="31">
        <v>35.962375000000002</v>
      </c>
      <c r="Z18" s="31">
        <v>45.967734</v>
      </c>
      <c r="AA18" s="31">
        <v>46.356527333333297</v>
      </c>
      <c r="AB18" s="32">
        <v>100871</v>
      </c>
      <c r="AC18" s="32">
        <v>58467.8</v>
      </c>
      <c r="AD18" s="32">
        <v>120.057</v>
      </c>
      <c r="AE18" s="32">
        <v>252.08799999999999</v>
      </c>
      <c r="AG18" s="27">
        <f t="shared" si="7"/>
        <v>8.5615991999999999</v>
      </c>
      <c r="AH18" s="28">
        <f t="shared" si="8"/>
        <v>0.26540212207144714</v>
      </c>
      <c r="AI18" s="28">
        <f t="shared" si="9"/>
        <v>0.11400440728263293</v>
      </c>
      <c r="AJ18" s="28">
        <f t="shared" si="10"/>
        <v>8.6634407897903651E-2</v>
      </c>
      <c r="AK18" s="28">
        <f t="shared" si="11"/>
        <v>0.15138687749315149</v>
      </c>
      <c r="AL18" s="25">
        <f t="shared" si="12"/>
        <v>36776648</v>
      </c>
      <c r="AM18" s="28">
        <f t="shared" si="13"/>
        <v>0.17734076911880156</v>
      </c>
      <c r="AN18" s="29">
        <v>482776704</v>
      </c>
      <c r="AO18" s="29">
        <v>1609255.68</v>
      </c>
      <c r="AP18" s="29">
        <v>527501.77666700003</v>
      </c>
      <c r="AQ18" s="30">
        <v>85615992</v>
      </c>
      <c r="AR18" s="30">
        <v>27947368</v>
      </c>
      <c r="AS18" s="30">
        <v>8829280</v>
      </c>
      <c r="AT18" s="30">
        <v>48835848</v>
      </c>
      <c r="AU18" s="31">
        <v>70.436288000000005</v>
      </c>
      <c r="AV18" s="31">
        <v>73.325163000000003</v>
      </c>
      <c r="AW18" s="31">
        <v>35.962375000000002</v>
      </c>
      <c r="AX18" s="31">
        <v>45.967734</v>
      </c>
      <c r="AY18" s="31">
        <v>46.356527</v>
      </c>
      <c r="AZ18" s="32">
        <v>92918.2</v>
      </c>
      <c r="BA18" s="32">
        <v>52577.599999999999</v>
      </c>
      <c r="BB18" s="32">
        <v>235.84899999999999</v>
      </c>
      <c r="BC18" s="32">
        <v>219.685</v>
      </c>
      <c r="BE18" s="33">
        <f t="shared" si="14"/>
        <v>2.0694557179012918E-13</v>
      </c>
      <c r="BF18" s="33">
        <f t="shared" si="15"/>
        <v>0</v>
      </c>
      <c r="BG18" s="33"/>
      <c r="BI18" s="60"/>
      <c r="BJ18" s="60"/>
      <c r="BK18" s="60"/>
      <c r="BL18" s="60"/>
      <c r="BM18" s="60"/>
      <c r="BN18" s="59"/>
      <c r="BO18" s="60"/>
      <c r="BP18" s="60"/>
      <c r="BQ18" s="60"/>
      <c r="BR18" s="60"/>
      <c r="BS18" s="60"/>
      <c r="BU18" s="4">
        <f t="shared" si="16"/>
        <v>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18.877337600000001</v>
      </c>
      <c r="J19" s="38">
        <f t="shared" si="1"/>
        <v>0.58518103231217822</v>
      </c>
      <c r="K19" s="38">
        <f t="shared" si="2"/>
        <v>0.16762300634368665</v>
      </c>
      <c r="L19" s="38">
        <f t="shared" si="3"/>
        <v>0.14025300695895737</v>
      </c>
      <c r="M19" s="38">
        <f t="shared" si="4"/>
        <v>0.41754718867282881</v>
      </c>
      <c r="N19" s="35">
        <f t="shared" si="5"/>
        <v>54073456</v>
      </c>
      <c r="O19" s="38">
        <f t="shared" si="6"/>
        <v>0.39101591778546135</v>
      </c>
      <c r="P19" s="39">
        <v>482776704</v>
      </c>
      <c r="Q19" s="39">
        <v>1609255.68</v>
      </c>
      <c r="R19" s="39">
        <v>523387.89333333302</v>
      </c>
      <c r="S19" s="40">
        <v>188773376</v>
      </c>
      <c r="T19" s="40">
        <v>45244176</v>
      </c>
      <c r="U19" s="40">
        <v>8829280</v>
      </c>
      <c r="V19" s="40">
        <v>134696424</v>
      </c>
      <c r="W19" s="41">
        <v>71.3051866666667</v>
      </c>
      <c r="X19" s="41">
        <v>74.456553</v>
      </c>
      <c r="Y19" s="41">
        <v>38.778232000000003</v>
      </c>
      <c r="Z19" s="41">
        <v>47.915540999999997</v>
      </c>
      <c r="AA19" s="41">
        <v>48.380403333333398</v>
      </c>
      <c r="AB19" s="42">
        <v>99178.2</v>
      </c>
      <c r="AC19" s="42">
        <v>66281.600000000006</v>
      </c>
      <c r="AD19" s="42">
        <v>107.229</v>
      </c>
      <c r="AE19" s="42">
        <v>259.11700000000002</v>
      </c>
      <c r="AG19" s="37">
        <f t="shared" si="7"/>
        <v>18.877337600000001</v>
      </c>
      <c r="AH19" s="38">
        <f t="shared" si="8"/>
        <v>0.58518103231217822</v>
      </c>
      <c r="AI19" s="38">
        <f t="shared" si="9"/>
        <v>0.16762300634368665</v>
      </c>
      <c r="AJ19" s="38">
        <f t="shared" si="10"/>
        <v>0.14025300695895737</v>
      </c>
      <c r="AK19" s="38">
        <f t="shared" si="11"/>
        <v>0.41754718867282881</v>
      </c>
      <c r="AL19" s="35">
        <f t="shared" si="12"/>
        <v>54073456</v>
      </c>
      <c r="AM19" s="38">
        <f t="shared" si="13"/>
        <v>0.39101591778546135</v>
      </c>
      <c r="AN19" s="39">
        <v>482776704</v>
      </c>
      <c r="AO19" s="39">
        <v>1609255.68</v>
      </c>
      <c r="AP19" s="39">
        <v>523387.89333300001</v>
      </c>
      <c r="AQ19" s="40">
        <v>188773376</v>
      </c>
      <c r="AR19" s="40">
        <v>45244176</v>
      </c>
      <c r="AS19" s="40">
        <v>8829280</v>
      </c>
      <c r="AT19" s="40">
        <v>134696424</v>
      </c>
      <c r="AU19" s="41">
        <v>71.305187000000004</v>
      </c>
      <c r="AV19" s="41">
        <v>74.456553</v>
      </c>
      <c r="AW19" s="41">
        <v>38.778232000000003</v>
      </c>
      <c r="AX19" s="41">
        <v>47.915540999999997</v>
      </c>
      <c r="AY19" s="41">
        <v>48.380403000000001</v>
      </c>
      <c r="AZ19" s="42">
        <v>89731.3</v>
      </c>
      <c r="BA19" s="42">
        <v>55722.3</v>
      </c>
      <c r="BB19" s="42">
        <v>158.05000000000001</v>
      </c>
      <c r="BC19" s="42">
        <v>171.209</v>
      </c>
      <c r="BE19" s="43">
        <f t="shared" si="14"/>
        <v>-2.0694557179012918E-13</v>
      </c>
      <c r="BF19" s="43">
        <f t="shared" si="15"/>
        <v>0</v>
      </c>
      <c r="BG19" s="43"/>
      <c r="BI19" s="61"/>
      <c r="BJ19" s="61"/>
      <c r="BK19" s="61"/>
      <c r="BL19" s="61"/>
      <c r="BM19" s="61"/>
      <c r="BN19" s="59"/>
      <c r="BO19" s="61"/>
      <c r="BP19" s="61"/>
      <c r="BQ19" s="61"/>
      <c r="BR19" s="61"/>
      <c r="BS19" s="61"/>
      <c r="BU19" s="4">
        <f t="shared" si="16"/>
        <v>0</v>
      </c>
    </row>
    <row r="20" spans="1:73" x14ac:dyDescent="0.3">
      <c r="A20" s="25"/>
      <c r="B20" s="25" t="s">
        <v>281</v>
      </c>
      <c r="C20" s="26" t="s">
        <v>268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2.6298720000000002</v>
      </c>
      <c r="J20" s="28">
        <f t="shared" si="1"/>
        <v>5.2470903059135099E-2</v>
      </c>
      <c r="K20" s="28">
        <f t="shared" si="2"/>
        <v>4.0107182961428803E-2</v>
      </c>
      <c r="L20" s="28">
        <f t="shared" si="3"/>
        <v>2.1529009415936867E-2</v>
      </c>
      <c r="M20" s="28">
        <f t="shared" si="4"/>
        <v>1.2352451273197802E-2</v>
      </c>
      <c r="N20" s="25">
        <f t="shared" si="5"/>
        <v>10050976</v>
      </c>
      <c r="O20" s="28">
        <f t="shared" si="6"/>
        <v>4.128464424329796E-2</v>
      </c>
      <c r="P20" s="29">
        <v>318504864</v>
      </c>
      <c r="Q20" s="29">
        <v>1274019.456</v>
      </c>
      <c r="R20" s="29">
        <v>352953.1</v>
      </c>
      <c r="S20" s="30">
        <v>13149360</v>
      </c>
      <c r="T20" s="30">
        <v>5395232</v>
      </c>
      <c r="U20" s="30">
        <v>4655744</v>
      </c>
      <c r="V20" s="30">
        <v>3095560</v>
      </c>
      <c r="W20" s="31">
        <v>67.420187200000001</v>
      </c>
      <c r="X20" s="31">
        <v>69.240791999999999</v>
      </c>
      <c r="Y20" s="31">
        <v>30.068400799999999</v>
      </c>
      <c r="Z20" s="31">
        <v>39.809766799999998</v>
      </c>
      <c r="AA20" s="31">
        <v>38.461376799999996</v>
      </c>
      <c r="AB20" s="32">
        <v>80376.2</v>
      </c>
      <c r="AC20" s="32">
        <v>30659.4</v>
      </c>
      <c r="AD20" s="32">
        <v>128.44200000000001</v>
      </c>
      <c r="AE20" s="32">
        <v>231.17500000000001</v>
      </c>
      <c r="AG20" s="27">
        <f t="shared" si="7"/>
        <v>2.6298720000000002</v>
      </c>
      <c r="AH20" s="28">
        <f t="shared" si="8"/>
        <v>5.2470903059135099E-2</v>
      </c>
      <c r="AI20" s="28">
        <f t="shared" si="9"/>
        <v>4.0107182961428803E-2</v>
      </c>
      <c r="AJ20" s="28">
        <f t="shared" si="10"/>
        <v>2.1529009415936867E-2</v>
      </c>
      <c r="AK20" s="28">
        <f t="shared" si="11"/>
        <v>1.2352451273197802E-2</v>
      </c>
      <c r="AL20" s="25">
        <f t="shared" si="12"/>
        <v>10050976</v>
      </c>
      <c r="AM20" s="28">
        <f t="shared" si="13"/>
        <v>4.128464424329796E-2</v>
      </c>
      <c r="AN20" s="29">
        <v>318504864</v>
      </c>
      <c r="AO20" s="29">
        <v>1274019.456</v>
      </c>
      <c r="AP20" s="29">
        <v>352953.1</v>
      </c>
      <c r="AQ20" s="30">
        <v>13149360</v>
      </c>
      <c r="AR20" s="30">
        <v>5395232</v>
      </c>
      <c r="AS20" s="30">
        <v>4655744</v>
      </c>
      <c r="AT20" s="30">
        <v>3095560</v>
      </c>
      <c r="AU20" s="31">
        <v>67.420186999999999</v>
      </c>
      <c r="AV20" s="31">
        <v>69.240791999999999</v>
      </c>
      <c r="AW20" s="31">
        <v>30.068401000000001</v>
      </c>
      <c r="AX20" s="31">
        <v>39.809767000000001</v>
      </c>
      <c r="AY20" s="31">
        <v>38.461376999999999</v>
      </c>
      <c r="AZ20" s="32">
        <v>71765.399999999994</v>
      </c>
      <c r="BA20" s="32">
        <v>27336</v>
      </c>
      <c r="BB20" s="32">
        <v>104.622</v>
      </c>
      <c r="BC20" s="32">
        <v>92.733999999999995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60">
        <f>IF( OR(ISBLANK(N20:N24),ISBLANK(AL20:AL24), ISBLANK(W20:W24),ISBLANK(AU20:AU24)), "·", bdRateExtend( N20:N24,W20:W24, AL20:AL24,AU20:AU24))</f>
        <v>8.0591094464566027E-8</v>
      </c>
      <c r="BJ20" s="60">
        <f>IF( OR(ISBLANK(N20:N24),ISBLANK(AL20:AL24), ISBLANK(X20:X24),ISBLANK(AV20:AV24)), "·", bdRateExtend( N20:N24,X20:X24, AL20:AL24,AV20:AV24))</f>
        <v>3.2792426774008732E-8</v>
      </c>
      <c r="BK20" s="60">
        <f>IF( OR(ISBLANK(V20:V24),ISBLANK(AT20:AT24), ISBLANK(Y20:Y24),ISBLANK(AW20:AW24)), "·", bdRateExtend( V20:V24,Y20:Y24, AT20:AT24,AW20:AW24))</f>
        <v>6.3432989971801135E-9</v>
      </c>
      <c r="BL20" s="60">
        <f>IF( OR(ISBLANK(V20:V24),ISBLANK(AT20:AT24), ISBLANK(Z20:Z24),ISBLANK(AX20:AX24)), "·", bdRateExtend( V20:V24,Z20:Z24, AT20:AT24,AX20:AX24))</f>
        <v>9.5737782590532561E-8</v>
      </c>
      <c r="BM20" s="60">
        <f>IF( OR(ISBLANK(V20:V24),ISBLANK(AT20:AT24), ISBLANK(AA20:AA24),ISBLANK(AY20:AY24)), "·", bdRateExtend( V20:V24,AA20:AA24, AT20:AT24,AY20:AY24))</f>
        <v>-2.086375960885789E-9</v>
      </c>
      <c r="BN20" s="59"/>
      <c r="BO20" s="60">
        <f>IF( OR(ISBLANK(S20:S24),ISBLANK(AQ20:AQ24), ISBLANK(W20:W24),ISBLANK(AU20:AU24)), "·", bdRateExtend( S20:S24,W20:W24, AQ20:AQ24,AU20:AU24))</f>
        <v>1.3747955018850178E-7</v>
      </c>
      <c r="BP20" s="60">
        <f>IF( OR(ISBLANK(S20:S24),ISBLANK(AQ20:AQ24), ISBLANK(X20:X24),ISBLANK(AV20:AV24)), "·", bdRateExtend( S20:S24,X20:X24, AQ20:AQ24,AV20:AV24))</f>
        <v>6.9030982929874085E-8</v>
      </c>
      <c r="BQ20" s="60">
        <f>IF( OR(ISBLANK(S20:S24),ISBLANK(AQ20:AQ24), ISBLANK(Y20:Y24),ISBLANK(AW20:AW24)), "·", bdRateExtend( S20:S24,Y20:Y24, AQ20:AQ24,AW20:AW24))</f>
        <v>-1.0304144204553722E-9</v>
      </c>
      <c r="BR20" s="60">
        <f>IF( OR(ISBLANK(S20:S24),ISBLANK(AQ20:AQ24), ISBLANK(Z20:Z24),ISBLANK(AX20:AX24)), "·", bdRateExtend( S20:S24,Z20:Z24, AQ20:AQ24,AX20:AX24))</f>
        <v>6.3968331076580398E-8</v>
      </c>
      <c r="BS20" s="60">
        <f>IF( OR(ISBLANK(S20:S24),ISBLANK(AQ20:AQ24), ISBLANK(AA20:AA24),ISBLANK(AY20:AY24)), "·", bdRateExtend( S20:S24,AA20:AA24, AQ20:AQ24,AY20:AY24))</f>
        <v>1.9847904209058242E-8</v>
      </c>
      <c r="BU20" s="4">
        <f t="shared" si="16"/>
        <v>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3.5738112000000002</v>
      </c>
      <c r="J21" s="18">
        <f t="shared" si="1"/>
        <v>7.1304269191371783E-2</v>
      </c>
      <c r="K21" s="18">
        <f t="shared" si="2"/>
        <v>4.6854048463471236E-2</v>
      </c>
      <c r="L21" s="18">
        <f t="shared" si="3"/>
        <v>2.82758749179793E-2</v>
      </c>
      <c r="M21" s="18">
        <f t="shared" si="4"/>
        <v>2.4438951903392049E-2</v>
      </c>
      <c r="N21" s="15">
        <f t="shared" si="5"/>
        <v>11741760</v>
      </c>
      <c r="O21" s="18">
        <f t="shared" si="6"/>
        <v>5.6102929718523861E-2</v>
      </c>
      <c r="P21" s="19">
        <v>318504864</v>
      </c>
      <c r="Q21" s="19">
        <v>1274019.456</v>
      </c>
      <c r="R21" s="19">
        <v>323121.62800000003</v>
      </c>
      <c r="S21" s="20">
        <v>17869056</v>
      </c>
      <c r="T21" s="20">
        <v>7086016</v>
      </c>
      <c r="U21" s="20">
        <v>4655744</v>
      </c>
      <c r="V21" s="20">
        <v>6124472</v>
      </c>
      <c r="W21" s="21">
        <v>68.986655200000001</v>
      </c>
      <c r="X21" s="21">
        <v>71.254807200000002</v>
      </c>
      <c r="Y21" s="21">
        <v>31.6696244</v>
      </c>
      <c r="Z21" s="21">
        <v>41.111672400000003</v>
      </c>
      <c r="AA21" s="21">
        <v>39.911506799999998</v>
      </c>
      <c r="AB21" s="22">
        <v>81333.8</v>
      </c>
      <c r="AC21" s="22">
        <v>33958.699999999997</v>
      </c>
      <c r="AD21" s="22">
        <v>133.56</v>
      </c>
      <c r="AE21" s="22">
        <v>242.483</v>
      </c>
      <c r="AG21" s="17">
        <f t="shared" si="7"/>
        <v>3.5738112000000002</v>
      </c>
      <c r="AH21" s="18">
        <f t="shared" si="8"/>
        <v>7.1304269191371783E-2</v>
      </c>
      <c r="AI21" s="18">
        <f t="shared" si="9"/>
        <v>4.6854048463471236E-2</v>
      </c>
      <c r="AJ21" s="18">
        <f t="shared" si="10"/>
        <v>2.82758749179793E-2</v>
      </c>
      <c r="AK21" s="18">
        <f t="shared" si="11"/>
        <v>2.4438951903392049E-2</v>
      </c>
      <c r="AL21" s="15">
        <f t="shared" si="12"/>
        <v>11741760</v>
      </c>
      <c r="AM21" s="18">
        <f t="shared" si="13"/>
        <v>5.6102929718523861E-2</v>
      </c>
      <c r="AN21" s="19">
        <v>318504864</v>
      </c>
      <c r="AO21" s="19">
        <v>1274019.456</v>
      </c>
      <c r="AP21" s="19">
        <v>323121.62800000003</v>
      </c>
      <c r="AQ21" s="20">
        <v>17869056</v>
      </c>
      <c r="AR21" s="20">
        <v>7086016</v>
      </c>
      <c r="AS21" s="20">
        <v>4655744</v>
      </c>
      <c r="AT21" s="20">
        <v>6124472</v>
      </c>
      <c r="AU21" s="21">
        <v>68.986654999999999</v>
      </c>
      <c r="AV21" s="21">
        <v>71.254807</v>
      </c>
      <c r="AW21" s="21">
        <v>31.669623999999999</v>
      </c>
      <c r="AX21" s="21">
        <v>41.111671999999999</v>
      </c>
      <c r="AY21" s="21">
        <v>39.911507</v>
      </c>
      <c r="AZ21" s="22">
        <v>67102.5</v>
      </c>
      <c r="BA21" s="22">
        <v>18203.2</v>
      </c>
      <c r="BB21" s="22">
        <v>109.9</v>
      </c>
      <c r="BC21" s="22">
        <v>98.671000000000006</v>
      </c>
      <c r="BE21" s="23">
        <f t="shared" si="14"/>
        <v>0</v>
      </c>
      <c r="BF21" s="23">
        <f t="shared" si="15"/>
        <v>0</v>
      </c>
      <c r="BG21" s="23"/>
      <c r="BI21" s="58"/>
      <c r="BJ21" s="58"/>
      <c r="BK21" s="58"/>
      <c r="BL21" s="58"/>
      <c r="BM21" s="58"/>
      <c r="BN21" s="59"/>
      <c r="BO21" s="58"/>
      <c r="BP21" s="58"/>
      <c r="BQ21" s="58"/>
      <c r="BR21" s="58"/>
      <c r="BS21" s="58"/>
      <c r="BU21" s="4">
        <f t="shared" si="16"/>
        <v>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5.6514752000000001</v>
      </c>
      <c r="J22" s="28">
        <f t="shared" si="1"/>
        <v>0.11275758187482363</v>
      </c>
      <c r="K22" s="28">
        <f t="shared" si="2"/>
        <v>5.5656596555384512E-2</v>
      </c>
      <c r="L22" s="28">
        <f t="shared" si="3"/>
        <v>3.7078423009892572E-2</v>
      </c>
      <c r="M22" s="28">
        <f t="shared" si="4"/>
        <v>5.7089716494930616E-2</v>
      </c>
      <c r="N22" s="25">
        <f t="shared" si="5"/>
        <v>13947704</v>
      </c>
      <c r="O22" s="28">
        <f t="shared" si="6"/>
        <v>8.8718820947111185E-2</v>
      </c>
      <c r="P22" s="29">
        <v>318504864</v>
      </c>
      <c r="Q22" s="29">
        <v>1274019.456</v>
      </c>
      <c r="R22" s="29">
        <v>294800.17200000002</v>
      </c>
      <c r="S22" s="30">
        <v>28257376</v>
      </c>
      <c r="T22" s="30">
        <v>9291960</v>
      </c>
      <c r="U22" s="30">
        <v>4655744</v>
      </c>
      <c r="V22" s="30">
        <v>14306848</v>
      </c>
      <c r="W22" s="31">
        <v>70.181961599999994</v>
      </c>
      <c r="X22" s="31">
        <v>72.8197124</v>
      </c>
      <c r="Y22" s="31">
        <v>33.723277600000003</v>
      </c>
      <c r="Z22" s="31">
        <v>42.340774799999998</v>
      </c>
      <c r="AA22" s="31">
        <v>41.244734800000003</v>
      </c>
      <c r="AB22" s="32">
        <v>83076.5</v>
      </c>
      <c r="AC22" s="32">
        <v>35221.300000000003</v>
      </c>
      <c r="AD22" s="32">
        <v>136.691</v>
      </c>
      <c r="AE22" s="32">
        <v>262.45600000000002</v>
      </c>
      <c r="AG22" s="27">
        <f t="shared" si="7"/>
        <v>5.6514752000000001</v>
      </c>
      <c r="AH22" s="28">
        <f t="shared" si="8"/>
        <v>0.11275758187482363</v>
      </c>
      <c r="AI22" s="28">
        <f t="shared" si="9"/>
        <v>5.5656596555384512E-2</v>
      </c>
      <c r="AJ22" s="28">
        <f t="shared" si="10"/>
        <v>3.7078423009892572E-2</v>
      </c>
      <c r="AK22" s="28">
        <f t="shared" si="11"/>
        <v>5.7089716494930616E-2</v>
      </c>
      <c r="AL22" s="25">
        <f t="shared" si="12"/>
        <v>13947704</v>
      </c>
      <c r="AM22" s="28">
        <f t="shared" si="13"/>
        <v>8.8718820947111185E-2</v>
      </c>
      <c r="AN22" s="29">
        <v>318504864</v>
      </c>
      <c r="AO22" s="29">
        <v>1274019.456</v>
      </c>
      <c r="AP22" s="29">
        <v>294800.17200000002</v>
      </c>
      <c r="AQ22" s="30">
        <v>28257376</v>
      </c>
      <c r="AR22" s="30">
        <v>9291960</v>
      </c>
      <c r="AS22" s="30">
        <v>4655744</v>
      </c>
      <c r="AT22" s="30">
        <v>14306848</v>
      </c>
      <c r="AU22" s="31">
        <v>70.181961999999999</v>
      </c>
      <c r="AV22" s="31">
        <v>72.819711999999996</v>
      </c>
      <c r="AW22" s="31">
        <v>33.723278000000001</v>
      </c>
      <c r="AX22" s="31">
        <v>42.340775000000001</v>
      </c>
      <c r="AY22" s="31">
        <v>41.244734999999999</v>
      </c>
      <c r="AZ22" s="32">
        <v>69922.3</v>
      </c>
      <c r="BA22" s="32">
        <v>31447</v>
      </c>
      <c r="BB22" s="32">
        <v>102.242</v>
      </c>
      <c r="BC22" s="32">
        <v>100.146</v>
      </c>
      <c r="BE22" s="33">
        <f t="shared" si="14"/>
        <v>0</v>
      </c>
      <c r="BF22" s="33">
        <f t="shared" si="15"/>
        <v>0</v>
      </c>
      <c r="BG22" s="33"/>
      <c r="BI22" s="60"/>
      <c r="BJ22" s="60"/>
      <c r="BK22" s="60"/>
      <c r="BL22" s="60"/>
      <c r="BM22" s="60"/>
      <c r="BN22" s="59"/>
      <c r="BO22" s="60"/>
      <c r="BP22" s="60"/>
      <c r="BQ22" s="60"/>
      <c r="BR22" s="60"/>
      <c r="BS22" s="60"/>
      <c r="BU22" s="4">
        <f t="shared" si="16"/>
        <v>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10.2406848</v>
      </c>
      <c r="J23" s="18">
        <f t="shared" si="1"/>
        <v>0.20432096292137347</v>
      </c>
      <c r="K23" s="18">
        <f t="shared" si="2"/>
        <v>7.6894340376943218E-2</v>
      </c>
      <c r="L23" s="18">
        <f t="shared" si="3"/>
        <v>5.8316166831451278E-2</v>
      </c>
      <c r="M23" s="18">
        <f t="shared" si="4"/>
        <v>0.12741535371992177</v>
      </c>
      <c r="N23" s="15">
        <f t="shared" si="5"/>
        <v>19269944</v>
      </c>
      <c r="O23" s="18">
        <f t="shared" si="6"/>
        <v>0.16076182748656548</v>
      </c>
      <c r="P23" s="19">
        <v>318504864</v>
      </c>
      <c r="Q23" s="19">
        <v>1274019.456</v>
      </c>
      <c r="R23" s="19">
        <v>286097.35200000001</v>
      </c>
      <c r="S23" s="20">
        <v>51203424</v>
      </c>
      <c r="T23" s="20">
        <v>14614200</v>
      </c>
      <c r="U23" s="20">
        <v>4655744</v>
      </c>
      <c r="V23" s="20">
        <v>31930656</v>
      </c>
      <c r="W23" s="21">
        <v>71.103172799999996</v>
      </c>
      <c r="X23" s="21">
        <v>74.064077999999995</v>
      </c>
      <c r="Y23" s="21">
        <v>35.6603712</v>
      </c>
      <c r="Z23" s="21">
        <v>43.519027199999996</v>
      </c>
      <c r="AA23" s="21">
        <v>42.406741199999999</v>
      </c>
      <c r="AB23" s="22">
        <v>83244.600000000006</v>
      </c>
      <c r="AC23" s="22">
        <v>40435.300000000003</v>
      </c>
      <c r="AD23" s="22">
        <v>86.278999999999996</v>
      </c>
      <c r="AE23" s="22">
        <v>190.822</v>
      </c>
      <c r="AG23" s="17">
        <f t="shared" si="7"/>
        <v>10.2406848</v>
      </c>
      <c r="AH23" s="18">
        <f t="shared" si="8"/>
        <v>0.20432096292137347</v>
      </c>
      <c r="AI23" s="18">
        <f t="shared" si="9"/>
        <v>7.6894340376943218E-2</v>
      </c>
      <c r="AJ23" s="18">
        <f t="shared" si="10"/>
        <v>5.8316166831451278E-2</v>
      </c>
      <c r="AK23" s="18">
        <f t="shared" si="11"/>
        <v>0.12741535371992177</v>
      </c>
      <c r="AL23" s="15">
        <f t="shared" si="12"/>
        <v>19269944</v>
      </c>
      <c r="AM23" s="18">
        <f t="shared" si="13"/>
        <v>0.16076182748656548</v>
      </c>
      <c r="AN23" s="19">
        <v>318504864</v>
      </c>
      <c r="AO23" s="19">
        <v>1274019.456</v>
      </c>
      <c r="AP23" s="19">
        <v>286097.35200000001</v>
      </c>
      <c r="AQ23" s="20">
        <v>51203424</v>
      </c>
      <c r="AR23" s="20">
        <v>14614200</v>
      </c>
      <c r="AS23" s="20">
        <v>4655744</v>
      </c>
      <c r="AT23" s="20">
        <v>31930656</v>
      </c>
      <c r="AU23" s="21">
        <v>71.103172000000001</v>
      </c>
      <c r="AV23" s="21">
        <v>74.064077999999995</v>
      </c>
      <c r="AW23" s="21">
        <v>35.660370999999998</v>
      </c>
      <c r="AX23" s="21">
        <v>43.519027000000001</v>
      </c>
      <c r="AY23" s="21">
        <v>42.406740999999997</v>
      </c>
      <c r="AZ23" s="22">
        <v>70226.100000000006</v>
      </c>
      <c r="BA23" s="22">
        <v>23033.1</v>
      </c>
      <c r="BB23" s="22">
        <v>104.97799999999999</v>
      </c>
      <c r="BC23" s="22">
        <v>101.51</v>
      </c>
      <c r="BE23" s="23">
        <f t="shared" si="14"/>
        <v>0</v>
      </c>
      <c r="BF23" s="23">
        <f t="shared" si="15"/>
        <v>0</v>
      </c>
      <c r="BG23" s="23"/>
      <c r="BI23" s="58"/>
      <c r="BJ23" s="58"/>
      <c r="BK23" s="58"/>
      <c r="BL23" s="58"/>
      <c r="BM23" s="58"/>
      <c r="BN23" s="59"/>
      <c r="BO23" s="58"/>
      <c r="BP23" s="58"/>
      <c r="BQ23" s="58"/>
      <c r="BR23" s="58"/>
      <c r="BS23" s="58"/>
      <c r="BU23" s="4">
        <f t="shared" si="16"/>
        <v>0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19.963939199999999</v>
      </c>
      <c r="J24" s="48">
        <f t="shared" si="1"/>
        <v>0.39831821413424956</v>
      </c>
      <c r="K24" s="48">
        <f t="shared" si="2"/>
        <v>0.11225406014968918</v>
      </c>
      <c r="L24" s="48">
        <f t="shared" si="3"/>
        <v>9.3675886604197234E-2</v>
      </c>
      <c r="M24" s="48">
        <f t="shared" si="4"/>
        <v>0.2860528851600519</v>
      </c>
      <c r="N24" s="45">
        <f t="shared" si="5"/>
        <v>28131192</v>
      </c>
      <c r="O24" s="48">
        <f t="shared" si="6"/>
        <v>0.31340085280455876</v>
      </c>
      <c r="P24" s="49">
        <v>318504864</v>
      </c>
      <c r="Q24" s="49">
        <v>1274019.456</v>
      </c>
      <c r="R24" s="49">
        <v>276991.03999999998</v>
      </c>
      <c r="S24" s="50">
        <v>99819696</v>
      </c>
      <c r="T24" s="50">
        <v>23475448</v>
      </c>
      <c r="U24" s="50">
        <v>4655744</v>
      </c>
      <c r="V24" s="50">
        <v>71685680</v>
      </c>
      <c r="W24" s="51">
        <v>71.806574400000002</v>
      </c>
      <c r="X24" s="51">
        <v>75.029232399999998</v>
      </c>
      <c r="Y24" s="51">
        <v>37.525329599999999</v>
      </c>
      <c r="Z24" s="51">
        <v>44.864956399999997</v>
      </c>
      <c r="AA24" s="51">
        <v>43.669299600000002</v>
      </c>
      <c r="AB24" s="52">
        <v>81611.100000000006</v>
      </c>
      <c r="AC24" s="52">
        <v>43813.3</v>
      </c>
      <c r="AD24" s="52">
        <v>78.269000000000005</v>
      </c>
      <c r="AE24" s="52">
        <v>188.28800000000001</v>
      </c>
      <c r="AG24" s="47">
        <f t="shared" si="7"/>
        <v>19.963939199999999</v>
      </c>
      <c r="AH24" s="48">
        <f t="shared" si="8"/>
        <v>0.39831821413424956</v>
      </c>
      <c r="AI24" s="48">
        <f t="shared" si="9"/>
        <v>0.11225406014968918</v>
      </c>
      <c r="AJ24" s="48">
        <f t="shared" si="10"/>
        <v>9.3675886604197234E-2</v>
      </c>
      <c r="AK24" s="48">
        <f t="shared" si="11"/>
        <v>0.2860528851600519</v>
      </c>
      <c r="AL24" s="45">
        <f t="shared" si="12"/>
        <v>28131192</v>
      </c>
      <c r="AM24" s="48">
        <f t="shared" si="13"/>
        <v>0.31340085280455876</v>
      </c>
      <c r="AN24" s="49">
        <v>318504864</v>
      </c>
      <c r="AO24" s="49">
        <v>1274019.456</v>
      </c>
      <c r="AP24" s="49">
        <v>276991.03999999998</v>
      </c>
      <c r="AQ24" s="50">
        <v>99819696</v>
      </c>
      <c r="AR24" s="50">
        <v>23475448</v>
      </c>
      <c r="AS24" s="50">
        <v>4655744</v>
      </c>
      <c r="AT24" s="50">
        <v>71685680</v>
      </c>
      <c r="AU24" s="51">
        <v>71.806573999999998</v>
      </c>
      <c r="AV24" s="51">
        <v>75.029231999999993</v>
      </c>
      <c r="AW24" s="51">
        <v>37.525329999999997</v>
      </c>
      <c r="AX24" s="51">
        <v>44.864955999999999</v>
      </c>
      <c r="AY24" s="51">
        <v>43.669299000000002</v>
      </c>
      <c r="AZ24" s="52">
        <v>71730.2</v>
      </c>
      <c r="BA24" s="52">
        <v>38058.199999999997</v>
      </c>
      <c r="BB24" s="52">
        <v>148.673</v>
      </c>
      <c r="BC24" s="52">
        <v>158.952</v>
      </c>
      <c r="BE24" s="53">
        <f t="shared" si="14"/>
        <v>0</v>
      </c>
      <c r="BF24" s="53">
        <f t="shared" si="15"/>
        <v>0</v>
      </c>
      <c r="BG24" s="53"/>
      <c r="BI24" s="62"/>
      <c r="BJ24" s="62"/>
      <c r="BK24" s="62"/>
      <c r="BL24" s="62"/>
      <c r="BM24" s="62"/>
      <c r="BN24" s="59"/>
      <c r="BO24" s="62"/>
      <c r="BP24" s="62"/>
      <c r="BQ24" s="62"/>
      <c r="BR24" s="62"/>
      <c r="BS24" s="62"/>
      <c r="BU24" s="4">
        <f t="shared" si="16"/>
        <v>0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2.4525816000000003</v>
      </c>
      <c r="J25" s="18">
        <f t="shared" si="1"/>
        <v>9.7987802228975129E-2</v>
      </c>
      <c r="K25" s="18">
        <f t="shared" si="2"/>
        <v>6.0410992036575524E-2</v>
      </c>
      <c r="L25" s="18">
        <f t="shared" si="3"/>
        <v>3.4764827630188178E-2</v>
      </c>
      <c r="M25" s="18">
        <f t="shared" si="4"/>
        <v>3.7562842650745033E-2</v>
      </c>
      <c r="N25" s="15">
        <f t="shared" si="5"/>
        <v>15120544</v>
      </c>
      <c r="O25" s="18">
        <f t="shared" si="6"/>
        <v>6.5482434065107384E-2</v>
      </c>
      <c r="P25" s="19">
        <v>374540384</v>
      </c>
      <c r="Q25" s="19">
        <v>1248467.94666667</v>
      </c>
      <c r="R25" s="19">
        <v>496332.38333333301</v>
      </c>
      <c r="S25" s="20">
        <v>24525816</v>
      </c>
      <c r="T25" s="20">
        <v>8701448</v>
      </c>
      <c r="U25" s="20">
        <v>6419096</v>
      </c>
      <c r="V25" s="20">
        <v>9401776</v>
      </c>
      <c r="W25" s="21">
        <v>66.392900999999995</v>
      </c>
      <c r="X25" s="21">
        <v>68.352701999999994</v>
      </c>
      <c r="Y25" s="21">
        <v>25.683517333333299</v>
      </c>
      <c r="Z25" s="21">
        <v>32.163468999999999</v>
      </c>
      <c r="AA25" s="21">
        <v>31.3491963333333</v>
      </c>
      <c r="AB25" s="22">
        <v>82531.199999999997</v>
      </c>
      <c r="AC25" s="22">
        <v>49473.599999999999</v>
      </c>
      <c r="AD25" s="22">
        <v>93.856999999999999</v>
      </c>
      <c r="AE25" s="22">
        <v>227.77500000000001</v>
      </c>
      <c r="AG25" s="17">
        <f t="shared" si="7"/>
        <v>2.4525816000000003</v>
      </c>
      <c r="AH25" s="18">
        <f t="shared" si="8"/>
        <v>9.7987802228975129E-2</v>
      </c>
      <c r="AI25" s="18">
        <f t="shared" si="9"/>
        <v>6.0410992036575524E-2</v>
      </c>
      <c r="AJ25" s="18">
        <f t="shared" si="10"/>
        <v>3.4764827630188178E-2</v>
      </c>
      <c r="AK25" s="18">
        <f t="shared" si="11"/>
        <v>3.7562842650745033E-2</v>
      </c>
      <c r="AL25" s="15">
        <f t="shared" si="12"/>
        <v>15120544</v>
      </c>
      <c r="AM25" s="18">
        <f t="shared" si="13"/>
        <v>6.5482434065107384E-2</v>
      </c>
      <c r="AN25" s="19">
        <v>374540384</v>
      </c>
      <c r="AO25" s="19">
        <v>1248467.946667</v>
      </c>
      <c r="AP25" s="19">
        <v>496332.38333300001</v>
      </c>
      <c r="AQ25" s="20">
        <v>24525816</v>
      </c>
      <c r="AR25" s="20">
        <v>8701448</v>
      </c>
      <c r="AS25" s="20">
        <v>6419096</v>
      </c>
      <c r="AT25" s="20">
        <v>9401776</v>
      </c>
      <c r="AU25" s="21">
        <v>66.392900999999995</v>
      </c>
      <c r="AV25" s="21">
        <v>68.352701999999994</v>
      </c>
      <c r="AW25" s="21">
        <v>25.683516999999998</v>
      </c>
      <c r="AX25" s="21">
        <v>32.163468999999999</v>
      </c>
      <c r="AY25" s="21">
        <v>31.349195999999999</v>
      </c>
      <c r="AZ25" s="22">
        <v>66146.5</v>
      </c>
      <c r="BA25" s="22">
        <v>39151.4</v>
      </c>
      <c r="BB25" s="22">
        <v>176.92400000000001</v>
      </c>
      <c r="BC25" s="22">
        <v>182.92099999999999</v>
      </c>
      <c r="BE25" s="23">
        <f t="shared" si="14"/>
        <v>-3.7181369094696493E-13</v>
      </c>
      <c r="BF25" s="23">
        <f t="shared" si="15"/>
        <v>0</v>
      </c>
      <c r="BG25" s="23">
        <f t="array" ref="BG25">AVERAGE(AL25:AL29/AQ25:AQ29) - AVERAGE(N25:N29/S25:S29)</f>
        <v>0</v>
      </c>
      <c r="BI25" s="58">
        <f>IF( OR(ISBLANK(N25:N29),ISBLANK(AL25:AL29), ISBLANK(W25:W29),ISBLANK(AU25:AU29)), "·", bdRateExtend( N25:N29,W25:W29, AL25:AL29,AU25:AU29))</f>
        <v>-8.3865517863657146E-9</v>
      </c>
      <c r="BJ25" s="58">
        <f>IF( OR(ISBLANK(N25:N29),ISBLANK(AL25:AL29), ISBLANK(X25:X29),ISBLANK(AV25:AV29)), "·", bdRateExtend( N25:N29,X25:X29, AL25:AL29,AV25:AV29))</f>
        <v>1.8895418119058149E-8</v>
      </c>
      <c r="BK25" s="58">
        <f>IF( OR(ISBLANK(V25:V29),ISBLANK(AT25:AT29), ISBLANK(Y25:Y29),ISBLANK(AW25:AW29)), "·", bdRateExtend( V25:V29,Y25:Y29, AT25:AT29,AW25:AW29))</f>
        <v>3.4269935555997222E-8</v>
      </c>
      <c r="BL25" s="58">
        <f>IF( OR(ISBLANK(V25:V29),ISBLANK(AT25:AT29), ISBLANK(Z25:Z29),ISBLANK(AX25:AX29)), "·", bdRateExtend( V25:V29,Z25:Z29, AT25:AT29,AX25:AX29))</f>
        <v>1.4401442394174069E-7</v>
      </c>
      <c r="BM25" s="58">
        <f>IF( OR(ISBLANK(V25:V29),ISBLANK(AT25:AT29), ISBLANK(AA25:AA29),ISBLANK(AY25:AY29)), "·", bdRateExtend( V25:V29,AA25:AA29, AT25:AT29,AY25:AY29))</f>
        <v>1.2705551011293892E-7</v>
      </c>
      <c r="BN25" s="59"/>
      <c r="BO25" s="58">
        <f>IF( OR(ISBLANK(S25:S29),ISBLANK(AQ25:AQ29), ISBLANK(W25:W29),ISBLANK(AU25:AU29)), "·", bdRateExtend( S25:S29,W25:W29, AQ25:AQ29,AU25:AU29))</f>
        <v>-1.954017114780271E-8</v>
      </c>
      <c r="BP25" s="58">
        <f>IF( OR(ISBLANK(S25:S29),ISBLANK(AQ25:AQ29), ISBLANK(X25:X29),ISBLANK(AV25:AV29)), "·", bdRateExtend( S25:S29,X25:X29, AQ25:AQ29,AV25:AV29))</f>
        <v>4.4888216699234817E-8</v>
      </c>
      <c r="BQ25" s="58">
        <f>IF( OR(ISBLANK(S25:S29),ISBLANK(AQ25:AQ29), ISBLANK(Y25:Y29),ISBLANK(AW25:AW29)), "·", bdRateExtend( S25:S29,Y25:Y29, AQ25:AQ29,AW25:AW29))</f>
        <v>2.401547360975087E-8</v>
      </c>
      <c r="BR25" s="58">
        <f>IF( OR(ISBLANK(S25:S29),ISBLANK(AQ25:AQ29), ISBLANK(Z25:Z29),ISBLANK(AX25:AX29)), "·", bdRateExtend( S25:S29,Z25:Z29, AQ25:AQ29,AX25:AX29))</f>
        <v>1.0963025265375848E-7</v>
      </c>
      <c r="BS25" s="58">
        <f>IF( OR(ISBLANK(S25:S29),ISBLANK(AQ25:AQ29), ISBLANK(AA25:AA29),ISBLANK(AY25:AY29)), "·", bdRateExtend( S25:S29,AA25:AA29, AQ25:AQ29,AY25:AY29))</f>
        <v>8.8697824862649099E-8</v>
      </c>
      <c r="BU25" s="4">
        <f t="shared" si="16"/>
        <v>0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3.8077816000000002</v>
      </c>
      <c r="J26" s="28">
        <f t="shared" si="1"/>
        <v>0.15213200260163842</v>
      </c>
      <c r="K26" s="28">
        <f t="shared" si="2"/>
        <v>7.3594401655885627E-2</v>
      </c>
      <c r="L26" s="28">
        <f t="shared" si="3"/>
        <v>4.7948237249498274E-2</v>
      </c>
      <c r="M26" s="28">
        <f t="shared" si="4"/>
        <v>7.8523633404098223E-2</v>
      </c>
      <c r="N26" s="25">
        <f t="shared" si="5"/>
        <v>18420280</v>
      </c>
      <c r="O26" s="28">
        <f t="shared" si="6"/>
        <v>0.10166544817767902</v>
      </c>
      <c r="P26" s="29">
        <v>374540384</v>
      </c>
      <c r="Q26" s="29">
        <v>1248467.94666667</v>
      </c>
      <c r="R26" s="29">
        <v>447319.42</v>
      </c>
      <c r="S26" s="30">
        <v>38077816</v>
      </c>
      <c r="T26" s="30">
        <v>12001184</v>
      </c>
      <c r="U26" s="30">
        <v>6419096</v>
      </c>
      <c r="V26" s="30">
        <v>19654040</v>
      </c>
      <c r="W26" s="31">
        <v>68.147383333333295</v>
      </c>
      <c r="X26" s="31">
        <v>70.347615333333394</v>
      </c>
      <c r="Y26" s="31">
        <v>27.765187000000001</v>
      </c>
      <c r="Z26" s="31">
        <v>33.506450333333298</v>
      </c>
      <c r="AA26" s="31">
        <v>32.913897333333303</v>
      </c>
      <c r="AB26" s="32">
        <v>80740.100000000006</v>
      </c>
      <c r="AC26" s="32">
        <v>53849.599999999999</v>
      </c>
      <c r="AD26" s="32">
        <v>90.347999999999999</v>
      </c>
      <c r="AE26" s="32">
        <v>236.62299999999999</v>
      </c>
      <c r="AG26" s="27">
        <f t="shared" si="7"/>
        <v>3.8077816000000002</v>
      </c>
      <c r="AH26" s="28">
        <f t="shared" si="8"/>
        <v>0.15213200260163842</v>
      </c>
      <c r="AI26" s="28">
        <f t="shared" si="9"/>
        <v>7.3594401655885627E-2</v>
      </c>
      <c r="AJ26" s="28">
        <f t="shared" si="10"/>
        <v>4.7948237249498274E-2</v>
      </c>
      <c r="AK26" s="28">
        <f t="shared" si="11"/>
        <v>7.8523633404098223E-2</v>
      </c>
      <c r="AL26" s="25">
        <f t="shared" si="12"/>
        <v>18420280</v>
      </c>
      <c r="AM26" s="28">
        <f t="shared" si="13"/>
        <v>0.10166544817767902</v>
      </c>
      <c r="AN26" s="29">
        <v>374540384</v>
      </c>
      <c r="AO26" s="29">
        <v>1248467.946667</v>
      </c>
      <c r="AP26" s="29">
        <v>447319.42</v>
      </c>
      <c r="AQ26" s="30">
        <v>38077816</v>
      </c>
      <c r="AR26" s="30">
        <v>12001184</v>
      </c>
      <c r="AS26" s="30">
        <v>6419096</v>
      </c>
      <c r="AT26" s="30">
        <v>19654040</v>
      </c>
      <c r="AU26" s="31">
        <v>68.147383000000005</v>
      </c>
      <c r="AV26" s="31">
        <v>70.347615000000005</v>
      </c>
      <c r="AW26" s="31">
        <v>27.765187000000001</v>
      </c>
      <c r="AX26" s="31">
        <v>33.506450000000001</v>
      </c>
      <c r="AY26" s="31">
        <v>32.913896999999999</v>
      </c>
      <c r="AZ26" s="32">
        <v>72170.5</v>
      </c>
      <c r="BA26" s="32">
        <v>32520.5</v>
      </c>
      <c r="BB26" s="32">
        <v>167.83500000000001</v>
      </c>
      <c r="BC26" s="32">
        <v>178.63200000000001</v>
      </c>
      <c r="BE26" s="33">
        <f t="shared" si="14"/>
        <v>-9.4702024000525853E-14</v>
      </c>
      <c r="BF26" s="33">
        <f t="shared" si="15"/>
        <v>0</v>
      </c>
      <c r="BG26" s="33"/>
      <c r="BI26" s="60"/>
      <c r="BJ26" s="60"/>
      <c r="BK26" s="60"/>
      <c r="BL26" s="60"/>
      <c r="BM26" s="60"/>
      <c r="BN26" s="59"/>
      <c r="BO26" s="60"/>
      <c r="BP26" s="60"/>
      <c r="BQ26" s="60"/>
      <c r="BR26" s="60"/>
      <c r="BS26" s="60"/>
      <c r="BU26" s="4">
        <f t="shared" si="16"/>
        <v>0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6.5655752000000005</v>
      </c>
      <c r="J27" s="18">
        <f t="shared" si="1"/>
        <v>0.26231391616778982</v>
      </c>
      <c r="K27" s="18">
        <f t="shared" si="2"/>
        <v>9.275598302803055E-2</v>
      </c>
      <c r="L27" s="18">
        <f t="shared" si="3"/>
        <v>6.7109818621643197E-2</v>
      </c>
      <c r="M27" s="18">
        <f t="shared" si="4"/>
        <v>0.16954396559810472</v>
      </c>
      <c r="N27" s="15">
        <f t="shared" si="5"/>
        <v>23216320</v>
      </c>
      <c r="O27" s="18">
        <f t="shared" si="6"/>
        <v>0.17529685664016406</v>
      </c>
      <c r="P27" s="19">
        <v>374540384</v>
      </c>
      <c r="Q27" s="19">
        <v>1248467.94666667</v>
      </c>
      <c r="R27" s="19">
        <v>440381.82666666701</v>
      </c>
      <c r="S27" s="20">
        <v>65655752</v>
      </c>
      <c r="T27" s="20">
        <v>16797224</v>
      </c>
      <c r="U27" s="20">
        <v>6419096</v>
      </c>
      <c r="V27" s="20">
        <v>42435936</v>
      </c>
      <c r="W27" s="21">
        <v>69.492717666666707</v>
      </c>
      <c r="X27" s="21">
        <v>72.130668666666693</v>
      </c>
      <c r="Y27" s="21">
        <v>30.151057333333299</v>
      </c>
      <c r="Z27" s="21">
        <v>34.775812333333398</v>
      </c>
      <c r="AA27" s="21">
        <v>34.284055666666603</v>
      </c>
      <c r="AB27" s="22">
        <v>80972.5</v>
      </c>
      <c r="AC27" s="22">
        <v>58264.3</v>
      </c>
      <c r="AD27" s="22">
        <v>91.025999999999996</v>
      </c>
      <c r="AE27" s="22">
        <v>239.60400000000001</v>
      </c>
      <c r="AG27" s="17">
        <f t="shared" si="7"/>
        <v>6.5655752000000005</v>
      </c>
      <c r="AH27" s="18">
        <f t="shared" si="8"/>
        <v>0.26231391616778982</v>
      </c>
      <c r="AI27" s="18">
        <f t="shared" si="9"/>
        <v>9.275598302803055E-2</v>
      </c>
      <c r="AJ27" s="18">
        <f t="shared" si="10"/>
        <v>6.7109818621643197E-2</v>
      </c>
      <c r="AK27" s="18">
        <f t="shared" si="11"/>
        <v>0.16954396559810472</v>
      </c>
      <c r="AL27" s="15">
        <f t="shared" si="12"/>
        <v>23216320</v>
      </c>
      <c r="AM27" s="18">
        <f t="shared" si="13"/>
        <v>0.17529685664016406</v>
      </c>
      <c r="AN27" s="19">
        <v>374540384</v>
      </c>
      <c r="AO27" s="19">
        <v>1248467.946667</v>
      </c>
      <c r="AP27" s="19">
        <v>440381.82666700002</v>
      </c>
      <c r="AQ27" s="20">
        <v>65655752</v>
      </c>
      <c r="AR27" s="20">
        <v>16797224</v>
      </c>
      <c r="AS27" s="20">
        <v>6419096</v>
      </c>
      <c r="AT27" s="20">
        <v>42435936</v>
      </c>
      <c r="AU27" s="21">
        <v>69.492717999999996</v>
      </c>
      <c r="AV27" s="21">
        <v>72.130668</v>
      </c>
      <c r="AW27" s="21">
        <v>30.151057000000002</v>
      </c>
      <c r="AX27" s="21">
        <v>34.775812000000002</v>
      </c>
      <c r="AY27" s="21">
        <v>34.284055000000002</v>
      </c>
      <c r="AZ27" s="22">
        <v>74201</v>
      </c>
      <c r="BA27" s="22">
        <v>35916.400000000001</v>
      </c>
      <c r="BB27" s="22">
        <v>167.94</v>
      </c>
      <c r="BC27" s="22">
        <v>188.73400000000001</v>
      </c>
      <c r="BE27" s="23">
        <f t="shared" si="14"/>
        <v>1.7352785874891197E-13</v>
      </c>
      <c r="BF27" s="23">
        <f t="shared" si="15"/>
        <v>0</v>
      </c>
      <c r="BG27" s="23"/>
      <c r="BI27" s="58"/>
      <c r="BJ27" s="58"/>
      <c r="BK27" s="58"/>
      <c r="BL27" s="58"/>
      <c r="BM27" s="58"/>
      <c r="BN27" s="59"/>
      <c r="BO27" s="58"/>
      <c r="BP27" s="58"/>
      <c r="BQ27" s="58"/>
      <c r="BR27" s="58"/>
      <c r="BS27" s="58"/>
      <c r="BU27" s="4">
        <f t="shared" si="16"/>
        <v>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13.2771744</v>
      </c>
      <c r="J28" s="28">
        <f t="shared" si="1"/>
        <v>0.53046191786924102</v>
      </c>
      <c r="K28" s="28">
        <f t="shared" si="2"/>
        <v>0.12557424035650919</v>
      </c>
      <c r="L28" s="28">
        <f t="shared" si="3"/>
        <v>9.9928075950121847E-2</v>
      </c>
      <c r="M28" s="28">
        <f t="shared" si="4"/>
        <v>0.40487370997107719</v>
      </c>
      <c r="N28" s="25">
        <f t="shared" si="5"/>
        <v>31430552</v>
      </c>
      <c r="O28" s="28">
        <f t="shared" si="6"/>
        <v>0.35449246509022642</v>
      </c>
      <c r="P28" s="29">
        <v>374540384</v>
      </c>
      <c r="Q28" s="29">
        <v>1248467.94666667</v>
      </c>
      <c r="R28" s="29">
        <v>410706.81</v>
      </c>
      <c r="S28" s="30">
        <v>132771744</v>
      </c>
      <c r="T28" s="30">
        <v>25011456</v>
      </c>
      <c r="U28" s="30">
        <v>6419096</v>
      </c>
      <c r="V28" s="30">
        <v>101337696</v>
      </c>
      <c r="W28" s="31">
        <v>70.493159000000006</v>
      </c>
      <c r="X28" s="31">
        <v>73.347055666666705</v>
      </c>
      <c r="Y28" s="31">
        <v>32.766655</v>
      </c>
      <c r="Z28" s="31">
        <v>36.339769333333301</v>
      </c>
      <c r="AA28" s="31">
        <v>35.865845999999998</v>
      </c>
      <c r="AB28" s="32">
        <v>80084.7</v>
      </c>
      <c r="AC28" s="32">
        <v>62940.5</v>
      </c>
      <c r="AD28" s="32">
        <v>96.436999999999998</v>
      </c>
      <c r="AE28" s="32">
        <v>266.51</v>
      </c>
      <c r="AG28" s="27">
        <f t="shared" si="7"/>
        <v>13.2771744</v>
      </c>
      <c r="AH28" s="28">
        <f t="shared" si="8"/>
        <v>0.53046191786924102</v>
      </c>
      <c r="AI28" s="28">
        <f t="shared" si="9"/>
        <v>0.12557424035650919</v>
      </c>
      <c r="AJ28" s="28">
        <f t="shared" si="10"/>
        <v>9.9928075950121847E-2</v>
      </c>
      <c r="AK28" s="28">
        <f t="shared" si="11"/>
        <v>0.40487370997107719</v>
      </c>
      <c r="AL28" s="25">
        <f t="shared" si="12"/>
        <v>31430552</v>
      </c>
      <c r="AM28" s="28">
        <f t="shared" si="13"/>
        <v>0.35449246509022642</v>
      </c>
      <c r="AN28" s="29">
        <v>374540384</v>
      </c>
      <c r="AO28" s="29">
        <v>1248467.946667</v>
      </c>
      <c r="AP28" s="29">
        <v>410706.81</v>
      </c>
      <c r="AQ28" s="30">
        <v>132771744</v>
      </c>
      <c r="AR28" s="30">
        <v>25011456</v>
      </c>
      <c r="AS28" s="30">
        <v>6419096</v>
      </c>
      <c r="AT28" s="30">
        <v>101337696</v>
      </c>
      <c r="AU28" s="31">
        <v>70.493159000000006</v>
      </c>
      <c r="AV28" s="31">
        <v>73.347055999999995</v>
      </c>
      <c r="AW28" s="31">
        <v>32.766655</v>
      </c>
      <c r="AX28" s="31">
        <v>36.339768999999997</v>
      </c>
      <c r="AY28" s="31">
        <v>35.865845999999998</v>
      </c>
      <c r="AZ28" s="32">
        <v>68703</v>
      </c>
      <c r="BA28" s="32">
        <v>36387.4</v>
      </c>
      <c r="BB28" s="32">
        <v>121.91800000000001</v>
      </c>
      <c r="BC28" s="32">
        <v>148.55799999999999</v>
      </c>
      <c r="BE28" s="33">
        <f t="shared" si="14"/>
        <v>-8.6930462828149757E-14</v>
      </c>
      <c r="BF28" s="33">
        <f t="shared" si="15"/>
        <v>0</v>
      </c>
      <c r="BG28" s="33"/>
      <c r="BI28" s="60"/>
      <c r="BJ28" s="60"/>
      <c r="BK28" s="60"/>
      <c r="BL28" s="60"/>
      <c r="BM28" s="60"/>
      <c r="BN28" s="59"/>
      <c r="BO28" s="60"/>
      <c r="BP28" s="60"/>
      <c r="BQ28" s="60"/>
      <c r="BR28" s="60"/>
      <c r="BS28" s="60"/>
      <c r="BU28" s="4">
        <f t="shared" si="16"/>
        <v>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30.919052799999999</v>
      </c>
      <c r="J29" s="38">
        <f t="shared" si="1"/>
        <v>1.2353065157439165</v>
      </c>
      <c r="K29" s="38">
        <f t="shared" si="2"/>
        <v>0.18214156948870752</v>
      </c>
      <c r="L29" s="38">
        <f t="shared" si="3"/>
        <v>0.15649540508232015</v>
      </c>
      <c r="M29" s="38">
        <f t="shared" si="4"/>
        <v>1.0531509787135545</v>
      </c>
      <c r="N29" s="35">
        <f t="shared" si="5"/>
        <v>45589048</v>
      </c>
      <c r="O29" s="38">
        <f t="shared" si="6"/>
        <v>0.82551986703788927</v>
      </c>
      <c r="P29" s="39">
        <v>374540384</v>
      </c>
      <c r="Q29" s="39">
        <v>1248467.94666667</v>
      </c>
      <c r="R29" s="39">
        <v>406367.64666666702</v>
      </c>
      <c r="S29" s="40">
        <v>309190528</v>
      </c>
      <c r="T29" s="40">
        <v>39169952</v>
      </c>
      <c r="U29" s="40">
        <v>6419096</v>
      </c>
      <c r="V29" s="40">
        <v>263597984</v>
      </c>
      <c r="W29" s="41">
        <v>71.355113666666696</v>
      </c>
      <c r="X29" s="41">
        <v>74.485654999999994</v>
      </c>
      <c r="Y29" s="41">
        <v>35.676113999999998</v>
      </c>
      <c r="Z29" s="41">
        <v>38.515433000000002</v>
      </c>
      <c r="AA29" s="41">
        <v>37.981307000000001</v>
      </c>
      <c r="AB29" s="42">
        <v>78806</v>
      </c>
      <c r="AC29" s="42">
        <v>71449.8</v>
      </c>
      <c r="AD29" s="42">
        <v>77.070999999999998</v>
      </c>
      <c r="AE29" s="42">
        <v>277.99400000000003</v>
      </c>
      <c r="AG29" s="37">
        <f t="shared" si="7"/>
        <v>30.919052799999999</v>
      </c>
      <c r="AH29" s="38">
        <f t="shared" si="8"/>
        <v>1.2353065157439165</v>
      </c>
      <c r="AI29" s="38">
        <f t="shared" si="9"/>
        <v>0.18214156948870752</v>
      </c>
      <c r="AJ29" s="38">
        <f t="shared" si="10"/>
        <v>0.15649540508232015</v>
      </c>
      <c r="AK29" s="38">
        <f t="shared" si="11"/>
        <v>1.0531509787135545</v>
      </c>
      <c r="AL29" s="35">
        <f t="shared" si="12"/>
        <v>45589048</v>
      </c>
      <c r="AM29" s="38">
        <f t="shared" si="13"/>
        <v>0.82551986703788927</v>
      </c>
      <c r="AN29" s="39">
        <v>374540384</v>
      </c>
      <c r="AO29" s="39">
        <v>1248467.946667</v>
      </c>
      <c r="AP29" s="39">
        <v>406367.64666700002</v>
      </c>
      <c r="AQ29" s="40">
        <v>309190528</v>
      </c>
      <c r="AR29" s="40">
        <v>39169952</v>
      </c>
      <c r="AS29" s="40">
        <v>6419096</v>
      </c>
      <c r="AT29" s="40">
        <v>263597984</v>
      </c>
      <c r="AU29" s="41">
        <v>71.355114</v>
      </c>
      <c r="AV29" s="41">
        <v>74.485654999999994</v>
      </c>
      <c r="AW29" s="41">
        <v>35.676113999999998</v>
      </c>
      <c r="AX29" s="41">
        <v>38.515433000000002</v>
      </c>
      <c r="AY29" s="41">
        <v>37.981307000000001</v>
      </c>
      <c r="AZ29" s="42">
        <v>71216.7</v>
      </c>
      <c r="BA29" s="42">
        <v>65764.3</v>
      </c>
      <c r="BB29" s="42">
        <v>130.149</v>
      </c>
      <c r="BC29" s="42">
        <v>182.03100000000001</v>
      </c>
      <c r="BE29" s="43">
        <f t="shared" si="14"/>
        <v>1.8068879725774423E-13</v>
      </c>
      <c r="BF29" s="43">
        <f t="shared" si="15"/>
        <v>0</v>
      </c>
      <c r="BG29" s="43"/>
      <c r="BI29" s="61"/>
      <c r="BJ29" s="61"/>
      <c r="BK29" s="61"/>
      <c r="BL29" s="61"/>
      <c r="BM29" s="61"/>
      <c r="BN29" s="59"/>
      <c r="BO29" s="61"/>
      <c r="BP29" s="61"/>
      <c r="BQ29" s="61"/>
      <c r="BR29" s="61"/>
      <c r="BS29" s="61"/>
      <c r="BU29" s="4">
        <f t="shared" si="16"/>
        <v>0</v>
      </c>
    </row>
    <row r="30" spans="1:73" x14ac:dyDescent="0.3">
      <c r="B30" s="55" t="s">
        <v>288</v>
      </c>
      <c r="J30" s="56">
        <f>AVERAGE(J5:J24)</f>
        <v>0.21758032531038424</v>
      </c>
      <c r="K30" s="56">
        <f>AVERAGE(K5:K24)</f>
        <v>9.7334105504756879E-2</v>
      </c>
      <c r="L30" s="56">
        <f>AVERAGE(L5:L24)</f>
        <v>7.158502524811175E-2</v>
      </c>
      <c r="M30" s="56">
        <f>AVERAGE(M5:M24)</f>
        <v>0.12023301631823284</v>
      </c>
      <c r="AH30" s="56">
        <f>AVERAGE(AH5:AH24)</f>
        <v>0.21758032531038424</v>
      </c>
      <c r="AI30" s="56">
        <f>AVERAGE(AI5:AI24)</f>
        <v>9.7334105504756879E-2</v>
      </c>
      <c r="AJ30" s="56">
        <f>AVERAGE(AJ5:AJ24)</f>
        <v>7.158502524811175E-2</v>
      </c>
      <c r="AK30" s="56">
        <f>AVERAGE(AK5:AK24)</f>
        <v>0.12023301631823284</v>
      </c>
      <c r="BG30" s="8">
        <f>AVERAGE(BG5:BG24)</f>
        <v>0</v>
      </c>
      <c r="BI30" s="5">
        <f>AVERAGE(BI5:BI24)</f>
        <v>4.8845593125790288E-9</v>
      </c>
      <c r="BJ30" s="5">
        <f>AVERAGE(BJ5:BJ24)</f>
        <v>2.1764937269130868E-8</v>
      </c>
      <c r="BK30" s="5">
        <f>AVERAGE(BK5:BK24)</f>
        <v>1.7242086147728486E-8</v>
      </c>
      <c r="BL30" s="5">
        <f>AVERAGE(BL5:BL24)</f>
        <v>1.063022657676882E-7</v>
      </c>
      <c r="BM30" s="5">
        <f>AVERAGE(BM5:BM24)</f>
        <v>2.2117549264288883E-8</v>
      </c>
      <c r="BO30" s="5">
        <f>AVERAGE(BO5:BO24)</f>
        <v>5.2696816632558097E-9</v>
      </c>
      <c r="BP30" s="5">
        <f>AVERAGE(BP5:BP24)</f>
        <v>4.020262484027981E-8</v>
      </c>
      <c r="BQ30" s="5">
        <f>AVERAGE(BQ5:BQ24)</f>
        <v>1.1185957438097915E-8</v>
      </c>
      <c r="BR30" s="5">
        <f>AVERAGE(BR5:BR24)</f>
        <v>6.4161019885933257E-8</v>
      </c>
      <c r="BS30" s="5">
        <f>AVERAGE(BS5:BS24)</f>
        <v>1.9247198834726476E-8</v>
      </c>
    </row>
    <row r="31" spans="1:73" x14ac:dyDescent="0.3">
      <c r="B31" s="55" t="s">
        <v>289</v>
      </c>
      <c r="J31" s="56">
        <f>AVERAGE(J25:J29)</f>
        <v>0.45564043092231216</v>
      </c>
      <c r="K31" s="56">
        <f>AVERAGE(K25:K29)</f>
        <v>0.10689543731314169</v>
      </c>
      <c r="L31" s="56">
        <f>AVERAGE(L25:L29)</f>
        <v>8.1249272906754336E-2</v>
      </c>
      <c r="M31" s="56">
        <f>AVERAGE(M25:M29)</f>
        <v>0.34873102606751594</v>
      </c>
      <c r="AH31" s="56">
        <f>AVERAGE(AH25:AH29)</f>
        <v>0.45564043092231216</v>
      </c>
      <c r="AI31" s="56">
        <f>AVERAGE(AI25:AI29)</f>
        <v>0.10689543731314169</v>
      </c>
      <c r="AJ31" s="56">
        <f>AVERAGE(AJ25:AJ29)</f>
        <v>8.1249272906754336E-2</v>
      </c>
      <c r="AK31" s="56">
        <f>AVERAGE(AK25:AK29)</f>
        <v>0.34873102606751594</v>
      </c>
      <c r="BG31" s="8">
        <f>AVERAGE(BG25:BG29)</f>
        <v>0</v>
      </c>
      <c r="BI31" s="5">
        <f>AVERAGE(BI25:BI29)</f>
        <v>-8.3865517863657146E-9</v>
      </c>
      <c r="BJ31" s="5">
        <f>AVERAGE(BJ25:BJ29)</f>
        <v>1.8895418119058149E-8</v>
      </c>
      <c r="BK31" s="5">
        <f>AVERAGE(BK25:BK29)</f>
        <v>3.4269935555997222E-8</v>
      </c>
      <c r="BL31" s="5">
        <f>AVERAGE(BL25:BL29)</f>
        <v>1.4401442394174069E-7</v>
      </c>
      <c r="BM31" s="5">
        <f>AVERAGE(BM25:BM29)</f>
        <v>1.2705551011293892E-7</v>
      </c>
      <c r="BO31" s="5">
        <f>AVERAGE(BO25:BO29)</f>
        <v>-1.954017114780271E-8</v>
      </c>
      <c r="BP31" s="5">
        <f>AVERAGE(BP25:BP29)</f>
        <v>4.4888216699234817E-8</v>
      </c>
      <c r="BQ31" s="5">
        <f>AVERAGE(BQ25:BQ29)</f>
        <v>2.401547360975087E-8</v>
      </c>
      <c r="BR31" s="5">
        <f>AVERAGE(BR25:BR29)</f>
        <v>1.0963025265375848E-7</v>
      </c>
      <c r="BS31" s="5">
        <f>AVERAGE(BS25:BS29)</f>
        <v>8.8697824862649099E-8</v>
      </c>
    </row>
    <row r="32" spans="1:73" collapsed="1" x14ac:dyDescent="0.3">
      <c r="B32" s="55" t="s">
        <v>290</v>
      </c>
      <c r="J32" s="56">
        <f>AVERAGE(J5:J29)</f>
        <v>0.26519234643276984</v>
      </c>
      <c r="K32" s="56">
        <f>AVERAGE(K5:K29)</f>
        <v>9.9246371866433841E-2</v>
      </c>
      <c r="L32" s="56">
        <f>AVERAGE(L5:L29)</f>
        <v>7.3517874779840259E-2</v>
      </c>
      <c r="M32" s="56">
        <f>AVERAGE(M5:M29)</f>
        <v>0.16593261826808944</v>
      </c>
      <c r="AH32" s="56">
        <f>AVERAGE(AH5:AH29)</f>
        <v>0.26519234643276984</v>
      </c>
      <c r="AI32" s="56">
        <f>AVERAGE(AI5:AI29)</f>
        <v>9.9246371866433841E-2</v>
      </c>
      <c r="AJ32" s="56">
        <f>AVERAGE(AJ5:AJ29)</f>
        <v>7.3517874779840259E-2</v>
      </c>
      <c r="AK32" s="56">
        <f>AVERAGE(AK5:AK29)</f>
        <v>0.16593261826808944</v>
      </c>
      <c r="BG32" s="8">
        <f>AVERAGE(BG5:BG29)</f>
        <v>0</v>
      </c>
      <c r="BI32" s="5">
        <f>AVERAGE(BI5:BI29)</f>
        <v>2.2303370927900802E-9</v>
      </c>
      <c r="BJ32" s="5">
        <f>AVERAGE(BJ5:BJ29)</f>
        <v>2.1191033439116324E-8</v>
      </c>
      <c r="BK32" s="5">
        <f>AVERAGE(BK5:BK29)</f>
        <v>2.0647656029382233E-8</v>
      </c>
      <c r="BL32" s="5">
        <f>AVERAGE(BL5:BL29)</f>
        <v>1.138446974024987E-7</v>
      </c>
      <c r="BM32" s="5">
        <f>AVERAGE(BM5:BM29)</f>
        <v>4.3105141434018891E-8</v>
      </c>
      <c r="BO32" s="5">
        <f>AVERAGE(BO5:BO29)</f>
        <v>3.0771110104410584E-10</v>
      </c>
      <c r="BP32" s="5">
        <f>AVERAGE(BP5:BP29)</f>
        <v>4.1139743212070809E-8</v>
      </c>
      <c r="BQ32" s="5">
        <f>AVERAGE(BQ5:BQ29)</f>
        <v>1.3751860672428507E-8</v>
      </c>
      <c r="BR32" s="5">
        <f>AVERAGE(BR5:BR29)</f>
        <v>7.3254866439498298E-8</v>
      </c>
      <c r="BS32" s="5">
        <f>AVERAGE(BS5:BS29)</f>
        <v>3.3137324040310998E-8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2064944.0999999999</v>
      </c>
      <c r="AC33" s="57">
        <f>SUM(AC5:AC24,AC25:AC29)</f>
        <v>1260426.1000000001</v>
      </c>
      <c r="AD33" s="57">
        <f>SUM(AD5:AD24,AD25:AD29)</f>
        <v>2507.1260000000002</v>
      </c>
      <c r="AE33" s="57">
        <f>SUM(AE5:AE24,AE25:AE29)</f>
        <v>5769.152</v>
      </c>
      <c r="AZ33" s="57">
        <f>SUM(AZ5:AZ24,AZ25:AZ29)</f>
        <v>1848293.4</v>
      </c>
      <c r="BA33" s="57">
        <f>SUM(BA5:BA24,BA25:BA29)</f>
        <v>936156.10000000009</v>
      </c>
      <c r="BB33" s="57">
        <f>SUM(BB5:BB24,BB25:BB29)</f>
        <v>3626.3830000000003</v>
      </c>
      <c r="BC33" s="57">
        <f>SUM(BC5:BC24,BC25:BC29)</f>
        <v>3765.2209999999991</v>
      </c>
    </row>
    <row r="34" spans="1:55" hidden="1" outlineLevel="2" x14ac:dyDescent="0.3">
      <c r="B34" s="55" t="s">
        <v>293</v>
      </c>
      <c r="AZ34" s="8">
        <f>AZ33/AB33</f>
        <v>0.89508156661480576</v>
      </c>
      <c r="BA34" s="8">
        <f>BA33/AC33</f>
        <v>0.74272985937057323</v>
      </c>
      <c r="BB34" s="8">
        <f>BB33/AD33</f>
        <v>1.4464302950868844</v>
      </c>
      <c r="BC34" s="8">
        <f>BC33/AE33</f>
        <v>0.65264721747667576</v>
      </c>
    </row>
    <row r="35" spans="1:55" hidden="1" outlineLevel="2" x14ac:dyDescent="0.3">
      <c r="B35" s="55" t="s">
        <v>294</v>
      </c>
      <c r="AB35" s="57">
        <f>GEOMEAN(AB5:AB24,AB25:AB29)</f>
        <v>82025.521988829787</v>
      </c>
      <c r="AC35" s="57">
        <f>GEOMEAN(AC5:AC24,AC25:AC29)</f>
        <v>49406.259311984548</v>
      </c>
      <c r="AD35" s="57">
        <f>GEOMEAN(AD5:AD24,AD25:AD29)</f>
        <v>98.78390455384266</v>
      </c>
      <c r="AE35" s="57">
        <f>GEOMEAN(AE5:AE24,AE25:AE29)</f>
        <v>229.56678156250828</v>
      </c>
      <c r="AZ35" s="57">
        <f>GEOMEAN(AZ5:AZ24,AZ25:AZ29)</f>
        <v>73235.970251167193</v>
      </c>
      <c r="BA35" s="57">
        <f>GEOMEAN(BA5:BA24,BA25:BA29)</f>
        <v>35924.345349181705</v>
      </c>
      <c r="BB35" s="57">
        <f>GEOMEAN(BB5:BB24,BB25:BB29)</f>
        <v>140.94541287032848</v>
      </c>
      <c r="BC35" s="57">
        <f>GEOMEAN(BC5:BC24,BC25:BC29)</f>
        <v>145.2395364696344</v>
      </c>
    </row>
    <row r="36" spans="1:55" outlineLevel="2" collapsed="1" x14ac:dyDescent="0.3">
      <c r="B36" s="55" t="s">
        <v>295</v>
      </c>
      <c r="AZ36" s="8">
        <f>AZ35/AB35</f>
        <v>0.8928436963941595</v>
      </c>
      <c r="BA36" s="8">
        <f>BA35/AC35</f>
        <v>0.72712133744696361</v>
      </c>
      <c r="BB36" s="8">
        <f>BB35/AD35</f>
        <v>1.4268054447423211</v>
      </c>
      <c r="BC36" s="8">
        <f>BC35/AE35</f>
        <v>0.63266791249624854</v>
      </c>
    </row>
    <row r="40" spans="1:55" x14ac:dyDescent="0.3"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3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3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3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3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3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3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3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3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3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3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3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3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3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3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3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3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3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3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3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3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3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3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3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3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 x14ac:dyDescent="0.3"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</row>
    <row r="66" spans="40:51" x14ac:dyDescent="0.3"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77734375"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4"/>
  <sheetViews>
    <sheetView tabSelected="1" zoomScale="85" zoomScaleNormal="85" workbookViewId="0">
      <pane xSplit="2" topLeftCell="Y1" activePane="topRight" state="frozen"/>
      <selection pane="topRight" activeCell="AM5" sqref="AM5:AZ9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3" t="s">
        <v>366</v>
      </c>
      <c r="B1" s="73"/>
      <c r="C1" s="73"/>
      <c r="D1" s="73"/>
      <c r="E1" s="73"/>
      <c r="F1" s="73"/>
      <c r="H1" s="69" t="s">
        <v>551</v>
      </c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E1" s="70" t="s">
        <v>3</v>
      </c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</row>
    <row r="2" spans="1:60" ht="30" customHeight="1" x14ac:dyDescent="0.3">
      <c r="A2" s="75" t="s">
        <v>93</v>
      </c>
      <c r="B2" s="74" t="s">
        <v>96</v>
      </c>
      <c r="C2" s="75" t="s">
        <v>102</v>
      </c>
      <c r="D2" s="74" t="s">
        <v>105</v>
      </c>
      <c r="E2" s="75" t="s">
        <v>108</v>
      </c>
      <c r="F2" s="74" t="s">
        <v>111</v>
      </c>
      <c r="H2" s="75" t="s">
        <v>310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1" t="s">
        <v>142</v>
      </c>
      <c r="R2" s="71"/>
      <c r="S2" s="71"/>
      <c r="T2" s="71"/>
      <c r="U2" s="72" t="s">
        <v>153</v>
      </c>
      <c r="V2" s="72"/>
      <c r="W2" s="71" t="s">
        <v>160</v>
      </c>
      <c r="X2" s="71"/>
      <c r="Y2" s="71"/>
      <c r="Z2" s="72" t="s">
        <v>170</v>
      </c>
      <c r="AA2" s="72"/>
      <c r="AB2" s="71" t="s">
        <v>177</v>
      </c>
      <c r="AC2" s="71"/>
      <c r="AE2" s="75" t="s">
        <v>310</v>
      </c>
      <c r="AF2" s="74" t="s">
        <v>114</v>
      </c>
      <c r="AG2" s="72" t="s">
        <v>117</v>
      </c>
      <c r="AH2" s="72"/>
      <c r="AI2" s="72"/>
      <c r="AJ2" s="72"/>
      <c r="AK2" s="75" t="s">
        <v>192</v>
      </c>
      <c r="AL2" s="74" t="s">
        <v>133</v>
      </c>
      <c r="AM2" s="75" t="s">
        <v>24</v>
      </c>
      <c r="AN2" s="71" t="s">
        <v>142</v>
      </c>
      <c r="AO2" s="71"/>
      <c r="AP2" s="71"/>
      <c r="AQ2" s="71"/>
      <c r="AR2" s="72" t="s">
        <v>153</v>
      </c>
      <c r="AS2" s="72"/>
      <c r="AT2" s="71" t="s">
        <v>160</v>
      </c>
      <c r="AU2" s="71"/>
      <c r="AV2" s="71"/>
      <c r="AW2" s="72" t="s">
        <v>170</v>
      </c>
      <c r="AX2" s="72"/>
      <c r="AY2" s="71" t="s">
        <v>177</v>
      </c>
      <c r="AZ2" s="71"/>
      <c r="BB2" s="72" t="s">
        <v>357</v>
      </c>
      <c r="BC2" s="72"/>
      <c r="BD2" s="72"/>
      <c r="BE2" s="74" t="s">
        <v>232</v>
      </c>
      <c r="BF2" s="75" t="s">
        <v>232</v>
      </c>
      <c r="BH2" t="s">
        <v>550</v>
      </c>
    </row>
    <row r="3" spans="1:60" ht="28.8" x14ac:dyDescent="0.3">
      <c r="A3" s="75"/>
      <c r="B3" s="74"/>
      <c r="C3" s="75"/>
      <c r="D3" s="74"/>
      <c r="E3" s="75"/>
      <c r="F3" s="74"/>
      <c r="H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5"/>
      <c r="AF3" s="74"/>
      <c r="AG3" s="11" t="s">
        <v>118</v>
      </c>
      <c r="AH3" s="11" t="s">
        <v>121</v>
      </c>
      <c r="AI3" s="11" t="s">
        <v>124</v>
      </c>
      <c r="AJ3" s="11" t="s">
        <v>127</v>
      </c>
      <c r="AK3" s="75"/>
      <c r="AL3" s="74"/>
      <c r="AM3" s="75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4"/>
      <c r="BF3" s="75"/>
    </row>
    <row r="4" spans="1:60" ht="127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3.1617059161452223E-2</v>
      </c>
      <c r="I5" s="17">
        <f>IF(OR(ISBLANK(Q5),ISBLANK(F5)),"·",Q5*F5/E5/1000000)</f>
        <v>22.588465600000003</v>
      </c>
      <c r="J5" s="18">
        <f>IF(ISBLANK(Q5),"·",Q5/C5)</f>
        <v>0.94851177484356675</v>
      </c>
      <c r="K5" s="18">
        <f>IF(N5="","·",N5/C5)</f>
        <v>0.14704417670557937</v>
      </c>
      <c r="L5" s="18">
        <f>IF(R5="","·",R5/C5)</f>
        <v>0.13870305513048906</v>
      </c>
      <c r="M5" s="18">
        <f>IF(ISBLANK(T5),"·",T5/C5)</f>
        <v>0.80146558257101619</v>
      </c>
      <c r="N5" s="15">
        <f>IF(OR(ISBLANK(R5),ISBLANK(S5)),"",R5+S5)</f>
        <v>35018040</v>
      </c>
      <c r="O5" s="18">
        <f>IF(ISBLANK(Q5),"·",Q5/P5)</f>
        <v>9.048292362293882</v>
      </c>
      <c r="P5" s="19">
        <v>24964341</v>
      </c>
      <c r="Q5" s="20">
        <v>225884656</v>
      </c>
      <c r="R5" s="20">
        <v>33031632</v>
      </c>
      <c r="S5" s="20">
        <v>1986408</v>
      </c>
      <c r="T5" s="20">
        <v>190866136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3190.72</v>
      </c>
      <c r="AA5" s="22">
        <v>4186.16</v>
      </c>
      <c r="AB5" s="22">
        <v>3.141</v>
      </c>
      <c r="AC5" s="22">
        <v>21.143000000000001</v>
      </c>
      <c r="AE5" s="23">
        <f>IF(ISBLANK(AN5),"·",AN5/(C5*D5*3))</f>
        <v>3.1492013386561601E-2</v>
      </c>
      <c r="AF5" s="17">
        <f>IF(OR(ISBLANK(AN5),ISBLANK(F5)),"·",AN5*F5/E5/1000000)</f>
        <v>22.499127999999999</v>
      </c>
      <c r="AG5" s="18">
        <f>IF(ISBLANK(AN5),"·",AN5/C5)</f>
        <v>0.94476040159684804</v>
      </c>
      <c r="AH5" s="18">
        <f>IF(AK5="","·",AK5/C5)</f>
        <v>0.14329276986607789</v>
      </c>
      <c r="AI5" s="18">
        <f>IF(AO5="","·",AO5/C5)</f>
        <v>0.1347248298211666</v>
      </c>
      <c r="AJ5" s="18">
        <f>IF(ISBLANK(AQ5),"·",AQ5/C5)</f>
        <v>0.80146558257101619</v>
      </c>
      <c r="AK5" s="15">
        <f>IF(OR(ISBLANK(AO5),ISBLANK(AP5)),"",AO5+AP5)</f>
        <v>34124656</v>
      </c>
      <c r="AL5" s="18">
        <f>IF(ISBLANK(AN5),"·",AN5/AM5)</f>
        <v>9.0125062784553371</v>
      </c>
      <c r="AM5" s="4">
        <v>24964341</v>
      </c>
      <c r="AN5" s="4">
        <v>224991280</v>
      </c>
      <c r="AO5" s="4">
        <v>32084232</v>
      </c>
      <c r="AP5" s="4">
        <v>2040424</v>
      </c>
      <c r="AQ5" s="4">
        <v>190866136</v>
      </c>
      <c r="AR5" s="4" t="s">
        <v>549</v>
      </c>
      <c r="AS5" s="4" t="s">
        <v>549</v>
      </c>
      <c r="AT5" s="4" t="s">
        <v>549</v>
      </c>
      <c r="AU5" s="4" t="s">
        <v>549</v>
      </c>
      <c r="AV5" s="4" t="s">
        <v>549</v>
      </c>
      <c r="AW5" s="4">
        <v>2705.17</v>
      </c>
      <c r="AX5" s="4">
        <v>4009.85</v>
      </c>
      <c r="AY5" s="4">
        <v>2.3290000000000002</v>
      </c>
      <c r="AZ5" s="4">
        <v>15.244</v>
      </c>
      <c r="BB5" s="24">
        <f t="shared" ref="BB5:BB12" si="0">AG5/J5</f>
        <v>0.99604499032461946</v>
      </c>
      <c r="BC5" s="24">
        <f t="shared" ref="BC5:BD12" si="1">AI5/L5</f>
        <v>0.97131840170658224</v>
      </c>
      <c r="BD5" s="24">
        <f t="shared" si="1"/>
        <v>1</v>
      </c>
      <c r="BE5" s="23">
        <f>(AK5/AN5) - (N5/Q5)</f>
        <v>-3.3551847564365078E-3</v>
      </c>
      <c r="BF5" s="23">
        <f t="array" ref="BF5">AVERAGE(AK5:AK5/AN5:AN5) - AVERAGE(N5:N5/Q5:Q5)</f>
        <v>-3.3551847564365078E-3</v>
      </c>
      <c r="BH5">
        <f>AN5-Q5</f>
        <v>-893376</v>
      </c>
    </row>
    <row r="6" spans="1:60" collapsed="1" x14ac:dyDescent="0.3">
      <c r="A6" s="25"/>
      <c r="B6" s="25" t="s">
        <v>275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4.4800878219829685E-2</v>
      </c>
      <c r="I6" s="27">
        <f>IF(OR(ISBLANK(Q6),ISBLANK(F6)),"·",Q6*F6/E6/1000000)</f>
        <v>29.316069600000002</v>
      </c>
      <c r="J6" s="28">
        <f>IF(ISBLANK(Q6),"·",Q6/C6)</f>
        <v>1.3440263465948905</v>
      </c>
      <c r="K6" s="28">
        <f>IF(N6="","·",N6/C6)</f>
        <v>0.178594545138341</v>
      </c>
      <c r="L6" s="28">
        <f>IF(R6="","·",R6/C6)</f>
        <v>0.16641416336699569</v>
      </c>
      <c r="M6" s="28">
        <f>IF(ISBLANK(T6),"·",T6/C6)</f>
        <v>1.16542960084557</v>
      </c>
      <c r="N6" s="25">
        <f>IF(OR(ISBLANK(R6),ISBLANK(S6)),"",R6+S6)</f>
        <v>38955264</v>
      </c>
      <c r="O6" s="28">
        <f>IF(ISBLANK(Q6),"·",Q6/P6)</f>
        <v>12.940341046654639</v>
      </c>
      <c r="P6" s="29">
        <v>22654789</v>
      </c>
      <c r="Q6" s="30">
        <v>293160696</v>
      </c>
      <c r="R6" s="30">
        <v>36298464</v>
      </c>
      <c r="S6" s="30">
        <v>2656800</v>
      </c>
      <c r="T6" s="30">
        <v>254204952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2793.04</v>
      </c>
      <c r="AA6" s="32">
        <v>4528.37</v>
      </c>
      <c r="AB6" s="32">
        <v>2.839</v>
      </c>
      <c r="AC6" s="32">
        <v>20.41</v>
      </c>
      <c r="AE6" s="33">
        <f>IF(ISBLANK(AN6),"·",AN6/(C6*D6*3))</f>
        <v>4.4622257071749723E-2</v>
      </c>
      <c r="AF6" s="27">
        <f>IF(OR(ISBLANK(AN6),ISBLANK(F6)),"·",AN6*F6/E6/1000000)</f>
        <v>29.199186399999999</v>
      </c>
      <c r="AG6" s="28">
        <f>IF(ISBLANK(AN6),"·",AN6/C6)</f>
        <v>1.3386677121524917</v>
      </c>
      <c r="AH6" s="28">
        <f>IF(AK6="","·",AK6/C6)</f>
        <v>0.17323587401909255</v>
      </c>
      <c r="AI6" s="28">
        <f>IF(AO6="","·",AO6/C6)</f>
        <v>0.15844835506667435</v>
      </c>
      <c r="AJ6" s="28">
        <f>IF(ISBLANK(AQ6),"·",AQ6/C6)</f>
        <v>1.16542960084557</v>
      </c>
      <c r="AK6" s="25">
        <f>IF(OR(ISBLANK(AO6),ISBLANK(AP6)),"",AO6+AP6)</f>
        <v>37786424</v>
      </c>
      <c r="AL6" s="28">
        <f>IF(ISBLANK(AN6),"·",AN6/AM6)</f>
        <v>12.888747893436571</v>
      </c>
      <c r="AM6" s="4">
        <v>22654789</v>
      </c>
      <c r="AN6" s="4">
        <v>291991864</v>
      </c>
      <c r="AO6" s="4">
        <v>34560952</v>
      </c>
      <c r="AP6" s="4">
        <v>3225472</v>
      </c>
      <c r="AQ6" s="4">
        <v>254204952</v>
      </c>
      <c r="AR6" s="4" t="s">
        <v>549</v>
      </c>
      <c r="AS6" s="4" t="s">
        <v>549</v>
      </c>
      <c r="AT6" s="4" t="s">
        <v>549</v>
      </c>
      <c r="AU6" s="4" t="s">
        <v>549</v>
      </c>
      <c r="AV6" s="4" t="s">
        <v>549</v>
      </c>
      <c r="AW6" s="4">
        <v>2418.1</v>
      </c>
      <c r="AX6" s="4">
        <v>4295.33</v>
      </c>
      <c r="AY6" s="4">
        <v>2.3980000000000001</v>
      </c>
      <c r="AZ6" s="4">
        <v>18.965</v>
      </c>
      <c r="BB6" s="34">
        <f t="shared" si="0"/>
        <v>0.99601299895945117</v>
      </c>
      <c r="BC6" s="34">
        <f t="shared" si="1"/>
        <v>0.95213263018512295</v>
      </c>
      <c r="BD6" s="34">
        <f t="shared" si="1"/>
        <v>1</v>
      </c>
      <c r="BE6" s="33">
        <f>(AK6/AN6) - (N6/Q6)</f>
        <v>-3.4710738443628208E-3</v>
      </c>
      <c r="BF6" s="33">
        <f t="array" ref="BF6">AVERAGE(AK6:AK6/AN6:AN6) - AVERAGE(N6:N6/Q6:Q6)</f>
        <v>-3.4710738443628208E-3</v>
      </c>
      <c r="BH6" s="4">
        <f t="shared" ref="BH6:BH9" si="2">AN6-Q6</f>
        <v>-1168832</v>
      </c>
    </row>
    <row r="7" spans="1:60" collapsed="1" x14ac:dyDescent="0.3">
      <c r="A7" s="15"/>
      <c r="B7" s="15" t="s">
        <v>278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3.6281843225432472E-2</v>
      </c>
      <c r="I7" s="17">
        <f>IF(OR(ISBLANK(Q7),ISBLANK(F7)),"·",Q7*F7/E7/1000000)</f>
        <v>35.112447200000005</v>
      </c>
      <c r="J7" s="18">
        <f>IF(ISBLANK(Q7),"·",Q7/C7)</f>
        <v>1.0884552967629741</v>
      </c>
      <c r="K7" s="18">
        <f>IF(N7="","·",N7/C7)</f>
        <v>0.16977159320621094</v>
      </c>
      <c r="L7" s="18">
        <f>IF(R7="","·",R7/C7)</f>
        <v>0.15813888468058485</v>
      </c>
      <c r="M7" s="18">
        <f>IF(ISBLANK(T7),"·",T7/C7)</f>
        <v>0.91868221559854868</v>
      </c>
      <c r="N7" s="15">
        <f>IF(OR(ISBLANK(R7),ISBLANK(S7)),"",R7+S7)</f>
        <v>54766568</v>
      </c>
      <c r="O7" s="18">
        <f>IF(ISBLANK(Q7),"·",Q7/P7)</f>
        <v>10.343094990950496</v>
      </c>
      <c r="P7" s="19">
        <v>33947718</v>
      </c>
      <c r="Q7" s="20">
        <v>351124472</v>
      </c>
      <c r="R7" s="20">
        <v>51013976</v>
      </c>
      <c r="S7" s="20">
        <v>3752592</v>
      </c>
      <c r="T7" s="20">
        <v>296357424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3993.76</v>
      </c>
      <c r="AA7" s="22">
        <v>6272.86</v>
      </c>
      <c r="AB7" s="22">
        <v>4.0670000000000002</v>
      </c>
      <c r="AC7" s="22">
        <v>26.366</v>
      </c>
      <c r="AE7" s="23">
        <f>IF(ISBLANK(AN7),"·",AN7/(C7*D7*3))</f>
        <v>3.6065064246439807E-2</v>
      </c>
      <c r="AF7" s="17">
        <f>IF(OR(ISBLANK(AN7),ISBLANK(F7)),"·",AN7*F7/E7/1000000)</f>
        <v>34.902655200000005</v>
      </c>
      <c r="AG7" s="18">
        <f>IF(ISBLANK(AN7),"·",AN7/C7)</f>
        <v>1.0819519273931941</v>
      </c>
      <c r="AH7" s="18">
        <f>IF(AK7="","·",AK7/C7)</f>
        <v>0.16326819903712736</v>
      </c>
      <c r="AI7" s="18">
        <f>IF(AO7="","·",AO7/C7)</f>
        <v>0.15124633983978608</v>
      </c>
      <c r="AJ7" s="18">
        <f>IF(ISBLANK(AQ7),"·",AQ7/C7)</f>
        <v>0.91868221559854868</v>
      </c>
      <c r="AK7" s="15">
        <f>IF(OR(ISBLANK(AO7),ISBLANK(AP7)),"",AO7+AP7)</f>
        <v>52668640</v>
      </c>
      <c r="AL7" s="18">
        <f>IF(ISBLANK(AN7),"·",AN7/AM7)</f>
        <v>10.28129643353347</v>
      </c>
      <c r="AM7" s="4">
        <v>33947718</v>
      </c>
      <c r="AN7" s="4">
        <v>349026552</v>
      </c>
      <c r="AO7" s="4">
        <v>48790512</v>
      </c>
      <c r="AP7" s="4">
        <v>3878128</v>
      </c>
      <c r="AQ7" s="4">
        <v>296357424</v>
      </c>
      <c r="AR7" s="4" t="s">
        <v>549</v>
      </c>
      <c r="AS7" s="4" t="s">
        <v>549</v>
      </c>
      <c r="AT7" s="4" t="s">
        <v>549</v>
      </c>
      <c r="AU7" s="4" t="s">
        <v>549</v>
      </c>
      <c r="AV7" s="4" t="s">
        <v>549</v>
      </c>
      <c r="AW7" s="4">
        <v>3698.88</v>
      </c>
      <c r="AX7" s="4">
        <v>5996.37</v>
      </c>
      <c r="AY7" s="4">
        <v>3.44</v>
      </c>
      <c r="AZ7" s="4">
        <v>24.068000000000001</v>
      </c>
      <c r="BB7" s="24">
        <f t="shared" si="0"/>
        <v>0.99402513875478327</v>
      </c>
      <c r="BC7" s="24">
        <f t="shared" si="1"/>
        <v>0.95641461077254597</v>
      </c>
      <c r="BD7" s="24">
        <f t="shared" si="1"/>
        <v>1</v>
      </c>
      <c r="BE7" s="23">
        <f>(AK7/AN7) - (N7/Q7)</f>
        <v>-5.0732683378291177E-3</v>
      </c>
      <c r="BF7" s="23">
        <f t="array" ref="BF7">AVERAGE(AK7:AK7/AN7:AN7) - AVERAGE(N7:N7/Q7:Q7)</f>
        <v>-5.0732683378291177E-3</v>
      </c>
      <c r="BH7" s="4">
        <f t="shared" si="2"/>
        <v>-2097920</v>
      </c>
    </row>
    <row r="8" spans="1:60" collapsed="1" x14ac:dyDescent="0.3">
      <c r="A8" s="45"/>
      <c r="B8" s="45" t="s">
        <v>281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3.5095498293087661E-2</v>
      </c>
      <c r="I8" s="47">
        <f>IF(OR(ISBLANK(Q8),ISBLANK(F8)),"·",Q8*F8/E8/1000000)</f>
        <v>52.770200000000003</v>
      </c>
      <c r="J8" s="48">
        <f>IF(ISBLANK(Q8),"·",Q8/C8)</f>
        <v>1.0528649487926298</v>
      </c>
      <c r="K8" s="48">
        <f>IF(N8="","·",N8/C8)</f>
        <v>0.14306848519157747</v>
      </c>
      <c r="L8" s="48">
        <f>IF(R8="","·",R8/C8)</f>
        <v>0.12947968744702151</v>
      </c>
      <c r="M8" s="48">
        <f>IF(ISBLANK(T8),"·",T8/C8)</f>
        <v>0.90979454822011607</v>
      </c>
      <c r="N8" s="45">
        <f>IF(OR(ISBLANK(R8),ISBLANK(S8)),"",R8+S8)</f>
        <v>35853376</v>
      </c>
      <c r="O8" s="48">
        <f>IF(ISBLANK(Q8),"·",Q8/P8)</f>
        <v>8.1916772564042386</v>
      </c>
      <c r="P8" s="49">
        <v>32209643</v>
      </c>
      <c r="Q8" s="50">
        <v>263851000</v>
      </c>
      <c r="R8" s="50">
        <v>32447984</v>
      </c>
      <c r="S8" s="50">
        <v>3405392</v>
      </c>
      <c r="T8" s="50">
        <v>227997144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3934.2</v>
      </c>
      <c r="AA8" s="52">
        <v>4497.3100000000004</v>
      </c>
      <c r="AB8" s="52">
        <v>3.266</v>
      </c>
      <c r="AC8" s="52">
        <v>19.989999999999998</v>
      </c>
      <c r="AE8" s="53">
        <f>IF(ISBLANK(AN8),"·",AN8/(C8*D8*3))</f>
        <v>3.4918308530872723E-2</v>
      </c>
      <c r="AF8" s="47">
        <f>IF(OR(ISBLANK(AN8),ISBLANK(F8)),"·",AN8*F8/E8/1000000)</f>
        <v>52.503774399999998</v>
      </c>
      <c r="AG8" s="48">
        <f>IF(ISBLANK(AN8),"·",AN8/C8)</f>
        <v>1.0475492559261816</v>
      </c>
      <c r="AH8" s="48">
        <f>IF(AK8="","·",AK8/C8)</f>
        <v>0.13775276040211365</v>
      </c>
      <c r="AI8" s="48">
        <f>IF(AO8="","·",AO8/C8)</f>
        <v>0.11814714459938133</v>
      </c>
      <c r="AJ8" s="48">
        <f>IF(ISBLANK(AQ8),"·",AQ8/C8)</f>
        <v>0.90979454822011607</v>
      </c>
      <c r="AK8" s="45">
        <f>IF(OR(ISBLANK(AO8),ISBLANK(AP8)),"",AO8+AP8)</f>
        <v>34521240</v>
      </c>
      <c r="AL8" s="48">
        <f>IF(ISBLANK(AN8),"·",AN8/AM8)</f>
        <v>8.150319207201397</v>
      </c>
      <c r="AM8" s="4">
        <v>32209643</v>
      </c>
      <c r="AN8" s="4">
        <v>262518872</v>
      </c>
      <c r="AO8" s="4">
        <v>29608016</v>
      </c>
      <c r="AP8" s="4">
        <v>4913224</v>
      </c>
      <c r="AQ8" s="4">
        <v>227997144</v>
      </c>
      <c r="AR8" s="4" t="s">
        <v>549</v>
      </c>
      <c r="AS8" s="4" t="s">
        <v>549</v>
      </c>
      <c r="AT8" s="4" t="s">
        <v>549</v>
      </c>
      <c r="AU8" s="4" t="s">
        <v>549</v>
      </c>
      <c r="AV8" s="4" t="s">
        <v>549</v>
      </c>
      <c r="AW8" s="4">
        <v>3478.96</v>
      </c>
      <c r="AX8" s="4">
        <v>4306.5600000000004</v>
      </c>
      <c r="AY8" s="4">
        <v>2.6179999999999999</v>
      </c>
      <c r="AZ8" s="4">
        <v>19.369</v>
      </c>
      <c r="BB8" s="54">
        <f t="shared" si="0"/>
        <v>0.99495121110020435</v>
      </c>
      <c r="BC8" s="54">
        <f t="shared" si="1"/>
        <v>0.91247628820329785</v>
      </c>
      <c r="BD8" s="54">
        <f t="shared" si="1"/>
        <v>1</v>
      </c>
      <c r="BE8" s="53">
        <f>(AK8/AN8) - (N8/Q8)</f>
        <v>-4.3849033193735232E-3</v>
      </c>
      <c r="BF8" s="53">
        <f t="array" ref="BF8">AVERAGE(AK8:AK8/AN8:AN8) - AVERAGE(N8:N8/Q8:Q8)</f>
        <v>-4.3849033193735232E-3</v>
      </c>
      <c r="BH8" s="4">
        <f t="shared" si="2"/>
        <v>-1332128</v>
      </c>
    </row>
    <row r="9" spans="1:60" collapsed="1" x14ac:dyDescent="0.3">
      <c r="A9" s="35" t="s">
        <v>285</v>
      </c>
      <c r="B9" s="35" t="s">
        <v>284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5.1208604534103204E-2</v>
      </c>
      <c r="I9" s="37">
        <f>IF(OR(ISBLANK(Q9),ISBLANK(F9)),"·",Q9*F9/E9/1000000)</f>
        <v>38.451708799999999</v>
      </c>
      <c r="J9" s="38">
        <f>IF(ISBLANK(Q9),"·",Q9/C9)</f>
        <v>1.5362581360230962</v>
      </c>
      <c r="K9" s="38">
        <f>IF(N9="","·",N9/C9)</f>
        <v>0.15821523455909245</v>
      </c>
      <c r="L9" s="38">
        <f>IF(R9="","·",R9/C9)</f>
        <v>0.14890316722876568</v>
      </c>
      <c r="M9" s="38">
        <f>IF(ISBLANK(T9),"·",T9/C9)</f>
        <v>1.3780409837237309</v>
      </c>
      <c r="N9" s="35">
        <f>IF(OR(ISBLANK(R9),ISBLANK(S9)),"",R9+S9)</f>
        <v>39600416</v>
      </c>
      <c r="O9" s="38">
        <f>IF(ISBLANK(Q9),"·",Q9/P9)</f>
        <v>15.190853750461038</v>
      </c>
      <c r="P9" s="39">
        <v>25312408</v>
      </c>
      <c r="Q9" s="40">
        <v>384517088</v>
      </c>
      <c r="R9" s="40">
        <v>37269656</v>
      </c>
      <c r="S9" s="40">
        <v>2330760</v>
      </c>
      <c r="T9" s="40">
        <v>344916192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3218.85</v>
      </c>
      <c r="AA9" s="42">
        <v>5026.09</v>
      </c>
      <c r="AB9" s="42">
        <v>3.1259999999999999</v>
      </c>
      <c r="AC9" s="42">
        <v>23.067</v>
      </c>
      <c r="AE9" s="43">
        <f>IF(ISBLANK(AN9),"·",AN9/(C9*D9*3))</f>
        <v>5.1022149039832855E-2</v>
      </c>
      <c r="AF9" s="37">
        <f>IF(OR(ISBLANK(AN9),ISBLANK(F9)),"·",AN9*F9/E9/1000000)</f>
        <v>38.311702400000001</v>
      </c>
      <c r="AG9" s="38">
        <f>IF(ISBLANK(AN9),"·",AN9/C9)</f>
        <v>1.5306644711949857</v>
      </c>
      <c r="AH9" s="38">
        <f>IF(AK9="","·",AK9/C9)</f>
        <v>0.15262153776864415</v>
      </c>
      <c r="AI9" s="38">
        <f>IF(AO9="","·",AO9/C9)</f>
        <v>0.14249618875090153</v>
      </c>
      <c r="AJ9" s="38">
        <f>IF(ISBLANK(AQ9),"·",AQ9/C9)</f>
        <v>1.3780409837237309</v>
      </c>
      <c r="AK9" s="35">
        <f>IF(OR(ISBLANK(AO9),ISBLANK(AP9)),"",AO9+AP9)</f>
        <v>38200344</v>
      </c>
      <c r="AL9" s="38">
        <f>IF(ISBLANK(AN9),"·",AN9/AM9)</f>
        <v>15.135542379057734</v>
      </c>
      <c r="AM9" s="4">
        <v>25312408</v>
      </c>
      <c r="AN9" s="4">
        <v>383117024</v>
      </c>
      <c r="AO9" s="4">
        <v>35666024</v>
      </c>
      <c r="AP9" s="4">
        <v>2534320</v>
      </c>
      <c r="AQ9" s="4">
        <v>344916192</v>
      </c>
      <c r="AR9" s="4" t="s">
        <v>549</v>
      </c>
      <c r="AS9" s="4" t="s">
        <v>549</v>
      </c>
      <c r="AT9" s="4" t="s">
        <v>549</v>
      </c>
      <c r="AU9" s="4" t="s">
        <v>549</v>
      </c>
      <c r="AV9" s="4" t="s">
        <v>549</v>
      </c>
      <c r="AW9" s="4">
        <v>2723.99</v>
      </c>
      <c r="AX9" s="4">
        <v>4747.1000000000004</v>
      </c>
      <c r="AY9" s="4">
        <v>2.294</v>
      </c>
      <c r="AZ9" s="4">
        <v>23.173999999999999</v>
      </c>
      <c r="BB9" s="44">
        <f t="shared" si="0"/>
        <v>0.99635890304048069</v>
      </c>
      <c r="BC9" s="44">
        <f t="shared" si="1"/>
        <v>0.95697218133701045</v>
      </c>
      <c r="BD9" s="44">
        <f t="shared" si="1"/>
        <v>1</v>
      </c>
      <c r="BE9" s="43">
        <f>(AK9/AN9) - (N9/Q9)</f>
        <v>-3.2780664053881914E-3</v>
      </c>
      <c r="BF9" s="43">
        <f t="array" ref="BF9">AVERAGE(AK9:AK9/AN9:AN9) - AVERAGE(N9:N9/Q9:Q9)</f>
        <v>-3.2780664053881914E-3</v>
      </c>
      <c r="BH9" s="4">
        <f t="shared" si="2"/>
        <v>-1400064</v>
      </c>
    </row>
    <row r="10" spans="1:60" x14ac:dyDescent="0.3">
      <c r="B10" s="55" t="s">
        <v>288</v>
      </c>
      <c r="J10" s="56">
        <f>AVERAGE(J5:J8)</f>
        <v>1.1084645917485152</v>
      </c>
      <c r="K10" s="56">
        <f>AVERAGE(K5:K8)</f>
        <v>0.15961970006042719</v>
      </c>
      <c r="L10" s="56">
        <f>AVERAGE(L5:L8)</f>
        <v>0.14818394765627277</v>
      </c>
      <c r="M10" s="56">
        <f>AVERAGE(M5:M8)</f>
        <v>0.94884298680881274</v>
      </c>
      <c r="AG10" s="56">
        <f>AVERAGE(AG5:AG8)</f>
        <v>1.1032323242671789</v>
      </c>
      <c r="AH10" s="56">
        <f>AVERAGE(AH5:AH8)</f>
        <v>0.15438740083110286</v>
      </c>
      <c r="AI10" s="56">
        <f>AVERAGE(AI5:AI8)</f>
        <v>0.1406416673317521</v>
      </c>
      <c r="AJ10" s="56">
        <f>AVERAGE(AJ5:AJ8)</f>
        <v>0.94884298680881274</v>
      </c>
      <c r="BB10" s="5">
        <f t="shared" si="0"/>
        <v>0.99527971617651512</v>
      </c>
      <c r="BC10" s="5">
        <f t="shared" si="1"/>
        <v>0.94910190716462939</v>
      </c>
      <c r="BD10" s="5">
        <f t="shared" si="1"/>
        <v>1</v>
      </c>
      <c r="BF10" s="8">
        <f>AVERAGE(BF5:BF8)</f>
        <v>-4.0711075645004924E-3</v>
      </c>
    </row>
    <row r="11" spans="1:60" x14ac:dyDescent="0.3">
      <c r="B11" s="55" t="s">
        <v>289</v>
      </c>
      <c r="J11" s="56">
        <f>AVERAGE(J9:J9)</f>
        <v>1.5362581360230962</v>
      </c>
      <c r="K11" s="56">
        <f>AVERAGE(K9:K9)</f>
        <v>0.15821523455909245</v>
      </c>
      <c r="L11" s="56">
        <f>AVERAGE(L9:L9)</f>
        <v>0.14890316722876568</v>
      </c>
      <c r="M11" s="56">
        <f>AVERAGE(M9:M9)</f>
        <v>1.3780409837237309</v>
      </c>
      <c r="AG11" s="56">
        <f>AVERAGE(AG9:AG9)</f>
        <v>1.5306644711949857</v>
      </c>
      <c r="AH11" s="56">
        <f>AVERAGE(AH9:AH9)</f>
        <v>0.15262153776864415</v>
      </c>
      <c r="AI11" s="56">
        <f>AVERAGE(AI9:AI9)</f>
        <v>0.14249618875090153</v>
      </c>
      <c r="AJ11" s="56">
        <f>AVERAGE(AJ9:AJ9)</f>
        <v>1.3780409837237309</v>
      </c>
      <c r="BB11" s="5">
        <f t="shared" si="0"/>
        <v>0.99635890304048069</v>
      </c>
      <c r="BC11" s="5">
        <f t="shared" si="1"/>
        <v>0.95697218133701045</v>
      </c>
      <c r="BD11" s="5">
        <f t="shared" si="1"/>
        <v>1</v>
      </c>
      <c r="BF11" s="8">
        <f>AVERAGE(BF9:BF9)</f>
        <v>-3.2780664053881914E-3</v>
      </c>
    </row>
    <row r="12" spans="1:60" collapsed="1" x14ac:dyDescent="0.3">
      <c r="B12" s="55" t="s">
        <v>290</v>
      </c>
      <c r="J12" s="56">
        <f>AVERAGE(J5:J9)</f>
        <v>1.1940233006034313</v>
      </c>
      <c r="K12" s="56">
        <f>AVERAGE(K5:K9)</f>
        <v>0.15933880696016026</v>
      </c>
      <c r="L12" s="56">
        <f>AVERAGE(L5:L9)</f>
        <v>0.14832779157077133</v>
      </c>
      <c r="M12" s="56">
        <f>AVERAGE(M5:M9)</f>
        <v>1.0346825861917963</v>
      </c>
      <c r="AG12" s="56">
        <f>AVERAGE(AG5:AG9)</f>
        <v>1.1887187536527404</v>
      </c>
      <c r="AH12" s="56">
        <f>AVERAGE(AH5:AH9)</f>
        <v>0.15403422821861112</v>
      </c>
      <c r="AI12" s="56">
        <f>AVERAGE(AI5:AI9)</f>
        <v>0.14101257161558198</v>
      </c>
      <c r="AJ12" s="56">
        <f>AVERAGE(AJ5:AJ9)</f>
        <v>1.0346825861917963</v>
      </c>
      <c r="BB12" s="5">
        <f t="shared" si="0"/>
        <v>0.9955574175579236</v>
      </c>
      <c r="BC12" s="5">
        <f t="shared" si="1"/>
        <v>0.9506820678867921</v>
      </c>
      <c r="BD12" s="5">
        <f t="shared" si="1"/>
        <v>1</v>
      </c>
      <c r="BF12" s="8">
        <f>AVERAGE(BF5:BF9)</f>
        <v>-3.9124993326780325E-3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17130.57</v>
      </c>
      <c r="AA13" s="57">
        <f>SUM(AA5:AA8,AA9:AA9)</f>
        <v>24510.79</v>
      </c>
      <c r="AB13" s="57">
        <f>SUM(AB5:AB8,AB9:AB9)</f>
        <v>16.439</v>
      </c>
      <c r="AC13" s="57">
        <f>SUM(AC5:AC8,AC9:AC9)</f>
        <v>110.976</v>
      </c>
      <c r="AW13" s="57">
        <f>SUM(AW5:AW8,AW9:AW9)</f>
        <v>15025.1</v>
      </c>
      <c r="AX13" s="57">
        <f>SUM(AX5:AX8,AX9:AX9)</f>
        <v>23355.21</v>
      </c>
      <c r="AY13" s="57">
        <f>SUM(AY5:AY8,AY9:AY9)</f>
        <v>13.079000000000001</v>
      </c>
      <c r="AZ13" s="57">
        <f>SUM(AZ5:AZ8,AZ9:AZ9)</f>
        <v>100.82</v>
      </c>
    </row>
    <row r="14" spans="1:60" hidden="1" outlineLevel="2" x14ac:dyDescent="0.3">
      <c r="B14" s="55" t="s">
        <v>293</v>
      </c>
      <c r="AW14" s="8">
        <f>AW13/Z13</f>
        <v>0.87709282294751434</v>
      </c>
      <c r="AX14" s="8">
        <f>AX13/AA13</f>
        <v>0.95285423276850723</v>
      </c>
      <c r="AY14" s="8">
        <f>AY13/AB13</f>
        <v>0.7956080053531237</v>
      </c>
      <c r="AZ14" s="8">
        <f>AZ13/AC13</f>
        <v>0.90848471741637826</v>
      </c>
    </row>
    <row r="15" spans="1:60" hidden="1" outlineLevel="2" x14ac:dyDescent="0.3">
      <c r="B15" s="55" t="s">
        <v>294</v>
      </c>
      <c r="Z15" s="57">
        <f>GEOMEAN(Z5:Z8,Z9:Z9)</f>
        <v>3394.5405201954945</v>
      </c>
      <c r="AA15" s="57">
        <f>GEOMEAN(AA5:AA8,AA9:AA9)</f>
        <v>4851.5586035303559</v>
      </c>
      <c r="AB15" s="57">
        <f>GEOMEAN(AB5:AB8,AB9:AB9)</f>
        <v>3.2636421324716491</v>
      </c>
      <c r="AC15" s="57">
        <f>GEOMEAN(AC5:AC8,AC9:AC9)</f>
        <v>22.078601169383909</v>
      </c>
      <c r="AW15" s="57">
        <f>GEOMEAN(AW5:AW8,AW9:AW9)</f>
        <v>2965.369396402476</v>
      </c>
      <c r="AX15" s="57">
        <f>GEOMEAN(AX5:AX8,AX9:AX9)</f>
        <v>4622.8988758655696</v>
      </c>
      <c r="AY15" s="57">
        <f>GEOMEAN(AY5:AY8,AY9:AY9)</f>
        <v>2.584806476197095</v>
      </c>
      <c r="AZ15" s="57">
        <f>GEOMEAN(AZ5:AZ8,AZ9:AZ9)</f>
        <v>19.90306669610025</v>
      </c>
    </row>
    <row r="16" spans="1:60" outlineLevel="2" collapsed="1" x14ac:dyDescent="0.3">
      <c r="B16" s="55" t="s">
        <v>295</v>
      </c>
      <c r="AW16" s="8">
        <f>AW15/Z15</f>
        <v>0.87357018682213217</v>
      </c>
      <c r="AX16" s="8">
        <f>AX15/AA15</f>
        <v>0.95286881055123263</v>
      </c>
      <c r="AY16" s="8">
        <f>AY15/AB15</f>
        <v>0.79200058440217136</v>
      </c>
      <c r="AZ16" s="8">
        <f>AZ15/AC15</f>
        <v>0.9014641164721775</v>
      </c>
    </row>
    <row r="20" spans="39:43" x14ac:dyDescent="0.3">
      <c r="AM20">
        <f>AM5-P5</f>
        <v>0</v>
      </c>
      <c r="AN20" s="4">
        <f t="shared" ref="AN20:AQ20" si="3">AN5-Q5</f>
        <v>-893376</v>
      </c>
      <c r="AO20" s="4">
        <f t="shared" si="3"/>
        <v>-947400</v>
      </c>
      <c r="AP20" s="4">
        <f t="shared" si="3"/>
        <v>54016</v>
      </c>
      <c r="AQ20" s="4">
        <f t="shared" si="3"/>
        <v>0</v>
      </c>
    </row>
    <row r="21" spans="39:43" x14ac:dyDescent="0.3">
      <c r="AM21" s="4">
        <f t="shared" ref="AM21:AM24" si="4">AM6-P6</f>
        <v>0</v>
      </c>
      <c r="AN21" s="4">
        <f t="shared" ref="AN21:AN24" si="5">AN6-Q6</f>
        <v>-1168832</v>
      </c>
      <c r="AO21" s="4">
        <f t="shared" ref="AO21:AO24" si="6">AO6-R6</f>
        <v>-1737512</v>
      </c>
      <c r="AP21" s="4">
        <f t="shared" ref="AP21:AP24" si="7">AP6-S6</f>
        <v>568672</v>
      </c>
      <c r="AQ21" s="4">
        <f t="shared" ref="AQ21:AQ24" si="8">AQ6-T6</f>
        <v>0</v>
      </c>
    </row>
    <row r="22" spans="39:43" x14ac:dyDescent="0.3">
      <c r="AM22" s="4">
        <f t="shared" si="4"/>
        <v>0</v>
      </c>
      <c r="AN22" s="4">
        <f t="shared" si="5"/>
        <v>-2097920</v>
      </c>
      <c r="AO22" s="4">
        <f t="shared" si="6"/>
        <v>-2223464</v>
      </c>
      <c r="AP22" s="4">
        <f t="shared" si="7"/>
        <v>125536</v>
      </c>
      <c r="AQ22" s="4">
        <f t="shared" si="8"/>
        <v>0</v>
      </c>
    </row>
    <row r="23" spans="39:43" x14ac:dyDescent="0.3">
      <c r="AM23" s="4">
        <f t="shared" si="4"/>
        <v>0</v>
      </c>
      <c r="AN23" s="4">
        <f t="shared" si="5"/>
        <v>-1332128</v>
      </c>
      <c r="AO23" s="4">
        <f t="shared" si="6"/>
        <v>-2839968</v>
      </c>
      <c r="AP23" s="4">
        <f t="shared" si="7"/>
        <v>1507832</v>
      </c>
      <c r="AQ23" s="4">
        <f t="shared" si="8"/>
        <v>0</v>
      </c>
    </row>
    <row r="24" spans="39:43" x14ac:dyDescent="0.3">
      <c r="AM24" s="4">
        <f t="shared" si="4"/>
        <v>0</v>
      </c>
      <c r="AN24" s="4">
        <f t="shared" si="5"/>
        <v>-1400064</v>
      </c>
      <c r="AO24" s="4">
        <f t="shared" si="6"/>
        <v>-1603632</v>
      </c>
      <c r="AP24" s="4">
        <f t="shared" si="7"/>
        <v>203560</v>
      </c>
      <c r="AQ24" s="4">
        <f t="shared" si="8"/>
        <v>0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5"/>
  <sheetViews>
    <sheetView zoomScale="85" zoomScaleNormal="85" workbookViewId="0">
      <pane xSplit="2" topLeftCell="W1" activePane="topRight" state="frozen"/>
      <selection pane="topRight" activeCell="AM5" sqref="AM5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3" t="s">
        <v>441</v>
      </c>
      <c r="B1" s="73"/>
      <c r="C1" s="73"/>
      <c r="D1" s="73"/>
      <c r="E1" s="73"/>
      <c r="F1" s="73"/>
      <c r="H1" s="69" t="s">
        <v>551</v>
      </c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E1" s="70" t="s">
        <v>3</v>
      </c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</row>
    <row r="2" spans="1:60" ht="30" customHeight="1" x14ac:dyDescent="0.3">
      <c r="A2" s="75" t="s">
        <v>93</v>
      </c>
      <c r="B2" s="74" t="s">
        <v>96</v>
      </c>
      <c r="C2" s="75" t="s">
        <v>102</v>
      </c>
      <c r="D2" s="74" t="s">
        <v>105</v>
      </c>
      <c r="E2" s="75" t="s">
        <v>108</v>
      </c>
      <c r="F2" s="74" t="s">
        <v>111</v>
      </c>
      <c r="H2" s="75" t="s">
        <v>310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1" t="s">
        <v>142</v>
      </c>
      <c r="R2" s="71"/>
      <c r="S2" s="71"/>
      <c r="T2" s="71"/>
      <c r="U2" s="72" t="s">
        <v>153</v>
      </c>
      <c r="V2" s="72"/>
      <c r="W2" s="71" t="s">
        <v>160</v>
      </c>
      <c r="X2" s="71"/>
      <c r="Y2" s="71"/>
      <c r="Z2" s="72" t="s">
        <v>170</v>
      </c>
      <c r="AA2" s="72"/>
      <c r="AB2" s="71" t="s">
        <v>177</v>
      </c>
      <c r="AC2" s="71"/>
      <c r="AE2" s="75" t="s">
        <v>310</v>
      </c>
      <c r="AF2" s="74" t="s">
        <v>114</v>
      </c>
      <c r="AG2" s="72" t="s">
        <v>117</v>
      </c>
      <c r="AH2" s="72"/>
      <c r="AI2" s="72"/>
      <c r="AJ2" s="72"/>
      <c r="AK2" s="75" t="s">
        <v>192</v>
      </c>
      <c r="AL2" s="74" t="s">
        <v>133</v>
      </c>
      <c r="AM2" s="75" t="s">
        <v>24</v>
      </c>
      <c r="AN2" s="71" t="s">
        <v>142</v>
      </c>
      <c r="AO2" s="71"/>
      <c r="AP2" s="71"/>
      <c r="AQ2" s="71"/>
      <c r="AR2" s="72" t="s">
        <v>153</v>
      </c>
      <c r="AS2" s="72"/>
      <c r="AT2" s="71" t="s">
        <v>160</v>
      </c>
      <c r="AU2" s="71"/>
      <c r="AV2" s="71"/>
      <c r="AW2" s="72" t="s">
        <v>170</v>
      </c>
      <c r="AX2" s="72"/>
      <c r="AY2" s="71" t="s">
        <v>177</v>
      </c>
      <c r="AZ2" s="71"/>
      <c r="BB2" s="72" t="s">
        <v>357</v>
      </c>
      <c r="BC2" s="72"/>
      <c r="BD2" s="72"/>
      <c r="BE2" s="74" t="s">
        <v>232</v>
      </c>
      <c r="BF2" s="75" t="s">
        <v>232</v>
      </c>
      <c r="BH2" t="s">
        <v>550</v>
      </c>
    </row>
    <row r="3" spans="1:60" ht="28.8" x14ac:dyDescent="0.3">
      <c r="A3" s="75"/>
      <c r="B3" s="74"/>
      <c r="C3" s="75"/>
      <c r="D3" s="74"/>
      <c r="E3" s="75"/>
      <c r="F3" s="74"/>
      <c r="H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5"/>
      <c r="AF3" s="74"/>
      <c r="AG3" s="11" t="s">
        <v>118</v>
      </c>
      <c r="AH3" s="11" t="s">
        <v>121</v>
      </c>
      <c r="AI3" s="11" t="s">
        <v>124</v>
      </c>
      <c r="AJ3" s="11" t="s">
        <v>127</v>
      </c>
      <c r="AK3" s="75"/>
      <c r="AL3" s="74"/>
      <c r="AM3" s="75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4"/>
      <c r="BF3" s="75"/>
    </row>
    <row r="4" spans="1:60" ht="127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3.0966475574261378E-2</v>
      </c>
      <c r="I5" s="17">
        <f>IF(OR(ISBLANK(Q5),ISBLANK(F5)),"·",Q5*F5/E5/1000000)</f>
        <v>22.123663199999999</v>
      </c>
      <c r="J5" s="18">
        <f>IF(ISBLANK(Q5),"·",Q5/C5)</f>
        <v>0.9289942672278414</v>
      </c>
      <c r="K5" s="18">
        <f>IF(N5="","·",N5/C5)</f>
        <v>0.14676596127799393</v>
      </c>
      <c r="L5" s="18">
        <f>IF(R5="","·",R5/C5)</f>
        <v>0.13816342066674442</v>
      </c>
      <c r="M5" s="18">
        <f>IF(ISBLANK(T5),"·",T5/C5)</f>
        <v>0.78222629038287628</v>
      </c>
      <c r="N5" s="15">
        <f>IF(OR(ISBLANK(R5),ISBLANK(S5)),"",R5+S5)</f>
        <v>34951784</v>
      </c>
      <c r="O5" s="18">
        <f>IF(ISBLANK(Q5),"·",Q5/P5)</f>
        <v>8.8621058332763525</v>
      </c>
      <c r="P5" s="19">
        <v>24964341</v>
      </c>
      <c r="Q5" s="20">
        <v>221236632</v>
      </c>
      <c r="R5" s="20">
        <v>32903120</v>
      </c>
      <c r="S5" s="20">
        <v>2048664</v>
      </c>
      <c r="T5" s="20">
        <v>186284368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3127.53</v>
      </c>
      <c r="AA5" s="22">
        <v>5964.07</v>
      </c>
      <c r="AB5" s="22">
        <v>2.8279999999999998</v>
      </c>
      <c r="AC5" s="22">
        <v>19.538</v>
      </c>
      <c r="AE5" s="23">
        <f>IF(ISBLANK(AN5),"·",AN5/(C5*D5*3))</f>
        <v>3.0840747865878849E-2</v>
      </c>
      <c r="AF5" s="17">
        <f>IF(OR(ISBLANK(AN5),ISBLANK(F5)),"·",AN5*F5/E5/1000000)</f>
        <v>22.033838399999997</v>
      </c>
      <c r="AG5" s="18">
        <f>IF(ISBLANK(AN5),"·",AN5/C5)</f>
        <v>0.92522243597636544</v>
      </c>
      <c r="AH5" s="18">
        <f>IF(AK5="","·",AK5/C5)</f>
        <v>0.14299409643373517</v>
      </c>
      <c r="AI5" s="18">
        <f>IF(AO5="","·",AO5/C5)</f>
        <v>0.13415734694043716</v>
      </c>
      <c r="AJ5" s="18">
        <f>IF(ISBLANK(AQ5),"·",AQ5/C5)</f>
        <v>0.78222629038287628</v>
      </c>
      <c r="AK5" s="15">
        <f>IF(OR(ISBLANK(AO5),ISBLANK(AP5)),"",AO5+AP5)</f>
        <v>34053528</v>
      </c>
      <c r="AL5" s="18">
        <f>IF(ISBLANK(AN5),"·",AN5/AM5)</f>
        <v>8.8261245910717214</v>
      </c>
      <c r="AM5" s="4">
        <v>24964341</v>
      </c>
      <c r="AN5" s="4">
        <v>220338384</v>
      </c>
      <c r="AO5" s="4">
        <v>31949088</v>
      </c>
      <c r="AP5" s="4">
        <v>2104440</v>
      </c>
      <c r="AQ5" s="4">
        <v>186284368</v>
      </c>
      <c r="AR5" s="4" t="s">
        <v>549</v>
      </c>
      <c r="AS5" s="4" t="s">
        <v>549</v>
      </c>
      <c r="AT5" s="4" t="s">
        <v>549</v>
      </c>
      <c r="AU5" s="4" t="s">
        <v>549</v>
      </c>
      <c r="AV5" s="4" t="s">
        <v>549</v>
      </c>
      <c r="AW5" s="4">
        <v>2613.42</v>
      </c>
      <c r="AX5" s="4">
        <v>5776.16</v>
      </c>
      <c r="AY5" s="4">
        <v>2.367</v>
      </c>
      <c r="AZ5" s="4">
        <v>20.434999999999999</v>
      </c>
      <c r="BB5" s="24">
        <f t="shared" ref="BB5:BB12" si="0">AG5/J5</f>
        <v>0.99593987671987338</v>
      </c>
      <c r="BC5" s="24">
        <f t="shared" ref="BC5:BD12" si="1">AI5/L5</f>
        <v>0.97100481656450832</v>
      </c>
      <c r="BD5" s="24">
        <f t="shared" si="1"/>
        <v>1</v>
      </c>
      <c r="BE5" s="23">
        <f>(AK5/AN5) - (N5/Q5)</f>
        <v>-3.4326631355326709E-3</v>
      </c>
      <c r="BF5" s="23">
        <f t="array" ref="BF5">AVERAGE(AK5:AK5/AN5:AN5) - AVERAGE(N5:N5/Q5:Q5)</f>
        <v>-3.4326631355326709E-3</v>
      </c>
      <c r="BH5">
        <f>AN5-Q5</f>
        <v>-898248</v>
      </c>
    </row>
    <row r="6" spans="1:60" collapsed="1" x14ac:dyDescent="0.3">
      <c r="A6" s="25"/>
      <c r="B6" s="25" t="s">
        <v>275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4.4186979887696279E-2</v>
      </c>
      <c r="I6" s="27">
        <f>IF(OR(ISBLANK(Q6),ISBLANK(F6)),"·",Q6*F6/E6/1000000)</f>
        <v>28.9143568</v>
      </c>
      <c r="J6" s="28">
        <f>IF(ISBLANK(Q6),"·",Q6/C6)</f>
        <v>1.3256093966308884</v>
      </c>
      <c r="K6" s="28">
        <f>IF(N6="","·",N6/C6)</f>
        <v>0.17925846947084595</v>
      </c>
      <c r="L6" s="28">
        <f>IF(R6="","·",R6/C6)</f>
        <v>0.16635382994930864</v>
      </c>
      <c r="M6" s="28">
        <f>IF(ISBLANK(T6),"·",T6/C6)</f>
        <v>1.1463487265490631</v>
      </c>
      <c r="N6" s="25">
        <f>IF(OR(ISBLANK(R6),ISBLANK(S6)),"",R6+S6)</f>
        <v>39100080</v>
      </c>
      <c r="O6" s="28">
        <f>IF(ISBLANK(Q6),"·",Q6/P6)</f>
        <v>12.763021893516642</v>
      </c>
      <c r="P6" s="29">
        <v>22654789</v>
      </c>
      <c r="Q6" s="30">
        <v>289143568</v>
      </c>
      <c r="R6" s="30">
        <v>36285304</v>
      </c>
      <c r="S6" s="30">
        <v>2814776</v>
      </c>
      <c r="T6" s="30">
        <v>250043008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2760.15</v>
      </c>
      <c r="AA6" s="32">
        <v>7377.04</v>
      </c>
      <c r="AB6" s="32">
        <v>2.4409999999999998</v>
      </c>
      <c r="AC6" s="32">
        <v>18.579999999999998</v>
      </c>
      <c r="AE6" s="33">
        <f>IF(ISBLANK(AN6),"·",AN6/(C6*D6*3))</f>
        <v>4.4013113281893626E-2</v>
      </c>
      <c r="AF6" s="27">
        <f>IF(OR(ISBLANK(AN6),ISBLANK(F6)),"·",AN6*F6/E6/1000000)</f>
        <v>28.800584799999999</v>
      </c>
      <c r="AG6" s="28">
        <f>IF(ISBLANK(AN6),"·",AN6/C6)</f>
        <v>1.3203933984568088</v>
      </c>
      <c r="AH6" s="28">
        <f>IF(AK6="","·",AK6/C6)</f>
        <v>0.17404243461991656</v>
      </c>
      <c r="AI6" s="28">
        <f>IF(AO6="","·",AO6/C6)</f>
        <v>0.15837137035924267</v>
      </c>
      <c r="AJ6" s="28">
        <f>IF(ISBLANK(AQ6),"·",AQ6/C6)</f>
        <v>1.1463487265490631</v>
      </c>
      <c r="AK6" s="25">
        <f>IF(OR(ISBLANK(AO6),ISBLANK(AP6)),"",AO6+AP6)</f>
        <v>37962352</v>
      </c>
      <c r="AL6" s="28">
        <f>IF(ISBLANK(AN6),"·",AN6/AM6)</f>
        <v>12.712802048167388</v>
      </c>
      <c r="AM6" s="4">
        <v>22654789</v>
      </c>
      <c r="AN6" s="4">
        <v>288005848</v>
      </c>
      <c r="AO6" s="4">
        <v>34544160</v>
      </c>
      <c r="AP6" s="4">
        <v>3418192</v>
      </c>
      <c r="AQ6" s="4">
        <v>250043008</v>
      </c>
      <c r="AR6" s="4" t="s">
        <v>549</v>
      </c>
      <c r="AS6" s="4" t="s">
        <v>549</v>
      </c>
      <c r="AT6" s="4" t="s">
        <v>549</v>
      </c>
      <c r="AU6" s="4" t="s">
        <v>549</v>
      </c>
      <c r="AV6" s="4" t="s">
        <v>549</v>
      </c>
      <c r="AW6" s="4">
        <v>2424.25</v>
      </c>
      <c r="AX6" s="4">
        <v>7163.34</v>
      </c>
      <c r="AY6" s="4">
        <v>2.1240000000000001</v>
      </c>
      <c r="AZ6" s="4">
        <v>17.797000000000001</v>
      </c>
      <c r="BB6" s="34">
        <f t="shared" si="0"/>
        <v>0.99606520730213866</v>
      </c>
      <c r="BC6" s="34">
        <f t="shared" si="1"/>
        <v>0.95201517396684898</v>
      </c>
      <c r="BD6" s="34">
        <f t="shared" si="1"/>
        <v>1</v>
      </c>
      <c r="BE6" s="33">
        <f>(AK6/AN6) - (N6/Q6)</f>
        <v>-3.4161712255585952E-3</v>
      </c>
      <c r="BF6" s="33">
        <f t="array" ref="BF6">AVERAGE(AK6:AK6/AN6:AN6) - AVERAGE(N6:N6/Q6:Q6)</f>
        <v>-3.4161712255585952E-3</v>
      </c>
      <c r="BH6" s="4">
        <f t="shared" ref="BH6:BH9" si="2">AN6-Q6</f>
        <v>-1137720</v>
      </c>
    </row>
    <row r="7" spans="1:60" collapsed="1" x14ac:dyDescent="0.3">
      <c r="A7" s="15"/>
      <c r="B7" s="15" t="s">
        <v>278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3.4319853762805358E-2</v>
      </c>
      <c r="I7" s="17">
        <f>IF(OR(ISBLANK(Q7),ISBLANK(F7)),"·",Q7*F7/E7/1000000)</f>
        <v>33.213694400000001</v>
      </c>
      <c r="J7" s="18">
        <f>IF(ISBLANK(Q7),"·",Q7/C7)</f>
        <v>1.0295956128841608</v>
      </c>
      <c r="K7" s="18">
        <f>IF(N7="","·",N7/C7)</f>
        <v>0.16583815086671211</v>
      </c>
      <c r="L7" s="18">
        <f>IF(R7="","·",R7/C7)</f>
        <v>0.15394316490646584</v>
      </c>
      <c r="M7" s="18">
        <f>IF(ISBLANK(T7),"·",T7/C7)</f>
        <v>0.8637559740592341</v>
      </c>
      <c r="N7" s="15">
        <f>IF(OR(ISBLANK(R7),ISBLANK(S7)),"",R7+S7)</f>
        <v>53497680</v>
      </c>
      <c r="O7" s="18">
        <f>IF(ISBLANK(Q7),"·",Q7/P7)</f>
        <v>9.7837782203799382</v>
      </c>
      <c r="P7" s="19">
        <v>33947718</v>
      </c>
      <c r="Q7" s="20">
        <v>332136944</v>
      </c>
      <c r="R7" s="20">
        <v>49660480</v>
      </c>
      <c r="S7" s="20">
        <v>3837200</v>
      </c>
      <c r="T7" s="20">
        <v>278638784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4001.27</v>
      </c>
      <c r="AA7" s="22">
        <v>8431.07</v>
      </c>
      <c r="AB7" s="22">
        <v>4.1109999999999998</v>
      </c>
      <c r="AC7" s="22">
        <v>22.939</v>
      </c>
      <c r="AE7" s="23">
        <f>IF(ISBLANK(AN7),"·",AN7/(C7*D7*3))</f>
        <v>3.4102514319551872E-2</v>
      </c>
      <c r="AF7" s="17">
        <f>IF(OR(ISBLANK(AN7),ISBLANK(F7)),"·",AN7*F7/E7/1000000)</f>
        <v>33.003360000000001</v>
      </c>
      <c r="AG7" s="18">
        <f>IF(ISBLANK(AN7),"·",AN7/C7)</f>
        <v>1.0230754295865563</v>
      </c>
      <c r="AH7" s="18">
        <f>IF(AK7="","·",AK7/C7)</f>
        <v>0.15931794276980396</v>
      </c>
      <c r="AI7" s="18">
        <f>IF(AO7="","·",AO7/C7)</f>
        <v>0.14702656474119832</v>
      </c>
      <c r="AJ7" s="18">
        <f>IF(ISBLANK(AQ7),"·",AQ7/C7)</f>
        <v>0.8637559740592341</v>
      </c>
      <c r="AK7" s="15">
        <f>IF(OR(ISBLANK(AO7),ISBLANK(AP7)),"",AO7+AP7)</f>
        <v>51394328</v>
      </c>
      <c r="AL7" s="18">
        <f>IF(ISBLANK(AN7),"·",AN7/AM7)</f>
        <v>9.7218198878640383</v>
      </c>
      <c r="AM7" s="4">
        <v>33947718</v>
      </c>
      <c r="AN7" s="4">
        <v>330033600</v>
      </c>
      <c r="AO7" s="4">
        <v>47429256</v>
      </c>
      <c r="AP7" s="4">
        <v>3965072</v>
      </c>
      <c r="AQ7" s="4">
        <v>278638784</v>
      </c>
      <c r="AR7" s="4" t="s">
        <v>549</v>
      </c>
      <c r="AS7" s="4" t="s">
        <v>549</v>
      </c>
      <c r="AT7" s="4" t="s">
        <v>549</v>
      </c>
      <c r="AU7" s="4" t="s">
        <v>549</v>
      </c>
      <c r="AV7" s="4" t="s">
        <v>549</v>
      </c>
      <c r="AW7" s="4">
        <v>3664.26</v>
      </c>
      <c r="AX7" s="4">
        <v>8190.16</v>
      </c>
      <c r="AY7" s="4">
        <v>3.4380000000000002</v>
      </c>
      <c r="AZ7" s="4">
        <v>22.411000000000001</v>
      </c>
      <c r="BB7" s="24">
        <f t="shared" si="0"/>
        <v>0.99366723865563122</v>
      </c>
      <c r="BC7" s="24">
        <f t="shared" si="1"/>
        <v>0.95507043024956673</v>
      </c>
      <c r="BD7" s="24">
        <f t="shared" si="1"/>
        <v>1</v>
      </c>
      <c r="BE7" s="23">
        <f>(AK7/AN7) - (N7/Q7)</f>
        <v>-5.3466191323628398E-3</v>
      </c>
      <c r="BF7" s="23">
        <f t="array" ref="BF7">AVERAGE(AK7:AK7/AN7:AN7) - AVERAGE(N7:N7/Q7:Q7)</f>
        <v>-5.3466191323628398E-3</v>
      </c>
      <c r="BH7" s="4">
        <f t="shared" si="2"/>
        <v>-2103344</v>
      </c>
    </row>
    <row r="8" spans="1:60" collapsed="1" x14ac:dyDescent="0.3">
      <c r="A8" s="45"/>
      <c r="B8" s="45" t="s">
        <v>281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3.1589746770585604E-2</v>
      </c>
      <c r="I8" s="47">
        <f>IF(OR(ISBLANK(Q8),ISBLANK(F8)),"·",Q8*F8/E8/1000000)</f>
        <v>47.498891200000003</v>
      </c>
      <c r="J8" s="48">
        <f>IF(ISBLANK(Q8),"·",Q8/C8)</f>
        <v>0.94769240311756819</v>
      </c>
      <c r="K8" s="48">
        <f>IF(N8="","·",N8/C8)</f>
        <v>0.12792043967282085</v>
      </c>
      <c r="L8" s="48">
        <f>IF(R8="","·",R8/C8)</f>
        <v>0.11881465485567762</v>
      </c>
      <c r="M8" s="48">
        <f>IF(ISBLANK(T8),"·",T8/C8)</f>
        <v>0.81977004806381104</v>
      </c>
      <c r="N8" s="45">
        <f>IF(OR(ISBLANK(R8),ISBLANK(S8)),"",R8+S8)</f>
        <v>32057232</v>
      </c>
      <c r="O8" s="48">
        <f>IF(ISBLANK(Q8),"·",Q8/P8)</f>
        <v>7.3733960975599757</v>
      </c>
      <c r="P8" s="49">
        <v>32209643</v>
      </c>
      <c r="Q8" s="50">
        <v>237494456</v>
      </c>
      <c r="R8" s="50">
        <v>29775296</v>
      </c>
      <c r="S8" s="50">
        <v>2281936</v>
      </c>
      <c r="T8" s="50">
        <v>205436744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3918.64</v>
      </c>
      <c r="AA8" s="52">
        <v>5377.67</v>
      </c>
      <c r="AB8" s="52">
        <v>3.274</v>
      </c>
      <c r="AC8" s="52">
        <v>18.48</v>
      </c>
      <c r="AE8" s="53">
        <f>IF(ISBLANK(AN8),"·",AN8/(C8*D8*3))</f>
        <v>3.1350659345213486E-2</v>
      </c>
      <c r="AF8" s="47">
        <f>IF(OR(ISBLANK(AN8),ISBLANK(F8)),"·",AN8*F8/E8/1000000)</f>
        <v>47.139395200000003</v>
      </c>
      <c r="AG8" s="48">
        <f>IF(ISBLANK(AN8),"·",AN8/C8)</f>
        <v>0.9405197803564046</v>
      </c>
      <c r="AH8" s="48">
        <f>IF(AK8="","·",AK8/C8)</f>
        <v>0.12074778498864165</v>
      </c>
      <c r="AI8" s="48">
        <f>IF(AO8="","·",AO8/C8)</f>
        <v>0.10747601471205694</v>
      </c>
      <c r="AJ8" s="48">
        <f>IF(ISBLANK(AQ8),"·",AQ8/C8)</f>
        <v>0.81977004806381104</v>
      </c>
      <c r="AK8" s="45">
        <f>IF(OR(ISBLANK(AO8),ISBLANK(AP8)),"",AO8+AP8)</f>
        <v>30259744</v>
      </c>
      <c r="AL8" s="48">
        <f>IF(ISBLANK(AN8),"·",AN8/AM8)</f>
        <v>7.3175904495433244</v>
      </c>
      <c r="AM8" s="4">
        <v>32209643</v>
      </c>
      <c r="AN8" s="4">
        <v>235696976</v>
      </c>
      <c r="AO8" s="4">
        <v>26933800</v>
      </c>
      <c r="AP8" s="4">
        <v>3325944</v>
      </c>
      <c r="AQ8" s="4">
        <v>205436744</v>
      </c>
      <c r="AR8" s="4" t="s">
        <v>549</v>
      </c>
      <c r="AS8" s="4" t="s">
        <v>549</v>
      </c>
      <c r="AT8" s="4" t="s">
        <v>549</v>
      </c>
      <c r="AU8" s="4" t="s">
        <v>549</v>
      </c>
      <c r="AV8" s="4" t="s">
        <v>549</v>
      </c>
      <c r="AW8" s="4">
        <v>3571.55</v>
      </c>
      <c r="AX8" s="4">
        <v>5197.1000000000004</v>
      </c>
      <c r="AY8" s="4">
        <v>2.5920000000000001</v>
      </c>
      <c r="AZ8" s="4">
        <v>16.486999999999998</v>
      </c>
      <c r="BB8" s="54">
        <f t="shared" si="0"/>
        <v>0.99243148648488877</v>
      </c>
      <c r="BC8" s="54">
        <f t="shared" si="1"/>
        <v>0.90456867330554835</v>
      </c>
      <c r="BD8" s="54">
        <f t="shared" si="1"/>
        <v>1</v>
      </c>
      <c r="BE8" s="53">
        <f>(AK8/AN8) - (N8/Q8)</f>
        <v>-6.5968704085152818E-3</v>
      </c>
      <c r="BF8" s="53">
        <f t="array" ref="BF8">AVERAGE(AK8:AK8/AN8:AN8) - AVERAGE(N8:N8/Q8:Q8)</f>
        <v>-6.5968704085152818E-3</v>
      </c>
      <c r="BH8" s="4">
        <f t="shared" si="2"/>
        <v>-1797480</v>
      </c>
    </row>
    <row r="9" spans="1:60" collapsed="1" x14ac:dyDescent="0.3">
      <c r="A9" s="35" t="s">
        <v>285</v>
      </c>
      <c r="B9" s="35" t="s">
        <v>284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5.0514127922007247E-2</v>
      </c>
      <c r="I9" s="37">
        <f>IF(OR(ISBLANK(Q9),ISBLANK(F9)),"·",Q9*F9/E9/1000000)</f>
        <v>37.930237599999998</v>
      </c>
      <c r="J9" s="38">
        <f>IF(ISBLANK(Q9),"·",Q9/C9)</f>
        <v>1.5154238376602176</v>
      </c>
      <c r="K9" s="38">
        <f>IF(N9="","·",N9/C9)</f>
        <v>0.15887666317922935</v>
      </c>
      <c r="L9" s="38">
        <f>IF(R9="","·",R9/C9)</f>
        <v>0.14883304185945184</v>
      </c>
      <c r="M9" s="38">
        <f>IF(ISBLANK(T9),"·",T9/C9)</f>
        <v>1.3565452567407152</v>
      </c>
      <c r="N9" s="35">
        <f>IF(OR(ISBLANK(R9),ISBLANK(S9)),"",R9+S9)</f>
        <v>39765968</v>
      </c>
      <c r="O9" s="38">
        <f>IF(ISBLANK(Q9),"·",Q9/P9)</f>
        <v>14.984839688108693</v>
      </c>
      <c r="P9" s="39">
        <v>25312408</v>
      </c>
      <c r="Q9" s="40">
        <v>379302376</v>
      </c>
      <c r="R9" s="40">
        <v>37252104</v>
      </c>
      <c r="S9" s="40">
        <v>2513864</v>
      </c>
      <c r="T9" s="40">
        <v>339535928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3268.58</v>
      </c>
      <c r="AA9" s="42">
        <v>8132.97</v>
      </c>
      <c r="AB9" s="42">
        <v>2.883</v>
      </c>
      <c r="AC9" s="42">
        <v>22.798999999999999</v>
      </c>
      <c r="AE9" s="43">
        <f>IF(ISBLANK(AN9),"·",AN9/(C9*D9*3))</f>
        <v>5.0325501119583428E-2</v>
      </c>
      <c r="AF9" s="37">
        <f>IF(OR(ISBLANK(AN9),ISBLANK(F9)),"·",AN9*F9/E9/1000000)</f>
        <v>37.788600799999998</v>
      </c>
      <c r="AG9" s="38">
        <f>IF(ISBLANK(AN9),"·",AN9/C9)</f>
        <v>1.5097650335875028</v>
      </c>
      <c r="AH9" s="38">
        <f>IF(AK9="","·",AK9/C9)</f>
        <v>0.15321782714417687</v>
      </c>
      <c r="AI9" s="38">
        <f>IF(AO9="","·",AO9/C9)</f>
        <v>0.14241989465037641</v>
      </c>
      <c r="AJ9" s="38">
        <f>IF(ISBLANK(AQ9),"·",AQ9/C9)</f>
        <v>1.3565452567407152</v>
      </c>
      <c r="AK9" s="35">
        <f>IF(OR(ISBLANK(AO9),ISBLANK(AP9)),"",AO9+AP9)</f>
        <v>38349592</v>
      </c>
      <c r="AL9" s="38">
        <f>IF(ISBLANK(AN9),"·",AN9/AM9)</f>
        <v>14.928884205722348</v>
      </c>
      <c r="AM9" s="4">
        <v>25312408</v>
      </c>
      <c r="AN9" s="4">
        <v>377886008</v>
      </c>
      <c r="AO9" s="4">
        <v>35646928</v>
      </c>
      <c r="AP9" s="4">
        <v>2702664</v>
      </c>
      <c r="AQ9" s="4">
        <v>339535928</v>
      </c>
      <c r="AR9" s="4" t="s">
        <v>549</v>
      </c>
      <c r="AS9" s="4" t="s">
        <v>549</v>
      </c>
      <c r="AT9" s="4" t="s">
        <v>549</v>
      </c>
      <c r="AU9" s="4" t="s">
        <v>549</v>
      </c>
      <c r="AV9" s="4" t="s">
        <v>549</v>
      </c>
      <c r="AW9" s="4">
        <v>2718.25</v>
      </c>
      <c r="AX9" s="4">
        <v>7929.74</v>
      </c>
      <c r="AY9" s="4">
        <v>2.4660000000000002</v>
      </c>
      <c r="AZ9" s="4">
        <v>20.186</v>
      </c>
      <c r="BB9" s="44">
        <f t="shared" si="0"/>
        <v>0.99626586045957155</v>
      </c>
      <c r="BC9" s="44">
        <f t="shared" si="1"/>
        <v>0.95691046068163021</v>
      </c>
      <c r="BD9" s="44">
        <f t="shared" si="1"/>
        <v>1</v>
      </c>
      <c r="BE9" s="43">
        <f>(AK9/AN9) - (N9/Q9)</f>
        <v>-3.3552031556770279E-3</v>
      </c>
      <c r="BF9" s="43">
        <f t="array" ref="BF9">AVERAGE(AK9:AK9/AN9:AN9) - AVERAGE(N9:N9/Q9:Q9)</f>
        <v>-3.3552031556770279E-3</v>
      </c>
      <c r="BH9" s="4">
        <f t="shared" si="2"/>
        <v>-1416368</v>
      </c>
    </row>
    <row r="10" spans="1:60" x14ac:dyDescent="0.3">
      <c r="B10" s="55" t="s">
        <v>288</v>
      </c>
      <c r="J10" s="56">
        <f>AVERAGE(J5:J8)</f>
        <v>1.0579729199651147</v>
      </c>
      <c r="K10" s="56">
        <f>AVERAGE(K5:K8)</f>
        <v>0.1549457553220932</v>
      </c>
      <c r="L10" s="56">
        <f>AVERAGE(L5:L8)</f>
        <v>0.14431876759454915</v>
      </c>
      <c r="M10" s="56">
        <f>AVERAGE(M5:M8)</f>
        <v>0.90302525976374604</v>
      </c>
      <c r="AG10" s="56">
        <f>AVERAGE(AG5:AG8)</f>
        <v>1.0523027610940336</v>
      </c>
      <c r="AH10" s="56">
        <f>AVERAGE(AH5:AH8)</f>
        <v>0.14927556470302433</v>
      </c>
      <c r="AI10" s="56">
        <f>AVERAGE(AI5:AI8)</f>
        <v>0.13675782418823376</v>
      </c>
      <c r="AJ10" s="56">
        <f>AVERAGE(AJ5:AJ8)</f>
        <v>0.90302525976374604</v>
      </c>
      <c r="BB10" s="5">
        <f t="shared" si="0"/>
        <v>0.99464054441840721</v>
      </c>
      <c r="BC10" s="5">
        <f t="shared" si="1"/>
        <v>0.94760942369216183</v>
      </c>
      <c r="BD10" s="5">
        <f t="shared" si="1"/>
        <v>1</v>
      </c>
      <c r="BF10" s="8">
        <f>AVERAGE(BF5:BF8)</f>
        <v>-4.6980809754923469E-3</v>
      </c>
    </row>
    <row r="11" spans="1:60" x14ac:dyDescent="0.3">
      <c r="B11" s="55" t="s">
        <v>289</v>
      </c>
      <c r="J11" s="56">
        <f>AVERAGE(J9:J9)</f>
        <v>1.5154238376602176</v>
      </c>
      <c r="K11" s="56">
        <f>AVERAGE(K9:K9)</f>
        <v>0.15887666317922935</v>
      </c>
      <c r="L11" s="56">
        <f>AVERAGE(L9:L9)</f>
        <v>0.14883304185945184</v>
      </c>
      <c r="M11" s="56">
        <f>AVERAGE(M9:M9)</f>
        <v>1.3565452567407152</v>
      </c>
      <c r="AG11" s="56">
        <f>AVERAGE(AG9:AG9)</f>
        <v>1.5097650335875028</v>
      </c>
      <c r="AH11" s="56">
        <f>AVERAGE(AH9:AH9)</f>
        <v>0.15321782714417687</v>
      </c>
      <c r="AI11" s="56">
        <f>AVERAGE(AI9:AI9)</f>
        <v>0.14241989465037641</v>
      </c>
      <c r="AJ11" s="56">
        <f>AVERAGE(AJ9:AJ9)</f>
        <v>1.3565452567407152</v>
      </c>
      <c r="BB11" s="5">
        <f t="shared" si="0"/>
        <v>0.99626586045957155</v>
      </c>
      <c r="BC11" s="5">
        <f t="shared" si="1"/>
        <v>0.95691046068163021</v>
      </c>
      <c r="BD11" s="5">
        <f t="shared" si="1"/>
        <v>1</v>
      </c>
      <c r="BF11" s="8">
        <f>AVERAGE(BF9:BF9)</f>
        <v>-3.3552031556770279E-3</v>
      </c>
    </row>
    <row r="12" spans="1:60" collapsed="1" x14ac:dyDescent="0.3">
      <c r="B12" s="55" t="s">
        <v>290</v>
      </c>
      <c r="J12" s="56">
        <f>AVERAGE(J5:J9)</f>
        <v>1.1494631035041354</v>
      </c>
      <c r="K12" s="56">
        <f>AVERAGE(K5:K9)</f>
        <v>0.15573193689352044</v>
      </c>
      <c r="L12" s="56">
        <f>AVERAGE(L5:L9)</f>
        <v>0.1452216224475297</v>
      </c>
      <c r="M12" s="56">
        <f>AVERAGE(M5:M9)</f>
        <v>0.9937292591591399</v>
      </c>
      <c r="AG12" s="56">
        <f>AVERAGE(AG5:AG9)</f>
        <v>1.1437952155927273</v>
      </c>
      <c r="AH12" s="56">
        <f>AVERAGE(AH5:AH9)</f>
        <v>0.15006401719125484</v>
      </c>
      <c r="AI12" s="56">
        <f>AVERAGE(AI5:AI9)</f>
        <v>0.1378902382806623</v>
      </c>
      <c r="AJ12" s="56">
        <f>AVERAGE(AJ5:AJ9)</f>
        <v>0.9937292591591399</v>
      </c>
      <c r="BB12" s="5">
        <f t="shared" si="0"/>
        <v>0.99506909974393309</v>
      </c>
      <c r="BC12" s="5">
        <f t="shared" si="1"/>
        <v>0.94951589134382297</v>
      </c>
      <c r="BD12" s="5">
        <f t="shared" si="1"/>
        <v>1</v>
      </c>
      <c r="BF12" s="8">
        <f>AVERAGE(BF5:BF9)</f>
        <v>-4.4295054115292831E-3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17076.169999999998</v>
      </c>
      <c r="AA13" s="57">
        <f>SUM(AA5:AA8,AA9:AA9)</f>
        <v>35282.82</v>
      </c>
      <c r="AB13" s="57">
        <f>SUM(AB5:AB8,AB9:AB9)</f>
        <v>15.536999999999999</v>
      </c>
      <c r="AC13" s="57">
        <f>SUM(AC5:AC8,AC9:AC9)</f>
        <v>102.33599999999998</v>
      </c>
      <c r="AW13" s="57">
        <f>SUM(AW5:AW8,AW9:AW9)</f>
        <v>14991.73</v>
      </c>
      <c r="AX13" s="57">
        <f>SUM(AX5:AX8,AX9:AX9)</f>
        <v>34256.5</v>
      </c>
      <c r="AY13" s="57">
        <f>SUM(AY5:AY8,AY9:AY9)</f>
        <v>12.987000000000002</v>
      </c>
      <c r="AZ13" s="57">
        <f>SUM(AZ5:AZ8,AZ9:AZ9)</f>
        <v>97.316000000000003</v>
      </c>
    </row>
    <row r="14" spans="1:60" hidden="1" outlineLevel="2" x14ac:dyDescent="0.3">
      <c r="B14" s="55" t="s">
        <v>293</v>
      </c>
      <c r="AW14" s="8">
        <f>AW13/Z13</f>
        <v>0.87793281514531663</v>
      </c>
      <c r="AX14" s="8">
        <f>AX13/AA13</f>
        <v>0.97091162214358151</v>
      </c>
      <c r="AY14" s="8">
        <f>AY13/AB13</f>
        <v>0.83587565167020683</v>
      </c>
      <c r="AZ14" s="8">
        <f>AZ13/AC13</f>
        <v>0.95094590368980625</v>
      </c>
    </row>
    <row r="15" spans="1:60" hidden="1" outlineLevel="2" x14ac:dyDescent="0.3">
      <c r="B15" s="55" t="s">
        <v>294</v>
      </c>
      <c r="Z15" s="57">
        <f>GEOMEAN(Z5:Z8,Z9:Z9)</f>
        <v>3381.9353602644082</v>
      </c>
      <c r="AA15" s="57">
        <f>GEOMEAN(AA5:AA8,AA9:AA9)</f>
        <v>6950.7261282669415</v>
      </c>
      <c r="AB15" s="57">
        <f>GEOMEAN(AB5:AB8,AB9:AB9)</f>
        <v>3.059029011156571</v>
      </c>
      <c r="AC15" s="57">
        <f>GEOMEAN(AC5:AC8,AC9:AC9)</f>
        <v>20.371528335965031</v>
      </c>
      <c r="AW15" s="57">
        <f>GEOMEAN(AW5:AW8,AW9:AW9)</f>
        <v>2955.1790922831165</v>
      </c>
      <c r="AX15" s="57">
        <f>GEOMEAN(AX5:AX8,AX9:AX9)</f>
        <v>6745.4889843844985</v>
      </c>
      <c r="AY15" s="57">
        <f>GEOMEAN(AY5:AY8,AY9:AY9)</f>
        <v>2.5624614612029499</v>
      </c>
      <c r="AZ15" s="57">
        <f>GEOMEAN(AZ5:AZ8,AZ9:AZ9)</f>
        <v>19.349730338554142</v>
      </c>
    </row>
    <row r="16" spans="1:60" outlineLevel="2" collapsed="1" x14ac:dyDescent="0.3">
      <c r="B16" s="55" t="s">
        <v>295</v>
      </c>
      <c r="AW16" s="8">
        <f>AW15/Z15</f>
        <v>0.87381300275711749</v>
      </c>
      <c r="AX16" s="8">
        <f>AX15/AA15</f>
        <v>0.97047256069437227</v>
      </c>
      <c r="AY16" s="8">
        <f>AY15/AB15</f>
        <v>0.83767151336499535</v>
      </c>
      <c r="AZ16" s="8">
        <f>AZ15/AC15</f>
        <v>0.94984185866865223</v>
      </c>
    </row>
    <row r="20" spans="39:43" x14ac:dyDescent="0.3">
      <c r="AM20">
        <f>AM5-P5</f>
        <v>0</v>
      </c>
      <c r="AN20" s="4">
        <f t="shared" ref="AN20:AQ24" si="3">AN5-Q5</f>
        <v>-898248</v>
      </c>
      <c r="AO20" s="4">
        <f t="shared" si="3"/>
        <v>-954032</v>
      </c>
      <c r="AP20" s="4">
        <f t="shared" si="3"/>
        <v>55776</v>
      </c>
      <c r="AQ20" s="4">
        <f t="shared" si="3"/>
        <v>0</v>
      </c>
    </row>
    <row r="21" spans="39:43" x14ac:dyDescent="0.3">
      <c r="AM21" s="4">
        <f t="shared" ref="AM21:AM24" si="4">AM6-P6</f>
        <v>0</v>
      </c>
      <c r="AN21" s="4">
        <f t="shared" si="3"/>
        <v>-1137720</v>
      </c>
      <c r="AO21" s="4">
        <f t="shared" si="3"/>
        <v>-1741144</v>
      </c>
      <c r="AP21" s="4">
        <f t="shared" si="3"/>
        <v>603416</v>
      </c>
      <c r="AQ21" s="4">
        <f t="shared" si="3"/>
        <v>0</v>
      </c>
    </row>
    <row r="22" spans="39:43" x14ac:dyDescent="0.3">
      <c r="AM22" s="4">
        <f t="shared" si="4"/>
        <v>0</v>
      </c>
      <c r="AN22" s="4">
        <f t="shared" si="3"/>
        <v>-2103344</v>
      </c>
      <c r="AO22" s="4">
        <f t="shared" si="3"/>
        <v>-2231224</v>
      </c>
      <c r="AP22" s="4">
        <f t="shared" si="3"/>
        <v>127872</v>
      </c>
      <c r="AQ22" s="4">
        <f t="shared" si="3"/>
        <v>0</v>
      </c>
    </row>
    <row r="23" spans="39:43" x14ac:dyDescent="0.3">
      <c r="AM23" s="4">
        <f t="shared" si="4"/>
        <v>0</v>
      </c>
      <c r="AN23" s="4">
        <f t="shared" si="3"/>
        <v>-1797480</v>
      </c>
      <c r="AO23" s="4">
        <f t="shared" si="3"/>
        <v>-2841496</v>
      </c>
      <c r="AP23" s="4">
        <f t="shared" si="3"/>
        <v>1044008</v>
      </c>
      <c r="AQ23" s="4">
        <f t="shared" si="3"/>
        <v>0</v>
      </c>
    </row>
    <row r="24" spans="39:43" x14ac:dyDescent="0.3">
      <c r="AM24" s="4">
        <f t="shared" si="4"/>
        <v>0</v>
      </c>
      <c r="AN24" s="4">
        <f t="shared" si="3"/>
        <v>-1416368</v>
      </c>
      <c r="AO24" s="4">
        <f t="shared" si="3"/>
        <v>-1605176</v>
      </c>
      <c r="AP24" s="4">
        <f t="shared" si="3"/>
        <v>188800</v>
      </c>
      <c r="AQ24" s="4">
        <f t="shared" si="3"/>
        <v>0</v>
      </c>
    </row>
    <row r="25" spans="39:43" x14ac:dyDescent="0.3">
      <c r="AM25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C2 lossyG,lossyA,interRA</vt:lpstr>
      <vt:lpstr>names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Rajan Laxman Joshi</dc:creator>
  <cp:lastModifiedBy>Rajan Joshi</cp:lastModifiedBy>
  <dcterms:created xsi:type="dcterms:W3CDTF">2018-08-31T19:13:00Z</dcterms:created>
  <dcterms:modified xsi:type="dcterms:W3CDTF">2019-01-25T16:52:14Z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