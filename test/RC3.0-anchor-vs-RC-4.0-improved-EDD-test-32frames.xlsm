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code\pcc\tmc2v5.0_integration_RC4.0\test\"/>
    </mc:Choice>
  </mc:AlternateContent>
  <bookViews>
    <workbookView xWindow="6624" yWindow="1176" windowWidth="16416" windowHeight="8016" firstSheet="1" activeTab="2"/>
  </bookViews>
  <sheets>
    <sheet name="Summary" sheetId="1" r:id="rId1"/>
    <sheet name="Graphs" sheetId="2" r:id="rId2"/>
    <sheet name="C2 lossyG,lossyA,intra" sheetId="3" r:id="rId3"/>
    <sheet name="C2 lossyG,lossyA,interRA" sheetId="7" r:id="rId4"/>
    <sheet name="names" sheetId="4" state="hidden" r:id="rId5"/>
    <sheet name="CW losslG,losslA,intra" sheetId="5" r:id="rId6"/>
    <sheet name="CW losslG,losslA,interLD" sheetId="6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62913"/>
</workbook>
</file>

<file path=xl/calcChain.xml><?xml version="1.0" encoding="utf-8"?>
<calcChain xmlns="http://schemas.openxmlformats.org/spreadsheetml/2006/main">
  <c r="BU5" i="7" l="1"/>
  <c r="BU6" i="7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H5" i="6"/>
  <c r="BH6" i="6"/>
  <c r="BH7" i="6"/>
  <c r="BH8" i="6"/>
  <c r="BH9" i="6"/>
  <c r="BH6" i="5" l="1"/>
  <c r="BH7" i="5"/>
  <c r="BH8" i="5"/>
  <c r="BH9" i="5"/>
  <c r="BH5" i="5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BF28" i="7" s="1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I25" i="7" s="1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BF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I21" i="7" s="1"/>
  <c r="AK21" i="7"/>
  <c r="AJ21" i="7"/>
  <c r="AH21" i="7"/>
  <c r="AG21" i="7"/>
  <c r="O21" i="7"/>
  <c r="N21" i="7"/>
  <c r="K21" i="7" s="1"/>
  <c r="M21" i="7"/>
  <c r="L21" i="7"/>
  <c r="J21" i="7"/>
  <c r="I21" i="7"/>
  <c r="BG20" i="7" a="1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I19" i="7" s="1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I17" i="7" s="1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G15" i="7" a="1"/>
  <c r="BE15" i="7"/>
  <c r="AM15" i="7"/>
  <c r="AL15" i="7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BF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E10" i="7"/>
  <c r="AM10" i="7"/>
  <c r="AL10" i="7"/>
  <c r="AI10" i="7" s="1"/>
  <c r="AK10" i="7"/>
  <c r="AJ10" i="7"/>
  <c r="AH10" i="7"/>
  <c r="AG10" i="7"/>
  <c r="O10" i="7"/>
  <c r="N10" i="7"/>
  <c r="BG10" i="7" s="1" a="1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G5" i="7" a="1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AX16" i="6" s="1"/>
  <c r="Z15" i="6"/>
  <c r="AZ13" i="6"/>
  <c r="AY13" i="6"/>
  <c r="AX13" i="6"/>
  <c r="AW13" i="6"/>
  <c r="AC13" i="6"/>
  <c r="AB13" i="6"/>
  <c r="AA13" i="6"/>
  <c r="AX14" i="6" s="1"/>
  <c r="Z13" i="6"/>
  <c r="AL9" i="6"/>
  <c r="AK9" i="6"/>
  <c r="BF9" i="6" s="1" a="1"/>
  <c r="AJ9" i="6"/>
  <c r="AI9" i="6"/>
  <c r="AI11" i="6" s="1"/>
  <c r="AG9" i="6"/>
  <c r="AG11" i="6" s="1"/>
  <c r="AF9" i="6"/>
  <c r="AE9" i="6"/>
  <c r="O9" i="6"/>
  <c r="N9" i="6"/>
  <c r="K9" i="6" s="1"/>
  <c r="K11" i="6" s="1"/>
  <c r="M9" i="6"/>
  <c r="M11" i="6" s="1"/>
  <c r="L9" i="6"/>
  <c r="L11" i="6" s="1"/>
  <c r="J9" i="6"/>
  <c r="J11" i="6" s="1"/>
  <c r="I9" i="6"/>
  <c r="H9" i="6"/>
  <c r="BF8" i="6" a="1"/>
  <c r="AL8" i="6"/>
  <c r="AK8" i="6"/>
  <c r="AJ8" i="6"/>
  <c r="AI8" i="6"/>
  <c r="AG8" i="6"/>
  <c r="AF8" i="6"/>
  <c r="AE8" i="6"/>
  <c r="O8" i="6"/>
  <c r="N8" i="6"/>
  <c r="K8" i="6" s="1"/>
  <c r="M8" i="6"/>
  <c r="L8" i="6"/>
  <c r="J8" i="6"/>
  <c r="I8" i="6"/>
  <c r="H8" i="6"/>
  <c r="BF7" i="6" a="1"/>
  <c r="AL7" i="6"/>
  <c r="AK7" i="6"/>
  <c r="AH7" i="6" s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K6" i="6" s="1"/>
  <c r="M6" i="6"/>
  <c r="L6" i="6"/>
  <c r="J6" i="6"/>
  <c r="I6" i="6"/>
  <c r="H6" i="6"/>
  <c r="BF5" i="6" a="1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BF8" i="5" s="1" a="1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BF7" i="5" a="1"/>
  <c r="AL7" i="5"/>
  <c r="AK7" i="5"/>
  <c r="BF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H5" i="5" s="1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K29" i="3" s="1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BG25" i="3" s="1" a="1"/>
  <c r="AK25" i="3"/>
  <c r="AJ25" i="3"/>
  <c r="AH25" i="3"/>
  <c r="AG25" i="3"/>
  <c r="O25" i="3"/>
  <c r="N25" i="3"/>
  <c r="K25" i="3" s="1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K24" i="3" s="1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K23" i="3" s="1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K22" i="3" s="1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K21" i="3" s="1"/>
  <c r="M21" i="3"/>
  <c r="L21" i="3"/>
  <c r="J21" i="3"/>
  <c r="I21" i="3"/>
  <c r="BE20" i="3"/>
  <c r="AM20" i="3"/>
  <c r="AL20" i="3"/>
  <c r="AK20" i="3"/>
  <c r="AJ20" i="3"/>
  <c r="AH20" i="3"/>
  <c r="AG20" i="3"/>
  <c r="O20" i="3"/>
  <c r="N20" i="3"/>
  <c r="BG20" i="3" s="1" a="1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K19" i="3" s="1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K18" i="3" s="1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K17" i="3" s="1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K16" i="3" s="1"/>
  <c r="M16" i="3"/>
  <c r="L16" i="3"/>
  <c r="J16" i="3"/>
  <c r="I16" i="3"/>
  <c r="BE15" i="3"/>
  <c r="AM15" i="3"/>
  <c r="AL15" i="3"/>
  <c r="AK15" i="3"/>
  <c r="AJ15" i="3"/>
  <c r="AH15" i="3"/>
  <c r="AG15" i="3"/>
  <c r="O15" i="3"/>
  <c r="N15" i="3"/>
  <c r="BG15" i="3" s="1" a="1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K14" i="3" s="1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K13" i="3" s="1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K12" i="3" s="1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K11" i="3" s="1"/>
  <c r="M11" i="3"/>
  <c r="L11" i="3"/>
  <c r="J11" i="3"/>
  <c r="I11" i="3"/>
  <c r="BE10" i="3"/>
  <c r="AM10" i="3"/>
  <c r="AL10" i="3"/>
  <c r="AK10" i="3"/>
  <c r="AJ10" i="3"/>
  <c r="AH10" i="3"/>
  <c r="AG10" i="3"/>
  <c r="O10" i="3"/>
  <c r="N10" i="3"/>
  <c r="BG10" i="3" s="1" a="1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K9" i="3" s="1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K8" i="3" s="1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K7" i="3" s="1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K6" i="3" s="1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2" i="2"/>
  <c r="B1" i="2"/>
  <c r="BQ25" i="3"/>
  <c r="BO5" i="7"/>
  <c r="BR15" i="7"/>
  <c r="BP15" i="3"/>
  <c r="BP5" i="3"/>
  <c r="BP5" i="7"/>
  <c r="BR20" i="7"/>
  <c r="BM5" i="7"/>
  <c r="BP25" i="7"/>
  <c r="BK15" i="7"/>
  <c r="BP10" i="3"/>
  <c r="BP20" i="7"/>
  <c r="BP10" i="7"/>
  <c r="BS20" i="7"/>
  <c r="BL20" i="3"/>
  <c r="BK25" i="3"/>
  <c r="BS15" i="7"/>
  <c r="BP20" i="3"/>
  <c r="BM10" i="3"/>
  <c r="BM10" i="7"/>
  <c r="BL5" i="7"/>
  <c r="BM25" i="3"/>
  <c r="BR10" i="7"/>
  <c r="BM20" i="3"/>
  <c r="BO10" i="7"/>
  <c r="BQ10" i="3"/>
  <c r="BS5" i="3"/>
  <c r="BL20" i="7"/>
  <c r="BQ20" i="7"/>
  <c r="BO20" i="7"/>
  <c r="BS10" i="3"/>
  <c r="BM5" i="3"/>
  <c r="BK10" i="3"/>
  <c r="BL25" i="3"/>
  <c r="BP25" i="3"/>
  <c r="BS5" i="7"/>
  <c r="BM15" i="3"/>
  <c r="BL25" i="7"/>
  <c r="BQ15" i="7"/>
  <c r="BO5" i="3"/>
  <c r="BS15" i="3"/>
  <c r="BP15" i="7"/>
  <c r="BM20" i="7"/>
  <c r="BS25" i="3"/>
  <c r="BK5" i="3"/>
  <c r="BK20" i="3"/>
  <c r="BL15" i="3"/>
  <c r="BR5" i="3"/>
  <c r="BO25" i="7"/>
  <c r="BR20" i="3"/>
  <c r="BM15" i="7"/>
  <c r="BL5" i="3"/>
  <c r="BS20" i="3"/>
  <c r="BL15" i="7"/>
  <c r="BM25" i="7"/>
  <c r="BQ15" i="3"/>
  <c r="BO20" i="3"/>
  <c r="BQ5" i="3"/>
  <c r="BR25" i="3"/>
  <c r="BO15" i="7"/>
  <c r="BO10" i="3"/>
  <c r="BK10" i="7"/>
  <c r="BL10" i="7"/>
  <c r="BQ10" i="7"/>
  <c r="BK15" i="3"/>
  <c r="BR10" i="3"/>
  <c r="BQ25" i="7"/>
  <c r="BK25" i="7"/>
  <c r="BS10" i="7"/>
  <c r="BQ20" i="3"/>
  <c r="BO25" i="3"/>
  <c r="BK5" i="7"/>
  <c r="BQ5" i="7"/>
  <c r="BK20" i="7"/>
  <c r="BR25" i="7"/>
  <c r="BO15" i="3"/>
  <c r="BR15" i="3"/>
  <c r="BS25" i="7"/>
  <c r="BL10" i="3"/>
  <c r="BR5" i="7"/>
  <c r="BC34" i="3" l="1"/>
  <c r="BF28" i="3"/>
  <c r="M32" i="3"/>
  <c r="BF10" i="3"/>
  <c r="J31" i="7"/>
  <c r="BF11" i="7"/>
  <c r="BF15" i="7"/>
  <c r="BF29" i="7"/>
  <c r="L31" i="7"/>
  <c r="BF12" i="7"/>
  <c r="BF26" i="7"/>
  <c r="BF13" i="7"/>
  <c r="BF23" i="7"/>
  <c r="BF27" i="7"/>
  <c r="BB6" i="6"/>
  <c r="K12" i="6"/>
  <c r="BB8" i="6"/>
  <c r="BE8" i="6"/>
  <c r="BB7" i="5"/>
  <c r="BC8" i="5"/>
  <c r="BC7" i="5"/>
  <c r="BB5" i="5"/>
  <c r="BE5" i="5"/>
  <c r="AZ14" i="5"/>
  <c r="L12" i="5"/>
  <c r="K28" i="3"/>
  <c r="BF15" i="3"/>
  <c r="BF20" i="3"/>
  <c r="BC11" i="6"/>
  <c r="D30" i="1" s="1"/>
  <c r="AI15" i="7"/>
  <c r="BG20" i="3"/>
  <c r="AI20" i="3"/>
  <c r="BF27" i="3"/>
  <c r="BC6" i="5"/>
  <c r="AI28" i="7"/>
  <c r="BC7" i="6"/>
  <c r="AI12" i="5"/>
  <c r="BC12" i="5" s="1"/>
  <c r="C20" i="1" s="1"/>
  <c r="BE7" i="5"/>
  <c r="AI10" i="3"/>
  <c r="AI26" i="7"/>
  <c r="AI13" i="7"/>
  <c r="BG10" i="7"/>
  <c r="AI24" i="7"/>
  <c r="AI29" i="7"/>
  <c r="AH30" i="7"/>
  <c r="AH31" i="7"/>
  <c r="AI12" i="7"/>
  <c r="AI14" i="7"/>
  <c r="AI23" i="7"/>
  <c r="AI27" i="7"/>
  <c r="AJ31" i="7"/>
  <c r="BO31" i="7"/>
  <c r="H41" i="1" s="1"/>
  <c r="BS31" i="7"/>
  <c r="L41" i="1" s="1"/>
  <c r="BR31" i="7"/>
  <c r="K41" i="1" s="1"/>
  <c r="BK31" i="7"/>
  <c r="E41" i="1" s="1"/>
  <c r="BP31" i="7"/>
  <c r="I41" i="1" s="1"/>
  <c r="BM31" i="7"/>
  <c r="G41" i="1" s="1"/>
  <c r="BL31" i="7"/>
  <c r="F41" i="1" s="1"/>
  <c r="BQ31" i="7"/>
  <c r="J41" i="1" s="1"/>
  <c r="AJ32" i="7"/>
  <c r="AI11" i="7"/>
  <c r="AK31" i="7"/>
  <c r="AK30" i="7"/>
  <c r="AK32" i="7"/>
  <c r="BE6" i="6"/>
  <c r="AI12" i="6"/>
  <c r="BF7" i="6"/>
  <c r="BE9" i="6"/>
  <c r="AH8" i="6"/>
  <c r="AH10" i="6" s="1"/>
  <c r="AH9" i="6"/>
  <c r="AH11" i="6" s="1"/>
  <c r="BE9" i="5"/>
  <c r="BF9" i="5"/>
  <c r="BF11" i="5" s="1"/>
  <c r="BF6" i="5"/>
  <c r="AH7" i="5"/>
  <c r="BG5" i="3"/>
  <c r="BF11" i="3"/>
  <c r="BF21" i="3"/>
  <c r="BF17" i="3"/>
  <c r="BF23" i="3"/>
  <c r="AH31" i="3"/>
  <c r="BF12" i="3"/>
  <c r="BF19" i="3"/>
  <c r="AI25" i="3"/>
  <c r="AI31" i="3" s="1"/>
  <c r="BF6" i="3"/>
  <c r="BM31" i="3"/>
  <c r="G10" i="1" s="1"/>
  <c r="BR30" i="3"/>
  <c r="K9" i="1" s="1"/>
  <c r="BO31" i="3"/>
  <c r="H10" i="1" s="1"/>
  <c r="BS31" i="3"/>
  <c r="L10" i="1" s="1"/>
  <c r="BQ30" i="3"/>
  <c r="J9" i="1" s="1"/>
  <c r="BO32" i="3"/>
  <c r="H11" i="1" s="1"/>
  <c r="BS32" i="3"/>
  <c r="L11" i="1" s="1"/>
  <c r="BK31" i="3"/>
  <c r="E10" i="1" s="1"/>
  <c r="BP31" i="3"/>
  <c r="I10" i="1" s="1"/>
  <c r="BL30" i="3"/>
  <c r="F9" i="1" s="1"/>
  <c r="BR31" i="3"/>
  <c r="K10" i="1" s="1"/>
  <c r="BM30" i="3"/>
  <c r="G9" i="1" s="1"/>
  <c r="BL31" i="3"/>
  <c r="F10" i="1" s="1"/>
  <c r="BQ31" i="3"/>
  <c r="J10" i="1" s="1"/>
  <c r="AJ32" i="3"/>
  <c r="BG15" i="3"/>
  <c r="AI15" i="3"/>
  <c r="BF16" i="3"/>
  <c r="BF24" i="3"/>
  <c r="AJ31" i="3"/>
  <c r="BF29" i="3"/>
  <c r="AK31" i="3"/>
  <c r="BF26" i="3"/>
  <c r="AK32" i="3"/>
  <c r="AH30" i="3"/>
  <c r="BF18" i="3"/>
  <c r="BF22" i="3"/>
  <c r="AZ34" i="7"/>
  <c r="AZ36" i="7"/>
  <c r="C43" i="1" s="1"/>
  <c r="BM32" i="7"/>
  <c r="G42" i="1" s="1"/>
  <c r="BR32" i="7"/>
  <c r="K42" i="1" s="1"/>
  <c r="BA34" i="7"/>
  <c r="BA36" i="7"/>
  <c r="L32" i="7"/>
  <c r="BG5" i="7"/>
  <c r="BO32" i="7"/>
  <c r="H42" i="1" s="1"/>
  <c r="BS32" i="7"/>
  <c r="L42" i="1" s="1"/>
  <c r="BG20" i="7"/>
  <c r="M31" i="7"/>
  <c r="BB34" i="7"/>
  <c r="BB36" i="7"/>
  <c r="C44" i="1" s="1"/>
  <c r="M30" i="7"/>
  <c r="BF5" i="7"/>
  <c r="BK30" i="7"/>
  <c r="E40" i="1" s="1"/>
  <c r="BP30" i="7"/>
  <c r="I40" i="1" s="1"/>
  <c r="BG15" i="7"/>
  <c r="BC34" i="7"/>
  <c r="BC36" i="7"/>
  <c r="BB36" i="3"/>
  <c r="C13" i="1" s="1"/>
  <c r="BF9" i="3"/>
  <c r="BF14" i="3"/>
  <c r="L31" i="3"/>
  <c r="BF25" i="3"/>
  <c r="K27" i="3"/>
  <c r="AZ34" i="3"/>
  <c r="BC36" i="3"/>
  <c r="J30" i="3"/>
  <c r="BK32" i="3"/>
  <c r="E11" i="1" s="1"/>
  <c r="BP32" i="3"/>
  <c r="I11" i="1" s="1"/>
  <c r="BF8" i="3"/>
  <c r="BF13" i="3"/>
  <c r="M31" i="3"/>
  <c r="BG25" i="3"/>
  <c r="BG31" i="3" s="1"/>
  <c r="K26" i="3"/>
  <c r="BA34" i="3"/>
  <c r="AZ36" i="3"/>
  <c r="C12" i="1" s="1"/>
  <c r="BG10" i="3"/>
  <c r="L32" i="3"/>
  <c r="BF5" i="3"/>
  <c r="BF7" i="3"/>
  <c r="J31" i="3"/>
  <c r="BA36" i="3"/>
  <c r="BC9" i="6"/>
  <c r="AY14" i="6"/>
  <c r="BE7" i="6"/>
  <c r="BC8" i="6"/>
  <c r="AZ14" i="6"/>
  <c r="AY16" i="6"/>
  <c r="C33" i="1" s="1"/>
  <c r="BE5" i="6"/>
  <c r="BC6" i="6"/>
  <c r="BD7" i="6"/>
  <c r="L12" i="6"/>
  <c r="BC5" i="6"/>
  <c r="BF6" i="6"/>
  <c r="BF9" i="6"/>
  <c r="BF11" i="6" s="1"/>
  <c r="AW14" i="6"/>
  <c r="AZ16" i="6"/>
  <c r="BF5" i="6"/>
  <c r="BF8" i="6"/>
  <c r="AW16" i="6"/>
  <c r="C32" i="1" s="1"/>
  <c r="K12" i="5"/>
  <c r="BC11" i="5"/>
  <c r="C19" i="1" s="1"/>
  <c r="AY16" i="5"/>
  <c r="C22" i="1" s="1"/>
  <c r="AZ16" i="5"/>
  <c r="M10" i="5"/>
  <c r="BE6" i="5"/>
  <c r="BD8" i="5"/>
  <c r="BB9" i="5"/>
  <c r="AX14" i="5"/>
  <c r="AW16" i="5"/>
  <c r="C21" i="1" s="1"/>
  <c r="BD6" i="5"/>
  <c r="AW14" i="5"/>
  <c r="BF5" i="5"/>
  <c r="BF8" i="5"/>
  <c r="BC9" i="5"/>
  <c r="AY14" i="5"/>
  <c r="AX16" i="5"/>
  <c r="BM30" i="7"/>
  <c r="G40" i="1" s="1"/>
  <c r="BR30" i="7"/>
  <c r="K40" i="1" s="1"/>
  <c r="K5" i="3"/>
  <c r="K10" i="3"/>
  <c r="K15" i="3"/>
  <c r="K20" i="3"/>
  <c r="L30" i="3"/>
  <c r="AJ30" i="3"/>
  <c r="BO30" i="3"/>
  <c r="H9" i="1" s="1"/>
  <c r="BS30" i="3"/>
  <c r="L9" i="1" s="1"/>
  <c r="J32" i="3"/>
  <c r="AH32" i="3"/>
  <c r="BL32" i="3"/>
  <c r="F11" i="1" s="1"/>
  <c r="BQ32" i="3"/>
  <c r="J11" i="1" s="1"/>
  <c r="BB6" i="5"/>
  <c r="BD9" i="5"/>
  <c r="K10" i="5"/>
  <c r="AI10" i="5"/>
  <c r="M12" i="5"/>
  <c r="BB7" i="6"/>
  <c r="BB11" i="6"/>
  <c r="C30" i="1" s="1"/>
  <c r="K10" i="6"/>
  <c r="J30" i="7"/>
  <c r="J32" i="7"/>
  <c r="K20" i="7"/>
  <c r="BF22" i="7"/>
  <c r="M30" i="3"/>
  <c r="AK30" i="3"/>
  <c r="BK30" i="3"/>
  <c r="E9" i="1" s="1"/>
  <c r="BP30" i="3"/>
  <c r="I9" i="1" s="1"/>
  <c r="BM32" i="3"/>
  <c r="G11" i="1" s="1"/>
  <c r="BR32" i="3"/>
  <c r="K11" i="1" s="1"/>
  <c r="BB34" i="3"/>
  <c r="BB8" i="5"/>
  <c r="BE8" i="5"/>
  <c r="BB11" i="5"/>
  <c r="D19" i="1" s="1"/>
  <c r="L10" i="5"/>
  <c r="AJ10" i="5"/>
  <c r="BF6" i="7"/>
  <c r="BF8" i="7"/>
  <c r="BF10" i="7"/>
  <c r="K15" i="7"/>
  <c r="BF17" i="7"/>
  <c r="BF19" i="7"/>
  <c r="BD5" i="5"/>
  <c r="BC5" i="5"/>
  <c r="AH8" i="5"/>
  <c r="AJ11" i="5"/>
  <c r="BD11" i="5" s="1"/>
  <c r="E19" i="1" s="1"/>
  <c r="M12" i="6"/>
  <c r="M10" i="6"/>
  <c r="AJ12" i="6"/>
  <c r="AJ10" i="6"/>
  <c r="BD5" i="6"/>
  <c r="BD6" i="6"/>
  <c r="K10" i="7"/>
  <c r="BF21" i="7"/>
  <c r="BF25" i="7"/>
  <c r="J12" i="5"/>
  <c r="AG12" i="5"/>
  <c r="BD7" i="5"/>
  <c r="AJ12" i="5"/>
  <c r="BD12" i="5" s="1"/>
  <c r="E20" i="1" s="1"/>
  <c r="J12" i="6"/>
  <c r="J10" i="6"/>
  <c r="AG12" i="6"/>
  <c r="AG10" i="6"/>
  <c r="BB5" i="6"/>
  <c r="BD8" i="6"/>
  <c r="BD9" i="6"/>
  <c r="AJ11" i="6"/>
  <c r="BD11" i="6" s="1"/>
  <c r="E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F16" i="7"/>
  <c r="BF18" i="7"/>
  <c r="BF20" i="7"/>
  <c r="K25" i="7"/>
  <c r="K31" i="7" s="1"/>
  <c r="BG25" i="7" a="1"/>
  <c r="BG25" i="7" s="1"/>
  <c r="BG31" i="7" s="1"/>
  <c r="M32" i="7"/>
  <c r="BK32" i="7"/>
  <c r="E42" i="1" s="1"/>
  <c r="BP32" i="7"/>
  <c r="I42" i="1" s="1"/>
  <c r="J10" i="5"/>
  <c r="AG10" i="5"/>
  <c r="BB9" i="6"/>
  <c r="L10" i="6"/>
  <c r="AI10" i="6"/>
  <c r="L30" i="7"/>
  <c r="AJ30" i="7"/>
  <c r="BO30" i="7"/>
  <c r="H40" i="1" s="1"/>
  <c r="BS30" i="7"/>
  <c r="L40" i="1" s="1"/>
  <c r="AH32" i="7"/>
  <c r="BJ20" i="3"/>
  <c r="BJ15" i="3"/>
  <c r="BI5" i="7"/>
  <c r="BJ20" i="7"/>
  <c r="BJ10" i="3"/>
  <c r="BJ25" i="7"/>
  <c r="BJ10" i="7"/>
  <c r="BI25" i="7"/>
  <c r="BI20" i="3"/>
  <c r="BJ5" i="3"/>
  <c r="BI5" i="3"/>
  <c r="BJ5" i="7"/>
  <c r="BI20" i="7"/>
  <c r="BJ25" i="3"/>
  <c r="BJ15" i="7"/>
  <c r="BI10" i="3"/>
  <c r="BI15" i="3"/>
  <c r="BI25" i="3"/>
  <c r="BI15" i="7"/>
  <c r="BI10" i="7"/>
  <c r="BJ31" i="3" l="1"/>
  <c r="D10" i="1" s="1"/>
  <c r="BC10" i="6"/>
  <c r="D29" i="1" s="1"/>
  <c r="K31" i="3"/>
  <c r="BC12" i="6"/>
  <c r="D31" i="1" s="1"/>
  <c r="BF10" i="6"/>
  <c r="BB12" i="6"/>
  <c r="C31" i="1" s="1"/>
  <c r="BB10" i="5"/>
  <c r="D18" i="1" s="1"/>
  <c r="BD10" i="5"/>
  <c r="E18" i="1" s="1"/>
  <c r="AI30" i="3"/>
  <c r="BG30" i="3"/>
  <c r="BF12" i="5"/>
  <c r="AI31" i="7"/>
  <c r="AI32" i="7"/>
  <c r="AI30" i="7"/>
  <c r="BI31" i="7"/>
  <c r="C41" i="1" s="1"/>
  <c r="BJ31" i="7"/>
  <c r="D41" i="1" s="1"/>
  <c r="BG30" i="7"/>
  <c r="BF12" i="6"/>
  <c r="AH12" i="6"/>
  <c r="BF10" i="5"/>
  <c r="AH12" i="5"/>
  <c r="AI32" i="3"/>
  <c r="BG32" i="3"/>
  <c r="BI31" i="3"/>
  <c r="C10" i="1" s="1"/>
  <c r="BJ30" i="3"/>
  <c r="D9" i="1" s="1"/>
  <c r="BG32" i="7"/>
  <c r="BJ32" i="3"/>
  <c r="D11" i="1" s="1"/>
  <c r="BB10" i="6"/>
  <c r="C29" i="1" s="1"/>
  <c r="BD12" i="6"/>
  <c r="E31" i="1" s="1"/>
  <c r="BI30" i="3"/>
  <c r="C9" i="1" s="1"/>
  <c r="K32" i="7"/>
  <c r="K30" i="7"/>
  <c r="BC10" i="5"/>
  <c r="C18" i="1" s="1"/>
  <c r="AH10" i="5"/>
  <c r="BI32" i="7"/>
  <c r="C42" i="1" s="1"/>
  <c r="BI30" i="7"/>
  <c r="C40" i="1" s="1"/>
  <c r="BB12" i="5"/>
  <c r="D20" i="1" s="1"/>
  <c r="BI32" i="3"/>
  <c r="C11" i="1" s="1"/>
  <c r="BJ32" i="7"/>
  <c r="D42" i="1" s="1"/>
  <c r="BJ30" i="7"/>
  <c r="D40" i="1" s="1"/>
  <c r="BD10" i="6"/>
  <c r="E29" i="1" s="1"/>
  <c r="K30" i="3"/>
  <c r="K32" i="3"/>
</calcChain>
</file>

<file path=xl/sharedStrings.xml><?xml version="1.0" encoding="utf-8"?>
<sst xmlns="http://schemas.openxmlformats.org/spreadsheetml/2006/main" count="1410" uniqueCount="554">
  <si>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</si>
  <si>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</si>
  <si>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</si>
  <si>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</si>
  <si>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</si>
  <si>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</si>
  <si>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</si>
  <si>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</si>
  <si>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</si>
  <si>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</si>
  <si>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</si>
  <si>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</si>
  <si>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</si>
  <si>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</si>
  <si>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</si>
  <si>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</si>
  <si>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</si>
  <si>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</si>
  <si>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</si>
  <si>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</si>
  <si>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</si>
  <si>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</si>
  <si>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</si>
  <si>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</si>
  <si>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</si>
  <si>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</si>
  <si>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</si>
  <si>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</si>
  <si>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</si>
  <si>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</si>
  <si>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</si>
  <si>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</si>
  <si>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</si>
  <si>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</si>
  <si>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</si>
  <si>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</si>
  <si>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</si>
  <si>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</si>
  <si>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</si>
  <si>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</si>
  <si>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</si>
  <si>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</si>
  <si>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</si>
  <si>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</si>
  <si>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</si>
  <si>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</si>
  <si>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</si>
  <si>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</si>
  <si>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</si>
  <si>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</si>
  <si>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</si>
  <si>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</si>
  <si>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</si>
  <si>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</si>
  <si>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</si>
  <si>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</si>
  <si>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</si>
  <si>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</si>
  <si>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</si>
  <si>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</si>
  <si>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</si>
  <si>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</si>
  <si>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</si>
  <si>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</si>
  <si>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</si>
  <si>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</si>
  <si>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</si>
  <si>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</si>
  <si>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</si>
  <si>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</si>
  <si>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</si>
  <si>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</si>
  <si>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</si>
  <si>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</si>
  <si>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</si>
  <si>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</si>
  <si>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</si>
  <si>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</si>
  <si>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</si>
  <si>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</si>
  <si>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</si>
  <si>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</si>
  <si>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</si>
  <si>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</si>
  <si>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</si>
  <si>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</si>
  <si>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</si>
  <si>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</si>
  <si>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</si>
  <si>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</si>
  <si>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</si>
  <si>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</si>
  <si>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</si>
  <si>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</si>
  <si>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</si>
  <si>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</si>
  <si>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</si>
  <si>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</si>
  <si>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</si>
  <si>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</si>
  <si>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</si>
  <si>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</si>
  <si>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</si>
  <si>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</si>
  <si>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</si>
  <si>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</si>
  <si>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</si>
  <si>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</si>
  <si>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</si>
  <si>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</si>
  <si>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</si>
  <si>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</si>
  <si>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</si>
  <si>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</si>
  <si>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</si>
  <si>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</si>
  <si>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</si>
  <si>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</si>
  <si>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</si>
  <si>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</si>
  <si>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</si>
  <si>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</si>
  <si>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</si>
  <si>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</si>
  <si>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</si>
  <si>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</si>
  <si>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</si>
  <si>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</si>
  <si>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</si>
  <si>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</si>
  <si>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</si>
  <si>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</si>
  <si>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</si>
  <si>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</si>
  <si>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</si>
  <si>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</si>
  <si>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</si>
  <si>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</si>
  <si>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</si>
  <si>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</si>
  <si>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</si>
  <si>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</si>
  <si>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</si>
  <si>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</si>
  <si>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</si>
  <si>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</si>
  <si>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</si>
  <si>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</si>
  <si>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</si>
  <si>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</si>
  <si>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</si>
  <si>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</si>
  <si>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</si>
  <si>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</si>
  <si>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</si>
  <si>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</si>
  <si>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</si>
  <si>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</si>
  <si>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</si>
  <si>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</si>
  <si>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</si>
  <si>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</si>
  <si>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</si>
  <si>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</si>
  <si>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</si>
  <si>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</si>
  <si>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</si>
  <si>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</si>
  <si>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</si>
  <si>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</si>
  <si>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</si>
  <si>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</si>
  <si>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</si>
  <si>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</si>
  <si>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</si>
  <si>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</si>
  <si>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</si>
  <si>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</si>
  <si>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</si>
  <si>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</si>
  <si>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</si>
  <si>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</si>
  <si>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</si>
  <si>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</si>
  <si>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</si>
  <si>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</si>
  <si>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</si>
  <si>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</si>
  <si>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</si>
  <si>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</si>
  <si>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</si>
  <si>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</si>
  <si>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</si>
  <si>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</si>
  <si>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</si>
  <si>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</si>
  <si>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</si>
  <si>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</si>
  <si>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</si>
  <si>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</si>
  <si>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</si>
  <si>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</si>
  <si>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</si>
  <si>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</si>
  <si>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</si>
  <si>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</si>
  <si>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</si>
  <si>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</si>
  <si>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</si>
  <si>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</si>
  <si>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</si>
  <si>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</si>
  <si>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</si>
  <si>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</si>
  <si>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</si>
  <si>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</si>
  <si>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</si>
  <si>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</si>
  <si>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</si>
  <si>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</si>
  <si>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</si>
  <si>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</si>
  <si>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</si>
  <si>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</si>
  <si>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</si>
  <si>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</si>
  <si>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</si>
  <si>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</si>
  <si>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</si>
  <si>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</si>
  <si>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</si>
  <si>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</si>
  <si>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</si>
  <si>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</si>
  <si>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</si>
  <si>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</si>
  <si>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</si>
  <si>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</si>
  <si>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</si>
  <si>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</si>
  <si>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</si>
  <si>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</si>
  <si>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</si>
  <si>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</si>
  <si>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</si>
  <si>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</si>
  <si>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</si>
  <si>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</si>
  <si>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</si>
  <si>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</si>
  <si>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</si>
  <si>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</si>
  <si>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</si>
  <si>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</si>
  <si>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</si>
  <si>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</si>
  <si>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</si>
  <si>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</si>
  <si>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</si>
  <si>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</si>
  <si>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</si>
  <si>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</si>
  <si>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</si>
  <si>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</si>
  <si>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</si>
  <si>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</si>
  <si>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</si>
  <si>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</si>
  <si>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</si>
  <si>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</si>
  <si>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</si>
  <si>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</si>
  <si>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</si>
  <si>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</si>
  <si>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</si>
  <si>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</si>
  <si>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</si>
  <si>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</si>
  <si>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</si>
  <si>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</si>
  <si>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</si>
  <si>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</si>
  <si>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</si>
  <si>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</si>
  <si>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</si>
  <si>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</si>
  <si>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</si>
  <si>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</si>
  <si>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</si>
  <si>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</si>
  <si>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</si>
  <si>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</si>
  <si>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</si>
  <si>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</si>
  <si>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</si>
  <si>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</si>
  <si>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</si>
  <si>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</si>
  <si>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</si>
  <si>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</si>
  <si>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</si>
  <si>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</si>
  <si>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</si>
  <si>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</si>
  <si>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</si>
  <si>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</si>
  <si>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</si>
  <si>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</si>
  <si>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</si>
  <si>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</si>
  <si>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</si>
  <si>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</si>
  <si>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</si>
  <si>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</si>
  <si>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</si>
  <si>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</si>
  <si>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</si>
  <si>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</si>
  <si>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</si>
  <si>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</si>
  <si>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</si>
  <si>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</si>
  <si>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</si>
  <si>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</si>
  <si>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</si>
  <si>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</si>
  <si>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</si>
  <si>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</si>
  <si>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</si>
  <si>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</si>
  <si>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</si>
  <si>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</si>
  <si>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</si>
  <si>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</si>
  <si>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</si>
  <si>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</si>
  <si>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</si>
  <si>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</si>
  <si>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</si>
  <si>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</si>
  <si>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</si>
  <si>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</si>
  <si>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</si>
  <si>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</si>
  <si>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</si>
  <si>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</si>
  <si>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</si>
  <si>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</si>
  <si>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</si>
  <si>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</si>
  <si>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</si>
  <si>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</si>
  <si>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</si>
  <si>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</si>
  <si>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</si>
  <si>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</si>
  <si>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</si>
  <si>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</si>
  <si>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</si>
  <si>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</si>
  <si>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</si>
  <si>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</si>
  <si>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</si>
  <si>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</si>
  <si>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</si>
  <si>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</si>
  <si>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</si>
  <si>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</si>
  <si>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</si>
  <si>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</si>
  <si>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</si>
  <si>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</si>
  <si>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</si>
  <si>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</si>
  <si>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</si>
  <si>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</si>
  <si>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</si>
  <si>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</si>
  <si>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</si>
  <si>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</si>
  <si>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</si>
  <si>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</si>
  <si>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</si>
  <si>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</si>
  <si>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</si>
  <si>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</si>
  <si>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</si>
  <si>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</si>
  <si>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</si>
  <si>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</si>
  <si>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</si>
  <si>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</si>
  <si>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</si>
  <si>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</si>
  <si>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</si>
  <si>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</si>
  <si>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</si>
  <si>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</si>
  <si>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</si>
  <si>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</si>
  <si>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</si>
  <si>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</si>
  <si>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</si>
  <si>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</si>
  <si>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</si>
  <si>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</si>
  <si>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</si>
  <si>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</si>
  <si>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</si>
  <si>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</si>
  <si>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</si>
  <si>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</si>
  <si>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</si>
  <si>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</si>
  <si>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</si>
  <si>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</si>
  <si>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</si>
  <si>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</si>
  <si>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</si>
  <si>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</si>
  <si>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</si>
  <si>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</si>
  <si>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</si>
  <si>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</si>
  <si>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</si>
  <si>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</si>
  <si>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</si>
  <si>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</si>
  <si>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</si>
  <si>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</si>
  <si>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</si>
  <si>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</si>
  <si>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</si>
  <si>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</si>
  <si>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</si>
  <si>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</si>
  <si>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</si>
  <si>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</si>
  <si>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</si>
  <si>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</si>
  <si>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</si>
  <si>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</si>
  <si>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</si>
  <si>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</si>
  <si>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</si>
  <si>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</si>
  <si>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</si>
  <si>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</si>
  <si>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</si>
  <si>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</si>
  <si>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</si>
  <si>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</si>
  <si>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</si>
  <si>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</si>
  <si>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</si>
  <si>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</si>
  <si>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</si>
  <si>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</si>
  <si>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</si>
  <si>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</si>
  <si>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</si>
  <si>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</si>
  <si>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</si>
  <si>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</si>
  <si>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</si>
  <si>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</si>
  <si>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</si>
  <si>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</si>
  <si>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</si>
  <si>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</si>
  <si>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</si>
  <si>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</si>
  <si>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</si>
  <si>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</si>
  <si>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</si>
  <si>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</si>
  <si>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</si>
  <si>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</si>
  <si>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</si>
  <si>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</si>
  <si>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</si>
  <si>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</si>
  <si>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</si>
  <si>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</si>
  <si>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</si>
  <si>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</si>
  <si>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</si>
  <si>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</si>
  <si>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</si>
  <si>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</si>
  <si>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</si>
  <si>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</si>
  <si>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</si>
  <si>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</si>
  <si>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</si>
  <si>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</si>
  <si>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</si>
  <si>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</si>
  <si>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</si>
  <si>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</si>
  <si>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</si>
  <si>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</si>
  <si>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</si>
  <si>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</si>
  <si>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</si>
  <si>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</si>
  <si>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</si>
  <si>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</si>
  <si>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</si>
  <si>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</si>
  <si>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</si>
  <si>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</si>
  <si>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</si>
  <si>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</si>
  <si>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</si>
  <si>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</si>
  <si>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</si>
  <si>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</si>
  <si>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</si>
  <si>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</si>
  <si>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</si>
  <si>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</si>
  <si>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</si>
  <si>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</si>
  <si>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</si>
  <si>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</si>
  <si>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</si>
  <si>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</si>
  <si>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</si>
  <si>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</si>
  <si>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</si>
  <si>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</si>
  <si>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</si>
  <si>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</si>
  <si>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</si>
  <si>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</si>
  <si>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</si>
  <si>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</si>
  <si>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</si>
  <si>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</si>
  <si>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</si>
  <si>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</si>
  <si>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</si>
  <si>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</si>
  <si>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</si>
  <si>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</si>
  <si>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</si>
  <si>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</si>
  <si>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</si>
  <si>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inf</t>
  </si>
  <si>
    <t>Diff</t>
  </si>
  <si>
    <t>reference (tmc2v5.0rc3.0)</t>
  </si>
  <si>
    <t>tested (tmc2v5.0rc4.0)</t>
  </si>
  <si>
    <t>tested  (tmc2v5.0rc4.0)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</si>
</sst>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00"/>
    <numFmt numFmtId="166" formatCode="[&gt;1000]0;[&gt;100]0.0;0.00"/>
    <numFmt numFmtId="167" formatCode="0.000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8" borderId="0" xfId="0" applyNumberFormat="1" applyFill="1" applyAlignment="1">
      <alignment horizontal="center"/>
    </xf>
    <xf numFmtId="167" fontId="0" fillId="0" borderId="0" xfId="0" applyNumberFormat="1"/>
    <xf numFmtId="167" fontId="0" fillId="10" borderId="0" xfId="0" applyNumberFormat="1" applyFill="1" applyAlignment="1">
      <alignment horizontal="center"/>
    </xf>
    <xf numFmtId="167" fontId="0" fillId="8" borderId="3" xfId="0" applyNumberFormat="1" applyFill="1" applyBorder="1" applyAlignment="1">
      <alignment horizontal="center"/>
    </xf>
    <xf numFmtId="167" fontId="0" fillId="10" borderId="3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</c:v>
                </c:pt>
              </c:strCache>
            </c:strRef>
          </c:tx>
          <c:xVal>
            <c:strRef>
              <c:f>Graphs!graph_a_x_range_A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1E-4BB1-AF44-2FD8799E849B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1E-4BB1-AF44-2FD8799E8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</c:v>
                </c:pt>
              </c:strCache>
            </c:strRef>
          </c:tx>
          <c:xVal>
            <c:strRef>
              <c:f>Graphs!graph_b_x_range_A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5-4EFC-8492-79C5CA1812E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05-4EFC-8492-79C5CA181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</c:v>
                </c:pt>
              </c:strCache>
            </c:strRef>
          </c:tx>
          <c:xVal>
            <c:strRef>
              <c:f>Graphs!graph_c_x_range_A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5F-4F06-BA4B-670C3549F337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5F-4F06-BA4B-670C3549F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</c:v>
                </c:pt>
              </c:strCache>
            </c:strRef>
          </c:tx>
          <c:xVal>
            <c:strRef>
              <c:f>Graphs!graph_d_x_range_A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A3-42FC-85AA-E87E90E955E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A3-42FC-85AA-E87E90E95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</c:v>
                </c:pt>
              </c:strCache>
            </c:strRef>
          </c:tx>
          <c:xVal>
            <c:strRef>
              <c:f>Graphs!graph_e_x_range_A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4-4102-BDCD-0DD3DA70743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F4-4102-BDCD-0DD3DA707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</c:v>
                </c:pt>
              </c:strCache>
            </c:strRef>
          </c:tx>
          <c:xVal>
            <c:strRef>
              <c:f>Graphs!graph_f_x_range_A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7B-40DE-BE7C-7C1A4F204F66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7B-40DE-BE7C-7C1A4F204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workbookViewId="0"/>
  </sheetViews>
  <sheetFormatPr defaultColWidth="8.77734375"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69" t="s">
        <v>2</v>
      </c>
      <c r="D1" s="69"/>
      <c r="E1" s="69"/>
    </row>
    <row r="2" spans="2:12" x14ac:dyDescent="0.3">
      <c r="B2" t="s">
        <v>1</v>
      </c>
      <c r="C2" s="70" t="s">
        <v>3</v>
      </c>
      <c r="D2" s="70"/>
      <c r="E2" s="70"/>
    </row>
    <row r="4" spans="2:12" s="1" customFormat="1" x14ac:dyDescent="0.3">
      <c r="B4" s="1" t="s">
        <v>296</v>
      </c>
    </row>
    <row r="6" spans="2:12" x14ac:dyDescent="0.3">
      <c r="B6" s="65" t="s">
        <v>297</v>
      </c>
      <c r="C6" s="66" t="s">
        <v>298</v>
      </c>
      <c r="D6" s="66"/>
      <c r="E6" s="66"/>
      <c r="F6" s="66"/>
      <c r="G6" s="66"/>
      <c r="H6" s="66"/>
      <c r="I6" s="66"/>
      <c r="J6" s="66"/>
      <c r="K6" s="66"/>
      <c r="L6" s="66"/>
    </row>
    <row r="7" spans="2:12" x14ac:dyDescent="0.3">
      <c r="B7" s="65"/>
      <c r="C7" s="67" t="s">
        <v>237</v>
      </c>
      <c r="D7" s="67"/>
      <c r="E7" s="68" t="s">
        <v>242</v>
      </c>
      <c r="F7" s="68"/>
      <c r="G7" s="68"/>
      <c r="H7" s="67" t="s">
        <v>249</v>
      </c>
      <c r="I7" s="67"/>
      <c r="J7" s="68" t="s">
        <v>254</v>
      </c>
      <c r="K7" s="68"/>
      <c r="L7" s="68"/>
    </row>
    <row r="8" spans="2:12" x14ac:dyDescent="0.3">
      <c r="B8" s="65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3">
      <c r="B9" s="4" t="s">
        <v>288</v>
      </c>
      <c r="C9" s="5" t="e">
        <f>'C2 lossyG,lossyA,intra'!$BI$30:$BI$30</f>
        <v>#DIV/0!</v>
      </c>
      <c r="D9" s="5" t="e">
        <f>'C2 lossyG,lossyA,intra'!$BJ$30:$BJ$30</f>
        <v>#DIV/0!</v>
      </c>
      <c r="E9" s="5" t="e">
        <f>'C2 lossyG,lossyA,intra'!$BK$30:$BK$30</f>
        <v>#DIV/0!</v>
      </c>
      <c r="F9" s="5" t="e">
        <f>'C2 lossyG,lossyA,intra'!$BL$30:$BL$30</f>
        <v>#DIV/0!</v>
      </c>
      <c r="G9" s="5" t="e">
        <f>'C2 lossyG,lossyA,intra'!$BM$30:$BM$30</f>
        <v>#DIV/0!</v>
      </c>
      <c r="H9" s="5" t="e">
        <f>'C2 lossyG,lossyA,intra'!$BO$30:$BO$30</f>
        <v>#DIV/0!</v>
      </c>
      <c r="I9" s="5" t="e">
        <f>'C2 lossyG,lossyA,intra'!$BP$30:$BP$30</f>
        <v>#DIV/0!</v>
      </c>
      <c r="J9" s="5" t="e">
        <f>'C2 lossyG,lossyA,intra'!$BQ$30:$BQ$30</f>
        <v>#DIV/0!</v>
      </c>
      <c r="K9" s="5" t="e">
        <f>'C2 lossyG,lossyA,intra'!$BR$30:$BR$30</f>
        <v>#DIV/0!</v>
      </c>
      <c r="L9" s="5" t="e">
        <f>'C2 lossyG,lossyA,intra'!$BS$30:$BS$30</f>
        <v>#DIV/0!</v>
      </c>
    </row>
    <row r="10" spans="2:12" x14ac:dyDescent="0.3">
      <c r="B10" s="4" t="s">
        <v>289</v>
      </c>
      <c r="C10" s="5" t="e">
        <f>'C2 lossyG,lossyA,intra'!$BI$31:$BI$31</f>
        <v>#DIV/0!</v>
      </c>
      <c r="D10" s="5" t="e">
        <f>'C2 lossyG,lossyA,intra'!$BJ$31:$BJ$31</f>
        <v>#DIV/0!</v>
      </c>
      <c r="E10" s="5" t="e">
        <f>'C2 lossyG,lossyA,intra'!$BK$31:$BK$31</f>
        <v>#DIV/0!</v>
      </c>
      <c r="F10" s="5" t="e">
        <f>'C2 lossyG,lossyA,intra'!$BL$31:$BL$31</f>
        <v>#DIV/0!</v>
      </c>
      <c r="G10" s="5" t="e">
        <f>'C2 lossyG,lossyA,intra'!$BM$31:$BM$31</f>
        <v>#DIV/0!</v>
      </c>
      <c r="H10" s="5" t="e">
        <f>'C2 lossyG,lossyA,intra'!$BO$31:$BO$31</f>
        <v>#DIV/0!</v>
      </c>
      <c r="I10" s="5" t="e">
        <f>'C2 lossyG,lossyA,intra'!$BP$31:$BP$31</f>
        <v>#DIV/0!</v>
      </c>
      <c r="J10" s="5" t="e">
        <f>'C2 lossyG,lossyA,intra'!$BQ$31:$BQ$31</f>
        <v>#DIV/0!</v>
      </c>
      <c r="K10" s="5" t="e">
        <f>'C2 lossyG,lossyA,intra'!$BR$31:$BR$31</f>
        <v>#DIV/0!</v>
      </c>
      <c r="L10" s="5" t="e">
        <f>'C2 lossyG,lossyA,intra'!$BS$31:$BS$31</f>
        <v>#DIV/0!</v>
      </c>
    </row>
    <row r="11" spans="2:12" x14ac:dyDescent="0.3">
      <c r="B11" s="6" t="s">
        <v>290</v>
      </c>
      <c r="C11" s="7" t="e">
        <f>'C2 lossyG,lossyA,intra'!$BI$32:$BI$32</f>
        <v>#DIV/0!</v>
      </c>
      <c r="D11" s="7" t="e">
        <f>'C2 lossyG,lossyA,intra'!$BJ$32:$BJ$32</f>
        <v>#DIV/0!</v>
      </c>
      <c r="E11" s="7" t="e">
        <f>'C2 lossyG,lossyA,intra'!$BK$32:$BK$32</f>
        <v>#DIV/0!</v>
      </c>
      <c r="F11" s="7" t="e">
        <f>'C2 lossyG,lossyA,intra'!$BL$32:$BL$32</f>
        <v>#DIV/0!</v>
      </c>
      <c r="G11" s="7" t="e">
        <f>'C2 lossyG,lossyA,intra'!$BM$32:$BM$32</f>
        <v>#DIV/0!</v>
      </c>
      <c r="H11" s="7" t="e">
        <f>'C2 lossyG,lossyA,intra'!$BO$32:$BO$32</f>
        <v>#DIV/0!</v>
      </c>
      <c r="I11" s="7" t="e">
        <f>'C2 lossyG,lossyA,intra'!$BP$32:$BP$32</f>
        <v>#DIV/0!</v>
      </c>
      <c r="J11" s="7" t="e">
        <f>'C2 lossyG,lossyA,intra'!$BQ$32:$BQ$32</f>
        <v>#DIV/0!</v>
      </c>
      <c r="K11" s="7" t="e">
        <f>'C2 lossyG,lossyA,intra'!$BR$32:$BR$32</f>
        <v>#DIV/0!</v>
      </c>
      <c r="L11" s="7" t="e">
        <f>'C2 lossyG,lossyA,intra'!$BS$32:$BS$32</f>
        <v>#DIV/0!</v>
      </c>
    </row>
    <row r="12" spans="2:12" x14ac:dyDescent="0.3">
      <c r="B12" t="s">
        <v>299</v>
      </c>
      <c r="C12" s="63" t="e">
        <f>'C2 lossyG,lossyA,intra'!AZ36</f>
        <v>#NUM!</v>
      </c>
      <c r="D12" s="63"/>
      <c r="E12" s="63"/>
      <c r="F12" s="63"/>
      <c r="G12" s="63"/>
      <c r="H12" s="63"/>
      <c r="I12" s="63"/>
      <c r="J12" s="63"/>
      <c r="K12" s="63"/>
      <c r="L12" s="63"/>
    </row>
    <row r="13" spans="2:12" x14ac:dyDescent="0.3">
      <c r="B13" s="9" t="s">
        <v>300</v>
      </c>
      <c r="C13" s="64" t="e">
        <f>'C2 lossyG,lossyA,intra'!BB36</f>
        <v>#NUM!</v>
      </c>
      <c r="D13" s="64"/>
      <c r="E13" s="64"/>
      <c r="F13" s="64"/>
      <c r="G13" s="64"/>
      <c r="H13" s="64"/>
      <c r="I13" s="64"/>
      <c r="J13" s="64"/>
      <c r="K13" s="64"/>
      <c r="L13" s="64"/>
    </row>
    <row r="15" spans="2:12" x14ac:dyDescent="0.3">
      <c r="B15" s="65" t="s">
        <v>381</v>
      </c>
      <c r="C15" s="66" t="s">
        <v>382</v>
      </c>
      <c r="D15" s="66"/>
      <c r="E15" s="66"/>
    </row>
    <row r="16" spans="2:12" x14ac:dyDescent="0.3">
      <c r="B16" s="65"/>
      <c r="C16" s="67" t="s">
        <v>357</v>
      </c>
      <c r="D16" s="67"/>
      <c r="E16" s="67"/>
    </row>
    <row r="17" spans="2:5" x14ac:dyDescent="0.3">
      <c r="B17" s="65"/>
      <c r="C17" s="2" t="s">
        <v>124</v>
      </c>
      <c r="D17" s="2" t="s">
        <v>118</v>
      </c>
      <c r="E17" s="2" t="s">
        <v>150</v>
      </c>
    </row>
    <row r="18" spans="2:5" x14ac:dyDescent="0.3">
      <c r="B18" s="4" t="s">
        <v>288</v>
      </c>
      <c r="C18" s="5">
        <f>'CW losslG,losslA,intra'!BC10</f>
        <v>0.94910190716462939</v>
      </c>
      <c r="D18" s="5">
        <f>'CW losslG,losslA,intra'!BB10</f>
        <v>0.99527971617651512</v>
      </c>
      <c r="E18" s="5">
        <f>'CW losslG,losslA,intra'!BD10</f>
        <v>1</v>
      </c>
    </row>
    <row r="19" spans="2:5" x14ac:dyDescent="0.3">
      <c r="B19" s="4" t="s">
        <v>289</v>
      </c>
      <c r="C19" s="5">
        <f>'CW losslG,losslA,intra'!BC11</f>
        <v>0.95697218133701045</v>
      </c>
      <c r="D19" s="5">
        <f>'CW losslG,losslA,intra'!BB11</f>
        <v>0.99635890304048069</v>
      </c>
      <c r="E19" s="5">
        <f>'CW losslG,losslA,intra'!BD11</f>
        <v>1</v>
      </c>
    </row>
    <row r="20" spans="2:5" x14ac:dyDescent="0.3">
      <c r="B20" s="6" t="s">
        <v>290</v>
      </c>
      <c r="C20" s="7">
        <f>'CW losslG,losslA,intra'!BC12</f>
        <v>0.9506820678867921</v>
      </c>
      <c r="D20" s="7">
        <f>'CW losslG,losslA,intra'!BB12</f>
        <v>0.9955574175579236</v>
      </c>
      <c r="E20" s="7">
        <f>'CW losslG,losslA,intra'!BD12</f>
        <v>1</v>
      </c>
    </row>
    <row r="21" spans="2:5" x14ac:dyDescent="0.3">
      <c r="B21" t="s">
        <v>299</v>
      </c>
      <c r="C21" s="63">
        <f>'CW losslG,losslA,intra'!AW16</f>
        <v>0.87357018682213217</v>
      </c>
      <c r="D21" s="63"/>
      <c r="E21" s="63"/>
    </row>
    <row r="22" spans="2:5" x14ac:dyDescent="0.3">
      <c r="B22" s="9" t="s">
        <v>300</v>
      </c>
      <c r="C22" s="64">
        <f>'CW losslG,losslA,intra'!AY16</f>
        <v>0.79200058440217136</v>
      </c>
      <c r="D22" s="64"/>
      <c r="E22" s="64"/>
    </row>
    <row r="24" spans="2:5" s="1" customFormat="1" x14ac:dyDescent="0.3">
      <c r="B24" s="1" t="s">
        <v>456</v>
      </c>
    </row>
    <row r="26" spans="2:5" x14ac:dyDescent="0.3">
      <c r="B26" s="65" t="s">
        <v>457</v>
      </c>
      <c r="C26" s="66" t="s">
        <v>458</v>
      </c>
      <c r="D26" s="66"/>
      <c r="E26" s="66"/>
    </row>
    <row r="27" spans="2:5" x14ac:dyDescent="0.3">
      <c r="B27" s="65"/>
      <c r="C27" s="67" t="s">
        <v>357</v>
      </c>
      <c r="D27" s="67"/>
      <c r="E27" s="67"/>
    </row>
    <row r="28" spans="2:5" x14ac:dyDescent="0.3">
      <c r="B28" s="65"/>
      <c r="C28" s="2" t="s">
        <v>118</v>
      </c>
      <c r="D28" s="2" t="s">
        <v>124</v>
      </c>
      <c r="E28" s="2" t="s">
        <v>150</v>
      </c>
    </row>
    <row r="29" spans="2:5" x14ac:dyDescent="0.3">
      <c r="B29" s="4" t="s">
        <v>288</v>
      </c>
      <c r="C29" s="5">
        <f>'CW losslG,losslA,interLD'!BB10</f>
        <v>0.99464054441840721</v>
      </c>
      <c r="D29" s="5">
        <f>'CW losslG,losslA,interLD'!BC10</f>
        <v>0.94760942369216183</v>
      </c>
      <c r="E29" s="5">
        <f>'CW losslG,losslA,interLD'!BD10</f>
        <v>1</v>
      </c>
    </row>
    <row r="30" spans="2:5" x14ac:dyDescent="0.3">
      <c r="B30" s="4" t="s">
        <v>289</v>
      </c>
      <c r="C30" s="5">
        <f>'CW losslG,losslA,interLD'!BB11</f>
        <v>0.99626586045957155</v>
      </c>
      <c r="D30" s="5">
        <f>'CW losslG,losslA,interLD'!BC11</f>
        <v>0.95691046068163021</v>
      </c>
      <c r="E30" s="5">
        <f>'CW losslG,losslA,interLD'!BD11</f>
        <v>1</v>
      </c>
    </row>
    <row r="31" spans="2:5" x14ac:dyDescent="0.3">
      <c r="B31" s="6" t="s">
        <v>290</v>
      </c>
      <c r="C31" s="7">
        <f>'CW losslG,losslA,interLD'!BB12</f>
        <v>0.99506909974393309</v>
      </c>
      <c r="D31" s="7">
        <f>'CW losslG,losslA,interLD'!BC12</f>
        <v>0.94951589134382297</v>
      </c>
      <c r="E31" s="7">
        <f>'CW losslG,losslA,interLD'!BD12</f>
        <v>1</v>
      </c>
    </row>
    <row r="32" spans="2:5" x14ac:dyDescent="0.3">
      <c r="B32" t="s">
        <v>299</v>
      </c>
      <c r="C32" s="63">
        <f>'CW losslG,losslA,interLD'!AW16</f>
        <v>0.87381300275711749</v>
      </c>
      <c r="D32" s="63"/>
      <c r="E32" s="63"/>
    </row>
    <row r="33" spans="2:12" x14ac:dyDescent="0.3">
      <c r="B33" s="9" t="s">
        <v>300</v>
      </c>
      <c r="C33" s="64">
        <f>'CW losslG,losslA,interLD'!AY16</f>
        <v>0.83767151336499535</v>
      </c>
      <c r="D33" s="64"/>
      <c r="E33" s="64"/>
    </row>
    <row r="35" spans="2:12" s="1" customFormat="1" x14ac:dyDescent="0.3">
      <c r="B35" s="1" t="s">
        <v>543</v>
      </c>
    </row>
    <row r="37" spans="2:12" x14ac:dyDescent="0.3">
      <c r="B37" s="65" t="s">
        <v>544</v>
      </c>
      <c r="C37" s="66" t="s">
        <v>545</v>
      </c>
      <c r="D37" s="66"/>
      <c r="E37" s="66"/>
      <c r="F37" s="66"/>
      <c r="G37" s="66"/>
      <c r="H37" s="66"/>
      <c r="I37" s="66"/>
      <c r="J37" s="66"/>
      <c r="K37" s="66"/>
      <c r="L37" s="66"/>
    </row>
    <row r="38" spans="2:12" x14ac:dyDescent="0.3">
      <c r="B38" s="65"/>
      <c r="C38" s="67" t="s">
        <v>237</v>
      </c>
      <c r="D38" s="67"/>
      <c r="E38" s="68" t="s">
        <v>242</v>
      </c>
      <c r="F38" s="68"/>
      <c r="G38" s="68"/>
      <c r="H38" s="67" t="s">
        <v>249</v>
      </c>
      <c r="I38" s="67"/>
      <c r="J38" s="68" t="s">
        <v>254</v>
      </c>
      <c r="K38" s="68"/>
      <c r="L38" s="68"/>
    </row>
    <row r="39" spans="2:12" x14ac:dyDescent="0.3">
      <c r="B39" s="65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3">
      <c r="B40" s="4" t="s">
        <v>288</v>
      </c>
      <c r="C40" s="5" t="e">
        <f>'C2 lossyG,lossyA,interRA'!$BI$30:$BI$30</f>
        <v>#DIV/0!</v>
      </c>
      <c r="D40" s="5" t="e">
        <f>'C2 lossyG,lossyA,interRA'!$BJ$30:$BJ$30</f>
        <v>#DIV/0!</v>
      </c>
      <c r="E40" s="5" t="e">
        <f>'C2 lossyG,lossyA,interRA'!$BK$30:$BK$30</f>
        <v>#DIV/0!</v>
      </c>
      <c r="F40" s="5" t="e">
        <f>'C2 lossyG,lossyA,interRA'!$BL$30:$BL$30</f>
        <v>#DIV/0!</v>
      </c>
      <c r="G40" s="5" t="e">
        <f>'C2 lossyG,lossyA,interRA'!$BM$30:$BM$30</f>
        <v>#DIV/0!</v>
      </c>
      <c r="H40" s="5" t="e">
        <f>'C2 lossyG,lossyA,interRA'!$BO$30:$BO$30</f>
        <v>#DIV/0!</v>
      </c>
      <c r="I40" s="5" t="e">
        <f>'C2 lossyG,lossyA,interRA'!$BP$30:$BP$30</f>
        <v>#DIV/0!</v>
      </c>
      <c r="J40" s="5" t="e">
        <f>'C2 lossyG,lossyA,interRA'!$BQ$30:$BQ$30</f>
        <v>#DIV/0!</v>
      </c>
      <c r="K40" s="5" t="e">
        <f>'C2 lossyG,lossyA,interRA'!$BR$30:$BR$30</f>
        <v>#DIV/0!</v>
      </c>
      <c r="L40" s="5" t="e">
        <f>'C2 lossyG,lossyA,interRA'!$BS$30:$BS$30</f>
        <v>#DIV/0!</v>
      </c>
    </row>
    <row r="41" spans="2:12" x14ac:dyDescent="0.3">
      <c r="B41" s="4" t="s">
        <v>289</v>
      </c>
      <c r="C41" s="5" t="e">
        <f>'C2 lossyG,lossyA,interRA'!$BI$31:$BI$31</f>
        <v>#DIV/0!</v>
      </c>
      <c r="D41" s="5" t="e">
        <f>'C2 lossyG,lossyA,interRA'!$BJ$31:$BJ$31</f>
        <v>#DIV/0!</v>
      </c>
      <c r="E41" s="5" t="e">
        <f>'C2 lossyG,lossyA,interRA'!$BK$31:$BK$31</f>
        <v>#DIV/0!</v>
      </c>
      <c r="F41" s="5" t="e">
        <f>'C2 lossyG,lossyA,interRA'!$BL$31:$BL$31</f>
        <v>#DIV/0!</v>
      </c>
      <c r="G41" s="5" t="e">
        <f>'C2 lossyG,lossyA,interRA'!$BM$31:$BM$31</f>
        <v>#DIV/0!</v>
      </c>
      <c r="H41" s="5" t="e">
        <f>'C2 lossyG,lossyA,interRA'!$BO$31:$BO$31</f>
        <v>#DIV/0!</v>
      </c>
      <c r="I41" s="5" t="e">
        <f>'C2 lossyG,lossyA,interRA'!$BP$31:$BP$31</f>
        <v>#DIV/0!</v>
      </c>
      <c r="J41" s="5" t="e">
        <f>'C2 lossyG,lossyA,interRA'!$BQ$31:$BQ$31</f>
        <v>#DIV/0!</v>
      </c>
      <c r="K41" s="5" t="e">
        <f>'C2 lossyG,lossyA,interRA'!$BR$31:$BR$31</f>
        <v>#DIV/0!</v>
      </c>
      <c r="L41" s="5" t="e">
        <f>'C2 lossyG,lossyA,interRA'!$BS$31:$BS$31</f>
        <v>#DIV/0!</v>
      </c>
    </row>
    <row r="42" spans="2:12" x14ac:dyDescent="0.3">
      <c r="B42" s="6" t="s">
        <v>290</v>
      </c>
      <c r="C42" s="7" t="e">
        <f>'C2 lossyG,lossyA,interRA'!$BI$32:$BI$32</f>
        <v>#DIV/0!</v>
      </c>
      <c r="D42" s="7" t="e">
        <f>'C2 lossyG,lossyA,interRA'!$BJ$32:$BJ$32</f>
        <v>#DIV/0!</v>
      </c>
      <c r="E42" s="7" t="e">
        <f>'C2 lossyG,lossyA,interRA'!$BK$32:$BK$32</f>
        <v>#DIV/0!</v>
      </c>
      <c r="F42" s="7" t="e">
        <f>'C2 lossyG,lossyA,interRA'!$BL$32:$BL$32</f>
        <v>#DIV/0!</v>
      </c>
      <c r="G42" s="7" t="e">
        <f>'C2 lossyG,lossyA,interRA'!$BM$32:$BM$32</f>
        <v>#DIV/0!</v>
      </c>
      <c r="H42" s="7" t="e">
        <f>'C2 lossyG,lossyA,interRA'!$BO$32:$BO$32</f>
        <v>#DIV/0!</v>
      </c>
      <c r="I42" s="7" t="e">
        <f>'C2 lossyG,lossyA,interRA'!$BP$32:$BP$32</f>
        <v>#DIV/0!</v>
      </c>
      <c r="J42" s="7" t="e">
        <f>'C2 lossyG,lossyA,interRA'!$BQ$32:$BQ$32</f>
        <v>#DIV/0!</v>
      </c>
      <c r="K42" s="7" t="e">
        <f>'C2 lossyG,lossyA,interRA'!$BR$32:$BR$32</f>
        <v>#DIV/0!</v>
      </c>
      <c r="L42" s="7" t="e">
        <f>'C2 lossyG,lossyA,interRA'!$BS$32:$BS$32</f>
        <v>#DIV/0!</v>
      </c>
    </row>
    <row r="43" spans="2:12" x14ac:dyDescent="0.3">
      <c r="B43" t="s">
        <v>299</v>
      </c>
      <c r="C43" s="63" t="e">
        <f>'C2 lossyG,lossyA,interRA'!AZ36</f>
        <v>#NUM!</v>
      </c>
      <c r="D43" s="63"/>
      <c r="E43" s="63"/>
      <c r="F43" s="63"/>
      <c r="G43" s="63"/>
      <c r="H43" s="63"/>
      <c r="I43" s="63"/>
      <c r="J43" s="63"/>
      <c r="K43" s="63"/>
      <c r="L43" s="63"/>
    </row>
    <row r="44" spans="2:12" x14ac:dyDescent="0.3">
      <c r="B44" s="9" t="s">
        <v>300</v>
      </c>
      <c r="C44" s="64" t="e">
        <f>'C2 lossyG,lossyA,interRA'!BB36</f>
        <v>#NUM!</v>
      </c>
      <c r="D44" s="64"/>
      <c r="E44" s="64"/>
      <c r="F44" s="64"/>
      <c r="G44" s="64"/>
      <c r="H44" s="64"/>
      <c r="I44" s="64"/>
      <c r="J44" s="64"/>
      <c r="K44" s="64"/>
      <c r="L44" s="64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ColWidth="8.77734375"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3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3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3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3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3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3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3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3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3">
      <c r="I10" t="s">
        <v>21</v>
      </c>
      <c r="J10" t="s">
        <v>22</v>
      </c>
    </row>
    <row r="11" spans="1:16" x14ac:dyDescent="0.3">
      <c r="I11" t="s">
        <v>23</v>
      </c>
      <c r="J11" t="s">
        <v>24</v>
      </c>
    </row>
    <row r="12" spans="1:16" x14ac:dyDescent="0.3">
      <c r="I12" t="s">
        <v>25</v>
      </c>
      <c r="J12" t="s">
        <v>26</v>
      </c>
    </row>
    <row r="13" spans="1:16" x14ac:dyDescent="0.3">
      <c r="I13" t="s">
        <v>27</v>
      </c>
      <c r="J13" t="s">
        <v>28</v>
      </c>
    </row>
    <row r="14" spans="1:16" x14ac:dyDescent="0.3">
      <c r="I14" t="s">
        <v>29</v>
      </c>
      <c r="J14" t="s">
        <v>30</v>
      </c>
    </row>
    <row r="15" spans="1:16" x14ac:dyDescent="0.3">
      <c r="I15" t="s">
        <v>31</v>
      </c>
      <c r="J15" t="s">
        <v>32</v>
      </c>
    </row>
    <row r="16" spans="1:16" x14ac:dyDescent="0.3">
      <c r="I16" t="s">
        <v>33</v>
      </c>
      <c r="J16" t="s">
        <v>34</v>
      </c>
    </row>
    <row r="17" spans="9:10" x14ac:dyDescent="0.3">
      <c r="I17" t="s">
        <v>35</v>
      </c>
      <c r="J17" t="s">
        <v>36</v>
      </c>
    </row>
    <row r="18" spans="9:10" x14ac:dyDescent="0.3">
      <c r="I18" t="s">
        <v>37</v>
      </c>
      <c r="J18" t="s">
        <v>38</v>
      </c>
    </row>
    <row r="19" spans="9:10" x14ac:dyDescent="0.3">
      <c r="I19" t="s">
        <v>39</v>
      </c>
      <c r="J19" t="s">
        <v>40</v>
      </c>
    </row>
    <row r="20" spans="9:10" x14ac:dyDescent="0.3">
      <c r="I20" t="s">
        <v>41</v>
      </c>
      <c r="J20" t="s">
        <v>42</v>
      </c>
    </row>
    <row r="21" spans="9:10" x14ac:dyDescent="0.3">
      <c r="I21" t="s">
        <v>43</v>
      </c>
      <c r="J21" t="s">
        <v>44</v>
      </c>
    </row>
    <row r="22" spans="9:10" x14ac:dyDescent="0.3">
      <c r="I22" t="s">
        <v>45</v>
      </c>
      <c r="J22" t="s">
        <v>46</v>
      </c>
    </row>
    <row r="23" spans="9:10" x14ac:dyDescent="0.3">
      <c r="I23" t="s">
        <v>47</v>
      </c>
      <c r="J23" t="s">
        <v>48</v>
      </c>
    </row>
    <row r="24" spans="9:10" x14ac:dyDescent="0.3">
      <c r="I24" t="s">
        <v>49</v>
      </c>
      <c r="J24" t="s">
        <v>50</v>
      </c>
    </row>
    <row r="25" spans="9:10" x14ac:dyDescent="0.3">
      <c r="I25" t="s">
        <v>51</v>
      </c>
      <c r="J25" t="s">
        <v>52</v>
      </c>
    </row>
    <row r="26" spans="9:10" x14ac:dyDescent="0.3">
      <c r="I26" t="s">
        <v>53</v>
      </c>
      <c r="J26" t="s">
        <v>54</v>
      </c>
    </row>
    <row r="27" spans="9:10" x14ac:dyDescent="0.3">
      <c r="I27" t="s">
        <v>55</v>
      </c>
      <c r="J27" t="s">
        <v>56</v>
      </c>
    </row>
    <row r="28" spans="9:10" x14ac:dyDescent="0.3">
      <c r="I28" t="s">
        <v>57</v>
      </c>
      <c r="J28" t="s">
        <v>58</v>
      </c>
    </row>
    <row r="29" spans="9:10" x14ac:dyDescent="0.3">
      <c r="I29" t="s">
        <v>59</v>
      </c>
      <c r="J29" t="s">
        <v>60</v>
      </c>
    </row>
    <row r="30" spans="9:10" x14ac:dyDescent="0.3">
      <c r="I30" t="s">
        <v>61</v>
      </c>
      <c r="J30" t="s">
        <v>62</v>
      </c>
    </row>
    <row r="31" spans="9:10" x14ac:dyDescent="0.3">
      <c r="I31" t="s">
        <v>63</v>
      </c>
      <c r="J31" t="s">
        <v>64</v>
      </c>
    </row>
    <row r="32" spans="9:10" x14ac:dyDescent="0.3">
      <c r="I32" t="s">
        <v>65</v>
      </c>
      <c r="J32" t="s">
        <v>66</v>
      </c>
    </row>
    <row r="33" spans="9:10" x14ac:dyDescent="0.3">
      <c r="I33" t="s">
        <v>67</v>
      </c>
      <c r="J33" t="s">
        <v>68</v>
      </c>
    </row>
    <row r="34" spans="9:10" x14ac:dyDescent="0.3">
      <c r="I34" t="s">
        <v>69</v>
      </c>
      <c r="J34" t="s">
        <v>70</v>
      </c>
    </row>
    <row r="35" spans="9:10" x14ac:dyDescent="0.3">
      <c r="I35" t="s">
        <v>71</v>
      </c>
      <c r="J35" t="s">
        <v>72</v>
      </c>
    </row>
    <row r="36" spans="9:10" x14ac:dyDescent="0.3">
      <c r="I36" t="s">
        <v>73</v>
      </c>
      <c r="J36" t="s">
        <v>74</v>
      </c>
    </row>
    <row r="37" spans="9:10" x14ac:dyDescent="0.3">
      <c r="I37" t="s">
        <v>75</v>
      </c>
      <c r="J37" t="s">
        <v>76</v>
      </c>
    </row>
    <row r="38" spans="9:10" x14ac:dyDescent="0.3">
      <c r="I38" t="s">
        <v>77</v>
      </c>
      <c r="J38" t="s">
        <v>78</v>
      </c>
    </row>
    <row r="39" spans="9:10" x14ac:dyDescent="0.3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9 D4: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64"/>
  <sheetViews>
    <sheetView tabSelected="1" zoomScale="85" zoomScaleNormal="85" workbookViewId="0">
      <pane xSplit="2" topLeftCell="C1" activePane="topRight" state="frozen"/>
      <selection pane="topRight" activeCell="R36" sqref="R36"/>
    </sheetView>
  </sheetViews>
  <sheetFormatPr defaultColWidth="8.77734375" defaultRowHeight="14.4" outlineLevelRow="2" x14ac:dyDescent="0.3"/>
  <cols>
    <col min="1" max="1" width="9.109375"/>
    <col min="2" max="2" width="24.6640625" customWidth="1"/>
    <col min="3" max="3" width="9.109375"/>
    <col min="4" max="5" width="10.6640625" customWidth="1"/>
    <col min="6" max="7" width="9.109375"/>
    <col min="8" max="8" width="1.6640625" customWidth="1"/>
    <col min="9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09375"/>
    <col min="19" max="22" width="12.6640625" customWidth="1"/>
    <col min="23" max="27" width="11.6640625" customWidth="1"/>
    <col min="28" max="31" width="9.109375"/>
    <col min="32" max="32" width="1.6640625" customWidth="1"/>
    <col min="33" max="33" width="9.10937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09375"/>
    <col min="43" max="46" width="12.6640625" customWidth="1"/>
    <col min="47" max="51" width="11.6640625" customWidth="1"/>
    <col min="52" max="55" width="9.109375"/>
    <col min="56" max="56" width="1.6640625" customWidth="1"/>
    <col min="57" max="59" width="9.109375"/>
    <col min="60" max="60" width="1.6640625" customWidth="1"/>
    <col min="61" max="62" width="9.21875" bestFit="1" customWidth="1"/>
    <col min="63" max="65" width="11.6640625" customWidth="1"/>
    <col min="66" max="66" width="1.6640625" customWidth="1"/>
    <col min="67" max="67" width="9.77734375" bestFit="1" customWidth="1"/>
    <col min="68" max="68" width="9.21875" bestFit="1" customWidth="1"/>
    <col min="69" max="71" width="11.6640625" customWidth="1"/>
    <col min="72" max="72" width="1.6640625" customWidth="1"/>
  </cols>
  <sheetData>
    <row r="1" spans="1:73" x14ac:dyDescent="0.3">
      <c r="A1" s="73" t="s">
        <v>261</v>
      </c>
      <c r="B1" s="73"/>
      <c r="C1" s="73"/>
      <c r="D1" s="73"/>
      <c r="E1" s="73"/>
      <c r="F1" s="73"/>
      <c r="G1" s="73"/>
      <c r="I1" s="69" t="s">
        <v>2</v>
      </c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G1" s="70" t="s">
        <v>3</v>
      </c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</row>
    <row r="2" spans="1:73" ht="30" customHeight="1" x14ac:dyDescent="0.3">
      <c r="A2" s="75" t="s">
        <v>93</v>
      </c>
      <c r="B2" s="74" t="s">
        <v>96</v>
      </c>
      <c r="C2" s="75" t="s">
        <v>99</v>
      </c>
      <c r="D2" s="74" t="s">
        <v>102</v>
      </c>
      <c r="E2" s="75" t="s">
        <v>105</v>
      </c>
      <c r="F2" s="74" t="s">
        <v>108</v>
      </c>
      <c r="G2" s="75" t="s">
        <v>111</v>
      </c>
      <c r="I2" s="74" t="s">
        <v>114</v>
      </c>
      <c r="J2" s="72" t="s">
        <v>117</v>
      </c>
      <c r="K2" s="72"/>
      <c r="L2" s="72"/>
      <c r="M2" s="72"/>
      <c r="N2" s="75" t="s">
        <v>130</v>
      </c>
      <c r="O2" s="74" t="s">
        <v>133</v>
      </c>
      <c r="P2" s="75" t="s">
        <v>24</v>
      </c>
      <c r="Q2" s="74" t="s">
        <v>26</v>
      </c>
      <c r="R2" s="75" t="s">
        <v>22</v>
      </c>
      <c r="S2" s="71" t="s">
        <v>142</v>
      </c>
      <c r="T2" s="71"/>
      <c r="U2" s="71"/>
      <c r="V2" s="71"/>
      <c r="W2" s="72" t="s">
        <v>153</v>
      </c>
      <c r="X2" s="72"/>
      <c r="Y2" s="71" t="s">
        <v>160</v>
      </c>
      <c r="Z2" s="71"/>
      <c r="AA2" s="71"/>
      <c r="AB2" s="72" t="s">
        <v>170</v>
      </c>
      <c r="AC2" s="72"/>
      <c r="AD2" s="71" t="s">
        <v>177</v>
      </c>
      <c r="AE2" s="71"/>
      <c r="AG2" s="75" t="s">
        <v>114</v>
      </c>
      <c r="AH2" s="71" t="s">
        <v>117</v>
      </c>
      <c r="AI2" s="71"/>
      <c r="AJ2" s="71"/>
      <c r="AK2" s="71"/>
      <c r="AL2" s="74" t="s">
        <v>192</v>
      </c>
      <c r="AM2" s="75" t="s">
        <v>133</v>
      </c>
      <c r="AN2" s="74" t="s">
        <v>24</v>
      </c>
      <c r="AO2" s="75" t="s">
        <v>26</v>
      </c>
      <c r="AP2" s="74" t="s">
        <v>22</v>
      </c>
      <c r="AQ2" s="72" t="s">
        <v>142</v>
      </c>
      <c r="AR2" s="72"/>
      <c r="AS2" s="72"/>
      <c r="AT2" s="72"/>
      <c r="AU2" s="71" t="s">
        <v>153</v>
      </c>
      <c r="AV2" s="71"/>
      <c r="AW2" s="72" t="s">
        <v>160</v>
      </c>
      <c r="AX2" s="72"/>
      <c r="AY2" s="72"/>
      <c r="AZ2" s="71" t="s">
        <v>170</v>
      </c>
      <c r="BA2" s="71"/>
      <c r="BB2" s="72" t="s">
        <v>177</v>
      </c>
      <c r="BC2" s="72"/>
      <c r="BE2" s="74" t="s">
        <v>229</v>
      </c>
      <c r="BF2" s="75" t="s">
        <v>232</v>
      </c>
      <c r="BG2" s="74" t="s">
        <v>232</v>
      </c>
      <c r="BI2" s="72" t="s">
        <v>237</v>
      </c>
      <c r="BJ2" s="72"/>
      <c r="BK2" s="71" t="s">
        <v>242</v>
      </c>
      <c r="BL2" s="71"/>
      <c r="BM2" s="71"/>
      <c r="BO2" s="72" t="s">
        <v>249</v>
      </c>
      <c r="BP2" s="72"/>
      <c r="BQ2" s="71" t="s">
        <v>254</v>
      </c>
      <c r="BR2" s="71"/>
      <c r="BS2" s="71"/>
      <c r="BU2" t="s">
        <v>550</v>
      </c>
    </row>
    <row r="3" spans="1:73" ht="15" thickBot="1" x14ac:dyDescent="0.35">
      <c r="A3" s="75"/>
      <c r="B3" s="74"/>
      <c r="C3" s="75"/>
      <c r="D3" s="74"/>
      <c r="E3" s="75"/>
      <c r="F3" s="74"/>
      <c r="G3" s="75"/>
      <c r="I3" s="74"/>
      <c r="J3" s="11" t="s">
        <v>118</v>
      </c>
      <c r="K3" s="11" t="s">
        <v>121</v>
      </c>
      <c r="L3" s="11" t="s">
        <v>124</v>
      </c>
      <c r="M3" s="11" t="s">
        <v>127</v>
      </c>
      <c r="N3" s="75"/>
      <c r="O3" s="74"/>
      <c r="P3" s="75"/>
      <c r="Q3" s="74"/>
      <c r="R3" s="75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5"/>
      <c r="AH3" s="12" t="s">
        <v>118</v>
      </c>
      <c r="AI3" s="12" t="s">
        <v>121</v>
      </c>
      <c r="AJ3" s="12" t="s">
        <v>124</v>
      </c>
      <c r="AK3" s="12" t="s">
        <v>127</v>
      </c>
      <c r="AL3" s="74"/>
      <c r="AM3" s="75"/>
      <c r="AN3" s="74"/>
      <c r="AO3" s="75"/>
      <c r="AP3" s="74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74"/>
      <c r="BF3" s="75"/>
      <c r="BG3" s="74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7.2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238146391</v>
      </c>
      <c r="E5" s="16">
        <v>10</v>
      </c>
      <c r="F5" s="16">
        <v>300</v>
      </c>
      <c r="G5" s="16">
        <v>30</v>
      </c>
      <c r="I5" s="17" t="str">
        <f t="shared" ref="I5:I29" si="0">IF(OR(ISBLANK(S5),ISBLANK(G5)),"·",S5*G5/F5/1000000)</f>
        <v>·</v>
      </c>
      <c r="J5" s="18" t="str">
        <f t="shared" ref="J5:J29" si="1">IF(ISBLANK(S5),"·",S5/D5)</f>
        <v>·</v>
      </c>
      <c r="K5" s="18" t="str">
        <f t="shared" ref="K5:K29" si="2">IF(N5="","·",N5/D5)</f>
        <v>·</v>
      </c>
      <c r="L5" s="18" t="str">
        <f t="shared" ref="L5:L29" si="3">IF(T5="","·",T5/D5)</f>
        <v>·</v>
      </c>
      <c r="M5" s="18" t="str">
        <f t="shared" ref="M5:M29" si="4">IF(ISBLANK(V5),"·",V5/D5)</f>
        <v>·</v>
      </c>
      <c r="N5" s="15" t="str">
        <f t="shared" ref="N5:N29" si="5">IF(OR(ISBLANK(T5),ISBLANK(U5)),"",T5+U5)</f>
        <v/>
      </c>
      <c r="O5" s="18" t="str">
        <f t="shared" ref="O5:O29" si="6">IF(ISBLANK(S5),"·",S5/P5)</f>
        <v>·</v>
      </c>
      <c r="P5" s="19"/>
      <c r="Q5" s="19"/>
      <c r="R5" s="19"/>
      <c r="S5" s="20"/>
      <c r="T5" s="20"/>
      <c r="U5" s="20"/>
      <c r="V5" s="20"/>
      <c r="W5" s="21"/>
      <c r="X5" s="21"/>
      <c r="Y5" s="21"/>
      <c r="Z5" s="21"/>
      <c r="AA5" s="21"/>
      <c r="AB5" s="22"/>
      <c r="AC5" s="22"/>
      <c r="AD5" s="22"/>
      <c r="AE5" s="22"/>
      <c r="AG5" s="17" t="str">
        <f t="shared" ref="AG5:AG29" si="7">IF(OR(ISBLANK(AQ5),ISBLANK(G5)),"·",AQ5*G5/F5/1000000)</f>
        <v>·</v>
      </c>
      <c r="AH5" s="18" t="str">
        <f t="shared" ref="AH5:AH29" si="8">IF(ISBLANK(AQ5),"·",AQ5/D5)</f>
        <v>·</v>
      </c>
      <c r="AI5" s="18" t="str">
        <f t="shared" ref="AI5:AI29" si="9">IF(AL5="","·",AL5/D5)</f>
        <v>·</v>
      </c>
      <c r="AJ5" s="18" t="str">
        <f t="shared" ref="AJ5:AJ29" si="10">IF(AR5="","·",AR5/D5)</f>
        <v>·</v>
      </c>
      <c r="AK5" s="18" t="str">
        <f t="shared" ref="AK5:AK29" si="11">IF(ISBLANK(AT5),"·",AT5/D5)</f>
        <v>·</v>
      </c>
      <c r="AL5" s="15" t="str">
        <f t="shared" ref="AL5:AL29" si="12">IF(OR(ISBLANK(AR5),ISBLANK(AS5)),"",AR5+AS5)</f>
        <v/>
      </c>
      <c r="AM5" s="18" t="str">
        <f t="shared" ref="AM5:AM29" si="13">IF(ISBLANK(AQ5),"·",AQ5/AN5)</f>
        <v>·</v>
      </c>
      <c r="AN5" s="19"/>
      <c r="AO5" s="19"/>
      <c r="AP5" s="19"/>
      <c r="AQ5" s="20"/>
      <c r="AR5" s="20"/>
      <c r="AS5" s="20"/>
      <c r="AT5" s="20"/>
      <c r="AU5" s="21"/>
      <c r="AV5" s="21"/>
      <c r="AW5" s="21"/>
      <c r="AX5" s="21"/>
      <c r="AY5" s="21"/>
      <c r="AZ5" s="22"/>
      <c r="BA5" s="22"/>
      <c r="BB5" s="22"/>
      <c r="BC5" s="22"/>
      <c r="BE5" s="23" t="e">
        <f t="shared" ref="BE5:BE29" si="14">(AP5/AO5) - (R5/Q5)</f>
        <v>#DIV/0!</v>
      </c>
      <c r="BF5" s="23" t="e">
        <f t="shared" ref="BF5:BF29" si="15">(AL5/AQ5) - (N5/S5)</f>
        <v>#VALUE!</v>
      </c>
      <c r="BG5" s="23" t="e">
        <f t="array" ref="BG5">AVERAGE(AL5:AL9/AQ5:AQ9) - AVERAGE(N5:N9/S5:S9)</f>
        <v>#VALUE!</v>
      </c>
      <c r="BI5" s="58" t="str">
        <f>IF( OR(ISBLANK(N5:N9),ISBLANK(AL5:AL9), ISBLANK(W5:W9),ISBLANK(AU5:AU9)), "·", bdRateExtend( N5:N9,W5:W9, AL5:AL9,AU5:AU9))</f>
        <v>·</v>
      </c>
      <c r="BJ5" s="58" t="str">
        <f>IF( OR(ISBLANK(N5:N9),ISBLANK(AL5:AL9), ISBLANK(X5:X9),ISBLANK(AV5:AV9)), "·", bdRateExtend( N5:N9,X5:X9, AL5:AL9,AV5:AV9))</f>
        <v>·</v>
      </c>
      <c r="BK5" s="58" t="str">
        <f>IF( OR(ISBLANK(V5:V9),ISBLANK(AT5:AT9), ISBLANK(Y5:Y9),ISBLANK(AW5:AW9)), "·", bdRateExtend( V5:V9,Y5:Y9, AT5:AT9,AW5:AW9))</f>
        <v>·</v>
      </c>
      <c r="BL5" s="58" t="str">
        <f>IF( OR(ISBLANK(V5:V9),ISBLANK(AT5:AT9), ISBLANK(Z5:Z9),ISBLANK(AX5:AX9)), "·", bdRateExtend( V5:V9,Z5:Z9, AT5:AT9,AX5:AX9))</f>
        <v>·</v>
      </c>
      <c r="BM5" s="58" t="str">
        <f>IF( OR(ISBLANK(V5:V9),ISBLANK(AT5:AT9), ISBLANK(AA5:AA9),ISBLANK(AY5:AY9)), "·", bdRateExtend( V5:V9,AA5:AA9, AT5:AT9,AY5:AY9))</f>
        <v>·</v>
      </c>
      <c r="BN5" s="59"/>
      <c r="BO5" s="58" t="str">
        <f>IF( OR(ISBLANK(S5:S9),ISBLANK(AQ5:AQ9), ISBLANK(W5:W9),ISBLANK(AU5:AU9)), "·", bdRateExtend( S5:S9,W5:W9, AQ5:AQ9,AU5:AU9))</f>
        <v>·</v>
      </c>
      <c r="BP5" s="58" t="str">
        <f>IF( OR(ISBLANK(S5:S9),ISBLANK(AQ5:AQ9), ISBLANK(X5:X9),ISBLANK(AV5:AV9)), "·", bdRateExtend( S5:S9,X5:X9, AQ5:AQ9,AV5:AV9))</f>
        <v>·</v>
      </c>
      <c r="BQ5" s="58" t="str">
        <f>IF( OR(ISBLANK(S5:S9),ISBLANK(AQ5:AQ9), ISBLANK(Y5:Y9),ISBLANK(AW5:AW9)), "·", bdRateExtend( S5:S9,Y5:Y9, AQ5:AQ9,AW5:AW9))</f>
        <v>·</v>
      </c>
      <c r="BR5" s="58" t="str">
        <f>IF( OR(ISBLANK(S5:S9),ISBLANK(AQ5:AQ9), ISBLANK(Z5:Z9),ISBLANK(AX5:AX9)), "·", bdRateExtend( S5:S9,Z5:Z9, AQ5:AQ9,AX5:AX9))</f>
        <v>·</v>
      </c>
      <c r="BS5" s="58" t="str">
        <f>IF( OR(ISBLANK(S5:S9),ISBLANK(AQ5:AQ9), ISBLANK(AA5:AA9),ISBLANK(AY5:AY9)), "·", bdRateExtend( S5:S9,AA5:AA9, AQ5:AQ9,AY5:AY9))</f>
        <v>·</v>
      </c>
      <c r="BU5">
        <f>AQ5-S5</f>
        <v>0</v>
      </c>
    </row>
    <row r="6" spans="1:73" outlineLevel="1" x14ac:dyDescent="0.3">
      <c r="A6" s="25"/>
      <c r="B6" s="25" t="s">
        <v>266</v>
      </c>
      <c r="C6" s="26" t="s">
        <v>269</v>
      </c>
      <c r="D6" s="25">
        <v>238146391</v>
      </c>
      <c r="E6" s="26">
        <v>10</v>
      </c>
      <c r="F6" s="26">
        <v>300</v>
      </c>
      <c r="G6" s="26">
        <v>30</v>
      </c>
      <c r="I6" s="27" t="str">
        <f t="shared" si="0"/>
        <v>·</v>
      </c>
      <c r="J6" s="28" t="str">
        <f t="shared" si="1"/>
        <v>·</v>
      </c>
      <c r="K6" s="28" t="str">
        <f t="shared" si="2"/>
        <v>·</v>
      </c>
      <c r="L6" s="28" t="str">
        <f t="shared" si="3"/>
        <v>·</v>
      </c>
      <c r="M6" s="28" t="str">
        <f t="shared" si="4"/>
        <v>·</v>
      </c>
      <c r="N6" s="25" t="str">
        <f t="shared" si="5"/>
        <v/>
      </c>
      <c r="O6" s="28" t="str">
        <f t="shared" si="6"/>
        <v>·</v>
      </c>
      <c r="P6" s="29"/>
      <c r="Q6" s="29"/>
      <c r="R6" s="29"/>
      <c r="S6" s="30"/>
      <c r="T6" s="30"/>
      <c r="U6" s="30"/>
      <c r="V6" s="30"/>
      <c r="W6" s="31"/>
      <c r="X6" s="31"/>
      <c r="Y6" s="31"/>
      <c r="Z6" s="31"/>
      <c r="AA6" s="31"/>
      <c r="AB6" s="32"/>
      <c r="AC6" s="32"/>
      <c r="AD6" s="32"/>
      <c r="AE6" s="32"/>
      <c r="AG6" s="27" t="str">
        <f t="shared" si="7"/>
        <v>·</v>
      </c>
      <c r="AH6" s="28" t="str">
        <f t="shared" si="8"/>
        <v>·</v>
      </c>
      <c r="AI6" s="28" t="str">
        <f t="shared" si="9"/>
        <v>·</v>
      </c>
      <c r="AJ6" s="28" t="str">
        <f t="shared" si="10"/>
        <v>·</v>
      </c>
      <c r="AK6" s="28" t="str">
        <f t="shared" si="11"/>
        <v>·</v>
      </c>
      <c r="AL6" s="25" t="str">
        <f t="shared" si="12"/>
        <v/>
      </c>
      <c r="AM6" s="28" t="str">
        <f t="shared" si="13"/>
        <v>·</v>
      </c>
      <c r="AN6" s="29"/>
      <c r="AO6" s="29"/>
      <c r="AP6" s="29"/>
      <c r="AQ6" s="30"/>
      <c r="AR6" s="30"/>
      <c r="AS6" s="30"/>
      <c r="AT6" s="30"/>
      <c r="AU6" s="31"/>
      <c r="AV6" s="31"/>
      <c r="AW6" s="31"/>
      <c r="AX6" s="31"/>
      <c r="AY6" s="31"/>
      <c r="AZ6" s="32"/>
      <c r="BA6" s="32"/>
      <c r="BB6" s="32"/>
      <c r="BC6" s="32"/>
      <c r="BE6" s="33" t="e">
        <f t="shared" si="14"/>
        <v>#DIV/0!</v>
      </c>
      <c r="BF6" s="33" t="e">
        <f t="shared" si="15"/>
        <v>#VALUE!</v>
      </c>
      <c r="BG6" s="33"/>
      <c r="BI6" s="60"/>
      <c r="BJ6" s="60"/>
      <c r="BK6" s="60"/>
      <c r="BL6" s="60"/>
      <c r="BM6" s="60"/>
      <c r="BN6" s="59"/>
      <c r="BO6" s="60"/>
      <c r="BP6" s="60"/>
      <c r="BQ6" s="60"/>
      <c r="BR6" s="60"/>
      <c r="BS6" s="60"/>
      <c r="BU6" s="4">
        <f t="shared" ref="BU6:BU29" si="16">AQ6-S6</f>
        <v>0</v>
      </c>
    </row>
    <row r="7" spans="1:73" outlineLevel="1" x14ac:dyDescent="0.3">
      <c r="A7" s="15"/>
      <c r="B7" s="15" t="s">
        <v>266</v>
      </c>
      <c r="C7" s="16" t="s">
        <v>270</v>
      </c>
      <c r="D7" s="15">
        <v>238146391</v>
      </c>
      <c r="E7" s="16">
        <v>10</v>
      </c>
      <c r="F7" s="16">
        <v>300</v>
      </c>
      <c r="G7" s="16">
        <v>30</v>
      </c>
      <c r="I7" s="17" t="str">
        <f t="shared" si="0"/>
        <v>·</v>
      </c>
      <c r="J7" s="18" t="str">
        <f t="shared" si="1"/>
        <v>·</v>
      </c>
      <c r="K7" s="18" t="str">
        <f t="shared" si="2"/>
        <v>·</v>
      </c>
      <c r="L7" s="18" t="str">
        <f t="shared" si="3"/>
        <v>·</v>
      </c>
      <c r="M7" s="18" t="str">
        <f t="shared" si="4"/>
        <v>·</v>
      </c>
      <c r="N7" s="15" t="str">
        <f t="shared" si="5"/>
        <v/>
      </c>
      <c r="O7" s="18" t="str">
        <f t="shared" si="6"/>
        <v>·</v>
      </c>
      <c r="P7" s="19"/>
      <c r="Q7" s="19"/>
      <c r="R7" s="19"/>
      <c r="S7" s="20"/>
      <c r="T7" s="20"/>
      <c r="U7" s="20"/>
      <c r="V7" s="20"/>
      <c r="W7" s="21"/>
      <c r="X7" s="21"/>
      <c r="Y7" s="21"/>
      <c r="Z7" s="21"/>
      <c r="AA7" s="21"/>
      <c r="AB7" s="22"/>
      <c r="AC7" s="22"/>
      <c r="AD7" s="22"/>
      <c r="AE7" s="22"/>
      <c r="AG7" s="17" t="str">
        <f t="shared" si="7"/>
        <v>·</v>
      </c>
      <c r="AH7" s="18" t="str">
        <f t="shared" si="8"/>
        <v>·</v>
      </c>
      <c r="AI7" s="18" t="str">
        <f t="shared" si="9"/>
        <v>·</v>
      </c>
      <c r="AJ7" s="18" t="str">
        <f t="shared" si="10"/>
        <v>·</v>
      </c>
      <c r="AK7" s="18" t="str">
        <f t="shared" si="11"/>
        <v>·</v>
      </c>
      <c r="AL7" s="15" t="str">
        <f t="shared" si="12"/>
        <v/>
      </c>
      <c r="AM7" s="18" t="str">
        <f t="shared" si="13"/>
        <v>·</v>
      </c>
      <c r="AN7" s="19"/>
      <c r="AO7" s="19"/>
      <c r="AP7" s="19"/>
      <c r="AQ7" s="20"/>
      <c r="AR7" s="20"/>
      <c r="AS7" s="20"/>
      <c r="AT7" s="20"/>
      <c r="AU7" s="21"/>
      <c r="AV7" s="21"/>
      <c r="AW7" s="21"/>
      <c r="AX7" s="21"/>
      <c r="AY7" s="21"/>
      <c r="AZ7" s="22"/>
      <c r="BA7" s="22"/>
      <c r="BB7" s="22"/>
      <c r="BC7" s="22"/>
      <c r="BE7" s="23" t="e">
        <f t="shared" si="14"/>
        <v>#DIV/0!</v>
      </c>
      <c r="BF7" s="23" t="e">
        <f t="shared" si="15"/>
        <v>#VALUE!</v>
      </c>
      <c r="BG7" s="23"/>
      <c r="BI7" s="58"/>
      <c r="BJ7" s="58"/>
      <c r="BK7" s="58"/>
      <c r="BL7" s="58"/>
      <c r="BM7" s="58"/>
      <c r="BN7" s="59"/>
      <c r="BO7" s="58"/>
      <c r="BP7" s="58"/>
      <c r="BQ7" s="58"/>
      <c r="BR7" s="58"/>
      <c r="BS7" s="58"/>
      <c r="BU7" s="4">
        <f t="shared" si="16"/>
        <v>0</v>
      </c>
    </row>
    <row r="8" spans="1:73" outlineLevel="1" x14ac:dyDescent="0.3">
      <c r="A8" s="25"/>
      <c r="B8" s="25" t="s">
        <v>266</v>
      </c>
      <c r="C8" s="26" t="s">
        <v>271</v>
      </c>
      <c r="D8" s="25">
        <v>238146391</v>
      </c>
      <c r="E8" s="26">
        <v>10</v>
      </c>
      <c r="F8" s="26">
        <v>300</v>
      </c>
      <c r="G8" s="26">
        <v>30</v>
      </c>
      <c r="I8" s="27" t="str">
        <f t="shared" si="0"/>
        <v>·</v>
      </c>
      <c r="J8" s="28" t="str">
        <f t="shared" si="1"/>
        <v>·</v>
      </c>
      <c r="K8" s="28" t="str">
        <f t="shared" si="2"/>
        <v>·</v>
      </c>
      <c r="L8" s="28" t="str">
        <f t="shared" si="3"/>
        <v>·</v>
      </c>
      <c r="M8" s="28" t="str">
        <f t="shared" si="4"/>
        <v>·</v>
      </c>
      <c r="N8" s="25" t="str">
        <f t="shared" si="5"/>
        <v/>
      </c>
      <c r="O8" s="28" t="str">
        <f t="shared" si="6"/>
        <v>·</v>
      </c>
      <c r="P8" s="29"/>
      <c r="Q8" s="29"/>
      <c r="R8" s="29"/>
      <c r="S8" s="30"/>
      <c r="T8" s="30"/>
      <c r="U8" s="30"/>
      <c r="V8" s="30"/>
      <c r="W8" s="31"/>
      <c r="X8" s="31"/>
      <c r="Y8" s="31"/>
      <c r="Z8" s="31"/>
      <c r="AA8" s="31"/>
      <c r="AB8" s="32"/>
      <c r="AC8" s="32"/>
      <c r="AD8" s="32"/>
      <c r="AE8" s="32"/>
      <c r="AG8" s="27" t="str">
        <f t="shared" si="7"/>
        <v>·</v>
      </c>
      <c r="AH8" s="28" t="str">
        <f t="shared" si="8"/>
        <v>·</v>
      </c>
      <c r="AI8" s="28" t="str">
        <f t="shared" si="9"/>
        <v>·</v>
      </c>
      <c r="AJ8" s="28" t="str">
        <f t="shared" si="10"/>
        <v>·</v>
      </c>
      <c r="AK8" s="28" t="str">
        <f t="shared" si="11"/>
        <v>·</v>
      </c>
      <c r="AL8" s="25" t="str">
        <f t="shared" si="12"/>
        <v/>
      </c>
      <c r="AM8" s="28" t="str">
        <f t="shared" si="13"/>
        <v>·</v>
      </c>
      <c r="AN8" s="29"/>
      <c r="AO8" s="29"/>
      <c r="AP8" s="29"/>
      <c r="AQ8" s="30"/>
      <c r="AR8" s="30"/>
      <c r="AS8" s="30"/>
      <c r="AT8" s="30"/>
      <c r="AU8" s="31"/>
      <c r="AV8" s="31"/>
      <c r="AW8" s="31"/>
      <c r="AX8" s="31"/>
      <c r="AY8" s="31"/>
      <c r="AZ8" s="32"/>
      <c r="BA8" s="32"/>
      <c r="BB8" s="32"/>
      <c r="BC8" s="32"/>
      <c r="BE8" s="33" t="e">
        <f t="shared" si="14"/>
        <v>#DIV/0!</v>
      </c>
      <c r="BF8" s="33" t="e">
        <f t="shared" si="15"/>
        <v>#VALUE!</v>
      </c>
      <c r="BG8" s="33"/>
      <c r="BI8" s="60"/>
      <c r="BJ8" s="60"/>
      <c r="BK8" s="60"/>
      <c r="BL8" s="60"/>
      <c r="BM8" s="60"/>
      <c r="BN8" s="59"/>
      <c r="BO8" s="60"/>
      <c r="BP8" s="60"/>
      <c r="BQ8" s="60"/>
      <c r="BR8" s="60"/>
      <c r="BS8" s="60"/>
      <c r="BU8" s="4">
        <f t="shared" si="16"/>
        <v>0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238146391</v>
      </c>
      <c r="E9" s="36">
        <v>10</v>
      </c>
      <c r="F9" s="36">
        <v>300</v>
      </c>
      <c r="G9" s="36">
        <v>30</v>
      </c>
      <c r="I9" s="37" t="str">
        <f t="shared" si="0"/>
        <v>·</v>
      </c>
      <c r="J9" s="38" t="str">
        <f t="shared" si="1"/>
        <v>·</v>
      </c>
      <c r="K9" s="38" t="str">
        <f t="shared" si="2"/>
        <v>·</v>
      </c>
      <c r="L9" s="38" t="str">
        <f t="shared" si="3"/>
        <v>·</v>
      </c>
      <c r="M9" s="38" t="str">
        <f t="shared" si="4"/>
        <v>·</v>
      </c>
      <c r="N9" s="35" t="str">
        <f t="shared" si="5"/>
        <v/>
      </c>
      <c r="O9" s="38" t="str">
        <f t="shared" si="6"/>
        <v>·</v>
      </c>
      <c r="P9" s="39"/>
      <c r="Q9" s="39"/>
      <c r="R9" s="39"/>
      <c r="S9" s="40"/>
      <c r="T9" s="40"/>
      <c r="U9" s="40"/>
      <c r="V9" s="40"/>
      <c r="W9" s="41"/>
      <c r="X9" s="41"/>
      <c r="Y9" s="41"/>
      <c r="Z9" s="41"/>
      <c r="AA9" s="41"/>
      <c r="AB9" s="42"/>
      <c r="AC9" s="42"/>
      <c r="AD9" s="42"/>
      <c r="AE9" s="42"/>
      <c r="AG9" s="37" t="str">
        <f t="shared" si="7"/>
        <v>·</v>
      </c>
      <c r="AH9" s="38" t="str">
        <f t="shared" si="8"/>
        <v>·</v>
      </c>
      <c r="AI9" s="38" t="str">
        <f t="shared" si="9"/>
        <v>·</v>
      </c>
      <c r="AJ9" s="38" t="str">
        <f t="shared" si="10"/>
        <v>·</v>
      </c>
      <c r="AK9" s="38" t="str">
        <f t="shared" si="11"/>
        <v>·</v>
      </c>
      <c r="AL9" s="35" t="str">
        <f t="shared" si="12"/>
        <v/>
      </c>
      <c r="AM9" s="38" t="str">
        <f t="shared" si="13"/>
        <v>·</v>
      </c>
      <c r="AN9" s="39"/>
      <c r="AO9" s="39"/>
      <c r="AP9" s="39"/>
      <c r="AQ9" s="40"/>
      <c r="AR9" s="40"/>
      <c r="AS9" s="40"/>
      <c r="AT9" s="40"/>
      <c r="AU9" s="41"/>
      <c r="AV9" s="41"/>
      <c r="AW9" s="41"/>
      <c r="AX9" s="41"/>
      <c r="AY9" s="41"/>
      <c r="AZ9" s="42"/>
      <c r="BA9" s="42"/>
      <c r="BB9" s="42"/>
      <c r="BC9" s="42"/>
      <c r="BE9" s="43" t="e">
        <f t="shared" si="14"/>
        <v>#DIV/0!</v>
      </c>
      <c r="BF9" s="43" t="e">
        <f t="shared" si="15"/>
        <v>#VALUE!</v>
      </c>
      <c r="BG9" s="43"/>
      <c r="BI9" s="61"/>
      <c r="BJ9" s="61"/>
      <c r="BK9" s="61"/>
      <c r="BL9" s="61"/>
      <c r="BM9" s="61"/>
      <c r="BN9" s="59"/>
      <c r="BO9" s="61"/>
      <c r="BP9" s="61"/>
      <c r="BQ9" s="61"/>
      <c r="BR9" s="61"/>
      <c r="BS9" s="61"/>
      <c r="BU9" s="4">
        <f t="shared" si="16"/>
        <v>0</v>
      </c>
    </row>
    <row r="10" spans="1:73" x14ac:dyDescent="0.3">
      <c r="A10" s="25"/>
      <c r="B10" s="25" t="s">
        <v>275</v>
      </c>
      <c r="C10" s="26" t="s">
        <v>268</v>
      </c>
      <c r="D10" s="25">
        <v>218121242</v>
      </c>
      <c r="E10" s="26">
        <v>10</v>
      </c>
      <c r="F10" s="26">
        <v>300</v>
      </c>
      <c r="G10" s="26">
        <v>30</v>
      </c>
      <c r="I10" s="27" t="str">
        <f t="shared" si="0"/>
        <v>·</v>
      </c>
      <c r="J10" s="28" t="str">
        <f t="shared" si="1"/>
        <v>·</v>
      </c>
      <c r="K10" s="28" t="str">
        <f t="shared" si="2"/>
        <v>·</v>
      </c>
      <c r="L10" s="28" t="str">
        <f t="shared" si="3"/>
        <v>·</v>
      </c>
      <c r="M10" s="28" t="str">
        <f t="shared" si="4"/>
        <v>·</v>
      </c>
      <c r="N10" s="25" t="str">
        <f t="shared" si="5"/>
        <v/>
      </c>
      <c r="O10" s="28" t="str">
        <f t="shared" si="6"/>
        <v>·</v>
      </c>
      <c r="P10" s="29"/>
      <c r="Q10" s="29"/>
      <c r="R10" s="29"/>
      <c r="S10" s="30"/>
      <c r="T10" s="30"/>
      <c r="U10" s="30"/>
      <c r="V10" s="30"/>
      <c r="W10" s="31"/>
      <c r="X10" s="31"/>
      <c r="Y10" s="31"/>
      <c r="Z10" s="31"/>
      <c r="AA10" s="31"/>
      <c r="AB10" s="32"/>
      <c r="AC10" s="32"/>
      <c r="AD10" s="32"/>
      <c r="AE10" s="32"/>
      <c r="AG10" s="27" t="str">
        <f t="shared" si="7"/>
        <v>·</v>
      </c>
      <c r="AH10" s="28" t="str">
        <f t="shared" si="8"/>
        <v>·</v>
      </c>
      <c r="AI10" s="28" t="str">
        <f t="shared" si="9"/>
        <v>·</v>
      </c>
      <c r="AJ10" s="28" t="str">
        <f t="shared" si="10"/>
        <v>·</v>
      </c>
      <c r="AK10" s="28" t="str">
        <f t="shared" si="11"/>
        <v>·</v>
      </c>
      <c r="AL10" s="25" t="str">
        <f t="shared" si="12"/>
        <v/>
      </c>
      <c r="AM10" s="28" t="str">
        <f t="shared" si="13"/>
        <v>·</v>
      </c>
      <c r="AN10" s="29"/>
      <c r="AO10" s="29"/>
      <c r="AP10" s="29"/>
      <c r="AQ10" s="30"/>
      <c r="AR10" s="30"/>
      <c r="AS10" s="30"/>
      <c r="AT10" s="30"/>
      <c r="AU10" s="31"/>
      <c r="AV10" s="31"/>
      <c r="AW10" s="31"/>
      <c r="AX10" s="31"/>
      <c r="AY10" s="31"/>
      <c r="AZ10" s="32"/>
      <c r="BA10" s="32"/>
      <c r="BB10" s="32"/>
      <c r="BC10" s="32"/>
      <c r="BE10" s="33" t="e">
        <f t="shared" si="14"/>
        <v>#DIV/0!</v>
      </c>
      <c r="BF10" s="33" t="e">
        <f t="shared" si="15"/>
        <v>#VALUE!</v>
      </c>
      <c r="BG10" s="33" t="e">
        <f t="array" ref="BG10">AVERAGE(AL10:AL14/AQ10:AQ14) - AVERAGE(N10:N14/S10:S14)</f>
        <v>#VALUE!</v>
      </c>
      <c r="BI10" s="60" t="str">
        <f>IF( OR(ISBLANK(N10:N14),ISBLANK(AL10:AL14), ISBLANK(W10:W14),ISBLANK(AU10:AU14)), "·", bdRateExtend( N10:N14,W10:W14, AL10:AL14,AU10:AU14))</f>
        <v>·</v>
      </c>
      <c r="BJ10" s="60" t="str">
        <f>IF( OR(ISBLANK(N10:N14),ISBLANK(AL10:AL14), ISBLANK(X10:X14),ISBLANK(AV10:AV14)), "·", bdRateExtend( N10:N14,X10:X14, AL10:AL14,AV10:AV14))</f>
        <v>·</v>
      </c>
      <c r="BK10" s="60" t="str">
        <f>IF( OR(ISBLANK(V10:V14),ISBLANK(AT10:AT14), ISBLANK(Y10:Y14),ISBLANK(AW10:AW14)), "·", bdRateExtend( V10:V14,Y10:Y14, AT10:AT14,AW10:AW14))</f>
        <v>·</v>
      </c>
      <c r="BL10" s="60" t="str">
        <f>IF( OR(ISBLANK(V10:V14),ISBLANK(AT10:AT14), ISBLANK(Z10:Z14),ISBLANK(AX10:AX14)), "·", bdRateExtend( V10:V14,Z10:Z14, AT10:AT14,AX10:AX14))</f>
        <v>·</v>
      </c>
      <c r="BM10" s="60" t="str">
        <f>IF( OR(ISBLANK(V10:V14),ISBLANK(AT10:AT14), ISBLANK(AA10:AA14),ISBLANK(AY10:AY14)), "·", bdRateExtend( V10:V14,AA10:AA14, AT10:AT14,AY10:AY14))</f>
        <v>·</v>
      </c>
      <c r="BN10" s="59"/>
      <c r="BO10" s="60" t="str">
        <f>IF( OR(ISBLANK(S10:S14),ISBLANK(AQ10:AQ14), ISBLANK(W10:W14),ISBLANK(AU10:AU14)), "·", bdRateExtend( S10:S14,W10:W14, AQ10:AQ14,AU10:AU14))</f>
        <v>·</v>
      </c>
      <c r="BP10" s="60" t="str">
        <f>IF( OR(ISBLANK(S10:S14),ISBLANK(AQ10:AQ14), ISBLANK(X10:X14),ISBLANK(AV10:AV14)), "·", bdRateExtend( S10:S14,X10:X14, AQ10:AQ14,AV10:AV14))</f>
        <v>·</v>
      </c>
      <c r="BQ10" s="60" t="str">
        <f>IF( OR(ISBLANK(S10:S14),ISBLANK(AQ10:AQ14), ISBLANK(Y10:Y14),ISBLANK(AW10:AW14)), "·", bdRateExtend( S10:S14,Y10:Y14, AQ10:AQ14,AW10:AW14))</f>
        <v>·</v>
      </c>
      <c r="BR10" s="60" t="str">
        <f>IF( OR(ISBLANK(S10:S14),ISBLANK(AQ10:AQ14), ISBLANK(Z10:Z14),ISBLANK(AX10:AX14)), "·", bdRateExtend( S10:S14,Z10:Z14, AQ10:AQ14,AX10:AX14))</f>
        <v>·</v>
      </c>
      <c r="BS10" s="60" t="str">
        <f>IF( OR(ISBLANK(S10:S14),ISBLANK(AQ10:AQ14), ISBLANK(AA10:AA14),ISBLANK(AY10:AY14)), "·", bdRateExtend( S10:S14,AA10:AA14, AQ10:AQ14,AY10:AY14))</f>
        <v>·</v>
      </c>
      <c r="BU10" s="4">
        <f t="shared" si="16"/>
        <v>0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218121242</v>
      </c>
      <c r="E11" s="16">
        <v>10</v>
      </c>
      <c r="F11" s="16">
        <v>300</v>
      </c>
      <c r="G11" s="16">
        <v>30</v>
      </c>
      <c r="I11" s="17" t="str">
        <f t="shared" si="0"/>
        <v>·</v>
      </c>
      <c r="J11" s="18" t="str">
        <f t="shared" si="1"/>
        <v>·</v>
      </c>
      <c r="K11" s="18" t="str">
        <f t="shared" si="2"/>
        <v>·</v>
      </c>
      <c r="L11" s="18" t="str">
        <f t="shared" si="3"/>
        <v>·</v>
      </c>
      <c r="M11" s="18" t="str">
        <f t="shared" si="4"/>
        <v>·</v>
      </c>
      <c r="N11" s="15" t="str">
        <f t="shared" si="5"/>
        <v/>
      </c>
      <c r="O11" s="18" t="str">
        <f t="shared" si="6"/>
        <v>·</v>
      </c>
      <c r="P11" s="19"/>
      <c r="Q11" s="19"/>
      <c r="R11" s="19"/>
      <c r="S11" s="20"/>
      <c r="T11" s="20"/>
      <c r="U11" s="20"/>
      <c r="V11" s="20"/>
      <c r="W11" s="21"/>
      <c r="X11" s="21"/>
      <c r="Y11" s="21"/>
      <c r="Z11" s="21"/>
      <c r="AA11" s="21"/>
      <c r="AB11" s="22"/>
      <c r="AC11" s="22"/>
      <c r="AD11" s="22"/>
      <c r="AE11" s="22"/>
      <c r="AG11" s="17" t="str">
        <f t="shared" si="7"/>
        <v>·</v>
      </c>
      <c r="AH11" s="18" t="str">
        <f t="shared" si="8"/>
        <v>·</v>
      </c>
      <c r="AI11" s="18" t="str">
        <f t="shared" si="9"/>
        <v>·</v>
      </c>
      <c r="AJ11" s="18" t="str">
        <f t="shared" si="10"/>
        <v>·</v>
      </c>
      <c r="AK11" s="18" t="str">
        <f t="shared" si="11"/>
        <v>·</v>
      </c>
      <c r="AL11" s="15" t="str">
        <f t="shared" si="12"/>
        <v/>
      </c>
      <c r="AM11" s="18" t="str">
        <f t="shared" si="13"/>
        <v>·</v>
      </c>
      <c r="AN11" s="19"/>
      <c r="AO11" s="19"/>
      <c r="AP11" s="19"/>
      <c r="AQ11" s="20"/>
      <c r="AR11" s="20"/>
      <c r="AS11" s="20"/>
      <c r="AT11" s="20"/>
      <c r="AU11" s="21"/>
      <c r="AV11" s="21"/>
      <c r="AW11" s="21"/>
      <c r="AX11" s="21"/>
      <c r="AY11" s="21"/>
      <c r="AZ11" s="22"/>
      <c r="BA11" s="22"/>
      <c r="BB11" s="22"/>
      <c r="BC11" s="22"/>
      <c r="BE11" s="23" t="e">
        <f t="shared" si="14"/>
        <v>#DIV/0!</v>
      </c>
      <c r="BF11" s="23" t="e">
        <f t="shared" si="15"/>
        <v>#VALUE!</v>
      </c>
      <c r="BG11" s="23"/>
      <c r="BI11" s="58"/>
      <c r="BJ11" s="58"/>
      <c r="BK11" s="58"/>
      <c r="BL11" s="58"/>
      <c r="BM11" s="58"/>
      <c r="BN11" s="59"/>
      <c r="BO11" s="58"/>
      <c r="BP11" s="58"/>
      <c r="BQ11" s="58"/>
      <c r="BR11" s="58"/>
      <c r="BS11" s="58"/>
      <c r="BU11" s="4">
        <f t="shared" si="16"/>
        <v>0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218121242</v>
      </c>
      <c r="E12" s="26">
        <v>10</v>
      </c>
      <c r="F12" s="26">
        <v>300</v>
      </c>
      <c r="G12" s="26">
        <v>30</v>
      </c>
      <c r="I12" s="27" t="str">
        <f t="shared" si="0"/>
        <v>·</v>
      </c>
      <c r="J12" s="28" t="str">
        <f t="shared" si="1"/>
        <v>·</v>
      </c>
      <c r="K12" s="28" t="str">
        <f t="shared" si="2"/>
        <v>·</v>
      </c>
      <c r="L12" s="28" t="str">
        <f t="shared" si="3"/>
        <v>·</v>
      </c>
      <c r="M12" s="28" t="str">
        <f t="shared" si="4"/>
        <v>·</v>
      </c>
      <c r="N12" s="25" t="str">
        <f t="shared" si="5"/>
        <v/>
      </c>
      <c r="O12" s="28" t="str">
        <f t="shared" si="6"/>
        <v>·</v>
      </c>
      <c r="P12" s="29"/>
      <c r="Q12" s="29"/>
      <c r="R12" s="29"/>
      <c r="S12" s="30"/>
      <c r="T12" s="30"/>
      <c r="U12" s="30"/>
      <c r="V12" s="30"/>
      <c r="W12" s="31"/>
      <c r="X12" s="31"/>
      <c r="Y12" s="31"/>
      <c r="Z12" s="31"/>
      <c r="AA12" s="31"/>
      <c r="AB12" s="32"/>
      <c r="AC12" s="32"/>
      <c r="AD12" s="32"/>
      <c r="AE12" s="32"/>
      <c r="AG12" s="27" t="str">
        <f t="shared" si="7"/>
        <v>·</v>
      </c>
      <c r="AH12" s="28" t="str">
        <f t="shared" si="8"/>
        <v>·</v>
      </c>
      <c r="AI12" s="28" t="str">
        <f t="shared" si="9"/>
        <v>·</v>
      </c>
      <c r="AJ12" s="28" t="str">
        <f t="shared" si="10"/>
        <v>·</v>
      </c>
      <c r="AK12" s="28" t="str">
        <f t="shared" si="11"/>
        <v>·</v>
      </c>
      <c r="AL12" s="25" t="str">
        <f t="shared" si="12"/>
        <v/>
      </c>
      <c r="AM12" s="28" t="str">
        <f t="shared" si="13"/>
        <v>·</v>
      </c>
      <c r="AN12" s="29"/>
      <c r="AO12" s="29"/>
      <c r="AP12" s="29"/>
      <c r="AQ12" s="30"/>
      <c r="AR12" s="30"/>
      <c r="AS12" s="30"/>
      <c r="AT12" s="30"/>
      <c r="AU12" s="31"/>
      <c r="AV12" s="31"/>
      <c r="AW12" s="31"/>
      <c r="AX12" s="31"/>
      <c r="AY12" s="31"/>
      <c r="AZ12" s="32"/>
      <c r="BA12" s="32"/>
      <c r="BB12" s="32"/>
      <c r="BC12" s="32"/>
      <c r="BE12" s="33" t="e">
        <f t="shared" si="14"/>
        <v>#DIV/0!</v>
      </c>
      <c r="BF12" s="33" t="e">
        <f t="shared" si="15"/>
        <v>#VALUE!</v>
      </c>
      <c r="BG12" s="33"/>
      <c r="BI12" s="60"/>
      <c r="BJ12" s="60"/>
      <c r="BK12" s="60"/>
      <c r="BL12" s="60"/>
      <c r="BM12" s="60"/>
      <c r="BN12" s="59"/>
      <c r="BO12" s="60"/>
      <c r="BP12" s="60"/>
      <c r="BQ12" s="60"/>
      <c r="BR12" s="60"/>
      <c r="BS12" s="60"/>
      <c r="BU12" s="4">
        <f t="shared" si="16"/>
        <v>0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218121242</v>
      </c>
      <c r="E13" s="16">
        <v>10</v>
      </c>
      <c r="F13" s="16">
        <v>300</v>
      </c>
      <c r="G13" s="16">
        <v>30</v>
      </c>
      <c r="I13" s="17" t="str">
        <f t="shared" si="0"/>
        <v>·</v>
      </c>
      <c r="J13" s="18" t="str">
        <f t="shared" si="1"/>
        <v>·</v>
      </c>
      <c r="K13" s="18" t="str">
        <f t="shared" si="2"/>
        <v>·</v>
      </c>
      <c r="L13" s="18" t="str">
        <f t="shared" si="3"/>
        <v>·</v>
      </c>
      <c r="M13" s="18" t="str">
        <f t="shared" si="4"/>
        <v>·</v>
      </c>
      <c r="N13" s="15" t="str">
        <f t="shared" si="5"/>
        <v/>
      </c>
      <c r="O13" s="18" t="str">
        <f t="shared" si="6"/>
        <v>·</v>
      </c>
      <c r="P13" s="19"/>
      <c r="Q13" s="19"/>
      <c r="R13" s="19"/>
      <c r="S13" s="20"/>
      <c r="T13" s="20"/>
      <c r="U13" s="20"/>
      <c r="V13" s="20"/>
      <c r="W13" s="21"/>
      <c r="X13" s="21"/>
      <c r="Y13" s="21"/>
      <c r="Z13" s="21"/>
      <c r="AA13" s="21"/>
      <c r="AB13" s="22"/>
      <c r="AC13" s="22"/>
      <c r="AD13" s="22"/>
      <c r="AE13" s="22"/>
      <c r="AG13" s="17" t="str">
        <f t="shared" si="7"/>
        <v>·</v>
      </c>
      <c r="AH13" s="18" t="str">
        <f t="shared" si="8"/>
        <v>·</v>
      </c>
      <c r="AI13" s="18" t="str">
        <f t="shared" si="9"/>
        <v>·</v>
      </c>
      <c r="AJ13" s="18" t="str">
        <f t="shared" si="10"/>
        <v>·</v>
      </c>
      <c r="AK13" s="18" t="str">
        <f t="shared" si="11"/>
        <v>·</v>
      </c>
      <c r="AL13" s="15" t="str">
        <f t="shared" si="12"/>
        <v/>
      </c>
      <c r="AM13" s="18" t="str">
        <f t="shared" si="13"/>
        <v>·</v>
      </c>
      <c r="AN13" s="19"/>
      <c r="AO13" s="19"/>
      <c r="AP13" s="19"/>
      <c r="AQ13" s="20"/>
      <c r="AR13" s="20"/>
      <c r="AS13" s="20"/>
      <c r="AT13" s="20"/>
      <c r="AU13" s="21"/>
      <c r="AV13" s="21"/>
      <c r="AW13" s="21"/>
      <c r="AX13" s="21"/>
      <c r="AY13" s="21"/>
      <c r="AZ13" s="22"/>
      <c r="BA13" s="22"/>
      <c r="BB13" s="22"/>
      <c r="BC13" s="22"/>
      <c r="BE13" s="23" t="e">
        <f t="shared" si="14"/>
        <v>#DIV/0!</v>
      </c>
      <c r="BF13" s="23" t="e">
        <f t="shared" si="15"/>
        <v>#VALUE!</v>
      </c>
      <c r="BG13" s="23"/>
      <c r="BI13" s="58"/>
      <c r="BJ13" s="58"/>
      <c r="BK13" s="58"/>
      <c r="BL13" s="58"/>
      <c r="BM13" s="58"/>
      <c r="BN13" s="59"/>
      <c r="BO13" s="58"/>
      <c r="BP13" s="58"/>
      <c r="BQ13" s="58"/>
      <c r="BR13" s="58"/>
      <c r="BS13" s="58"/>
      <c r="BU13" s="4">
        <f t="shared" si="16"/>
        <v>0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218121242</v>
      </c>
      <c r="E14" s="46">
        <v>10</v>
      </c>
      <c r="F14" s="46">
        <v>300</v>
      </c>
      <c r="G14" s="46">
        <v>30</v>
      </c>
      <c r="I14" s="47" t="str">
        <f t="shared" si="0"/>
        <v>·</v>
      </c>
      <c r="J14" s="48" t="str">
        <f t="shared" si="1"/>
        <v>·</v>
      </c>
      <c r="K14" s="48" t="str">
        <f t="shared" si="2"/>
        <v>·</v>
      </c>
      <c r="L14" s="48" t="str">
        <f t="shared" si="3"/>
        <v>·</v>
      </c>
      <c r="M14" s="48" t="str">
        <f t="shared" si="4"/>
        <v>·</v>
      </c>
      <c r="N14" s="45" t="str">
        <f t="shared" si="5"/>
        <v/>
      </c>
      <c r="O14" s="48" t="str">
        <f t="shared" si="6"/>
        <v>·</v>
      </c>
      <c r="P14" s="49"/>
      <c r="Q14" s="49"/>
      <c r="R14" s="49"/>
      <c r="S14" s="50"/>
      <c r="T14" s="50"/>
      <c r="U14" s="50"/>
      <c r="V14" s="50"/>
      <c r="W14" s="51"/>
      <c r="X14" s="51"/>
      <c r="Y14" s="51"/>
      <c r="Z14" s="51"/>
      <c r="AA14" s="51"/>
      <c r="AB14" s="52"/>
      <c r="AC14" s="52"/>
      <c r="AD14" s="52"/>
      <c r="AE14" s="52"/>
      <c r="AG14" s="47" t="str">
        <f t="shared" si="7"/>
        <v>·</v>
      </c>
      <c r="AH14" s="48" t="str">
        <f t="shared" si="8"/>
        <v>·</v>
      </c>
      <c r="AI14" s="48" t="str">
        <f t="shared" si="9"/>
        <v>·</v>
      </c>
      <c r="AJ14" s="48" t="str">
        <f t="shared" si="10"/>
        <v>·</v>
      </c>
      <c r="AK14" s="48" t="str">
        <f t="shared" si="11"/>
        <v>·</v>
      </c>
      <c r="AL14" s="45" t="str">
        <f t="shared" si="12"/>
        <v/>
      </c>
      <c r="AM14" s="48" t="str">
        <f t="shared" si="13"/>
        <v>·</v>
      </c>
      <c r="AN14" s="49"/>
      <c r="AO14" s="49"/>
      <c r="AP14" s="49"/>
      <c r="AQ14" s="50"/>
      <c r="AR14" s="50"/>
      <c r="AS14" s="50"/>
      <c r="AT14" s="50"/>
      <c r="AU14" s="51"/>
      <c r="AV14" s="51"/>
      <c r="AW14" s="51"/>
      <c r="AX14" s="51"/>
      <c r="AY14" s="51"/>
      <c r="AZ14" s="52"/>
      <c r="BA14" s="52"/>
      <c r="BB14" s="52"/>
      <c r="BC14" s="52"/>
      <c r="BE14" s="53" t="e">
        <f t="shared" si="14"/>
        <v>#DIV/0!</v>
      </c>
      <c r="BF14" s="53" t="e">
        <f t="shared" si="15"/>
        <v>#VALUE!</v>
      </c>
      <c r="BG14" s="53"/>
      <c r="BI14" s="62"/>
      <c r="BJ14" s="62"/>
      <c r="BK14" s="62"/>
      <c r="BL14" s="62"/>
      <c r="BM14" s="62"/>
      <c r="BN14" s="59"/>
      <c r="BO14" s="62"/>
      <c r="BP14" s="62"/>
      <c r="BQ14" s="62"/>
      <c r="BR14" s="62"/>
      <c r="BS14" s="62"/>
      <c r="BU14" s="4">
        <f t="shared" si="16"/>
        <v>0</v>
      </c>
    </row>
    <row r="15" spans="1:73" x14ac:dyDescent="0.3">
      <c r="A15" s="15"/>
      <c r="B15" s="15" t="s">
        <v>278</v>
      </c>
      <c r="C15" s="16" t="s">
        <v>268</v>
      </c>
      <c r="D15" s="15">
        <v>322589704</v>
      </c>
      <c r="E15" s="16">
        <v>10</v>
      </c>
      <c r="F15" s="16">
        <v>300</v>
      </c>
      <c r="G15" s="16">
        <v>30</v>
      </c>
      <c r="I15" s="17" t="str">
        <f t="shared" si="0"/>
        <v>·</v>
      </c>
      <c r="J15" s="18" t="str">
        <f t="shared" si="1"/>
        <v>·</v>
      </c>
      <c r="K15" s="18" t="str">
        <f t="shared" si="2"/>
        <v>·</v>
      </c>
      <c r="L15" s="18" t="str">
        <f t="shared" si="3"/>
        <v>·</v>
      </c>
      <c r="M15" s="18" t="str">
        <f t="shared" si="4"/>
        <v>·</v>
      </c>
      <c r="N15" s="15" t="str">
        <f t="shared" si="5"/>
        <v/>
      </c>
      <c r="O15" s="18" t="str">
        <f t="shared" si="6"/>
        <v>·</v>
      </c>
      <c r="P15" s="19"/>
      <c r="Q15" s="19"/>
      <c r="R15" s="19"/>
      <c r="S15" s="20"/>
      <c r="T15" s="20"/>
      <c r="U15" s="20"/>
      <c r="V15" s="20"/>
      <c r="W15" s="21"/>
      <c r="X15" s="21"/>
      <c r="Y15" s="21"/>
      <c r="Z15" s="21"/>
      <c r="AA15" s="21"/>
      <c r="AB15" s="22"/>
      <c r="AC15" s="22"/>
      <c r="AD15" s="22"/>
      <c r="AE15" s="22"/>
      <c r="AG15" s="17" t="str">
        <f t="shared" si="7"/>
        <v>·</v>
      </c>
      <c r="AH15" s="18" t="str">
        <f t="shared" si="8"/>
        <v>·</v>
      </c>
      <c r="AI15" s="18" t="str">
        <f t="shared" si="9"/>
        <v>·</v>
      </c>
      <c r="AJ15" s="18" t="str">
        <f t="shared" si="10"/>
        <v>·</v>
      </c>
      <c r="AK15" s="18" t="str">
        <f t="shared" si="11"/>
        <v>·</v>
      </c>
      <c r="AL15" s="15" t="str">
        <f t="shared" si="12"/>
        <v/>
      </c>
      <c r="AM15" s="18" t="str">
        <f t="shared" si="13"/>
        <v>·</v>
      </c>
      <c r="AN15" s="19"/>
      <c r="AO15" s="19"/>
      <c r="AP15" s="19"/>
      <c r="AQ15" s="20"/>
      <c r="AR15" s="20"/>
      <c r="AS15" s="20"/>
      <c r="AT15" s="20"/>
      <c r="AU15" s="21"/>
      <c r="AV15" s="21"/>
      <c r="AW15" s="21"/>
      <c r="AX15" s="21"/>
      <c r="AY15" s="21"/>
      <c r="AZ15" s="22"/>
      <c r="BA15" s="22"/>
      <c r="BB15" s="22"/>
      <c r="BC15" s="22"/>
      <c r="BE15" s="23" t="e">
        <f t="shared" si="14"/>
        <v>#DIV/0!</v>
      </c>
      <c r="BF15" s="23" t="e">
        <f t="shared" si="15"/>
        <v>#VALUE!</v>
      </c>
      <c r="BG15" s="23" t="e">
        <f t="array" ref="BG15">AVERAGE(AL15:AL19/AQ15:AQ19) - AVERAGE(N15:N19/S15:S19)</f>
        <v>#VALUE!</v>
      </c>
      <c r="BI15" s="58" t="str">
        <f>IF( OR(ISBLANK(N15:N19),ISBLANK(AL15:AL19), ISBLANK(W15:W19),ISBLANK(AU15:AU19)), "·", bdRateExtend( N15:N19,W15:W19, AL15:AL19,AU15:AU19))</f>
        <v>·</v>
      </c>
      <c r="BJ15" s="58" t="str">
        <f>IF( OR(ISBLANK(N15:N19),ISBLANK(AL15:AL19), ISBLANK(X15:X19),ISBLANK(AV15:AV19)), "·", bdRateExtend( N15:N19,X15:X19, AL15:AL19,AV15:AV19))</f>
        <v>·</v>
      </c>
      <c r="BK15" s="58" t="str">
        <f>IF( OR(ISBLANK(V15:V19),ISBLANK(AT15:AT19), ISBLANK(Y15:Y19),ISBLANK(AW15:AW19)), "·", bdRateExtend( V15:V19,Y15:Y19, AT15:AT19,AW15:AW19))</f>
        <v>·</v>
      </c>
      <c r="BL15" s="58" t="str">
        <f>IF( OR(ISBLANK(V15:V19),ISBLANK(AT15:AT19), ISBLANK(Z15:Z19),ISBLANK(AX15:AX19)), "·", bdRateExtend( V15:V19,Z15:Z19, AT15:AT19,AX15:AX19))</f>
        <v>·</v>
      </c>
      <c r="BM15" s="58" t="str">
        <f>IF( OR(ISBLANK(V15:V19),ISBLANK(AT15:AT19), ISBLANK(AA15:AA19),ISBLANK(AY15:AY19)), "·", bdRateExtend( V15:V19,AA15:AA19, AT15:AT19,AY15:AY19))</f>
        <v>·</v>
      </c>
      <c r="BN15" s="59"/>
      <c r="BO15" s="58" t="str">
        <f>IF( OR(ISBLANK(S15:S19),ISBLANK(AQ15:AQ19), ISBLANK(W15:W19),ISBLANK(AU15:AU19)), "·", bdRateExtend( S15:S19,W15:W19, AQ15:AQ19,AU15:AU19))</f>
        <v>·</v>
      </c>
      <c r="BP15" s="58" t="str">
        <f>IF( OR(ISBLANK(S15:S19),ISBLANK(AQ15:AQ19), ISBLANK(X15:X19),ISBLANK(AV15:AV19)), "·", bdRateExtend( S15:S19,X15:X19, AQ15:AQ19,AV15:AV19))</f>
        <v>·</v>
      </c>
      <c r="BQ15" s="58" t="str">
        <f>IF( OR(ISBLANK(S15:S19),ISBLANK(AQ15:AQ19), ISBLANK(Y15:Y19),ISBLANK(AW15:AW19)), "·", bdRateExtend( S15:S19,Y15:Y19, AQ15:AQ19,AW15:AW19))</f>
        <v>·</v>
      </c>
      <c r="BR15" s="58" t="str">
        <f>IF( OR(ISBLANK(S15:S19),ISBLANK(AQ15:AQ19), ISBLANK(Z15:Z19),ISBLANK(AX15:AX19)), "·", bdRateExtend( S15:S19,Z15:Z19, AQ15:AQ19,AX15:AX19))</f>
        <v>·</v>
      </c>
      <c r="BS15" s="58" t="str">
        <f>IF( OR(ISBLANK(S15:S19),ISBLANK(AQ15:AQ19), ISBLANK(AA15:AA19),ISBLANK(AY15:AY19)), "·", bdRateExtend( S15:S19,AA15:AA19, AQ15:AQ19,AY15:AY19))</f>
        <v>·</v>
      </c>
      <c r="BU15" s="4">
        <f t="shared" si="16"/>
        <v>0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322589704</v>
      </c>
      <c r="E16" s="26">
        <v>10</v>
      </c>
      <c r="F16" s="26">
        <v>300</v>
      </c>
      <c r="G16" s="26">
        <v>30</v>
      </c>
      <c r="I16" s="27" t="str">
        <f t="shared" si="0"/>
        <v>·</v>
      </c>
      <c r="J16" s="28" t="str">
        <f t="shared" si="1"/>
        <v>·</v>
      </c>
      <c r="K16" s="28" t="str">
        <f t="shared" si="2"/>
        <v>·</v>
      </c>
      <c r="L16" s="28" t="str">
        <f t="shared" si="3"/>
        <v>·</v>
      </c>
      <c r="M16" s="28" t="str">
        <f t="shared" si="4"/>
        <v>·</v>
      </c>
      <c r="N16" s="25" t="str">
        <f t="shared" si="5"/>
        <v/>
      </c>
      <c r="O16" s="28" t="str">
        <f t="shared" si="6"/>
        <v>·</v>
      </c>
      <c r="P16" s="29"/>
      <c r="Q16" s="29"/>
      <c r="R16" s="29"/>
      <c r="S16" s="30"/>
      <c r="T16" s="30"/>
      <c r="U16" s="30"/>
      <c r="V16" s="30"/>
      <c r="W16" s="31"/>
      <c r="X16" s="31"/>
      <c r="Y16" s="31"/>
      <c r="Z16" s="31"/>
      <c r="AA16" s="31"/>
      <c r="AB16" s="32"/>
      <c r="AC16" s="32"/>
      <c r="AD16" s="32"/>
      <c r="AE16" s="32"/>
      <c r="AG16" s="27" t="str">
        <f t="shared" si="7"/>
        <v>·</v>
      </c>
      <c r="AH16" s="28" t="str">
        <f t="shared" si="8"/>
        <v>·</v>
      </c>
      <c r="AI16" s="28" t="str">
        <f t="shared" si="9"/>
        <v>·</v>
      </c>
      <c r="AJ16" s="28" t="str">
        <f t="shared" si="10"/>
        <v>·</v>
      </c>
      <c r="AK16" s="28" t="str">
        <f t="shared" si="11"/>
        <v>·</v>
      </c>
      <c r="AL16" s="25" t="str">
        <f t="shared" si="12"/>
        <v/>
      </c>
      <c r="AM16" s="28" t="str">
        <f t="shared" si="13"/>
        <v>·</v>
      </c>
      <c r="AN16" s="29"/>
      <c r="AO16" s="29"/>
      <c r="AP16" s="29"/>
      <c r="AQ16" s="30"/>
      <c r="AR16" s="30"/>
      <c r="AS16" s="30"/>
      <c r="AT16" s="30"/>
      <c r="AU16" s="31"/>
      <c r="AV16" s="31"/>
      <c r="AW16" s="31"/>
      <c r="AX16" s="31"/>
      <c r="AY16" s="31"/>
      <c r="AZ16" s="32"/>
      <c r="BA16" s="32"/>
      <c r="BB16" s="32"/>
      <c r="BC16" s="32"/>
      <c r="BE16" s="33" t="e">
        <f t="shared" si="14"/>
        <v>#DIV/0!</v>
      </c>
      <c r="BF16" s="33" t="e">
        <f t="shared" si="15"/>
        <v>#VALUE!</v>
      </c>
      <c r="BG16" s="33"/>
      <c r="BI16" s="60"/>
      <c r="BJ16" s="60"/>
      <c r="BK16" s="60"/>
      <c r="BL16" s="60"/>
      <c r="BM16" s="60"/>
      <c r="BN16" s="59"/>
      <c r="BO16" s="60"/>
      <c r="BP16" s="60"/>
      <c r="BQ16" s="60"/>
      <c r="BR16" s="60"/>
      <c r="BS16" s="60"/>
      <c r="BU16" s="4">
        <f t="shared" si="16"/>
        <v>0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322589704</v>
      </c>
      <c r="E17" s="16">
        <v>10</v>
      </c>
      <c r="F17" s="16">
        <v>300</v>
      </c>
      <c r="G17" s="16">
        <v>30</v>
      </c>
      <c r="I17" s="17" t="str">
        <f t="shared" si="0"/>
        <v>·</v>
      </c>
      <c r="J17" s="18" t="str">
        <f t="shared" si="1"/>
        <v>·</v>
      </c>
      <c r="K17" s="18" t="str">
        <f t="shared" si="2"/>
        <v>·</v>
      </c>
      <c r="L17" s="18" t="str">
        <f t="shared" si="3"/>
        <v>·</v>
      </c>
      <c r="M17" s="18" t="str">
        <f t="shared" si="4"/>
        <v>·</v>
      </c>
      <c r="N17" s="15" t="str">
        <f t="shared" si="5"/>
        <v/>
      </c>
      <c r="O17" s="18" t="str">
        <f t="shared" si="6"/>
        <v>·</v>
      </c>
      <c r="P17" s="19"/>
      <c r="Q17" s="19"/>
      <c r="R17" s="19"/>
      <c r="S17" s="20"/>
      <c r="T17" s="20"/>
      <c r="U17" s="20"/>
      <c r="V17" s="20"/>
      <c r="W17" s="21"/>
      <c r="X17" s="21"/>
      <c r="Y17" s="21"/>
      <c r="Z17" s="21"/>
      <c r="AA17" s="21"/>
      <c r="AB17" s="22"/>
      <c r="AC17" s="22"/>
      <c r="AD17" s="22"/>
      <c r="AE17" s="22"/>
      <c r="AG17" s="17" t="str">
        <f t="shared" si="7"/>
        <v>·</v>
      </c>
      <c r="AH17" s="18" t="str">
        <f t="shared" si="8"/>
        <v>·</v>
      </c>
      <c r="AI17" s="18" t="str">
        <f t="shared" si="9"/>
        <v>·</v>
      </c>
      <c r="AJ17" s="18" t="str">
        <f t="shared" si="10"/>
        <v>·</v>
      </c>
      <c r="AK17" s="18" t="str">
        <f t="shared" si="11"/>
        <v>·</v>
      </c>
      <c r="AL17" s="15" t="str">
        <f t="shared" si="12"/>
        <v/>
      </c>
      <c r="AM17" s="18" t="str">
        <f t="shared" si="13"/>
        <v>·</v>
      </c>
      <c r="AN17" s="19"/>
      <c r="AO17" s="19"/>
      <c r="AP17" s="19"/>
      <c r="AQ17" s="20"/>
      <c r="AR17" s="20"/>
      <c r="AS17" s="20"/>
      <c r="AT17" s="20"/>
      <c r="AU17" s="21"/>
      <c r="AV17" s="21"/>
      <c r="AW17" s="21"/>
      <c r="AX17" s="21"/>
      <c r="AY17" s="21"/>
      <c r="AZ17" s="22"/>
      <c r="BA17" s="22"/>
      <c r="BB17" s="22"/>
      <c r="BC17" s="22"/>
      <c r="BE17" s="23" t="e">
        <f t="shared" si="14"/>
        <v>#DIV/0!</v>
      </c>
      <c r="BF17" s="23" t="e">
        <f t="shared" si="15"/>
        <v>#VALUE!</v>
      </c>
      <c r="BG17" s="23"/>
      <c r="BI17" s="58"/>
      <c r="BJ17" s="58"/>
      <c r="BK17" s="58"/>
      <c r="BL17" s="58"/>
      <c r="BM17" s="58"/>
      <c r="BN17" s="59"/>
      <c r="BO17" s="58"/>
      <c r="BP17" s="58"/>
      <c r="BQ17" s="58"/>
      <c r="BR17" s="58"/>
      <c r="BS17" s="58"/>
      <c r="BU17" s="4">
        <f t="shared" si="16"/>
        <v>0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322589704</v>
      </c>
      <c r="E18" s="26">
        <v>10</v>
      </c>
      <c r="F18" s="26">
        <v>300</v>
      </c>
      <c r="G18" s="26">
        <v>30</v>
      </c>
      <c r="I18" s="27" t="str">
        <f t="shared" si="0"/>
        <v>·</v>
      </c>
      <c r="J18" s="28" t="str">
        <f t="shared" si="1"/>
        <v>·</v>
      </c>
      <c r="K18" s="28" t="str">
        <f t="shared" si="2"/>
        <v>·</v>
      </c>
      <c r="L18" s="28" t="str">
        <f t="shared" si="3"/>
        <v>·</v>
      </c>
      <c r="M18" s="28" t="str">
        <f t="shared" si="4"/>
        <v>·</v>
      </c>
      <c r="N18" s="25" t="str">
        <f t="shared" si="5"/>
        <v/>
      </c>
      <c r="O18" s="28" t="str">
        <f t="shared" si="6"/>
        <v>·</v>
      </c>
      <c r="P18" s="29"/>
      <c r="Q18" s="29"/>
      <c r="R18" s="29"/>
      <c r="S18" s="30"/>
      <c r="T18" s="30"/>
      <c r="U18" s="30"/>
      <c r="V18" s="30"/>
      <c r="W18" s="31"/>
      <c r="X18" s="31"/>
      <c r="Y18" s="31"/>
      <c r="Z18" s="31"/>
      <c r="AA18" s="31"/>
      <c r="AB18" s="32"/>
      <c r="AC18" s="32"/>
      <c r="AD18" s="32"/>
      <c r="AE18" s="32"/>
      <c r="AG18" s="27" t="str">
        <f t="shared" si="7"/>
        <v>·</v>
      </c>
      <c r="AH18" s="28" t="str">
        <f t="shared" si="8"/>
        <v>·</v>
      </c>
      <c r="AI18" s="28" t="str">
        <f t="shared" si="9"/>
        <v>·</v>
      </c>
      <c r="AJ18" s="28" t="str">
        <f t="shared" si="10"/>
        <v>·</v>
      </c>
      <c r="AK18" s="28" t="str">
        <f t="shared" si="11"/>
        <v>·</v>
      </c>
      <c r="AL18" s="25" t="str">
        <f t="shared" si="12"/>
        <v/>
      </c>
      <c r="AM18" s="28" t="str">
        <f t="shared" si="13"/>
        <v>·</v>
      </c>
      <c r="AN18" s="29"/>
      <c r="AO18" s="29"/>
      <c r="AP18" s="29"/>
      <c r="AQ18" s="30"/>
      <c r="AR18" s="30"/>
      <c r="AS18" s="30"/>
      <c r="AT18" s="30"/>
      <c r="AU18" s="31"/>
      <c r="AV18" s="31"/>
      <c r="AW18" s="31"/>
      <c r="AX18" s="31"/>
      <c r="AY18" s="31"/>
      <c r="AZ18" s="32"/>
      <c r="BA18" s="32"/>
      <c r="BB18" s="32"/>
      <c r="BC18" s="32"/>
      <c r="BE18" s="33" t="e">
        <f t="shared" si="14"/>
        <v>#DIV/0!</v>
      </c>
      <c r="BF18" s="33" t="e">
        <f t="shared" si="15"/>
        <v>#VALUE!</v>
      </c>
      <c r="BG18" s="33"/>
      <c r="BI18" s="60"/>
      <c r="BJ18" s="60"/>
      <c r="BK18" s="60"/>
      <c r="BL18" s="60"/>
      <c r="BM18" s="60"/>
      <c r="BN18" s="59"/>
      <c r="BO18" s="60"/>
      <c r="BP18" s="60"/>
      <c r="BQ18" s="60"/>
      <c r="BR18" s="60"/>
      <c r="BS18" s="60"/>
      <c r="BU18" s="4">
        <f t="shared" si="16"/>
        <v>0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322589704</v>
      </c>
      <c r="E19" s="36">
        <v>10</v>
      </c>
      <c r="F19" s="36">
        <v>300</v>
      </c>
      <c r="G19" s="36">
        <v>30</v>
      </c>
      <c r="I19" s="37" t="str">
        <f t="shared" si="0"/>
        <v>·</v>
      </c>
      <c r="J19" s="38" t="str">
        <f t="shared" si="1"/>
        <v>·</v>
      </c>
      <c r="K19" s="38" t="str">
        <f t="shared" si="2"/>
        <v>·</v>
      </c>
      <c r="L19" s="38" t="str">
        <f t="shared" si="3"/>
        <v>·</v>
      </c>
      <c r="M19" s="38" t="str">
        <f t="shared" si="4"/>
        <v>·</v>
      </c>
      <c r="N19" s="35" t="str">
        <f t="shared" si="5"/>
        <v/>
      </c>
      <c r="O19" s="38" t="str">
        <f t="shared" si="6"/>
        <v>·</v>
      </c>
      <c r="P19" s="39"/>
      <c r="Q19" s="39"/>
      <c r="R19" s="39"/>
      <c r="S19" s="40"/>
      <c r="T19" s="40"/>
      <c r="U19" s="40"/>
      <c r="V19" s="40"/>
      <c r="W19" s="41"/>
      <c r="X19" s="41"/>
      <c r="Y19" s="41"/>
      <c r="Z19" s="41"/>
      <c r="AA19" s="41"/>
      <c r="AB19" s="42"/>
      <c r="AC19" s="42"/>
      <c r="AD19" s="42"/>
      <c r="AE19" s="42"/>
      <c r="AG19" s="37" t="str">
        <f t="shared" si="7"/>
        <v>·</v>
      </c>
      <c r="AH19" s="38" t="str">
        <f t="shared" si="8"/>
        <v>·</v>
      </c>
      <c r="AI19" s="38" t="str">
        <f t="shared" si="9"/>
        <v>·</v>
      </c>
      <c r="AJ19" s="38" t="str">
        <f t="shared" si="10"/>
        <v>·</v>
      </c>
      <c r="AK19" s="38" t="str">
        <f t="shared" si="11"/>
        <v>·</v>
      </c>
      <c r="AL19" s="35" t="str">
        <f t="shared" si="12"/>
        <v/>
      </c>
      <c r="AM19" s="38" t="str">
        <f t="shared" si="13"/>
        <v>·</v>
      </c>
      <c r="AN19" s="39"/>
      <c r="AO19" s="39"/>
      <c r="AP19" s="39"/>
      <c r="AQ19" s="40"/>
      <c r="AR19" s="40"/>
      <c r="AS19" s="40"/>
      <c r="AT19" s="40"/>
      <c r="AU19" s="41"/>
      <c r="AV19" s="41"/>
      <c r="AW19" s="41"/>
      <c r="AX19" s="41"/>
      <c r="AY19" s="41"/>
      <c r="AZ19" s="42"/>
      <c r="BA19" s="42"/>
      <c r="BB19" s="42"/>
      <c r="BC19" s="42"/>
      <c r="BE19" s="43" t="e">
        <f t="shared" si="14"/>
        <v>#DIV/0!</v>
      </c>
      <c r="BF19" s="43" t="e">
        <f t="shared" si="15"/>
        <v>#VALUE!</v>
      </c>
      <c r="BG19" s="43"/>
      <c r="BI19" s="61"/>
      <c r="BJ19" s="61"/>
      <c r="BK19" s="61"/>
      <c r="BL19" s="61"/>
      <c r="BM19" s="61"/>
      <c r="BN19" s="59"/>
      <c r="BO19" s="61"/>
      <c r="BP19" s="61"/>
      <c r="BQ19" s="61"/>
      <c r="BR19" s="61"/>
      <c r="BS19" s="61"/>
      <c r="BU19" s="4">
        <f t="shared" si="16"/>
        <v>0</v>
      </c>
    </row>
    <row r="20" spans="1:73" x14ac:dyDescent="0.3">
      <c r="A20" s="25"/>
      <c r="B20" s="25" t="s">
        <v>281</v>
      </c>
      <c r="C20" s="26" t="s">
        <v>268</v>
      </c>
      <c r="D20" s="25">
        <v>250602891</v>
      </c>
      <c r="E20" s="26">
        <v>10</v>
      </c>
      <c r="F20" s="26">
        <v>250</v>
      </c>
      <c r="G20" s="26">
        <v>50</v>
      </c>
      <c r="I20" s="27" t="str">
        <f t="shared" si="0"/>
        <v>·</v>
      </c>
      <c r="J20" s="28" t="str">
        <f t="shared" si="1"/>
        <v>·</v>
      </c>
      <c r="K20" s="28" t="str">
        <f t="shared" si="2"/>
        <v>·</v>
      </c>
      <c r="L20" s="28" t="str">
        <f t="shared" si="3"/>
        <v>·</v>
      </c>
      <c r="M20" s="28" t="str">
        <f t="shared" si="4"/>
        <v>·</v>
      </c>
      <c r="N20" s="25" t="str">
        <f t="shared" si="5"/>
        <v/>
      </c>
      <c r="O20" s="28" t="str">
        <f t="shared" si="6"/>
        <v>·</v>
      </c>
      <c r="P20" s="29"/>
      <c r="Q20" s="29"/>
      <c r="R20" s="29"/>
      <c r="S20" s="30"/>
      <c r="T20" s="30"/>
      <c r="U20" s="30"/>
      <c r="V20" s="30"/>
      <c r="W20" s="31"/>
      <c r="X20" s="31"/>
      <c r="Y20" s="31"/>
      <c r="Z20" s="31"/>
      <c r="AA20" s="31"/>
      <c r="AB20" s="32"/>
      <c r="AC20" s="32"/>
      <c r="AD20" s="32"/>
      <c r="AE20" s="32"/>
      <c r="AG20" s="27" t="str">
        <f t="shared" si="7"/>
        <v>·</v>
      </c>
      <c r="AH20" s="28" t="str">
        <f t="shared" si="8"/>
        <v>·</v>
      </c>
      <c r="AI20" s="28" t="str">
        <f t="shared" si="9"/>
        <v>·</v>
      </c>
      <c r="AJ20" s="28" t="str">
        <f t="shared" si="10"/>
        <v>·</v>
      </c>
      <c r="AK20" s="28" t="str">
        <f t="shared" si="11"/>
        <v>·</v>
      </c>
      <c r="AL20" s="25" t="str">
        <f t="shared" si="12"/>
        <v/>
      </c>
      <c r="AM20" s="28" t="str">
        <f t="shared" si="13"/>
        <v>·</v>
      </c>
      <c r="AN20" s="29"/>
      <c r="AO20" s="29"/>
      <c r="AP20" s="29"/>
      <c r="AQ20" s="30"/>
      <c r="AR20" s="30"/>
      <c r="AS20" s="30"/>
      <c r="AT20" s="30"/>
      <c r="AU20" s="31"/>
      <c r="AV20" s="31"/>
      <c r="AW20" s="31"/>
      <c r="AX20" s="31"/>
      <c r="AY20" s="31"/>
      <c r="AZ20" s="32"/>
      <c r="BA20" s="32"/>
      <c r="BB20" s="32"/>
      <c r="BC20" s="32"/>
      <c r="BE20" s="33" t="e">
        <f t="shared" si="14"/>
        <v>#DIV/0!</v>
      </c>
      <c r="BF20" s="33" t="e">
        <f t="shared" si="15"/>
        <v>#VALUE!</v>
      </c>
      <c r="BG20" s="33" t="e">
        <f t="array" ref="BG20">AVERAGE(AL20:AL24/AQ20:AQ24) - AVERAGE(N20:N24/S20:S24)</f>
        <v>#VALUE!</v>
      </c>
      <c r="BI20" s="60" t="str">
        <f>IF( OR(ISBLANK(N20:N24),ISBLANK(AL20:AL24), ISBLANK(W20:W24),ISBLANK(AU20:AU24)), "·", bdRateExtend( N20:N24,W20:W24, AL20:AL24,AU20:AU24))</f>
        <v>·</v>
      </c>
      <c r="BJ20" s="60" t="str">
        <f>IF( OR(ISBLANK(N20:N24),ISBLANK(AL20:AL24), ISBLANK(X20:X24),ISBLANK(AV20:AV24)), "·", bdRateExtend( N20:N24,X20:X24, AL20:AL24,AV20:AV24))</f>
        <v>·</v>
      </c>
      <c r="BK20" s="60" t="str">
        <f>IF( OR(ISBLANK(V20:V24),ISBLANK(AT20:AT24), ISBLANK(Y20:Y24),ISBLANK(AW20:AW24)), "·", bdRateExtend( V20:V24,Y20:Y24, AT20:AT24,AW20:AW24))</f>
        <v>·</v>
      </c>
      <c r="BL20" s="60" t="str">
        <f>IF( OR(ISBLANK(V20:V24),ISBLANK(AT20:AT24), ISBLANK(Z20:Z24),ISBLANK(AX20:AX24)), "·", bdRateExtend( V20:V24,Z20:Z24, AT20:AT24,AX20:AX24))</f>
        <v>·</v>
      </c>
      <c r="BM20" s="60" t="str">
        <f>IF( OR(ISBLANK(V20:V24),ISBLANK(AT20:AT24), ISBLANK(AA20:AA24),ISBLANK(AY20:AY24)), "·", bdRateExtend( V20:V24,AA20:AA24, AT20:AT24,AY20:AY24))</f>
        <v>·</v>
      </c>
      <c r="BN20" s="59"/>
      <c r="BO20" s="60" t="str">
        <f>IF( OR(ISBLANK(S20:S24),ISBLANK(AQ20:AQ24), ISBLANK(W20:W24),ISBLANK(AU20:AU24)), "·", bdRateExtend( S20:S24,W20:W24, AQ20:AQ24,AU20:AU24))</f>
        <v>·</v>
      </c>
      <c r="BP20" s="60" t="str">
        <f>IF( OR(ISBLANK(S20:S24),ISBLANK(AQ20:AQ24), ISBLANK(X20:X24),ISBLANK(AV20:AV24)), "·", bdRateExtend( S20:S24,X20:X24, AQ20:AQ24,AV20:AV24))</f>
        <v>·</v>
      </c>
      <c r="BQ20" s="60" t="str">
        <f>IF( OR(ISBLANK(S20:S24),ISBLANK(AQ20:AQ24), ISBLANK(Y20:Y24),ISBLANK(AW20:AW24)), "·", bdRateExtend( S20:S24,Y20:Y24, AQ20:AQ24,AW20:AW24))</f>
        <v>·</v>
      </c>
      <c r="BR20" s="60" t="str">
        <f>IF( OR(ISBLANK(S20:S24),ISBLANK(AQ20:AQ24), ISBLANK(Z20:Z24),ISBLANK(AX20:AX24)), "·", bdRateExtend( S20:S24,Z20:Z24, AQ20:AQ24,AX20:AX24))</f>
        <v>·</v>
      </c>
      <c r="BS20" s="60" t="str">
        <f>IF( OR(ISBLANK(S20:S24),ISBLANK(AQ20:AQ24), ISBLANK(AA20:AA24),ISBLANK(AY20:AY24)), "·", bdRateExtend( S20:S24,AA20:AA24, AQ20:AQ24,AY20:AY24))</f>
        <v>·</v>
      </c>
      <c r="BU20" s="4">
        <f t="shared" si="16"/>
        <v>0</v>
      </c>
    </row>
    <row r="21" spans="1:73" outlineLevel="1" x14ac:dyDescent="0.3">
      <c r="A21" s="15"/>
      <c r="B21" s="15" t="s">
        <v>281</v>
      </c>
      <c r="C21" s="16" t="s">
        <v>269</v>
      </c>
      <c r="D21" s="15">
        <v>250602891</v>
      </c>
      <c r="E21" s="16">
        <v>10</v>
      </c>
      <c r="F21" s="16">
        <v>250</v>
      </c>
      <c r="G21" s="16">
        <v>50</v>
      </c>
      <c r="I21" s="17" t="str">
        <f t="shared" si="0"/>
        <v>·</v>
      </c>
      <c r="J21" s="18" t="str">
        <f t="shared" si="1"/>
        <v>·</v>
      </c>
      <c r="K21" s="18" t="str">
        <f t="shared" si="2"/>
        <v>·</v>
      </c>
      <c r="L21" s="18" t="str">
        <f t="shared" si="3"/>
        <v>·</v>
      </c>
      <c r="M21" s="18" t="str">
        <f t="shared" si="4"/>
        <v>·</v>
      </c>
      <c r="N21" s="15" t="str">
        <f t="shared" si="5"/>
        <v/>
      </c>
      <c r="O21" s="18" t="str">
        <f t="shared" si="6"/>
        <v>·</v>
      </c>
      <c r="P21" s="19"/>
      <c r="Q21" s="19"/>
      <c r="R21" s="19"/>
      <c r="S21" s="20"/>
      <c r="T21" s="20"/>
      <c r="U21" s="20"/>
      <c r="V21" s="20"/>
      <c r="W21" s="21"/>
      <c r="X21" s="21"/>
      <c r="Y21" s="21"/>
      <c r="Z21" s="21"/>
      <c r="AA21" s="21"/>
      <c r="AB21" s="22"/>
      <c r="AC21" s="22"/>
      <c r="AD21" s="22"/>
      <c r="AE21" s="22"/>
      <c r="AG21" s="17" t="str">
        <f t="shared" si="7"/>
        <v>·</v>
      </c>
      <c r="AH21" s="18" t="str">
        <f t="shared" si="8"/>
        <v>·</v>
      </c>
      <c r="AI21" s="18" t="str">
        <f t="shared" si="9"/>
        <v>·</v>
      </c>
      <c r="AJ21" s="18" t="str">
        <f t="shared" si="10"/>
        <v>·</v>
      </c>
      <c r="AK21" s="18" t="str">
        <f t="shared" si="11"/>
        <v>·</v>
      </c>
      <c r="AL21" s="15" t="str">
        <f t="shared" si="12"/>
        <v/>
      </c>
      <c r="AM21" s="18" t="str">
        <f t="shared" si="13"/>
        <v>·</v>
      </c>
      <c r="AN21" s="19"/>
      <c r="AO21" s="19"/>
      <c r="AP21" s="19"/>
      <c r="AQ21" s="20"/>
      <c r="AR21" s="20"/>
      <c r="AS21" s="20"/>
      <c r="AT21" s="20"/>
      <c r="AU21" s="21"/>
      <c r="AV21" s="21"/>
      <c r="AW21" s="21"/>
      <c r="AX21" s="21"/>
      <c r="AY21" s="21"/>
      <c r="AZ21" s="22"/>
      <c r="BA21" s="22"/>
      <c r="BB21" s="22"/>
      <c r="BC21" s="22"/>
      <c r="BE21" s="23" t="e">
        <f t="shared" si="14"/>
        <v>#DIV/0!</v>
      </c>
      <c r="BF21" s="23" t="e">
        <f t="shared" si="15"/>
        <v>#VALUE!</v>
      </c>
      <c r="BG21" s="23"/>
      <c r="BI21" s="58"/>
      <c r="BJ21" s="58"/>
      <c r="BK21" s="58"/>
      <c r="BL21" s="58"/>
      <c r="BM21" s="58"/>
      <c r="BN21" s="59"/>
      <c r="BO21" s="58"/>
      <c r="BP21" s="58"/>
      <c r="BQ21" s="58"/>
      <c r="BR21" s="58"/>
      <c r="BS21" s="58"/>
      <c r="BU21" s="4">
        <f t="shared" si="16"/>
        <v>0</v>
      </c>
    </row>
    <row r="22" spans="1:73" outlineLevel="1" x14ac:dyDescent="0.3">
      <c r="A22" s="25"/>
      <c r="B22" s="25" t="s">
        <v>281</v>
      </c>
      <c r="C22" s="26" t="s">
        <v>270</v>
      </c>
      <c r="D22" s="25">
        <v>250602891</v>
      </c>
      <c r="E22" s="26">
        <v>10</v>
      </c>
      <c r="F22" s="26">
        <v>250</v>
      </c>
      <c r="G22" s="26">
        <v>50</v>
      </c>
      <c r="I22" s="27" t="str">
        <f t="shared" si="0"/>
        <v>·</v>
      </c>
      <c r="J22" s="28" t="str">
        <f t="shared" si="1"/>
        <v>·</v>
      </c>
      <c r="K22" s="28" t="str">
        <f t="shared" si="2"/>
        <v>·</v>
      </c>
      <c r="L22" s="28" t="str">
        <f t="shared" si="3"/>
        <v>·</v>
      </c>
      <c r="M22" s="28" t="str">
        <f t="shared" si="4"/>
        <v>·</v>
      </c>
      <c r="N22" s="25" t="str">
        <f t="shared" si="5"/>
        <v/>
      </c>
      <c r="O22" s="28" t="str">
        <f t="shared" si="6"/>
        <v>·</v>
      </c>
      <c r="P22" s="29"/>
      <c r="Q22" s="29"/>
      <c r="R22" s="29"/>
      <c r="S22" s="30"/>
      <c r="T22" s="30"/>
      <c r="U22" s="30"/>
      <c r="V22" s="30"/>
      <c r="W22" s="31"/>
      <c r="X22" s="31"/>
      <c r="Y22" s="31"/>
      <c r="Z22" s="31"/>
      <c r="AA22" s="31"/>
      <c r="AB22" s="32"/>
      <c r="AC22" s="32"/>
      <c r="AD22" s="32"/>
      <c r="AE22" s="32"/>
      <c r="AG22" s="27" t="str">
        <f t="shared" si="7"/>
        <v>·</v>
      </c>
      <c r="AH22" s="28" t="str">
        <f t="shared" si="8"/>
        <v>·</v>
      </c>
      <c r="AI22" s="28" t="str">
        <f t="shared" si="9"/>
        <v>·</v>
      </c>
      <c r="AJ22" s="28" t="str">
        <f t="shared" si="10"/>
        <v>·</v>
      </c>
      <c r="AK22" s="28" t="str">
        <f t="shared" si="11"/>
        <v>·</v>
      </c>
      <c r="AL22" s="25" t="str">
        <f t="shared" si="12"/>
        <v/>
      </c>
      <c r="AM22" s="28" t="str">
        <f t="shared" si="13"/>
        <v>·</v>
      </c>
      <c r="AN22" s="29"/>
      <c r="AO22" s="29"/>
      <c r="AP22" s="29"/>
      <c r="AQ22" s="30"/>
      <c r="AR22" s="30"/>
      <c r="AS22" s="30"/>
      <c r="AT22" s="30"/>
      <c r="AU22" s="31"/>
      <c r="AV22" s="31"/>
      <c r="AW22" s="31"/>
      <c r="AX22" s="31"/>
      <c r="AY22" s="31"/>
      <c r="AZ22" s="32"/>
      <c r="BA22" s="32"/>
      <c r="BB22" s="32"/>
      <c r="BC22" s="32"/>
      <c r="BE22" s="33" t="e">
        <f t="shared" si="14"/>
        <v>#DIV/0!</v>
      </c>
      <c r="BF22" s="33" t="e">
        <f t="shared" si="15"/>
        <v>#VALUE!</v>
      </c>
      <c r="BG22" s="33"/>
      <c r="BI22" s="60"/>
      <c r="BJ22" s="60"/>
      <c r="BK22" s="60"/>
      <c r="BL22" s="60"/>
      <c r="BM22" s="60"/>
      <c r="BN22" s="59"/>
      <c r="BO22" s="60"/>
      <c r="BP22" s="60"/>
      <c r="BQ22" s="60"/>
      <c r="BR22" s="60"/>
      <c r="BS22" s="60"/>
      <c r="BU22" s="4">
        <f t="shared" si="16"/>
        <v>0</v>
      </c>
    </row>
    <row r="23" spans="1:73" outlineLevel="1" x14ac:dyDescent="0.3">
      <c r="A23" s="15"/>
      <c r="B23" s="15" t="s">
        <v>281</v>
      </c>
      <c r="C23" s="16" t="s">
        <v>271</v>
      </c>
      <c r="D23" s="15">
        <v>250602891</v>
      </c>
      <c r="E23" s="16">
        <v>10</v>
      </c>
      <c r="F23" s="16">
        <v>250</v>
      </c>
      <c r="G23" s="16">
        <v>50</v>
      </c>
      <c r="I23" s="17" t="str">
        <f t="shared" si="0"/>
        <v>·</v>
      </c>
      <c r="J23" s="18" t="str">
        <f t="shared" si="1"/>
        <v>·</v>
      </c>
      <c r="K23" s="18" t="str">
        <f t="shared" si="2"/>
        <v>·</v>
      </c>
      <c r="L23" s="18" t="str">
        <f t="shared" si="3"/>
        <v>·</v>
      </c>
      <c r="M23" s="18" t="str">
        <f t="shared" si="4"/>
        <v>·</v>
      </c>
      <c r="N23" s="15" t="str">
        <f t="shared" si="5"/>
        <v/>
      </c>
      <c r="O23" s="18" t="str">
        <f t="shared" si="6"/>
        <v>·</v>
      </c>
      <c r="P23" s="19"/>
      <c r="Q23" s="19"/>
      <c r="R23" s="19"/>
      <c r="S23" s="20"/>
      <c r="T23" s="20"/>
      <c r="U23" s="20"/>
      <c r="V23" s="20"/>
      <c r="W23" s="21"/>
      <c r="X23" s="21"/>
      <c r="Y23" s="21"/>
      <c r="Z23" s="21"/>
      <c r="AA23" s="21"/>
      <c r="AB23" s="22"/>
      <c r="AC23" s="22"/>
      <c r="AD23" s="22"/>
      <c r="AE23" s="22"/>
      <c r="AG23" s="17" t="str">
        <f t="shared" si="7"/>
        <v>·</v>
      </c>
      <c r="AH23" s="18" t="str">
        <f t="shared" si="8"/>
        <v>·</v>
      </c>
      <c r="AI23" s="18" t="str">
        <f t="shared" si="9"/>
        <v>·</v>
      </c>
      <c r="AJ23" s="18" t="str">
        <f t="shared" si="10"/>
        <v>·</v>
      </c>
      <c r="AK23" s="18" t="str">
        <f t="shared" si="11"/>
        <v>·</v>
      </c>
      <c r="AL23" s="15" t="str">
        <f t="shared" si="12"/>
        <v/>
      </c>
      <c r="AM23" s="18" t="str">
        <f t="shared" si="13"/>
        <v>·</v>
      </c>
      <c r="AN23" s="19"/>
      <c r="AO23" s="19"/>
      <c r="AP23" s="19"/>
      <c r="AQ23" s="20"/>
      <c r="AR23" s="20"/>
      <c r="AS23" s="20"/>
      <c r="AT23" s="20"/>
      <c r="AU23" s="21"/>
      <c r="AV23" s="21"/>
      <c r="AW23" s="21"/>
      <c r="AX23" s="21"/>
      <c r="AY23" s="21"/>
      <c r="AZ23" s="22"/>
      <c r="BA23" s="22"/>
      <c r="BB23" s="22"/>
      <c r="BC23" s="22"/>
      <c r="BE23" s="23" t="e">
        <f t="shared" si="14"/>
        <v>#DIV/0!</v>
      </c>
      <c r="BF23" s="23" t="e">
        <f t="shared" si="15"/>
        <v>#VALUE!</v>
      </c>
      <c r="BG23" s="23"/>
      <c r="BI23" s="58"/>
      <c r="BJ23" s="58"/>
      <c r="BK23" s="58"/>
      <c r="BL23" s="58"/>
      <c r="BM23" s="58"/>
      <c r="BN23" s="59"/>
      <c r="BO23" s="58"/>
      <c r="BP23" s="58"/>
      <c r="BQ23" s="58"/>
      <c r="BR23" s="58"/>
      <c r="BS23" s="58"/>
      <c r="BU23" s="4">
        <f t="shared" si="16"/>
        <v>0</v>
      </c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250602891</v>
      </c>
      <c r="E24" s="46">
        <v>10</v>
      </c>
      <c r="F24" s="46">
        <v>250</v>
      </c>
      <c r="G24" s="46">
        <v>50</v>
      </c>
      <c r="I24" s="47" t="str">
        <f t="shared" si="0"/>
        <v>·</v>
      </c>
      <c r="J24" s="48" t="str">
        <f t="shared" si="1"/>
        <v>·</v>
      </c>
      <c r="K24" s="48" t="str">
        <f t="shared" si="2"/>
        <v>·</v>
      </c>
      <c r="L24" s="48" t="str">
        <f t="shared" si="3"/>
        <v>·</v>
      </c>
      <c r="M24" s="48" t="str">
        <f t="shared" si="4"/>
        <v>·</v>
      </c>
      <c r="N24" s="45" t="str">
        <f t="shared" si="5"/>
        <v/>
      </c>
      <c r="O24" s="48" t="str">
        <f t="shared" si="6"/>
        <v>·</v>
      </c>
      <c r="P24" s="49"/>
      <c r="Q24" s="49"/>
      <c r="R24" s="49"/>
      <c r="S24" s="50"/>
      <c r="T24" s="50"/>
      <c r="U24" s="50"/>
      <c r="V24" s="50"/>
      <c r="W24" s="51"/>
      <c r="X24" s="51"/>
      <c r="Y24" s="51"/>
      <c r="Z24" s="51"/>
      <c r="AA24" s="51"/>
      <c r="AB24" s="52"/>
      <c r="AC24" s="52"/>
      <c r="AD24" s="52"/>
      <c r="AE24" s="52"/>
      <c r="AG24" s="47" t="str">
        <f t="shared" si="7"/>
        <v>·</v>
      </c>
      <c r="AH24" s="48" t="str">
        <f t="shared" si="8"/>
        <v>·</v>
      </c>
      <c r="AI24" s="48" t="str">
        <f t="shared" si="9"/>
        <v>·</v>
      </c>
      <c r="AJ24" s="48" t="str">
        <f t="shared" si="10"/>
        <v>·</v>
      </c>
      <c r="AK24" s="48" t="str">
        <f t="shared" si="11"/>
        <v>·</v>
      </c>
      <c r="AL24" s="45" t="str">
        <f t="shared" si="12"/>
        <v/>
      </c>
      <c r="AM24" s="48" t="str">
        <f t="shared" si="13"/>
        <v>·</v>
      </c>
      <c r="AN24" s="49"/>
      <c r="AO24" s="49"/>
      <c r="AP24" s="49"/>
      <c r="AQ24" s="50"/>
      <c r="AR24" s="50"/>
      <c r="AS24" s="50"/>
      <c r="AT24" s="50"/>
      <c r="AU24" s="51"/>
      <c r="AV24" s="51"/>
      <c r="AW24" s="51"/>
      <c r="AX24" s="51"/>
      <c r="AY24" s="51"/>
      <c r="AZ24" s="52"/>
      <c r="BA24" s="52"/>
      <c r="BB24" s="52"/>
      <c r="BC24" s="52"/>
      <c r="BE24" s="53" t="e">
        <f t="shared" si="14"/>
        <v>#DIV/0!</v>
      </c>
      <c r="BF24" s="53" t="e">
        <f t="shared" si="15"/>
        <v>#VALUE!</v>
      </c>
      <c r="BG24" s="53"/>
      <c r="BI24" s="62"/>
      <c r="BJ24" s="62"/>
      <c r="BK24" s="62"/>
      <c r="BL24" s="62"/>
      <c r="BM24" s="62"/>
      <c r="BN24" s="59"/>
      <c r="BO24" s="62"/>
      <c r="BP24" s="62"/>
      <c r="BQ24" s="62"/>
      <c r="BR24" s="62"/>
      <c r="BS24" s="62"/>
      <c r="BU24" s="4">
        <f t="shared" si="16"/>
        <v>0</v>
      </c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250294582</v>
      </c>
      <c r="E25" s="16">
        <v>10</v>
      </c>
      <c r="F25" s="16">
        <v>300</v>
      </c>
      <c r="G25" s="16">
        <v>30</v>
      </c>
      <c r="I25" s="17" t="str">
        <f t="shared" si="0"/>
        <v>·</v>
      </c>
      <c r="J25" s="18" t="str">
        <f t="shared" si="1"/>
        <v>·</v>
      </c>
      <c r="K25" s="18" t="str">
        <f t="shared" si="2"/>
        <v>·</v>
      </c>
      <c r="L25" s="18" t="str">
        <f t="shared" si="3"/>
        <v>·</v>
      </c>
      <c r="M25" s="18" t="str">
        <f t="shared" si="4"/>
        <v>·</v>
      </c>
      <c r="N25" s="15" t="str">
        <f t="shared" si="5"/>
        <v/>
      </c>
      <c r="O25" s="18" t="str">
        <f t="shared" si="6"/>
        <v>·</v>
      </c>
      <c r="P25" s="19"/>
      <c r="Q25" s="19"/>
      <c r="R25" s="19"/>
      <c r="S25" s="20"/>
      <c r="T25" s="20"/>
      <c r="U25" s="20"/>
      <c r="V25" s="20"/>
      <c r="W25" s="21"/>
      <c r="X25" s="21"/>
      <c r="Y25" s="21"/>
      <c r="Z25" s="21"/>
      <c r="AA25" s="21"/>
      <c r="AB25" s="22"/>
      <c r="AC25" s="22"/>
      <c r="AD25" s="22"/>
      <c r="AE25" s="22"/>
      <c r="AG25" s="17" t="str">
        <f t="shared" si="7"/>
        <v>·</v>
      </c>
      <c r="AH25" s="18" t="str">
        <f t="shared" si="8"/>
        <v>·</v>
      </c>
      <c r="AI25" s="18" t="str">
        <f t="shared" si="9"/>
        <v>·</v>
      </c>
      <c r="AJ25" s="18" t="str">
        <f t="shared" si="10"/>
        <v>·</v>
      </c>
      <c r="AK25" s="18" t="str">
        <f t="shared" si="11"/>
        <v>·</v>
      </c>
      <c r="AL25" s="15" t="str">
        <f t="shared" si="12"/>
        <v/>
      </c>
      <c r="AM25" s="18" t="str">
        <f t="shared" si="13"/>
        <v>·</v>
      </c>
      <c r="AN25" s="19"/>
      <c r="AO25" s="19"/>
      <c r="AP25" s="19"/>
      <c r="AQ25" s="20"/>
      <c r="AR25" s="20"/>
      <c r="AS25" s="20"/>
      <c r="AT25" s="20"/>
      <c r="AU25" s="21"/>
      <c r="AV25" s="21"/>
      <c r="AW25" s="21"/>
      <c r="AX25" s="21"/>
      <c r="AY25" s="21"/>
      <c r="AZ25" s="22"/>
      <c r="BA25" s="22"/>
      <c r="BB25" s="22"/>
      <c r="BC25" s="22"/>
      <c r="BE25" s="23" t="e">
        <f t="shared" si="14"/>
        <v>#DIV/0!</v>
      </c>
      <c r="BF25" s="23" t="e">
        <f t="shared" si="15"/>
        <v>#VALUE!</v>
      </c>
      <c r="BG25" s="23" t="e">
        <f t="array" ref="BG25">AVERAGE(AL25:AL29/AQ25:AQ29) - AVERAGE(N25:N29/S25:S29)</f>
        <v>#VALUE!</v>
      </c>
      <c r="BI25" s="58" t="str">
        <f>IF( OR(ISBLANK(N25:N29),ISBLANK(AL25:AL29), ISBLANK(W25:W29),ISBLANK(AU25:AU29)), "·", bdRateExtend( N25:N29,W25:W29, AL25:AL29,AU25:AU29))</f>
        <v>·</v>
      </c>
      <c r="BJ25" s="58" t="str">
        <f>IF( OR(ISBLANK(N25:N29),ISBLANK(AL25:AL29), ISBLANK(X25:X29),ISBLANK(AV25:AV29)), "·", bdRateExtend( N25:N29,X25:X29, AL25:AL29,AV25:AV29))</f>
        <v>·</v>
      </c>
      <c r="BK25" s="58" t="str">
        <f>IF( OR(ISBLANK(V25:V29),ISBLANK(AT25:AT29), ISBLANK(Y25:Y29),ISBLANK(AW25:AW29)), "·", bdRateExtend( V25:V29,Y25:Y29, AT25:AT29,AW25:AW29))</f>
        <v>·</v>
      </c>
      <c r="BL25" s="58" t="str">
        <f>IF( OR(ISBLANK(V25:V29),ISBLANK(AT25:AT29), ISBLANK(Z25:Z29),ISBLANK(AX25:AX29)), "·", bdRateExtend( V25:V29,Z25:Z29, AT25:AT29,AX25:AX29))</f>
        <v>·</v>
      </c>
      <c r="BM25" s="58" t="str">
        <f>IF( OR(ISBLANK(V25:V29),ISBLANK(AT25:AT29), ISBLANK(AA25:AA29),ISBLANK(AY25:AY29)), "·", bdRateExtend( V25:V29,AA25:AA29, AT25:AT29,AY25:AY29))</f>
        <v>·</v>
      </c>
      <c r="BN25" s="59"/>
      <c r="BO25" s="58" t="str">
        <f>IF( OR(ISBLANK(S25:S29),ISBLANK(AQ25:AQ29), ISBLANK(W25:W29),ISBLANK(AU25:AU29)), "·", bdRateExtend( S25:S29,W25:W29, AQ25:AQ29,AU25:AU29))</f>
        <v>·</v>
      </c>
      <c r="BP25" s="58" t="str">
        <f>IF( OR(ISBLANK(S25:S29),ISBLANK(AQ25:AQ29), ISBLANK(X25:X29),ISBLANK(AV25:AV29)), "·", bdRateExtend( S25:S29,X25:X29, AQ25:AQ29,AV25:AV29))</f>
        <v>·</v>
      </c>
      <c r="BQ25" s="58" t="str">
        <f>IF( OR(ISBLANK(S25:S29),ISBLANK(AQ25:AQ29), ISBLANK(Y25:Y29),ISBLANK(AW25:AW29)), "·", bdRateExtend( S25:S29,Y25:Y29, AQ25:AQ29,AW25:AW29))</f>
        <v>·</v>
      </c>
      <c r="BR25" s="58" t="str">
        <f>IF( OR(ISBLANK(S25:S29),ISBLANK(AQ25:AQ29), ISBLANK(Z25:Z29),ISBLANK(AX25:AX29)), "·", bdRateExtend( S25:S29,Z25:Z29, AQ25:AQ29,AX25:AX29))</f>
        <v>·</v>
      </c>
      <c r="BS25" s="58" t="str">
        <f>IF( OR(ISBLANK(S25:S29),ISBLANK(AQ25:AQ29), ISBLANK(AA25:AA29),ISBLANK(AY25:AY29)), "·", bdRateExtend( S25:S29,AA25:AA29, AQ25:AQ29,AY25:AY29))</f>
        <v>·</v>
      </c>
      <c r="BU25" s="4">
        <f t="shared" si="16"/>
        <v>0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250294582</v>
      </c>
      <c r="E26" s="26">
        <v>10</v>
      </c>
      <c r="F26" s="26">
        <v>300</v>
      </c>
      <c r="G26" s="26">
        <v>30</v>
      </c>
      <c r="I26" s="27" t="str">
        <f t="shared" si="0"/>
        <v>·</v>
      </c>
      <c r="J26" s="28" t="str">
        <f t="shared" si="1"/>
        <v>·</v>
      </c>
      <c r="K26" s="28" t="str">
        <f t="shared" si="2"/>
        <v>·</v>
      </c>
      <c r="L26" s="28" t="str">
        <f t="shared" si="3"/>
        <v>·</v>
      </c>
      <c r="M26" s="28" t="str">
        <f t="shared" si="4"/>
        <v>·</v>
      </c>
      <c r="N26" s="25" t="str">
        <f t="shared" si="5"/>
        <v/>
      </c>
      <c r="O26" s="28" t="str">
        <f t="shared" si="6"/>
        <v>·</v>
      </c>
      <c r="P26" s="29"/>
      <c r="Q26" s="29"/>
      <c r="R26" s="29"/>
      <c r="S26" s="30"/>
      <c r="T26" s="30"/>
      <c r="U26" s="30"/>
      <c r="V26" s="30"/>
      <c r="W26" s="31"/>
      <c r="X26" s="31"/>
      <c r="Y26" s="31"/>
      <c r="Z26" s="31"/>
      <c r="AA26" s="31"/>
      <c r="AB26" s="32"/>
      <c r="AC26" s="32"/>
      <c r="AD26" s="32"/>
      <c r="AE26" s="32"/>
      <c r="AG26" s="27" t="str">
        <f t="shared" si="7"/>
        <v>·</v>
      </c>
      <c r="AH26" s="28" t="str">
        <f t="shared" si="8"/>
        <v>·</v>
      </c>
      <c r="AI26" s="28" t="str">
        <f t="shared" si="9"/>
        <v>·</v>
      </c>
      <c r="AJ26" s="28" t="str">
        <f t="shared" si="10"/>
        <v>·</v>
      </c>
      <c r="AK26" s="28" t="str">
        <f t="shared" si="11"/>
        <v>·</v>
      </c>
      <c r="AL26" s="25" t="str">
        <f t="shared" si="12"/>
        <v/>
      </c>
      <c r="AM26" s="28" t="str">
        <f t="shared" si="13"/>
        <v>·</v>
      </c>
      <c r="AN26" s="29"/>
      <c r="AO26" s="29"/>
      <c r="AP26" s="29"/>
      <c r="AQ26" s="30"/>
      <c r="AR26" s="30"/>
      <c r="AS26" s="30"/>
      <c r="AT26" s="30"/>
      <c r="AU26" s="31"/>
      <c r="AV26" s="31"/>
      <c r="AW26" s="31"/>
      <c r="AX26" s="31"/>
      <c r="AY26" s="31"/>
      <c r="AZ26" s="32"/>
      <c r="BA26" s="32"/>
      <c r="BB26" s="32"/>
      <c r="BC26" s="32"/>
      <c r="BE26" s="33" t="e">
        <f t="shared" si="14"/>
        <v>#DIV/0!</v>
      </c>
      <c r="BF26" s="33" t="e">
        <f t="shared" si="15"/>
        <v>#VALUE!</v>
      </c>
      <c r="BG26" s="33"/>
      <c r="BI26" s="60"/>
      <c r="BJ26" s="60"/>
      <c r="BK26" s="60"/>
      <c r="BL26" s="60"/>
      <c r="BM26" s="60"/>
      <c r="BN26" s="59"/>
      <c r="BO26" s="60"/>
      <c r="BP26" s="60"/>
      <c r="BQ26" s="60"/>
      <c r="BR26" s="60"/>
      <c r="BS26" s="60"/>
      <c r="BU26" s="4">
        <f t="shared" si="16"/>
        <v>0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250294582</v>
      </c>
      <c r="E27" s="16">
        <v>10</v>
      </c>
      <c r="F27" s="16">
        <v>300</v>
      </c>
      <c r="G27" s="16">
        <v>30</v>
      </c>
      <c r="I27" s="17" t="str">
        <f t="shared" si="0"/>
        <v>·</v>
      </c>
      <c r="J27" s="18" t="str">
        <f t="shared" si="1"/>
        <v>·</v>
      </c>
      <c r="K27" s="18" t="str">
        <f t="shared" si="2"/>
        <v>·</v>
      </c>
      <c r="L27" s="18" t="str">
        <f t="shared" si="3"/>
        <v>·</v>
      </c>
      <c r="M27" s="18" t="str">
        <f t="shared" si="4"/>
        <v>·</v>
      </c>
      <c r="N27" s="15" t="str">
        <f t="shared" si="5"/>
        <v/>
      </c>
      <c r="O27" s="18" t="str">
        <f t="shared" si="6"/>
        <v>·</v>
      </c>
      <c r="P27" s="19"/>
      <c r="Q27" s="19"/>
      <c r="R27" s="19"/>
      <c r="S27" s="20"/>
      <c r="T27" s="20"/>
      <c r="U27" s="20"/>
      <c r="V27" s="20"/>
      <c r="W27" s="21"/>
      <c r="X27" s="21"/>
      <c r="Y27" s="21"/>
      <c r="Z27" s="21"/>
      <c r="AA27" s="21"/>
      <c r="AB27" s="22"/>
      <c r="AC27" s="22"/>
      <c r="AD27" s="22"/>
      <c r="AE27" s="22"/>
      <c r="AG27" s="17" t="str">
        <f t="shared" si="7"/>
        <v>·</v>
      </c>
      <c r="AH27" s="18" t="str">
        <f t="shared" si="8"/>
        <v>·</v>
      </c>
      <c r="AI27" s="18" t="str">
        <f t="shared" si="9"/>
        <v>·</v>
      </c>
      <c r="AJ27" s="18" t="str">
        <f t="shared" si="10"/>
        <v>·</v>
      </c>
      <c r="AK27" s="18" t="str">
        <f t="shared" si="11"/>
        <v>·</v>
      </c>
      <c r="AL27" s="15" t="str">
        <f t="shared" si="12"/>
        <v/>
      </c>
      <c r="AM27" s="18" t="str">
        <f t="shared" si="13"/>
        <v>·</v>
      </c>
      <c r="AN27" s="19"/>
      <c r="AO27" s="19"/>
      <c r="AP27" s="19"/>
      <c r="AQ27" s="20"/>
      <c r="AR27" s="20"/>
      <c r="AS27" s="20"/>
      <c r="AT27" s="20"/>
      <c r="AU27" s="21"/>
      <c r="AV27" s="21"/>
      <c r="AW27" s="21"/>
      <c r="AX27" s="21"/>
      <c r="AY27" s="21"/>
      <c r="AZ27" s="22"/>
      <c r="BA27" s="22"/>
      <c r="BB27" s="22"/>
      <c r="BC27" s="22"/>
      <c r="BE27" s="23" t="e">
        <f t="shared" si="14"/>
        <v>#DIV/0!</v>
      </c>
      <c r="BF27" s="23" t="e">
        <f t="shared" si="15"/>
        <v>#VALUE!</v>
      </c>
      <c r="BG27" s="23"/>
      <c r="BI27" s="58"/>
      <c r="BJ27" s="58"/>
      <c r="BK27" s="58"/>
      <c r="BL27" s="58"/>
      <c r="BM27" s="58"/>
      <c r="BN27" s="59"/>
      <c r="BO27" s="58"/>
      <c r="BP27" s="58"/>
      <c r="BQ27" s="58"/>
      <c r="BR27" s="58"/>
      <c r="BS27" s="58"/>
      <c r="BU27" s="4">
        <f t="shared" si="16"/>
        <v>0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250294582</v>
      </c>
      <c r="E28" s="26">
        <v>10</v>
      </c>
      <c r="F28" s="26">
        <v>300</v>
      </c>
      <c r="G28" s="26">
        <v>30</v>
      </c>
      <c r="I28" s="27" t="str">
        <f t="shared" si="0"/>
        <v>·</v>
      </c>
      <c r="J28" s="28" t="str">
        <f t="shared" si="1"/>
        <v>·</v>
      </c>
      <c r="K28" s="28" t="str">
        <f t="shared" si="2"/>
        <v>·</v>
      </c>
      <c r="L28" s="28" t="str">
        <f t="shared" si="3"/>
        <v>·</v>
      </c>
      <c r="M28" s="28" t="str">
        <f t="shared" si="4"/>
        <v>·</v>
      </c>
      <c r="N28" s="25" t="str">
        <f t="shared" si="5"/>
        <v/>
      </c>
      <c r="O28" s="28" t="str">
        <f t="shared" si="6"/>
        <v>·</v>
      </c>
      <c r="P28" s="29"/>
      <c r="Q28" s="29"/>
      <c r="R28" s="29"/>
      <c r="S28" s="30"/>
      <c r="T28" s="30"/>
      <c r="U28" s="30"/>
      <c r="V28" s="30"/>
      <c r="W28" s="31"/>
      <c r="X28" s="31"/>
      <c r="Y28" s="31"/>
      <c r="Z28" s="31"/>
      <c r="AA28" s="31"/>
      <c r="AB28" s="32"/>
      <c r="AC28" s="32"/>
      <c r="AD28" s="32"/>
      <c r="AE28" s="32"/>
      <c r="AG28" s="27" t="str">
        <f t="shared" si="7"/>
        <v>·</v>
      </c>
      <c r="AH28" s="28" t="str">
        <f t="shared" si="8"/>
        <v>·</v>
      </c>
      <c r="AI28" s="28" t="str">
        <f t="shared" si="9"/>
        <v>·</v>
      </c>
      <c r="AJ28" s="28" t="str">
        <f t="shared" si="10"/>
        <v>·</v>
      </c>
      <c r="AK28" s="28" t="str">
        <f t="shared" si="11"/>
        <v>·</v>
      </c>
      <c r="AL28" s="25" t="str">
        <f t="shared" si="12"/>
        <v/>
      </c>
      <c r="AM28" s="28" t="str">
        <f t="shared" si="13"/>
        <v>·</v>
      </c>
      <c r="AN28" s="29"/>
      <c r="AO28" s="29"/>
      <c r="AP28" s="29"/>
      <c r="AQ28" s="30"/>
      <c r="AR28" s="30"/>
      <c r="AS28" s="30"/>
      <c r="AT28" s="30"/>
      <c r="AU28" s="31"/>
      <c r="AV28" s="31"/>
      <c r="AW28" s="31"/>
      <c r="AX28" s="31"/>
      <c r="AY28" s="31"/>
      <c r="AZ28" s="32"/>
      <c r="BA28" s="32"/>
      <c r="BB28" s="32"/>
      <c r="BC28" s="32"/>
      <c r="BE28" s="33" t="e">
        <f t="shared" si="14"/>
        <v>#DIV/0!</v>
      </c>
      <c r="BF28" s="33" t="e">
        <f t="shared" si="15"/>
        <v>#VALUE!</v>
      </c>
      <c r="BG28" s="33"/>
      <c r="BI28" s="60"/>
      <c r="BJ28" s="60"/>
      <c r="BK28" s="60"/>
      <c r="BL28" s="60"/>
      <c r="BM28" s="60"/>
      <c r="BN28" s="59"/>
      <c r="BO28" s="60"/>
      <c r="BP28" s="60"/>
      <c r="BQ28" s="60"/>
      <c r="BR28" s="60"/>
      <c r="BS28" s="60"/>
      <c r="BU28" s="4">
        <f t="shared" si="16"/>
        <v>0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250294582</v>
      </c>
      <c r="E29" s="36">
        <v>10</v>
      </c>
      <c r="F29" s="36">
        <v>300</v>
      </c>
      <c r="G29" s="36">
        <v>30</v>
      </c>
      <c r="I29" s="37" t="str">
        <f t="shared" si="0"/>
        <v>·</v>
      </c>
      <c r="J29" s="38" t="str">
        <f t="shared" si="1"/>
        <v>·</v>
      </c>
      <c r="K29" s="38" t="str">
        <f t="shared" si="2"/>
        <v>·</v>
      </c>
      <c r="L29" s="38" t="str">
        <f t="shared" si="3"/>
        <v>·</v>
      </c>
      <c r="M29" s="38" t="str">
        <f t="shared" si="4"/>
        <v>·</v>
      </c>
      <c r="N29" s="35" t="str">
        <f t="shared" si="5"/>
        <v/>
      </c>
      <c r="O29" s="38" t="str">
        <f t="shared" si="6"/>
        <v>·</v>
      </c>
      <c r="P29" s="39"/>
      <c r="Q29" s="39"/>
      <c r="R29" s="39"/>
      <c r="S29" s="40"/>
      <c r="T29" s="40"/>
      <c r="U29" s="40"/>
      <c r="V29" s="40"/>
      <c r="W29" s="41"/>
      <c r="X29" s="41"/>
      <c r="Y29" s="41"/>
      <c r="Z29" s="41"/>
      <c r="AA29" s="41"/>
      <c r="AB29" s="42"/>
      <c r="AC29" s="42"/>
      <c r="AD29" s="42"/>
      <c r="AE29" s="42"/>
      <c r="AG29" s="37" t="str">
        <f t="shared" si="7"/>
        <v>·</v>
      </c>
      <c r="AH29" s="38" t="str">
        <f t="shared" si="8"/>
        <v>·</v>
      </c>
      <c r="AI29" s="38" t="str">
        <f t="shared" si="9"/>
        <v>·</v>
      </c>
      <c r="AJ29" s="38" t="str">
        <f t="shared" si="10"/>
        <v>·</v>
      </c>
      <c r="AK29" s="38" t="str">
        <f t="shared" si="11"/>
        <v>·</v>
      </c>
      <c r="AL29" s="35" t="str">
        <f t="shared" si="12"/>
        <v/>
      </c>
      <c r="AM29" s="38" t="str">
        <f t="shared" si="13"/>
        <v>·</v>
      </c>
      <c r="AN29" s="39"/>
      <c r="AO29" s="39"/>
      <c r="AP29" s="39"/>
      <c r="AQ29" s="40"/>
      <c r="AR29" s="40"/>
      <c r="AS29" s="40"/>
      <c r="AT29" s="40"/>
      <c r="AU29" s="41"/>
      <c r="AV29" s="41"/>
      <c r="AW29" s="41"/>
      <c r="AX29" s="41"/>
      <c r="AY29" s="41"/>
      <c r="AZ29" s="42"/>
      <c r="BA29" s="42"/>
      <c r="BB29" s="42"/>
      <c r="BC29" s="42"/>
      <c r="BE29" s="43" t="e">
        <f t="shared" si="14"/>
        <v>#DIV/0!</v>
      </c>
      <c r="BF29" s="43" t="e">
        <f t="shared" si="15"/>
        <v>#VALUE!</v>
      </c>
      <c r="BG29" s="43"/>
      <c r="BI29" s="61"/>
      <c r="BJ29" s="61"/>
      <c r="BK29" s="61"/>
      <c r="BL29" s="61"/>
      <c r="BM29" s="61"/>
      <c r="BN29" s="59"/>
      <c r="BO29" s="61"/>
      <c r="BP29" s="61"/>
      <c r="BQ29" s="61"/>
      <c r="BR29" s="61"/>
      <c r="BS29" s="61"/>
      <c r="BU29" s="4">
        <f t="shared" si="16"/>
        <v>0</v>
      </c>
    </row>
    <row r="30" spans="1:73" x14ac:dyDescent="0.3">
      <c r="B30" s="55" t="s">
        <v>288</v>
      </c>
      <c r="J30" s="56" t="e">
        <f>AVERAGE(J5:J24)</f>
        <v>#DIV/0!</v>
      </c>
      <c r="K30" s="56" t="e">
        <f>AVERAGE(K5:K24)</f>
        <v>#DIV/0!</v>
      </c>
      <c r="L30" s="56" t="e">
        <f>AVERAGE(L5:L24)</f>
        <v>#DIV/0!</v>
      </c>
      <c r="M30" s="56" t="e">
        <f>AVERAGE(M5:M24)</f>
        <v>#DIV/0!</v>
      </c>
      <c r="AH30" s="56" t="e">
        <f>AVERAGE(AH5:AH24)</f>
        <v>#DIV/0!</v>
      </c>
      <c r="AI30" s="56" t="e">
        <f>AVERAGE(AI5:AI24)</f>
        <v>#DIV/0!</v>
      </c>
      <c r="AJ30" s="56" t="e">
        <f>AVERAGE(AJ5:AJ24)</f>
        <v>#DIV/0!</v>
      </c>
      <c r="AK30" s="56" t="e">
        <f>AVERAGE(AK5:AK24)</f>
        <v>#DIV/0!</v>
      </c>
      <c r="BG30" s="8" t="e">
        <f>AVERAGE(BG5:BG24)</f>
        <v>#VALUE!</v>
      </c>
      <c r="BI30" s="5" t="e">
        <f>AVERAGE(BI5:BI24)</f>
        <v>#DIV/0!</v>
      </c>
      <c r="BJ30" s="5" t="e">
        <f>AVERAGE(BJ5:BJ24)</f>
        <v>#DIV/0!</v>
      </c>
      <c r="BK30" s="5" t="e">
        <f>AVERAGE(BK5:BK24)</f>
        <v>#DIV/0!</v>
      </c>
      <c r="BL30" s="5" t="e">
        <f>AVERAGE(BL5:BL24)</f>
        <v>#DIV/0!</v>
      </c>
      <c r="BM30" s="5" t="e">
        <f>AVERAGE(BM5:BM24)</f>
        <v>#DIV/0!</v>
      </c>
      <c r="BO30" s="5" t="e">
        <f>AVERAGE(BO5:BO24)</f>
        <v>#DIV/0!</v>
      </c>
      <c r="BP30" s="5" t="e">
        <f>AVERAGE(BP5:BP24)</f>
        <v>#DIV/0!</v>
      </c>
      <c r="BQ30" s="5" t="e">
        <f>AVERAGE(BQ5:BQ24)</f>
        <v>#DIV/0!</v>
      </c>
      <c r="BR30" s="5" t="e">
        <f>AVERAGE(BR5:BR24)</f>
        <v>#DIV/0!</v>
      </c>
      <c r="BS30" s="5" t="e">
        <f>AVERAGE(BS5:BS24)</f>
        <v>#DIV/0!</v>
      </c>
    </row>
    <row r="31" spans="1:73" x14ac:dyDescent="0.3">
      <c r="B31" s="55" t="s">
        <v>289</v>
      </c>
      <c r="J31" s="56" t="e">
        <f>AVERAGE(J25:J29)</f>
        <v>#DIV/0!</v>
      </c>
      <c r="K31" s="56" t="e">
        <f>AVERAGE(K25:K29)</f>
        <v>#DIV/0!</v>
      </c>
      <c r="L31" s="56" t="e">
        <f>AVERAGE(L25:L29)</f>
        <v>#DIV/0!</v>
      </c>
      <c r="M31" s="56" t="e">
        <f>AVERAGE(M25:M29)</f>
        <v>#DIV/0!</v>
      </c>
      <c r="AH31" s="56" t="e">
        <f>AVERAGE(AH25:AH29)</f>
        <v>#DIV/0!</v>
      </c>
      <c r="AI31" s="56" t="e">
        <f>AVERAGE(AI25:AI29)</f>
        <v>#DIV/0!</v>
      </c>
      <c r="AJ31" s="56" t="e">
        <f>AVERAGE(AJ25:AJ29)</f>
        <v>#DIV/0!</v>
      </c>
      <c r="AK31" s="56" t="e">
        <f>AVERAGE(AK25:AK29)</f>
        <v>#DIV/0!</v>
      </c>
      <c r="BG31" s="8" t="e">
        <f>AVERAGE(BG25:BG29)</f>
        <v>#VALUE!</v>
      </c>
      <c r="BI31" s="5" t="e">
        <f>AVERAGE(BI25:BI29)</f>
        <v>#DIV/0!</v>
      </c>
      <c r="BJ31" s="5" t="e">
        <f>AVERAGE(BJ25:BJ29)</f>
        <v>#DIV/0!</v>
      </c>
      <c r="BK31" s="5" t="e">
        <f>AVERAGE(BK25:BK29)</f>
        <v>#DIV/0!</v>
      </c>
      <c r="BL31" s="5" t="e">
        <f>AVERAGE(BL25:BL29)</f>
        <v>#DIV/0!</v>
      </c>
      <c r="BM31" s="5" t="e">
        <f>AVERAGE(BM25:BM29)</f>
        <v>#DIV/0!</v>
      </c>
      <c r="BO31" s="5" t="e">
        <f>AVERAGE(BO25:BO29)</f>
        <v>#DIV/0!</v>
      </c>
      <c r="BP31" s="5" t="e">
        <f>AVERAGE(BP25:BP29)</f>
        <v>#DIV/0!</v>
      </c>
      <c r="BQ31" s="5" t="e">
        <f>AVERAGE(BQ25:BQ29)</f>
        <v>#DIV/0!</v>
      </c>
      <c r="BR31" s="5" t="e">
        <f>AVERAGE(BR25:BR29)</f>
        <v>#DIV/0!</v>
      </c>
      <c r="BS31" s="5" t="e">
        <f>AVERAGE(BS25:BS29)</f>
        <v>#DIV/0!</v>
      </c>
    </row>
    <row r="32" spans="1:73" collapsed="1" x14ac:dyDescent="0.3">
      <c r="B32" s="55" t="s">
        <v>290</v>
      </c>
      <c r="J32" s="56" t="e">
        <f>AVERAGE(J5:J29)</f>
        <v>#DIV/0!</v>
      </c>
      <c r="K32" s="56" t="e">
        <f>AVERAGE(K5:K29)</f>
        <v>#DIV/0!</v>
      </c>
      <c r="L32" s="56" t="e">
        <f>AVERAGE(L5:L29)</f>
        <v>#DIV/0!</v>
      </c>
      <c r="M32" s="56" t="e">
        <f>AVERAGE(M5:M29)</f>
        <v>#DIV/0!</v>
      </c>
      <c r="AH32" s="56" t="e">
        <f>AVERAGE(AH5:AH29)</f>
        <v>#DIV/0!</v>
      </c>
      <c r="AI32" s="56" t="e">
        <f>AVERAGE(AI5:AI29)</f>
        <v>#DIV/0!</v>
      </c>
      <c r="AJ32" s="56" t="e">
        <f>AVERAGE(AJ5:AJ29)</f>
        <v>#DIV/0!</v>
      </c>
      <c r="AK32" s="56" t="e">
        <f>AVERAGE(AK5:AK29)</f>
        <v>#DIV/0!</v>
      </c>
      <c r="BG32" s="8" t="e">
        <f>AVERAGE(BG5:BG29)</f>
        <v>#VALUE!</v>
      </c>
      <c r="BI32" s="5" t="e">
        <f>AVERAGE(BI5:BI29)</f>
        <v>#DIV/0!</v>
      </c>
      <c r="BJ32" s="5" t="e">
        <f>AVERAGE(BJ5:BJ29)</f>
        <v>#DIV/0!</v>
      </c>
      <c r="BK32" s="5" t="e">
        <f>AVERAGE(BK5:BK29)</f>
        <v>#DIV/0!</v>
      </c>
      <c r="BL32" s="5" t="e">
        <f>AVERAGE(BL5:BL29)</f>
        <v>#DIV/0!</v>
      </c>
      <c r="BM32" s="5" t="e">
        <f>AVERAGE(BM5:BM29)</f>
        <v>#DIV/0!</v>
      </c>
      <c r="BO32" s="5" t="e">
        <f>AVERAGE(BO5:BO29)</f>
        <v>#DIV/0!</v>
      </c>
      <c r="BP32" s="5" t="e">
        <f>AVERAGE(BP5:BP29)</f>
        <v>#DIV/0!</v>
      </c>
      <c r="BQ32" s="5" t="e">
        <f>AVERAGE(BQ5:BQ29)</f>
        <v>#DIV/0!</v>
      </c>
      <c r="BR32" s="5" t="e">
        <f>AVERAGE(BR5:BR29)</f>
        <v>#DIV/0!</v>
      </c>
      <c r="BS32" s="5" t="e">
        <f>AVERAGE(BS5:BS29)</f>
        <v>#DIV/0!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0</v>
      </c>
      <c r="AC33" s="57">
        <f>SUM(AC5:AC24,AC25:AC29)</f>
        <v>0</v>
      </c>
      <c r="AD33" s="57">
        <f>SUM(AD5:AD24,AD25:AD29)</f>
        <v>0</v>
      </c>
      <c r="AE33" s="57">
        <f>SUM(AE5:AE24,AE25:AE29)</f>
        <v>0</v>
      </c>
      <c r="AZ33" s="57">
        <f>SUM(AZ5:AZ24,AZ25:AZ29)</f>
        <v>0</v>
      </c>
      <c r="BA33" s="57">
        <f>SUM(BA5:BA24,BA25:BA29)</f>
        <v>0</v>
      </c>
      <c r="BB33" s="57">
        <f>SUM(BB5:BB24,BB25:BB29)</f>
        <v>0</v>
      </c>
      <c r="BC33" s="57">
        <f>SUM(BC5:BC24,BC25:BC29)</f>
        <v>0</v>
      </c>
    </row>
    <row r="34" spans="1:55" hidden="1" outlineLevel="2" x14ac:dyDescent="0.3">
      <c r="B34" s="55" t="s">
        <v>293</v>
      </c>
      <c r="AZ34" s="8" t="e">
        <f>AZ33/AB33</f>
        <v>#DIV/0!</v>
      </c>
      <c r="BA34" s="8" t="e">
        <f>BA33/AC33</f>
        <v>#DIV/0!</v>
      </c>
      <c r="BB34" s="8" t="e">
        <f>BB33/AD33</f>
        <v>#DIV/0!</v>
      </c>
      <c r="BC34" s="8" t="e">
        <f>BC33/AE33</f>
        <v>#DIV/0!</v>
      </c>
    </row>
    <row r="35" spans="1:55" hidden="1" outlineLevel="2" x14ac:dyDescent="0.3">
      <c r="B35" s="55" t="s">
        <v>294</v>
      </c>
      <c r="AB35" s="57" t="e">
        <f>GEOMEAN(AB5:AB24,AB25:AB29)</f>
        <v>#NUM!</v>
      </c>
      <c r="AC35" s="57" t="e">
        <f>GEOMEAN(AC5:AC24,AC25:AC29)</f>
        <v>#NUM!</v>
      </c>
      <c r="AD35" s="57" t="e">
        <f>GEOMEAN(AD5:AD24,AD25:AD29)</f>
        <v>#NUM!</v>
      </c>
      <c r="AE35" s="57" t="e">
        <f>GEOMEAN(AE5:AE24,AE25:AE29)</f>
        <v>#NUM!</v>
      </c>
      <c r="AZ35" s="57" t="e">
        <f>GEOMEAN(AZ5:AZ24,AZ25:AZ29)</f>
        <v>#NUM!</v>
      </c>
      <c r="BA35" s="57" t="e">
        <f>GEOMEAN(BA5:BA24,BA25:BA29)</f>
        <v>#NUM!</v>
      </c>
      <c r="BB35" s="57" t="e">
        <f>GEOMEAN(BB5:BB24,BB25:BB29)</f>
        <v>#NUM!</v>
      </c>
      <c r="BC35" s="57" t="e">
        <f>GEOMEAN(BC5:BC24,BC25:BC29)</f>
        <v>#NUM!</v>
      </c>
    </row>
    <row r="36" spans="1:55" outlineLevel="2" collapsed="1" x14ac:dyDescent="0.3">
      <c r="B36" s="55" t="s">
        <v>295</v>
      </c>
      <c r="AZ36" s="8" t="e">
        <f>AZ35/AB35</f>
        <v>#NUM!</v>
      </c>
      <c r="BA36" s="8" t="e">
        <f>BA35/AC35</f>
        <v>#NUM!</v>
      </c>
      <c r="BB36" s="8" t="e">
        <f>BB35/AD35</f>
        <v>#NUM!</v>
      </c>
      <c r="BC36" s="8" t="e">
        <f>BC35/AE35</f>
        <v>#NUM!</v>
      </c>
    </row>
    <row r="40" spans="1:55" x14ac:dyDescent="0.3"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 x14ac:dyDescent="0.3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 x14ac:dyDescent="0.3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 x14ac:dyDescent="0.3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 x14ac:dyDescent="0.3"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 x14ac:dyDescent="0.3"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 x14ac:dyDescent="0.3"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 x14ac:dyDescent="0.3"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 x14ac:dyDescent="0.3"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40:51" x14ac:dyDescent="0.3"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40:51" x14ac:dyDescent="0.3"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40:51" x14ac:dyDescent="0.3"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40:51" x14ac:dyDescent="0.3"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40:51" x14ac:dyDescent="0.3"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40:51" x14ac:dyDescent="0.3"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40:51" x14ac:dyDescent="0.3"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40:51" x14ac:dyDescent="0.3"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40:51" x14ac:dyDescent="0.3"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40:51" x14ac:dyDescent="0.3"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40:51" x14ac:dyDescent="0.3"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40:51" x14ac:dyDescent="0.3"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40:51" x14ac:dyDescent="0.3"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40:51" x14ac:dyDescent="0.3"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40:51" x14ac:dyDescent="0.3"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40:51" x14ac:dyDescent="0.3"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66"/>
  <sheetViews>
    <sheetView zoomScale="85" zoomScaleNormal="85" workbookViewId="0">
      <pane xSplit="2" topLeftCell="O1" activePane="topRight" state="frozen"/>
      <selection pane="topRight" activeCell="T32" sqref="T32"/>
    </sheetView>
  </sheetViews>
  <sheetFormatPr defaultColWidth="8.77734375" defaultRowHeight="14.4" outlineLevelRow="2" x14ac:dyDescent="0.3"/>
  <cols>
    <col min="1" max="1" width="9.109375"/>
    <col min="2" max="2" width="24.6640625" customWidth="1"/>
    <col min="3" max="3" width="9.109375"/>
    <col min="4" max="5" width="10.6640625" customWidth="1"/>
    <col min="6" max="7" width="9.109375"/>
    <col min="8" max="8" width="1.6640625" customWidth="1"/>
    <col min="9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09375"/>
    <col min="19" max="22" width="12.6640625" customWidth="1"/>
    <col min="23" max="27" width="11.6640625" customWidth="1"/>
    <col min="28" max="31" width="9.109375"/>
    <col min="32" max="32" width="1.6640625" customWidth="1"/>
    <col min="33" max="33" width="9.10937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09375"/>
    <col min="43" max="46" width="12.6640625" customWidth="1"/>
    <col min="47" max="51" width="11.6640625" customWidth="1"/>
    <col min="52" max="55" width="9.109375"/>
    <col min="56" max="56" width="1.6640625" customWidth="1"/>
    <col min="57" max="59" width="9.109375"/>
    <col min="60" max="60" width="1.6640625" customWidth="1"/>
    <col min="61" max="62" width="9.109375"/>
    <col min="63" max="65" width="11.6640625" customWidth="1"/>
    <col min="66" max="66" width="1.6640625" customWidth="1"/>
    <col min="67" max="68" width="9.109375"/>
    <col min="69" max="71" width="11.6640625" customWidth="1"/>
    <col min="72" max="72" width="1.6640625" customWidth="1"/>
  </cols>
  <sheetData>
    <row r="1" spans="1:73" x14ac:dyDescent="0.3">
      <c r="A1" s="73" t="s">
        <v>528</v>
      </c>
      <c r="B1" s="73"/>
      <c r="C1" s="73"/>
      <c r="D1" s="73"/>
      <c r="E1" s="73"/>
      <c r="F1" s="73"/>
      <c r="G1" s="73"/>
      <c r="I1" s="69" t="s">
        <v>2</v>
      </c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G1" s="70" t="s">
        <v>3</v>
      </c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</row>
    <row r="2" spans="1:73" ht="30" customHeight="1" x14ac:dyDescent="0.3">
      <c r="A2" s="75" t="s">
        <v>93</v>
      </c>
      <c r="B2" s="74" t="s">
        <v>96</v>
      </c>
      <c r="C2" s="75" t="s">
        <v>99</v>
      </c>
      <c r="D2" s="74" t="s">
        <v>102</v>
      </c>
      <c r="E2" s="75" t="s">
        <v>105</v>
      </c>
      <c r="F2" s="74" t="s">
        <v>108</v>
      </c>
      <c r="G2" s="75" t="s">
        <v>111</v>
      </c>
      <c r="I2" s="74" t="s">
        <v>114</v>
      </c>
      <c r="J2" s="72" t="s">
        <v>117</v>
      </c>
      <c r="K2" s="72"/>
      <c r="L2" s="72"/>
      <c r="M2" s="72"/>
      <c r="N2" s="75" t="s">
        <v>130</v>
      </c>
      <c r="O2" s="74" t="s">
        <v>133</v>
      </c>
      <c r="P2" s="75" t="s">
        <v>24</v>
      </c>
      <c r="Q2" s="74" t="s">
        <v>26</v>
      </c>
      <c r="R2" s="75" t="s">
        <v>22</v>
      </c>
      <c r="S2" s="71" t="s">
        <v>142</v>
      </c>
      <c r="T2" s="71"/>
      <c r="U2" s="71"/>
      <c r="V2" s="71"/>
      <c r="W2" s="72" t="s">
        <v>153</v>
      </c>
      <c r="X2" s="72"/>
      <c r="Y2" s="71" t="s">
        <v>160</v>
      </c>
      <c r="Z2" s="71"/>
      <c r="AA2" s="71"/>
      <c r="AB2" s="72" t="s">
        <v>170</v>
      </c>
      <c r="AC2" s="72"/>
      <c r="AD2" s="71" t="s">
        <v>177</v>
      </c>
      <c r="AE2" s="71"/>
      <c r="AG2" s="75" t="s">
        <v>114</v>
      </c>
      <c r="AH2" s="71" t="s">
        <v>117</v>
      </c>
      <c r="AI2" s="71"/>
      <c r="AJ2" s="71"/>
      <c r="AK2" s="71"/>
      <c r="AL2" s="74" t="s">
        <v>192</v>
      </c>
      <c r="AM2" s="75" t="s">
        <v>133</v>
      </c>
      <c r="AN2" s="74" t="s">
        <v>24</v>
      </c>
      <c r="AO2" s="75" t="s">
        <v>26</v>
      </c>
      <c r="AP2" s="74" t="s">
        <v>22</v>
      </c>
      <c r="AQ2" s="72" t="s">
        <v>142</v>
      </c>
      <c r="AR2" s="72"/>
      <c r="AS2" s="72"/>
      <c r="AT2" s="72"/>
      <c r="AU2" s="71" t="s">
        <v>153</v>
      </c>
      <c r="AV2" s="71"/>
      <c r="AW2" s="72" t="s">
        <v>160</v>
      </c>
      <c r="AX2" s="72"/>
      <c r="AY2" s="72"/>
      <c r="AZ2" s="71" t="s">
        <v>170</v>
      </c>
      <c r="BA2" s="71"/>
      <c r="BB2" s="72" t="s">
        <v>177</v>
      </c>
      <c r="BC2" s="72"/>
      <c r="BE2" s="74" t="s">
        <v>229</v>
      </c>
      <c r="BF2" s="75" t="s">
        <v>232</v>
      </c>
      <c r="BG2" s="74" t="s">
        <v>232</v>
      </c>
      <c r="BI2" s="72" t="s">
        <v>237</v>
      </c>
      <c r="BJ2" s="72"/>
      <c r="BK2" s="71" t="s">
        <v>242</v>
      </c>
      <c r="BL2" s="71"/>
      <c r="BM2" s="71"/>
      <c r="BO2" s="72" t="s">
        <v>249</v>
      </c>
      <c r="BP2" s="72"/>
      <c r="BQ2" s="71" t="s">
        <v>254</v>
      </c>
      <c r="BR2" s="71"/>
      <c r="BS2" s="71"/>
      <c r="BU2" t="s">
        <v>550</v>
      </c>
    </row>
    <row r="3" spans="1:73" ht="15" thickBot="1" x14ac:dyDescent="0.35">
      <c r="A3" s="75"/>
      <c r="B3" s="74"/>
      <c r="C3" s="75"/>
      <c r="D3" s="74"/>
      <c r="E3" s="75"/>
      <c r="F3" s="74"/>
      <c r="G3" s="75"/>
      <c r="I3" s="74"/>
      <c r="J3" s="11" t="s">
        <v>118</v>
      </c>
      <c r="K3" s="11" t="s">
        <v>121</v>
      </c>
      <c r="L3" s="11" t="s">
        <v>124</v>
      </c>
      <c r="M3" s="11" t="s">
        <v>127</v>
      </c>
      <c r="N3" s="75"/>
      <c r="O3" s="74"/>
      <c r="P3" s="75"/>
      <c r="Q3" s="74"/>
      <c r="R3" s="75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5"/>
      <c r="AH3" s="12" t="s">
        <v>118</v>
      </c>
      <c r="AI3" s="12" t="s">
        <v>121</v>
      </c>
      <c r="AJ3" s="12" t="s">
        <v>124</v>
      </c>
      <c r="AK3" s="12" t="s">
        <v>127</v>
      </c>
      <c r="AL3" s="74"/>
      <c r="AM3" s="75"/>
      <c r="AN3" s="74"/>
      <c r="AO3" s="75"/>
      <c r="AP3" s="74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74"/>
      <c r="BF3" s="75"/>
      <c r="BG3" s="74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7.2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238146391</v>
      </c>
      <c r="E5" s="16">
        <v>10</v>
      </c>
      <c r="F5" s="16">
        <v>300</v>
      </c>
      <c r="G5" s="16">
        <v>30</v>
      </c>
      <c r="I5" s="17" t="str">
        <f t="shared" ref="I5:I29" si="0">IF(OR(ISBLANK(S5),ISBLANK(G5)),"·",S5*G5/F5/1000000)</f>
        <v>·</v>
      </c>
      <c r="J5" s="18" t="str">
        <f t="shared" ref="J5:J29" si="1">IF(ISBLANK(S5),"·",S5/D5)</f>
        <v>·</v>
      </c>
      <c r="K5" s="18" t="str">
        <f t="shared" ref="K5:K29" si="2">IF(N5="","·",N5/D5)</f>
        <v>·</v>
      </c>
      <c r="L5" s="18" t="str">
        <f t="shared" ref="L5:L29" si="3">IF(T5="","·",T5/D5)</f>
        <v>·</v>
      </c>
      <c r="M5" s="18" t="str">
        <f t="shared" ref="M5:M29" si="4">IF(ISBLANK(V5),"·",V5/D5)</f>
        <v>·</v>
      </c>
      <c r="N5" s="15" t="str">
        <f t="shared" ref="N5:N29" si="5">IF(OR(ISBLANK(T5),ISBLANK(U5)),"",T5+U5)</f>
        <v/>
      </c>
      <c r="O5" s="18" t="str">
        <f t="shared" ref="O5:O29" si="6">IF(ISBLANK(S5),"·",S5/P5)</f>
        <v>·</v>
      </c>
      <c r="P5" s="19"/>
      <c r="Q5" s="19"/>
      <c r="R5" s="19"/>
      <c r="S5" s="20"/>
      <c r="T5" s="20"/>
      <c r="U5" s="20"/>
      <c r="V5" s="20"/>
      <c r="W5" s="21"/>
      <c r="X5" s="21"/>
      <c r="Y5" s="21"/>
      <c r="Z5" s="21"/>
      <c r="AA5" s="21"/>
      <c r="AB5" s="22"/>
      <c r="AC5" s="22"/>
      <c r="AD5" s="22"/>
      <c r="AE5" s="22"/>
      <c r="AG5" s="17" t="str">
        <f t="shared" ref="AG5:AG29" si="7">IF(OR(ISBLANK(AQ5),ISBLANK(G5)),"·",AQ5*G5/F5/1000000)</f>
        <v>·</v>
      </c>
      <c r="AH5" s="18" t="str">
        <f t="shared" ref="AH5:AH29" si="8">IF(ISBLANK(AQ5),"·",AQ5/D5)</f>
        <v>·</v>
      </c>
      <c r="AI5" s="18" t="str">
        <f t="shared" ref="AI5:AI29" si="9">IF(AL5="","·",AL5/D5)</f>
        <v>·</v>
      </c>
      <c r="AJ5" s="18" t="str">
        <f t="shared" ref="AJ5:AJ29" si="10">IF(AR5="","·",AR5/D5)</f>
        <v>·</v>
      </c>
      <c r="AK5" s="18" t="str">
        <f t="shared" ref="AK5:AK29" si="11">IF(ISBLANK(AT5),"·",AT5/D5)</f>
        <v>·</v>
      </c>
      <c r="AL5" s="15" t="str">
        <f t="shared" ref="AL5:AL29" si="12">IF(OR(ISBLANK(AR5),ISBLANK(AS5)),"",AR5+AS5)</f>
        <v/>
      </c>
      <c r="AM5" s="18" t="str">
        <f t="shared" ref="AM5:AM29" si="13">IF(ISBLANK(AQ5),"·",AQ5/AN5)</f>
        <v>·</v>
      </c>
      <c r="AN5" s="19"/>
      <c r="AO5" s="19"/>
      <c r="AP5" s="19"/>
      <c r="AQ5" s="20"/>
      <c r="AR5" s="20"/>
      <c r="AS5" s="20"/>
      <c r="AT5" s="20"/>
      <c r="AU5" s="21"/>
      <c r="AV5" s="21"/>
      <c r="AW5" s="21"/>
      <c r="AX5" s="21"/>
      <c r="AY5" s="21"/>
      <c r="AZ5" s="22"/>
      <c r="BA5" s="22"/>
      <c r="BB5" s="22"/>
      <c r="BC5" s="22"/>
      <c r="BE5" s="23" t="e">
        <f t="shared" ref="BE5:BE29" si="14">(AP5/AO5) - (R5/Q5)</f>
        <v>#DIV/0!</v>
      </c>
      <c r="BF5" s="23" t="e">
        <f t="shared" ref="BF5:BF29" si="15">(AL5/AQ5) - (N5/S5)</f>
        <v>#VALUE!</v>
      </c>
      <c r="BG5" s="23" t="e">
        <f t="array" ref="BG5">AVERAGE(AL5:AL9/AQ5:AQ9) - AVERAGE(N5:N9/S5:S9)</f>
        <v>#VALUE!</v>
      </c>
      <c r="BI5" s="58" t="str">
        <f>IF( OR(ISBLANK(N5:N9),ISBLANK(AL5:AL9), ISBLANK(W5:W9),ISBLANK(AU5:AU9)), "·", bdRateExtend( N5:N9,W5:W9, AL5:AL9,AU5:AU9))</f>
        <v>·</v>
      </c>
      <c r="BJ5" s="58" t="str">
        <f>IF( OR(ISBLANK(N5:N9),ISBLANK(AL5:AL9), ISBLANK(X5:X9),ISBLANK(AV5:AV9)), "·", bdRateExtend( N5:N9,X5:X9, AL5:AL9,AV5:AV9))</f>
        <v>·</v>
      </c>
      <c r="BK5" s="58" t="str">
        <f>IF( OR(ISBLANK(V5:V9),ISBLANK(AT5:AT9), ISBLANK(Y5:Y9),ISBLANK(AW5:AW9)), "·", bdRateExtend( V5:V9,Y5:Y9, AT5:AT9,AW5:AW9))</f>
        <v>·</v>
      </c>
      <c r="BL5" s="58" t="str">
        <f>IF( OR(ISBLANK(V5:V9),ISBLANK(AT5:AT9), ISBLANK(Z5:Z9),ISBLANK(AX5:AX9)), "·", bdRateExtend( V5:V9,Z5:Z9, AT5:AT9,AX5:AX9))</f>
        <v>·</v>
      </c>
      <c r="BM5" s="58" t="str">
        <f>IF( OR(ISBLANK(V5:V9),ISBLANK(AT5:AT9), ISBLANK(AA5:AA9),ISBLANK(AY5:AY9)), "·", bdRateExtend( V5:V9,AA5:AA9, AT5:AT9,AY5:AY9))</f>
        <v>·</v>
      </c>
      <c r="BN5" s="59"/>
      <c r="BO5" s="58" t="str">
        <f>IF( OR(ISBLANK(S5:S9),ISBLANK(AQ5:AQ9), ISBLANK(W5:W9),ISBLANK(AU5:AU9)), "·", bdRateExtend( S5:S9,W5:W9, AQ5:AQ9,AU5:AU9))</f>
        <v>·</v>
      </c>
      <c r="BP5" s="58" t="str">
        <f>IF( OR(ISBLANK(S5:S9),ISBLANK(AQ5:AQ9), ISBLANK(X5:X9),ISBLANK(AV5:AV9)), "·", bdRateExtend( S5:S9,X5:X9, AQ5:AQ9,AV5:AV9))</f>
        <v>·</v>
      </c>
      <c r="BQ5" s="58" t="str">
        <f>IF( OR(ISBLANK(S5:S9),ISBLANK(AQ5:AQ9), ISBLANK(Y5:Y9),ISBLANK(AW5:AW9)), "·", bdRateExtend( S5:S9,Y5:Y9, AQ5:AQ9,AW5:AW9))</f>
        <v>·</v>
      </c>
      <c r="BR5" s="58" t="str">
        <f>IF( OR(ISBLANK(S5:S9),ISBLANK(AQ5:AQ9), ISBLANK(Z5:Z9),ISBLANK(AX5:AX9)), "·", bdRateExtend( S5:S9,Z5:Z9, AQ5:AQ9,AX5:AX9))</f>
        <v>·</v>
      </c>
      <c r="BS5" s="58" t="str">
        <f>IF( OR(ISBLANK(S5:S9),ISBLANK(AQ5:AQ9), ISBLANK(AA5:AA9),ISBLANK(AY5:AY9)), "·", bdRateExtend( S5:S9,AA5:AA9, AQ5:AQ9,AY5:AY9))</f>
        <v>·</v>
      </c>
      <c r="BU5">
        <f>AQ5-S5</f>
        <v>0</v>
      </c>
    </row>
    <row r="6" spans="1:73" outlineLevel="1" x14ac:dyDescent="0.3">
      <c r="A6" s="25"/>
      <c r="B6" s="25" t="s">
        <v>266</v>
      </c>
      <c r="C6" s="26" t="s">
        <v>269</v>
      </c>
      <c r="D6" s="25">
        <v>238146391</v>
      </c>
      <c r="E6" s="26">
        <v>10</v>
      </c>
      <c r="F6" s="26">
        <v>300</v>
      </c>
      <c r="G6" s="26">
        <v>30</v>
      </c>
      <c r="I6" s="27" t="str">
        <f t="shared" si="0"/>
        <v>·</v>
      </c>
      <c r="J6" s="28" t="str">
        <f t="shared" si="1"/>
        <v>·</v>
      </c>
      <c r="K6" s="28" t="str">
        <f t="shared" si="2"/>
        <v>·</v>
      </c>
      <c r="L6" s="28" t="str">
        <f t="shared" si="3"/>
        <v>·</v>
      </c>
      <c r="M6" s="28" t="str">
        <f t="shared" si="4"/>
        <v>·</v>
      </c>
      <c r="N6" s="25" t="str">
        <f t="shared" si="5"/>
        <v/>
      </c>
      <c r="O6" s="28" t="str">
        <f t="shared" si="6"/>
        <v>·</v>
      </c>
      <c r="P6" s="29"/>
      <c r="Q6" s="29"/>
      <c r="R6" s="29"/>
      <c r="S6" s="30"/>
      <c r="T6" s="30"/>
      <c r="U6" s="30"/>
      <c r="V6" s="30"/>
      <c r="W6" s="31"/>
      <c r="X6" s="31"/>
      <c r="Y6" s="31"/>
      <c r="Z6" s="31"/>
      <c r="AA6" s="31"/>
      <c r="AB6" s="32"/>
      <c r="AC6" s="32"/>
      <c r="AD6" s="32"/>
      <c r="AE6" s="32"/>
      <c r="AG6" s="27" t="str">
        <f t="shared" si="7"/>
        <v>·</v>
      </c>
      <c r="AH6" s="28" t="str">
        <f t="shared" si="8"/>
        <v>·</v>
      </c>
      <c r="AI6" s="28" t="str">
        <f t="shared" si="9"/>
        <v>·</v>
      </c>
      <c r="AJ6" s="28" t="str">
        <f t="shared" si="10"/>
        <v>·</v>
      </c>
      <c r="AK6" s="28" t="str">
        <f t="shared" si="11"/>
        <v>·</v>
      </c>
      <c r="AL6" s="25" t="str">
        <f t="shared" si="12"/>
        <v/>
      </c>
      <c r="AM6" s="28" t="str">
        <f t="shared" si="13"/>
        <v>·</v>
      </c>
      <c r="AN6" s="29"/>
      <c r="AO6" s="29"/>
      <c r="AP6" s="29"/>
      <c r="AQ6" s="30"/>
      <c r="AR6" s="30"/>
      <c r="AS6" s="30"/>
      <c r="AT6" s="30"/>
      <c r="AU6" s="31"/>
      <c r="AV6" s="31"/>
      <c r="AW6" s="31"/>
      <c r="AX6" s="31"/>
      <c r="AY6" s="31"/>
      <c r="AZ6" s="32"/>
      <c r="BA6" s="32"/>
      <c r="BB6" s="32"/>
      <c r="BC6" s="32"/>
      <c r="BE6" s="33" t="e">
        <f t="shared" si="14"/>
        <v>#DIV/0!</v>
      </c>
      <c r="BF6" s="33" t="e">
        <f t="shared" si="15"/>
        <v>#VALUE!</v>
      </c>
      <c r="BG6" s="33"/>
      <c r="BI6" s="60"/>
      <c r="BJ6" s="60"/>
      <c r="BK6" s="60"/>
      <c r="BL6" s="60"/>
      <c r="BM6" s="60"/>
      <c r="BN6" s="59"/>
      <c r="BO6" s="60"/>
      <c r="BP6" s="60"/>
      <c r="BQ6" s="60"/>
      <c r="BR6" s="60"/>
      <c r="BS6" s="60"/>
      <c r="BU6" s="4">
        <f t="shared" ref="BU6:BU29" si="16">AQ6-S6</f>
        <v>0</v>
      </c>
    </row>
    <row r="7" spans="1:73" outlineLevel="1" x14ac:dyDescent="0.3">
      <c r="A7" s="15"/>
      <c r="B7" s="15" t="s">
        <v>266</v>
      </c>
      <c r="C7" s="16" t="s">
        <v>270</v>
      </c>
      <c r="D7" s="15">
        <v>238146391</v>
      </c>
      <c r="E7" s="16">
        <v>10</v>
      </c>
      <c r="F7" s="16">
        <v>300</v>
      </c>
      <c r="G7" s="16">
        <v>30</v>
      </c>
      <c r="I7" s="17" t="str">
        <f t="shared" si="0"/>
        <v>·</v>
      </c>
      <c r="J7" s="18" t="str">
        <f t="shared" si="1"/>
        <v>·</v>
      </c>
      <c r="K7" s="18" t="str">
        <f t="shared" si="2"/>
        <v>·</v>
      </c>
      <c r="L7" s="18" t="str">
        <f t="shared" si="3"/>
        <v>·</v>
      </c>
      <c r="M7" s="18" t="str">
        <f t="shared" si="4"/>
        <v>·</v>
      </c>
      <c r="N7" s="15" t="str">
        <f t="shared" si="5"/>
        <v/>
      </c>
      <c r="O7" s="18" t="str">
        <f t="shared" si="6"/>
        <v>·</v>
      </c>
      <c r="P7" s="19"/>
      <c r="Q7" s="19"/>
      <c r="R7" s="19"/>
      <c r="S7" s="20"/>
      <c r="T7" s="20"/>
      <c r="U7" s="20"/>
      <c r="V7" s="20"/>
      <c r="W7" s="21"/>
      <c r="X7" s="21"/>
      <c r="Y7" s="21"/>
      <c r="Z7" s="21"/>
      <c r="AA7" s="21"/>
      <c r="AB7" s="22"/>
      <c r="AC7" s="22"/>
      <c r="AD7" s="22"/>
      <c r="AE7" s="22"/>
      <c r="AG7" s="17" t="str">
        <f t="shared" si="7"/>
        <v>·</v>
      </c>
      <c r="AH7" s="18" t="str">
        <f t="shared" si="8"/>
        <v>·</v>
      </c>
      <c r="AI7" s="18" t="str">
        <f t="shared" si="9"/>
        <v>·</v>
      </c>
      <c r="AJ7" s="18" t="str">
        <f t="shared" si="10"/>
        <v>·</v>
      </c>
      <c r="AK7" s="18" t="str">
        <f t="shared" si="11"/>
        <v>·</v>
      </c>
      <c r="AL7" s="15" t="str">
        <f t="shared" si="12"/>
        <v/>
      </c>
      <c r="AM7" s="18" t="str">
        <f t="shared" si="13"/>
        <v>·</v>
      </c>
      <c r="AN7" s="19"/>
      <c r="AO7" s="19"/>
      <c r="AP7" s="19"/>
      <c r="AQ7" s="20"/>
      <c r="AR7" s="20"/>
      <c r="AS7" s="20"/>
      <c r="AT7" s="20"/>
      <c r="AU7" s="21"/>
      <c r="AV7" s="21"/>
      <c r="AW7" s="21"/>
      <c r="AX7" s="21"/>
      <c r="AY7" s="21"/>
      <c r="AZ7" s="22"/>
      <c r="BA7" s="22"/>
      <c r="BB7" s="22"/>
      <c r="BC7" s="22"/>
      <c r="BE7" s="23" t="e">
        <f t="shared" si="14"/>
        <v>#DIV/0!</v>
      </c>
      <c r="BF7" s="23" t="e">
        <f t="shared" si="15"/>
        <v>#VALUE!</v>
      </c>
      <c r="BG7" s="23"/>
      <c r="BI7" s="58"/>
      <c r="BJ7" s="58"/>
      <c r="BK7" s="58"/>
      <c r="BL7" s="58"/>
      <c r="BM7" s="58"/>
      <c r="BN7" s="59"/>
      <c r="BO7" s="58"/>
      <c r="BP7" s="58"/>
      <c r="BQ7" s="58"/>
      <c r="BR7" s="58"/>
      <c r="BS7" s="58"/>
      <c r="BU7" s="4">
        <f t="shared" si="16"/>
        <v>0</v>
      </c>
    </row>
    <row r="8" spans="1:73" outlineLevel="1" x14ac:dyDescent="0.3">
      <c r="A8" s="25"/>
      <c r="B8" s="25" t="s">
        <v>266</v>
      </c>
      <c r="C8" s="26" t="s">
        <v>271</v>
      </c>
      <c r="D8" s="25">
        <v>238146391</v>
      </c>
      <c r="E8" s="26">
        <v>10</v>
      </c>
      <c r="F8" s="26">
        <v>300</v>
      </c>
      <c r="G8" s="26">
        <v>30</v>
      </c>
      <c r="I8" s="27" t="str">
        <f t="shared" si="0"/>
        <v>·</v>
      </c>
      <c r="J8" s="28" t="str">
        <f t="shared" si="1"/>
        <v>·</v>
      </c>
      <c r="K8" s="28" t="str">
        <f t="shared" si="2"/>
        <v>·</v>
      </c>
      <c r="L8" s="28" t="str">
        <f t="shared" si="3"/>
        <v>·</v>
      </c>
      <c r="M8" s="28" t="str">
        <f t="shared" si="4"/>
        <v>·</v>
      </c>
      <c r="N8" s="25" t="str">
        <f t="shared" si="5"/>
        <v/>
      </c>
      <c r="O8" s="28" t="str">
        <f t="shared" si="6"/>
        <v>·</v>
      </c>
      <c r="P8" s="29"/>
      <c r="Q8" s="29"/>
      <c r="R8" s="29"/>
      <c r="S8" s="30"/>
      <c r="T8" s="30"/>
      <c r="U8" s="30"/>
      <c r="V8" s="30"/>
      <c r="W8" s="31"/>
      <c r="X8" s="31"/>
      <c r="Y8" s="31"/>
      <c r="Z8" s="31"/>
      <c r="AA8" s="31"/>
      <c r="AB8" s="32"/>
      <c r="AC8" s="32"/>
      <c r="AD8" s="32"/>
      <c r="AE8" s="32"/>
      <c r="AG8" s="27" t="str">
        <f t="shared" si="7"/>
        <v>·</v>
      </c>
      <c r="AH8" s="28" t="str">
        <f t="shared" si="8"/>
        <v>·</v>
      </c>
      <c r="AI8" s="28" t="str">
        <f t="shared" si="9"/>
        <v>·</v>
      </c>
      <c r="AJ8" s="28" t="str">
        <f t="shared" si="10"/>
        <v>·</v>
      </c>
      <c r="AK8" s="28" t="str">
        <f t="shared" si="11"/>
        <v>·</v>
      </c>
      <c r="AL8" s="25" t="str">
        <f t="shared" si="12"/>
        <v/>
      </c>
      <c r="AM8" s="28" t="str">
        <f t="shared" si="13"/>
        <v>·</v>
      </c>
      <c r="AN8" s="29"/>
      <c r="AO8" s="29"/>
      <c r="AP8" s="29"/>
      <c r="AQ8" s="30"/>
      <c r="AR8" s="30"/>
      <c r="AS8" s="30"/>
      <c r="AT8" s="30"/>
      <c r="AU8" s="31"/>
      <c r="AV8" s="31"/>
      <c r="AW8" s="31"/>
      <c r="AX8" s="31"/>
      <c r="AY8" s="31"/>
      <c r="AZ8" s="32"/>
      <c r="BA8" s="32"/>
      <c r="BB8" s="32"/>
      <c r="BC8" s="32"/>
      <c r="BE8" s="33" t="e">
        <f t="shared" si="14"/>
        <v>#DIV/0!</v>
      </c>
      <c r="BF8" s="33" t="e">
        <f t="shared" si="15"/>
        <v>#VALUE!</v>
      </c>
      <c r="BG8" s="33"/>
      <c r="BI8" s="60"/>
      <c r="BJ8" s="60"/>
      <c r="BK8" s="60"/>
      <c r="BL8" s="60"/>
      <c r="BM8" s="60"/>
      <c r="BN8" s="59"/>
      <c r="BO8" s="60"/>
      <c r="BP8" s="60"/>
      <c r="BQ8" s="60"/>
      <c r="BR8" s="60"/>
      <c r="BS8" s="60"/>
      <c r="BU8" s="4">
        <f t="shared" si="16"/>
        <v>0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238146391</v>
      </c>
      <c r="E9" s="36">
        <v>10</v>
      </c>
      <c r="F9" s="36">
        <v>300</v>
      </c>
      <c r="G9" s="36">
        <v>30</v>
      </c>
      <c r="I9" s="37" t="str">
        <f t="shared" si="0"/>
        <v>·</v>
      </c>
      <c r="J9" s="38" t="str">
        <f t="shared" si="1"/>
        <v>·</v>
      </c>
      <c r="K9" s="38" t="str">
        <f t="shared" si="2"/>
        <v>·</v>
      </c>
      <c r="L9" s="38" t="str">
        <f t="shared" si="3"/>
        <v>·</v>
      </c>
      <c r="M9" s="38" t="str">
        <f t="shared" si="4"/>
        <v>·</v>
      </c>
      <c r="N9" s="35" t="str">
        <f t="shared" si="5"/>
        <v/>
      </c>
      <c r="O9" s="38" t="str">
        <f t="shared" si="6"/>
        <v>·</v>
      </c>
      <c r="P9" s="39"/>
      <c r="Q9" s="39"/>
      <c r="R9" s="39"/>
      <c r="S9" s="40"/>
      <c r="T9" s="40"/>
      <c r="U9" s="40"/>
      <c r="V9" s="40"/>
      <c r="W9" s="41"/>
      <c r="X9" s="41"/>
      <c r="Y9" s="41"/>
      <c r="Z9" s="41"/>
      <c r="AA9" s="41"/>
      <c r="AB9" s="42"/>
      <c r="AC9" s="42"/>
      <c r="AD9" s="42"/>
      <c r="AE9" s="42"/>
      <c r="AG9" s="37" t="str">
        <f t="shared" si="7"/>
        <v>·</v>
      </c>
      <c r="AH9" s="38" t="str">
        <f t="shared" si="8"/>
        <v>·</v>
      </c>
      <c r="AI9" s="38" t="str">
        <f t="shared" si="9"/>
        <v>·</v>
      </c>
      <c r="AJ9" s="38" t="str">
        <f t="shared" si="10"/>
        <v>·</v>
      </c>
      <c r="AK9" s="38" t="str">
        <f t="shared" si="11"/>
        <v>·</v>
      </c>
      <c r="AL9" s="35" t="str">
        <f t="shared" si="12"/>
        <v/>
      </c>
      <c r="AM9" s="38" t="str">
        <f t="shared" si="13"/>
        <v>·</v>
      </c>
      <c r="AN9" s="39"/>
      <c r="AO9" s="39"/>
      <c r="AP9" s="39"/>
      <c r="AQ9" s="40"/>
      <c r="AR9" s="40"/>
      <c r="AS9" s="40"/>
      <c r="AT9" s="40"/>
      <c r="AU9" s="41"/>
      <c r="AV9" s="41"/>
      <c r="AW9" s="41"/>
      <c r="AX9" s="41"/>
      <c r="AY9" s="41"/>
      <c r="AZ9" s="42"/>
      <c r="BA9" s="42"/>
      <c r="BB9" s="42"/>
      <c r="BC9" s="42"/>
      <c r="BE9" s="43" t="e">
        <f t="shared" si="14"/>
        <v>#DIV/0!</v>
      </c>
      <c r="BF9" s="43" t="e">
        <f t="shared" si="15"/>
        <v>#VALUE!</v>
      </c>
      <c r="BG9" s="43"/>
      <c r="BI9" s="61"/>
      <c r="BJ9" s="61"/>
      <c r="BK9" s="61"/>
      <c r="BL9" s="61"/>
      <c r="BM9" s="61"/>
      <c r="BN9" s="59"/>
      <c r="BO9" s="61"/>
      <c r="BP9" s="61"/>
      <c r="BQ9" s="61"/>
      <c r="BR9" s="61"/>
      <c r="BS9" s="61"/>
      <c r="BU9" s="4">
        <f t="shared" si="16"/>
        <v>0</v>
      </c>
    </row>
    <row r="10" spans="1:73" x14ac:dyDescent="0.3">
      <c r="A10" s="25"/>
      <c r="B10" s="25" t="s">
        <v>275</v>
      </c>
      <c r="C10" s="26" t="s">
        <v>268</v>
      </c>
      <c r="D10" s="25">
        <v>218121242</v>
      </c>
      <c r="E10" s="26">
        <v>10</v>
      </c>
      <c r="F10" s="26">
        <v>300</v>
      </c>
      <c r="G10" s="26">
        <v>30</v>
      </c>
      <c r="I10" s="27" t="str">
        <f t="shared" si="0"/>
        <v>·</v>
      </c>
      <c r="J10" s="28" t="str">
        <f t="shared" si="1"/>
        <v>·</v>
      </c>
      <c r="K10" s="28" t="str">
        <f t="shared" si="2"/>
        <v>·</v>
      </c>
      <c r="L10" s="28" t="str">
        <f t="shared" si="3"/>
        <v>·</v>
      </c>
      <c r="M10" s="28" t="str">
        <f t="shared" si="4"/>
        <v>·</v>
      </c>
      <c r="N10" s="25" t="str">
        <f t="shared" si="5"/>
        <v/>
      </c>
      <c r="O10" s="28" t="str">
        <f t="shared" si="6"/>
        <v>·</v>
      </c>
      <c r="P10" s="29"/>
      <c r="Q10" s="29"/>
      <c r="R10" s="29"/>
      <c r="S10" s="30"/>
      <c r="T10" s="30"/>
      <c r="U10" s="30"/>
      <c r="V10" s="30"/>
      <c r="W10" s="31"/>
      <c r="X10" s="31"/>
      <c r="Y10" s="31"/>
      <c r="Z10" s="31"/>
      <c r="AA10" s="31"/>
      <c r="AB10" s="32"/>
      <c r="AC10" s="32"/>
      <c r="AD10" s="32"/>
      <c r="AE10" s="32"/>
      <c r="AG10" s="27" t="str">
        <f t="shared" si="7"/>
        <v>·</v>
      </c>
      <c r="AH10" s="28" t="str">
        <f t="shared" si="8"/>
        <v>·</v>
      </c>
      <c r="AI10" s="28" t="str">
        <f t="shared" si="9"/>
        <v>·</v>
      </c>
      <c r="AJ10" s="28" t="str">
        <f t="shared" si="10"/>
        <v>·</v>
      </c>
      <c r="AK10" s="28" t="str">
        <f t="shared" si="11"/>
        <v>·</v>
      </c>
      <c r="AL10" s="25" t="str">
        <f t="shared" si="12"/>
        <v/>
      </c>
      <c r="AM10" s="28" t="str">
        <f t="shared" si="13"/>
        <v>·</v>
      </c>
      <c r="AN10" s="29"/>
      <c r="AO10" s="29"/>
      <c r="AP10" s="29"/>
      <c r="AQ10" s="30"/>
      <c r="AR10" s="30"/>
      <c r="AS10" s="30"/>
      <c r="AT10" s="30"/>
      <c r="AU10" s="31"/>
      <c r="AV10" s="31"/>
      <c r="AW10" s="31"/>
      <c r="AX10" s="31"/>
      <c r="AY10" s="31"/>
      <c r="AZ10" s="32"/>
      <c r="BA10" s="32"/>
      <c r="BB10" s="32"/>
      <c r="BC10" s="32"/>
      <c r="BE10" s="33" t="e">
        <f t="shared" si="14"/>
        <v>#DIV/0!</v>
      </c>
      <c r="BF10" s="33" t="e">
        <f t="shared" si="15"/>
        <v>#VALUE!</v>
      </c>
      <c r="BG10" s="33" t="e">
        <f t="array" ref="BG10">AVERAGE(AL10:AL14/AQ10:AQ14) - AVERAGE(N10:N14/S10:S14)</f>
        <v>#VALUE!</v>
      </c>
      <c r="BI10" s="60" t="str">
        <f>IF( OR(ISBLANK(N10:N14),ISBLANK(AL10:AL14), ISBLANK(W10:W14),ISBLANK(AU10:AU14)), "·", bdRateExtend( N10:N14,W10:W14, AL10:AL14,AU10:AU14))</f>
        <v>·</v>
      </c>
      <c r="BJ10" s="60" t="str">
        <f>IF( OR(ISBLANK(N10:N14),ISBLANK(AL10:AL14), ISBLANK(X10:X14),ISBLANK(AV10:AV14)), "·", bdRateExtend( N10:N14,X10:X14, AL10:AL14,AV10:AV14))</f>
        <v>·</v>
      </c>
      <c r="BK10" s="60" t="str">
        <f>IF( OR(ISBLANK(V10:V14),ISBLANK(AT10:AT14), ISBLANK(Y10:Y14),ISBLANK(AW10:AW14)), "·", bdRateExtend( V10:V14,Y10:Y14, AT10:AT14,AW10:AW14))</f>
        <v>·</v>
      </c>
      <c r="BL10" s="60" t="str">
        <f>IF( OR(ISBLANK(V10:V14),ISBLANK(AT10:AT14), ISBLANK(Z10:Z14),ISBLANK(AX10:AX14)), "·", bdRateExtend( V10:V14,Z10:Z14, AT10:AT14,AX10:AX14))</f>
        <v>·</v>
      </c>
      <c r="BM10" s="60" t="str">
        <f>IF( OR(ISBLANK(V10:V14),ISBLANK(AT10:AT14), ISBLANK(AA10:AA14),ISBLANK(AY10:AY14)), "·", bdRateExtend( V10:V14,AA10:AA14, AT10:AT14,AY10:AY14))</f>
        <v>·</v>
      </c>
      <c r="BN10" s="59"/>
      <c r="BO10" s="60" t="str">
        <f>IF( OR(ISBLANK(S10:S14),ISBLANK(AQ10:AQ14), ISBLANK(W10:W14),ISBLANK(AU10:AU14)), "·", bdRateExtend( S10:S14,W10:W14, AQ10:AQ14,AU10:AU14))</f>
        <v>·</v>
      </c>
      <c r="BP10" s="60" t="str">
        <f>IF( OR(ISBLANK(S10:S14),ISBLANK(AQ10:AQ14), ISBLANK(X10:X14),ISBLANK(AV10:AV14)), "·", bdRateExtend( S10:S14,X10:X14, AQ10:AQ14,AV10:AV14))</f>
        <v>·</v>
      </c>
      <c r="BQ10" s="60" t="str">
        <f>IF( OR(ISBLANK(S10:S14),ISBLANK(AQ10:AQ14), ISBLANK(Y10:Y14),ISBLANK(AW10:AW14)), "·", bdRateExtend( S10:S14,Y10:Y14, AQ10:AQ14,AW10:AW14))</f>
        <v>·</v>
      </c>
      <c r="BR10" s="60" t="str">
        <f>IF( OR(ISBLANK(S10:S14),ISBLANK(AQ10:AQ14), ISBLANK(Z10:Z14),ISBLANK(AX10:AX14)), "·", bdRateExtend( S10:S14,Z10:Z14, AQ10:AQ14,AX10:AX14))</f>
        <v>·</v>
      </c>
      <c r="BS10" s="60" t="str">
        <f>IF( OR(ISBLANK(S10:S14),ISBLANK(AQ10:AQ14), ISBLANK(AA10:AA14),ISBLANK(AY10:AY14)), "·", bdRateExtend( S10:S14,AA10:AA14, AQ10:AQ14,AY10:AY14))</f>
        <v>·</v>
      </c>
      <c r="BU10" s="4">
        <f t="shared" si="16"/>
        <v>0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218121242</v>
      </c>
      <c r="E11" s="16">
        <v>10</v>
      </c>
      <c r="F11" s="16">
        <v>300</v>
      </c>
      <c r="G11" s="16">
        <v>30</v>
      </c>
      <c r="I11" s="17" t="str">
        <f t="shared" si="0"/>
        <v>·</v>
      </c>
      <c r="J11" s="18" t="str">
        <f t="shared" si="1"/>
        <v>·</v>
      </c>
      <c r="K11" s="18" t="str">
        <f t="shared" si="2"/>
        <v>·</v>
      </c>
      <c r="L11" s="18" t="str">
        <f t="shared" si="3"/>
        <v>·</v>
      </c>
      <c r="M11" s="18" t="str">
        <f t="shared" si="4"/>
        <v>·</v>
      </c>
      <c r="N11" s="15" t="str">
        <f t="shared" si="5"/>
        <v/>
      </c>
      <c r="O11" s="18" t="str">
        <f t="shared" si="6"/>
        <v>·</v>
      </c>
      <c r="P11" s="19"/>
      <c r="Q11" s="19"/>
      <c r="R11" s="19"/>
      <c r="S11" s="20"/>
      <c r="T11" s="20"/>
      <c r="U11" s="20"/>
      <c r="V11" s="20"/>
      <c r="W11" s="21"/>
      <c r="X11" s="21"/>
      <c r="Y11" s="21"/>
      <c r="Z11" s="21"/>
      <c r="AA11" s="21"/>
      <c r="AB11" s="22"/>
      <c r="AC11" s="22"/>
      <c r="AD11" s="22"/>
      <c r="AE11" s="22"/>
      <c r="AG11" s="17" t="str">
        <f t="shared" si="7"/>
        <v>·</v>
      </c>
      <c r="AH11" s="18" t="str">
        <f t="shared" si="8"/>
        <v>·</v>
      </c>
      <c r="AI11" s="18" t="str">
        <f t="shared" si="9"/>
        <v>·</v>
      </c>
      <c r="AJ11" s="18" t="str">
        <f t="shared" si="10"/>
        <v>·</v>
      </c>
      <c r="AK11" s="18" t="str">
        <f t="shared" si="11"/>
        <v>·</v>
      </c>
      <c r="AL11" s="15" t="str">
        <f t="shared" si="12"/>
        <v/>
      </c>
      <c r="AM11" s="18" t="str">
        <f t="shared" si="13"/>
        <v>·</v>
      </c>
      <c r="AN11" s="19"/>
      <c r="AO11" s="19"/>
      <c r="AP11" s="19"/>
      <c r="AQ11" s="20"/>
      <c r="AR11" s="20"/>
      <c r="AS11" s="20"/>
      <c r="AT11" s="20"/>
      <c r="AU11" s="21"/>
      <c r="AV11" s="21"/>
      <c r="AW11" s="21"/>
      <c r="AX11" s="21"/>
      <c r="AY11" s="21"/>
      <c r="AZ11" s="22"/>
      <c r="BA11" s="22"/>
      <c r="BB11" s="22"/>
      <c r="BC11" s="22"/>
      <c r="BE11" s="23" t="e">
        <f t="shared" si="14"/>
        <v>#DIV/0!</v>
      </c>
      <c r="BF11" s="23" t="e">
        <f t="shared" si="15"/>
        <v>#VALUE!</v>
      </c>
      <c r="BG11" s="23"/>
      <c r="BI11" s="58"/>
      <c r="BJ11" s="58"/>
      <c r="BK11" s="58"/>
      <c r="BL11" s="58"/>
      <c r="BM11" s="58"/>
      <c r="BN11" s="59"/>
      <c r="BO11" s="58"/>
      <c r="BP11" s="58"/>
      <c r="BQ11" s="58"/>
      <c r="BR11" s="58"/>
      <c r="BS11" s="58"/>
      <c r="BU11" s="4">
        <f t="shared" si="16"/>
        <v>0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218121242</v>
      </c>
      <c r="E12" s="26">
        <v>10</v>
      </c>
      <c r="F12" s="26">
        <v>300</v>
      </c>
      <c r="G12" s="26">
        <v>30</v>
      </c>
      <c r="I12" s="27" t="str">
        <f t="shared" si="0"/>
        <v>·</v>
      </c>
      <c r="J12" s="28" t="str">
        <f t="shared" si="1"/>
        <v>·</v>
      </c>
      <c r="K12" s="28" t="str">
        <f t="shared" si="2"/>
        <v>·</v>
      </c>
      <c r="L12" s="28" t="str">
        <f t="shared" si="3"/>
        <v>·</v>
      </c>
      <c r="M12" s="28" t="str">
        <f t="shared" si="4"/>
        <v>·</v>
      </c>
      <c r="N12" s="25" t="str">
        <f t="shared" si="5"/>
        <v/>
      </c>
      <c r="O12" s="28" t="str">
        <f t="shared" si="6"/>
        <v>·</v>
      </c>
      <c r="P12" s="29"/>
      <c r="Q12" s="29"/>
      <c r="R12" s="29"/>
      <c r="S12" s="30"/>
      <c r="T12" s="30"/>
      <c r="U12" s="30"/>
      <c r="V12" s="30"/>
      <c r="W12" s="31"/>
      <c r="X12" s="31"/>
      <c r="Y12" s="31"/>
      <c r="Z12" s="31"/>
      <c r="AA12" s="31"/>
      <c r="AB12" s="32"/>
      <c r="AC12" s="32"/>
      <c r="AD12" s="32"/>
      <c r="AE12" s="32"/>
      <c r="AG12" s="27" t="str">
        <f t="shared" si="7"/>
        <v>·</v>
      </c>
      <c r="AH12" s="28" t="str">
        <f t="shared" si="8"/>
        <v>·</v>
      </c>
      <c r="AI12" s="28" t="str">
        <f t="shared" si="9"/>
        <v>·</v>
      </c>
      <c r="AJ12" s="28" t="str">
        <f t="shared" si="10"/>
        <v>·</v>
      </c>
      <c r="AK12" s="28" t="str">
        <f t="shared" si="11"/>
        <v>·</v>
      </c>
      <c r="AL12" s="25" t="str">
        <f t="shared" si="12"/>
        <v/>
      </c>
      <c r="AM12" s="28" t="str">
        <f t="shared" si="13"/>
        <v>·</v>
      </c>
      <c r="AN12" s="29"/>
      <c r="AO12" s="29"/>
      <c r="AP12" s="29"/>
      <c r="AQ12" s="30"/>
      <c r="AR12" s="30"/>
      <c r="AS12" s="30"/>
      <c r="AT12" s="30"/>
      <c r="AU12" s="31"/>
      <c r="AV12" s="31"/>
      <c r="AW12" s="31"/>
      <c r="AX12" s="31"/>
      <c r="AY12" s="31"/>
      <c r="AZ12" s="32"/>
      <c r="BA12" s="32"/>
      <c r="BB12" s="32"/>
      <c r="BC12" s="32"/>
      <c r="BE12" s="33" t="e">
        <f t="shared" si="14"/>
        <v>#DIV/0!</v>
      </c>
      <c r="BF12" s="33" t="e">
        <f t="shared" si="15"/>
        <v>#VALUE!</v>
      </c>
      <c r="BG12" s="33"/>
      <c r="BI12" s="60"/>
      <c r="BJ12" s="60"/>
      <c r="BK12" s="60"/>
      <c r="BL12" s="60"/>
      <c r="BM12" s="60"/>
      <c r="BN12" s="59"/>
      <c r="BO12" s="60"/>
      <c r="BP12" s="60"/>
      <c r="BQ12" s="60"/>
      <c r="BR12" s="60"/>
      <c r="BS12" s="60"/>
      <c r="BU12" s="4">
        <f t="shared" si="16"/>
        <v>0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218121242</v>
      </c>
      <c r="E13" s="16">
        <v>10</v>
      </c>
      <c r="F13" s="16">
        <v>300</v>
      </c>
      <c r="G13" s="16">
        <v>30</v>
      </c>
      <c r="I13" s="17" t="str">
        <f t="shared" si="0"/>
        <v>·</v>
      </c>
      <c r="J13" s="18" t="str">
        <f t="shared" si="1"/>
        <v>·</v>
      </c>
      <c r="K13" s="18" t="str">
        <f t="shared" si="2"/>
        <v>·</v>
      </c>
      <c r="L13" s="18" t="str">
        <f t="shared" si="3"/>
        <v>·</v>
      </c>
      <c r="M13" s="18" t="str">
        <f t="shared" si="4"/>
        <v>·</v>
      </c>
      <c r="N13" s="15" t="str">
        <f t="shared" si="5"/>
        <v/>
      </c>
      <c r="O13" s="18" t="str">
        <f t="shared" si="6"/>
        <v>·</v>
      </c>
      <c r="P13" s="19"/>
      <c r="Q13" s="19"/>
      <c r="R13" s="19"/>
      <c r="S13" s="20"/>
      <c r="T13" s="20"/>
      <c r="U13" s="20"/>
      <c r="V13" s="20"/>
      <c r="W13" s="21"/>
      <c r="X13" s="21"/>
      <c r="Y13" s="21"/>
      <c r="Z13" s="21"/>
      <c r="AA13" s="21"/>
      <c r="AB13" s="22"/>
      <c r="AC13" s="22"/>
      <c r="AD13" s="22"/>
      <c r="AE13" s="22"/>
      <c r="AG13" s="17" t="str">
        <f t="shared" si="7"/>
        <v>·</v>
      </c>
      <c r="AH13" s="18" t="str">
        <f t="shared" si="8"/>
        <v>·</v>
      </c>
      <c r="AI13" s="18" t="str">
        <f t="shared" si="9"/>
        <v>·</v>
      </c>
      <c r="AJ13" s="18" t="str">
        <f t="shared" si="10"/>
        <v>·</v>
      </c>
      <c r="AK13" s="18" t="str">
        <f t="shared" si="11"/>
        <v>·</v>
      </c>
      <c r="AL13" s="15" t="str">
        <f t="shared" si="12"/>
        <v/>
      </c>
      <c r="AM13" s="18" t="str">
        <f t="shared" si="13"/>
        <v>·</v>
      </c>
      <c r="AN13" s="19"/>
      <c r="AO13" s="19"/>
      <c r="AP13" s="19"/>
      <c r="AQ13" s="20"/>
      <c r="AR13" s="20"/>
      <c r="AS13" s="20"/>
      <c r="AT13" s="20"/>
      <c r="AU13" s="21"/>
      <c r="AV13" s="21"/>
      <c r="AW13" s="21"/>
      <c r="AX13" s="21"/>
      <c r="AY13" s="21"/>
      <c r="AZ13" s="22"/>
      <c r="BA13" s="22"/>
      <c r="BB13" s="22"/>
      <c r="BC13" s="22"/>
      <c r="BE13" s="23" t="e">
        <f t="shared" si="14"/>
        <v>#DIV/0!</v>
      </c>
      <c r="BF13" s="23" t="e">
        <f t="shared" si="15"/>
        <v>#VALUE!</v>
      </c>
      <c r="BG13" s="23"/>
      <c r="BI13" s="58"/>
      <c r="BJ13" s="58"/>
      <c r="BK13" s="58"/>
      <c r="BL13" s="58"/>
      <c r="BM13" s="58"/>
      <c r="BN13" s="59"/>
      <c r="BO13" s="58"/>
      <c r="BP13" s="58"/>
      <c r="BQ13" s="58"/>
      <c r="BR13" s="58"/>
      <c r="BS13" s="58"/>
      <c r="BU13" s="4">
        <f t="shared" si="16"/>
        <v>0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218121242</v>
      </c>
      <c r="E14" s="46">
        <v>10</v>
      </c>
      <c r="F14" s="46">
        <v>300</v>
      </c>
      <c r="G14" s="46">
        <v>30</v>
      </c>
      <c r="I14" s="47" t="str">
        <f t="shared" si="0"/>
        <v>·</v>
      </c>
      <c r="J14" s="48" t="str">
        <f t="shared" si="1"/>
        <v>·</v>
      </c>
      <c r="K14" s="48" t="str">
        <f t="shared" si="2"/>
        <v>·</v>
      </c>
      <c r="L14" s="48" t="str">
        <f t="shared" si="3"/>
        <v>·</v>
      </c>
      <c r="M14" s="48" t="str">
        <f t="shared" si="4"/>
        <v>·</v>
      </c>
      <c r="N14" s="45" t="str">
        <f t="shared" si="5"/>
        <v/>
      </c>
      <c r="O14" s="48" t="str">
        <f t="shared" si="6"/>
        <v>·</v>
      </c>
      <c r="P14" s="49"/>
      <c r="Q14" s="49"/>
      <c r="R14" s="49"/>
      <c r="S14" s="50"/>
      <c r="T14" s="50"/>
      <c r="U14" s="50"/>
      <c r="V14" s="50"/>
      <c r="W14" s="51"/>
      <c r="X14" s="51"/>
      <c r="Y14" s="51"/>
      <c r="Z14" s="51"/>
      <c r="AA14" s="51"/>
      <c r="AB14" s="52"/>
      <c r="AC14" s="52"/>
      <c r="AD14" s="52"/>
      <c r="AE14" s="52"/>
      <c r="AG14" s="47" t="str">
        <f t="shared" si="7"/>
        <v>·</v>
      </c>
      <c r="AH14" s="48" t="str">
        <f t="shared" si="8"/>
        <v>·</v>
      </c>
      <c r="AI14" s="48" t="str">
        <f t="shared" si="9"/>
        <v>·</v>
      </c>
      <c r="AJ14" s="48" t="str">
        <f t="shared" si="10"/>
        <v>·</v>
      </c>
      <c r="AK14" s="48" t="str">
        <f t="shared" si="11"/>
        <v>·</v>
      </c>
      <c r="AL14" s="45" t="str">
        <f t="shared" si="12"/>
        <v/>
      </c>
      <c r="AM14" s="48" t="str">
        <f t="shared" si="13"/>
        <v>·</v>
      </c>
      <c r="AN14" s="49"/>
      <c r="AO14" s="49"/>
      <c r="AP14" s="49"/>
      <c r="AQ14" s="50"/>
      <c r="AR14" s="50"/>
      <c r="AS14" s="50"/>
      <c r="AT14" s="50"/>
      <c r="AU14" s="51"/>
      <c r="AV14" s="51"/>
      <c r="AW14" s="51"/>
      <c r="AX14" s="51"/>
      <c r="AY14" s="51"/>
      <c r="AZ14" s="52"/>
      <c r="BA14" s="52"/>
      <c r="BB14" s="52"/>
      <c r="BC14" s="52"/>
      <c r="BE14" s="53" t="e">
        <f t="shared" si="14"/>
        <v>#DIV/0!</v>
      </c>
      <c r="BF14" s="53" t="e">
        <f t="shared" si="15"/>
        <v>#VALUE!</v>
      </c>
      <c r="BG14" s="53"/>
      <c r="BI14" s="62"/>
      <c r="BJ14" s="62"/>
      <c r="BK14" s="62"/>
      <c r="BL14" s="62"/>
      <c r="BM14" s="62"/>
      <c r="BN14" s="59"/>
      <c r="BO14" s="62"/>
      <c r="BP14" s="62"/>
      <c r="BQ14" s="62"/>
      <c r="BR14" s="62"/>
      <c r="BS14" s="62"/>
      <c r="BU14" s="4">
        <f t="shared" si="16"/>
        <v>0</v>
      </c>
    </row>
    <row r="15" spans="1:73" x14ac:dyDescent="0.3">
      <c r="A15" s="15"/>
      <c r="B15" s="15" t="s">
        <v>278</v>
      </c>
      <c r="C15" s="16" t="s">
        <v>268</v>
      </c>
      <c r="D15" s="15">
        <v>322589704</v>
      </c>
      <c r="E15" s="16">
        <v>10</v>
      </c>
      <c r="F15" s="16">
        <v>300</v>
      </c>
      <c r="G15" s="16">
        <v>30</v>
      </c>
      <c r="I15" s="17" t="str">
        <f t="shared" si="0"/>
        <v>·</v>
      </c>
      <c r="J15" s="18" t="str">
        <f t="shared" si="1"/>
        <v>·</v>
      </c>
      <c r="K15" s="18" t="str">
        <f t="shared" si="2"/>
        <v>·</v>
      </c>
      <c r="L15" s="18" t="str">
        <f t="shared" si="3"/>
        <v>·</v>
      </c>
      <c r="M15" s="18" t="str">
        <f t="shared" si="4"/>
        <v>·</v>
      </c>
      <c r="N15" s="15" t="str">
        <f t="shared" si="5"/>
        <v/>
      </c>
      <c r="O15" s="18" t="str">
        <f t="shared" si="6"/>
        <v>·</v>
      </c>
      <c r="P15" s="19"/>
      <c r="Q15" s="19"/>
      <c r="R15" s="19"/>
      <c r="S15" s="20"/>
      <c r="T15" s="20"/>
      <c r="U15" s="20"/>
      <c r="V15" s="20"/>
      <c r="W15" s="21"/>
      <c r="X15" s="21"/>
      <c r="Y15" s="21"/>
      <c r="Z15" s="21"/>
      <c r="AA15" s="21"/>
      <c r="AB15" s="22"/>
      <c r="AC15" s="22"/>
      <c r="AD15" s="22"/>
      <c r="AE15" s="22"/>
      <c r="AG15" s="17" t="str">
        <f t="shared" si="7"/>
        <v>·</v>
      </c>
      <c r="AH15" s="18" t="str">
        <f t="shared" si="8"/>
        <v>·</v>
      </c>
      <c r="AI15" s="18" t="str">
        <f t="shared" si="9"/>
        <v>·</v>
      </c>
      <c r="AJ15" s="18" t="str">
        <f t="shared" si="10"/>
        <v>·</v>
      </c>
      <c r="AK15" s="18" t="str">
        <f t="shared" si="11"/>
        <v>·</v>
      </c>
      <c r="AL15" s="15" t="str">
        <f t="shared" si="12"/>
        <v/>
      </c>
      <c r="AM15" s="18" t="str">
        <f t="shared" si="13"/>
        <v>·</v>
      </c>
      <c r="AN15" s="19"/>
      <c r="AO15" s="19"/>
      <c r="AP15" s="19"/>
      <c r="AQ15" s="20"/>
      <c r="AR15" s="20"/>
      <c r="AS15" s="20"/>
      <c r="AT15" s="20"/>
      <c r="AU15" s="21"/>
      <c r="AV15" s="21"/>
      <c r="AW15" s="21"/>
      <c r="AX15" s="21"/>
      <c r="AY15" s="21"/>
      <c r="AZ15" s="22"/>
      <c r="BA15" s="22"/>
      <c r="BB15" s="22"/>
      <c r="BC15" s="22"/>
      <c r="BE15" s="23" t="e">
        <f t="shared" si="14"/>
        <v>#DIV/0!</v>
      </c>
      <c r="BF15" s="23" t="e">
        <f t="shared" si="15"/>
        <v>#VALUE!</v>
      </c>
      <c r="BG15" s="23" t="e">
        <f t="array" ref="BG15">AVERAGE(AL15:AL19/AQ15:AQ19) - AVERAGE(N15:N19/S15:S19)</f>
        <v>#VALUE!</v>
      </c>
      <c r="BI15" s="58" t="str">
        <f>IF( OR(ISBLANK(N15:N19),ISBLANK(AL15:AL19), ISBLANK(W15:W19),ISBLANK(AU15:AU19)), "·", bdRateExtend( N15:N19,W15:W19, AL15:AL19,AU15:AU19))</f>
        <v>·</v>
      </c>
      <c r="BJ15" s="58" t="str">
        <f>IF( OR(ISBLANK(N15:N19),ISBLANK(AL15:AL19), ISBLANK(X15:X19),ISBLANK(AV15:AV19)), "·", bdRateExtend( N15:N19,X15:X19, AL15:AL19,AV15:AV19))</f>
        <v>·</v>
      </c>
      <c r="BK15" s="58" t="str">
        <f>IF( OR(ISBLANK(V15:V19),ISBLANK(AT15:AT19), ISBLANK(Y15:Y19),ISBLANK(AW15:AW19)), "·", bdRateExtend( V15:V19,Y15:Y19, AT15:AT19,AW15:AW19))</f>
        <v>·</v>
      </c>
      <c r="BL15" s="58" t="str">
        <f>IF( OR(ISBLANK(V15:V19),ISBLANK(AT15:AT19), ISBLANK(Z15:Z19),ISBLANK(AX15:AX19)), "·", bdRateExtend( V15:V19,Z15:Z19, AT15:AT19,AX15:AX19))</f>
        <v>·</v>
      </c>
      <c r="BM15" s="58" t="str">
        <f>IF( OR(ISBLANK(V15:V19),ISBLANK(AT15:AT19), ISBLANK(AA15:AA19),ISBLANK(AY15:AY19)), "·", bdRateExtend( V15:V19,AA15:AA19, AT15:AT19,AY15:AY19))</f>
        <v>·</v>
      </c>
      <c r="BN15" s="59"/>
      <c r="BO15" s="58" t="str">
        <f>IF( OR(ISBLANK(S15:S19),ISBLANK(AQ15:AQ19), ISBLANK(W15:W19),ISBLANK(AU15:AU19)), "·", bdRateExtend( S15:S19,W15:W19, AQ15:AQ19,AU15:AU19))</f>
        <v>·</v>
      </c>
      <c r="BP15" s="58" t="str">
        <f>IF( OR(ISBLANK(S15:S19),ISBLANK(AQ15:AQ19), ISBLANK(X15:X19),ISBLANK(AV15:AV19)), "·", bdRateExtend( S15:S19,X15:X19, AQ15:AQ19,AV15:AV19))</f>
        <v>·</v>
      </c>
      <c r="BQ15" s="58" t="str">
        <f>IF( OR(ISBLANK(S15:S19),ISBLANK(AQ15:AQ19), ISBLANK(Y15:Y19),ISBLANK(AW15:AW19)), "·", bdRateExtend( S15:S19,Y15:Y19, AQ15:AQ19,AW15:AW19))</f>
        <v>·</v>
      </c>
      <c r="BR15" s="58" t="str">
        <f>IF( OR(ISBLANK(S15:S19),ISBLANK(AQ15:AQ19), ISBLANK(Z15:Z19),ISBLANK(AX15:AX19)), "·", bdRateExtend( S15:S19,Z15:Z19, AQ15:AQ19,AX15:AX19))</f>
        <v>·</v>
      </c>
      <c r="BS15" s="58" t="str">
        <f>IF( OR(ISBLANK(S15:S19),ISBLANK(AQ15:AQ19), ISBLANK(AA15:AA19),ISBLANK(AY15:AY19)), "·", bdRateExtend( S15:S19,AA15:AA19, AQ15:AQ19,AY15:AY19))</f>
        <v>·</v>
      </c>
      <c r="BU15" s="4">
        <f t="shared" si="16"/>
        <v>0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322589704</v>
      </c>
      <c r="E16" s="26">
        <v>10</v>
      </c>
      <c r="F16" s="26">
        <v>300</v>
      </c>
      <c r="G16" s="26">
        <v>30</v>
      </c>
      <c r="I16" s="27" t="str">
        <f t="shared" si="0"/>
        <v>·</v>
      </c>
      <c r="J16" s="28" t="str">
        <f t="shared" si="1"/>
        <v>·</v>
      </c>
      <c r="K16" s="28" t="str">
        <f t="shared" si="2"/>
        <v>·</v>
      </c>
      <c r="L16" s="28" t="str">
        <f t="shared" si="3"/>
        <v>·</v>
      </c>
      <c r="M16" s="28" t="str">
        <f t="shared" si="4"/>
        <v>·</v>
      </c>
      <c r="N16" s="25" t="str">
        <f t="shared" si="5"/>
        <v/>
      </c>
      <c r="O16" s="28" t="str">
        <f t="shared" si="6"/>
        <v>·</v>
      </c>
      <c r="P16" s="29"/>
      <c r="Q16" s="29"/>
      <c r="R16" s="29"/>
      <c r="S16" s="30"/>
      <c r="T16" s="30"/>
      <c r="U16" s="30"/>
      <c r="V16" s="30"/>
      <c r="W16" s="31"/>
      <c r="X16" s="31"/>
      <c r="Y16" s="31"/>
      <c r="Z16" s="31"/>
      <c r="AA16" s="31"/>
      <c r="AB16" s="32"/>
      <c r="AC16" s="32"/>
      <c r="AD16" s="32"/>
      <c r="AE16" s="32"/>
      <c r="AG16" s="27" t="str">
        <f t="shared" si="7"/>
        <v>·</v>
      </c>
      <c r="AH16" s="28" t="str">
        <f t="shared" si="8"/>
        <v>·</v>
      </c>
      <c r="AI16" s="28" t="str">
        <f t="shared" si="9"/>
        <v>·</v>
      </c>
      <c r="AJ16" s="28" t="str">
        <f t="shared" si="10"/>
        <v>·</v>
      </c>
      <c r="AK16" s="28" t="str">
        <f t="shared" si="11"/>
        <v>·</v>
      </c>
      <c r="AL16" s="25" t="str">
        <f t="shared" si="12"/>
        <v/>
      </c>
      <c r="AM16" s="28" t="str">
        <f t="shared" si="13"/>
        <v>·</v>
      </c>
      <c r="AN16" s="29"/>
      <c r="AO16" s="29"/>
      <c r="AP16" s="29"/>
      <c r="AQ16" s="30"/>
      <c r="AR16" s="30"/>
      <c r="AS16" s="30"/>
      <c r="AT16" s="30"/>
      <c r="AU16" s="31"/>
      <c r="AV16" s="31"/>
      <c r="AW16" s="31"/>
      <c r="AX16" s="31"/>
      <c r="AY16" s="31"/>
      <c r="AZ16" s="32"/>
      <c r="BA16" s="32"/>
      <c r="BB16" s="32"/>
      <c r="BC16" s="32"/>
      <c r="BE16" s="33" t="e">
        <f t="shared" si="14"/>
        <v>#DIV/0!</v>
      </c>
      <c r="BF16" s="33" t="e">
        <f t="shared" si="15"/>
        <v>#VALUE!</v>
      </c>
      <c r="BG16" s="33"/>
      <c r="BI16" s="60"/>
      <c r="BJ16" s="60"/>
      <c r="BK16" s="60"/>
      <c r="BL16" s="60"/>
      <c r="BM16" s="60"/>
      <c r="BN16" s="59"/>
      <c r="BO16" s="60"/>
      <c r="BP16" s="60"/>
      <c r="BQ16" s="60"/>
      <c r="BR16" s="60"/>
      <c r="BS16" s="60"/>
      <c r="BU16" s="4">
        <f t="shared" si="16"/>
        <v>0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322589704</v>
      </c>
      <c r="E17" s="16">
        <v>10</v>
      </c>
      <c r="F17" s="16">
        <v>300</v>
      </c>
      <c r="G17" s="16">
        <v>30</v>
      </c>
      <c r="I17" s="17" t="str">
        <f t="shared" si="0"/>
        <v>·</v>
      </c>
      <c r="J17" s="18" t="str">
        <f t="shared" si="1"/>
        <v>·</v>
      </c>
      <c r="K17" s="18" t="str">
        <f t="shared" si="2"/>
        <v>·</v>
      </c>
      <c r="L17" s="18" t="str">
        <f t="shared" si="3"/>
        <v>·</v>
      </c>
      <c r="M17" s="18" t="str">
        <f t="shared" si="4"/>
        <v>·</v>
      </c>
      <c r="N17" s="15" t="str">
        <f t="shared" si="5"/>
        <v/>
      </c>
      <c r="O17" s="18" t="str">
        <f t="shared" si="6"/>
        <v>·</v>
      </c>
      <c r="P17" s="19"/>
      <c r="Q17" s="19"/>
      <c r="R17" s="19"/>
      <c r="S17" s="20"/>
      <c r="T17" s="20"/>
      <c r="U17" s="20"/>
      <c r="V17" s="20"/>
      <c r="W17" s="21"/>
      <c r="X17" s="21"/>
      <c r="Y17" s="21"/>
      <c r="Z17" s="21"/>
      <c r="AA17" s="21"/>
      <c r="AB17" s="22"/>
      <c r="AC17" s="22"/>
      <c r="AD17" s="22"/>
      <c r="AE17" s="22"/>
      <c r="AG17" s="17" t="str">
        <f t="shared" si="7"/>
        <v>·</v>
      </c>
      <c r="AH17" s="18" t="str">
        <f t="shared" si="8"/>
        <v>·</v>
      </c>
      <c r="AI17" s="18" t="str">
        <f t="shared" si="9"/>
        <v>·</v>
      </c>
      <c r="AJ17" s="18" t="str">
        <f t="shared" si="10"/>
        <v>·</v>
      </c>
      <c r="AK17" s="18" t="str">
        <f t="shared" si="11"/>
        <v>·</v>
      </c>
      <c r="AL17" s="15" t="str">
        <f t="shared" si="12"/>
        <v/>
      </c>
      <c r="AM17" s="18" t="str">
        <f t="shared" si="13"/>
        <v>·</v>
      </c>
      <c r="AN17" s="19"/>
      <c r="AO17" s="19"/>
      <c r="AP17" s="19"/>
      <c r="AQ17" s="20"/>
      <c r="AR17" s="20"/>
      <c r="AS17" s="20"/>
      <c r="AT17" s="20"/>
      <c r="AU17" s="21"/>
      <c r="AV17" s="21"/>
      <c r="AW17" s="21"/>
      <c r="AX17" s="21"/>
      <c r="AY17" s="21"/>
      <c r="AZ17" s="22"/>
      <c r="BA17" s="22"/>
      <c r="BB17" s="22"/>
      <c r="BC17" s="22"/>
      <c r="BE17" s="23" t="e">
        <f t="shared" si="14"/>
        <v>#DIV/0!</v>
      </c>
      <c r="BF17" s="23" t="e">
        <f t="shared" si="15"/>
        <v>#VALUE!</v>
      </c>
      <c r="BG17" s="23"/>
      <c r="BI17" s="58"/>
      <c r="BJ17" s="58"/>
      <c r="BK17" s="58"/>
      <c r="BL17" s="58"/>
      <c r="BM17" s="58"/>
      <c r="BN17" s="59"/>
      <c r="BO17" s="58"/>
      <c r="BP17" s="58"/>
      <c r="BQ17" s="58"/>
      <c r="BR17" s="58"/>
      <c r="BS17" s="58"/>
      <c r="BU17" s="4">
        <f t="shared" si="16"/>
        <v>0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322589704</v>
      </c>
      <c r="E18" s="26">
        <v>10</v>
      </c>
      <c r="F18" s="26">
        <v>300</v>
      </c>
      <c r="G18" s="26">
        <v>30</v>
      </c>
      <c r="I18" s="27" t="str">
        <f t="shared" si="0"/>
        <v>·</v>
      </c>
      <c r="J18" s="28" t="str">
        <f t="shared" si="1"/>
        <v>·</v>
      </c>
      <c r="K18" s="28" t="str">
        <f t="shared" si="2"/>
        <v>·</v>
      </c>
      <c r="L18" s="28" t="str">
        <f t="shared" si="3"/>
        <v>·</v>
      </c>
      <c r="M18" s="28" t="str">
        <f t="shared" si="4"/>
        <v>·</v>
      </c>
      <c r="N18" s="25" t="str">
        <f t="shared" si="5"/>
        <v/>
      </c>
      <c r="O18" s="28" t="str">
        <f t="shared" si="6"/>
        <v>·</v>
      </c>
      <c r="P18" s="29"/>
      <c r="Q18" s="29"/>
      <c r="R18" s="29"/>
      <c r="S18" s="30"/>
      <c r="T18" s="30"/>
      <c r="U18" s="30"/>
      <c r="V18" s="30"/>
      <c r="W18" s="31"/>
      <c r="X18" s="31"/>
      <c r="Y18" s="31"/>
      <c r="Z18" s="31"/>
      <c r="AA18" s="31"/>
      <c r="AB18" s="32"/>
      <c r="AC18" s="32"/>
      <c r="AD18" s="32"/>
      <c r="AE18" s="32"/>
      <c r="AG18" s="27" t="str">
        <f t="shared" si="7"/>
        <v>·</v>
      </c>
      <c r="AH18" s="28" t="str">
        <f t="shared" si="8"/>
        <v>·</v>
      </c>
      <c r="AI18" s="28" t="str">
        <f t="shared" si="9"/>
        <v>·</v>
      </c>
      <c r="AJ18" s="28" t="str">
        <f t="shared" si="10"/>
        <v>·</v>
      </c>
      <c r="AK18" s="28" t="str">
        <f t="shared" si="11"/>
        <v>·</v>
      </c>
      <c r="AL18" s="25" t="str">
        <f t="shared" si="12"/>
        <v/>
      </c>
      <c r="AM18" s="28" t="str">
        <f t="shared" si="13"/>
        <v>·</v>
      </c>
      <c r="AN18" s="29"/>
      <c r="AO18" s="29"/>
      <c r="AP18" s="29"/>
      <c r="AQ18" s="30"/>
      <c r="AR18" s="30"/>
      <c r="AS18" s="30"/>
      <c r="AT18" s="30"/>
      <c r="AU18" s="31"/>
      <c r="AV18" s="31"/>
      <c r="AW18" s="31"/>
      <c r="AX18" s="31"/>
      <c r="AY18" s="31"/>
      <c r="AZ18" s="32"/>
      <c r="BA18" s="32"/>
      <c r="BB18" s="32"/>
      <c r="BC18" s="32"/>
      <c r="BE18" s="33" t="e">
        <f t="shared" si="14"/>
        <v>#DIV/0!</v>
      </c>
      <c r="BF18" s="33" t="e">
        <f t="shared" si="15"/>
        <v>#VALUE!</v>
      </c>
      <c r="BG18" s="33"/>
      <c r="BI18" s="60"/>
      <c r="BJ18" s="60"/>
      <c r="BK18" s="60"/>
      <c r="BL18" s="60"/>
      <c r="BM18" s="60"/>
      <c r="BN18" s="59"/>
      <c r="BO18" s="60"/>
      <c r="BP18" s="60"/>
      <c r="BQ18" s="60"/>
      <c r="BR18" s="60"/>
      <c r="BS18" s="60"/>
      <c r="BU18" s="4">
        <f t="shared" si="16"/>
        <v>0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322589704</v>
      </c>
      <c r="E19" s="36">
        <v>10</v>
      </c>
      <c r="F19" s="36">
        <v>300</v>
      </c>
      <c r="G19" s="36">
        <v>30</v>
      </c>
      <c r="I19" s="37" t="str">
        <f t="shared" si="0"/>
        <v>·</v>
      </c>
      <c r="J19" s="38" t="str">
        <f t="shared" si="1"/>
        <v>·</v>
      </c>
      <c r="K19" s="38" t="str">
        <f t="shared" si="2"/>
        <v>·</v>
      </c>
      <c r="L19" s="38" t="str">
        <f t="shared" si="3"/>
        <v>·</v>
      </c>
      <c r="M19" s="38" t="str">
        <f t="shared" si="4"/>
        <v>·</v>
      </c>
      <c r="N19" s="35" t="str">
        <f t="shared" si="5"/>
        <v/>
      </c>
      <c r="O19" s="38" t="str">
        <f t="shared" si="6"/>
        <v>·</v>
      </c>
      <c r="P19" s="39"/>
      <c r="Q19" s="39"/>
      <c r="R19" s="39"/>
      <c r="S19" s="40"/>
      <c r="T19" s="40"/>
      <c r="U19" s="40"/>
      <c r="V19" s="40"/>
      <c r="W19" s="41"/>
      <c r="X19" s="41"/>
      <c r="Y19" s="41"/>
      <c r="Z19" s="41"/>
      <c r="AA19" s="41"/>
      <c r="AB19" s="42"/>
      <c r="AC19" s="42"/>
      <c r="AD19" s="42"/>
      <c r="AE19" s="42"/>
      <c r="AG19" s="37" t="str">
        <f t="shared" si="7"/>
        <v>·</v>
      </c>
      <c r="AH19" s="38" t="str">
        <f t="shared" si="8"/>
        <v>·</v>
      </c>
      <c r="AI19" s="38" t="str">
        <f t="shared" si="9"/>
        <v>·</v>
      </c>
      <c r="AJ19" s="38" t="str">
        <f t="shared" si="10"/>
        <v>·</v>
      </c>
      <c r="AK19" s="38" t="str">
        <f t="shared" si="11"/>
        <v>·</v>
      </c>
      <c r="AL19" s="35" t="str">
        <f t="shared" si="12"/>
        <v/>
      </c>
      <c r="AM19" s="38" t="str">
        <f t="shared" si="13"/>
        <v>·</v>
      </c>
      <c r="AN19" s="39"/>
      <c r="AO19" s="39"/>
      <c r="AP19" s="39"/>
      <c r="AQ19" s="40"/>
      <c r="AR19" s="40"/>
      <c r="AS19" s="40"/>
      <c r="AT19" s="40"/>
      <c r="AU19" s="41"/>
      <c r="AV19" s="41"/>
      <c r="AW19" s="41"/>
      <c r="AX19" s="41"/>
      <c r="AY19" s="41"/>
      <c r="AZ19" s="42"/>
      <c r="BA19" s="42"/>
      <c r="BB19" s="42"/>
      <c r="BC19" s="42"/>
      <c r="BE19" s="43" t="e">
        <f t="shared" si="14"/>
        <v>#DIV/0!</v>
      </c>
      <c r="BF19" s="43" t="e">
        <f t="shared" si="15"/>
        <v>#VALUE!</v>
      </c>
      <c r="BG19" s="43"/>
      <c r="BI19" s="61"/>
      <c r="BJ19" s="61"/>
      <c r="BK19" s="61"/>
      <c r="BL19" s="61"/>
      <c r="BM19" s="61"/>
      <c r="BN19" s="59"/>
      <c r="BO19" s="61"/>
      <c r="BP19" s="61"/>
      <c r="BQ19" s="61"/>
      <c r="BR19" s="61"/>
      <c r="BS19" s="61"/>
      <c r="BU19" s="4">
        <f t="shared" si="16"/>
        <v>0</v>
      </c>
    </row>
    <row r="20" spans="1:73" x14ac:dyDescent="0.3">
      <c r="A20" s="25"/>
      <c r="B20" s="25" t="s">
        <v>281</v>
      </c>
      <c r="C20" s="26" t="s">
        <v>268</v>
      </c>
      <c r="D20" s="25">
        <v>250602891</v>
      </c>
      <c r="E20" s="26">
        <v>10</v>
      </c>
      <c r="F20" s="26">
        <v>250</v>
      </c>
      <c r="G20" s="26">
        <v>50</v>
      </c>
      <c r="I20" s="27" t="str">
        <f t="shared" si="0"/>
        <v>·</v>
      </c>
      <c r="J20" s="28" t="str">
        <f t="shared" si="1"/>
        <v>·</v>
      </c>
      <c r="K20" s="28" t="str">
        <f t="shared" si="2"/>
        <v>·</v>
      </c>
      <c r="L20" s="28" t="str">
        <f t="shared" si="3"/>
        <v>·</v>
      </c>
      <c r="M20" s="28" t="str">
        <f t="shared" si="4"/>
        <v>·</v>
      </c>
      <c r="N20" s="25" t="str">
        <f t="shared" si="5"/>
        <v/>
      </c>
      <c r="O20" s="28" t="str">
        <f t="shared" si="6"/>
        <v>·</v>
      </c>
      <c r="P20" s="29"/>
      <c r="Q20" s="29"/>
      <c r="R20" s="29"/>
      <c r="S20" s="30"/>
      <c r="T20" s="30"/>
      <c r="U20" s="30"/>
      <c r="V20" s="30"/>
      <c r="W20" s="31"/>
      <c r="X20" s="31"/>
      <c r="Y20" s="31"/>
      <c r="Z20" s="31"/>
      <c r="AA20" s="31"/>
      <c r="AB20" s="32"/>
      <c r="AC20" s="32"/>
      <c r="AD20" s="32"/>
      <c r="AE20" s="32"/>
      <c r="AG20" s="27" t="str">
        <f t="shared" si="7"/>
        <v>·</v>
      </c>
      <c r="AH20" s="28" t="str">
        <f t="shared" si="8"/>
        <v>·</v>
      </c>
      <c r="AI20" s="28" t="str">
        <f t="shared" si="9"/>
        <v>·</v>
      </c>
      <c r="AJ20" s="28" t="str">
        <f t="shared" si="10"/>
        <v>·</v>
      </c>
      <c r="AK20" s="28" t="str">
        <f t="shared" si="11"/>
        <v>·</v>
      </c>
      <c r="AL20" s="25" t="str">
        <f t="shared" si="12"/>
        <v/>
      </c>
      <c r="AM20" s="28" t="str">
        <f t="shared" si="13"/>
        <v>·</v>
      </c>
      <c r="AN20" s="29"/>
      <c r="AO20" s="29"/>
      <c r="AP20" s="29"/>
      <c r="AQ20" s="30"/>
      <c r="AR20" s="30"/>
      <c r="AS20" s="30"/>
      <c r="AT20" s="30"/>
      <c r="AU20" s="31"/>
      <c r="AV20" s="31"/>
      <c r="AW20" s="31"/>
      <c r="AX20" s="31"/>
      <c r="AY20" s="31"/>
      <c r="AZ20" s="32"/>
      <c r="BA20" s="32"/>
      <c r="BB20" s="32"/>
      <c r="BC20" s="32"/>
      <c r="BE20" s="33" t="e">
        <f t="shared" si="14"/>
        <v>#DIV/0!</v>
      </c>
      <c r="BF20" s="33" t="e">
        <f t="shared" si="15"/>
        <v>#VALUE!</v>
      </c>
      <c r="BG20" s="33" t="e">
        <f t="array" ref="BG20">AVERAGE(AL20:AL24/AQ20:AQ24) - AVERAGE(N20:N24/S20:S24)</f>
        <v>#VALUE!</v>
      </c>
      <c r="BI20" s="60" t="str">
        <f>IF( OR(ISBLANK(N20:N24),ISBLANK(AL20:AL24), ISBLANK(W20:W24),ISBLANK(AU20:AU24)), "·", bdRateExtend( N20:N24,W20:W24, AL20:AL24,AU20:AU24))</f>
        <v>·</v>
      </c>
      <c r="BJ20" s="60" t="str">
        <f>IF( OR(ISBLANK(N20:N24),ISBLANK(AL20:AL24), ISBLANK(X20:X24),ISBLANK(AV20:AV24)), "·", bdRateExtend( N20:N24,X20:X24, AL20:AL24,AV20:AV24))</f>
        <v>·</v>
      </c>
      <c r="BK20" s="60" t="str">
        <f>IF( OR(ISBLANK(V20:V24),ISBLANK(AT20:AT24), ISBLANK(Y20:Y24),ISBLANK(AW20:AW24)), "·", bdRateExtend( V20:V24,Y20:Y24, AT20:AT24,AW20:AW24))</f>
        <v>·</v>
      </c>
      <c r="BL20" s="60" t="str">
        <f>IF( OR(ISBLANK(V20:V24),ISBLANK(AT20:AT24), ISBLANK(Z20:Z24),ISBLANK(AX20:AX24)), "·", bdRateExtend( V20:V24,Z20:Z24, AT20:AT24,AX20:AX24))</f>
        <v>·</v>
      </c>
      <c r="BM20" s="60" t="str">
        <f>IF( OR(ISBLANK(V20:V24),ISBLANK(AT20:AT24), ISBLANK(AA20:AA24),ISBLANK(AY20:AY24)), "·", bdRateExtend( V20:V24,AA20:AA24, AT20:AT24,AY20:AY24))</f>
        <v>·</v>
      </c>
      <c r="BN20" s="59"/>
      <c r="BO20" s="60" t="str">
        <f>IF( OR(ISBLANK(S20:S24),ISBLANK(AQ20:AQ24), ISBLANK(W20:W24),ISBLANK(AU20:AU24)), "·", bdRateExtend( S20:S24,W20:W24, AQ20:AQ24,AU20:AU24))</f>
        <v>·</v>
      </c>
      <c r="BP20" s="60" t="str">
        <f>IF( OR(ISBLANK(S20:S24),ISBLANK(AQ20:AQ24), ISBLANK(X20:X24),ISBLANK(AV20:AV24)), "·", bdRateExtend( S20:S24,X20:X24, AQ20:AQ24,AV20:AV24))</f>
        <v>·</v>
      </c>
      <c r="BQ20" s="60" t="str">
        <f>IF( OR(ISBLANK(S20:S24),ISBLANK(AQ20:AQ24), ISBLANK(Y20:Y24),ISBLANK(AW20:AW24)), "·", bdRateExtend( S20:S24,Y20:Y24, AQ20:AQ24,AW20:AW24))</f>
        <v>·</v>
      </c>
      <c r="BR20" s="60" t="str">
        <f>IF( OR(ISBLANK(S20:S24),ISBLANK(AQ20:AQ24), ISBLANK(Z20:Z24),ISBLANK(AX20:AX24)), "·", bdRateExtend( S20:S24,Z20:Z24, AQ20:AQ24,AX20:AX24))</f>
        <v>·</v>
      </c>
      <c r="BS20" s="60" t="str">
        <f>IF( OR(ISBLANK(S20:S24),ISBLANK(AQ20:AQ24), ISBLANK(AA20:AA24),ISBLANK(AY20:AY24)), "·", bdRateExtend( S20:S24,AA20:AA24, AQ20:AQ24,AY20:AY24))</f>
        <v>·</v>
      </c>
      <c r="BU20" s="4">
        <f t="shared" si="16"/>
        <v>0</v>
      </c>
    </row>
    <row r="21" spans="1:73" outlineLevel="1" x14ac:dyDescent="0.3">
      <c r="A21" s="15"/>
      <c r="B21" s="15" t="s">
        <v>281</v>
      </c>
      <c r="C21" s="16" t="s">
        <v>269</v>
      </c>
      <c r="D21" s="15">
        <v>250602891</v>
      </c>
      <c r="E21" s="16">
        <v>10</v>
      </c>
      <c r="F21" s="16">
        <v>250</v>
      </c>
      <c r="G21" s="16">
        <v>50</v>
      </c>
      <c r="I21" s="17" t="str">
        <f t="shared" si="0"/>
        <v>·</v>
      </c>
      <c r="J21" s="18" t="str">
        <f t="shared" si="1"/>
        <v>·</v>
      </c>
      <c r="K21" s="18" t="str">
        <f t="shared" si="2"/>
        <v>·</v>
      </c>
      <c r="L21" s="18" t="str">
        <f t="shared" si="3"/>
        <v>·</v>
      </c>
      <c r="M21" s="18" t="str">
        <f t="shared" si="4"/>
        <v>·</v>
      </c>
      <c r="N21" s="15" t="str">
        <f t="shared" si="5"/>
        <v/>
      </c>
      <c r="O21" s="18" t="str">
        <f t="shared" si="6"/>
        <v>·</v>
      </c>
      <c r="P21" s="19"/>
      <c r="Q21" s="19"/>
      <c r="R21" s="19"/>
      <c r="S21" s="20"/>
      <c r="T21" s="20"/>
      <c r="U21" s="20"/>
      <c r="V21" s="20"/>
      <c r="W21" s="21"/>
      <c r="X21" s="21"/>
      <c r="Y21" s="21"/>
      <c r="Z21" s="21"/>
      <c r="AA21" s="21"/>
      <c r="AB21" s="22"/>
      <c r="AC21" s="22"/>
      <c r="AD21" s="22"/>
      <c r="AE21" s="22"/>
      <c r="AG21" s="17" t="str">
        <f t="shared" si="7"/>
        <v>·</v>
      </c>
      <c r="AH21" s="18" t="str">
        <f t="shared" si="8"/>
        <v>·</v>
      </c>
      <c r="AI21" s="18" t="str">
        <f t="shared" si="9"/>
        <v>·</v>
      </c>
      <c r="AJ21" s="18" t="str">
        <f t="shared" si="10"/>
        <v>·</v>
      </c>
      <c r="AK21" s="18" t="str">
        <f t="shared" si="11"/>
        <v>·</v>
      </c>
      <c r="AL21" s="15" t="str">
        <f t="shared" si="12"/>
        <v/>
      </c>
      <c r="AM21" s="18" t="str">
        <f t="shared" si="13"/>
        <v>·</v>
      </c>
      <c r="AN21" s="19"/>
      <c r="AO21" s="19"/>
      <c r="AP21" s="19"/>
      <c r="AQ21" s="20"/>
      <c r="AR21" s="20"/>
      <c r="AS21" s="20"/>
      <c r="AT21" s="20"/>
      <c r="AU21" s="21"/>
      <c r="AV21" s="21"/>
      <c r="AW21" s="21"/>
      <c r="AX21" s="21"/>
      <c r="AY21" s="21"/>
      <c r="AZ21" s="22"/>
      <c r="BA21" s="22"/>
      <c r="BB21" s="22"/>
      <c r="BC21" s="22"/>
      <c r="BE21" s="23" t="e">
        <f t="shared" si="14"/>
        <v>#DIV/0!</v>
      </c>
      <c r="BF21" s="23" t="e">
        <f t="shared" si="15"/>
        <v>#VALUE!</v>
      </c>
      <c r="BG21" s="23"/>
      <c r="BI21" s="58"/>
      <c r="BJ21" s="58"/>
      <c r="BK21" s="58"/>
      <c r="BL21" s="58"/>
      <c r="BM21" s="58"/>
      <c r="BN21" s="59"/>
      <c r="BO21" s="58"/>
      <c r="BP21" s="58"/>
      <c r="BQ21" s="58"/>
      <c r="BR21" s="58"/>
      <c r="BS21" s="58"/>
      <c r="BU21" s="4">
        <f t="shared" si="16"/>
        <v>0</v>
      </c>
    </row>
    <row r="22" spans="1:73" outlineLevel="1" x14ac:dyDescent="0.3">
      <c r="A22" s="25"/>
      <c r="B22" s="25" t="s">
        <v>281</v>
      </c>
      <c r="C22" s="26" t="s">
        <v>270</v>
      </c>
      <c r="D22" s="25">
        <v>250602891</v>
      </c>
      <c r="E22" s="26">
        <v>10</v>
      </c>
      <c r="F22" s="26">
        <v>250</v>
      </c>
      <c r="G22" s="26">
        <v>50</v>
      </c>
      <c r="I22" s="27" t="str">
        <f t="shared" si="0"/>
        <v>·</v>
      </c>
      <c r="J22" s="28" t="str">
        <f t="shared" si="1"/>
        <v>·</v>
      </c>
      <c r="K22" s="28" t="str">
        <f t="shared" si="2"/>
        <v>·</v>
      </c>
      <c r="L22" s="28" t="str">
        <f t="shared" si="3"/>
        <v>·</v>
      </c>
      <c r="M22" s="28" t="str">
        <f t="shared" si="4"/>
        <v>·</v>
      </c>
      <c r="N22" s="25" t="str">
        <f t="shared" si="5"/>
        <v/>
      </c>
      <c r="O22" s="28" t="str">
        <f t="shared" si="6"/>
        <v>·</v>
      </c>
      <c r="P22" s="29"/>
      <c r="Q22" s="29"/>
      <c r="R22" s="29"/>
      <c r="S22" s="30"/>
      <c r="T22" s="30"/>
      <c r="U22" s="30"/>
      <c r="V22" s="30"/>
      <c r="W22" s="31"/>
      <c r="X22" s="31"/>
      <c r="Y22" s="31"/>
      <c r="Z22" s="31"/>
      <c r="AA22" s="31"/>
      <c r="AB22" s="32"/>
      <c r="AC22" s="32"/>
      <c r="AD22" s="32"/>
      <c r="AE22" s="32"/>
      <c r="AG22" s="27" t="str">
        <f t="shared" si="7"/>
        <v>·</v>
      </c>
      <c r="AH22" s="28" t="str">
        <f t="shared" si="8"/>
        <v>·</v>
      </c>
      <c r="AI22" s="28" t="str">
        <f t="shared" si="9"/>
        <v>·</v>
      </c>
      <c r="AJ22" s="28" t="str">
        <f t="shared" si="10"/>
        <v>·</v>
      </c>
      <c r="AK22" s="28" t="str">
        <f t="shared" si="11"/>
        <v>·</v>
      </c>
      <c r="AL22" s="25" t="str">
        <f t="shared" si="12"/>
        <v/>
      </c>
      <c r="AM22" s="28" t="str">
        <f t="shared" si="13"/>
        <v>·</v>
      </c>
      <c r="AN22" s="29"/>
      <c r="AO22" s="29"/>
      <c r="AP22" s="29"/>
      <c r="AQ22" s="30"/>
      <c r="AR22" s="30"/>
      <c r="AS22" s="30"/>
      <c r="AT22" s="30"/>
      <c r="AU22" s="31"/>
      <c r="AV22" s="31"/>
      <c r="AW22" s="31"/>
      <c r="AX22" s="31"/>
      <c r="AY22" s="31"/>
      <c r="AZ22" s="32"/>
      <c r="BA22" s="32"/>
      <c r="BB22" s="32"/>
      <c r="BC22" s="32"/>
      <c r="BE22" s="33" t="e">
        <f t="shared" si="14"/>
        <v>#DIV/0!</v>
      </c>
      <c r="BF22" s="33" t="e">
        <f t="shared" si="15"/>
        <v>#VALUE!</v>
      </c>
      <c r="BG22" s="33"/>
      <c r="BI22" s="60"/>
      <c r="BJ22" s="60"/>
      <c r="BK22" s="60"/>
      <c r="BL22" s="60"/>
      <c r="BM22" s="60"/>
      <c r="BN22" s="59"/>
      <c r="BO22" s="60"/>
      <c r="BP22" s="60"/>
      <c r="BQ22" s="60"/>
      <c r="BR22" s="60"/>
      <c r="BS22" s="60"/>
      <c r="BU22" s="4">
        <f t="shared" si="16"/>
        <v>0</v>
      </c>
    </row>
    <row r="23" spans="1:73" outlineLevel="1" x14ac:dyDescent="0.3">
      <c r="A23" s="15"/>
      <c r="B23" s="15" t="s">
        <v>281</v>
      </c>
      <c r="C23" s="16" t="s">
        <v>271</v>
      </c>
      <c r="D23" s="15">
        <v>250602891</v>
      </c>
      <c r="E23" s="16">
        <v>10</v>
      </c>
      <c r="F23" s="16">
        <v>250</v>
      </c>
      <c r="G23" s="16">
        <v>50</v>
      </c>
      <c r="I23" s="17" t="str">
        <f t="shared" si="0"/>
        <v>·</v>
      </c>
      <c r="J23" s="18" t="str">
        <f t="shared" si="1"/>
        <v>·</v>
      </c>
      <c r="K23" s="18" t="str">
        <f t="shared" si="2"/>
        <v>·</v>
      </c>
      <c r="L23" s="18" t="str">
        <f t="shared" si="3"/>
        <v>·</v>
      </c>
      <c r="M23" s="18" t="str">
        <f t="shared" si="4"/>
        <v>·</v>
      </c>
      <c r="N23" s="15" t="str">
        <f t="shared" si="5"/>
        <v/>
      </c>
      <c r="O23" s="18" t="str">
        <f t="shared" si="6"/>
        <v>·</v>
      </c>
      <c r="P23" s="19"/>
      <c r="Q23" s="19"/>
      <c r="R23" s="19"/>
      <c r="S23" s="20"/>
      <c r="T23" s="20"/>
      <c r="U23" s="20"/>
      <c r="V23" s="20"/>
      <c r="W23" s="21"/>
      <c r="X23" s="21"/>
      <c r="Y23" s="21"/>
      <c r="Z23" s="21"/>
      <c r="AA23" s="21"/>
      <c r="AB23" s="22"/>
      <c r="AC23" s="22"/>
      <c r="AD23" s="22"/>
      <c r="AE23" s="22"/>
      <c r="AG23" s="17" t="str">
        <f t="shared" si="7"/>
        <v>·</v>
      </c>
      <c r="AH23" s="18" t="str">
        <f t="shared" si="8"/>
        <v>·</v>
      </c>
      <c r="AI23" s="18" t="str">
        <f t="shared" si="9"/>
        <v>·</v>
      </c>
      <c r="AJ23" s="18" t="str">
        <f t="shared" si="10"/>
        <v>·</v>
      </c>
      <c r="AK23" s="18" t="str">
        <f t="shared" si="11"/>
        <v>·</v>
      </c>
      <c r="AL23" s="15" t="str">
        <f t="shared" si="12"/>
        <v/>
      </c>
      <c r="AM23" s="18" t="str">
        <f t="shared" si="13"/>
        <v>·</v>
      </c>
      <c r="AN23" s="19"/>
      <c r="AO23" s="19"/>
      <c r="AP23" s="19"/>
      <c r="AQ23" s="20"/>
      <c r="AR23" s="20"/>
      <c r="AS23" s="20"/>
      <c r="AT23" s="20"/>
      <c r="AU23" s="21"/>
      <c r="AV23" s="21"/>
      <c r="AW23" s="21"/>
      <c r="AX23" s="21"/>
      <c r="AY23" s="21"/>
      <c r="AZ23" s="22"/>
      <c r="BA23" s="22"/>
      <c r="BB23" s="22"/>
      <c r="BC23" s="22"/>
      <c r="BE23" s="23" t="e">
        <f t="shared" si="14"/>
        <v>#DIV/0!</v>
      </c>
      <c r="BF23" s="23" t="e">
        <f t="shared" si="15"/>
        <v>#VALUE!</v>
      </c>
      <c r="BG23" s="23"/>
      <c r="BI23" s="58"/>
      <c r="BJ23" s="58"/>
      <c r="BK23" s="58"/>
      <c r="BL23" s="58"/>
      <c r="BM23" s="58"/>
      <c r="BN23" s="59"/>
      <c r="BO23" s="58"/>
      <c r="BP23" s="58"/>
      <c r="BQ23" s="58"/>
      <c r="BR23" s="58"/>
      <c r="BS23" s="58"/>
      <c r="BU23" s="4">
        <f t="shared" si="16"/>
        <v>0</v>
      </c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250602891</v>
      </c>
      <c r="E24" s="46">
        <v>10</v>
      </c>
      <c r="F24" s="46">
        <v>250</v>
      </c>
      <c r="G24" s="46">
        <v>50</v>
      </c>
      <c r="I24" s="47" t="str">
        <f t="shared" si="0"/>
        <v>·</v>
      </c>
      <c r="J24" s="48" t="str">
        <f t="shared" si="1"/>
        <v>·</v>
      </c>
      <c r="K24" s="48" t="str">
        <f t="shared" si="2"/>
        <v>·</v>
      </c>
      <c r="L24" s="48" t="str">
        <f t="shared" si="3"/>
        <v>·</v>
      </c>
      <c r="M24" s="48" t="str">
        <f t="shared" si="4"/>
        <v>·</v>
      </c>
      <c r="N24" s="45" t="str">
        <f t="shared" si="5"/>
        <v/>
      </c>
      <c r="O24" s="48" t="str">
        <f t="shared" si="6"/>
        <v>·</v>
      </c>
      <c r="P24" s="49"/>
      <c r="Q24" s="49"/>
      <c r="R24" s="49"/>
      <c r="S24" s="50"/>
      <c r="T24" s="50"/>
      <c r="U24" s="50"/>
      <c r="V24" s="50"/>
      <c r="W24" s="51"/>
      <c r="X24" s="51"/>
      <c r="Y24" s="51"/>
      <c r="Z24" s="51"/>
      <c r="AA24" s="51"/>
      <c r="AB24" s="52"/>
      <c r="AC24" s="52"/>
      <c r="AD24" s="52"/>
      <c r="AE24" s="52"/>
      <c r="AG24" s="47" t="str">
        <f t="shared" si="7"/>
        <v>·</v>
      </c>
      <c r="AH24" s="48" t="str">
        <f t="shared" si="8"/>
        <v>·</v>
      </c>
      <c r="AI24" s="48" t="str">
        <f t="shared" si="9"/>
        <v>·</v>
      </c>
      <c r="AJ24" s="48" t="str">
        <f t="shared" si="10"/>
        <v>·</v>
      </c>
      <c r="AK24" s="48" t="str">
        <f t="shared" si="11"/>
        <v>·</v>
      </c>
      <c r="AL24" s="45" t="str">
        <f t="shared" si="12"/>
        <v/>
      </c>
      <c r="AM24" s="48" t="str">
        <f t="shared" si="13"/>
        <v>·</v>
      </c>
      <c r="AN24" s="49"/>
      <c r="AO24" s="49"/>
      <c r="AP24" s="49"/>
      <c r="AQ24" s="50"/>
      <c r="AR24" s="50"/>
      <c r="AS24" s="50"/>
      <c r="AT24" s="50"/>
      <c r="AU24" s="51"/>
      <c r="AV24" s="51"/>
      <c r="AW24" s="51"/>
      <c r="AX24" s="51"/>
      <c r="AY24" s="51"/>
      <c r="AZ24" s="52"/>
      <c r="BA24" s="52"/>
      <c r="BB24" s="52"/>
      <c r="BC24" s="52"/>
      <c r="BE24" s="53" t="e">
        <f t="shared" si="14"/>
        <v>#DIV/0!</v>
      </c>
      <c r="BF24" s="53" t="e">
        <f t="shared" si="15"/>
        <v>#VALUE!</v>
      </c>
      <c r="BG24" s="53"/>
      <c r="BI24" s="62"/>
      <c r="BJ24" s="62"/>
      <c r="BK24" s="62"/>
      <c r="BL24" s="62"/>
      <c r="BM24" s="62"/>
      <c r="BN24" s="59"/>
      <c r="BO24" s="62"/>
      <c r="BP24" s="62"/>
      <c r="BQ24" s="62"/>
      <c r="BR24" s="62"/>
      <c r="BS24" s="62"/>
      <c r="BU24" s="4">
        <f t="shared" si="16"/>
        <v>0</v>
      </c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250294582</v>
      </c>
      <c r="E25" s="16">
        <v>10</v>
      </c>
      <c r="F25" s="16">
        <v>300</v>
      </c>
      <c r="G25" s="16">
        <v>30</v>
      </c>
      <c r="I25" s="17" t="str">
        <f t="shared" si="0"/>
        <v>·</v>
      </c>
      <c r="J25" s="18" t="str">
        <f t="shared" si="1"/>
        <v>·</v>
      </c>
      <c r="K25" s="18" t="str">
        <f t="shared" si="2"/>
        <v>·</v>
      </c>
      <c r="L25" s="18" t="str">
        <f t="shared" si="3"/>
        <v>·</v>
      </c>
      <c r="M25" s="18" t="str">
        <f t="shared" si="4"/>
        <v>·</v>
      </c>
      <c r="N25" s="15" t="str">
        <f t="shared" si="5"/>
        <v/>
      </c>
      <c r="O25" s="18" t="str">
        <f t="shared" si="6"/>
        <v>·</v>
      </c>
      <c r="P25" s="19"/>
      <c r="Q25" s="19"/>
      <c r="R25" s="19"/>
      <c r="S25" s="20"/>
      <c r="T25" s="20"/>
      <c r="U25" s="20"/>
      <c r="V25" s="20"/>
      <c r="W25" s="21"/>
      <c r="X25" s="21"/>
      <c r="Y25" s="21"/>
      <c r="Z25" s="21"/>
      <c r="AA25" s="21"/>
      <c r="AB25" s="22"/>
      <c r="AC25" s="22"/>
      <c r="AD25" s="22"/>
      <c r="AE25" s="22"/>
      <c r="AG25" s="17" t="str">
        <f t="shared" si="7"/>
        <v>·</v>
      </c>
      <c r="AH25" s="18" t="str">
        <f t="shared" si="8"/>
        <v>·</v>
      </c>
      <c r="AI25" s="18" t="str">
        <f t="shared" si="9"/>
        <v>·</v>
      </c>
      <c r="AJ25" s="18" t="str">
        <f t="shared" si="10"/>
        <v>·</v>
      </c>
      <c r="AK25" s="18" t="str">
        <f t="shared" si="11"/>
        <v>·</v>
      </c>
      <c r="AL25" s="15" t="str">
        <f t="shared" si="12"/>
        <v/>
      </c>
      <c r="AM25" s="18" t="str">
        <f t="shared" si="13"/>
        <v>·</v>
      </c>
      <c r="AN25" s="19"/>
      <c r="AO25" s="19"/>
      <c r="AP25" s="19"/>
      <c r="AQ25" s="20"/>
      <c r="AR25" s="20"/>
      <c r="AS25" s="20"/>
      <c r="AT25" s="20"/>
      <c r="AU25" s="21"/>
      <c r="AV25" s="21"/>
      <c r="AW25" s="21"/>
      <c r="AX25" s="21"/>
      <c r="AY25" s="21"/>
      <c r="AZ25" s="22"/>
      <c r="BA25" s="22"/>
      <c r="BB25" s="22"/>
      <c r="BC25" s="22"/>
      <c r="BE25" s="23" t="e">
        <f t="shared" si="14"/>
        <v>#DIV/0!</v>
      </c>
      <c r="BF25" s="23" t="e">
        <f t="shared" si="15"/>
        <v>#VALUE!</v>
      </c>
      <c r="BG25" s="23" t="e">
        <f t="array" ref="BG25">AVERAGE(AL25:AL29/AQ25:AQ29) - AVERAGE(N25:N29/S25:S29)</f>
        <v>#VALUE!</v>
      </c>
      <c r="BI25" s="58" t="str">
        <f>IF( OR(ISBLANK(N25:N29),ISBLANK(AL25:AL29), ISBLANK(W25:W29),ISBLANK(AU25:AU29)), "·", bdRateExtend( N25:N29,W25:W29, AL25:AL29,AU25:AU29))</f>
        <v>·</v>
      </c>
      <c r="BJ25" s="58" t="str">
        <f>IF( OR(ISBLANK(N25:N29),ISBLANK(AL25:AL29), ISBLANK(X25:X29),ISBLANK(AV25:AV29)), "·", bdRateExtend( N25:N29,X25:X29, AL25:AL29,AV25:AV29))</f>
        <v>·</v>
      </c>
      <c r="BK25" s="58" t="str">
        <f>IF( OR(ISBLANK(V25:V29),ISBLANK(AT25:AT29), ISBLANK(Y25:Y29),ISBLANK(AW25:AW29)), "·", bdRateExtend( V25:V29,Y25:Y29, AT25:AT29,AW25:AW29))</f>
        <v>·</v>
      </c>
      <c r="BL25" s="58" t="str">
        <f>IF( OR(ISBLANK(V25:V29),ISBLANK(AT25:AT29), ISBLANK(Z25:Z29),ISBLANK(AX25:AX29)), "·", bdRateExtend( V25:V29,Z25:Z29, AT25:AT29,AX25:AX29))</f>
        <v>·</v>
      </c>
      <c r="BM25" s="58" t="str">
        <f>IF( OR(ISBLANK(V25:V29),ISBLANK(AT25:AT29), ISBLANK(AA25:AA29),ISBLANK(AY25:AY29)), "·", bdRateExtend( V25:V29,AA25:AA29, AT25:AT29,AY25:AY29))</f>
        <v>·</v>
      </c>
      <c r="BN25" s="59"/>
      <c r="BO25" s="58" t="str">
        <f>IF( OR(ISBLANK(S25:S29),ISBLANK(AQ25:AQ29), ISBLANK(W25:W29),ISBLANK(AU25:AU29)), "·", bdRateExtend( S25:S29,W25:W29, AQ25:AQ29,AU25:AU29))</f>
        <v>·</v>
      </c>
      <c r="BP25" s="58" t="str">
        <f>IF( OR(ISBLANK(S25:S29),ISBLANK(AQ25:AQ29), ISBLANK(X25:X29),ISBLANK(AV25:AV29)), "·", bdRateExtend( S25:S29,X25:X29, AQ25:AQ29,AV25:AV29))</f>
        <v>·</v>
      </c>
      <c r="BQ25" s="58" t="str">
        <f>IF( OR(ISBLANK(S25:S29),ISBLANK(AQ25:AQ29), ISBLANK(Y25:Y29),ISBLANK(AW25:AW29)), "·", bdRateExtend( S25:S29,Y25:Y29, AQ25:AQ29,AW25:AW29))</f>
        <v>·</v>
      </c>
      <c r="BR25" s="58" t="str">
        <f>IF( OR(ISBLANK(S25:S29),ISBLANK(AQ25:AQ29), ISBLANK(Z25:Z29),ISBLANK(AX25:AX29)), "·", bdRateExtend( S25:S29,Z25:Z29, AQ25:AQ29,AX25:AX29))</f>
        <v>·</v>
      </c>
      <c r="BS25" s="58" t="str">
        <f>IF( OR(ISBLANK(S25:S29),ISBLANK(AQ25:AQ29), ISBLANK(AA25:AA29),ISBLANK(AY25:AY29)), "·", bdRateExtend( S25:S29,AA25:AA29, AQ25:AQ29,AY25:AY29))</f>
        <v>·</v>
      </c>
      <c r="BU25" s="4">
        <f t="shared" si="16"/>
        <v>0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250294582</v>
      </c>
      <c r="E26" s="26">
        <v>10</v>
      </c>
      <c r="F26" s="26">
        <v>300</v>
      </c>
      <c r="G26" s="26">
        <v>30</v>
      </c>
      <c r="I26" s="27" t="str">
        <f t="shared" si="0"/>
        <v>·</v>
      </c>
      <c r="J26" s="28" t="str">
        <f t="shared" si="1"/>
        <v>·</v>
      </c>
      <c r="K26" s="28" t="str">
        <f t="shared" si="2"/>
        <v>·</v>
      </c>
      <c r="L26" s="28" t="str">
        <f t="shared" si="3"/>
        <v>·</v>
      </c>
      <c r="M26" s="28" t="str">
        <f t="shared" si="4"/>
        <v>·</v>
      </c>
      <c r="N26" s="25" t="str">
        <f t="shared" si="5"/>
        <v/>
      </c>
      <c r="O26" s="28" t="str">
        <f t="shared" si="6"/>
        <v>·</v>
      </c>
      <c r="P26" s="29"/>
      <c r="Q26" s="29"/>
      <c r="R26" s="29"/>
      <c r="S26" s="30"/>
      <c r="T26" s="30"/>
      <c r="U26" s="30"/>
      <c r="V26" s="30"/>
      <c r="W26" s="31"/>
      <c r="X26" s="31"/>
      <c r="Y26" s="31"/>
      <c r="Z26" s="31"/>
      <c r="AA26" s="31"/>
      <c r="AB26" s="32"/>
      <c r="AC26" s="32"/>
      <c r="AD26" s="32"/>
      <c r="AE26" s="32"/>
      <c r="AG26" s="27" t="str">
        <f t="shared" si="7"/>
        <v>·</v>
      </c>
      <c r="AH26" s="28" t="str">
        <f t="shared" si="8"/>
        <v>·</v>
      </c>
      <c r="AI26" s="28" t="str">
        <f t="shared" si="9"/>
        <v>·</v>
      </c>
      <c r="AJ26" s="28" t="str">
        <f t="shared" si="10"/>
        <v>·</v>
      </c>
      <c r="AK26" s="28" t="str">
        <f t="shared" si="11"/>
        <v>·</v>
      </c>
      <c r="AL26" s="25" t="str">
        <f t="shared" si="12"/>
        <v/>
      </c>
      <c r="AM26" s="28" t="str">
        <f t="shared" si="13"/>
        <v>·</v>
      </c>
      <c r="AN26" s="29"/>
      <c r="AO26" s="29"/>
      <c r="AP26" s="29"/>
      <c r="AQ26" s="30"/>
      <c r="AR26" s="30"/>
      <c r="AS26" s="30"/>
      <c r="AT26" s="30"/>
      <c r="AU26" s="31"/>
      <c r="AV26" s="31"/>
      <c r="AW26" s="31"/>
      <c r="AX26" s="31"/>
      <c r="AY26" s="31"/>
      <c r="AZ26" s="32"/>
      <c r="BA26" s="32"/>
      <c r="BB26" s="32"/>
      <c r="BC26" s="32"/>
      <c r="BE26" s="33" t="e">
        <f t="shared" si="14"/>
        <v>#DIV/0!</v>
      </c>
      <c r="BF26" s="33" t="e">
        <f t="shared" si="15"/>
        <v>#VALUE!</v>
      </c>
      <c r="BG26" s="33"/>
      <c r="BI26" s="60"/>
      <c r="BJ26" s="60"/>
      <c r="BK26" s="60"/>
      <c r="BL26" s="60"/>
      <c r="BM26" s="60"/>
      <c r="BN26" s="59"/>
      <c r="BO26" s="60"/>
      <c r="BP26" s="60"/>
      <c r="BQ26" s="60"/>
      <c r="BR26" s="60"/>
      <c r="BS26" s="60"/>
      <c r="BU26" s="4">
        <f t="shared" si="16"/>
        <v>0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250294582</v>
      </c>
      <c r="E27" s="16">
        <v>10</v>
      </c>
      <c r="F27" s="16">
        <v>300</v>
      </c>
      <c r="G27" s="16">
        <v>30</v>
      </c>
      <c r="I27" s="17" t="str">
        <f t="shared" si="0"/>
        <v>·</v>
      </c>
      <c r="J27" s="18" t="str">
        <f t="shared" si="1"/>
        <v>·</v>
      </c>
      <c r="K27" s="18" t="str">
        <f t="shared" si="2"/>
        <v>·</v>
      </c>
      <c r="L27" s="18" t="str">
        <f t="shared" si="3"/>
        <v>·</v>
      </c>
      <c r="M27" s="18" t="str">
        <f t="shared" si="4"/>
        <v>·</v>
      </c>
      <c r="N27" s="15" t="str">
        <f t="shared" si="5"/>
        <v/>
      </c>
      <c r="O27" s="18" t="str">
        <f t="shared" si="6"/>
        <v>·</v>
      </c>
      <c r="P27" s="19"/>
      <c r="Q27" s="19"/>
      <c r="R27" s="19"/>
      <c r="S27" s="20"/>
      <c r="T27" s="20"/>
      <c r="U27" s="20"/>
      <c r="V27" s="20"/>
      <c r="W27" s="21"/>
      <c r="X27" s="21"/>
      <c r="Y27" s="21"/>
      <c r="Z27" s="21"/>
      <c r="AA27" s="21"/>
      <c r="AB27" s="22"/>
      <c r="AC27" s="22"/>
      <c r="AD27" s="22"/>
      <c r="AE27" s="22"/>
      <c r="AG27" s="17" t="str">
        <f t="shared" si="7"/>
        <v>·</v>
      </c>
      <c r="AH27" s="18" t="str">
        <f t="shared" si="8"/>
        <v>·</v>
      </c>
      <c r="AI27" s="18" t="str">
        <f t="shared" si="9"/>
        <v>·</v>
      </c>
      <c r="AJ27" s="18" t="str">
        <f t="shared" si="10"/>
        <v>·</v>
      </c>
      <c r="AK27" s="18" t="str">
        <f t="shared" si="11"/>
        <v>·</v>
      </c>
      <c r="AL27" s="15" t="str">
        <f t="shared" si="12"/>
        <v/>
      </c>
      <c r="AM27" s="18" t="str">
        <f t="shared" si="13"/>
        <v>·</v>
      </c>
      <c r="AN27" s="19"/>
      <c r="AO27" s="19"/>
      <c r="AP27" s="19"/>
      <c r="AQ27" s="20"/>
      <c r="AR27" s="20"/>
      <c r="AS27" s="20"/>
      <c r="AT27" s="20"/>
      <c r="AU27" s="21"/>
      <c r="AV27" s="21"/>
      <c r="AW27" s="21"/>
      <c r="AX27" s="21"/>
      <c r="AY27" s="21"/>
      <c r="AZ27" s="22"/>
      <c r="BA27" s="22"/>
      <c r="BB27" s="22"/>
      <c r="BC27" s="22"/>
      <c r="BE27" s="23" t="e">
        <f t="shared" si="14"/>
        <v>#DIV/0!</v>
      </c>
      <c r="BF27" s="23" t="e">
        <f t="shared" si="15"/>
        <v>#VALUE!</v>
      </c>
      <c r="BG27" s="23"/>
      <c r="BI27" s="58"/>
      <c r="BJ27" s="58"/>
      <c r="BK27" s="58"/>
      <c r="BL27" s="58"/>
      <c r="BM27" s="58"/>
      <c r="BN27" s="59"/>
      <c r="BO27" s="58"/>
      <c r="BP27" s="58"/>
      <c r="BQ27" s="58"/>
      <c r="BR27" s="58"/>
      <c r="BS27" s="58"/>
      <c r="BU27" s="4">
        <f t="shared" si="16"/>
        <v>0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250294582</v>
      </c>
      <c r="E28" s="26">
        <v>10</v>
      </c>
      <c r="F28" s="26">
        <v>300</v>
      </c>
      <c r="G28" s="26">
        <v>30</v>
      </c>
      <c r="I28" s="27" t="str">
        <f t="shared" si="0"/>
        <v>·</v>
      </c>
      <c r="J28" s="28" t="str">
        <f t="shared" si="1"/>
        <v>·</v>
      </c>
      <c r="K28" s="28" t="str">
        <f t="shared" si="2"/>
        <v>·</v>
      </c>
      <c r="L28" s="28" t="str">
        <f t="shared" si="3"/>
        <v>·</v>
      </c>
      <c r="M28" s="28" t="str">
        <f t="shared" si="4"/>
        <v>·</v>
      </c>
      <c r="N28" s="25" t="str">
        <f t="shared" si="5"/>
        <v/>
      </c>
      <c r="O28" s="28" t="str">
        <f t="shared" si="6"/>
        <v>·</v>
      </c>
      <c r="P28" s="29"/>
      <c r="Q28" s="29"/>
      <c r="R28" s="29"/>
      <c r="S28" s="30"/>
      <c r="T28" s="30"/>
      <c r="U28" s="30"/>
      <c r="V28" s="30"/>
      <c r="W28" s="31"/>
      <c r="X28" s="31"/>
      <c r="Y28" s="31"/>
      <c r="Z28" s="31"/>
      <c r="AA28" s="31"/>
      <c r="AB28" s="32"/>
      <c r="AC28" s="32"/>
      <c r="AD28" s="32"/>
      <c r="AE28" s="32"/>
      <c r="AG28" s="27" t="str">
        <f t="shared" si="7"/>
        <v>·</v>
      </c>
      <c r="AH28" s="28" t="str">
        <f t="shared" si="8"/>
        <v>·</v>
      </c>
      <c r="AI28" s="28" t="str">
        <f t="shared" si="9"/>
        <v>·</v>
      </c>
      <c r="AJ28" s="28" t="str">
        <f t="shared" si="10"/>
        <v>·</v>
      </c>
      <c r="AK28" s="28" t="str">
        <f t="shared" si="11"/>
        <v>·</v>
      </c>
      <c r="AL28" s="25" t="str">
        <f t="shared" si="12"/>
        <v/>
      </c>
      <c r="AM28" s="28" t="str">
        <f t="shared" si="13"/>
        <v>·</v>
      </c>
      <c r="AN28" s="29"/>
      <c r="AO28" s="29"/>
      <c r="AP28" s="29"/>
      <c r="AQ28" s="30"/>
      <c r="AR28" s="30"/>
      <c r="AS28" s="30"/>
      <c r="AT28" s="30"/>
      <c r="AU28" s="31"/>
      <c r="AV28" s="31"/>
      <c r="AW28" s="31"/>
      <c r="AX28" s="31"/>
      <c r="AY28" s="31"/>
      <c r="AZ28" s="32"/>
      <c r="BA28" s="32"/>
      <c r="BB28" s="32"/>
      <c r="BC28" s="32"/>
      <c r="BE28" s="33" t="e">
        <f t="shared" si="14"/>
        <v>#DIV/0!</v>
      </c>
      <c r="BF28" s="33" t="e">
        <f t="shared" si="15"/>
        <v>#VALUE!</v>
      </c>
      <c r="BG28" s="33"/>
      <c r="BI28" s="60"/>
      <c r="BJ28" s="60"/>
      <c r="BK28" s="60"/>
      <c r="BL28" s="60"/>
      <c r="BM28" s="60"/>
      <c r="BN28" s="59"/>
      <c r="BO28" s="60"/>
      <c r="BP28" s="60"/>
      <c r="BQ28" s="60"/>
      <c r="BR28" s="60"/>
      <c r="BS28" s="60"/>
      <c r="BU28" s="4">
        <f t="shared" si="16"/>
        <v>0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250294582</v>
      </c>
      <c r="E29" s="36">
        <v>10</v>
      </c>
      <c r="F29" s="36">
        <v>300</v>
      </c>
      <c r="G29" s="36">
        <v>30</v>
      </c>
      <c r="I29" s="37" t="str">
        <f t="shared" si="0"/>
        <v>·</v>
      </c>
      <c r="J29" s="38" t="str">
        <f t="shared" si="1"/>
        <v>·</v>
      </c>
      <c r="K29" s="38" t="str">
        <f t="shared" si="2"/>
        <v>·</v>
      </c>
      <c r="L29" s="38" t="str">
        <f t="shared" si="3"/>
        <v>·</v>
      </c>
      <c r="M29" s="38" t="str">
        <f t="shared" si="4"/>
        <v>·</v>
      </c>
      <c r="N29" s="35" t="str">
        <f t="shared" si="5"/>
        <v/>
      </c>
      <c r="O29" s="38" t="str">
        <f t="shared" si="6"/>
        <v>·</v>
      </c>
      <c r="P29" s="39"/>
      <c r="Q29" s="39"/>
      <c r="R29" s="39"/>
      <c r="S29" s="40"/>
      <c r="T29" s="40"/>
      <c r="U29" s="40"/>
      <c r="V29" s="40"/>
      <c r="W29" s="41"/>
      <c r="X29" s="41"/>
      <c r="Y29" s="41"/>
      <c r="Z29" s="41"/>
      <c r="AA29" s="41"/>
      <c r="AB29" s="42"/>
      <c r="AC29" s="42"/>
      <c r="AD29" s="42"/>
      <c r="AE29" s="42"/>
      <c r="AG29" s="37" t="str">
        <f t="shared" si="7"/>
        <v>·</v>
      </c>
      <c r="AH29" s="38" t="str">
        <f t="shared" si="8"/>
        <v>·</v>
      </c>
      <c r="AI29" s="38" t="str">
        <f t="shared" si="9"/>
        <v>·</v>
      </c>
      <c r="AJ29" s="38" t="str">
        <f t="shared" si="10"/>
        <v>·</v>
      </c>
      <c r="AK29" s="38" t="str">
        <f t="shared" si="11"/>
        <v>·</v>
      </c>
      <c r="AL29" s="35" t="str">
        <f t="shared" si="12"/>
        <v/>
      </c>
      <c r="AM29" s="38" t="str">
        <f t="shared" si="13"/>
        <v>·</v>
      </c>
      <c r="AN29" s="39"/>
      <c r="AO29" s="39"/>
      <c r="AP29" s="39"/>
      <c r="AQ29" s="40"/>
      <c r="AR29" s="40"/>
      <c r="AS29" s="40"/>
      <c r="AT29" s="40"/>
      <c r="AU29" s="41"/>
      <c r="AV29" s="41"/>
      <c r="AW29" s="41"/>
      <c r="AX29" s="41"/>
      <c r="AY29" s="41"/>
      <c r="AZ29" s="42"/>
      <c r="BA29" s="42"/>
      <c r="BB29" s="42"/>
      <c r="BC29" s="42"/>
      <c r="BE29" s="43" t="e">
        <f t="shared" si="14"/>
        <v>#DIV/0!</v>
      </c>
      <c r="BF29" s="43" t="e">
        <f t="shared" si="15"/>
        <v>#VALUE!</v>
      </c>
      <c r="BG29" s="43"/>
      <c r="BI29" s="61"/>
      <c r="BJ29" s="61"/>
      <c r="BK29" s="61"/>
      <c r="BL29" s="61"/>
      <c r="BM29" s="61"/>
      <c r="BN29" s="59"/>
      <c r="BO29" s="61"/>
      <c r="BP29" s="61"/>
      <c r="BQ29" s="61"/>
      <c r="BR29" s="61"/>
      <c r="BS29" s="61"/>
      <c r="BU29" s="4">
        <f t="shared" si="16"/>
        <v>0</v>
      </c>
    </row>
    <row r="30" spans="1:73" x14ac:dyDescent="0.3">
      <c r="B30" s="55" t="s">
        <v>288</v>
      </c>
      <c r="J30" s="56" t="e">
        <f>AVERAGE(J5:J24)</f>
        <v>#DIV/0!</v>
      </c>
      <c r="K30" s="56" t="e">
        <f>AVERAGE(K5:K24)</f>
        <v>#DIV/0!</v>
      </c>
      <c r="L30" s="56" t="e">
        <f>AVERAGE(L5:L24)</f>
        <v>#DIV/0!</v>
      </c>
      <c r="M30" s="56" t="e">
        <f>AVERAGE(M5:M24)</f>
        <v>#DIV/0!</v>
      </c>
      <c r="AH30" s="56" t="e">
        <f>AVERAGE(AH5:AH24)</f>
        <v>#DIV/0!</v>
      </c>
      <c r="AI30" s="56" t="e">
        <f>AVERAGE(AI5:AI24)</f>
        <v>#DIV/0!</v>
      </c>
      <c r="AJ30" s="56" t="e">
        <f>AVERAGE(AJ5:AJ24)</f>
        <v>#DIV/0!</v>
      </c>
      <c r="AK30" s="56" t="e">
        <f>AVERAGE(AK5:AK24)</f>
        <v>#DIV/0!</v>
      </c>
      <c r="BG30" s="8" t="e">
        <f>AVERAGE(BG5:BG24)</f>
        <v>#VALUE!</v>
      </c>
      <c r="BI30" s="5" t="e">
        <f>AVERAGE(BI5:BI24)</f>
        <v>#DIV/0!</v>
      </c>
      <c r="BJ30" s="5" t="e">
        <f>AVERAGE(BJ5:BJ24)</f>
        <v>#DIV/0!</v>
      </c>
      <c r="BK30" s="5" t="e">
        <f>AVERAGE(BK5:BK24)</f>
        <v>#DIV/0!</v>
      </c>
      <c r="BL30" s="5" t="e">
        <f>AVERAGE(BL5:BL24)</f>
        <v>#DIV/0!</v>
      </c>
      <c r="BM30" s="5" t="e">
        <f>AVERAGE(BM5:BM24)</f>
        <v>#DIV/0!</v>
      </c>
      <c r="BO30" s="5" t="e">
        <f>AVERAGE(BO5:BO24)</f>
        <v>#DIV/0!</v>
      </c>
      <c r="BP30" s="5" t="e">
        <f>AVERAGE(BP5:BP24)</f>
        <v>#DIV/0!</v>
      </c>
      <c r="BQ30" s="5" t="e">
        <f>AVERAGE(BQ5:BQ24)</f>
        <v>#DIV/0!</v>
      </c>
      <c r="BR30" s="5" t="e">
        <f>AVERAGE(BR5:BR24)</f>
        <v>#DIV/0!</v>
      </c>
      <c r="BS30" s="5" t="e">
        <f>AVERAGE(BS5:BS24)</f>
        <v>#DIV/0!</v>
      </c>
    </row>
    <row r="31" spans="1:73" x14ac:dyDescent="0.3">
      <c r="B31" s="55" t="s">
        <v>289</v>
      </c>
      <c r="J31" s="56" t="e">
        <f>AVERAGE(J25:J29)</f>
        <v>#DIV/0!</v>
      </c>
      <c r="K31" s="56" t="e">
        <f>AVERAGE(K25:K29)</f>
        <v>#DIV/0!</v>
      </c>
      <c r="L31" s="56" t="e">
        <f>AVERAGE(L25:L29)</f>
        <v>#DIV/0!</v>
      </c>
      <c r="M31" s="56" t="e">
        <f>AVERAGE(M25:M29)</f>
        <v>#DIV/0!</v>
      </c>
      <c r="AH31" s="56" t="e">
        <f>AVERAGE(AH25:AH29)</f>
        <v>#DIV/0!</v>
      </c>
      <c r="AI31" s="56" t="e">
        <f>AVERAGE(AI25:AI29)</f>
        <v>#DIV/0!</v>
      </c>
      <c r="AJ31" s="56" t="e">
        <f>AVERAGE(AJ25:AJ29)</f>
        <v>#DIV/0!</v>
      </c>
      <c r="AK31" s="56" t="e">
        <f>AVERAGE(AK25:AK29)</f>
        <v>#DIV/0!</v>
      </c>
      <c r="BG31" s="8" t="e">
        <f>AVERAGE(BG25:BG29)</f>
        <v>#VALUE!</v>
      </c>
      <c r="BI31" s="5" t="e">
        <f>AVERAGE(BI25:BI29)</f>
        <v>#DIV/0!</v>
      </c>
      <c r="BJ31" s="5" t="e">
        <f>AVERAGE(BJ25:BJ29)</f>
        <v>#DIV/0!</v>
      </c>
      <c r="BK31" s="5" t="e">
        <f>AVERAGE(BK25:BK29)</f>
        <v>#DIV/0!</v>
      </c>
      <c r="BL31" s="5" t="e">
        <f>AVERAGE(BL25:BL29)</f>
        <v>#DIV/0!</v>
      </c>
      <c r="BM31" s="5" t="e">
        <f>AVERAGE(BM25:BM29)</f>
        <v>#DIV/0!</v>
      </c>
      <c r="BO31" s="5" t="e">
        <f>AVERAGE(BO25:BO29)</f>
        <v>#DIV/0!</v>
      </c>
      <c r="BP31" s="5" t="e">
        <f>AVERAGE(BP25:BP29)</f>
        <v>#DIV/0!</v>
      </c>
      <c r="BQ31" s="5" t="e">
        <f>AVERAGE(BQ25:BQ29)</f>
        <v>#DIV/0!</v>
      </c>
      <c r="BR31" s="5" t="e">
        <f>AVERAGE(BR25:BR29)</f>
        <v>#DIV/0!</v>
      </c>
      <c r="BS31" s="5" t="e">
        <f>AVERAGE(BS25:BS29)</f>
        <v>#DIV/0!</v>
      </c>
    </row>
    <row r="32" spans="1:73" collapsed="1" x14ac:dyDescent="0.3">
      <c r="B32" s="55" t="s">
        <v>290</v>
      </c>
      <c r="J32" s="56" t="e">
        <f>AVERAGE(J5:J29)</f>
        <v>#DIV/0!</v>
      </c>
      <c r="K32" s="56" t="e">
        <f>AVERAGE(K5:K29)</f>
        <v>#DIV/0!</v>
      </c>
      <c r="L32" s="56" t="e">
        <f>AVERAGE(L5:L29)</f>
        <v>#DIV/0!</v>
      </c>
      <c r="M32" s="56" t="e">
        <f>AVERAGE(M5:M29)</f>
        <v>#DIV/0!</v>
      </c>
      <c r="AH32" s="56" t="e">
        <f>AVERAGE(AH5:AH29)</f>
        <v>#DIV/0!</v>
      </c>
      <c r="AI32" s="56" t="e">
        <f>AVERAGE(AI5:AI29)</f>
        <v>#DIV/0!</v>
      </c>
      <c r="AJ32" s="56" t="e">
        <f>AVERAGE(AJ5:AJ29)</f>
        <v>#DIV/0!</v>
      </c>
      <c r="AK32" s="56" t="e">
        <f>AVERAGE(AK5:AK29)</f>
        <v>#DIV/0!</v>
      </c>
      <c r="BG32" s="8" t="e">
        <f>AVERAGE(BG5:BG29)</f>
        <v>#VALUE!</v>
      </c>
      <c r="BI32" s="5" t="e">
        <f>AVERAGE(BI5:BI29)</f>
        <v>#DIV/0!</v>
      </c>
      <c r="BJ32" s="5" t="e">
        <f>AVERAGE(BJ5:BJ29)</f>
        <v>#DIV/0!</v>
      </c>
      <c r="BK32" s="5" t="e">
        <f>AVERAGE(BK5:BK29)</f>
        <v>#DIV/0!</v>
      </c>
      <c r="BL32" s="5" t="e">
        <f>AVERAGE(BL5:BL29)</f>
        <v>#DIV/0!</v>
      </c>
      <c r="BM32" s="5" t="e">
        <f>AVERAGE(BM5:BM29)</f>
        <v>#DIV/0!</v>
      </c>
      <c r="BO32" s="5" t="e">
        <f>AVERAGE(BO5:BO29)</f>
        <v>#DIV/0!</v>
      </c>
      <c r="BP32" s="5" t="e">
        <f>AVERAGE(BP5:BP29)</f>
        <v>#DIV/0!</v>
      </c>
      <c r="BQ32" s="5" t="e">
        <f>AVERAGE(BQ5:BQ29)</f>
        <v>#DIV/0!</v>
      </c>
      <c r="BR32" s="5" t="e">
        <f>AVERAGE(BR5:BR29)</f>
        <v>#DIV/0!</v>
      </c>
      <c r="BS32" s="5" t="e">
        <f>AVERAGE(BS5:BS29)</f>
        <v>#DIV/0!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0</v>
      </c>
      <c r="AC33" s="57">
        <f>SUM(AC5:AC24,AC25:AC29)</f>
        <v>0</v>
      </c>
      <c r="AD33" s="57">
        <f>SUM(AD5:AD24,AD25:AD29)</f>
        <v>0</v>
      </c>
      <c r="AE33" s="57">
        <f>SUM(AE5:AE24,AE25:AE29)</f>
        <v>0</v>
      </c>
      <c r="AZ33" s="57">
        <f>SUM(AZ5:AZ24,AZ25:AZ29)</f>
        <v>0</v>
      </c>
      <c r="BA33" s="57">
        <f>SUM(BA5:BA24,BA25:BA29)</f>
        <v>0</v>
      </c>
      <c r="BB33" s="57">
        <f>SUM(BB5:BB24,BB25:BB29)</f>
        <v>0</v>
      </c>
      <c r="BC33" s="57">
        <f>SUM(BC5:BC24,BC25:BC29)</f>
        <v>0</v>
      </c>
    </row>
    <row r="34" spans="1:55" hidden="1" outlineLevel="2" x14ac:dyDescent="0.3">
      <c r="B34" s="55" t="s">
        <v>293</v>
      </c>
      <c r="AZ34" s="8" t="e">
        <f>AZ33/AB33</f>
        <v>#DIV/0!</v>
      </c>
      <c r="BA34" s="8" t="e">
        <f>BA33/AC33</f>
        <v>#DIV/0!</v>
      </c>
      <c r="BB34" s="8" t="e">
        <f>BB33/AD33</f>
        <v>#DIV/0!</v>
      </c>
      <c r="BC34" s="8" t="e">
        <f>BC33/AE33</f>
        <v>#DIV/0!</v>
      </c>
    </row>
    <row r="35" spans="1:55" hidden="1" outlineLevel="2" x14ac:dyDescent="0.3">
      <c r="B35" s="55" t="s">
        <v>294</v>
      </c>
      <c r="AB35" s="57" t="e">
        <f>GEOMEAN(AB5:AB24,AB25:AB29)</f>
        <v>#NUM!</v>
      </c>
      <c r="AC35" s="57" t="e">
        <f>GEOMEAN(AC5:AC24,AC25:AC29)</f>
        <v>#NUM!</v>
      </c>
      <c r="AD35" s="57" t="e">
        <f>GEOMEAN(AD5:AD24,AD25:AD29)</f>
        <v>#NUM!</v>
      </c>
      <c r="AE35" s="57" t="e">
        <f>GEOMEAN(AE5:AE24,AE25:AE29)</f>
        <v>#NUM!</v>
      </c>
      <c r="AZ35" s="57" t="e">
        <f>GEOMEAN(AZ5:AZ24,AZ25:AZ29)</f>
        <v>#NUM!</v>
      </c>
      <c r="BA35" s="57" t="e">
        <f>GEOMEAN(BA5:BA24,BA25:BA29)</f>
        <v>#NUM!</v>
      </c>
      <c r="BB35" s="57" t="e">
        <f>GEOMEAN(BB5:BB24,BB25:BB29)</f>
        <v>#NUM!</v>
      </c>
      <c r="BC35" s="57" t="e">
        <f>GEOMEAN(BC5:BC24,BC25:BC29)</f>
        <v>#NUM!</v>
      </c>
    </row>
    <row r="36" spans="1:55" outlineLevel="2" collapsed="1" x14ac:dyDescent="0.3">
      <c r="B36" s="55" t="s">
        <v>295</v>
      </c>
      <c r="AZ36" s="8" t="e">
        <f>AZ35/AB35</f>
        <v>#NUM!</v>
      </c>
      <c r="BA36" s="8" t="e">
        <f>BA35/AC35</f>
        <v>#NUM!</v>
      </c>
      <c r="BB36" s="8" t="e">
        <f>BB35/AD35</f>
        <v>#NUM!</v>
      </c>
      <c r="BC36" s="8" t="e">
        <f>BC35/AE35</f>
        <v>#NUM!</v>
      </c>
    </row>
    <row r="40" spans="1:55" x14ac:dyDescent="0.3"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</row>
    <row r="41" spans="1:55" x14ac:dyDescent="0.3"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</row>
    <row r="42" spans="1:55" x14ac:dyDescent="0.3"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</row>
    <row r="43" spans="1:55" x14ac:dyDescent="0.3"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</row>
    <row r="44" spans="1:55" x14ac:dyDescent="0.3"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</row>
    <row r="45" spans="1:55" x14ac:dyDescent="0.3"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</row>
    <row r="46" spans="1:55" x14ac:dyDescent="0.3"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</row>
    <row r="47" spans="1:55" x14ac:dyDescent="0.3"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</row>
    <row r="48" spans="1:55" x14ac:dyDescent="0.3"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</row>
    <row r="49" spans="40:51" x14ac:dyDescent="0.3"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</row>
    <row r="50" spans="40:51" x14ac:dyDescent="0.3"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</row>
    <row r="51" spans="40:51" x14ac:dyDescent="0.3"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</row>
    <row r="52" spans="40:51" x14ac:dyDescent="0.3"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</row>
    <row r="53" spans="40:51" x14ac:dyDescent="0.3"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</row>
    <row r="54" spans="40:51" x14ac:dyDescent="0.3"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</row>
    <row r="55" spans="40:51" x14ac:dyDescent="0.3"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</row>
    <row r="56" spans="40:51" x14ac:dyDescent="0.3"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</row>
    <row r="57" spans="40:51" x14ac:dyDescent="0.3"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</row>
    <row r="58" spans="40:51" x14ac:dyDescent="0.3"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</row>
    <row r="59" spans="40:51" x14ac:dyDescent="0.3"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</row>
    <row r="60" spans="40:51" x14ac:dyDescent="0.3"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</row>
    <row r="61" spans="40:51" x14ac:dyDescent="0.3"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</row>
    <row r="62" spans="40:51" x14ac:dyDescent="0.3"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</row>
    <row r="63" spans="40:51" x14ac:dyDescent="0.3"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</row>
    <row r="64" spans="40:51" x14ac:dyDescent="0.3"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</row>
    <row r="65" spans="40:51" x14ac:dyDescent="0.3"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</row>
    <row r="66" spans="40:51" x14ac:dyDescent="0.3"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31" priority="17" operator="greaterThanOrEqual">
      <formula>0.03</formula>
    </cfRule>
    <cfRule type="cellIs" dxfId="30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29" priority="15" operator="greaterThanOrEqual">
      <formula>0.03</formula>
    </cfRule>
    <cfRule type="cellIs" dxfId="28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27" priority="11" operator="greaterThanOrEqual">
      <formula>0.03</formula>
    </cfRule>
    <cfRule type="cellIs" dxfId="26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25" priority="5" operator="greaterThanOrEqual">
      <formula>0.03</formula>
    </cfRule>
    <cfRule type="cellIs" dxfId="24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23" priority="7" operator="greaterThanOrEqual">
      <formula>0.03</formula>
    </cfRule>
    <cfRule type="cellIs" dxfId="22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21" priority="1" operator="greaterThanOrEqual">
      <formula>0.03</formula>
    </cfRule>
    <cfRule type="cellIs" dxfId="20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19" priority="13" operator="greaterThanOrEqual">
      <formula>0.03</formula>
    </cfRule>
    <cfRule type="cellIs" dxfId="18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17" priority="19" operator="greaterThanOrEqual">
      <formula>0.03</formula>
    </cfRule>
    <cfRule type="cellIs" dxfId="16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15" priority="9" operator="greaterThanOrEqual">
      <formula>0.03</formula>
    </cfRule>
    <cfRule type="cellIs" dxfId="14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3" priority="3" operator="greaterThanOrEqual">
      <formula>0.03</formula>
    </cfRule>
    <cfRule type="cellIs" dxfId="12" priority="4" operator="lessThanOrEqual">
      <formula>-0.03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ColWidth="8.77734375" defaultRowHeight="14.4" x14ac:dyDescent="0.3"/>
  <sheetData>
    <row r="1" spans="1:2" x14ac:dyDescent="0.3">
      <c r="A1" t="s">
        <v>95</v>
      </c>
      <c r="B1">
        <v>1</v>
      </c>
    </row>
    <row r="2" spans="1:2" x14ac:dyDescent="0.3">
      <c r="A2" t="s">
        <v>98</v>
      </c>
      <c r="B2">
        <v>2</v>
      </c>
    </row>
    <row r="3" spans="1:2" x14ac:dyDescent="0.3">
      <c r="A3" t="s">
        <v>101</v>
      </c>
      <c r="B3">
        <v>3</v>
      </c>
    </row>
    <row r="4" spans="1:2" x14ac:dyDescent="0.3">
      <c r="A4" t="s">
        <v>104</v>
      </c>
      <c r="B4">
        <v>4</v>
      </c>
    </row>
    <row r="5" spans="1:2" x14ac:dyDescent="0.3">
      <c r="A5" t="s">
        <v>107</v>
      </c>
      <c r="B5">
        <v>5</v>
      </c>
    </row>
    <row r="6" spans="1:2" x14ac:dyDescent="0.3">
      <c r="A6" t="s">
        <v>110</v>
      </c>
      <c r="B6">
        <v>6</v>
      </c>
    </row>
    <row r="7" spans="1:2" x14ac:dyDescent="0.3">
      <c r="A7" t="s">
        <v>113</v>
      </c>
      <c r="B7">
        <v>7</v>
      </c>
    </row>
    <row r="8" spans="1:2" x14ac:dyDescent="0.3">
      <c r="A8" t="s">
        <v>116</v>
      </c>
      <c r="B8">
        <v>9</v>
      </c>
    </row>
    <row r="9" spans="1:2" x14ac:dyDescent="0.3">
      <c r="A9" t="s">
        <v>120</v>
      </c>
      <c r="B9">
        <v>10</v>
      </c>
    </row>
    <row r="10" spans="1:2" x14ac:dyDescent="0.3">
      <c r="A10" t="s">
        <v>123</v>
      </c>
      <c r="B10">
        <v>11</v>
      </c>
    </row>
    <row r="11" spans="1:2" x14ac:dyDescent="0.3">
      <c r="A11" t="s">
        <v>126</v>
      </c>
      <c r="B11">
        <v>12</v>
      </c>
    </row>
    <row r="12" spans="1:2" x14ac:dyDescent="0.3">
      <c r="A12" t="s">
        <v>129</v>
      </c>
      <c r="B12">
        <v>13</v>
      </c>
    </row>
    <row r="13" spans="1:2" x14ac:dyDescent="0.3">
      <c r="A13" t="s">
        <v>132</v>
      </c>
      <c r="B13">
        <v>14</v>
      </c>
    </row>
    <row r="14" spans="1:2" x14ac:dyDescent="0.3">
      <c r="A14" t="s">
        <v>135</v>
      </c>
      <c r="B14">
        <v>15</v>
      </c>
    </row>
    <row r="15" spans="1:2" x14ac:dyDescent="0.3">
      <c r="A15" t="s">
        <v>137</v>
      </c>
      <c r="B15">
        <v>16</v>
      </c>
    </row>
    <row r="16" spans="1:2" x14ac:dyDescent="0.3">
      <c r="A16" t="s">
        <v>139</v>
      </c>
      <c r="B16">
        <v>17</v>
      </c>
    </row>
    <row r="17" spans="1:2" x14ac:dyDescent="0.3">
      <c r="A17" t="s">
        <v>141</v>
      </c>
      <c r="B17">
        <v>18</v>
      </c>
    </row>
    <row r="18" spans="1:2" x14ac:dyDescent="0.3">
      <c r="A18" t="s">
        <v>144</v>
      </c>
      <c r="B18">
        <v>19</v>
      </c>
    </row>
    <row r="19" spans="1:2" x14ac:dyDescent="0.3">
      <c r="A19" t="s">
        <v>146</v>
      </c>
      <c r="B19">
        <v>20</v>
      </c>
    </row>
    <row r="20" spans="1:2" x14ac:dyDescent="0.3">
      <c r="A20" t="s">
        <v>149</v>
      </c>
      <c r="B20">
        <v>21</v>
      </c>
    </row>
    <row r="21" spans="1:2" x14ac:dyDescent="0.3">
      <c r="A21" t="s">
        <v>152</v>
      </c>
      <c r="B21">
        <v>22</v>
      </c>
    </row>
    <row r="22" spans="1:2" x14ac:dyDescent="0.3">
      <c r="A22" t="s">
        <v>156</v>
      </c>
      <c r="B22">
        <v>23</v>
      </c>
    </row>
    <row r="23" spans="1:2" x14ac:dyDescent="0.3">
      <c r="A23" t="s">
        <v>159</v>
      </c>
      <c r="B23">
        <v>24</v>
      </c>
    </row>
    <row r="24" spans="1:2" x14ac:dyDescent="0.3">
      <c r="A24" t="s">
        <v>163</v>
      </c>
      <c r="B24">
        <v>25</v>
      </c>
    </row>
    <row r="25" spans="1:2" x14ac:dyDescent="0.3">
      <c r="A25" t="s">
        <v>166</v>
      </c>
      <c r="B25">
        <v>26</v>
      </c>
    </row>
    <row r="26" spans="1:2" x14ac:dyDescent="0.3">
      <c r="A26" t="s">
        <v>169</v>
      </c>
      <c r="B26">
        <v>27</v>
      </c>
    </row>
    <row r="27" spans="1:2" x14ac:dyDescent="0.3">
      <c r="A27" t="s">
        <v>173</v>
      </c>
      <c r="B27">
        <v>28</v>
      </c>
    </row>
    <row r="28" spans="1:2" x14ac:dyDescent="0.3">
      <c r="A28" t="s">
        <v>176</v>
      </c>
      <c r="B28">
        <v>29</v>
      </c>
    </row>
    <row r="29" spans="1:2" x14ac:dyDescent="0.3">
      <c r="A29" t="s">
        <v>179</v>
      </c>
      <c r="B29">
        <v>30</v>
      </c>
    </row>
    <row r="30" spans="1:2" x14ac:dyDescent="0.3">
      <c r="A30" t="s">
        <v>181</v>
      </c>
      <c r="B30">
        <v>31</v>
      </c>
    </row>
    <row r="31" spans="1:2" x14ac:dyDescent="0.3">
      <c r="A31" t="s">
        <v>183</v>
      </c>
      <c r="B31">
        <v>33</v>
      </c>
    </row>
    <row r="32" spans="1:2" x14ac:dyDescent="0.3">
      <c r="A32" t="s">
        <v>185</v>
      </c>
      <c r="B32">
        <v>34</v>
      </c>
    </row>
    <row r="33" spans="1:2" x14ac:dyDescent="0.3">
      <c r="A33" t="s">
        <v>187</v>
      </c>
      <c r="B33">
        <v>35</v>
      </c>
    </row>
    <row r="34" spans="1:2" x14ac:dyDescent="0.3">
      <c r="A34" t="s">
        <v>189</v>
      </c>
      <c r="B34">
        <v>36</v>
      </c>
    </row>
    <row r="35" spans="1:2" x14ac:dyDescent="0.3">
      <c r="A35" t="s">
        <v>191</v>
      </c>
      <c r="B35">
        <v>37</v>
      </c>
    </row>
    <row r="36" spans="1:2" x14ac:dyDescent="0.3">
      <c r="A36" t="s">
        <v>194</v>
      </c>
      <c r="B36">
        <v>38</v>
      </c>
    </row>
    <row r="37" spans="1:2" x14ac:dyDescent="0.3">
      <c r="A37" t="s">
        <v>196</v>
      </c>
      <c r="B37">
        <v>39</v>
      </c>
    </row>
    <row r="38" spans="1:2" x14ac:dyDescent="0.3">
      <c r="A38" t="s">
        <v>198</v>
      </c>
      <c r="B38">
        <v>40</v>
      </c>
    </row>
    <row r="39" spans="1:2" x14ac:dyDescent="0.3">
      <c r="A39" t="s">
        <v>200</v>
      </c>
      <c r="B39">
        <v>41</v>
      </c>
    </row>
    <row r="40" spans="1:2" x14ac:dyDescent="0.3">
      <c r="A40" t="s">
        <v>202</v>
      </c>
      <c r="B40">
        <v>42</v>
      </c>
    </row>
    <row r="41" spans="1:2" x14ac:dyDescent="0.3">
      <c r="A41" t="s">
        <v>204</v>
      </c>
      <c r="B41">
        <v>43</v>
      </c>
    </row>
    <row r="42" spans="1:2" x14ac:dyDescent="0.3">
      <c r="A42" t="s">
        <v>206</v>
      </c>
      <c r="B42">
        <v>44</v>
      </c>
    </row>
    <row r="43" spans="1:2" x14ac:dyDescent="0.3">
      <c r="A43" t="s">
        <v>208</v>
      </c>
      <c r="B43">
        <v>45</v>
      </c>
    </row>
    <row r="44" spans="1:2" x14ac:dyDescent="0.3">
      <c r="A44" t="s">
        <v>210</v>
      </c>
      <c r="B44">
        <v>46</v>
      </c>
    </row>
    <row r="45" spans="1:2" x14ac:dyDescent="0.3">
      <c r="A45" t="s">
        <v>212</v>
      </c>
      <c r="B45">
        <v>47</v>
      </c>
    </row>
    <row r="46" spans="1:2" x14ac:dyDescent="0.3">
      <c r="A46" t="s">
        <v>214</v>
      </c>
      <c r="B46">
        <v>48</v>
      </c>
    </row>
    <row r="47" spans="1:2" x14ac:dyDescent="0.3">
      <c r="A47" t="s">
        <v>216</v>
      </c>
      <c r="B47">
        <v>49</v>
      </c>
    </row>
    <row r="48" spans="1:2" x14ac:dyDescent="0.3">
      <c r="A48" t="s">
        <v>218</v>
      </c>
      <c r="B48">
        <v>50</v>
      </c>
    </row>
    <row r="49" spans="1:2" x14ac:dyDescent="0.3">
      <c r="A49" t="s">
        <v>220</v>
      </c>
      <c r="B49">
        <v>51</v>
      </c>
    </row>
    <row r="50" spans="1:2" x14ac:dyDescent="0.3">
      <c r="A50" t="s">
        <v>222</v>
      </c>
      <c r="B50">
        <v>52</v>
      </c>
    </row>
    <row r="51" spans="1:2" x14ac:dyDescent="0.3">
      <c r="A51" t="s">
        <v>224</v>
      </c>
      <c r="B51">
        <v>53</v>
      </c>
    </row>
    <row r="52" spans="1:2" x14ac:dyDescent="0.3">
      <c r="A52" t="s">
        <v>226</v>
      </c>
      <c r="B52">
        <v>54</v>
      </c>
    </row>
    <row r="53" spans="1:2" x14ac:dyDescent="0.3">
      <c r="A53" t="s">
        <v>228</v>
      </c>
      <c r="B53">
        <v>55</v>
      </c>
    </row>
    <row r="54" spans="1:2" x14ac:dyDescent="0.3">
      <c r="A54" t="s">
        <v>231</v>
      </c>
      <c r="B54">
        <v>57</v>
      </c>
    </row>
    <row r="55" spans="1:2" x14ac:dyDescent="0.3">
      <c r="A55" t="s">
        <v>234</v>
      </c>
      <c r="B55">
        <v>58</v>
      </c>
    </row>
    <row r="56" spans="1:2" x14ac:dyDescent="0.3">
      <c r="A56" t="s">
        <v>236</v>
      </c>
      <c r="B56">
        <v>59</v>
      </c>
    </row>
    <row r="57" spans="1:2" x14ac:dyDescent="0.3">
      <c r="A57" t="s">
        <v>239</v>
      </c>
      <c r="B57">
        <v>61</v>
      </c>
    </row>
    <row r="58" spans="1:2" x14ac:dyDescent="0.3">
      <c r="A58" t="s">
        <v>241</v>
      </c>
      <c r="B58">
        <v>62</v>
      </c>
    </row>
    <row r="59" spans="1:2" x14ac:dyDescent="0.3">
      <c r="A59" t="s">
        <v>244</v>
      </c>
      <c r="B59">
        <v>63</v>
      </c>
    </row>
    <row r="60" spans="1:2" x14ac:dyDescent="0.3">
      <c r="A60" t="s">
        <v>246</v>
      </c>
      <c r="B60">
        <v>64</v>
      </c>
    </row>
    <row r="61" spans="1:2" x14ac:dyDescent="0.3">
      <c r="A61" t="s">
        <v>248</v>
      </c>
      <c r="B61">
        <v>65</v>
      </c>
    </row>
    <row r="62" spans="1:2" x14ac:dyDescent="0.3">
      <c r="A62" t="s">
        <v>251</v>
      </c>
      <c r="B62">
        <v>67</v>
      </c>
    </row>
    <row r="63" spans="1:2" x14ac:dyDescent="0.3">
      <c r="A63" t="s">
        <v>253</v>
      </c>
      <c r="B63">
        <v>68</v>
      </c>
    </row>
    <row r="64" spans="1:2" x14ac:dyDescent="0.3">
      <c r="A64" t="s">
        <v>256</v>
      </c>
      <c r="B64">
        <v>69</v>
      </c>
    </row>
    <row r="65" spans="1:24" x14ac:dyDescent="0.3">
      <c r="A65" t="s">
        <v>258</v>
      </c>
      <c r="B65">
        <v>70</v>
      </c>
    </row>
    <row r="66" spans="1:24" x14ac:dyDescent="0.3">
      <c r="A66" t="s">
        <v>260</v>
      </c>
      <c r="B66">
        <v>71</v>
      </c>
    </row>
    <row r="67" spans="1:24" x14ac:dyDescent="0.3">
      <c r="A67" t="s">
        <v>262</v>
      </c>
      <c r="B67" t="s">
        <v>263</v>
      </c>
    </row>
    <row r="68" spans="1:24" x14ac:dyDescent="0.3">
      <c r="A68" t="s">
        <v>264</v>
      </c>
      <c r="B68" t="s">
        <v>265</v>
      </c>
    </row>
    <row r="69" spans="1:24" x14ac:dyDescent="0.3">
      <c r="A69" t="s">
        <v>273</v>
      </c>
      <c r="B69" t="s">
        <v>274</v>
      </c>
    </row>
    <row r="70" spans="1:24" x14ac:dyDescent="0.3">
      <c r="A70" t="s">
        <v>276</v>
      </c>
      <c r="B70" t="s">
        <v>277</v>
      </c>
    </row>
    <row r="71" spans="1:24" x14ac:dyDescent="0.3">
      <c r="A71" t="s">
        <v>279</v>
      </c>
      <c r="B71" t="s">
        <v>280</v>
      </c>
    </row>
    <row r="72" spans="1:24" x14ac:dyDescent="0.3">
      <c r="A72" t="s">
        <v>282</v>
      </c>
      <c r="B72" t="s">
        <v>283</v>
      </c>
    </row>
    <row r="73" spans="1:24" x14ac:dyDescent="0.3">
      <c r="A73" t="s">
        <v>286</v>
      </c>
      <c r="B73" t="s">
        <v>287</v>
      </c>
    </row>
    <row r="74" spans="1:24" x14ac:dyDescent="0.3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3">
      <c r="A75" t="s">
        <v>304</v>
      </c>
      <c r="B75">
        <v>1</v>
      </c>
    </row>
    <row r="76" spans="1:24" x14ac:dyDescent="0.3">
      <c r="A76" t="s">
        <v>305</v>
      </c>
      <c r="B76">
        <v>2</v>
      </c>
    </row>
    <row r="77" spans="1:24" x14ac:dyDescent="0.3">
      <c r="A77" t="s">
        <v>306</v>
      </c>
      <c r="B77">
        <v>3</v>
      </c>
    </row>
    <row r="78" spans="1:24" x14ac:dyDescent="0.3">
      <c r="A78" t="s">
        <v>307</v>
      </c>
      <c r="B78">
        <v>4</v>
      </c>
    </row>
    <row r="79" spans="1:24" x14ac:dyDescent="0.3">
      <c r="A79" t="s">
        <v>308</v>
      </c>
      <c r="B79">
        <v>5</v>
      </c>
    </row>
    <row r="80" spans="1:24" x14ac:dyDescent="0.3">
      <c r="A80" t="s">
        <v>309</v>
      </c>
      <c r="B80">
        <v>6</v>
      </c>
    </row>
    <row r="81" spans="1:2" x14ac:dyDescent="0.3">
      <c r="A81" t="s">
        <v>312</v>
      </c>
      <c r="B81">
        <v>8</v>
      </c>
    </row>
    <row r="82" spans="1:2" x14ac:dyDescent="0.3">
      <c r="A82" t="s">
        <v>313</v>
      </c>
      <c r="B82">
        <v>9</v>
      </c>
    </row>
    <row r="83" spans="1:2" x14ac:dyDescent="0.3">
      <c r="A83" t="s">
        <v>314</v>
      </c>
      <c r="B83">
        <v>10</v>
      </c>
    </row>
    <row r="84" spans="1:2" x14ac:dyDescent="0.3">
      <c r="A84" t="s">
        <v>315</v>
      </c>
      <c r="B84">
        <v>11</v>
      </c>
    </row>
    <row r="85" spans="1:2" x14ac:dyDescent="0.3">
      <c r="A85" t="s">
        <v>316</v>
      </c>
      <c r="B85">
        <v>12</v>
      </c>
    </row>
    <row r="86" spans="1:2" x14ac:dyDescent="0.3">
      <c r="A86" t="s">
        <v>317</v>
      </c>
      <c r="B86">
        <v>13</v>
      </c>
    </row>
    <row r="87" spans="1:2" x14ac:dyDescent="0.3">
      <c r="A87" t="s">
        <v>318</v>
      </c>
      <c r="B87">
        <v>14</v>
      </c>
    </row>
    <row r="88" spans="1:2" x14ac:dyDescent="0.3">
      <c r="A88" t="s">
        <v>319</v>
      </c>
      <c r="B88">
        <v>15</v>
      </c>
    </row>
    <row r="89" spans="1:2" x14ac:dyDescent="0.3">
      <c r="A89" t="s">
        <v>320</v>
      </c>
      <c r="B89">
        <v>16</v>
      </c>
    </row>
    <row r="90" spans="1:2" x14ac:dyDescent="0.3">
      <c r="A90" t="s">
        <v>321</v>
      </c>
      <c r="B90">
        <v>17</v>
      </c>
    </row>
    <row r="91" spans="1:2" x14ac:dyDescent="0.3">
      <c r="A91" t="s">
        <v>322</v>
      </c>
      <c r="B91">
        <v>18</v>
      </c>
    </row>
    <row r="92" spans="1:2" x14ac:dyDescent="0.3">
      <c r="A92" t="s">
        <v>323</v>
      </c>
      <c r="B92">
        <v>19</v>
      </c>
    </row>
    <row r="93" spans="1:2" x14ac:dyDescent="0.3">
      <c r="A93" t="s">
        <v>324</v>
      </c>
      <c r="B93">
        <v>20</v>
      </c>
    </row>
    <row r="94" spans="1:2" x14ac:dyDescent="0.3">
      <c r="A94" t="s">
        <v>325</v>
      </c>
      <c r="B94">
        <v>21</v>
      </c>
    </row>
    <row r="95" spans="1:2" x14ac:dyDescent="0.3">
      <c r="A95" t="s">
        <v>326</v>
      </c>
      <c r="B95">
        <v>22</v>
      </c>
    </row>
    <row r="96" spans="1:2" x14ac:dyDescent="0.3">
      <c r="A96" t="s">
        <v>327</v>
      </c>
      <c r="B96">
        <v>23</v>
      </c>
    </row>
    <row r="97" spans="1:2" x14ac:dyDescent="0.3">
      <c r="A97" t="s">
        <v>328</v>
      </c>
      <c r="B97">
        <v>24</v>
      </c>
    </row>
    <row r="98" spans="1:2" x14ac:dyDescent="0.3">
      <c r="A98" t="s">
        <v>329</v>
      </c>
      <c r="B98">
        <v>25</v>
      </c>
    </row>
    <row r="99" spans="1:2" x14ac:dyDescent="0.3">
      <c r="A99" t="s">
        <v>330</v>
      </c>
      <c r="B99">
        <v>26</v>
      </c>
    </row>
    <row r="100" spans="1:2" x14ac:dyDescent="0.3">
      <c r="A100" t="s">
        <v>331</v>
      </c>
      <c r="B100">
        <v>27</v>
      </c>
    </row>
    <row r="101" spans="1:2" x14ac:dyDescent="0.3">
      <c r="A101" t="s">
        <v>332</v>
      </c>
      <c r="B101">
        <v>28</v>
      </c>
    </row>
    <row r="102" spans="1:2" x14ac:dyDescent="0.3">
      <c r="A102" t="s">
        <v>333</v>
      </c>
      <c r="B102">
        <v>29</v>
      </c>
    </row>
    <row r="103" spans="1:2" x14ac:dyDescent="0.3">
      <c r="A103" t="s">
        <v>335</v>
      </c>
      <c r="B103">
        <v>31</v>
      </c>
    </row>
    <row r="104" spans="1:2" x14ac:dyDescent="0.3">
      <c r="A104" t="s">
        <v>336</v>
      </c>
      <c r="B104">
        <v>32</v>
      </c>
    </row>
    <row r="105" spans="1:2" x14ac:dyDescent="0.3">
      <c r="A105" t="s">
        <v>337</v>
      </c>
      <c r="B105">
        <v>33</v>
      </c>
    </row>
    <row r="106" spans="1:2" x14ac:dyDescent="0.3">
      <c r="A106" t="s">
        <v>338</v>
      </c>
      <c r="B106">
        <v>34</v>
      </c>
    </row>
    <row r="107" spans="1:2" x14ac:dyDescent="0.3">
      <c r="A107" t="s">
        <v>339</v>
      </c>
      <c r="B107">
        <v>35</v>
      </c>
    </row>
    <row r="108" spans="1:2" x14ac:dyDescent="0.3">
      <c r="A108" t="s">
        <v>340</v>
      </c>
      <c r="B108">
        <v>36</v>
      </c>
    </row>
    <row r="109" spans="1:2" x14ac:dyDescent="0.3">
      <c r="A109" t="s">
        <v>341</v>
      </c>
      <c r="B109">
        <v>37</v>
      </c>
    </row>
    <row r="110" spans="1:2" x14ac:dyDescent="0.3">
      <c r="A110" t="s">
        <v>342</v>
      </c>
      <c r="B110">
        <v>38</v>
      </c>
    </row>
    <row r="111" spans="1:2" x14ac:dyDescent="0.3">
      <c r="A111" t="s">
        <v>343</v>
      </c>
      <c r="B111">
        <v>39</v>
      </c>
    </row>
    <row r="112" spans="1:2" x14ac:dyDescent="0.3">
      <c r="A112" t="s">
        <v>344</v>
      </c>
      <c r="B112">
        <v>40</v>
      </c>
    </row>
    <row r="113" spans="1:2" x14ac:dyDescent="0.3">
      <c r="A113" t="s">
        <v>345</v>
      </c>
      <c r="B113">
        <v>41</v>
      </c>
    </row>
    <row r="114" spans="1:2" x14ac:dyDescent="0.3">
      <c r="A114" t="s">
        <v>346</v>
      </c>
      <c r="B114">
        <v>42</v>
      </c>
    </row>
    <row r="115" spans="1:2" x14ac:dyDescent="0.3">
      <c r="A115" t="s">
        <v>347</v>
      </c>
      <c r="B115">
        <v>43</v>
      </c>
    </row>
    <row r="116" spans="1:2" x14ac:dyDescent="0.3">
      <c r="A116" t="s">
        <v>348</v>
      </c>
      <c r="B116">
        <v>44</v>
      </c>
    </row>
    <row r="117" spans="1:2" x14ac:dyDescent="0.3">
      <c r="A117" t="s">
        <v>349</v>
      </c>
      <c r="B117">
        <v>45</v>
      </c>
    </row>
    <row r="118" spans="1:2" x14ac:dyDescent="0.3">
      <c r="A118" t="s">
        <v>350</v>
      </c>
      <c r="B118">
        <v>46</v>
      </c>
    </row>
    <row r="119" spans="1:2" x14ac:dyDescent="0.3">
      <c r="A119" t="s">
        <v>351</v>
      </c>
      <c r="B119">
        <v>47</v>
      </c>
    </row>
    <row r="120" spans="1:2" x14ac:dyDescent="0.3">
      <c r="A120" t="s">
        <v>352</v>
      </c>
      <c r="B120">
        <v>48</v>
      </c>
    </row>
    <row r="121" spans="1:2" x14ac:dyDescent="0.3">
      <c r="A121" t="s">
        <v>353</v>
      </c>
      <c r="B121">
        <v>49</v>
      </c>
    </row>
    <row r="122" spans="1:2" x14ac:dyDescent="0.3">
      <c r="A122" t="s">
        <v>354</v>
      </c>
      <c r="B122">
        <v>50</v>
      </c>
    </row>
    <row r="123" spans="1:2" x14ac:dyDescent="0.3">
      <c r="A123" t="s">
        <v>355</v>
      </c>
      <c r="B123">
        <v>51</v>
      </c>
    </row>
    <row r="124" spans="1:2" x14ac:dyDescent="0.3">
      <c r="A124" t="s">
        <v>356</v>
      </c>
      <c r="B124">
        <v>52</v>
      </c>
    </row>
    <row r="125" spans="1:2" x14ac:dyDescent="0.3">
      <c r="A125" t="s">
        <v>359</v>
      </c>
      <c r="B125">
        <v>54</v>
      </c>
    </row>
    <row r="126" spans="1:2" x14ac:dyDescent="0.3">
      <c r="A126" t="s">
        <v>361</v>
      </c>
      <c r="B126">
        <v>55</v>
      </c>
    </row>
    <row r="127" spans="1:2" x14ac:dyDescent="0.3">
      <c r="A127" t="s">
        <v>363</v>
      </c>
      <c r="B127">
        <v>56</v>
      </c>
    </row>
    <row r="128" spans="1:2" x14ac:dyDescent="0.3">
      <c r="A128" t="s">
        <v>364</v>
      </c>
      <c r="B128">
        <v>57</v>
      </c>
    </row>
    <row r="129" spans="1:23" x14ac:dyDescent="0.3">
      <c r="A129" t="s">
        <v>365</v>
      </c>
      <c r="B129">
        <v>58</v>
      </c>
    </row>
    <row r="130" spans="1:23" x14ac:dyDescent="0.3">
      <c r="A130" t="s">
        <v>367</v>
      </c>
      <c r="B130" t="s">
        <v>368</v>
      </c>
    </row>
    <row r="131" spans="1:23" x14ac:dyDescent="0.3">
      <c r="A131" t="s">
        <v>369</v>
      </c>
      <c r="B131" t="s">
        <v>370</v>
      </c>
    </row>
    <row r="132" spans="1:23" x14ac:dyDescent="0.3">
      <c r="A132" t="s">
        <v>371</v>
      </c>
      <c r="B132" t="s">
        <v>372</v>
      </c>
    </row>
    <row r="133" spans="1:23" x14ac:dyDescent="0.3">
      <c r="A133" t="s">
        <v>373</v>
      </c>
      <c r="B133" t="s">
        <v>374</v>
      </c>
    </row>
    <row r="134" spans="1:23" x14ac:dyDescent="0.3">
      <c r="A134" t="s">
        <v>375</v>
      </c>
      <c r="B134" t="s">
        <v>376</v>
      </c>
    </row>
    <row r="135" spans="1:23" x14ac:dyDescent="0.3">
      <c r="A135" t="s">
        <v>377</v>
      </c>
      <c r="B135" t="s">
        <v>378</v>
      </c>
    </row>
    <row r="136" spans="1:23" x14ac:dyDescent="0.3">
      <c r="A136" t="s">
        <v>379</v>
      </c>
      <c r="B136" t="s">
        <v>380</v>
      </c>
    </row>
    <row r="137" spans="1:23" x14ac:dyDescent="0.3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3">
      <c r="A138" t="s">
        <v>386</v>
      </c>
      <c r="B138">
        <v>1</v>
      </c>
    </row>
    <row r="139" spans="1:23" x14ac:dyDescent="0.3">
      <c r="A139" t="s">
        <v>387</v>
      </c>
      <c r="B139">
        <v>2</v>
      </c>
    </row>
    <row r="140" spans="1:23" x14ac:dyDescent="0.3">
      <c r="A140" t="s">
        <v>388</v>
      </c>
      <c r="B140">
        <v>3</v>
      </c>
    </row>
    <row r="141" spans="1:23" x14ac:dyDescent="0.3">
      <c r="A141" t="s">
        <v>389</v>
      </c>
      <c r="B141">
        <v>4</v>
      </c>
    </row>
    <row r="142" spans="1:23" x14ac:dyDescent="0.3">
      <c r="A142" t="s">
        <v>390</v>
      </c>
      <c r="B142">
        <v>5</v>
      </c>
    </row>
    <row r="143" spans="1:23" x14ac:dyDescent="0.3">
      <c r="A143" t="s">
        <v>391</v>
      </c>
      <c r="B143">
        <v>6</v>
      </c>
    </row>
    <row r="144" spans="1:23" x14ac:dyDescent="0.3">
      <c r="A144" t="s">
        <v>392</v>
      </c>
      <c r="B144">
        <v>8</v>
      </c>
    </row>
    <row r="145" spans="1:2" x14ac:dyDescent="0.3">
      <c r="A145" t="s">
        <v>393</v>
      </c>
      <c r="B145">
        <v>9</v>
      </c>
    </row>
    <row r="146" spans="1:2" x14ac:dyDescent="0.3">
      <c r="A146" t="s">
        <v>394</v>
      </c>
      <c r="B146">
        <v>10</v>
      </c>
    </row>
    <row r="147" spans="1:2" x14ac:dyDescent="0.3">
      <c r="A147" t="s">
        <v>395</v>
      </c>
      <c r="B147">
        <v>11</v>
      </c>
    </row>
    <row r="148" spans="1:2" x14ac:dyDescent="0.3">
      <c r="A148" t="s">
        <v>396</v>
      </c>
      <c r="B148">
        <v>12</v>
      </c>
    </row>
    <row r="149" spans="1:2" x14ac:dyDescent="0.3">
      <c r="A149" t="s">
        <v>397</v>
      </c>
      <c r="B149">
        <v>13</v>
      </c>
    </row>
    <row r="150" spans="1:2" x14ac:dyDescent="0.3">
      <c r="A150" t="s">
        <v>398</v>
      </c>
      <c r="B150">
        <v>14</v>
      </c>
    </row>
    <row r="151" spans="1:2" x14ac:dyDescent="0.3">
      <c r="A151" t="s">
        <v>399</v>
      </c>
      <c r="B151">
        <v>15</v>
      </c>
    </row>
    <row r="152" spans="1:2" x14ac:dyDescent="0.3">
      <c r="A152" t="s">
        <v>400</v>
      </c>
      <c r="B152">
        <v>16</v>
      </c>
    </row>
    <row r="153" spans="1:2" x14ac:dyDescent="0.3">
      <c r="A153" t="s">
        <v>401</v>
      </c>
      <c r="B153">
        <v>17</v>
      </c>
    </row>
    <row r="154" spans="1:2" x14ac:dyDescent="0.3">
      <c r="A154" t="s">
        <v>402</v>
      </c>
      <c r="B154">
        <v>18</v>
      </c>
    </row>
    <row r="155" spans="1:2" x14ac:dyDescent="0.3">
      <c r="A155" t="s">
        <v>403</v>
      </c>
      <c r="B155">
        <v>19</v>
      </c>
    </row>
    <row r="156" spans="1:2" x14ac:dyDescent="0.3">
      <c r="A156" t="s">
        <v>404</v>
      </c>
      <c r="B156">
        <v>20</v>
      </c>
    </row>
    <row r="157" spans="1:2" x14ac:dyDescent="0.3">
      <c r="A157" t="s">
        <v>405</v>
      </c>
      <c r="B157">
        <v>21</v>
      </c>
    </row>
    <row r="158" spans="1:2" x14ac:dyDescent="0.3">
      <c r="A158" t="s">
        <v>406</v>
      </c>
      <c r="B158">
        <v>22</v>
      </c>
    </row>
    <row r="159" spans="1:2" x14ac:dyDescent="0.3">
      <c r="A159" t="s">
        <v>407</v>
      </c>
      <c r="B159">
        <v>23</v>
      </c>
    </row>
    <row r="160" spans="1:2" x14ac:dyDescent="0.3">
      <c r="A160" t="s">
        <v>408</v>
      </c>
      <c r="B160">
        <v>24</v>
      </c>
    </row>
    <row r="161" spans="1:2" x14ac:dyDescent="0.3">
      <c r="A161" t="s">
        <v>409</v>
      </c>
      <c r="B161">
        <v>25</v>
      </c>
    </row>
    <row r="162" spans="1:2" x14ac:dyDescent="0.3">
      <c r="A162" t="s">
        <v>410</v>
      </c>
      <c r="B162">
        <v>26</v>
      </c>
    </row>
    <row r="163" spans="1:2" x14ac:dyDescent="0.3">
      <c r="A163" t="s">
        <v>411</v>
      </c>
      <c r="B163">
        <v>27</v>
      </c>
    </row>
    <row r="164" spans="1:2" x14ac:dyDescent="0.3">
      <c r="A164" t="s">
        <v>412</v>
      </c>
      <c r="B164">
        <v>28</v>
      </c>
    </row>
    <row r="165" spans="1:2" x14ac:dyDescent="0.3">
      <c r="A165" t="s">
        <v>413</v>
      </c>
      <c r="B165">
        <v>29</v>
      </c>
    </row>
    <row r="166" spans="1:2" x14ac:dyDescent="0.3">
      <c r="A166" t="s">
        <v>414</v>
      </c>
      <c r="B166">
        <v>31</v>
      </c>
    </row>
    <row r="167" spans="1:2" x14ac:dyDescent="0.3">
      <c r="A167" t="s">
        <v>415</v>
      </c>
      <c r="B167">
        <v>32</v>
      </c>
    </row>
    <row r="168" spans="1:2" x14ac:dyDescent="0.3">
      <c r="A168" t="s">
        <v>416</v>
      </c>
      <c r="B168">
        <v>33</v>
      </c>
    </row>
    <row r="169" spans="1:2" x14ac:dyDescent="0.3">
      <c r="A169" t="s">
        <v>417</v>
      </c>
      <c r="B169">
        <v>34</v>
      </c>
    </row>
    <row r="170" spans="1:2" x14ac:dyDescent="0.3">
      <c r="A170" t="s">
        <v>418</v>
      </c>
      <c r="B170">
        <v>35</v>
      </c>
    </row>
    <row r="171" spans="1:2" x14ac:dyDescent="0.3">
      <c r="A171" t="s">
        <v>419</v>
      </c>
      <c r="B171">
        <v>36</v>
      </c>
    </row>
    <row r="172" spans="1:2" x14ac:dyDescent="0.3">
      <c r="A172" t="s">
        <v>420</v>
      </c>
      <c r="B172">
        <v>37</v>
      </c>
    </row>
    <row r="173" spans="1:2" x14ac:dyDescent="0.3">
      <c r="A173" t="s">
        <v>421</v>
      </c>
      <c r="B173">
        <v>38</v>
      </c>
    </row>
    <row r="174" spans="1:2" x14ac:dyDescent="0.3">
      <c r="A174" t="s">
        <v>422</v>
      </c>
      <c r="B174">
        <v>39</v>
      </c>
    </row>
    <row r="175" spans="1:2" x14ac:dyDescent="0.3">
      <c r="A175" t="s">
        <v>423</v>
      </c>
      <c r="B175">
        <v>40</v>
      </c>
    </row>
    <row r="176" spans="1:2" x14ac:dyDescent="0.3">
      <c r="A176" t="s">
        <v>424</v>
      </c>
      <c r="B176">
        <v>41</v>
      </c>
    </row>
    <row r="177" spans="1:2" x14ac:dyDescent="0.3">
      <c r="A177" t="s">
        <v>425</v>
      </c>
      <c r="B177">
        <v>42</v>
      </c>
    </row>
    <row r="178" spans="1:2" x14ac:dyDescent="0.3">
      <c r="A178" t="s">
        <v>426</v>
      </c>
      <c r="B178">
        <v>43</v>
      </c>
    </row>
    <row r="179" spans="1:2" x14ac:dyDescent="0.3">
      <c r="A179" t="s">
        <v>427</v>
      </c>
      <c r="B179">
        <v>44</v>
      </c>
    </row>
    <row r="180" spans="1:2" x14ac:dyDescent="0.3">
      <c r="A180" t="s">
        <v>428</v>
      </c>
      <c r="B180">
        <v>45</v>
      </c>
    </row>
    <row r="181" spans="1:2" x14ac:dyDescent="0.3">
      <c r="A181" t="s">
        <v>429</v>
      </c>
      <c r="B181">
        <v>46</v>
      </c>
    </row>
    <row r="182" spans="1:2" x14ac:dyDescent="0.3">
      <c r="A182" t="s">
        <v>430</v>
      </c>
      <c r="B182">
        <v>47</v>
      </c>
    </row>
    <row r="183" spans="1:2" x14ac:dyDescent="0.3">
      <c r="A183" t="s">
        <v>431</v>
      </c>
      <c r="B183">
        <v>48</v>
      </c>
    </row>
    <row r="184" spans="1:2" x14ac:dyDescent="0.3">
      <c r="A184" t="s">
        <v>432</v>
      </c>
      <c r="B184">
        <v>49</v>
      </c>
    </row>
    <row r="185" spans="1:2" x14ac:dyDescent="0.3">
      <c r="A185" t="s">
        <v>433</v>
      </c>
      <c r="B185">
        <v>50</v>
      </c>
    </row>
    <row r="186" spans="1:2" x14ac:dyDescent="0.3">
      <c r="A186" t="s">
        <v>434</v>
      </c>
      <c r="B186">
        <v>51</v>
      </c>
    </row>
    <row r="187" spans="1:2" x14ac:dyDescent="0.3">
      <c r="A187" t="s">
        <v>435</v>
      </c>
      <c r="B187">
        <v>52</v>
      </c>
    </row>
    <row r="188" spans="1:2" x14ac:dyDescent="0.3">
      <c r="A188" t="s">
        <v>436</v>
      </c>
      <c r="B188">
        <v>54</v>
      </c>
    </row>
    <row r="189" spans="1:2" x14ac:dyDescent="0.3">
      <c r="A189" t="s">
        <v>437</v>
      </c>
      <c r="B189">
        <v>55</v>
      </c>
    </row>
    <row r="190" spans="1:2" x14ac:dyDescent="0.3">
      <c r="A190" t="s">
        <v>438</v>
      </c>
      <c r="B190">
        <v>56</v>
      </c>
    </row>
    <row r="191" spans="1:2" x14ac:dyDescent="0.3">
      <c r="A191" t="s">
        <v>439</v>
      </c>
      <c r="B191">
        <v>57</v>
      </c>
    </row>
    <row r="192" spans="1:2" x14ac:dyDescent="0.3">
      <c r="A192" t="s">
        <v>440</v>
      </c>
      <c r="B192">
        <v>58</v>
      </c>
    </row>
    <row r="193" spans="1:23" x14ac:dyDescent="0.3">
      <c r="A193" t="s">
        <v>442</v>
      </c>
      <c r="B193" t="s">
        <v>443</v>
      </c>
    </row>
    <row r="194" spans="1:23" x14ac:dyDescent="0.3">
      <c r="A194" t="s">
        <v>444</v>
      </c>
      <c r="B194" t="s">
        <v>445</v>
      </c>
    </row>
    <row r="195" spans="1:23" x14ac:dyDescent="0.3">
      <c r="A195" t="s">
        <v>446</v>
      </c>
      <c r="B195" t="s">
        <v>447</v>
      </c>
    </row>
    <row r="196" spans="1:23" x14ac:dyDescent="0.3">
      <c r="A196" t="s">
        <v>448</v>
      </c>
      <c r="B196" t="s">
        <v>449</v>
      </c>
    </row>
    <row r="197" spans="1:23" x14ac:dyDescent="0.3">
      <c r="A197" t="s">
        <v>450</v>
      </c>
      <c r="B197" t="s">
        <v>451</v>
      </c>
    </row>
    <row r="198" spans="1:23" x14ac:dyDescent="0.3">
      <c r="A198" t="s">
        <v>452</v>
      </c>
      <c r="B198" t="s">
        <v>453</v>
      </c>
    </row>
    <row r="199" spans="1:23" x14ac:dyDescent="0.3">
      <c r="A199" t="s">
        <v>454</v>
      </c>
      <c r="B199" t="s">
        <v>455</v>
      </c>
    </row>
    <row r="200" spans="1:23" x14ac:dyDescent="0.3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3">
      <c r="A201" t="s">
        <v>462</v>
      </c>
      <c r="B201">
        <v>1</v>
      </c>
    </row>
    <row r="202" spans="1:23" x14ac:dyDescent="0.3">
      <c r="A202" t="s">
        <v>463</v>
      </c>
      <c r="B202">
        <v>2</v>
      </c>
    </row>
    <row r="203" spans="1:23" x14ac:dyDescent="0.3">
      <c r="A203" t="s">
        <v>464</v>
      </c>
      <c r="B203">
        <v>3</v>
      </c>
    </row>
    <row r="204" spans="1:23" x14ac:dyDescent="0.3">
      <c r="A204" t="s">
        <v>465</v>
      </c>
      <c r="B204">
        <v>4</v>
      </c>
    </row>
    <row r="205" spans="1:23" x14ac:dyDescent="0.3">
      <c r="A205" t="s">
        <v>466</v>
      </c>
      <c r="B205">
        <v>5</v>
      </c>
    </row>
    <row r="206" spans="1:23" x14ac:dyDescent="0.3">
      <c r="A206" t="s">
        <v>467</v>
      </c>
      <c r="B206">
        <v>6</v>
      </c>
    </row>
    <row r="207" spans="1:23" x14ac:dyDescent="0.3">
      <c r="A207" t="s">
        <v>468</v>
      </c>
      <c r="B207">
        <v>7</v>
      </c>
    </row>
    <row r="208" spans="1:23" x14ac:dyDescent="0.3">
      <c r="A208" t="s">
        <v>469</v>
      </c>
      <c r="B208">
        <v>9</v>
      </c>
    </row>
    <row r="209" spans="1:2" x14ac:dyDescent="0.3">
      <c r="A209" t="s">
        <v>470</v>
      </c>
      <c r="B209">
        <v>10</v>
      </c>
    </row>
    <row r="210" spans="1:2" x14ac:dyDescent="0.3">
      <c r="A210" t="s">
        <v>471</v>
      </c>
      <c r="B210">
        <v>11</v>
      </c>
    </row>
    <row r="211" spans="1:2" x14ac:dyDescent="0.3">
      <c r="A211" t="s">
        <v>472</v>
      </c>
      <c r="B211">
        <v>12</v>
      </c>
    </row>
    <row r="212" spans="1:2" x14ac:dyDescent="0.3">
      <c r="A212" t="s">
        <v>473</v>
      </c>
      <c r="B212">
        <v>13</v>
      </c>
    </row>
    <row r="213" spans="1:2" x14ac:dyDescent="0.3">
      <c r="A213" t="s">
        <v>474</v>
      </c>
      <c r="B213">
        <v>14</v>
      </c>
    </row>
    <row r="214" spans="1:2" x14ac:dyDescent="0.3">
      <c r="A214" t="s">
        <v>475</v>
      </c>
      <c r="B214">
        <v>15</v>
      </c>
    </row>
    <row r="215" spans="1:2" x14ac:dyDescent="0.3">
      <c r="A215" t="s">
        <v>476</v>
      </c>
      <c r="B215">
        <v>16</v>
      </c>
    </row>
    <row r="216" spans="1:2" x14ac:dyDescent="0.3">
      <c r="A216" t="s">
        <v>477</v>
      </c>
      <c r="B216">
        <v>17</v>
      </c>
    </row>
    <row r="217" spans="1:2" x14ac:dyDescent="0.3">
      <c r="A217" t="s">
        <v>478</v>
      </c>
      <c r="B217">
        <v>18</v>
      </c>
    </row>
    <row r="218" spans="1:2" x14ac:dyDescent="0.3">
      <c r="A218" t="s">
        <v>479</v>
      </c>
      <c r="B218">
        <v>19</v>
      </c>
    </row>
    <row r="219" spans="1:2" x14ac:dyDescent="0.3">
      <c r="A219" t="s">
        <v>480</v>
      </c>
      <c r="B219">
        <v>20</v>
      </c>
    </row>
    <row r="220" spans="1:2" x14ac:dyDescent="0.3">
      <c r="A220" t="s">
        <v>481</v>
      </c>
      <c r="B220">
        <v>21</v>
      </c>
    </row>
    <row r="221" spans="1:2" x14ac:dyDescent="0.3">
      <c r="A221" t="s">
        <v>482</v>
      </c>
      <c r="B221">
        <v>22</v>
      </c>
    </row>
    <row r="222" spans="1:2" x14ac:dyDescent="0.3">
      <c r="A222" t="s">
        <v>483</v>
      </c>
      <c r="B222">
        <v>23</v>
      </c>
    </row>
    <row r="223" spans="1:2" x14ac:dyDescent="0.3">
      <c r="A223" t="s">
        <v>484</v>
      </c>
      <c r="B223">
        <v>24</v>
      </c>
    </row>
    <row r="224" spans="1:2" x14ac:dyDescent="0.3">
      <c r="A224" t="s">
        <v>485</v>
      </c>
      <c r="B224">
        <v>25</v>
      </c>
    </row>
    <row r="225" spans="1:2" x14ac:dyDescent="0.3">
      <c r="A225" t="s">
        <v>486</v>
      </c>
      <c r="B225">
        <v>26</v>
      </c>
    </row>
    <row r="226" spans="1:2" x14ac:dyDescent="0.3">
      <c r="A226" t="s">
        <v>487</v>
      </c>
      <c r="B226">
        <v>27</v>
      </c>
    </row>
    <row r="227" spans="1:2" x14ac:dyDescent="0.3">
      <c r="A227" t="s">
        <v>488</v>
      </c>
      <c r="B227">
        <v>28</v>
      </c>
    </row>
    <row r="228" spans="1:2" x14ac:dyDescent="0.3">
      <c r="A228" t="s">
        <v>489</v>
      </c>
      <c r="B228">
        <v>29</v>
      </c>
    </row>
    <row r="229" spans="1:2" x14ac:dyDescent="0.3">
      <c r="A229" t="s">
        <v>490</v>
      </c>
      <c r="B229">
        <v>30</v>
      </c>
    </row>
    <row r="230" spans="1:2" x14ac:dyDescent="0.3">
      <c r="A230" t="s">
        <v>491</v>
      </c>
      <c r="B230">
        <v>31</v>
      </c>
    </row>
    <row r="231" spans="1:2" x14ac:dyDescent="0.3">
      <c r="A231" t="s">
        <v>492</v>
      </c>
      <c r="B231">
        <v>33</v>
      </c>
    </row>
    <row r="232" spans="1:2" x14ac:dyDescent="0.3">
      <c r="A232" t="s">
        <v>493</v>
      </c>
      <c r="B232">
        <v>34</v>
      </c>
    </row>
    <row r="233" spans="1:2" x14ac:dyDescent="0.3">
      <c r="A233" t="s">
        <v>494</v>
      </c>
      <c r="B233">
        <v>35</v>
      </c>
    </row>
    <row r="234" spans="1:2" x14ac:dyDescent="0.3">
      <c r="A234" t="s">
        <v>495</v>
      </c>
      <c r="B234">
        <v>36</v>
      </c>
    </row>
    <row r="235" spans="1:2" x14ac:dyDescent="0.3">
      <c r="A235" t="s">
        <v>496</v>
      </c>
      <c r="B235">
        <v>37</v>
      </c>
    </row>
    <row r="236" spans="1:2" x14ac:dyDescent="0.3">
      <c r="A236" t="s">
        <v>497</v>
      </c>
      <c r="B236">
        <v>38</v>
      </c>
    </row>
    <row r="237" spans="1:2" x14ac:dyDescent="0.3">
      <c r="A237" t="s">
        <v>498</v>
      </c>
      <c r="B237">
        <v>39</v>
      </c>
    </row>
    <row r="238" spans="1:2" x14ac:dyDescent="0.3">
      <c r="A238" t="s">
        <v>499</v>
      </c>
      <c r="B238">
        <v>40</v>
      </c>
    </row>
    <row r="239" spans="1:2" x14ac:dyDescent="0.3">
      <c r="A239" t="s">
        <v>500</v>
      </c>
      <c r="B239">
        <v>41</v>
      </c>
    </row>
    <row r="240" spans="1:2" x14ac:dyDescent="0.3">
      <c r="A240" t="s">
        <v>501</v>
      </c>
      <c r="B240">
        <v>42</v>
      </c>
    </row>
    <row r="241" spans="1:2" x14ac:dyDescent="0.3">
      <c r="A241" t="s">
        <v>502</v>
      </c>
      <c r="B241">
        <v>43</v>
      </c>
    </row>
    <row r="242" spans="1:2" x14ac:dyDescent="0.3">
      <c r="A242" t="s">
        <v>503</v>
      </c>
      <c r="B242">
        <v>44</v>
      </c>
    </row>
    <row r="243" spans="1:2" x14ac:dyDescent="0.3">
      <c r="A243" t="s">
        <v>504</v>
      </c>
      <c r="B243">
        <v>45</v>
      </c>
    </row>
    <row r="244" spans="1:2" x14ac:dyDescent="0.3">
      <c r="A244" t="s">
        <v>505</v>
      </c>
      <c r="B244">
        <v>46</v>
      </c>
    </row>
    <row r="245" spans="1:2" x14ac:dyDescent="0.3">
      <c r="A245" t="s">
        <v>506</v>
      </c>
      <c r="B245">
        <v>47</v>
      </c>
    </row>
    <row r="246" spans="1:2" x14ac:dyDescent="0.3">
      <c r="A246" t="s">
        <v>507</v>
      </c>
      <c r="B246">
        <v>48</v>
      </c>
    </row>
    <row r="247" spans="1:2" x14ac:dyDescent="0.3">
      <c r="A247" t="s">
        <v>508</v>
      </c>
      <c r="B247">
        <v>49</v>
      </c>
    </row>
    <row r="248" spans="1:2" x14ac:dyDescent="0.3">
      <c r="A248" t="s">
        <v>509</v>
      </c>
      <c r="B248">
        <v>50</v>
      </c>
    </row>
    <row r="249" spans="1:2" x14ac:dyDescent="0.3">
      <c r="A249" t="s">
        <v>510</v>
      </c>
      <c r="B249">
        <v>51</v>
      </c>
    </row>
    <row r="250" spans="1:2" x14ac:dyDescent="0.3">
      <c r="A250" t="s">
        <v>511</v>
      </c>
      <c r="B250">
        <v>52</v>
      </c>
    </row>
    <row r="251" spans="1:2" x14ac:dyDescent="0.3">
      <c r="A251" t="s">
        <v>512</v>
      </c>
      <c r="B251">
        <v>53</v>
      </c>
    </row>
    <row r="252" spans="1:2" x14ac:dyDescent="0.3">
      <c r="A252" t="s">
        <v>513</v>
      </c>
      <c r="B252">
        <v>54</v>
      </c>
    </row>
    <row r="253" spans="1:2" x14ac:dyDescent="0.3">
      <c r="A253" t="s">
        <v>514</v>
      </c>
      <c r="B253">
        <v>55</v>
      </c>
    </row>
    <row r="254" spans="1:2" x14ac:dyDescent="0.3">
      <c r="A254" t="s">
        <v>515</v>
      </c>
      <c r="B254">
        <v>57</v>
      </c>
    </row>
    <row r="255" spans="1:2" x14ac:dyDescent="0.3">
      <c r="A255" t="s">
        <v>516</v>
      </c>
      <c r="B255">
        <v>58</v>
      </c>
    </row>
    <row r="256" spans="1:2" x14ac:dyDescent="0.3">
      <c r="A256" t="s">
        <v>517</v>
      </c>
      <c r="B256">
        <v>59</v>
      </c>
    </row>
    <row r="257" spans="1:2" x14ac:dyDescent="0.3">
      <c r="A257" t="s">
        <v>518</v>
      </c>
      <c r="B257">
        <v>61</v>
      </c>
    </row>
    <row r="258" spans="1:2" x14ac:dyDescent="0.3">
      <c r="A258" t="s">
        <v>519</v>
      </c>
      <c r="B258">
        <v>62</v>
      </c>
    </row>
    <row r="259" spans="1:2" x14ac:dyDescent="0.3">
      <c r="A259" t="s">
        <v>520</v>
      </c>
      <c r="B259">
        <v>63</v>
      </c>
    </row>
    <row r="260" spans="1:2" x14ac:dyDescent="0.3">
      <c r="A260" t="s">
        <v>521</v>
      </c>
      <c r="B260">
        <v>64</v>
      </c>
    </row>
    <row r="261" spans="1:2" x14ac:dyDescent="0.3">
      <c r="A261" t="s">
        <v>522</v>
      </c>
      <c r="B261">
        <v>65</v>
      </c>
    </row>
    <row r="262" spans="1:2" x14ac:dyDescent="0.3">
      <c r="A262" t="s">
        <v>523</v>
      </c>
      <c r="B262">
        <v>67</v>
      </c>
    </row>
    <row r="263" spans="1:2" x14ac:dyDescent="0.3">
      <c r="A263" t="s">
        <v>524</v>
      </c>
      <c r="B263">
        <v>68</v>
      </c>
    </row>
    <row r="264" spans="1:2" x14ac:dyDescent="0.3">
      <c r="A264" t="s">
        <v>525</v>
      </c>
      <c r="B264">
        <v>69</v>
      </c>
    </row>
    <row r="265" spans="1:2" x14ac:dyDescent="0.3">
      <c r="A265" t="s">
        <v>526</v>
      </c>
      <c r="B265">
        <v>70</v>
      </c>
    </row>
    <row r="266" spans="1:2" x14ac:dyDescent="0.3">
      <c r="A266" t="s">
        <v>527</v>
      </c>
      <c r="B266">
        <v>71</v>
      </c>
    </row>
    <row r="267" spans="1:2" x14ac:dyDescent="0.3">
      <c r="A267" t="s">
        <v>529</v>
      </c>
      <c r="B267" t="s">
        <v>530</v>
      </c>
    </row>
    <row r="268" spans="1:2" x14ac:dyDescent="0.3">
      <c r="A268" t="s">
        <v>531</v>
      </c>
      <c r="B268" t="s">
        <v>532</v>
      </c>
    </row>
    <row r="269" spans="1:2" x14ac:dyDescent="0.3">
      <c r="A269" t="s">
        <v>533</v>
      </c>
      <c r="B269" t="s">
        <v>534</v>
      </c>
    </row>
    <row r="270" spans="1:2" x14ac:dyDescent="0.3">
      <c r="A270" t="s">
        <v>535</v>
      </c>
      <c r="B270" t="s">
        <v>536</v>
      </c>
    </row>
    <row r="271" spans="1:2" x14ac:dyDescent="0.3">
      <c r="A271" t="s">
        <v>537</v>
      </c>
      <c r="B271" t="s">
        <v>538</v>
      </c>
    </row>
    <row r="272" spans="1:2" x14ac:dyDescent="0.3">
      <c r="A272" t="s">
        <v>539</v>
      </c>
      <c r="B272" t="s">
        <v>540</v>
      </c>
    </row>
    <row r="273" spans="1:24" x14ac:dyDescent="0.3">
      <c r="A273" t="s">
        <v>541</v>
      </c>
      <c r="B273" t="s">
        <v>542</v>
      </c>
    </row>
    <row r="274" spans="1:24" x14ac:dyDescent="0.3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24"/>
  <sheetViews>
    <sheetView zoomScale="85" zoomScaleNormal="85" workbookViewId="0">
      <pane xSplit="2" topLeftCell="L1" activePane="topRight" state="frozen"/>
      <selection pane="topRight" activeCell="AO28" sqref="AO28"/>
    </sheetView>
  </sheetViews>
  <sheetFormatPr defaultColWidth="8.77734375" defaultRowHeight="14.4" outlineLevelRow="2" x14ac:dyDescent="0.3"/>
  <cols>
    <col min="1" max="1" width="9.109375"/>
    <col min="2" max="2" width="24.6640625" customWidth="1"/>
    <col min="3" max="4" width="10.6640625" customWidth="1"/>
    <col min="5" max="6" width="9.109375"/>
    <col min="7" max="7" width="1.6640625" customWidth="1"/>
    <col min="8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09375"/>
    <col min="30" max="30" width="1.6640625" customWidth="1"/>
    <col min="31" max="32" width="9.109375"/>
    <col min="33" max="36" width="10.6640625" customWidth="1"/>
    <col min="37" max="37" width="24.6640625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09375"/>
    <col min="53" max="53" width="1.6640625" customWidth="1"/>
    <col min="54" max="58" width="9.109375"/>
    <col min="59" max="59" width="1.6640625" customWidth="1"/>
  </cols>
  <sheetData>
    <row r="1" spans="1:60" x14ac:dyDescent="0.3">
      <c r="A1" s="73" t="s">
        <v>366</v>
      </c>
      <c r="B1" s="73"/>
      <c r="C1" s="73"/>
      <c r="D1" s="73"/>
      <c r="E1" s="73"/>
      <c r="F1" s="73"/>
      <c r="H1" s="69" t="s">
        <v>551</v>
      </c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E1" s="70" t="s">
        <v>553</v>
      </c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</row>
    <row r="2" spans="1:60" ht="30" customHeight="1" x14ac:dyDescent="0.3">
      <c r="A2" s="75" t="s">
        <v>93</v>
      </c>
      <c r="B2" s="74" t="s">
        <v>96</v>
      </c>
      <c r="C2" s="75" t="s">
        <v>102</v>
      </c>
      <c r="D2" s="74" t="s">
        <v>105</v>
      </c>
      <c r="E2" s="75" t="s">
        <v>108</v>
      </c>
      <c r="F2" s="74" t="s">
        <v>111</v>
      </c>
      <c r="H2" s="75" t="s">
        <v>310</v>
      </c>
      <c r="I2" s="74" t="s">
        <v>114</v>
      </c>
      <c r="J2" s="72" t="s">
        <v>117</v>
      </c>
      <c r="K2" s="72"/>
      <c r="L2" s="72"/>
      <c r="M2" s="72"/>
      <c r="N2" s="75" t="s">
        <v>130</v>
      </c>
      <c r="O2" s="74" t="s">
        <v>133</v>
      </c>
      <c r="P2" s="75" t="s">
        <v>24</v>
      </c>
      <c r="Q2" s="71" t="s">
        <v>142</v>
      </c>
      <c r="R2" s="71"/>
      <c r="S2" s="71"/>
      <c r="T2" s="71"/>
      <c r="U2" s="72" t="s">
        <v>153</v>
      </c>
      <c r="V2" s="72"/>
      <c r="W2" s="71" t="s">
        <v>160</v>
      </c>
      <c r="X2" s="71"/>
      <c r="Y2" s="71"/>
      <c r="Z2" s="72" t="s">
        <v>170</v>
      </c>
      <c r="AA2" s="72"/>
      <c r="AB2" s="71" t="s">
        <v>177</v>
      </c>
      <c r="AC2" s="71"/>
      <c r="AE2" s="75" t="s">
        <v>310</v>
      </c>
      <c r="AF2" s="74" t="s">
        <v>114</v>
      </c>
      <c r="AG2" s="72" t="s">
        <v>117</v>
      </c>
      <c r="AH2" s="72"/>
      <c r="AI2" s="72"/>
      <c r="AJ2" s="72"/>
      <c r="AK2" s="75" t="s">
        <v>192</v>
      </c>
      <c r="AL2" s="74" t="s">
        <v>133</v>
      </c>
      <c r="AM2" s="75" t="s">
        <v>24</v>
      </c>
      <c r="AN2" s="71" t="s">
        <v>142</v>
      </c>
      <c r="AO2" s="71"/>
      <c r="AP2" s="71"/>
      <c r="AQ2" s="71"/>
      <c r="AR2" s="72" t="s">
        <v>153</v>
      </c>
      <c r="AS2" s="72"/>
      <c r="AT2" s="71" t="s">
        <v>160</v>
      </c>
      <c r="AU2" s="71"/>
      <c r="AV2" s="71"/>
      <c r="AW2" s="72" t="s">
        <v>170</v>
      </c>
      <c r="AX2" s="72"/>
      <c r="AY2" s="71" t="s">
        <v>177</v>
      </c>
      <c r="AZ2" s="71"/>
      <c r="BB2" s="72" t="s">
        <v>357</v>
      </c>
      <c r="BC2" s="72"/>
      <c r="BD2" s="72"/>
      <c r="BE2" s="74" t="s">
        <v>232</v>
      </c>
      <c r="BF2" s="75" t="s">
        <v>232</v>
      </c>
      <c r="BH2" t="s">
        <v>550</v>
      </c>
    </row>
    <row r="3" spans="1:60" ht="28.8" x14ac:dyDescent="0.3">
      <c r="A3" s="75"/>
      <c r="B3" s="74"/>
      <c r="C3" s="75"/>
      <c r="D3" s="74"/>
      <c r="E3" s="75"/>
      <c r="F3" s="74"/>
      <c r="H3" s="75"/>
      <c r="I3" s="74"/>
      <c r="J3" s="11" t="s">
        <v>118</v>
      </c>
      <c r="K3" s="11" t="s">
        <v>121</v>
      </c>
      <c r="L3" s="11" t="s">
        <v>124</v>
      </c>
      <c r="M3" s="11" t="s">
        <v>127</v>
      </c>
      <c r="N3" s="75"/>
      <c r="O3" s="74"/>
      <c r="P3" s="75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5"/>
      <c r="AF3" s="74"/>
      <c r="AG3" s="11" t="s">
        <v>118</v>
      </c>
      <c r="AH3" s="11" t="s">
        <v>121</v>
      </c>
      <c r="AI3" s="11" t="s">
        <v>124</v>
      </c>
      <c r="AJ3" s="11" t="s">
        <v>127</v>
      </c>
      <c r="AK3" s="75"/>
      <c r="AL3" s="74"/>
      <c r="AM3" s="75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74"/>
      <c r="BF3" s="75"/>
    </row>
    <row r="4" spans="1:60" ht="127.2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238146391</v>
      </c>
      <c r="D5" s="16">
        <v>10</v>
      </c>
      <c r="E5" s="16">
        <v>300</v>
      </c>
      <c r="F5" s="16">
        <v>30</v>
      </c>
      <c r="H5" s="23">
        <f>IF(ISBLANK(Q5),"·",Q5/(C5*D5*3))</f>
        <v>3.1617059161452223E-2</v>
      </c>
      <c r="I5" s="17">
        <f>IF(OR(ISBLANK(Q5),ISBLANK(F5)),"·",Q5*F5/E5/1000000)</f>
        <v>22.588465600000003</v>
      </c>
      <c r="J5" s="18">
        <f>IF(ISBLANK(Q5),"·",Q5/C5)</f>
        <v>0.94851177484356675</v>
      </c>
      <c r="K5" s="18">
        <f>IF(N5="","·",N5/C5)</f>
        <v>0.14704417670557937</v>
      </c>
      <c r="L5" s="18">
        <f>IF(R5="","·",R5/C5)</f>
        <v>0.13870305513048906</v>
      </c>
      <c r="M5" s="18">
        <f>IF(ISBLANK(T5),"·",T5/C5)</f>
        <v>0.80146558257101619</v>
      </c>
      <c r="N5" s="15">
        <f>IF(OR(ISBLANK(R5),ISBLANK(S5)),"",R5+S5)</f>
        <v>35018040</v>
      </c>
      <c r="O5" s="18">
        <f>IF(ISBLANK(Q5),"·",Q5/P5)</f>
        <v>9.048292362293882</v>
      </c>
      <c r="P5" s="19">
        <v>24964341</v>
      </c>
      <c r="Q5" s="20">
        <v>225884656</v>
      </c>
      <c r="R5" s="20">
        <v>33031632</v>
      </c>
      <c r="S5" s="20">
        <v>1986408</v>
      </c>
      <c r="T5" s="20">
        <v>190866136</v>
      </c>
      <c r="U5" s="21" t="s">
        <v>549</v>
      </c>
      <c r="V5" s="21" t="s">
        <v>549</v>
      </c>
      <c r="W5" s="21" t="s">
        <v>549</v>
      </c>
      <c r="X5" s="21" t="s">
        <v>549</v>
      </c>
      <c r="Y5" s="21" t="s">
        <v>549</v>
      </c>
      <c r="Z5" s="22">
        <v>3190.72</v>
      </c>
      <c r="AA5" s="22">
        <v>4186.16</v>
      </c>
      <c r="AB5" s="22">
        <v>3.141</v>
      </c>
      <c r="AC5" s="22">
        <v>21.143000000000001</v>
      </c>
      <c r="AE5" s="23">
        <f>IF(ISBLANK(AN5),"·",AN5/(C5*D5*3))</f>
        <v>3.1492013386561601E-2</v>
      </c>
      <c r="AF5" s="17">
        <f>IF(OR(ISBLANK(AN5),ISBLANK(F5)),"·",AN5*F5/E5/1000000)</f>
        <v>22.499127999999999</v>
      </c>
      <c r="AG5" s="18">
        <f>IF(ISBLANK(AN5),"·",AN5/C5)</f>
        <v>0.94476040159684804</v>
      </c>
      <c r="AH5" s="18">
        <f>IF(AK5="","·",AK5/C5)</f>
        <v>0.14329276986607789</v>
      </c>
      <c r="AI5" s="18">
        <f>IF(AO5="","·",AO5/C5)</f>
        <v>0.1347248298211666</v>
      </c>
      <c r="AJ5" s="18">
        <f>IF(ISBLANK(AQ5),"·",AQ5/C5)</f>
        <v>0.80146558257101619</v>
      </c>
      <c r="AK5" s="15">
        <f>IF(OR(ISBLANK(AO5),ISBLANK(AP5)),"",AO5+AP5)</f>
        <v>34124656</v>
      </c>
      <c r="AL5" s="18">
        <f>IF(ISBLANK(AN5),"·",AN5/AM5)</f>
        <v>9.0125062784553371</v>
      </c>
      <c r="AM5" s="4">
        <v>24964341</v>
      </c>
      <c r="AN5" s="4">
        <v>224991280</v>
      </c>
      <c r="AO5" s="4">
        <v>32084232</v>
      </c>
      <c r="AP5" s="4">
        <v>2040424</v>
      </c>
      <c r="AQ5" s="4">
        <v>190866136</v>
      </c>
      <c r="AR5" s="4" t="s">
        <v>549</v>
      </c>
      <c r="AS5" s="4" t="s">
        <v>549</v>
      </c>
      <c r="AT5" s="4" t="s">
        <v>549</v>
      </c>
      <c r="AU5" s="4" t="s">
        <v>549</v>
      </c>
      <c r="AV5" s="4" t="s">
        <v>549</v>
      </c>
      <c r="AW5" s="4">
        <v>2705.17</v>
      </c>
      <c r="AX5" s="4">
        <v>4009.85</v>
      </c>
      <c r="AY5" s="4">
        <v>2.3290000000000002</v>
      </c>
      <c r="AZ5" s="4">
        <v>15.244</v>
      </c>
      <c r="BB5" s="24">
        <f t="shared" ref="BB5:BB12" si="0">AG5/J5</f>
        <v>0.99604499032461946</v>
      </c>
      <c r="BC5" s="24">
        <f t="shared" ref="BC5:BD12" si="1">AI5/L5</f>
        <v>0.97131840170658224</v>
      </c>
      <c r="BD5" s="24">
        <f t="shared" si="1"/>
        <v>1</v>
      </c>
      <c r="BE5" s="23">
        <f>(AK5/AN5) - (N5/Q5)</f>
        <v>-3.3551847564365078E-3</v>
      </c>
      <c r="BF5" s="23">
        <f t="array" ref="BF5">AVERAGE(AK5:AK5/AN5:AN5) - AVERAGE(N5:N5/Q5:Q5)</f>
        <v>-3.3551847564365078E-3</v>
      </c>
      <c r="BH5">
        <f>AN5-Q5</f>
        <v>-893376</v>
      </c>
    </row>
    <row r="6" spans="1:60" collapsed="1" x14ac:dyDescent="0.3">
      <c r="A6" s="25"/>
      <c r="B6" s="25" t="s">
        <v>275</v>
      </c>
      <c r="C6" s="25">
        <v>218121242</v>
      </c>
      <c r="D6" s="26">
        <v>10</v>
      </c>
      <c r="E6" s="26">
        <v>300</v>
      </c>
      <c r="F6" s="26">
        <v>30</v>
      </c>
      <c r="H6" s="33">
        <f>IF(ISBLANK(Q6),"·",Q6/(C6*D6*3))</f>
        <v>4.4800878219829685E-2</v>
      </c>
      <c r="I6" s="27">
        <f>IF(OR(ISBLANK(Q6),ISBLANK(F6)),"·",Q6*F6/E6/1000000)</f>
        <v>29.316069600000002</v>
      </c>
      <c r="J6" s="28">
        <f>IF(ISBLANK(Q6),"·",Q6/C6)</f>
        <v>1.3440263465948905</v>
      </c>
      <c r="K6" s="28">
        <f>IF(N6="","·",N6/C6)</f>
        <v>0.178594545138341</v>
      </c>
      <c r="L6" s="28">
        <f>IF(R6="","·",R6/C6)</f>
        <v>0.16641416336699569</v>
      </c>
      <c r="M6" s="28">
        <f>IF(ISBLANK(T6),"·",T6/C6)</f>
        <v>1.16542960084557</v>
      </c>
      <c r="N6" s="25">
        <f>IF(OR(ISBLANK(R6),ISBLANK(S6)),"",R6+S6)</f>
        <v>38955264</v>
      </c>
      <c r="O6" s="28">
        <f>IF(ISBLANK(Q6),"·",Q6/P6)</f>
        <v>12.940341046654639</v>
      </c>
      <c r="P6" s="29">
        <v>22654789</v>
      </c>
      <c r="Q6" s="30">
        <v>293160696</v>
      </c>
      <c r="R6" s="30">
        <v>36298464</v>
      </c>
      <c r="S6" s="30">
        <v>2656800</v>
      </c>
      <c r="T6" s="30">
        <v>254204952</v>
      </c>
      <c r="U6" s="31" t="s">
        <v>549</v>
      </c>
      <c r="V6" s="31" t="s">
        <v>549</v>
      </c>
      <c r="W6" s="31" t="s">
        <v>549</v>
      </c>
      <c r="X6" s="31" t="s">
        <v>549</v>
      </c>
      <c r="Y6" s="31" t="s">
        <v>549</v>
      </c>
      <c r="Z6" s="32">
        <v>2793.04</v>
      </c>
      <c r="AA6" s="32">
        <v>4528.37</v>
      </c>
      <c r="AB6" s="32">
        <v>2.839</v>
      </c>
      <c r="AC6" s="32">
        <v>20.41</v>
      </c>
      <c r="AE6" s="33">
        <f>IF(ISBLANK(AN6),"·",AN6/(C6*D6*3))</f>
        <v>4.4622257071749723E-2</v>
      </c>
      <c r="AF6" s="27">
        <f>IF(OR(ISBLANK(AN6),ISBLANK(F6)),"·",AN6*F6/E6/1000000)</f>
        <v>29.199186399999999</v>
      </c>
      <c r="AG6" s="28">
        <f>IF(ISBLANK(AN6),"·",AN6/C6)</f>
        <v>1.3386677121524917</v>
      </c>
      <c r="AH6" s="28">
        <f>IF(AK6="","·",AK6/C6)</f>
        <v>0.17323587401909255</v>
      </c>
      <c r="AI6" s="28">
        <f>IF(AO6="","·",AO6/C6)</f>
        <v>0.15844835506667435</v>
      </c>
      <c r="AJ6" s="28">
        <f>IF(ISBLANK(AQ6),"·",AQ6/C6)</f>
        <v>1.16542960084557</v>
      </c>
      <c r="AK6" s="25">
        <f>IF(OR(ISBLANK(AO6),ISBLANK(AP6)),"",AO6+AP6)</f>
        <v>37786424</v>
      </c>
      <c r="AL6" s="28">
        <f>IF(ISBLANK(AN6),"·",AN6/AM6)</f>
        <v>12.888747893436571</v>
      </c>
      <c r="AM6" s="4">
        <v>22654789</v>
      </c>
      <c r="AN6" s="4">
        <v>291991864</v>
      </c>
      <c r="AO6" s="4">
        <v>34560952</v>
      </c>
      <c r="AP6" s="4">
        <v>3225472</v>
      </c>
      <c r="AQ6" s="4">
        <v>254204952</v>
      </c>
      <c r="AR6" s="4" t="s">
        <v>549</v>
      </c>
      <c r="AS6" s="4" t="s">
        <v>549</v>
      </c>
      <c r="AT6" s="4" t="s">
        <v>549</v>
      </c>
      <c r="AU6" s="4" t="s">
        <v>549</v>
      </c>
      <c r="AV6" s="4" t="s">
        <v>549</v>
      </c>
      <c r="AW6" s="4">
        <v>2418.1</v>
      </c>
      <c r="AX6" s="4">
        <v>4295.33</v>
      </c>
      <c r="AY6" s="4">
        <v>2.3980000000000001</v>
      </c>
      <c r="AZ6" s="4">
        <v>18.965</v>
      </c>
      <c r="BB6" s="34">
        <f t="shared" si="0"/>
        <v>0.99601299895945117</v>
      </c>
      <c r="BC6" s="34">
        <f t="shared" si="1"/>
        <v>0.95213263018512295</v>
      </c>
      <c r="BD6" s="34">
        <f t="shared" si="1"/>
        <v>1</v>
      </c>
      <c r="BE6" s="33">
        <f>(AK6/AN6) - (N6/Q6)</f>
        <v>-3.4710738443628208E-3</v>
      </c>
      <c r="BF6" s="33">
        <f t="array" ref="BF6">AVERAGE(AK6:AK6/AN6:AN6) - AVERAGE(N6:N6/Q6:Q6)</f>
        <v>-3.4710738443628208E-3</v>
      </c>
      <c r="BH6" s="4">
        <f t="shared" ref="BH6:BH9" si="2">AN6-Q6</f>
        <v>-1168832</v>
      </c>
    </row>
    <row r="7" spans="1:60" collapsed="1" x14ac:dyDescent="0.3">
      <c r="A7" s="15"/>
      <c r="B7" s="15" t="s">
        <v>278</v>
      </c>
      <c r="C7" s="15">
        <v>322589704</v>
      </c>
      <c r="D7" s="16">
        <v>10</v>
      </c>
      <c r="E7" s="16">
        <v>300</v>
      </c>
      <c r="F7" s="16">
        <v>30</v>
      </c>
      <c r="H7" s="23">
        <f>IF(ISBLANK(Q7),"·",Q7/(C7*D7*3))</f>
        <v>3.6281843225432472E-2</v>
      </c>
      <c r="I7" s="17">
        <f>IF(OR(ISBLANK(Q7),ISBLANK(F7)),"·",Q7*F7/E7/1000000)</f>
        <v>35.112447200000005</v>
      </c>
      <c r="J7" s="18">
        <f>IF(ISBLANK(Q7),"·",Q7/C7)</f>
        <v>1.0884552967629741</v>
      </c>
      <c r="K7" s="18">
        <f>IF(N7="","·",N7/C7)</f>
        <v>0.16977159320621094</v>
      </c>
      <c r="L7" s="18">
        <f>IF(R7="","·",R7/C7)</f>
        <v>0.15813888468058485</v>
      </c>
      <c r="M7" s="18">
        <f>IF(ISBLANK(T7),"·",T7/C7)</f>
        <v>0.91868221559854868</v>
      </c>
      <c r="N7" s="15">
        <f>IF(OR(ISBLANK(R7),ISBLANK(S7)),"",R7+S7)</f>
        <v>54766568</v>
      </c>
      <c r="O7" s="18">
        <f>IF(ISBLANK(Q7),"·",Q7/P7)</f>
        <v>10.343094990950496</v>
      </c>
      <c r="P7" s="19">
        <v>33947718</v>
      </c>
      <c r="Q7" s="20">
        <v>351124472</v>
      </c>
      <c r="R7" s="20">
        <v>51013976</v>
      </c>
      <c r="S7" s="20">
        <v>3752592</v>
      </c>
      <c r="T7" s="20">
        <v>296357424</v>
      </c>
      <c r="U7" s="21" t="s">
        <v>549</v>
      </c>
      <c r="V7" s="21" t="s">
        <v>549</v>
      </c>
      <c r="W7" s="21" t="s">
        <v>549</v>
      </c>
      <c r="X7" s="21" t="s">
        <v>549</v>
      </c>
      <c r="Y7" s="21" t="s">
        <v>549</v>
      </c>
      <c r="Z7" s="22">
        <v>3993.76</v>
      </c>
      <c r="AA7" s="22">
        <v>6272.86</v>
      </c>
      <c r="AB7" s="22">
        <v>4.0670000000000002</v>
      </c>
      <c r="AC7" s="22">
        <v>26.366</v>
      </c>
      <c r="AE7" s="23">
        <f>IF(ISBLANK(AN7),"·",AN7/(C7*D7*3))</f>
        <v>3.6065064246439807E-2</v>
      </c>
      <c r="AF7" s="17">
        <f>IF(OR(ISBLANK(AN7),ISBLANK(F7)),"·",AN7*F7/E7/1000000)</f>
        <v>34.902655200000005</v>
      </c>
      <c r="AG7" s="18">
        <f>IF(ISBLANK(AN7),"·",AN7/C7)</f>
        <v>1.0819519273931941</v>
      </c>
      <c r="AH7" s="18">
        <f>IF(AK7="","·",AK7/C7)</f>
        <v>0.16326819903712736</v>
      </c>
      <c r="AI7" s="18">
        <f>IF(AO7="","·",AO7/C7)</f>
        <v>0.15124633983978608</v>
      </c>
      <c r="AJ7" s="18">
        <f>IF(ISBLANK(AQ7),"·",AQ7/C7)</f>
        <v>0.91868221559854868</v>
      </c>
      <c r="AK7" s="15">
        <f>IF(OR(ISBLANK(AO7),ISBLANK(AP7)),"",AO7+AP7)</f>
        <v>52668640</v>
      </c>
      <c r="AL7" s="18">
        <f>IF(ISBLANK(AN7),"·",AN7/AM7)</f>
        <v>10.28129643353347</v>
      </c>
      <c r="AM7" s="4">
        <v>33947718</v>
      </c>
      <c r="AN7" s="4">
        <v>349026552</v>
      </c>
      <c r="AO7" s="4">
        <v>48790512</v>
      </c>
      <c r="AP7" s="4">
        <v>3878128</v>
      </c>
      <c r="AQ7" s="4">
        <v>296357424</v>
      </c>
      <c r="AR7" s="4" t="s">
        <v>549</v>
      </c>
      <c r="AS7" s="4" t="s">
        <v>549</v>
      </c>
      <c r="AT7" s="4" t="s">
        <v>549</v>
      </c>
      <c r="AU7" s="4" t="s">
        <v>549</v>
      </c>
      <c r="AV7" s="4" t="s">
        <v>549</v>
      </c>
      <c r="AW7" s="4">
        <v>3698.88</v>
      </c>
      <c r="AX7" s="4">
        <v>5996.37</v>
      </c>
      <c r="AY7" s="4">
        <v>3.44</v>
      </c>
      <c r="AZ7" s="4">
        <v>24.068000000000001</v>
      </c>
      <c r="BB7" s="24">
        <f t="shared" si="0"/>
        <v>0.99402513875478327</v>
      </c>
      <c r="BC7" s="24">
        <f t="shared" si="1"/>
        <v>0.95641461077254597</v>
      </c>
      <c r="BD7" s="24">
        <f t="shared" si="1"/>
        <v>1</v>
      </c>
      <c r="BE7" s="23">
        <f>(AK7/AN7) - (N7/Q7)</f>
        <v>-5.0732683378291177E-3</v>
      </c>
      <c r="BF7" s="23">
        <f t="array" ref="BF7">AVERAGE(AK7:AK7/AN7:AN7) - AVERAGE(N7:N7/Q7:Q7)</f>
        <v>-5.0732683378291177E-3</v>
      </c>
      <c r="BH7" s="4">
        <f t="shared" si="2"/>
        <v>-2097920</v>
      </c>
    </row>
    <row r="8" spans="1:60" collapsed="1" x14ac:dyDescent="0.3">
      <c r="A8" s="45"/>
      <c r="B8" s="45" t="s">
        <v>281</v>
      </c>
      <c r="C8" s="45">
        <v>250602891</v>
      </c>
      <c r="D8" s="46">
        <v>10</v>
      </c>
      <c r="E8" s="46">
        <v>250</v>
      </c>
      <c r="F8" s="46">
        <v>50</v>
      </c>
      <c r="H8" s="53">
        <f>IF(ISBLANK(Q8),"·",Q8/(C8*D8*3))</f>
        <v>3.5095498293087661E-2</v>
      </c>
      <c r="I8" s="47">
        <f>IF(OR(ISBLANK(Q8),ISBLANK(F8)),"·",Q8*F8/E8/1000000)</f>
        <v>52.770200000000003</v>
      </c>
      <c r="J8" s="48">
        <f>IF(ISBLANK(Q8),"·",Q8/C8)</f>
        <v>1.0528649487926298</v>
      </c>
      <c r="K8" s="48">
        <f>IF(N8="","·",N8/C8)</f>
        <v>0.14306848519157747</v>
      </c>
      <c r="L8" s="48">
        <f>IF(R8="","·",R8/C8)</f>
        <v>0.12947968744702151</v>
      </c>
      <c r="M8" s="48">
        <f>IF(ISBLANK(T8),"·",T8/C8)</f>
        <v>0.90979454822011607</v>
      </c>
      <c r="N8" s="45">
        <f>IF(OR(ISBLANK(R8),ISBLANK(S8)),"",R8+S8)</f>
        <v>35853376</v>
      </c>
      <c r="O8" s="48">
        <f>IF(ISBLANK(Q8),"·",Q8/P8)</f>
        <v>8.1916772564042386</v>
      </c>
      <c r="P8" s="49">
        <v>32209643</v>
      </c>
      <c r="Q8" s="50">
        <v>263851000</v>
      </c>
      <c r="R8" s="50">
        <v>32447984</v>
      </c>
      <c r="S8" s="50">
        <v>3405392</v>
      </c>
      <c r="T8" s="50">
        <v>227997144</v>
      </c>
      <c r="U8" s="51" t="s">
        <v>549</v>
      </c>
      <c r="V8" s="51" t="s">
        <v>549</v>
      </c>
      <c r="W8" s="51" t="s">
        <v>549</v>
      </c>
      <c r="X8" s="51" t="s">
        <v>549</v>
      </c>
      <c r="Y8" s="51" t="s">
        <v>549</v>
      </c>
      <c r="Z8" s="52">
        <v>3934.2</v>
      </c>
      <c r="AA8" s="52">
        <v>4497.3100000000004</v>
      </c>
      <c r="AB8" s="52">
        <v>3.266</v>
      </c>
      <c r="AC8" s="52">
        <v>19.989999999999998</v>
      </c>
      <c r="AE8" s="53">
        <f>IF(ISBLANK(AN8),"·",AN8/(C8*D8*3))</f>
        <v>3.4918308530872723E-2</v>
      </c>
      <c r="AF8" s="47">
        <f>IF(OR(ISBLANK(AN8),ISBLANK(F8)),"·",AN8*F8/E8/1000000)</f>
        <v>52.503774399999998</v>
      </c>
      <c r="AG8" s="48">
        <f>IF(ISBLANK(AN8),"·",AN8/C8)</f>
        <v>1.0475492559261816</v>
      </c>
      <c r="AH8" s="48">
        <f>IF(AK8="","·",AK8/C8)</f>
        <v>0.13775276040211365</v>
      </c>
      <c r="AI8" s="48">
        <f>IF(AO8="","·",AO8/C8)</f>
        <v>0.11814714459938133</v>
      </c>
      <c r="AJ8" s="48">
        <f>IF(ISBLANK(AQ8),"·",AQ8/C8)</f>
        <v>0.90979454822011607</v>
      </c>
      <c r="AK8" s="45">
        <f>IF(OR(ISBLANK(AO8),ISBLANK(AP8)),"",AO8+AP8)</f>
        <v>34521240</v>
      </c>
      <c r="AL8" s="48">
        <f>IF(ISBLANK(AN8),"·",AN8/AM8)</f>
        <v>8.150319207201397</v>
      </c>
      <c r="AM8" s="4">
        <v>32209643</v>
      </c>
      <c r="AN8" s="4">
        <v>262518872</v>
      </c>
      <c r="AO8" s="4">
        <v>29608016</v>
      </c>
      <c r="AP8" s="4">
        <v>4913224</v>
      </c>
      <c r="AQ8" s="4">
        <v>227997144</v>
      </c>
      <c r="AR8" s="4" t="s">
        <v>549</v>
      </c>
      <c r="AS8" s="4" t="s">
        <v>549</v>
      </c>
      <c r="AT8" s="4" t="s">
        <v>549</v>
      </c>
      <c r="AU8" s="4" t="s">
        <v>549</v>
      </c>
      <c r="AV8" s="4" t="s">
        <v>549</v>
      </c>
      <c r="AW8" s="4">
        <v>3478.96</v>
      </c>
      <c r="AX8" s="4">
        <v>4306.5600000000004</v>
      </c>
      <c r="AY8" s="4">
        <v>2.6179999999999999</v>
      </c>
      <c r="AZ8" s="4">
        <v>19.369</v>
      </c>
      <c r="BB8" s="54">
        <f t="shared" si="0"/>
        <v>0.99495121110020435</v>
      </c>
      <c r="BC8" s="54">
        <f t="shared" si="1"/>
        <v>0.91247628820329785</v>
      </c>
      <c r="BD8" s="54">
        <f t="shared" si="1"/>
        <v>1</v>
      </c>
      <c r="BE8" s="53">
        <f>(AK8/AN8) - (N8/Q8)</f>
        <v>-4.3849033193735232E-3</v>
      </c>
      <c r="BF8" s="53">
        <f t="array" ref="BF8">AVERAGE(AK8:AK8/AN8:AN8) - AVERAGE(N8:N8/Q8:Q8)</f>
        <v>-4.3849033193735232E-3</v>
      </c>
      <c r="BH8" s="4">
        <f t="shared" si="2"/>
        <v>-1332128</v>
      </c>
    </row>
    <row r="9" spans="1:60" collapsed="1" x14ac:dyDescent="0.3">
      <c r="A9" s="35" t="s">
        <v>285</v>
      </c>
      <c r="B9" s="35" t="s">
        <v>284</v>
      </c>
      <c r="C9" s="35">
        <v>250294582</v>
      </c>
      <c r="D9" s="36">
        <v>10</v>
      </c>
      <c r="E9" s="36">
        <v>300</v>
      </c>
      <c r="F9" s="36">
        <v>30</v>
      </c>
      <c r="H9" s="43">
        <f>IF(ISBLANK(Q9),"·",Q9/(C9*D9*3))</f>
        <v>5.1208604534103204E-2</v>
      </c>
      <c r="I9" s="37">
        <f>IF(OR(ISBLANK(Q9),ISBLANK(F9)),"·",Q9*F9/E9/1000000)</f>
        <v>38.451708799999999</v>
      </c>
      <c r="J9" s="38">
        <f>IF(ISBLANK(Q9),"·",Q9/C9)</f>
        <v>1.5362581360230962</v>
      </c>
      <c r="K9" s="38">
        <f>IF(N9="","·",N9/C9)</f>
        <v>0.15821523455909245</v>
      </c>
      <c r="L9" s="38">
        <f>IF(R9="","·",R9/C9)</f>
        <v>0.14890316722876568</v>
      </c>
      <c r="M9" s="38">
        <f>IF(ISBLANK(T9),"·",T9/C9)</f>
        <v>1.3780409837237309</v>
      </c>
      <c r="N9" s="35">
        <f>IF(OR(ISBLANK(R9),ISBLANK(S9)),"",R9+S9)</f>
        <v>39600416</v>
      </c>
      <c r="O9" s="38">
        <f>IF(ISBLANK(Q9),"·",Q9/P9)</f>
        <v>15.190853750461038</v>
      </c>
      <c r="P9" s="39">
        <v>25312408</v>
      </c>
      <c r="Q9" s="40">
        <v>384517088</v>
      </c>
      <c r="R9" s="40">
        <v>37269656</v>
      </c>
      <c r="S9" s="40">
        <v>2330760</v>
      </c>
      <c r="T9" s="40">
        <v>344916192</v>
      </c>
      <c r="U9" s="41" t="s">
        <v>549</v>
      </c>
      <c r="V9" s="41" t="s">
        <v>549</v>
      </c>
      <c r="W9" s="41" t="s">
        <v>549</v>
      </c>
      <c r="X9" s="41" t="s">
        <v>549</v>
      </c>
      <c r="Y9" s="41" t="s">
        <v>549</v>
      </c>
      <c r="Z9" s="42">
        <v>3218.85</v>
      </c>
      <c r="AA9" s="42">
        <v>5026.09</v>
      </c>
      <c r="AB9" s="42">
        <v>3.1259999999999999</v>
      </c>
      <c r="AC9" s="42">
        <v>23.067</v>
      </c>
      <c r="AE9" s="43">
        <f>IF(ISBLANK(AN9),"·",AN9/(C9*D9*3))</f>
        <v>5.1022149039832855E-2</v>
      </c>
      <c r="AF9" s="37">
        <f>IF(OR(ISBLANK(AN9),ISBLANK(F9)),"·",AN9*F9/E9/1000000)</f>
        <v>38.311702400000001</v>
      </c>
      <c r="AG9" s="38">
        <f>IF(ISBLANK(AN9),"·",AN9/C9)</f>
        <v>1.5306644711949857</v>
      </c>
      <c r="AH9" s="38">
        <f>IF(AK9="","·",AK9/C9)</f>
        <v>0.15262153776864415</v>
      </c>
      <c r="AI9" s="38">
        <f>IF(AO9="","·",AO9/C9)</f>
        <v>0.14249618875090153</v>
      </c>
      <c r="AJ9" s="38">
        <f>IF(ISBLANK(AQ9),"·",AQ9/C9)</f>
        <v>1.3780409837237309</v>
      </c>
      <c r="AK9" s="35">
        <f>IF(OR(ISBLANK(AO9),ISBLANK(AP9)),"",AO9+AP9)</f>
        <v>38200344</v>
      </c>
      <c r="AL9" s="38">
        <f>IF(ISBLANK(AN9),"·",AN9/AM9)</f>
        <v>15.135542379057734</v>
      </c>
      <c r="AM9" s="4">
        <v>25312408</v>
      </c>
      <c r="AN9" s="4">
        <v>383117024</v>
      </c>
      <c r="AO9" s="4">
        <v>35666024</v>
      </c>
      <c r="AP9" s="4">
        <v>2534320</v>
      </c>
      <c r="AQ9" s="4">
        <v>344916192</v>
      </c>
      <c r="AR9" s="4" t="s">
        <v>549</v>
      </c>
      <c r="AS9" s="4" t="s">
        <v>549</v>
      </c>
      <c r="AT9" s="4" t="s">
        <v>549</v>
      </c>
      <c r="AU9" s="4" t="s">
        <v>549</v>
      </c>
      <c r="AV9" s="4" t="s">
        <v>549</v>
      </c>
      <c r="AW9" s="4">
        <v>2723.99</v>
      </c>
      <c r="AX9" s="4">
        <v>4747.1000000000004</v>
      </c>
      <c r="AY9" s="4">
        <v>2.294</v>
      </c>
      <c r="AZ9" s="4">
        <v>23.173999999999999</v>
      </c>
      <c r="BB9" s="44">
        <f t="shared" si="0"/>
        <v>0.99635890304048069</v>
      </c>
      <c r="BC9" s="44">
        <f t="shared" si="1"/>
        <v>0.95697218133701045</v>
      </c>
      <c r="BD9" s="44">
        <f t="shared" si="1"/>
        <v>1</v>
      </c>
      <c r="BE9" s="43">
        <f>(AK9/AN9) - (N9/Q9)</f>
        <v>-3.2780664053881914E-3</v>
      </c>
      <c r="BF9" s="43">
        <f t="array" ref="BF9">AVERAGE(AK9:AK9/AN9:AN9) - AVERAGE(N9:N9/Q9:Q9)</f>
        <v>-3.2780664053881914E-3</v>
      </c>
      <c r="BH9" s="4">
        <f t="shared" si="2"/>
        <v>-1400064</v>
      </c>
    </row>
    <row r="10" spans="1:60" x14ac:dyDescent="0.3">
      <c r="B10" s="55" t="s">
        <v>288</v>
      </c>
      <c r="J10" s="56">
        <f>AVERAGE(J5:J8)</f>
        <v>1.1084645917485152</v>
      </c>
      <c r="K10" s="56">
        <f>AVERAGE(K5:K8)</f>
        <v>0.15961970006042719</v>
      </c>
      <c r="L10" s="56">
        <f>AVERAGE(L5:L8)</f>
        <v>0.14818394765627277</v>
      </c>
      <c r="M10" s="56">
        <f>AVERAGE(M5:M8)</f>
        <v>0.94884298680881274</v>
      </c>
      <c r="AG10" s="56">
        <f>AVERAGE(AG5:AG8)</f>
        <v>1.1032323242671789</v>
      </c>
      <c r="AH10" s="56">
        <f>AVERAGE(AH5:AH8)</f>
        <v>0.15438740083110286</v>
      </c>
      <c r="AI10" s="56">
        <f>AVERAGE(AI5:AI8)</f>
        <v>0.1406416673317521</v>
      </c>
      <c r="AJ10" s="56">
        <f>AVERAGE(AJ5:AJ8)</f>
        <v>0.94884298680881274</v>
      </c>
      <c r="BB10" s="5">
        <f t="shared" si="0"/>
        <v>0.99527971617651512</v>
      </c>
      <c r="BC10" s="5">
        <f t="shared" si="1"/>
        <v>0.94910190716462939</v>
      </c>
      <c r="BD10" s="5">
        <f t="shared" si="1"/>
        <v>1</v>
      </c>
      <c r="BF10" s="8">
        <f>AVERAGE(BF5:BF8)</f>
        <v>-4.0711075645004924E-3</v>
      </c>
    </row>
    <row r="11" spans="1:60" x14ac:dyDescent="0.3">
      <c r="B11" s="55" t="s">
        <v>289</v>
      </c>
      <c r="J11" s="56">
        <f>AVERAGE(J9:J9)</f>
        <v>1.5362581360230962</v>
      </c>
      <c r="K11" s="56">
        <f>AVERAGE(K9:K9)</f>
        <v>0.15821523455909245</v>
      </c>
      <c r="L11" s="56">
        <f>AVERAGE(L9:L9)</f>
        <v>0.14890316722876568</v>
      </c>
      <c r="M11" s="56">
        <f>AVERAGE(M9:M9)</f>
        <v>1.3780409837237309</v>
      </c>
      <c r="AG11" s="56">
        <f>AVERAGE(AG9:AG9)</f>
        <v>1.5306644711949857</v>
      </c>
      <c r="AH11" s="56">
        <f>AVERAGE(AH9:AH9)</f>
        <v>0.15262153776864415</v>
      </c>
      <c r="AI11" s="56">
        <f>AVERAGE(AI9:AI9)</f>
        <v>0.14249618875090153</v>
      </c>
      <c r="AJ11" s="56">
        <f>AVERAGE(AJ9:AJ9)</f>
        <v>1.3780409837237309</v>
      </c>
      <c r="BB11" s="5">
        <f t="shared" si="0"/>
        <v>0.99635890304048069</v>
      </c>
      <c r="BC11" s="5">
        <f t="shared" si="1"/>
        <v>0.95697218133701045</v>
      </c>
      <c r="BD11" s="5">
        <f t="shared" si="1"/>
        <v>1</v>
      </c>
      <c r="BF11" s="8">
        <f>AVERAGE(BF9:BF9)</f>
        <v>-3.2780664053881914E-3</v>
      </c>
    </row>
    <row r="12" spans="1:60" collapsed="1" x14ac:dyDescent="0.3">
      <c r="B12" s="55" t="s">
        <v>290</v>
      </c>
      <c r="J12" s="56">
        <f>AVERAGE(J5:J9)</f>
        <v>1.1940233006034313</v>
      </c>
      <c r="K12" s="56">
        <f>AVERAGE(K5:K9)</f>
        <v>0.15933880696016026</v>
      </c>
      <c r="L12" s="56">
        <f>AVERAGE(L5:L9)</f>
        <v>0.14832779157077133</v>
      </c>
      <c r="M12" s="56">
        <f>AVERAGE(M5:M9)</f>
        <v>1.0346825861917963</v>
      </c>
      <c r="AG12" s="56">
        <f>AVERAGE(AG5:AG9)</f>
        <v>1.1887187536527404</v>
      </c>
      <c r="AH12" s="56">
        <f>AVERAGE(AH5:AH9)</f>
        <v>0.15403422821861112</v>
      </c>
      <c r="AI12" s="56">
        <f>AVERAGE(AI5:AI9)</f>
        <v>0.14101257161558198</v>
      </c>
      <c r="AJ12" s="56">
        <f>AVERAGE(AJ5:AJ9)</f>
        <v>1.0346825861917963</v>
      </c>
      <c r="BB12" s="5">
        <f t="shared" si="0"/>
        <v>0.9955574175579236</v>
      </c>
      <c r="BC12" s="5">
        <f t="shared" si="1"/>
        <v>0.9506820678867921</v>
      </c>
      <c r="BD12" s="5">
        <f t="shared" si="1"/>
        <v>1</v>
      </c>
      <c r="BF12" s="8">
        <f>AVERAGE(BF5:BF9)</f>
        <v>-3.9124993326780325E-3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17130.57</v>
      </c>
      <c r="AA13" s="57">
        <f>SUM(AA5:AA8,AA9:AA9)</f>
        <v>24510.79</v>
      </c>
      <c r="AB13" s="57">
        <f>SUM(AB5:AB8,AB9:AB9)</f>
        <v>16.439</v>
      </c>
      <c r="AC13" s="57">
        <f>SUM(AC5:AC8,AC9:AC9)</f>
        <v>110.976</v>
      </c>
      <c r="AW13" s="57">
        <f>SUM(AW5:AW8,AW9:AW9)</f>
        <v>15025.1</v>
      </c>
      <c r="AX13" s="57">
        <f>SUM(AX5:AX8,AX9:AX9)</f>
        <v>23355.21</v>
      </c>
      <c r="AY13" s="57">
        <f>SUM(AY5:AY8,AY9:AY9)</f>
        <v>13.079000000000001</v>
      </c>
      <c r="AZ13" s="57">
        <f>SUM(AZ5:AZ8,AZ9:AZ9)</f>
        <v>100.82</v>
      </c>
    </row>
    <row r="14" spans="1:60" hidden="1" outlineLevel="2" x14ac:dyDescent="0.3">
      <c r="B14" s="55" t="s">
        <v>293</v>
      </c>
      <c r="AW14" s="8">
        <f>AW13/Z13</f>
        <v>0.87709282294751434</v>
      </c>
      <c r="AX14" s="8">
        <f>AX13/AA13</f>
        <v>0.95285423276850723</v>
      </c>
      <c r="AY14" s="8">
        <f>AY13/AB13</f>
        <v>0.7956080053531237</v>
      </c>
      <c r="AZ14" s="8">
        <f>AZ13/AC13</f>
        <v>0.90848471741637826</v>
      </c>
    </row>
    <row r="15" spans="1:60" hidden="1" outlineLevel="2" x14ac:dyDescent="0.3">
      <c r="B15" s="55" t="s">
        <v>294</v>
      </c>
      <c r="Z15" s="57">
        <f>GEOMEAN(Z5:Z8,Z9:Z9)</f>
        <v>3394.5405201954945</v>
      </c>
      <c r="AA15" s="57">
        <f>GEOMEAN(AA5:AA8,AA9:AA9)</f>
        <v>4851.5586035303559</v>
      </c>
      <c r="AB15" s="57">
        <f>GEOMEAN(AB5:AB8,AB9:AB9)</f>
        <v>3.2636421324716491</v>
      </c>
      <c r="AC15" s="57">
        <f>GEOMEAN(AC5:AC8,AC9:AC9)</f>
        <v>22.078601169383909</v>
      </c>
      <c r="AW15" s="57">
        <f>GEOMEAN(AW5:AW8,AW9:AW9)</f>
        <v>2965.369396402476</v>
      </c>
      <c r="AX15" s="57">
        <f>GEOMEAN(AX5:AX8,AX9:AX9)</f>
        <v>4622.8988758655696</v>
      </c>
      <c r="AY15" s="57">
        <f>GEOMEAN(AY5:AY8,AY9:AY9)</f>
        <v>2.584806476197095</v>
      </c>
      <c r="AZ15" s="57">
        <f>GEOMEAN(AZ5:AZ8,AZ9:AZ9)</f>
        <v>19.90306669610025</v>
      </c>
    </row>
    <row r="16" spans="1:60" outlineLevel="2" collapsed="1" x14ac:dyDescent="0.3">
      <c r="B16" s="55" t="s">
        <v>295</v>
      </c>
      <c r="AW16" s="8">
        <f>AW15/Z15</f>
        <v>0.87357018682213217</v>
      </c>
      <c r="AX16" s="8">
        <f>AX15/AA15</f>
        <v>0.95286881055123263</v>
      </c>
      <c r="AY16" s="8">
        <f>AY15/AB15</f>
        <v>0.79200058440217136</v>
      </c>
      <c r="AZ16" s="8">
        <f>AZ15/AC15</f>
        <v>0.9014641164721775</v>
      </c>
    </row>
    <row r="20" spans="39:43" x14ac:dyDescent="0.3">
      <c r="AN20" s="4"/>
      <c r="AO20" s="4"/>
      <c r="AP20" s="4"/>
      <c r="AQ20" s="4"/>
    </row>
    <row r="21" spans="39:43" x14ac:dyDescent="0.3">
      <c r="AM21" s="4"/>
      <c r="AN21" s="4"/>
      <c r="AO21" s="4"/>
      <c r="AP21" s="4"/>
      <c r="AQ21" s="4"/>
    </row>
    <row r="22" spans="39:43" x14ac:dyDescent="0.3">
      <c r="AM22" s="4"/>
      <c r="AN22" s="4"/>
      <c r="AO22" s="4"/>
      <c r="AP22" s="4"/>
      <c r="AQ22" s="4"/>
    </row>
    <row r="23" spans="39:43" x14ac:dyDescent="0.3">
      <c r="AM23" s="4"/>
      <c r="AN23" s="4"/>
      <c r="AO23" s="4"/>
      <c r="AP23" s="4"/>
      <c r="AQ23" s="4"/>
    </row>
    <row r="24" spans="39:43" x14ac:dyDescent="0.3">
      <c r="AM24" s="4"/>
      <c r="AN24" s="4"/>
      <c r="AO24" s="4"/>
      <c r="AP24" s="4"/>
      <c r="AQ24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11" priority="3" operator="greaterThanOrEqual">
      <formula>1.03</formula>
    </cfRule>
    <cfRule type="cellIs" dxfId="10" priority="4" operator="lessThanOrEqual">
      <formula>0.97</formula>
    </cfRule>
  </conditionalFormatting>
  <conditionalFormatting sqref="BC10 BC11 BC12">
    <cfRule type="cellIs" dxfId="9" priority="5" operator="greaterThanOrEqual">
      <formula>1.03</formula>
    </cfRule>
    <cfRule type="cellIs" dxfId="8" priority="6" operator="lessThanOrEqual">
      <formula>0.97</formula>
    </cfRule>
  </conditionalFormatting>
  <conditionalFormatting sqref="BD10 BD11 BD12">
    <cfRule type="cellIs" dxfId="7" priority="1" operator="greaterThanOrEqual">
      <formula>1.03</formula>
    </cfRule>
    <cfRule type="cellIs" dxfId="6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25"/>
  <sheetViews>
    <sheetView zoomScale="85" zoomScaleNormal="85" workbookViewId="0">
      <pane xSplit="2" topLeftCell="U1" activePane="topRight" state="frozen"/>
      <selection pane="topRight" activeCell="AO28" sqref="AO28"/>
    </sheetView>
  </sheetViews>
  <sheetFormatPr defaultColWidth="8.77734375" defaultRowHeight="14.4" outlineLevelRow="2" x14ac:dyDescent="0.3"/>
  <cols>
    <col min="1" max="1" width="9.109375"/>
    <col min="2" max="2" width="24.6640625" customWidth="1"/>
    <col min="3" max="4" width="10.6640625" customWidth="1"/>
    <col min="5" max="6" width="9.109375"/>
    <col min="7" max="7" width="1.6640625" customWidth="1"/>
    <col min="8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09375"/>
    <col min="30" max="30" width="1.6640625" customWidth="1"/>
    <col min="31" max="32" width="9.10937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09375"/>
    <col min="53" max="53" width="1.6640625" customWidth="1"/>
    <col min="54" max="58" width="9.109375"/>
    <col min="59" max="59" width="1.6640625" customWidth="1"/>
  </cols>
  <sheetData>
    <row r="1" spans="1:60" x14ac:dyDescent="0.3">
      <c r="A1" s="73" t="s">
        <v>441</v>
      </c>
      <c r="B1" s="73"/>
      <c r="C1" s="73"/>
      <c r="D1" s="73"/>
      <c r="E1" s="73"/>
      <c r="F1" s="73"/>
      <c r="H1" s="69" t="s">
        <v>551</v>
      </c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E1" s="70" t="s">
        <v>552</v>
      </c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</row>
    <row r="2" spans="1:60" ht="30" customHeight="1" x14ac:dyDescent="0.3">
      <c r="A2" s="75" t="s">
        <v>93</v>
      </c>
      <c r="B2" s="74" t="s">
        <v>96</v>
      </c>
      <c r="C2" s="75" t="s">
        <v>102</v>
      </c>
      <c r="D2" s="74" t="s">
        <v>105</v>
      </c>
      <c r="E2" s="75" t="s">
        <v>108</v>
      </c>
      <c r="F2" s="74" t="s">
        <v>111</v>
      </c>
      <c r="H2" s="75" t="s">
        <v>310</v>
      </c>
      <c r="I2" s="74" t="s">
        <v>114</v>
      </c>
      <c r="J2" s="72" t="s">
        <v>117</v>
      </c>
      <c r="K2" s="72"/>
      <c r="L2" s="72"/>
      <c r="M2" s="72"/>
      <c r="N2" s="75" t="s">
        <v>130</v>
      </c>
      <c r="O2" s="74" t="s">
        <v>133</v>
      </c>
      <c r="P2" s="75" t="s">
        <v>24</v>
      </c>
      <c r="Q2" s="71" t="s">
        <v>142</v>
      </c>
      <c r="R2" s="71"/>
      <c r="S2" s="71"/>
      <c r="T2" s="71"/>
      <c r="U2" s="72" t="s">
        <v>153</v>
      </c>
      <c r="V2" s="72"/>
      <c r="W2" s="71" t="s">
        <v>160</v>
      </c>
      <c r="X2" s="71"/>
      <c r="Y2" s="71"/>
      <c r="Z2" s="72" t="s">
        <v>170</v>
      </c>
      <c r="AA2" s="72"/>
      <c r="AB2" s="71" t="s">
        <v>177</v>
      </c>
      <c r="AC2" s="71"/>
      <c r="AE2" s="75" t="s">
        <v>310</v>
      </c>
      <c r="AF2" s="74" t="s">
        <v>114</v>
      </c>
      <c r="AG2" s="72" t="s">
        <v>117</v>
      </c>
      <c r="AH2" s="72"/>
      <c r="AI2" s="72"/>
      <c r="AJ2" s="72"/>
      <c r="AK2" s="75" t="s">
        <v>192</v>
      </c>
      <c r="AL2" s="74" t="s">
        <v>133</v>
      </c>
      <c r="AM2" s="75" t="s">
        <v>24</v>
      </c>
      <c r="AN2" s="71" t="s">
        <v>142</v>
      </c>
      <c r="AO2" s="71"/>
      <c r="AP2" s="71"/>
      <c r="AQ2" s="71"/>
      <c r="AR2" s="72" t="s">
        <v>153</v>
      </c>
      <c r="AS2" s="72"/>
      <c r="AT2" s="71" t="s">
        <v>160</v>
      </c>
      <c r="AU2" s="71"/>
      <c r="AV2" s="71"/>
      <c r="AW2" s="72" t="s">
        <v>170</v>
      </c>
      <c r="AX2" s="72"/>
      <c r="AY2" s="71" t="s">
        <v>177</v>
      </c>
      <c r="AZ2" s="71"/>
      <c r="BB2" s="72" t="s">
        <v>357</v>
      </c>
      <c r="BC2" s="72"/>
      <c r="BD2" s="72"/>
      <c r="BE2" s="74" t="s">
        <v>232</v>
      </c>
      <c r="BF2" s="75" t="s">
        <v>232</v>
      </c>
      <c r="BH2" t="s">
        <v>550</v>
      </c>
    </row>
    <row r="3" spans="1:60" ht="28.8" x14ac:dyDescent="0.3">
      <c r="A3" s="75"/>
      <c r="B3" s="74"/>
      <c r="C3" s="75"/>
      <c r="D3" s="74"/>
      <c r="E3" s="75"/>
      <c r="F3" s="74"/>
      <c r="H3" s="75"/>
      <c r="I3" s="74"/>
      <c r="J3" s="11" t="s">
        <v>118</v>
      </c>
      <c r="K3" s="11" t="s">
        <v>121</v>
      </c>
      <c r="L3" s="11" t="s">
        <v>124</v>
      </c>
      <c r="M3" s="11" t="s">
        <v>127</v>
      </c>
      <c r="N3" s="75"/>
      <c r="O3" s="74"/>
      <c r="P3" s="75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5"/>
      <c r="AF3" s="74"/>
      <c r="AG3" s="11" t="s">
        <v>118</v>
      </c>
      <c r="AH3" s="11" t="s">
        <v>121</v>
      </c>
      <c r="AI3" s="11" t="s">
        <v>124</v>
      </c>
      <c r="AJ3" s="11" t="s">
        <v>127</v>
      </c>
      <c r="AK3" s="75"/>
      <c r="AL3" s="74"/>
      <c r="AM3" s="75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74"/>
      <c r="BF3" s="75"/>
    </row>
    <row r="4" spans="1:60" ht="127.2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238146391</v>
      </c>
      <c r="D5" s="16">
        <v>10</v>
      </c>
      <c r="E5" s="16">
        <v>300</v>
      </c>
      <c r="F5" s="16">
        <v>30</v>
      </c>
      <c r="H5" s="23">
        <f>IF(ISBLANK(Q5),"·",Q5/(C5*D5*3))</f>
        <v>3.0966475574261378E-2</v>
      </c>
      <c r="I5" s="17">
        <f>IF(OR(ISBLANK(Q5),ISBLANK(F5)),"·",Q5*F5/E5/1000000)</f>
        <v>22.123663199999999</v>
      </c>
      <c r="J5" s="18">
        <f>IF(ISBLANK(Q5),"·",Q5/C5)</f>
        <v>0.9289942672278414</v>
      </c>
      <c r="K5" s="18">
        <f>IF(N5="","·",N5/C5)</f>
        <v>0.14676596127799393</v>
      </c>
      <c r="L5" s="18">
        <f>IF(R5="","·",R5/C5)</f>
        <v>0.13816342066674442</v>
      </c>
      <c r="M5" s="18">
        <f>IF(ISBLANK(T5),"·",T5/C5)</f>
        <v>0.78222629038287628</v>
      </c>
      <c r="N5" s="15">
        <f>IF(OR(ISBLANK(R5),ISBLANK(S5)),"",R5+S5)</f>
        <v>34951784</v>
      </c>
      <c r="O5" s="18">
        <f>IF(ISBLANK(Q5),"·",Q5/P5)</f>
        <v>8.8621058332763525</v>
      </c>
      <c r="P5" s="19">
        <v>24964341</v>
      </c>
      <c r="Q5" s="20">
        <v>221236632</v>
      </c>
      <c r="R5" s="20">
        <v>32903120</v>
      </c>
      <c r="S5" s="20">
        <v>2048664</v>
      </c>
      <c r="T5" s="20">
        <v>186284368</v>
      </c>
      <c r="U5" s="21" t="s">
        <v>549</v>
      </c>
      <c r="V5" s="21" t="s">
        <v>549</v>
      </c>
      <c r="W5" s="21" t="s">
        <v>549</v>
      </c>
      <c r="X5" s="21" t="s">
        <v>549</v>
      </c>
      <c r="Y5" s="21" t="s">
        <v>549</v>
      </c>
      <c r="Z5" s="22">
        <v>3127.53</v>
      </c>
      <c r="AA5" s="22">
        <v>5964.07</v>
      </c>
      <c r="AB5" s="22">
        <v>2.8279999999999998</v>
      </c>
      <c r="AC5" s="22">
        <v>19.538</v>
      </c>
      <c r="AE5" s="23">
        <f>IF(ISBLANK(AN5),"·",AN5/(C5*D5*3))</f>
        <v>3.0840747865878849E-2</v>
      </c>
      <c r="AF5" s="17">
        <f>IF(OR(ISBLANK(AN5),ISBLANK(F5)),"·",AN5*F5/E5/1000000)</f>
        <v>22.033838399999997</v>
      </c>
      <c r="AG5" s="18">
        <f>IF(ISBLANK(AN5),"·",AN5/C5)</f>
        <v>0.92522243597636544</v>
      </c>
      <c r="AH5" s="18">
        <f>IF(AK5="","·",AK5/C5)</f>
        <v>0.14299409643373517</v>
      </c>
      <c r="AI5" s="18">
        <f>IF(AO5="","·",AO5/C5)</f>
        <v>0.13415734694043716</v>
      </c>
      <c r="AJ5" s="18">
        <f>IF(ISBLANK(AQ5),"·",AQ5/C5)</f>
        <v>0.78222629038287628</v>
      </c>
      <c r="AK5" s="15">
        <f>IF(OR(ISBLANK(AO5),ISBLANK(AP5)),"",AO5+AP5)</f>
        <v>34053528</v>
      </c>
      <c r="AL5" s="18">
        <f>IF(ISBLANK(AN5),"·",AN5/AM5)</f>
        <v>8.8261245910717214</v>
      </c>
      <c r="AM5" s="4">
        <v>24964341</v>
      </c>
      <c r="AN5" s="4">
        <v>220338384</v>
      </c>
      <c r="AO5" s="4">
        <v>31949088</v>
      </c>
      <c r="AP5" s="4">
        <v>2104440</v>
      </c>
      <c r="AQ5" s="4">
        <v>186284368</v>
      </c>
      <c r="AR5" s="4" t="s">
        <v>549</v>
      </c>
      <c r="AS5" s="4" t="s">
        <v>549</v>
      </c>
      <c r="AT5" s="4" t="s">
        <v>549</v>
      </c>
      <c r="AU5" s="4" t="s">
        <v>549</v>
      </c>
      <c r="AV5" s="4" t="s">
        <v>549</v>
      </c>
      <c r="AW5" s="4">
        <v>2613.42</v>
      </c>
      <c r="AX5" s="4">
        <v>5776.16</v>
      </c>
      <c r="AY5" s="4">
        <v>2.367</v>
      </c>
      <c r="AZ5" s="4">
        <v>20.434999999999999</v>
      </c>
      <c r="BB5" s="24">
        <f t="shared" ref="BB5:BB12" si="0">AG5/J5</f>
        <v>0.99593987671987338</v>
      </c>
      <c r="BC5" s="24">
        <f t="shared" ref="BC5:BD12" si="1">AI5/L5</f>
        <v>0.97100481656450832</v>
      </c>
      <c r="BD5" s="24">
        <f t="shared" si="1"/>
        <v>1</v>
      </c>
      <c r="BE5" s="23">
        <f>(AK5/AN5) - (N5/Q5)</f>
        <v>-3.4326631355326709E-3</v>
      </c>
      <c r="BF5" s="23">
        <f t="array" ref="BF5">AVERAGE(AK5:AK5/AN5:AN5) - AVERAGE(N5:N5/Q5:Q5)</f>
        <v>-3.4326631355326709E-3</v>
      </c>
      <c r="BH5">
        <f>AN5-Q5</f>
        <v>-898248</v>
      </c>
    </row>
    <row r="6" spans="1:60" collapsed="1" x14ac:dyDescent="0.3">
      <c r="A6" s="25"/>
      <c r="B6" s="25" t="s">
        <v>275</v>
      </c>
      <c r="C6" s="25">
        <v>218121242</v>
      </c>
      <c r="D6" s="26">
        <v>10</v>
      </c>
      <c r="E6" s="26">
        <v>300</v>
      </c>
      <c r="F6" s="26">
        <v>30</v>
      </c>
      <c r="H6" s="33">
        <f>IF(ISBLANK(Q6),"·",Q6/(C6*D6*3))</f>
        <v>4.4186979887696279E-2</v>
      </c>
      <c r="I6" s="27">
        <f>IF(OR(ISBLANK(Q6),ISBLANK(F6)),"·",Q6*F6/E6/1000000)</f>
        <v>28.9143568</v>
      </c>
      <c r="J6" s="28">
        <f>IF(ISBLANK(Q6),"·",Q6/C6)</f>
        <v>1.3256093966308884</v>
      </c>
      <c r="K6" s="28">
        <f>IF(N6="","·",N6/C6)</f>
        <v>0.17925846947084595</v>
      </c>
      <c r="L6" s="28">
        <f>IF(R6="","·",R6/C6)</f>
        <v>0.16635382994930864</v>
      </c>
      <c r="M6" s="28">
        <f>IF(ISBLANK(T6),"·",T6/C6)</f>
        <v>1.1463487265490631</v>
      </c>
      <c r="N6" s="25">
        <f>IF(OR(ISBLANK(R6),ISBLANK(S6)),"",R6+S6)</f>
        <v>39100080</v>
      </c>
      <c r="O6" s="28">
        <f>IF(ISBLANK(Q6),"·",Q6/P6)</f>
        <v>12.763021893516642</v>
      </c>
      <c r="P6" s="29">
        <v>22654789</v>
      </c>
      <c r="Q6" s="30">
        <v>289143568</v>
      </c>
      <c r="R6" s="30">
        <v>36285304</v>
      </c>
      <c r="S6" s="30">
        <v>2814776</v>
      </c>
      <c r="T6" s="30">
        <v>250043008</v>
      </c>
      <c r="U6" s="31" t="s">
        <v>549</v>
      </c>
      <c r="V6" s="31" t="s">
        <v>549</v>
      </c>
      <c r="W6" s="31" t="s">
        <v>549</v>
      </c>
      <c r="X6" s="31" t="s">
        <v>549</v>
      </c>
      <c r="Y6" s="31" t="s">
        <v>549</v>
      </c>
      <c r="Z6" s="32">
        <v>2760.15</v>
      </c>
      <c r="AA6" s="32">
        <v>7377.04</v>
      </c>
      <c r="AB6" s="32">
        <v>2.4409999999999998</v>
      </c>
      <c r="AC6" s="32">
        <v>18.579999999999998</v>
      </c>
      <c r="AE6" s="33">
        <f>IF(ISBLANK(AN6),"·",AN6/(C6*D6*3))</f>
        <v>4.4013113281893626E-2</v>
      </c>
      <c r="AF6" s="27">
        <f>IF(OR(ISBLANK(AN6),ISBLANK(F6)),"·",AN6*F6/E6/1000000)</f>
        <v>28.800584799999999</v>
      </c>
      <c r="AG6" s="28">
        <f>IF(ISBLANK(AN6),"·",AN6/C6)</f>
        <v>1.3203933984568088</v>
      </c>
      <c r="AH6" s="28">
        <f>IF(AK6="","·",AK6/C6)</f>
        <v>0.17404243461991656</v>
      </c>
      <c r="AI6" s="28">
        <f>IF(AO6="","·",AO6/C6)</f>
        <v>0.15837137035924267</v>
      </c>
      <c r="AJ6" s="28">
        <f>IF(ISBLANK(AQ6),"·",AQ6/C6)</f>
        <v>1.1463487265490631</v>
      </c>
      <c r="AK6" s="25">
        <f>IF(OR(ISBLANK(AO6),ISBLANK(AP6)),"",AO6+AP6)</f>
        <v>37962352</v>
      </c>
      <c r="AL6" s="28">
        <f>IF(ISBLANK(AN6),"·",AN6/AM6)</f>
        <v>12.712802048167388</v>
      </c>
      <c r="AM6" s="4">
        <v>22654789</v>
      </c>
      <c r="AN6" s="4">
        <v>288005848</v>
      </c>
      <c r="AO6" s="4">
        <v>34544160</v>
      </c>
      <c r="AP6" s="4">
        <v>3418192</v>
      </c>
      <c r="AQ6" s="4">
        <v>250043008</v>
      </c>
      <c r="AR6" s="4" t="s">
        <v>549</v>
      </c>
      <c r="AS6" s="4" t="s">
        <v>549</v>
      </c>
      <c r="AT6" s="4" t="s">
        <v>549</v>
      </c>
      <c r="AU6" s="4" t="s">
        <v>549</v>
      </c>
      <c r="AV6" s="4" t="s">
        <v>549</v>
      </c>
      <c r="AW6" s="4">
        <v>2424.25</v>
      </c>
      <c r="AX6" s="4">
        <v>7163.34</v>
      </c>
      <c r="AY6" s="4">
        <v>2.1240000000000001</v>
      </c>
      <c r="AZ6" s="4">
        <v>17.797000000000001</v>
      </c>
      <c r="BB6" s="34">
        <f t="shared" si="0"/>
        <v>0.99606520730213866</v>
      </c>
      <c r="BC6" s="34">
        <f t="shared" si="1"/>
        <v>0.95201517396684898</v>
      </c>
      <c r="BD6" s="34">
        <f t="shared" si="1"/>
        <v>1</v>
      </c>
      <c r="BE6" s="33">
        <f>(AK6/AN6) - (N6/Q6)</f>
        <v>-3.4161712255585952E-3</v>
      </c>
      <c r="BF6" s="33">
        <f t="array" ref="BF6">AVERAGE(AK6:AK6/AN6:AN6) - AVERAGE(N6:N6/Q6:Q6)</f>
        <v>-3.4161712255585952E-3</v>
      </c>
      <c r="BH6" s="4">
        <f t="shared" ref="BH6:BH9" si="2">AN6-Q6</f>
        <v>-1137720</v>
      </c>
    </row>
    <row r="7" spans="1:60" collapsed="1" x14ac:dyDescent="0.3">
      <c r="A7" s="15"/>
      <c r="B7" s="15" t="s">
        <v>278</v>
      </c>
      <c r="C7" s="15">
        <v>322589704</v>
      </c>
      <c r="D7" s="16">
        <v>10</v>
      </c>
      <c r="E7" s="16">
        <v>300</v>
      </c>
      <c r="F7" s="16">
        <v>30</v>
      </c>
      <c r="H7" s="23">
        <f>IF(ISBLANK(Q7),"·",Q7/(C7*D7*3))</f>
        <v>3.4319853762805358E-2</v>
      </c>
      <c r="I7" s="17">
        <f>IF(OR(ISBLANK(Q7),ISBLANK(F7)),"·",Q7*F7/E7/1000000)</f>
        <v>33.213694400000001</v>
      </c>
      <c r="J7" s="18">
        <f>IF(ISBLANK(Q7),"·",Q7/C7)</f>
        <v>1.0295956128841608</v>
      </c>
      <c r="K7" s="18">
        <f>IF(N7="","·",N7/C7)</f>
        <v>0.16583815086671211</v>
      </c>
      <c r="L7" s="18">
        <f>IF(R7="","·",R7/C7)</f>
        <v>0.15394316490646584</v>
      </c>
      <c r="M7" s="18">
        <f>IF(ISBLANK(T7),"·",T7/C7)</f>
        <v>0.8637559740592341</v>
      </c>
      <c r="N7" s="15">
        <f>IF(OR(ISBLANK(R7),ISBLANK(S7)),"",R7+S7)</f>
        <v>53497680</v>
      </c>
      <c r="O7" s="18">
        <f>IF(ISBLANK(Q7),"·",Q7/P7)</f>
        <v>9.7837782203799382</v>
      </c>
      <c r="P7" s="19">
        <v>33947718</v>
      </c>
      <c r="Q7" s="20">
        <v>332136944</v>
      </c>
      <c r="R7" s="20">
        <v>49660480</v>
      </c>
      <c r="S7" s="20">
        <v>3837200</v>
      </c>
      <c r="T7" s="20">
        <v>278638784</v>
      </c>
      <c r="U7" s="21" t="s">
        <v>549</v>
      </c>
      <c r="V7" s="21" t="s">
        <v>549</v>
      </c>
      <c r="W7" s="21" t="s">
        <v>549</v>
      </c>
      <c r="X7" s="21" t="s">
        <v>549</v>
      </c>
      <c r="Y7" s="21" t="s">
        <v>549</v>
      </c>
      <c r="Z7" s="22">
        <v>4001.27</v>
      </c>
      <c r="AA7" s="22">
        <v>8431.07</v>
      </c>
      <c r="AB7" s="22">
        <v>4.1109999999999998</v>
      </c>
      <c r="AC7" s="22">
        <v>22.939</v>
      </c>
      <c r="AE7" s="23">
        <f>IF(ISBLANK(AN7),"·",AN7/(C7*D7*3))</f>
        <v>3.4102514319551872E-2</v>
      </c>
      <c r="AF7" s="17">
        <f>IF(OR(ISBLANK(AN7),ISBLANK(F7)),"·",AN7*F7/E7/1000000)</f>
        <v>33.003360000000001</v>
      </c>
      <c r="AG7" s="18">
        <f>IF(ISBLANK(AN7),"·",AN7/C7)</f>
        <v>1.0230754295865563</v>
      </c>
      <c r="AH7" s="18">
        <f>IF(AK7="","·",AK7/C7)</f>
        <v>0.15931794276980396</v>
      </c>
      <c r="AI7" s="18">
        <f>IF(AO7="","·",AO7/C7)</f>
        <v>0.14702656474119832</v>
      </c>
      <c r="AJ7" s="18">
        <f>IF(ISBLANK(AQ7),"·",AQ7/C7)</f>
        <v>0.8637559740592341</v>
      </c>
      <c r="AK7" s="15">
        <f>IF(OR(ISBLANK(AO7),ISBLANK(AP7)),"",AO7+AP7)</f>
        <v>51394328</v>
      </c>
      <c r="AL7" s="18">
        <f>IF(ISBLANK(AN7),"·",AN7/AM7)</f>
        <v>9.7218198878640383</v>
      </c>
      <c r="AM7" s="4">
        <v>33947718</v>
      </c>
      <c r="AN7" s="4">
        <v>330033600</v>
      </c>
      <c r="AO7" s="4">
        <v>47429256</v>
      </c>
      <c r="AP7" s="4">
        <v>3965072</v>
      </c>
      <c r="AQ7" s="4">
        <v>278638784</v>
      </c>
      <c r="AR7" s="4" t="s">
        <v>549</v>
      </c>
      <c r="AS7" s="4" t="s">
        <v>549</v>
      </c>
      <c r="AT7" s="4" t="s">
        <v>549</v>
      </c>
      <c r="AU7" s="4" t="s">
        <v>549</v>
      </c>
      <c r="AV7" s="4" t="s">
        <v>549</v>
      </c>
      <c r="AW7" s="4">
        <v>3664.26</v>
      </c>
      <c r="AX7" s="4">
        <v>8190.16</v>
      </c>
      <c r="AY7" s="4">
        <v>3.4380000000000002</v>
      </c>
      <c r="AZ7" s="4">
        <v>22.411000000000001</v>
      </c>
      <c r="BB7" s="24">
        <f t="shared" si="0"/>
        <v>0.99366723865563122</v>
      </c>
      <c r="BC7" s="24">
        <f t="shared" si="1"/>
        <v>0.95507043024956673</v>
      </c>
      <c r="BD7" s="24">
        <f t="shared" si="1"/>
        <v>1</v>
      </c>
      <c r="BE7" s="23">
        <f>(AK7/AN7) - (N7/Q7)</f>
        <v>-5.3466191323628398E-3</v>
      </c>
      <c r="BF7" s="23">
        <f t="array" ref="BF7">AVERAGE(AK7:AK7/AN7:AN7) - AVERAGE(N7:N7/Q7:Q7)</f>
        <v>-5.3466191323628398E-3</v>
      </c>
      <c r="BH7" s="4">
        <f t="shared" si="2"/>
        <v>-2103344</v>
      </c>
    </row>
    <row r="8" spans="1:60" collapsed="1" x14ac:dyDescent="0.3">
      <c r="A8" s="45"/>
      <c r="B8" s="45" t="s">
        <v>281</v>
      </c>
      <c r="C8" s="45">
        <v>250602891</v>
      </c>
      <c r="D8" s="46">
        <v>10</v>
      </c>
      <c r="E8" s="46">
        <v>250</v>
      </c>
      <c r="F8" s="46">
        <v>50</v>
      </c>
      <c r="H8" s="53">
        <f>IF(ISBLANK(Q8),"·",Q8/(C8*D8*3))</f>
        <v>3.1589746770585604E-2</v>
      </c>
      <c r="I8" s="47">
        <f>IF(OR(ISBLANK(Q8),ISBLANK(F8)),"·",Q8*F8/E8/1000000)</f>
        <v>47.498891200000003</v>
      </c>
      <c r="J8" s="48">
        <f>IF(ISBLANK(Q8),"·",Q8/C8)</f>
        <v>0.94769240311756819</v>
      </c>
      <c r="K8" s="48">
        <f>IF(N8="","·",N8/C8)</f>
        <v>0.12792043967282085</v>
      </c>
      <c r="L8" s="48">
        <f>IF(R8="","·",R8/C8)</f>
        <v>0.11881465485567762</v>
      </c>
      <c r="M8" s="48">
        <f>IF(ISBLANK(T8),"·",T8/C8)</f>
        <v>0.81977004806381104</v>
      </c>
      <c r="N8" s="45">
        <f>IF(OR(ISBLANK(R8),ISBLANK(S8)),"",R8+S8)</f>
        <v>32057232</v>
      </c>
      <c r="O8" s="48">
        <f>IF(ISBLANK(Q8),"·",Q8/P8)</f>
        <v>7.3733960975599757</v>
      </c>
      <c r="P8" s="49">
        <v>32209643</v>
      </c>
      <c r="Q8" s="50">
        <v>237494456</v>
      </c>
      <c r="R8" s="50">
        <v>29775296</v>
      </c>
      <c r="S8" s="50">
        <v>2281936</v>
      </c>
      <c r="T8" s="50">
        <v>205436744</v>
      </c>
      <c r="U8" s="51" t="s">
        <v>549</v>
      </c>
      <c r="V8" s="51" t="s">
        <v>549</v>
      </c>
      <c r="W8" s="51" t="s">
        <v>549</v>
      </c>
      <c r="X8" s="51" t="s">
        <v>549</v>
      </c>
      <c r="Y8" s="51" t="s">
        <v>549</v>
      </c>
      <c r="Z8" s="52">
        <v>3918.64</v>
      </c>
      <c r="AA8" s="52">
        <v>5377.67</v>
      </c>
      <c r="AB8" s="52">
        <v>3.274</v>
      </c>
      <c r="AC8" s="52">
        <v>18.48</v>
      </c>
      <c r="AE8" s="53">
        <f>IF(ISBLANK(AN8),"·",AN8/(C8*D8*3))</f>
        <v>3.1350659345213486E-2</v>
      </c>
      <c r="AF8" s="47">
        <f>IF(OR(ISBLANK(AN8),ISBLANK(F8)),"·",AN8*F8/E8/1000000)</f>
        <v>47.139395200000003</v>
      </c>
      <c r="AG8" s="48">
        <f>IF(ISBLANK(AN8),"·",AN8/C8)</f>
        <v>0.9405197803564046</v>
      </c>
      <c r="AH8" s="48">
        <f>IF(AK8="","·",AK8/C8)</f>
        <v>0.12074778498864165</v>
      </c>
      <c r="AI8" s="48">
        <f>IF(AO8="","·",AO8/C8)</f>
        <v>0.10747601471205694</v>
      </c>
      <c r="AJ8" s="48">
        <f>IF(ISBLANK(AQ8),"·",AQ8/C8)</f>
        <v>0.81977004806381104</v>
      </c>
      <c r="AK8" s="45">
        <f>IF(OR(ISBLANK(AO8),ISBLANK(AP8)),"",AO8+AP8)</f>
        <v>30259744</v>
      </c>
      <c r="AL8" s="48">
        <f>IF(ISBLANK(AN8),"·",AN8/AM8)</f>
        <v>7.3175904495433244</v>
      </c>
      <c r="AM8" s="4">
        <v>32209643</v>
      </c>
      <c r="AN8" s="4">
        <v>235696976</v>
      </c>
      <c r="AO8" s="4">
        <v>26933800</v>
      </c>
      <c r="AP8" s="4">
        <v>3325944</v>
      </c>
      <c r="AQ8" s="4">
        <v>205436744</v>
      </c>
      <c r="AR8" s="4" t="s">
        <v>549</v>
      </c>
      <c r="AS8" s="4" t="s">
        <v>549</v>
      </c>
      <c r="AT8" s="4" t="s">
        <v>549</v>
      </c>
      <c r="AU8" s="4" t="s">
        <v>549</v>
      </c>
      <c r="AV8" s="4" t="s">
        <v>549</v>
      </c>
      <c r="AW8" s="4">
        <v>3571.55</v>
      </c>
      <c r="AX8" s="4">
        <v>5197.1000000000004</v>
      </c>
      <c r="AY8" s="4">
        <v>2.5920000000000001</v>
      </c>
      <c r="AZ8" s="4">
        <v>16.486999999999998</v>
      </c>
      <c r="BB8" s="54">
        <f t="shared" si="0"/>
        <v>0.99243148648488877</v>
      </c>
      <c r="BC8" s="54">
        <f t="shared" si="1"/>
        <v>0.90456867330554835</v>
      </c>
      <c r="BD8" s="54">
        <f t="shared" si="1"/>
        <v>1</v>
      </c>
      <c r="BE8" s="53">
        <f>(AK8/AN8) - (N8/Q8)</f>
        <v>-6.5968704085152818E-3</v>
      </c>
      <c r="BF8" s="53">
        <f t="array" ref="BF8">AVERAGE(AK8:AK8/AN8:AN8) - AVERAGE(N8:N8/Q8:Q8)</f>
        <v>-6.5968704085152818E-3</v>
      </c>
      <c r="BH8" s="4">
        <f t="shared" si="2"/>
        <v>-1797480</v>
      </c>
    </row>
    <row r="9" spans="1:60" collapsed="1" x14ac:dyDescent="0.3">
      <c r="A9" s="35" t="s">
        <v>285</v>
      </c>
      <c r="B9" s="35" t="s">
        <v>284</v>
      </c>
      <c r="C9" s="35">
        <v>250294582</v>
      </c>
      <c r="D9" s="36">
        <v>10</v>
      </c>
      <c r="E9" s="36">
        <v>300</v>
      </c>
      <c r="F9" s="36">
        <v>30</v>
      </c>
      <c r="H9" s="43">
        <f>IF(ISBLANK(Q9),"·",Q9/(C9*D9*3))</f>
        <v>5.0514127922007247E-2</v>
      </c>
      <c r="I9" s="37">
        <f>IF(OR(ISBLANK(Q9),ISBLANK(F9)),"·",Q9*F9/E9/1000000)</f>
        <v>37.930237599999998</v>
      </c>
      <c r="J9" s="38">
        <f>IF(ISBLANK(Q9),"·",Q9/C9)</f>
        <v>1.5154238376602176</v>
      </c>
      <c r="K9" s="38">
        <f>IF(N9="","·",N9/C9)</f>
        <v>0.15887666317922935</v>
      </c>
      <c r="L9" s="38">
        <f>IF(R9="","·",R9/C9)</f>
        <v>0.14883304185945184</v>
      </c>
      <c r="M9" s="38">
        <f>IF(ISBLANK(T9),"·",T9/C9)</f>
        <v>1.3565452567407152</v>
      </c>
      <c r="N9" s="35">
        <f>IF(OR(ISBLANK(R9),ISBLANK(S9)),"",R9+S9)</f>
        <v>39765968</v>
      </c>
      <c r="O9" s="38">
        <f>IF(ISBLANK(Q9),"·",Q9/P9)</f>
        <v>14.984839688108693</v>
      </c>
      <c r="P9" s="39">
        <v>25312408</v>
      </c>
      <c r="Q9" s="40">
        <v>379302376</v>
      </c>
      <c r="R9" s="40">
        <v>37252104</v>
      </c>
      <c r="S9" s="40">
        <v>2513864</v>
      </c>
      <c r="T9" s="40">
        <v>339535928</v>
      </c>
      <c r="U9" s="41" t="s">
        <v>549</v>
      </c>
      <c r="V9" s="41" t="s">
        <v>549</v>
      </c>
      <c r="W9" s="41" t="s">
        <v>549</v>
      </c>
      <c r="X9" s="41" t="s">
        <v>549</v>
      </c>
      <c r="Y9" s="41" t="s">
        <v>549</v>
      </c>
      <c r="Z9" s="42">
        <v>3268.58</v>
      </c>
      <c r="AA9" s="42">
        <v>8132.97</v>
      </c>
      <c r="AB9" s="42">
        <v>2.883</v>
      </c>
      <c r="AC9" s="42">
        <v>22.798999999999999</v>
      </c>
      <c r="AE9" s="43">
        <f>IF(ISBLANK(AN9),"·",AN9/(C9*D9*3))</f>
        <v>5.0325501119583428E-2</v>
      </c>
      <c r="AF9" s="37">
        <f>IF(OR(ISBLANK(AN9),ISBLANK(F9)),"·",AN9*F9/E9/1000000)</f>
        <v>37.788600799999998</v>
      </c>
      <c r="AG9" s="38">
        <f>IF(ISBLANK(AN9),"·",AN9/C9)</f>
        <v>1.5097650335875028</v>
      </c>
      <c r="AH9" s="38">
        <f>IF(AK9="","·",AK9/C9)</f>
        <v>0.15321782714417687</v>
      </c>
      <c r="AI9" s="38">
        <f>IF(AO9="","·",AO9/C9)</f>
        <v>0.14241989465037641</v>
      </c>
      <c r="AJ9" s="38">
        <f>IF(ISBLANK(AQ9),"·",AQ9/C9)</f>
        <v>1.3565452567407152</v>
      </c>
      <c r="AK9" s="35">
        <f>IF(OR(ISBLANK(AO9),ISBLANK(AP9)),"",AO9+AP9)</f>
        <v>38349592</v>
      </c>
      <c r="AL9" s="38">
        <f>IF(ISBLANK(AN9),"·",AN9/AM9)</f>
        <v>14.928884205722348</v>
      </c>
      <c r="AM9" s="4">
        <v>25312408</v>
      </c>
      <c r="AN9" s="4">
        <v>377886008</v>
      </c>
      <c r="AO9" s="4">
        <v>35646928</v>
      </c>
      <c r="AP9" s="4">
        <v>2702664</v>
      </c>
      <c r="AQ9" s="4">
        <v>339535928</v>
      </c>
      <c r="AR9" s="4" t="s">
        <v>549</v>
      </c>
      <c r="AS9" s="4" t="s">
        <v>549</v>
      </c>
      <c r="AT9" s="4" t="s">
        <v>549</v>
      </c>
      <c r="AU9" s="4" t="s">
        <v>549</v>
      </c>
      <c r="AV9" s="4" t="s">
        <v>549</v>
      </c>
      <c r="AW9" s="4">
        <v>2718.25</v>
      </c>
      <c r="AX9" s="4">
        <v>7929.74</v>
      </c>
      <c r="AY9" s="4">
        <v>2.4660000000000002</v>
      </c>
      <c r="AZ9" s="4">
        <v>20.186</v>
      </c>
      <c r="BB9" s="44">
        <f t="shared" si="0"/>
        <v>0.99626586045957155</v>
      </c>
      <c r="BC9" s="44">
        <f t="shared" si="1"/>
        <v>0.95691046068163021</v>
      </c>
      <c r="BD9" s="44">
        <f t="shared" si="1"/>
        <v>1</v>
      </c>
      <c r="BE9" s="43">
        <f>(AK9/AN9) - (N9/Q9)</f>
        <v>-3.3552031556770279E-3</v>
      </c>
      <c r="BF9" s="43">
        <f t="array" ref="BF9">AVERAGE(AK9:AK9/AN9:AN9) - AVERAGE(N9:N9/Q9:Q9)</f>
        <v>-3.3552031556770279E-3</v>
      </c>
      <c r="BH9" s="4">
        <f t="shared" si="2"/>
        <v>-1416368</v>
      </c>
    </row>
    <row r="10" spans="1:60" x14ac:dyDescent="0.3">
      <c r="B10" s="55" t="s">
        <v>288</v>
      </c>
      <c r="J10" s="56">
        <f>AVERAGE(J5:J8)</f>
        <v>1.0579729199651147</v>
      </c>
      <c r="K10" s="56">
        <f>AVERAGE(K5:K8)</f>
        <v>0.1549457553220932</v>
      </c>
      <c r="L10" s="56">
        <f>AVERAGE(L5:L8)</f>
        <v>0.14431876759454915</v>
      </c>
      <c r="M10" s="56">
        <f>AVERAGE(M5:M8)</f>
        <v>0.90302525976374604</v>
      </c>
      <c r="AG10" s="56">
        <f>AVERAGE(AG5:AG8)</f>
        <v>1.0523027610940336</v>
      </c>
      <c r="AH10" s="56">
        <f>AVERAGE(AH5:AH8)</f>
        <v>0.14927556470302433</v>
      </c>
      <c r="AI10" s="56">
        <f>AVERAGE(AI5:AI8)</f>
        <v>0.13675782418823376</v>
      </c>
      <c r="AJ10" s="56">
        <f>AVERAGE(AJ5:AJ8)</f>
        <v>0.90302525976374604</v>
      </c>
      <c r="BB10" s="5">
        <f t="shared" si="0"/>
        <v>0.99464054441840721</v>
      </c>
      <c r="BC10" s="5">
        <f t="shared" si="1"/>
        <v>0.94760942369216183</v>
      </c>
      <c r="BD10" s="5">
        <f t="shared" si="1"/>
        <v>1</v>
      </c>
      <c r="BF10" s="8">
        <f>AVERAGE(BF5:BF8)</f>
        <v>-4.6980809754923469E-3</v>
      </c>
    </row>
    <row r="11" spans="1:60" x14ac:dyDescent="0.3">
      <c r="B11" s="55" t="s">
        <v>289</v>
      </c>
      <c r="J11" s="56">
        <f>AVERAGE(J9:J9)</f>
        <v>1.5154238376602176</v>
      </c>
      <c r="K11" s="56">
        <f>AVERAGE(K9:K9)</f>
        <v>0.15887666317922935</v>
      </c>
      <c r="L11" s="56">
        <f>AVERAGE(L9:L9)</f>
        <v>0.14883304185945184</v>
      </c>
      <c r="M11" s="56">
        <f>AVERAGE(M9:M9)</f>
        <v>1.3565452567407152</v>
      </c>
      <c r="AG11" s="56">
        <f>AVERAGE(AG9:AG9)</f>
        <v>1.5097650335875028</v>
      </c>
      <c r="AH11" s="56">
        <f>AVERAGE(AH9:AH9)</f>
        <v>0.15321782714417687</v>
      </c>
      <c r="AI11" s="56">
        <f>AVERAGE(AI9:AI9)</f>
        <v>0.14241989465037641</v>
      </c>
      <c r="AJ11" s="56">
        <f>AVERAGE(AJ9:AJ9)</f>
        <v>1.3565452567407152</v>
      </c>
      <c r="BB11" s="5">
        <f t="shared" si="0"/>
        <v>0.99626586045957155</v>
      </c>
      <c r="BC11" s="5">
        <f t="shared" si="1"/>
        <v>0.95691046068163021</v>
      </c>
      <c r="BD11" s="5">
        <f t="shared" si="1"/>
        <v>1</v>
      </c>
      <c r="BF11" s="8">
        <f>AVERAGE(BF9:BF9)</f>
        <v>-3.3552031556770279E-3</v>
      </c>
    </row>
    <row r="12" spans="1:60" collapsed="1" x14ac:dyDescent="0.3">
      <c r="B12" s="55" t="s">
        <v>290</v>
      </c>
      <c r="J12" s="56">
        <f>AVERAGE(J5:J9)</f>
        <v>1.1494631035041354</v>
      </c>
      <c r="K12" s="56">
        <f>AVERAGE(K5:K9)</f>
        <v>0.15573193689352044</v>
      </c>
      <c r="L12" s="56">
        <f>AVERAGE(L5:L9)</f>
        <v>0.1452216224475297</v>
      </c>
      <c r="M12" s="56">
        <f>AVERAGE(M5:M9)</f>
        <v>0.9937292591591399</v>
      </c>
      <c r="AG12" s="56">
        <f>AVERAGE(AG5:AG9)</f>
        <v>1.1437952155927273</v>
      </c>
      <c r="AH12" s="56">
        <f>AVERAGE(AH5:AH9)</f>
        <v>0.15006401719125484</v>
      </c>
      <c r="AI12" s="56">
        <f>AVERAGE(AI5:AI9)</f>
        <v>0.1378902382806623</v>
      </c>
      <c r="AJ12" s="56">
        <f>AVERAGE(AJ5:AJ9)</f>
        <v>0.9937292591591399</v>
      </c>
      <c r="BB12" s="5">
        <f t="shared" si="0"/>
        <v>0.99506909974393309</v>
      </c>
      <c r="BC12" s="5">
        <f t="shared" si="1"/>
        <v>0.94951589134382297</v>
      </c>
      <c r="BD12" s="5">
        <f t="shared" si="1"/>
        <v>1</v>
      </c>
      <c r="BF12" s="8">
        <f>AVERAGE(BF5:BF9)</f>
        <v>-4.4295054115292831E-3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17076.169999999998</v>
      </c>
      <c r="AA13" s="57">
        <f>SUM(AA5:AA8,AA9:AA9)</f>
        <v>35282.82</v>
      </c>
      <c r="AB13" s="57">
        <f>SUM(AB5:AB8,AB9:AB9)</f>
        <v>15.536999999999999</v>
      </c>
      <c r="AC13" s="57">
        <f>SUM(AC5:AC8,AC9:AC9)</f>
        <v>102.33599999999998</v>
      </c>
      <c r="AW13" s="57">
        <f>SUM(AW5:AW8,AW9:AW9)</f>
        <v>14991.73</v>
      </c>
      <c r="AX13" s="57">
        <f>SUM(AX5:AX8,AX9:AX9)</f>
        <v>34256.5</v>
      </c>
      <c r="AY13" s="57">
        <f>SUM(AY5:AY8,AY9:AY9)</f>
        <v>12.987000000000002</v>
      </c>
      <c r="AZ13" s="57">
        <f>SUM(AZ5:AZ8,AZ9:AZ9)</f>
        <v>97.316000000000003</v>
      </c>
    </row>
    <row r="14" spans="1:60" hidden="1" outlineLevel="2" x14ac:dyDescent="0.3">
      <c r="B14" s="55" t="s">
        <v>293</v>
      </c>
      <c r="AW14" s="8">
        <f>AW13/Z13</f>
        <v>0.87793281514531663</v>
      </c>
      <c r="AX14" s="8">
        <f>AX13/AA13</f>
        <v>0.97091162214358151</v>
      </c>
      <c r="AY14" s="8">
        <f>AY13/AB13</f>
        <v>0.83587565167020683</v>
      </c>
      <c r="AZ14" s="8">
        <f>AZ13/AC13</f>
        <v>0.95094590368980625</v>
      </c>
    </row>
    <row r="15" spans="1:60" hidden="1" outlineLevel="2" x14ac:dyDescent="0.3">
      <c r="B15" s="55" t="s">
        <v>294</v>
      </c>
      <c r="Z15" s="57">
        <f>GEOMEAN(Z5:Z8,Z9:Z9)</f>
        <v>3381.9353602644082</v>
      </c>
      <c r="AA15" s="57">
        <f>GEOMEAN(AA5:AA8,AA9:AA9)</f>
        <v>6950.7261282669415</v>
      </c>
      <c r="AB15" s="57">
        <f>GEOMEAN(AB5:AB8,AB9:AB9)</f>
        <v>3.059029011156571</v>
      </c>
      <c r="AC15" s="57">
        <f>GEOMEAN(AC5:AC8,AC9:AC9)</f>
        <v>20.371528335965031</v>
      </c>
      <c r="AW15" s="57">
        <f>GEOMEAN(AW5:AW8,AW9:AW9)</f>
        <v>2955.1790922831165</v>
      </c>
      <c r="AX15" s="57">
        <f>GEOMEAN(AX5:AX8,AX9:AX9)</f>
        <v>6745.4889843844985</v>
      </c>
      <c r="AY15" s="57">
        <f>GEOMEAN(AY5:AY8,AY9:AY9)</f>
        <v>2.5624614612029499</v>
      </c>
      <c r="AZ15" s="57">
        <f>GEOMEAN(AZ5:AZ8,AZ9:AZ9)</f>
        <v>19.349730338554142</v>
      </c>
    </row>
    <row r="16" spans="1:60" outlineLevel="2" collapsed="1" x14ac:dyDescent="0.3">
      <c r="B16" s="55" t="s">
        <v>295</v>
      </c>
      <c r="AW16" s="8">
        <f>AW15/Z15</f>
        <v>0.87381300275711749</v>
      </c>
      <c r="AX16" s="8">
        <f>AX15/AA15</f>
        <v>0.97047256069437227</v>
      </c>
      <c r="AY16" s="8">
        <f>AY15/AB15</f>
        <v>0.83767151336499535</v>
      </c>
      <c r="AZ16" s="8">
        <f>AZ15/AC15</f>
        <v>0.94984185866865223</v>
      </c>
    </row>
    <row r="20" spans="39:43" x14ac:dyDescent="0.3">
      <c r="AN20" s="4"/>
      <c r="AO20" s="4"/>
      <c r="AP20" s="4"/>
      <c r="AQ20" s="4"/>
    </row>
    <row r="21" spans="39:43" x14ac:dyDescent="0.3">
      <c r="AM21" s="4"/>
      <c r="AN21" s="4"/>
      <c r="AO21" s="4"/>
      <c r="AP21" s="4"/>
      <c r="AQ21" s="4"/>
    </row>
    <row r="22" spans="39:43" x14ac:dyDescent="0.3">
      <c r="AM22" s="4"/>
      <c r="AN22" s="4"/>
      <c r="AO22" s="4"/>
      <c r="AP22" s="4"/>
      <c r="AQ22" s="4"/>
    </row>
    <row r="23" spans="39:43" x14ac:dyDescent="0.3">
      <c r="AM23" s="4"/>
      <c r="AN23" s="4"/>
      <c r="AO23" s="4"/>
      <c r="AP23" s="4"/>
      <c r="AQ23" s="4"/>
    </row>
    <row r="24" spans="39:43" x14ac:dyDescent="0.3">
      <c r="AM24" s="4"/>
      <c r="AN24" s="4"/>
      <c r="AO24" s="4"/>
      <c r="AP24" s="4"/>
      <c r="AQ24" s="4"/>
    </row>
    <row r="25" spans="39:43" x14ac:dyDescent="0.3">
      <c r="AM25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5" priority="3" operator="greaterThanOrEqual">
      <formula>1.03</formula>
    </cfRule>
    <cfRule type="cellIs" dxfId="4" priority="4" operator="lessThanOrEqual">
      <formula>0.97</formula>
    </cfRule>
  </conditionalFormatting>
  <conditionalFormatting sqref="BC10 BC11 BC12">
    <cfRule type="cellIs" dxfId="3" priority="5" operator="greaterThanOrEqual">
      <formula>1.03</formula>
    </cfRule>
    <cfRule type="cellIs" dxfId="2" priority="6" operator="lessThanOrEqual">
      <formula>0.97</formula>
    </cfRule>
  </conditionalFormatting>
  <conditionalFormatting sqref="BD10 BD11 BD12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C2 lossyG,lossyA,interRA</vt:lpstr>
      <vt:lpstr>names</vt:lpstr>
      <vt:lpstr>CW losslG,losslA,intra</vt:lpstr>
      <vt:lpstr>CW losslG,losslA,interLD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>Rajan Laxman Joshi</dc:creator>
  <cp:lastModifiedBy>Indranil Sinharoy</cp:lastModifiedBy>
  <dcterms:created xsi:type="dcterms:W3CDTF">2018-08-31T19:13:00Z</dcterms:created>
  <dcterms:modified xsi:type="dcterms:W3CDTF">2019-01-27T04:14:52Z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