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int19\tm2_v190_b01\test\"/>
    </mc:Choice>
  </mc:AlternateContent>
  <xr:revisionPtr revIDLastSave="0" documentId="13_ncr:1_{F7E4EAB6-B325-49B6-8561-87025D0F6EB5}"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C47" i="7" s="1"/>
  <c r="BB46" i="7"/>
  <c r="BB47" i="7" s="1"/>
  <c r="BA46" i="7"/>
  <c r="BA47" i="7" s="1"/>
  <c r="AZ46" i="7"/>
  <c r="AE46" i="7"/>
  <c r="AD46" i="7"/>
  <c r="AC46" i="7"/>
  <c r="AB46" i="7"/>
  <c r="BC44" i="7"/>
  <c r="BB44" i="7"/>
  <c r="BA44" i="7"/>
  <c r="BA45" i="7" s="1"/>
  <c r="AZ44" i="7"/>
  <c r="AZ45" i="7" s="1"/>
  <c r="AE44" i="7"/>
  <c r="AD44" i="7"/>
  <c r="AC44" i="7"/>
  <c r="AB44" i="7"/>
  <c r="BF39" i="7"/>
  <c r="AL39" i="7"/>
  <c r="BG39" i="7" s="1"/>
  <c r="AK39" i="7"/>
  <c r="AJ39" i="7"/>
  <c r="AH39" i="7"/>
  <c r="AG39" i="7"/>
  <c r="N39" i="7"/>
  <c r="M39" i="7"/>
  <c r="L39" i="7"/>
  <c r="K39" i="7"/>
  <c r="J39" i="7"/>
  <c r="I39" i="7"/>
  <c r="BF38" i="7"/>
  <c r="AL38" i="7"/>
  <c r="AI38" i="7" s="1"/>
  <c r="BE38" i="7" s="1"/>
  <c r="AK38" i="7"/>
  <c r="AJ38" i="7"/>
  <c r="AH38" i="7"/>
  <c r="AG38" i="7"/>
  <c r="N38" i="7"/>
  <c r="M38" i="7"/>
  <c r="L38" i="7"/>
  <c r="K38" i="7"/>
  <c r="J38" i="7"/>
  <c r="I38" i="7"/>
  <c r="BF37" i="7"/>
  <c r="AL37" i="7"/>
  <c r="AI37" i="7" s="1"/>
  <c r="AK37" i="7"/>
  <c r="AJ37" i="7"/>
  <c r="AH37" i="7"/>
  <c r="AG37" i="7"/>
  <c r="N37" i="7"/>
  <c r="BG37" i="7" s="1"/>
  <c r="M37" i="7"/>
  <c r="L37" i="7"/>
  <c r="J37" i="7"/>
  <c r="I37" i="7"/>
  <c r="BF36" i="7"/>
  <c r="AL36" i="7"/>
  <c r="AI36" i="7" s="1"/>
  <c r="AK36" i="7"/>
  <c r="AJ36" i="7"/>
  <c r="AH36" i="7"/>
  <c r="AG36" i="7"/>
  <c r="N36" i="7"/>
  <c r="K36" i="7" s="1"/>
  <c r="M36" i="7"/>
  <c r="L36" i="7"/>
  <c r="J36" i="7"/>
  <c r="I36" i="7"/>
  <c r="BF35" i="7"/>
  <c r="AL35" i="7"/>
  <c r="AI35" i="7" s="1"/>
  <c r="BE35" i="7" s="1"/>
  <c r="AK35" i="7"/>
  <c r="AJ35" i="7"/>
  <c r="AH35" i="7"/>
  <c r="AG35" i="7"/>
  <c r="N35" i="7"/>
  <c r="K35" i="7" s="1"/>
  <c r="M35" i="7"/>
  <c r="L35" i="7"/>
  <c r="J35" i="7"/>
  <c r="I35" i="7"/>
  <c r="BF34" i="7"/>
  <c r="AL34" i="7"/>
  <c r="AI34" i="7" s="1"/>
  <c r="BE34" i="7" s="1"/>
  <c r="AK34" i="7"/>
  <c r="AJ34" i="7"/>
  <c r="AH34" i="7"/>
  <c r="AG34" i="7"/>
  <c r="N34" i="7"/>
  <c r="M34" i="7"/>
  <c r="L34" i="7"/>
  <c r="K34" i="7"/>
  <c r="J34" i="7"/>
  <c r="I34" i="7"/>
  <c r="BF33" i="7"/>
  <c r="AL33" i="7"/>
  <c r="AI33" i="7" s="1"/>
  <c r="AK33" i="7"/>
  <c r="AJ33" i="7"/>
  <c r="AH33" i="7"/>
  <c r="AG33" i="7"/>
  <c r="N33" i="7"/>
  <c r="K33" i="7" s="1"/>
  <c r="BE33" i="7" s="1"/>
  <c r="M33" i="7"/>
  <c r="L33" i="7"/>
  <c r="J33" i="7"/>
  <c r="I33" i="7"/>
  <c r="BF32" i="7"/>
  <c r="AL32" i="7"/>
  <c r="BG32" i="7" s="1"/>
  <c r="AK32" i="7"/>
  <c r="AJ32" i="7"/>
  <c r="AI32" i="7"/>
  <c r="AH32" i="7"/>
  <c r="AG32" i="7"/>
  <c r="N32" i="7"/>
  <c r="M32" i="7"/>
  <c r="L32" i="7"/>
  <c r="K32" i="7"/>
  <c r="J32" i="7"/>
  <c r="I32" i="7"/>
  <c r="BF31" i="7"/>
  <c r="AL31" i="7"/>
  <c r="AI31" i="7" s="1"/>
  <c r="AK31" i="7"/>
  <c r="AJ31" i="7"/>
  <c r="AH31" i="7"/>
  <c r="AG31" i="7"/>
  <c r="N31" i="7"/>
  <c r="K31" i="7" s="1"/>
  <c r="M31" i="7"/>
  <c r="L31" i="7"/>
  <c r="J31" i="7"/>
  <c r="I31" i="7"/>
  <c r="BF30" i="7"/>
  <c r="AL30" i="7"/>
  <c r="AK30" i="7"/>
  <c r="AK42" i="7" s="1"/>
  <c r="AJ30" i="7"/>
  <c r="AH30" i="7"/>
  <c r="AH42" i="7" s="1"/>
  <c r="AG30" i="7"/>
  <c r="N30" i="7"/>
  <c r="M30" i="7"/>
  <c r="L30" i="7"/>
  <c r="K30" i="7"/>
  <c r="J30" i="7"/>
  <c r="J42" i="7" s="1"/>
  <c r="I30" i="7"/>
  <c r="BF29" i="7"/>
  <c r="AL29" i="7"/>
  <c r="AI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I26" i="7" s="1"/>
  <c r="BE26" i="7" s="1"/>
  <c r="AK26" i="7"/>
  <c r="AJ26" i="7"/>
  <c r="AH26" i="7"/>
  <c r="AG26" i="7"/>
  <c r="N26" i="7"/>
  <c r="M26" i="7"/>
  <c r="L26" i="7"/>
  <c r="K26" i="7"/>
  <c r="J26" i="7"/>
  <c r="I26" i="7"/>
  <c r="BF25" i="7"/>
  <c r="AL25" i="7"/>
  <c r="AK25" i="7"/>
  <c r="AK41" i="7" s="1"/>
  <c r="AJ25" i="7"/>
  <c r="AJ41" i="7" s="1"/>
  <c r="AH25" i="7"/>
  <c r="AH41" i="7" s="1"/>
  <c r="AG25" i="7"/>
  <c r="N25" i="7"/>
  <c r="M25" i="7"/>
  <c r="M41" i="7" s="1"/>
  <c r="L25" i="7"/>
  <c r="J25" i="7"/>
  <c r="J41" i="7" s="1"/>
  <c r="I25" i="7"/>
  <c r="BF24" i="7"/>
  <c r="AL24" i="7"/>
  <c r="AI24" i="7" s="1"/>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M22" i="7"/>
  <c r="L22" i="7"/>
  <c r="K22" i="7"/>
  <c r="J22" i="7"/>
  <c r="I22" i="7"/>
  <c r="BF21" i="7"/>
  <c r="AL21" i="7"/>
  <c r="AI21" i="7" s="1"/>
  <c r="AK21" i="7"/>
  <c r="AJ21" i="7"/>
  <c r="AH21" i="7"/>
  <c r="AG21" i="7"/>
  <c r="N21" i="7"/>
  <c r="M21" i="7"/>
  <c r="L21" i="7"/>
  <c r="K21" i="7"/>
  <c r="J21" i="7"/>
  <c r="I21" i="7"/>
  <c r="BF20" i="7"/>
  <c r="AL20" i="7"/>
  <c r="AK20" i="7"/>
  <c r="AJ20" i="7"/>
  <c r="AH20" i="7"/>
  <c r="AG20" i="7"/>
  <c r="N20" i="7"/>
  <c r="M20" i="7"/>
  <c r="L20" i="7"/>
  <c r="K20" i="7"/>
  <c r="J20" i="7"/>
  <c r="I20" i="7"/>
  <c r="BF19" i="7"/>
  <c r="AL19" i="7"/>
  <c r="AI19" i="7" s="1"/>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BG16" i="7" s="1"/>
  <c r="AK16" i="7"/>
  <c r="AJ16" i="7"/>
  <c r="AH16" i="7"/>
  <c r="AG16" i="7"/>
  <c r="N16" i="7"/>
  <c r="K16" i="7" s="1"/>
  <c r="M16" i="7"/>
  <c r="L16" i="7"/>
  <c r="J16" i="7"/>
  <c r="I16" i="7"/>
  <c r="BF15" i="7"/>
  <c r="AL15" i="7"/>
  <c r="BH15" i="7" s="1" a="1"/>
  <c r="AK15" i="7"/>
  <c r="AJ15" i="7"/>
  <c r="AH15" i="7"/>
  <c r="AG15" i="7"/>
  <c r="N15" i="7"/>
  <c r="K15" i="7" s="1"/>
  <c r="M15" i="7"/>
  <c r="L15" i="7"/>
  <c r="J15" i="7"/>
  <c r="I15" i="7"/>
  <c r="BF14" i="7"/>
  <c r="AL14" i="7"/>
  <c r="AI14" i="7" s="1"/>
  <c r="AK14" i="7"/>
  <c r="AJ14" i="7"/>
  <c r="AH14" i="7"/>
  <c r="AG14" i="7"/>
  <c r="N14" i="7"/>
  <c r="K14" i="7" s="1"/>
  <c r="M14" i="7"/>
  <c r="L14" i="7"/>
  <c r="J14" i="7"/>
  <c r="I14" i="7"/>
  <c r="BF13" i="7"/>
  <c r="AL13" i="7"/>
  <c r="AK13" i="7"/>
  <c r="AJ13" i="7"/>
  <c r="AI13" i="7"/>
  <c r="AH13" i="7"/>
  <c r="AG13" i="7"/>
  <c r="N13" i="7"/>
  <c r="K13" i="7" s="1"/>
  <c r="M13" i="7"/>
  <c r="L13" i="7"/>
  <c r="J13" i="7"/>
  <c r="I13" i="7"/>
  <c r="BF12" i="7"/>
  <c r="AL12" i="7"/>
  <c r="AK12" i="7"/>
  <c r="AJ12" i="7"/>
  <c r="AI12" i="7"/>
  <c r="AH12" i="7"/>
  <c r="AG12" i="7"/>
  <c r="N12" i="7"/>
  <c r="K12" i="7" s="1"/>
  <c r="M12" i="7"/>
  <c r="L12" i="7"/>
  <c r="J12" i="7"/>
  <c r="I12" i="7"/>
  <c r="BF11" i="7"/>
  <c r="AL11" i="7"/>
  <c r="BG11" i="7" s="1"/>
  <c r="AK11" i="7"/>
  <c r="AJ11" i="7"/>
  <c r="AI11" i="7"/>
  <c r="AH11" i="7"/>
  <c r="AG11" i="7"/>
  <c r="N11" i="7"/>
  <c r="K11" i="7" s="1"/>
  <c r="M11" i="7"/>
  <c r="L11" i="7"/>
  <c r="J11" i="7"/>
  <c r="I11" i="7"/>
  <c r="BF10" i="7"/>
  <c r="AL10" i="7"/>
  <c r="AK10" i="7"/>
  <c r="AJ10" i="7"/>
  <c r="AI10" i="7"/>
  <c r="AH10" i="7"/>
  <c r="AG10" i="7"/>
  <c r="N10" i="7"/>
  <c r="M10" i="7"/>
  <c r="L10" i="7"/>
  <c r="J10" i="7"/>
  <c r="I10" i="7"/>
  <c r="BF9" i="7"/>
  <c r="AL9" i="7"/>
  <c r="BG9" i="7" s="1"/>
  <c r="AK9" i="7"/>
  <c r="AJ9" i="7"/>
  <c r="AI9" i="7"/>
  <c r="BE9" i="7" s="1"/>
  <c r="AH9" i="7"/>
  <c r="AG9" i="7"/>
  <c r="N9" i="7"/>
  <c r="M9" i="7"/>
  <c r="L9" i="7"/>
  <c r="K9" i="7"/>
  <c r="J9" i="7"/>
  <c r="I9" i="7"/>
  <c r="BG8" i="7"/>
  <c r="BF8" i="7"/>
  <c r="AL8" i="7"/>
  <c r="AI8" i="7" s="1"/>
  <c r="AK8" i="7"/>
  <c r="AJ8" i="7"/>
  <c r="AH8" i="7"/>
  <c r="AG8" i="7"/>
  <c r="N8" i="7"/>
  <c r="M8" i="7"/>
  <c r="L8" i="7"/>
  <c r="K8" i="7"/>
  <c r="J8" i="7"/>
  <c r="I8" i="7"/>
  <c r="BF7" i="7"/>
  <c r="AL7" i="7"/>
  <c r="AI7" i="7" s="1"/>
  <c r="AK7" i="7"/>
  <c r="AJ7" i="7"/>
  <c r="AH7" i="7"/>
  <c r="AG7" i="7"/>
  <c r="N7" i="7"/>
  <c r="M7" i="7"/>
  <c r="L7" i="7"/>
  <c r="K7" i="7"/>
  <c r="J7" i="7"/>
  <c r="I7" i="7"/>
  <c r="BF6" i="7"/>
  <c r="AL6" i="7"/>
  <c r="BG6" i="7" s="1"/>
  <c r="AK6" i="7"/>
  <c r="AJ6" i="7"/>
  <c r="AI6" i="7"/>
  <c r="AH6" i="7"/>
  <c r="AG6" i="7"/>
  <c r="N6" i="7"/>
  <c r="M6" i="7"/>
  <c r="L6" i="7"/>
  <c r="K6" i="7"/>
  <c r="J6" i="7"/>
  <c r="I6" i="7"/>
  <c r="BG5" i="7"/>
  <c r="BF5" i="7"/>
  <c r="AL5" i="7"/>
  <c r="AK5" i="7"/>
  <c r="AJ5" i="7"/>
  <c r="AI5" i="7"/>
  <c r="AH5" i="7"/>
  <c r="AG5" i="7"/>
  <c r="N5" i="7"/>
  <c r="M5" i="7"/>
  <c r="M43" i="7" s="1"/>
  <c r="L5" i="7"/>
  <c r="K5" i="7"/>
  <c r="J5" i="7"/>
  <c r="I5" i="7"/>
  <c r="AG1" i="7"/>
  <c r="I1" i="7"/>
  <c r="AZ18" i="6"/>
  <c r="AY18" i="6"/>
  <c r="AX18" i="6"/>
  <c r="AW18" i="6"/>
  <c r="AC18" i="6"/>
  <c r="AB18" i="6"/>
  <c r="AA18" i="6"/>
  <c r="Z18" i="6"/>
  <c r="AZ16" i="6"/>
  <c r="AZ17" i="6" s="1"/>
  <c r="AY16" i="6"/>
  <c r="AX16" i="6"/>
  <c r="AW16" i="6"/>
  <c r="AC16" i="6"/>
  <c r="AB16" i="6"/>
  <c r="AA16" i="6"/>
  <c r="Z16" i="6"/>
  <c r="L13" i="6"/>
  <c r="BG11" i="6" a="1"/>
  <c r="AK11" i="6"/>
  <c r="AJ11" i="6"/>
  <c r="AI11" i="6"/>
  <c r="AG11" i="6"/>
  <c r="AF11" i="6"/>
  <c r="AE11" i="6"/>
  <c r="N11" i="6"/>
  <c r="M11" i="6"/>
  <c r="L11" i="6"/>
  <c r="L14" i="6" s="1"/>
  <c r="K11" i="6"/>
  <c r="J11" i="6"/>
  <c r="BB11" i="6" s="1"/>
  <c r="I11" i="6"/>
  <c r="H11" i="6"/>
  <c r="BG10" i="6" a="1"/>
  <c r="AK10" i="6"/>
  <c r="AH10" i="6" s="1"/>
  <c r="AJ10" i="6"/>
  <c r="AI10" i="6"/>
  <c r="BD10" i="6" s="1"/>
  <c r="AG10" i="6"/>
  <c r="AG14" i="6" s="1"/>
  <c r="AF10" i="6"/>
  <c r="AE10" i="6"/>
  <c r="N10" i="6"/>
  <c r="K10" i="6" s="1"/>
  <c r="M10" i="6"/>
  <c r="L10" i="6"/>
  <c r="J10" i="6"/>
  <c r="BB10" i="6" s="1"/>
  <c r="I10" i="6"/>
  <c r="H10" i="6"/>
  <c r="BG9" i="6" a="1"/>
  <c r="BG9" i="6"/>
  <c r="BG13" i="6" s="1"/>
  <c r="AK9" i="6"/>
  <c r="AH9" i="6" s="1"/>
  <c r="AJ9" i="6"/>
  <c r="AJ13" i="6" s="1"/>
  <c r="AI9" i="6"/>
  <c r="AG9" i="6"/>
  <c r="BB9" i="6" s="1"/>
  <c r="AF9" i="6"/>
  <c r="AE9" i="6"/>
  <c r="N9" i="6"/>
  <c r="BF9" i="6" s="1"/>
  <c r="M9" i="6"/>
  <c r="M13" i="6" s="1"/>
  <c r="L9" i="6"/>
  <c r="J9" i="6"/>
  <c r="J13" i="6" s="1"/>
  <c r="I9" i="6"/>
  <c r="H9" i="6"/>
  <c r="BG8" i="6" a="1"/>
  <c r="AK8" i="6"/>
  <c r="AH8" i="6" s="1"/>
  <c r="BC8" i="6" s="1"/>
  <c r="AJ8" i="6"/>
  <c r="AI8" i="6"/>
  <c r="AG8" i="6"/>
  <c r="BB8" i="6" s="1"/>
  <c r="AF8" i="6"/>
  <c r="AE8" i="6"/>
  <c r="N8" i="6"/>
  <c r="K8" i="6" s="1"/>
  <c r="M8" i="6"/>
  <c r="BE8" i="6" s="1"/>
  <c r="L8" i="6"/>
  <c r="J8" i="6"/>
  <c r="I8" i="6"/>
  <c r="H8" i="6"/>
  <c r="AK7" i="6"/>
  <c r="BG7" i="6" s="1" a="1"/>
  <c r="BG7" i="6" s="1"/>
  <c r="AJ7" i="6"/>
  <c r="AI7" i="6"/>
  <c r="AG7" i="6"/>
  <c r="AF7" i="6"/>
  <c r="AE7" i="6"/>
  <c r="N7" i="6"/>
  <c r="M7" i="6"/>
  <c r="BE7" i="6" s="1"/>
  <c r="L7" i="6"/>
  <c r="K7" i="6"/>
  <c r="J7" i="6"/>
  <c r="I7" i="6"/>
  <c r="H7" i="6"/>
  <c r="BG6" i="6" a="1"/>
  <c r="AK6" i="6"/>
  <c r="AJ6" i="6"/>
  <c r="AI6" i="6"/>
  <c r="AH6" i="6"/>
  <c r="AG6" i="6"/>
  <c r="AF6" i="6"/>
  <c r="AE6" i="6"/>
  <c r="N6" i="6"/>
  <c r="M6" i="6"/>
  <c r="L6" i="6"/>
  <c r="K6" i="6"/>
  <c r="J6" i="6"/>
  <c r="I6" i="6"/>
  <c r="H6" i="6"/>
  <c r="BG5" i="6" a="1"/>
  <c r="AK5" i="6"/>
  <c r="AH5" i="6" s="1"/>
  <c r="AJ5" i="6"/>
  <c r="AI5" i="6"/>
  <c r="AG5" i="6"/>
  <c r="AF5" i="6"/>
  <c r="AE5" i="6"/>
  <c r="N5" i="6"/>
  <c r="M5" i="6"/>
  <c r="L5" i="6"/>
  <c r="L12" i="6" s="1"/>
  <c r="J5" i="6"/>
  <c r="I5" i="6"/>
  <c r="H5" i="6"/>
  <c r="AE1" i="6"/>
  <c r="H1" i="6"/>
  <c r="AZ19" i="5"/>
  <c r="AZ18" i="5"/>
  <c r="AY18" i="5"/>
  <c r="AY19" i="5" s="1"/>
  <c r="AX18" i="5"/>
  <c r="AW18" i="5"/>
  <c r="AC18" i="5"/>
  <c r="AB18" i="5"/>
  <c r="AA18" i="5"/>
  <c r="Z18" i="5"/>
  <c r="AX17" i="5"/>
  <c r="AZ16" i="5"/>
  <c r="AZ17" i="5" s="1"/>
  <c r="AY16" i="5"/>
  <c r="AY17" i="5" s="1"/>
  <c r="AX16" i="5"/>
  <c r="AW16" i="5"/>
  <c r="AC16" i="5"/>
  <c r="AB16" i="5"/>
  <c r="AA16" i="5"/>
  <c r="Z16" i="5"/>
  <c r="AJ13" i="5"/>
  <c r="BG11" i="5" a="1"/>
  <c r="AK11" i="5"/>
  <c r="BF11" i="5" s="1"/>
  <c r="AJ11" i="5"/>
  <c r="BE11" i="5" s="1"/>
  <c r="AI11" i="5"/>
  <c r="AG11" i="5"/>
  <c r="AF11" i="5"/>
  <c r="AE11" i="5"/>
  <c r="N11" i="5"/>
  <c r="K11" i="5" s="1"/>
  <c r="M11" i="5"/>
  <c r="L11" i="5"/>
  <c r="J11" i="5"/>
  <c r="I11" i="5"/>
  <c r="H11" i="5"/>
  <c r="BG10" i="5" a="1"/>
  <c r="BB10" i="5"/>
  <c r="AK10" i="5"/>
  <c r="AH10" i="5" s="1"/>
  <c r="AJ10" i="5"/>
  <c r="AI10" i="5"/>
  <c r="BD10" i="5" s="1"/>
  <c r="AG10" i="5"/>
  <c r="AF10" i="5"/>
  <c r="AE10" i="5"/>
  <c r="N10" i="5"/>
  <c r="K10" i="5" s="1"/>
  <c r="K14" i="5" s="1"/>
  <c r="M10" i="5"/>
  <c r="L10" i="5"/>
  <c r="J10" i="5"/>
  <c r="I10" i="5"/>
  <c r="H10" i="5"/>
  <c r="BF9" i="5"/>
  <c r="AK9" i="5"/>
  <c r="AH9" i="5" s="1"/>
  <c r="AH13" i="5" s="1"/>
  <c r="AJ9" i="5"/>
  <c r="AI9" i="5"/>
  <c r="AI13" i="5" s="1"/>
  <c r="AG9" i="5"/>
  <c r="AG13" i="5" s="1"/>
  <c r="AF9" i="5"/>
  <c r="AE9" i="5"/>
  <c r="N9" i="5"/>
  <c r="K9" i="5" s="1"/>
  <c r="M9" i="5"/>
  <c r="M13" i="5" s="1"/>
  <c r="L9" i="5"/>
  <c r="L13" i="5" s="1"/>
  <c r="BD13" i="5" s="1"/>
  <c r="J9" i="5"/>
  <c r="BB9" i="5" s="1"/>
  <c r="I9" i="5"/>
  <c r="H9" i="5"/>
  <c r="BE8" i="5"/>
  <c r="AK8" i="5"/>
  <c r="AJ8" i="5"/>
  <c r="AI8" i="5"/>
  <c r="BD8" i="5" s="1"/>
  <c r="AG8" i="5"/>
  <c r="AF8" i="5"/>
  <c r="AE8" i="5"/>
  <c r="N8" i="5"/>
  <c r="M8" i="5"/>
  <c r="L8" i="5"/>
  <c r="K8" i="5"/>
  <c r="J8" i="5"/>
  <c r="BB8" i="5" s="1"/>
  <c r="I8" i="5"/>
  <c r="H8" i="5"/>
  <c r="BG7" i="5" a="1"/>
  <c r="AK7" i="5"/>
  <c r="BF7" i="5" s="1"/>
  <c r="AJ7" i="5"/>
  <c r="BE7" i="5" s="1"/>
  <c r="AI7" i="5"/>
  <c r="AG7" i="5"/>
  <c r="AF7" i="5"/>
  <c r="AE7" i="5"/>
  <c r="N7" i="5"/>
  <c r="M7" i="5"/>
  <c r="L7" i="5"/>
  <c r="K7" i="5"/>
  <c r="J7" i="5"/>
  <c r="I7" i="5"/>
  <c r="H7" i="5"/>
  <c r="AK6" i="5"/>
  <c r="AH6" i="5" s="1"/>
  <c r="AJ6" i="5"/>
  <c r="AI6" i="5"/>
  <c r="AG6" i="5"/>
  <c r="AF6" i="5"/>
  <c r="AE6" i="5"/>
  <c r="N6" i="5"/>
  <c r="K6" i="5" s="1"/>
  <c r="M6" i="5"/>
  <c r="BE6" i="5" s="1"/>
  <c r="L6" i="5"/>
  <c r="L15" i="5" s="1"/>
  <c r="J6" i="5"/>
  <c r="I6" i="5"/>
  <c r="H6" i="5"/>
  <c r="AK5" i="5"/>
  <c r="AH5" i="5" s="1"/>
  <c r="AJ5" i="5"/>
  <c r="AI5" i="5"/>
  <c r="AG5" i="5"/>
  <c r="AF5" i="5"/>
  <c r="AE5" i="5"/>
  <c r="N5" i="5"/>
  <c r="BG5" i="5" s="1" a="1"/>
  <c r="BG5" i="5" s="1"/>
  <c r="M5" i="5"/>
  <c r="BE5" i="5" s="1"/>
  <c r="L5" i="5"/>
  <c r="J5" i="5"/>
  <c r="I5" i="5"/>
  <c r="H5" i="5"/>
  <c r="AE1" i="5"/>
  <c r="H1" i="5"/>
  <c r="BC46" i="3"/>
  <c r="BC47" i="3" s="1"/>
  <c r="BB46" i="3"/>
  <c r="BB47" i="3" s="1"/>
  <c r="BA46" i="3"/>
  <c r="BA47" i="3" s="1"/>
  <c r="AZ46" i="3"/>
  <c r="AE46" i="3"/>
  <c r="AD46" i="3"/>
  <c r="AC46" i="3"/>
  <c r="AB46" i="3"/>
  <c r="BC44" i="3"/>
  <c r="BB44" i="3"/>
  <c r="BB45" i="3" s="1"/>
  <c r="BA44" i="3"/>
  <c r="AZ44" i="3"/>
  <c r="AE44" i="3"/>
  <c r="AD44" i="3"/>
  <c r="AC44" i="3"/>
  <c r="AB44" i="3"/>
  <c r="BF39" i="3"/>
  <c r="AL39" i="3"/>
  <c r="AI39" i="3" s="1"/>
  <c r="AK39" i="3"/>
  <c r="AJ39" i="3"/>
  <c r="AH39" i="3"/>
  <c r="AG39" i="3"/>
  <c r="N39" i="3"/>
  <c r="M39" i="3"/>
  <c r="L39" i="3"/>
  <c r="J39" i="3"/>
  <c r="I39" i="3"/>
  <c r="BF38" i="3"/>
  <c r="AL38" i="3"/>
  <c r="AI38" i="3" s="1"/>
  <c r="AK38" i="3"/>
  <c r="AJ38" i="3"/>
  <c r="AH38" i="3"/>
  <c r="AG38" i="3"/>
  <c r="N38" i="3"/>
  <c r="BG38" i="3" s="1"/>
  <c r="M38" i="3"/>
  <c r="L38" i="3"/>
  <c r="J38" i="3"/>
  <c r="I38" i="3"/>
  <c r="BF37" i="3"/>
  <c r="AL37" i="3"/>
  <c r="AK37" i="3"/>
  <c r="AJ37" i="3"/>
  <c r="AH37" i="3"/>
  <c r="AG37" i="3"/>
  <c r="N37" i="3"/>
  <c r="K37" i="3" s="1"/>
  <c r="M37" i="3"/>
  <c r="L37" i="3"/>
  <c r="J37" i="3"/>
  <c r="I37" i="3"/>
  <c r="BG36" i="3"/>
  <c r="BF36" i="3"/>
  <c r="AL36" i="3"/>
  <c r="AI36" i="3" s="1"/>
  <c r="AK36" i="3"/>
  <c r="AJ36" i="3"/>
  <c r="AH36" i="3"/>
  <c r="AG36" i="3"/>
  <c r="N36" i="3"/>
  <c r="M36" i="3"/>
  <c r="L36" i="3"/>
  <c r="K36" i="3"/>
  <c r="J36" i="3"/>
  <c r="I36" i="3"/>
  <c r="BF35" i="3"/>
  <c r="AL35" i="3"/>
  <c r="AI35" i="3" s="1"/>
  <c r="AK35" i="3"/>
  <c r="AJ35" i="3"/>
  <c r="AH35" i="3"/>
  <c r="AG35" i="3"/>
  <c r="N35" i="3"/>
  <c r="M35" i="3"/>
  <c r="L35" i="3"/>
  <c r="J35" i="3"/>
  <c r="I35" i="3"/>
  <c r="BF34" i="3"/>
  <c r="AL34" i="3"/>
  <c r="AI34" i="3" s="1"/>
  <c r="AK34" i="3"/>
  <c r="AJ34" i="3"/>
  <c r="AH34" i="3"/>
  <c r="AG34" i="3"/>
  <c r="N34" i="3"/>
  <c r="M34" i="3"/>
  <c r="L34" i="3"/>
  <c r="J34" i="3"/>
  <c r="I34" i="3"/>
  <c r="BF33" i="3"/>
  <c r="AL33" i="3"/>
  <c r="AK33" i="3"/>
  <c r="AJ33" i="3"/>
  <c r="AH33" i="3"/>
  <c r="AG33" i="3"/>
  <c r="N33" i="3"/>
  <c r="K33" i="3" s="1"/>
  <c r="M33" i="3"/>
  <c r="L33" i="3"/>
  <c r="J33" i="3"/>
  <c r="I33" i="3"/>
  <c r="BG32" i="3"/>
  <c r="BF32" i="3"/>
  <c r="AL32" i="3"/>
  <c r="AI32" i="3" s="1"/>
  <c r="AK32" i="3"/>
  <c r="AJ32" i="3"/>
  <c r="AH32" i="3"/>
  <c r="AG32" i="3"/>
  <c r="N32" i="3"/>
  <c r="K32" i="3" s="1"/>
  <c r="M32" i="3"/>
  <c r="L32" i="3"/>
  <c r="J32" i="3"/>
  <c r="I32" i="3"/>
  <c r="BF31" i="3"/>
  <c r="AL31" i="3"/>
  <c r="AK31" i="3"/>
  <c r="AJ31" i="3"/>
  <c r="AH31" i="3"/>
  <c r="AG31" i="3"/>
  <c r="N31" i="3"/>
  <c r="M31" i="3"/>
  <c r="L31" i="3"/>
  <c r="J31" i="3"/>
  <c r="I31" i="3"/>
  <c r="BF30" i="3"/>
  <c r="AL30" i="3"/>
  <c r="AI30" i="3" s="1"/>
  <c r="AK30" i="3"/>
  <c r="AK42" i="3" s="1"/>
  <c r="AJ30" i="3"/>
  <c r="AH30" i="3"/>
  <c r="AG30" i="3"/>
  <c r="N30" i="3"/>
  <c r="M30" i="3"/>
  <c r="L30" i="3"/>
  <c r="J30" i="3"/>
  <c r="I30" i="3"/>
  <c r="BF29" i="3"/>
  <c r="AL29" i="3"/>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M27" i="3"/>
  <c r="L27" i="3"/>
  <c r="J27" i="3"/>
  <c r="I27" i="3"/>
  <c r="BF26" i="3"/>
  <c r="AL26" i="3"/>
  <c r="AK26" i="3"/>
  <c r="AJ26" i="3"/>
  <c r="AI26" i="3"/>
  <c r="AH26" i="3"/>
  <c r="AG26" i="3"/>
  <c r="N26" i="3"/>
  <c r="M26" i="3"/>
  <c r="L26" i="3"/>
  <c r="J26" i="3"/>
  <c r="I26" i="3"/>
  <c r="BF25" i="3"/>
  <c r="AL25" i="3"/>
  <c r="AK25" i="3"/>
  <c r="AJ25" i="3"/>
  <c r="AH25" i="3"/>
  <c r="AH41" i="3" s="1"/>
  <c r="AG25" i="3"/>
  <c r="N25" i="3"/>
  <c r="M25" i="3"/>
  <c r="L25" i="3"/>
  <c r="L41" i="3" s="1"/>
  <c r="J25" i="3"/>
  <c r="I25" i="3"/>
  <c r="BF24" i="3"/>
  <c r="BE24" i="3"/>
  <c r="AL24" i="3"/>
  <c r="AI24" i="3" s="1"/>
  <c r="AK24" i="3"/>
  <c r="AJ24" i="3"/>
  <c r="AH24" i="3"/>
  <c r="AG24" i="3"/>
  <c r="N24" i="3"/>
  <c r="M24" i="3"/>
  <c r="L24" i="3"/>
  <c r="K24" i="3"/>
  <c r="J24" i="3"/>
  <c r="I24" i="3"/>
  <c r="BF23" i="3"/>
  <c r="AL23" i="3"/>
  <c r="AI23" i="3" s="1"/>
  <c r="AK23" i="3"/>
  <c r="AJ23" i="3"/>
  <c r="AH23" i="3"/>
  <c r="AG23" i="3"/>
  <c r="N23" i="3"/>
  <c r="M23" i="3"/>
  <c r="L23" i="3"/>
  <c r="J23" i="3"/>
  <c r="I23" i="3"/>
  <c r="BF22" i="3"/>
  <c r="AL22" i="3"/>
  <c r="AK22" i="3"/>
  <c r="AJ22" i="3"/>
  <c r="AI22" i="3"/>
  <c r="AH22" i="3"/>
  <c r="AG22" i="3"/>
  <c r="N22" i="3"/>
  <c r="M22" i="3"/>
  <c r="L22" i="3"/>
  <c r="J22" i="3"/>
  <c r="I22" i="3"/>
  <c r="BF21" i="3"/>
  <c r="AL21" i="3"/>
  <c r="AK21" i="3"/>
  <c r="AJ21" i="3"/>
  <c r="AH21" i="3"/>
  <c r="AG21" i="3"/>
  <c r="N21" i="3"/>
  <c r="K21" i="3" s="1"/>
  <c r="M21" i="3"/>
  <c r="L21" i="3"/>
  <c r="J21" i="3"/>
  <c r="I21" i="3"/>
  <c r="BH20" i="3" a="1"/>
  <c r="BF20" i="3"/>
  <c r="AL20" i="3"/>
  <c r="AI20" i="3" s="1"/>
  <c r="AK20" i="3"/>
  <c r="AJ20" i="3"/>
  <c r="AH20" i="3"/>
  <c r="AG20" i="3"/>
  <c r="N20" i="3"/>
  <c r="M20" i="3"/>
  <c r="L20" i="3"/>
  <c r="K20" i="3"/>
  <c r="J20" i="3"/>
  <c r="I20" i="3"/>
  <c r="BF19" i="3"/>
  <c r="AL19" i="3"/>
  <c r="AI19" i="3" s="1"/>
  <c r="AK19" i="3"/>
  <c r="AJ19" i="3"/>
  <c r="AH19" i="3"/>
  <c r="AG19" i="3"/>
  <c r="N19" i="3"/>
  <c r="M19" i="3"/>
  <c r="L19" i="3"/>
  <c r="J19" i="3"/>
  <c r="I19" i="3"/>
  <c r="BF18" i="3"/>
  <c r="AL18" i="3"/>
  <c r="AK18" i="3"/>
  <c r="AJ18" i="3"/>
  <c r="AI18" i="3"/>
  <c r="AH18" i="3"/>
  <c r="AG18" i="3"/>
  <c r="N18" i="3"/>
  <c r="M18" i="3"/>
  <c r="L18" i="3"/>
  <c r="J18" i="3"/>
  <c r="I18" i="3"/>
  <c r="BF17" i="3"/>
  <c r="AL17" i="3"/>
  <c r="BG17" i="3" s="1"/>
  <c r="AK17" i="3"/>
  <c r="AJ17" i="3"/>
  <c r="AI17" i="3"/>
  <c r="AH17" i="3"/>
  <c r="AG17" i="3"/>
  <c r="N17" i="3"/>
  <c r="K17" i="3" s="1"/>
  <c r="M17" i="3"/>
  <c r="L17" i="3"/>
  <c r="J17" i="3"/>
  <c r="I17" i="3"/>
  <c r="BF16" i="3"/>
  <c r="AL16" i="3"/>
  <c r="AI16" i="3" s="1"/>
  <c r="BE16" i="3" s="1"/>
  <c r="AK16" i="3"/>
  <c r="AJ16" i="3"/>
  <c r="AH16" i="3"/>
  <c r="AG16" i="3"/>
  <c r="N16" i="3"/>
  <c r="M16" i="3"/>
  <c r="L16" i="3"/>
  <c r="K16" i="3"/>
  <c r="J16" i="3"/>
  <c r="I16" i="3"/>
  <c r="BF15" i="3"/>
  <c r="AL15" i="3"/>
  <c r="AI15" i="3" s="1"/>
  <c r="AK15" i="3"/>
  <c r="AJ15" i="3"/>
  <c r="AH15" i="3"/>
  <c r="AG15" i="3"/>
  <c r="N15" i="3"/>
  <c r="M15" i="3"/>
  <c r="L15" i="3"/>
  <c r="K15" i="3"/>
  <c r="J15" i="3"/>
  <c r="I15" i="3"/>
  <c r="BF14" i="3"/>
  <c r="AL14" i="3"/>
  <c r="AI14" i="3" s="1"/>
  <c r="AK14" i="3"/>
  <c r="AJ14" i="3"/>
  <c r="AH14" i="3"/>
  <c r="AG14" i="3"/>
  <c r="N14" i="3"/>
  <c r="M14" i="3"/>
  <c r="L14" i="3"/>
  <c r="J14" i="3"/>
  <c r="I14" i="3"/>
  <c r="BF13" i="3"/>
  <c r="AL13" i="3"/>
  <c r="AK13" i="3"/>
  <c r="AJ13" i="3"/>
  <c r="AH13" i="3"/>
  <c r="AG13" i="3"/>
  <c r="N13" i="3"/>
  <c r="K13" i="3" s="1"/>
  <c r="M13" i="3"/>
  <c r="L13" i="3"/>
  <c r="J13" i="3"/>
  <c r="I13" i="3"/>
  <c r="BF12" i="3"/>
  <c r="AL12" i="3"/>
  <c r="AI12" i="3" s="1"/>
  <c r="AK12" i="3"/>
  <c r="AJ12" i="3"/>
  <c r="AH12" i="3"/>
  <c r="AG12" i="3"/>
  <c r="N12" i="3"/>
  <c r="M12" i="3"/>
  <c r="L12" i="3"/>
  <c r="K12" i="3"/>
  <c r="J12" i="3"/>
  <c r="I12" i="3"/>
  <c r="BF11" i="3"/>
  <c r="AL11" i="3"/>
  <c r="AI11" i="3" s="1"/>
  <c r="AK11" i="3"/>
  <c r="AJ11" i="3"/>
  <c r="AH11" i="3"/>
  <c r="AG11" i="3"/>
  <c r="N11" i="3"/>
  <c r="M11" i="3"/>
  <c r="L11" i="3"/>
  <c r="J11" i="3"/>
  <c r="I11" i="3"/>
  <c r="BF10" i="3"/>
  <c r="AL10" i="3"/>
  <c r="AK10" i="3"/>
  <c r="AJ10" i="3"/>
  <c r="AI10" i="3"/>
  <c r="AH10" i="3"/>
  <c r="AG10" i="3"/>
  <c r="N10" i="3"/>
  <c r="M10" i="3"/>
  <c r="L10" i="3"/>
  <c r="J10" i="3"/>
  <c r="I10" i="3"/>
  <c r="BF9" i="3"/>
  <c r="AL9" i="3"/>
  <c r="AK9" i="3"/>
  <c r="AJ9" i="3"/>
  <c r="AI9" i="3"/>
  <c r="AH9" i="3"/>
  <c r="AG9" i="3"/>
  <c r="N9" i="3"/>
  <c r="K9" i="3" s="1"/>
  <c r="M9" i="3"/>
  <c r="L9" i="3"/>
  <c r="J9" i="3"/>
  <c r="I9" i="3"/>
  <c r="BF8" i="3"/>
  <c r="AL8" i="3"/>
  <c r="AI8" i="3" s="1"/>
  <c r="AK8" i="3"/>
  <c r="AJ8" i="3"/>
  <c r="AH8" i="3"/>
  <c r="AH43" i="3" s="1"/>
  <c r="AG8" i="3"/>
  <c r="N8" i="3"/>
  <c r="M8" i="3"/>
  <c r="L8" i="3"/>
  <c r="K8" i="3"/>
  <c r="J8" i="3"/>
  <c r="I8" i="3"/>
  <c r="BF7" i="3"/>
  <c r="AL7" i="3"/>
  <c r="AI7" i="3" s="1"/>
  <c r="AK7" i="3"/>
  <c r="AJ7" i="3"/>
  <c r="AH7" i="3"/>
  <c r="AG7" i="3"/>
  <c r="N7" i="3"/>
  <c r="M7" i="3"/>
  <c r="L7" i="3"/>
  <c r="K7" i="3"/>
  <c r="J7" i="3"/>
  <c r="I7" i="3"/>
  <c r="BF6" i="3"/>
  <c r="AL6" i="3"/>
  <c r="AK6" i="3"/>
  <c r="AJ6" i="3"/>
  <c r="AI6" i="3"/>
  <c r="AH6" i="3"/>
  <c r="AG6" i="3"/>
  <c r="N6" i="3"/>
  <c r="M6" i="3"/>
  <c r="L6" i="3"/>
  <c r="J6" i="3"/>
  <c r="I6" i="3"/>
  <c r="BF5" i="3"/>
  <c r="AL5" i="3"/>
  <c r="AK5" i="3"/>
  <c r="AJ5" i="3"/>
  <c r="AJ43" i="3" s="1"/>
  <c r="AH5" i="3"/>
  <c r="AG5" i="3"/>
  <c r="N5" i="3"/>
  <c r="K5" i="3" s="1"/>
  <c r="M5" i="3"/>
  <c r="M43" i="3" s="1"/>
  <c r="L5" i="3"/>
  <c r="J5" i="3"/>
  <c r="I5" i="3"/>
  <c r="AG1" i="3"/>
  <c r="I1" i="3"/>
  <c r="B1" i="2"/>
  <c r="B2" i="2" s="1"/>
  <c r="C48" i="1"/>
  <c r="BP35" i="7"/>
  <c r="BL30" i="7"/>
  <c r="BT20" i="7"/>
  <c r="BQ15" i="7"/>
  <c r="BN10" i="7"/>
  <c r="BN5" i="7"/>
  <c r="BP35" i="3"/>
  <c r="BT25" i="3"/>
  <c r="BN20" i="3"/>
  <c r="BN20" i="7"/>
  <c r="BJ10" i="3"/>
  <c r="BK10" i="7"/>
  <c r="BQ20" i="3"/>
  <c r="BN35" i="7"/>
  <c r="BS20" i="7"/>
  <c r="BP15" i="7"/>
  <c r="BM10" i="7"/>
  <c r="BM5" i="7"/>
  <c r="BN35" i="3"/>
  <c r="BS25" i="3"/>
  <c r="BM20" i="3"/>
  <c r="BT10" i="3"/>
  <c r="BT30" i="7"/>
  <c r="BN25" i="3"/>
  <c r="BR35" i="3"/>
  <c r="BP10" i="7"/>
  <c r="BM35" i="7"/>
  <c r="BR20" i="7"/>
  <c r="BJ20" i="7"/>
  <c r="BN15" i="7"/>
  <c r="BL10" i="7"/>
  <c r="BL5" i="7"/>
  <c r="BM35" i="3"/>
  <c r="BR25" i="3"/>
  <c r="BL20" i="3"/>
  <c r="BS10" i="3"/>
  <c r="BR30" i="3"/>
  <c r="BP20" i="3"/>
  <c r="BL35" i="7"/>
  <c r="BT25" i="7"/>
  <c r="BQ20" i="7"/>
  <c r="BM15" i="7"/>
  <c r="BL35" i="3"/>
  <c r="BT30" i="3"/>
  <c r="BQ25" i="3"/>
  <c r="BR10" i="3"/>
  <c r="BT5" i="3"/>
  <c r="BK25" i="7"/>
  <c r="BS15" i="3"/>
  <c r="BP5" i="7"/>
  <c r="BS25" i="7"/>
  <c r="BP20" i="7"/>
  <c r="BL15" i="7"/>
  <c r="BJ35" i="3"/>
  <c r="BS30" i="3"/>
  <c r="BP25" i="3"/>
  <c r="BT15" i="3"/>
  <c r="BQ10" i="3"/>
  <c r="BS5" i="3"/>
  <c r="BR25" i="7"/>
  <c r="BP10" i="3"/>
  <c r="BR5" i="3"/>
  <c r="BL30" i="3"/>
  <c r="BM30" i="7"/>
  <c r="BK30" i="3"/>
  <c r="BK15" i="7"/>
  <c r="BS30" i="7"/>
  <c r="BQ25" i="7"/>
  <c r="BM20" i="7"/>
  <c r="BQ30" i="3"/>
  <c r="BM25" i="3"/>
  <c r="BR15" i="3"/>
  <c r="BN10" i="3"/>
  <c r="BQ5" i="3"/>
  <c r="BP5" i="3"/>
  <c r="BK10" i="3"/>
  <c r="BN30" i="7"/>
  <c r="BQ5" i="7"/>
  <c r="BL15" i="3"/>
  <c r="BR30" i="7"/>
  <c r="BP25" i="7"/>
  <c r="BL20" i="7"/>
  <c r="BT10" i="7"/>
  <c r="BT5" i="7"/>
  <c r="BP30" i="3"/>
  <c r="BJ30" i="3"/>
  <c r="BL25" i="3"/>
  <c r="BT20" i="3"/>
  <c r="BQ15" i="3"/>
  <c r="BM10" i="3"/>
  <c r="BS15" i="7"/>
  <c r="BR15" i="7"/>
  <c r="BQ35" i="3"/>
  <c r="BT35" i="7"/>
  <c r="BQ30" i="7"/>
  <c r="BN25" i="7"/>
  <c r="BS10" i="7"/>
  <c r="BS5" i="7"/>
  <c r="BT35" i="3"/>
  <c r="BN30" i="3"/>
  <c r="BS20" i="3"/>
  <c r="BP15" i="3"/>
  <c r="BK15" i="3"/>
  <c r="BL10" i="3"/>
  <c r="BN5" i="3"/>
  <c r="BM5" i="3"/>
  <c r="BQ10" i="7"/>
  <c r="BL5" i="3"/>
  <c r="BQ35" i="7"/>
  <c r="BK5" i="7"/>
  <c r="BS35" i="7"/>
  <c r="BP30" i="7"/>
  <c r="BM25" i="7"/>
  <c r="BT15" i="7"/>
  <c r="BR10" i="7"/>
  <c r="BR5" i="7"/>
  <c r="BS35" i="3"/>
  <c r="BM30" i="3"/>
  <c r="BK25" i="3"/>
  <c r="BR20" i="3"/>
  <c r="BN15" i="3"/>
  <c r="BR35" i="7"/>
  <c r="BL25" i="7"/>
  <c r="BM15" i="3"/>
  <c r="BJ5" i="3"/>
  <c r="AH43" i="7" l="1"/>
  <c r="BG21" i="7"/>
  <c r="AK43" i="7"/>
  <c r="BG29" i="7"/>
  <c r="BG36" i="7"/>
  <c r="J43" i="7"/>
  <c r="BG33" i="7"/>
  <c r="BE7" i="7"/>
  <c r="BE8" i="7"/>
  <c r="BE13" i="7"/>
  <c r="M40" i="7"/>
  <c r="BB45" i="7"/>
  <c r="M42" i="7"/>
  <c r="BC45" i="7"/>
  <c r="BG17" i="7"/>
  <c r="BE23" i="7"/>
  <c r="BG13" i="7"/>
  <c r="BE21" i="7"/>
  <c r="BH15" i="7"/>
  <c r="BE5" i="7"/>
  <c r="BG19" i="7"/>
  <c r="BG22" i="7"/>
  <c r="BG23" i="7"/>
  <c r="BE14" i="7"/>
  <c r="BG26" i="7"/>
  <c r="BE29" i="7"/>
  <c r="BE31" i="7"/>
  <c r="BG24" i="7"/>
  <c r="BB6" i="6"/>
  <c r="AY19" i="6"/>
  <c r="BE5" i="6"/>
  <c r="BF5" i="6"/>
  <c r="BE11" i="6"/>
  <c r="BB7" i="6"/>
  <c r="BF8" i="6"/>
  <c r="BG8" i="6"/>
  <c r="AY17" i="6"/>
  <c r="AG15" i="6"/>
  <c r="AJ14" i="6"/>
  <c r="BE14" i="6" s="1"/>
  <c r="K14" i="6"/>
  <c r="L15" i="6"/>
  <c r="BG5" i="6"/>
  <c r="BC6" i="6"/>
  <c r="BF10" i="6"/>
  <c r="BD11" i="6"/>
  <c r="BD6" i="6"/>
  <c r="BG10" i="6"/>
  <c r="BG14" i="6" s="1"/>
  <c r="AZ19" i="6"/>
  <c r="BE6" i="6"/>
  <c r="BF6" i="6"/>
  <c r="BD7" i="6"/>
  <c r="BD8" i="6"/>
  <c r="BG11" i="6"/>
  <c r="BG6" i="6"/>
  <c r="C24" i="1"/>
  <c r="AH11" i="5"/>
  <c r="AJ15" i="5"/>
  <c r="AH7" i="5"/>
  <c r="BE10" i="5"/>
  <c r="BB11" i="5"/>
  <c r="AX19" i="5"/>
  <c r="BB7" i="5"/>
  <c r="BD5" i="5"/>
  <c r="BG7" i="5"/>
  <c r="AJ14" i="5"/>
  <c r="BG11" i="5"/>
  <c r="BD6" i="5"/>
  <c r="BB6" i="5"/>
  <c r="J12" i="5"/>
  <c r="BF5" i="5"/>
  <c r="BC7" i="5"/>
  <c r="J14" i="5"/>
  <c r="BF10" i="5"/>
  <c r="K5" i="5"/>
  <c r="BC5" i="5" s="1"/>
  <c r="BD7" i="5"/>
  <c r="L14" i="5"/>
  <c r="BG10" i="5"/>
  <c r="BG14" i="5" s="1"/>
  <c r="BC11" i="5"/>
  <c r="AW19" i="5"/>
  <c r="L12" i="5"/>
  <c r="M14" i="5"/>
  <c r="BD11" i="5"/>
  <c r="AW17" i="5"/>
  <c r="AJ41" i="3"/>
  <c r="AK41" i="3"/>
  <c r="BG28" i="3"/>
  <c r="BH20" i="3"/>
  <c r="BG24" i="3"/>
  <c r="BG34" i="3"/>
  <c r="BG15" i="3"/>
  <c r="BG20" i="3"/>
  <c r="BE7" i="3"/>
  <c r="BE15" i="3"/>
  <c r="BG6" i="3"/>
  <c r="BE28" i="3"/>
  <c r="AZ47" i="3"/>
  <c r="BG7" i="3"/>
  <c r="BG12" i="3"/>
  <c r="BG11" i="3"/>
  <c r="BG19" i="3"/>
  <c r="BG22" i="3"/>
  <c r="BG26" i="3"/>
  <c r="C13" i="1"/>
  <c r="J42" i="3"/>
  <c r="L42" i="3"/>
  <c r="AZ45" i="3"/>
  <c r="L43" i="3"/>
  <c r="BC45" i="3"/>
  <c r="BE9" i="3"/>
  <c r="BE17" i="3"/>
  <c r="J43" i="3"/>
  <c r="K6" i="3"/>
  <c r="BE6" i="3" s="1"/>
  <c r="BE12" i="3"/>
  <c r="BG13" i="3"/>
  <c r="BE36" i="3"/>
  <c r="BG5" i="3"/>
  <c r="BE8" i="3"/>
  <c r="BG9" i="3"/>
  <c r="BE20" i="3"/>
  <c r="BE32" i="3"/>
  <c r="BL41" i="7"/>
  <c r="E44" i="1" s="1"/>
  <c r="BK41" i="3"/>
  <c r="D10" i="1" s="1"/>
  <c r="BM42" i="3"/>
  <c r="F11" i="1" s="1"/>
  <c r="BR40" i="7"/>
  <c r="BM41" i="7"/>
  <c r="F44" i="1" s="1"/>
  <c r="BP42" i="7"/>
  <c r="BL43" i="3"/>
  <c r="E12" i="1" s="1"/>
  <c r="BM43" i="3"/>
  <c r="F12" i="1" s="1"/>
  <c r="BN43" i="3"/>
  <c r="G12" i="1" s="1"/>
  <c r="BN42" i="3"/>
  <c r="G11" i="1" s="1"/>
  <c r="BN41" i="7"/>
  <c r="G44" i="1" s="1"/>
  <c r="BL41" i="3"/>
  <c r="E10" i="1" s="1"/>
  <c r="BJ42" i="3"/>
  <c r="C11" i="1" s="1"/>
  <c r="BP41" i="7"/>
  <c r="BR42" i="7"/>
  <c r="BN42" i="7"/>
  <c r="G45" i="1" s="1"/>
  <c r="BQ43" i="3"/>
  <c r="BQ40" i="3"/>
  <c r="BM41" i="3"/>
  <c r="F10" i="1" s="1"/>
  <c r="BQ42" i="3"/>
  <c r="BS42" i="7"/>
  <c r="BM42" i="7"/>
  <c r="F45" i="1" s="1"/>
  <c r="BL42" i="3"/>
  <c r="E11" i="1" s="1"/>
  <c r="BP40" i="7"/>
  <c r="BP43" i="7"/>
  <c r="BK41" i="7"/>
  <c r="D44" i="1" s="1"/>
  <c r="BT43" i="3"/>
  <c r="BT42" i="3"/>
  <c r="BL43" i="7"/>
  <c r="E46" i="1" s="1"/>
  <c r="BN41" i="3"/>
  <c r="G10" i="1" s="1"/>
  <c r="BT41" i="3"/>
  <c r="BN43" i="7"/>
  <c r="G46" i="1" s="1"/>
  <c r="BL42" i="7"/>
  <c r="E45" i="1" s="1"/>
  <c r="BC9" i="5"/>
  <c r="K13" i="5"/>
  <c r="C14" i="1"/>
  <c r="C36" i="1"/>
  <c r="K11" i="3"/>
  <c r="BE11" i="3" s="1"/>
  <c r="K19" i="3"/>
  <c r="BE19" i="3" s="1"/>
  <c r="AH42" i="3"/>
  <c r="BP42" i="3"/>
  <c r="BG35" i="3"/>
  <c r="K35" i="3"/>
  <c r="BE35" i="3" s="1"/>
  <c r="BE9" i="5"/>
  <c r="BE9" i="6"/>
  <c r="BE13" i="6"/>
  <c r="AI15" i="7"/>
  <c r="BE15" i="7" s="1"/>
  <c r="AI16" i="7"/>
  <c r="BE16" i="7" s="1"/>
  <c r="BH20" i="7" a="1"/>
  <c r="BH20" i="7" s="1"/>
  <c r="AI22" i="7"/>
  <c r="BE22" i="7" s="1"/>
  <c r="BH30" i="7" a="1"/>
  <c r="BH30" i="7" s="1"/>
  <c r="BH5" i="3" a="1"/>
  <c r="BH5" i="3" s="1"/>
  <c r="AJ42" i="3"/>
  <c r="BH30" i="3" a="1"/>
  <c r="BH30" i="3" s="1"/>
  <c r="M40" i="3"/>
  <c r="BG9" i="5" a="1"/>
  <c r="BG9" i="5" s="1"/>
  <c r="BG13" i="5" s="1"/>
  <c r="BC10" i="5"/>
  <c r="AH14" i="5"/>
  <c r="BC14" i="5" s="1"/>
  <c r="AJ15" i="6"/>
  <c r="AG12" i="6"/>
  <c r="J14" i="6"/>
  <c r="BB14" i="6" s="1"/>
  <c r="L43" i="7"/>
  <c r="BG7" i="7"/>
  <c r="AI17" i="7"/>
  <c r="BE17" i="7" s="1"/>
  <c r="BG20" i="7"/>
  <c r="BE24" i="7"/>
  <c r="BG30" i="7"/>
  <c r="BQ42" i="7"/>
  <c r="BD5" i="6"/>
  <c r="AI15" i="6"/>
  <c r="BD15" i="6" s="1"/>
  <c r="M15" i="5"/>
  <c r="BE15" i="5" s="1"/>
  <c r="BQ41" i="7"/>
  <c r="BH35" i="7" a="1"/>
  <c r="BH35" i="7" s="1"/>
  <c r="BG35" i="7"/>
  <c r="BG18" i="3"/>
  <c r="K18" i="3"/>
  <c r="BE18" i="3" s="1"/>
  <c r="L40" i="3"/>
  <c r="BC10" i="6"/>
  <c r="AH40" i="3"/>
  <c r="BG14" i="7"/>
  <c r="AI33" i="3"/>
  <c r="BE33" i="3" s="1"/>
  <c r="BG33" i="3"/>
  <c r="AJ40" i="3"/>
  <c r="BC6" i="5"/>
  <c r="BB5" i="6"/>
  <c r="AI12" i="6"/>
  <c r="BD12" i="6" s="1"/>
  <c r="M14" i="6"/>
  <c r="AW19" i="6"/>
  <c r="BM43" i="7"/>
  <c r="F46" i="1" s="1"/>
  <c r="BM40" i="7"/>
  <c r="F43" i="1" s="1"/>
  <c r="BR41" i="7"/>
  <c r="BE27" i="7"/>
  <c r="L42" i="7"/>
  <c r="BG34" i="7"/>
  <c r="AI39" i="7"/>
  <c r="BE39" i="7" s="1"/>
  <c r="J41" i="3"/>
  <c r="BH25" i="3" a="1"/>
  <c r="BH25" i="3" s="1"/>
  <c r="BH41" i="3" s="1"/>
  <c r="BA45" i="3"/>
  <c r="AI14" i="5"/>
  <c r="BD14" i="5" s="1"/>
  <c r="AX19" i="6"/>
  <c r="BE12" i="7"/>
  <c r="BG15" i="7"/>
  <c r="BE18" i="7"/>
  <c r="BE28" i="7"/>
  <c r="AH8" i="5"/>
  <c r="BC8" i="5" s="1"/>
  <c r="BF8" i="5"/>
  <c r="BE11" i="7"/>
  <c r="BG23" i="3"/>
  <c r="K23" i="3"/>
  <c r="BE23" i="3" s="1"/>
  <c r="BL40" i="3"/>
  <c r="E9" i="1" s="1"/>
  <c r="J15" i="6"/>
  <c r="BB15" i="6" s="1"/>
  <c r="J12" i="6"/>
  <c r="BG15" i="6"/>
  <c r="BG12" i="6"/>
  <c r="BE10" i="6"/>
  <c r="AI14" i="6"/>
  <c r="BD14" i="6" s="1"/>
  <c r="AI25" i="7"/>
  <c r="BH25" i="7" a="1"/>
  <c r="BH25" i="7" s="1"/>
  <c r="BH41" i="7" s="1"/>
  <c r="K37" i="7"/>
  <c r="BE37" i="7" s="1"/>
  <c r="BG10" i="3"/>
  <c r="K10" i="3"/>
  <c r="K12" i="5"/>
  <c r="AI5" i="3"/>
  <c r="BG8" i="3"/>
  <c r="BG14" i="3"/>
  <c r="K14" i="3"/>
  <c r="BE14" i="3" s="1"/>
  <c r="BH15" i="3" a="1"/>
  <c r="BH15" i="3" s="1"/>
  <c r="BG16" i="3"/>
  <c r="M41" i="3"/>
  <c r="AI37" i="3"/>
  <c r="BE37" i="3" s="1"/>
  <c r="BG37" i="3"/>
  <c r="BM40" i="3"/>
  <c r="F9" i="1" s="1"/>
  <c r="AG15" i="5"/>
  <c r="BB15" i="5" s="1"/>
  <c r="BF6" i="5"/>
  <c r="BG8" i="5" a="1"/>
  <c r="BG8" i="5" s="1"/>
  <c r="J13" i="5"/>
  <c r="AW17" i="6"/>
  <c r="BQ43" i="7"/>
  <c r="BQ40" i="7"/>
  <c r="BE6" i="7"/>
  <c r="BH10" i="7" a="1"/>
  <c r="BH10" i="7" s="1"/>
  <c r="BE19" i="7"/>
  <c r="BG27" i="7"/>
  <c r="BE32" i="7"/>
  <c r="BG38" i="7"/>
  <c r="BR43" i="7"/>
  <c r="AI29" i="3"/>
  <c r="BE29" i="3" s="1"/>
  <c r="BG29" i="3"/>
  <c r="M12" i="5"/>
  <c r="BG27" i="3"/>
  <c r="K27" i="3"/>
  <c r="BE27" i="3" s="1"/>
  <c r="M42" i="3"/>
  <c r="BN40" i="3"/>
  <c r="G9" i="1" s="1"/>
  <c r="BQ41" i="3"/>
  <c r="AI15" i="5"/>
  <c r="BD15" i="5" s="1"/>
  <c r="AI12" i="5"/>
  <c r="BD12" i="5" s="1"/>
  <c r="BC13" i="5"/>
  <c r="M12" i="6"/>
  <c r="BD9" i="6"/>
  <c r="AI13" i="6"/>
  <c r="BD13" i="6" s="1"/>
  <c r="AH11" i="6"/>
  <c r="BC11" i="6" s="1"/>
  <c r="BF11" i="6"/>
  <c r="AX17" i="6"/>
  <c r="AJ43" i="7"/>
  <c r="BT41" i="7"/>
  <c r="AK43" i="3"/>
  <c r="AK40" i="3"/>
  <c r="AI13" i="3"/>
  <c r="BE13" i="3" s="1"/>
  <c r="BG31" i="3"/>
  <c r="K31" i="3"/>
  <c r="BH35" i="3" a="1"/>
  <c r="BH35" i="3" s="1"/>
  <c r="BP40" i="3"/>
  <c r="BR41" i="3"/>
  <c r="BR42" i="3"/>
  <c r="BP43" i="3"/>
  <c r="AJ12" i="5"/>
  <c r="BE12" i="5" s="1"/>
  <c r="BG6" i="5" a="1"/>
  <c r="BG6" i="5" s="1"/>
  <c r="J15" i="5"/>
  <c r="BG10" i="7"/>
  <c r="AI20" i="7"/>
  <c r="BE20" i="7" s="1"/>
  <c r="BG25" i="7"/>
  <c r="AI30" i="7"/>
  <c r="BG31" i="7"/>
  <c r="AZ47" i="7"/>
  <c r="AI25" i="3"/>
  <c r="BG25" i="3"/>
  <c r="BP41" i="3"/>
  <c r="BS41" i="3"/>
  <c r="BB13" i="5"/>
  <c r="AG13" i="6"/>
  <c r="BB13" i="6" s="1"/>
  <c r="BH5" i="7" a="1"/>
  <c r="BH5" i="7" s="1"/>
  <c r="BT43" i="7"/>
  <c r="BT40" i="7"/>
  <c r="K10" i="7"/>
  <c r="BE10" i="7" s="1"/>
  <c r="BG12" i="7"/>
  <c r="BG18" i="7"/>
  <c r="K25" i="7"/>
  <c r="K41" i="7" s="1"/>
  <c r="BG28" i="7"/>
  <c r="AJ42" i="7"/>
  <c r="BT42" i="7"/>
  <c r="AH7" i="6"/>
  <c r="BC7" i="6" s="1"/>
  <c r="BF7" i="6"/>
  <c r="BG39" i="3"/>
  <c r="K39" i="3"/>
  <c r="BE39" i="3" s="1"/>
  <c r="BR43" i="3"/>
  <c r="BR40" i="3"/>
  <c r="AI21" i="3"/>
  <c r="BE21" i="3" s="1"/>
  <c r="BG21" i="3"/>
  <c r="BH10" i="3" a="1"/>
  <c r="BH10" i="3" s="1"/>
  <c r="J40" i="3"/>
  <c r="BS40" i="3"/>
  <c r="BS43" i="3"/>
  <c r="BB5" i="5"/>
  <c r="BD9" i="5"/>
  <c r="AG14" i="5"/>
  <c r="BE13" i="5"/>
  <c r="AH13" i="6"/>
  <c r="M15" i="6"/>
  <c r="L41" i="7"/>
  <c r="BE36" i="7"/>
  <c r="L40" i="7"/>
  <c r="BN40" i="7"/>
  <c r="G43" i="1" s="1"/>
  <c r="BS41" i="7"/>
  <c r="K25" i="3"/>
  <c r="K41" i="3" s="1"/>
  <c r="AI31" i="3"/>
  <c r="BE31" i="3" s="1"/>
  <c r="AG12" i="5"/>
  <c r="BB12" i="5" s="1"/>
  <c r="AJ12" i="6"/>
  <c r="AH40" i="7"/>
  <c r="BT40" i="3"/>
  <c r="AJ40" i="7"/>
  <c r="BS40" i="7"/>
  <c r="BS43" i="7"/>
  <c r="K22" i="3"/>
  <c r="BE22" i="3" s="1"/>
  <c r="K26" i="3"/>
  <c r="BE26" i="3" s="1"/>
  <c r="K30" i="3"/>
  <c r="BG30" i="3"/>
  <c r="K34" i="3"/>
  <c r="BE34" i="3" s="1"/>
  <c r="K38" i="3"/>
  <c r="BE38" i="3" s="1"/>
  <c r="AK40" i="7"/>
  <c r="BS42" i="3"/>
  <c r="K5" i="6"/>
  <c r="K9" i="6"/>
  <c r="K13" i="6" s="1"/>
  <c r="J40" i="7"/>
  <c r="BL40" i="7"/>
  <c r="E43" i="1" s="1"/>
  <c r="BK5" i="3"/>
  <c r="BJ15" i="3"/>
  <c r="BJ15" i="7"/>
  <c r="BK20" i="3"/>
  <c r="BK30" i="7"/>
  <c r="BJ25" i="3"/>
  <c r="BK35" i="3"/>
  <c r="BK35" i="7"/>
  <c r="BJ10" i="7"/>
  <c r="BK20" i="7"/>
  <c r="BJ5" i="7"/>
  <c r="BJ35" i="7"/>
  <c r="BJ30" i="7"/>
  <c r="BJ25" i="7"/>
  <c r="BJ20" i="3"/>
  <c r="K40" i="7" l="1"/>
  <c r="BH42" i="7"/>
  <c r="BB12" i="6"/>
  <c r="BE12" i="6"/>
  <c r="BE15" i="6"/>
  <c r="BE14" i="5"/>
  <c r="D21" i="1"/>
  <c r="K15" i="5"/>
  <c r="BG12" i="5"/>
  <c r="C23" i="1"/>
  <c r="BB14" i="5"/>
  <c r="K40" i="3"/>
  <c r="BJ41" i="7"/>
  <c r="C44" i="1" s="1"/>
  <c r="BJ42" i="7"/>
  <c r="C45" i="1" s="1"/>
  <c r="BK43" i="7"/>
  <c r="D46" i="1" s="1"/>
  <c r="BK40" i="7"/>
  <c r="D43" i="1" s="1"/>
  <c r="BK42" i="3"/>
  <c r="D11" i="1" s="1"/>
  <c r="BJ41" i="3"/>
  <c r="C10" i="1" s="1"/>
  <c r="BK42" i="7"/>
  <c r="D45" i="1" s="1"/>
  <c r="BJ43" i="3"/>
  <c r="C12" i="1" s="1"/>
  <c r="BJ40" i="3"/>
  <c r="C9" i="1" s="1"/>
  <c r="H45" i="1"/>
  <c r="L11" i="1"/>
  <c r="I11" i="1"/>
  <c r="I9" i="1"/>
  <c r="J43" i="1"/>
  <c r="L12" i="1"/>
  <c r="I12" i="1"/>
  <c r="L10" i="1"/>
  <c r="J45" i="1"/>
  <c r="H46" i="1"/>
  <c r="H44" i="1"/>
  <c r="H43" i="1"/>
  <c r="K45" i="1"/>
  <c r="E33" i="1"/>
  <c r="D22" i="1"/>
  <c r="E19" i="1"/>
  <c r="K10" i="1"/>
  <c r="I10" i="1"/>
  <c r="K42" i="7"/>
  <c r="BG15" i="5"/>
  <c r="H10" i="1"/>
  <c r="D34" i="1"/>
  <c r="J11" i="1"/>
  <c r="E34" i="1"/>
  <c r="C21" i="1"/>
  <c r="BE10" i="3"/>
  <c r="K43" i="3"/>
  <c r="L44" i="1"/>
  <c r="D19" i="1"/>
  <c r="AI41" i="3"/>
  <c r="BE41" i="3" s="1"/>
  <c r="BE25" i="3"/>
  <c r="L43" i="1"/>
  <c r="J10" i="1"/>
  <c r="I43" i="1"/>
  <c r="AH14" i="6"/>
  <c r="BC14" i="6" s="1"/>
  <c r="I45" i="1"/>
  <c r="K42" i="3"/>
  <c r="E31" i="1"/>
  <c r="K44" i="1"/>
  <c r="AI43" i="7"/>
  <c r="AI40" i="7"/>
  <c r="BE40" i="7" s="1"/>
  <c r="L46" i="1"/>
  <c r="C47" i="1"/>
  <c r="H9" i="1"/>
  <c r="I46" i="1"/>
  <c r="D32" i="1"/>
  <c r="K12" i="1"/>
  <c r="H11" i="1"/>
  <c r="K43" i="7"/>
  <c r="BE30" i="3"/>
  <c r="K43" i="1"/>
  <c r="AH12" i="5"/>
  <c r="BC12" i="5" s="1"/>
  <c r="AI42" i="3"/>
  <c r="BE42" i="3" s="1"/>
  <c r="BK43" i="3"/>
  <c r="D12" i="1" s="1"/>
  <c r="BK40" i="3"/>
  <c r="D9" i="1" s="1"/>
  <c r="H12" i="1"/>
  <c r="D33" i="1"/>
  <c r="BH43" i="7"/>
  <c r="BH40" i="7"/>
  <c r="AI42" i="7"/>
  <c r="BE30" i="7"/>
  <c r="AI41" i="7"/>
  <c r="BE41" i="7" s="1"/>
  <c r="BE25" i="7"/>
  <c r="K9" i="1"/>
  <c r="L45" i="1"/>
  <c r="BC13" i="6"/>
  <c r="E32" i="1"/>
  <c r="C20" i="1"/>
  <c r="AH12" i="6"/>
  <c r="J44" i="1"/>
  <c r="BH42" i="3"/>
  <c r="E22" i="1"/>
  <c r="I44" i="1"/>
  <c r="K12" i="6"/>
  <c r="K15" i="6"/>
  <c r="K11" i="1"/>
  <c r="L9" i="1"/>
  <c r="J9" i="1"/>
  <c r="D20" i="1"/>
  <c r="J12" i="1"/>
  <c r="BC9" i="6"/>
  <c r="J46" i="1"/>
  <c r="BC5" i="6"/>
  <c r="AH15" i="6"/>
  <c r="C35" i="1"/>
  <c r="K46" i="1"/>
  <c r="D31" i="1"/>
  <c r="E20" i="1"/>
  <c r="AI43" i="3"/>
  <c r="AI40" i="3"/>
  <c r="BE40" i="3" s="1"/>
  <c r="BE5" i="3"/>
  <c r="BJ43" i="7"/>
  <c r="C46" i="1" s="1"/>
  <c r="BJ40" i="7"/>
  <c r="C43" i="1" s="1"/>
  <c r="BH43" i="3"/>
  <c r="BH40" i="3"/>
  <c r="AH15" i="5"/>
  <c r="BC15" i="5" s="1"/>
  <c r="BE43" i="7" l="1"/>
  <c r="BC15" i="6"/>
  <c r="E21" i="1"/>
  <c r="C22" i="1"/>
  <c r="C19" i="1"/>
  <c r="C34" i="1"/>
  <c r="BE43" i="3"/>
  <c r="BE42" i="7"/>
  <c r="C32" i="1"/>
  <c r="BC12" i="6"/>
  <c r="C33" i="1"/>
  <c r="C31"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<sst xmlns="http://schemas.openxmlformats.org/spreadsheetml/2006/main" count="1459" uniqueCount="575">
  <si>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</si>
  <si>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</si>
  <si>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</si>
  <si>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</si>
  <si>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</si>
  <si>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</si>
  <si>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</si>
  <si>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</si>
  <si>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</si>
  <si>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</si>
  <si>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</si>
  <si>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</si>
  <si>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</si>
  <si>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</si>
  <si>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</si>
  <si>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</si>
  <si>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</si>
  <si>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</si>
  <si>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</si>
  <si>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</si>
  <si>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</si>
  <si>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</si>
  <si>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</si>
  <si>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</si>
  <si>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</si>
  <si>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</si>
  <si>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</si>
  <si>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</si>
  <si>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</si>
  <si>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</si>
  <si>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</si>
  <si>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</si>
  <si>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</si>
  <si>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</si>
  <si>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</si>
  <si>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</si>
  <si>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</si>
  <si>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</si>
  <si>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</si>
  <si>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</si>
  <si>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</si>
  <si>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</si>
  <si>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</si>
  <si>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</si>
  <si>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</si>
  <si>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</si>
  <si>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</si>
  <si>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</si>
  <si>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</si>
  <si>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</si>
  <si>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</si>
  <si>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</si>
  <si>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</si>
  <si>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</si>
  <si>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</si>
  <si>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</si>
  <si>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</si>
  <si>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</si>
  <si>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</si>
  <si>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</si>
  <si>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</si>
  <si>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</si>
  <si>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</si>
  <si>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</si>
  <si>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</si>
  <si>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</si>
  <si>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</si>
  <si>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</si>
  <si>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</si>
  <si>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</si>
  <si>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</si>
  <si>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</si>
  <si>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</si>
  <si>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</si>
  <si>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</si>
  <si>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</si>
  <si>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</si>
  <si>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</si>
  <si>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</si>
  <si>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</si>
  <si>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</si>
  <si>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</si>
  <si>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</si>
  <si>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</si>
  <si>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</si>
  <si>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</si>
  <si>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</si>
  <si>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</si>
  <si>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</si>
  <si>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</si>
  <si>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</si>
  <si>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</si>
  <si>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</si>
  <si>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</si>
  <si>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</si>
  <si>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</si>
  <si>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</si>
  <si>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</si>
  <si>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</si>
  <si>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</si>
  <si>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</si>
  <si>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</si>
  <si>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</si>
  <si>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</si>
  <si>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</si>
  <si>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</si>
  <si>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</si>
  <si>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</si>
  <si>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</si>
  <si>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</si>
  <si>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</si>
  <si>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</si>
  <si>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</si>
  <si>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</si>
  <si>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</si>
  <si>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</si>
  <si>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</si>
  <si>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</si>
  <si>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</si>
  <si>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</si>
  <si>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</si>
  <si>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</si>
  <si>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</si>
  <si>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</si>
  <si>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</si>
  <si>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</si>
  <si>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</si>
  <si>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</si>
  <si>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</si>
  <si>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</si>
  <si>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</si>
  <si>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</si>
  <si>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</si>
  <si>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</si>
  <si>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</si>
  <si>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</si>
  <si>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</si>
  <si>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</si>
  <si>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</si>
  <si>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</si>
  <si>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</si>
  <si>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</si>
  <si>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</si>
  <si>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</si>
  <si>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</si>
  <si>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</si>
  <si>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</si>
  <si>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</si>
  <si>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</si>
  <si>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</si>
  <si>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</si>
  <si>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</si>
  <si>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</si>
  <si>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</si>
  <si>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</si>
  <si>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</si>
  <si>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</si>
  <si>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</si>
  <si>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</si>
  <si>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</si>
  <si>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</si>
  <si>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</si>
  <si>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</si>
  <si>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</si>
  <si>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</si>
  <si>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</si>
  <si>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</si>
  <si>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</si>
  <si>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</si>
  <si>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</si>
  <si>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</si>
  <si>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</si>
  <si>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</si>
  <si>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</si>
  <si>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</si>
  <si>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</si>
  <si>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</si>
  <si>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</si>
  <si>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</si>
  <si>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</si>
  <si>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</si>
  <si>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</si>
  <si>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</si>
  <si>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</si>
  <si>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</si>
  <si>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</si>
  <si>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</si>
  <si>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</si>
  <si>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</si>
  <si>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</si>
  <si>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</si>
  <si>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</si>
  <si>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</si>
  <si>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</si>
  <si>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</si>
  <si>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</si>
  <si>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</si>
  <si>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</si>
  <si>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</si>
  <si>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</si>
  <si>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</si>
  <si>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</si>
  <si>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</si>
  <si>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</si>
  <si>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</si>
  <si>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</si>
  <si>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</si>
  <si>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</si>
  <si>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</si>
  <si>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</si>
  <si>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</si>
  <si>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</si>
  <si>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</si>
  <si>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</si>
  <si>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</si>
  <si>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</si>
  <si>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</si>
  <si>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</si>
  <si>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</si>
  <si>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</si>
  <si>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</si>
  <si>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</si>
  <si>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</si>
  <si>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</si>
  <si>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</si>
  <si>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</si>
  <si>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</si>
  <si>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</si>
  <si>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</si>
  <si>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</si>
  <si>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</si>
  <si>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</si>
  <si>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</si>
  <si>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</si>
  <si>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</si>
  <si>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</si>
  <si>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</si>
  <si>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</si>
  <si>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</si>
  <si>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</si>
  <si>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</si>
  <si>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</si>
  <si>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</si>
  <si>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</si>
  <si>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</si>
  <si>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</si>
  <si>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</si>
  <si>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</si>
  <si>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</si>
  <si>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</si>
  <si>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</si>
  <si>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</si>
  <si>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</si>
  <si>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</si>
  <si>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</si>
  <si>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</si>
  <si>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</si>
  <si>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</si>
  <si>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</si>
  <si>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</si>
  <si>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</si>
  <si>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</si>
  <si>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</si>
  <si>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</si>
  <si>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</si>
  <si>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</si>
  <si>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</si>
  <si>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</si>
  <si>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</si>
  <si>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</si>
  <si>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</si>
  <si>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</si>
  <si>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</si>
  <si>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</si>
  <si>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</si>
  <si>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</si>
  <si>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</si>
  <si>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</si>
  <si>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</si>
  <si>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</si>
  <si>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</si>
  <si>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</si>
  <si>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</si>
  <si>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</si>
  <si>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</si>
  <si>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</si>
  <si>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</si>
  <si>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</si>
  <si>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</si>
  <si>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</si>
  <si>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</si>
  <si>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</si>
  <si>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</si>
  <si>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</si>
  <si>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</si>
  <si>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</si>
  <si>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</si>
  <si>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</si>
  <si>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</si>
  <si>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</si>
  <si>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</si>
  <si>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</si>
  <si>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</si>
  <si>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</si>
  <si>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</si>
  <si>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</si>
  <si>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</si>
  <si>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</si>
  <si>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</si>
  <si>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</si>
  <si>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</si>
  <si>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</si>
  <si>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</si>
  <si>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</si>
  <si>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</si>
  <si>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</si>
  <si>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</si>
  <si>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</si>
  <si>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</si>
  <si>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</si>
  <si>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</si>
  <si>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</si>
  <si>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</si>
  <si>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</si>
  <si>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</si>
  <si>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</si>
  <si>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</si>
  <si>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</si>
  <si>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</si>
  <si>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</si>
  <si>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</si>
  <si>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</si>
  <si>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</si>
  <si>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</si>
  <si>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</si>
  <si>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</si>
  <si>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</si>
  <si>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</si>
  <si>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</si>
  <si>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</si>
  <si>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</si>
  <si>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</si>
  <si>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</si>
  <si>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</si>
  <si>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</si>
  <si>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</si>
  <si>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</si>
  <si>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</si>
  <si>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</si>
  <si>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</si>
  <si>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</si>
  <si>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</si>
  <si>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</si>
  <si>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</si>
  <si>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</si>
  <si>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</si>
  <si>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</si>
  <si>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</si>
  <si>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</si>
  <si>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</si>
  <si>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</si>
  <si>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</si>
  <si>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</si>
  <si>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</si>
  <si>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</si>
  <si>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</si>
  <si>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</si>
  <si>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</si>
  <si>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</si>
  <si>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</si>
  <si>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</si>
  <si>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</si>
  <si>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</si>
  <si>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</si>
  <si>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</si>
  <si>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</si>
  <si>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</si>
  <si>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</si>
  <si>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</si>
  <si>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</si>
  <si>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</si>
  <si>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</si>
  <si>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</si>
  <si>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</si>
  <si>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</si>
  <si>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</si>
  <si>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</si>
  <si>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</si>
  <si>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</si>
  <si>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</si>
  <si>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</si>
  <si>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</si>
  <si>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</si>
  <si>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</si>
  <si>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</si>
  <si>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</si>
  <si>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</si>
  <si>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</si>
  <si>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</si>
  <si>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</si>
  <si>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</si>
  <si>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</si>
  <si>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</si>
  <si>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</si>
  <si>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</si>
  <si>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</si>
  <si>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</si>
  <si>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</si>
  <si>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</si>
  <si>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</si>
  <si>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</si>
  <si>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</si>
  <si>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</si>
  <si>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</si>
  <si>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</si>
  <si>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</si>
  <si>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</si>
  <si>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</si>
  <si>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</si>
  <si>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</si>
  <si>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</si>
  <si>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</si>
  <si>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</si>
  <si>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</si>
  <si>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</si>
  <si>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</si>
  <si>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</si>
  <si>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</si>
  <si>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</si>
  <si>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</si>
  <si>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</si>
  <si>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</si>
  <si>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</si>
  <si>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</si>
  <si>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</si>
  <si>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</si>
  <si>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</si>
  <si>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</si>
  <si>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</si>
  <si>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</si>
  <si>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</si>
  <si>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</si>
  <si>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</si>
  <si>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</si>
  <si>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</si>
  <si>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</si>
  <si>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</si>
  <si>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</si>
  <si>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</si>
  <si>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</si>
  <si>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</si>
  <si>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</si>
  <si>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</si>
  <si>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</si>
  <si>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</si>
  <si>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</si>
  <si>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</si>
  <si>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</si>
  <si>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</si>
  <si>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</si>
  <si>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</si>
  <si>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</si>
  <si>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</si>
  <si>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</si>
  <si>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</si>
  <si>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</si>
  <si>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</si>
  <si>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</si>
  <si>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</si>
  <si>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</si>
  <si>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</si>
  <si>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</si>
  <si>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</si>
  <si>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</si>
  <si>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</si>
  <si>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</si>
  <si>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</si>
  <si>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</si>
  <si>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</si>
  <si>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</si>
  <si>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</si>
  <si>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</si>
  <si>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</si>
  <si>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</si>
  <si>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</si>
  <si>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</si>
  <si>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</si>
  <si>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</si>
  <si>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</si>
  <si>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</si>
  <si>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</si>
  <si>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</si>
  <si>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</si>
  <si>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</si>
  <si>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</si>
  <si>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</si>
  <si>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</si>
  <si>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</si>
  <si>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</si>
  <si>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</si>
  <si>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</si>
  <si>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</si>
  <si>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</si>
  <si>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</si>
  <si>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</si>
  <si>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</si>
  <si>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</si>
  <si>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</si>
  <si>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</si>
  <si>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</si>
  <si>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</si>
  <si>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</si>
  <si>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</si>
  <si>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</si>
  <si>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</si>
  <si>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</si>
  <si>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</si>
  <si>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</si>
  <si>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</si>
  <si>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</si>
  <si>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</si>
  <si>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</si>
  <si>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</si>
  <si>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</si>
  <si>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</si>
  <si>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</si>
  <si>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</si>
  <si>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</si>
  <si>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</si>
  <si>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</si>
  <si>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</si>
  <si>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</si>
  <si>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</si>
  <si>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</si>
  <si>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</si>
  <si>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</si>
  <si>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</si>
  <si>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</si>
  <si>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</si>
  <si>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</si>
  <si>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</si>
  <si>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</si>
  <si>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</si>
  <si>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</si>
  <si>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</si>
  <si>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</si>
  <si>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</si>
  <si>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</si>
  <si>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</si>
  <si>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</si>
  <si>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</si>
  <si>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</si>
  <si>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</si>
  <si>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</si>
  <si>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</si>
  <si>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</si>
  <si>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</si>
  <si>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</si>
  <si>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</si>
  <si>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</si>
  <si>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</si>
  <si>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</si>
  <si>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</si>
  <si>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</si>
  <si>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</si>
  <si>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</si>
  <si>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</si>
  <si>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</si>
  <si>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</si>
  <si>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</si>
  <si>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</si>
  <si>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</si>
  <si>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</si>
  <si>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</si>
  <si>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r19.0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</si>
</sst>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5">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2"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r19.0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D440-4BAE-9DE4-F0AEAD28C69F}"/>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D440-4BAE-9DE4-F0AEAD28C69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r19.0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5F90-450C-9252-2B362C2995F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F90-450C-9252-2B362C2995F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r19.0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0137-445E-BAD8-8A44F58F5893}"/>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0137-445E-BAD8-8A44F58F589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r19.0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E9DB-4374-801B-C53A0F1D1CAD}"/>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E9DB-4374-801B-C53A0F1D1CAD}"/>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r19.0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B75E-4C0C-A383-E30899686982}"/>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B75E-4C0C-A383-E3089968698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29F2-4581-BD84-3FB049339D6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29F2-4581-BD84-3FB049339D6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F1" sqref="F1"/>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74" t="str">
        <f>Summary!$C$1</f>
        <v>r19.0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2.2757112000000004</v>
      </c>
      <c r="J5" s="12">
        <f t="shared" ref="J5:J39" si="1">IF(ISBLANK(S5),"·",S5/D5)</f>
        <v>9.555934022111634E-2</v>
      </c>
      <c r="K5" s="12">
        <f t="shared" ref="K5:K39" si="2">IF(N5="","·",N5/D5)</f>
        <v>6.1118776307636756E-2</v>
      </c>
      <c r="L5" s="12">
        <f t="shared" ref="L5:L39" si="3">IF(T5="","·",T5/D5)</f>
        <v>3.463771995604166E-2</v>
      </c>
      <c r="M5" s="12">
        <f t="shared" ref="M5:M39" si="4">IF(ISBLANK(V5),"·",V5/D5)</f>
        <v>3.4440563913479584E-2</v>
      </c>
      <c r="N5" s="54">
        <f t="shared" ref="N5:N39" si="5">IF(OR(ISBLANK(T5),ISBLANK(U5)),"",T5+U5)</f>
        <v>14555216</v>
      </c>
      <c r="O5" s="12">
        <v>-12</v>
      </c>
      <c r="P5" s="13">
        <v>210239817</v>
      </c>
      <c r="Q5" s="13">
        <v>700799.39</v>
      </c>
      <c r="R5" s="13">
        <v>14454.6266666667</v>
      </c>
      <c r="S5" s="14">
        <v>22757112</v>
      </c>
      <c r="T5" s="14">
        <v>8248848</v>
      </c>
      <c r="U5" s="14">
        <v>6306368</v>
      </c>
      <c r="V5" s="14">
        <v>8201896</v>
      </c>
      <c r="W5" s="15">
        <v>66.310020333333298</v>
      </c>
      <c r="X5" s="15">
        <v>68.377399333333301</v>
      </c>
      <c r="Y5" s="15">
        <v>32.325254000000001</v>
      </c>
      <c r="Z5" s="15">
        <v>44.156723999999997</v>
      </c>
      <c r="AA5" s="15">
        <v>43.81803</v>
      </c>
      <c r="AB5" s="16">
        <v>21559.4</v>
      </c>
      <c r="AC5" s="16">
        <v>0</v>
      </c>
      <c r="AD5" s="16">
        <v>604.01700000000005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3.4839848</v>
      </c>
      <c r="J6" s="21">
        <f t="shared" si="1"/>
        <v>0.14629593106031996</v>
      </c>
      <c r="K6" s="21">
        <f t="shared" si="2"/>
        <v>7.4458268821718146E-2</v>
      </c>
      <c r="L6" s="21">
        <f t="shared" si="3"/>
        <v>4.797721247012305E-2</v>
      </c>
      <c r="M6" s="21">
        <f t="shared" si="4"/>
        <v>7.1837662238601802E-2</v>
      </c>
      <c r="N6" s="18">
        <f t="shared" si="5"/>
        <v>17731968</v>
      </c>
      <c r="O6" s="21">
        <v>-12</v>
      </c>
      <c r="P6" s="22">
        <v>230728902</v>
      </c>
      <c r="Q6" s="22">
        <v>769096.34</v>
      </c>
      <c r="R6" s="22">
        <v>19629.386666666702</v>
      </c>
      <c r="S6" s="23">
        <v>34839848</v>
      </c>
      <c r="T6" s="23">
        <v>11425600</v>
      </c>
      <c r="U6" s="23">
        <v>6306368</v>
      </c>
      <c r="V6" s="23">
        <v>17107880</v>
      </c>
      <c r="W6" s="24">
        <v>68.156284666666593</v>
      </c>
      <c r="X6" s="24">
        <v>70.311282666666699</v>
      </c>
      <c r="Y6" s="24">
        <v>34.599119999999999</v>
      </c>
      <c r="Z6" s="24">
        <v>45.4689196666667</v>
      </c>
      <c r="AA6" s="24">
        <v>45.243023666666701</v>
      </c>
      <c r="AB6" s="25">
        <v>22121.599999999999</v>
      </c>
      <c r="AC6" s="25">
        <v>0</v>
      </c>
      <c r="AD6" s="25">
        <v>644.38499999999999</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5.6260544000000001</v>
      </c>
      <c r="J7" s="12">
        <f t="shared" si="1"/>
        <v>0.23624352972033913</v>
      </c>
      <c r="K7" s="12">
        <f t="shared" si="2"/>
        <v>9.3832066512399934E-2</v>
      </c>
      <c r="L7" s="12">
        <f t="shared" si="3"/>
        <v>6.7351010160804831E-2</v>
      </c>
      <c r="M7" s="12">
        <f t="shared" si="4"/>
        <v>0.14241146320793918</v>
      </c>
      <c r="N7" s="54">
        <f t="shared" si="5"/>
        <v>22345768</v>
      </c>
      <c r="O7" s="12">
        <v>-12</v>
      </c>
      <c r="P7" s="13">
        <v>236162831</v>
      </c>
      <c r="Q7" s="13">
        <v>787209.436666667</v>
      </c>
      <c r="R7" s="13">
        <v>21576.880000000001</v>
      </c>
      <c r="S7" s="14">
        <v>56260544</v>
      </c>
      <c r="T7" s="14">
        <v>16039400</v>
      </c>
      <c r="U7" s="14">
        <v>6306368</v>
      </c>
      <c r="V7" s="14">
        <v>33914776</v>
      </c>
      <c r="W7" s="15">
        <v>69.562783000000096</v>
      </c>
      <c r="X7" s="15">
        <v>72.001826333333298</v>
      </c>
      <c r="Y7" s="15">
        <v>37.138455666666701</v>
      </c>
      <c r="Z7" s="15">
        <v>46.573172333333297</v>
      </c>
      <c r="AA7" s="15">
        <v>46.484943999999999</v>
      </c>
      <c r="AB7" s="16">
        <v>22784.799999999999</v>
      </c>
      <c r="AC7" s="16">
        <v>0</v>
      </c>
      <c r="AD7" s="16">
        <v>650.202</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9.4165791999999993</v>
      </c>
      <c r="J8" s="21">
        <f t="shared" si="1"/>
        <v>0.39541137535021476</v>
      </c>
      <c r="K8" s="21">
        <f t="shared" si="2"/>
        <v>0.12674419239886781</v>
      </c>
      <c r="L8" s="21">
        <f t="shared" si="3"/>
        <v>0.1002631360472727</v>
      </c>
      <c r="M8" s="21">
        <f t="shared" si="4"/>
        <v>0.26866718295134695</v>
      </c>
      <c r="N8" s="18">
        <f t="shared" si="5"/>
        <v>30183672</v>
      </c>
      <c r="O8" s="21">
        <v>-12</v>
      </c>
      <c r="P8" s="22">
        <v>245560197</v>
      </c>
      <c r="Q8" s="22">
        <v>818533.99</v>
      </c>
      <c r="R8" s="22">
        <v>24834.94</v>
      </c>
      <c r="S8" s="23">
        <v>94165792</v>
      </c>
      <c r="T8" s="23">
        <v>23877304</v>
      </c>
      <c r="U8" s="23">
        <v>6306368</v>
      </c>
      <c r="V8" s="23">
        <v>63982120</v>
      </c>
      <c r="W8" s="24">
        <v>70.706426333333397</v>
      </c>
      <c r="X8" s="24">
        <v>73.284367666666597</v>
      </c>
      <c r="Y8" s="24">
        <v>39.743429999999996</v>
      </c>
      <c r="Z8" s="24">
        <v>47.915923333333403</v>
      </c>
      <c r="AA8" s="24">
        <v>47.998491333333398</v>
      </c>
      <c r="AB8" s="25">
        <v>23834.6</v>
      </c>
      <c r="AC8" s="25">
        <v>0</v>
      </c>
      <c r="AD8" s="25">
        <v>668.25599999999997</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16.675104000000001</v>
      </c>
      <c r="J9" s="30">
        <f t="shared" si="1"/>
        <v>0.70020393464623198</v>
      </c>
      <c r="K9" s="30">
        <f t="shared" si="2"/>
        <v>0.20634363507948353</v>
      </c>
      <c r="L9" s="30">
        <f t="shared" si="3"/>
        <v>0.15537505248189967</v>
      </c>
      <c r="M9" s="30">
        <f t="shared" si="4"/>
        <v>0.49386029956674843</v>
      </c>
      <c r="N9" s="27">
        <f t="shared" si="5"/>
        <v>49139992</v>
      </c>
      <c r="O9" s="30">
        <v>-12</v>
      </c>
      <c r="P9" s="31">
        <v>236237060</v>
      </c>
      <c r="Q9" s="31">
        <v>787456.86666666705</v>
      </c>
      <c r="R9" s="31">
        <v>10916.106666666699</v>
      </c>
      <c r="S9" s="32">
        <v>166751040</v>
      </c>
      <c r="T9" s="32">
        <v>37002008</v>
      </c>
      <c r="U9" s="32">
        <v>12137984</v>
      </c>
      <c r="V9" s="32">
        <v>117611048</v>
      </c>
      <c r="W9" s="33">
        <v>71.790261666666694</v>
      </c>
      <c r="X9" s="33">
        <v>75.226133666666698</v>
      </c>
      <c r="Y9" s="33">
        <v>42.256806333333301</v>
      </c>
      <c r="Z9" s="33">
        <v>49.430841333333397</v>
      </c>
      <c r="AA9" s="33">
        <v>49.580412666666703</v>
      </c>
      <c r="AB9" s="34">
        <v>25434.799999999999</v>
      </c>
      <c r="AC9" s="34">
        <v>0</v>
      </c>
      <c r="AD9" s="34">
        <v>653.88199999999995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3.3861767999999999</v>
      </c>
      <c r="J10" s="21">
        <f t="shared" si="1"/>
        <v>0.15524287176028459</v>
      </c>
      <c r="K10" s="21">
        <f t="shared" si="2"/>
        <v>8.1623228607876713E-2</v>
      </c>
      <c r="L10" s="21">
        <f t="shared" si="3"/>
        <v>4.3125740133095336E-2</v>
      </c>
      <c r="M10" s="21">
        <f t="shared" si="4"/>
        <v>7.3619643152407876E-2</v>
      </c>
      <c r="N10" s="18">
        <f t="shared" si="5"/>
        <v>17803760</v>
      </c>
      <c r="O10" s="21">
        <v>-12</v>
      </c>
      <c r="P10" s="22">
        <v>199410189</v>
      </c>
      <c r="Q10" s="22">
        <v>664700.63</v>
      </c>
      <c r="R10" s="22">
        <v>19506.6466666667</v>
      </c>
      <c r="S10" s="23">
        <v>33861768</v>
      </c>
      <c r="T10" s="23">
        <v>9406640</v>
      </c>
      <c r="U10" s="23">
        <v>8397120</v>
      </c>
      <c r="V10" s="23">
        <v>16058008</v>
      </c>
      <c r="W10" s="24">
        <v>65.806778333333398</v>
      </c>
      <c r="X10" s="24">
        <v>67.681218333333405</v>
      </c>
      <c r="Y10" s="24">
        <v>32.285028333333301</v>
      </c>
      <c r="Z10" s="24">
        <v>39.166212000000002</v>
      </c>
      <c r="AA10" s="24">
        <v>31.9873673333333</v>
      </c>
      <c r="AB10" s="25">
        <v>21747.8</v>
      </c>
      <c r="AC10" s="25">
        <v>0</v>
      </c>
      <c r="AD10" s="25">
        <v>597.91600000000005</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4.8851719999999998</v>
      </c>
      <c r="J11" s="12">
        <f t="shared" si="1"/>
        <v>0.2239658987454326</v>
      </c>
      <c r="K11" s="12">
        <f t="shared" si="2"/>
        <v>9.9560372024655897E-2</v>
      </c>
      <c r="L11" s="12">
        <f t="shared" si="3"/>
        <v>6.1062883549874526E-2</v>
      </c>
      <c r="M11" s="12">
        <f t="shared" si="4"/>
        <v>0.12440552672077669</v>
      </c>
      <c r="N11" s="54">
        <f t="shared" si="5"/>
        <v>21716232</v>
      </c>
      <c r="O11" s="12">
        <v>-12</v>
      </c>
      <c r="P11" s="13">
        <v>213502745</v>
      </c>
      <c r="Q11" s="13">
        <v>711675.816666667</v>
      </c>
      <c r="R11" s="13">
        <v>24850.633333333299</v>
      </c>
      <c r="S11" s="14">
        <v>48851720</v>
      </c>
      <c r="T11" s="14">
        <v>13319112</v>
      </c>
      <c r="U11" s="14">
        <v>8397120</v>
      </c>
      <c r="V11" s="14">
        <v>27135488</v>
      </c>
      <c r="W11" s="15">
        <v>67.519887333333301</v>
      </c>
      <c r="X11" s="15">
        <v>69.566591000000003</v>
      </c>
      <c r="Y11" s="15">
        <v>34.112534666666697</v>
      </c>
      <c r="Z11" s="15">
        <v>40.015892333333298</v>
      </c>
      <c r="AA11" s="15">
        <v>33.7427796666666</v>
      </c>
      <c r="AB11" s="16">
        <v>22307.200000000001</v>
      </c>
      <c r="AC11" s="16">
        <v>0</v>
      </c>
      <c r="AD11" s="16">
        <v>625.23599999999999</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7.5523632000000003</v>
      </c>
      <c r="J12" s="21">
        <f t="shared" si="1"/>
        <v>0.34624611205909051</v>
      </c>
      <c r="K12" s="21">
        <f t="shared" si="2"/>
        <v>0.12702594092142572</v>
      </c>
      <c r="L12" s="21">
        <f t="shared" si="3"/>
        <v>8.8528452446644326E-2</v>
      </c>
      <c r="M12" s="21">
        <f t="shared" si="4"/>
        <v>0.21922017113766482</v>
      </c>
      <c r="N12" s="18">
        <f t="shared" si="5"/>
        <v>27707056</v>
      </c>
      <c r="O12" s="21">
        <v>-12</v>
      </c>
      <c r="P12" s="22">
        <v>217188193</v>
      </c>
      <c r="Q12" s="22">
        <v>723960.64333333296</v>
      </c>
      <c r="R12" s="22">
        <v>26570.6733333333</v>
      </c>
      <c r="S12" s="23">
        <v>75523632</v>
      </c>
      <c r="T12" s="23">
        <v>19309936</v>
      </c>
      <c r="U12" s="23">
        <v>8397120</v>
      </c>
      <c r="V12" s="23">
        <v>47816576</v>
      </c>
      <c r="W12" s="24">
        <v>68.867548666666707</v>
      </c>
      <c r="X12" s="24">
        <v>71.221512666666598</v>
      </c>
      <c r="Y12" s="24">
        <v>36.196982666666599</v>
      </c>
      <c r="Z12" s="24">
        <v>40.909953666666702</v>
      </c>
      <c r="AA12" s="24">
        <v>35.495703666666699</v>
      </c>
      <c r="AB12" s="25">
        <v>22922.799999999999</v>
      </c>
      <c r="AC12" s="25">
        <v>0</v>
      </c>
      <c r="AD12" s="25">
        <v>635.59</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12.763643999999999</v>
      </c>
      <c r="J13" s="12">
        <f t="shared" si="1"/>
        <v>0.58516281509161772</v>
      </c>
      <c r="K13" s="12">
        <f t="shared" si="2"/>
        <v>0.17481429892096434</v>
      </c>
      <c r="L13" s="12">
        <f t="shared" si="3"/>
        <v>0.13631681044618296</v>
      </c>
      <c r="M13" s="12">
        <f t="shared" si="4"/>
        <v>0.41034851617065338</v>
      </c>
      <c r="N13" s="54">
        <f t="shared" si="5"/>
        <v>38130712</v>
      </c>
      <c r="O13" s="12">
        <v>-12</v>
      </c>
      <c r="P13" s="13">
        <v>224895114</v>
      </c>
      <c r="Q13" s="13">
        <v>749650.38</v>
      </c>
      <c r="R13" s="13">
        <v>30070.29</v>
      </c>
      <c r="S13" s="14">
        <v>127636440</v>
      </c>
      <c r="T13" s="14">
        <v>29733592</v>
      </c>
      <c r="U13" s="14">
        <v>8397120</v>
      </c>
      <c r="V13" s="14">
        <v>89505728</v>
      </c>
      <c r="W13" s="15">
        <v>69.952204666666702</v>
      </c>
      <c r="X13" s="15">
        <v>72.486855333333295</v>
      </c>
      <c r="Y13" s="15">
        <v>38.516728000000001</v>
      </c>
      <c r="Z13" s="15">
        <v>42.0759166666666</v>
      </c>
      <c r="AA13" s="15">
        <v>37.513782333333303</v>
      </c>
      <c r="AB13" s="16">
        <v>24121.1</v>
      </c>
      <c r="AC13" s="16">
        <v>0</v>
      </c>
      <c r="AD13" s="16">
        <v>654.91899999999998</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22.9041216</v>
      </c>
      <c r="J14" s="40">
        <f t="shared" si="1"/>
        <v>1.0500637805830941</v>
      </c>
      <c r="K14" s="40">
        <f t="shared" si="2"/>
        <v>0.28835782990819392</v>
      </c>
      <c r="L14" s="40">
        <f t="shared" si="3"/>
        <v>0.21558138752941816</v>
      </c>
      <c r="M14" s="40">
        <f t="shared" si="4"/>
        <v>0.76170595067490032</v>
      </c>
      <c r="N14" s="37">
        <f t="shared" si="5"/>
        <v>62896968</v>
      </c>
      <c r="O14" s="40">
        <v>-12</v>
      </c>
      <c r="P14" s="41">
        <v>212722422</v>
      </c>
      <c r="Q14" s="41">
        <v>709074.74</v>
      </c>
      <c r="R14" s="41">
        <v>14194.12</v>
      </c>
      <c r="S14" s="42">
        <v>229041216</v>
      </c>
      <c r="T14" s="42">
        <v>47022880</v>
      </c>
      <c r="U14" s="42">
        <v>15874088</v>
      </c>
      <c r="V14" s="42">
        <v>166144248</v>
      </c>
      <c r="W14" s="43">
        <v>70.818431333333393</v>
      </c>
      <c r="X14" s="43">
        <v>74.624568999999994</v>
      </c>
      <c r="Y14" s="43">
        <v>40.733933</v>
      </c>
      <c r="Z14" s="43">
        <v>43.388286333333397</v>
      </c>
      <c r="AA14" s="43">
        <v>39.238894000000002</v>
      </c>
      <c r="AB14" s="44">
        <v>25943.1</v>
      </c>
      <c r="AC14" s="44">
        <v>0</v>
      </c>
      <c r="AD14" s="44">
        <v>632.68700000000001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4.3771040000000001</v>
      </c>
      <c r="J15" s="12">
        <f t="shared" si="1"/>
        <v>0.13568641359985872</v>
      </c>
      <c r="K15" s="12">
        <f t="shared" si="2"/>
        <v>7.7043103644746203E-2</v>
      </c>
      <c r="L15" s="12">
        <f t="shared" si="3"/>
        <v>4.1833672410077911E-2</v>
      </c>
      <c r="M15" s="12">
        <f t="shared" si="4"/>
        <v>5.8643309955112514E-2</v>
      </c>
      <c r="N15" s="54">
        <f t="shared" si="5"/>
        <v>24853312</v>
      </c>
      <c r="O15" s="12">
        <v>-12</v>
      </c>
      <c r="P15" s="13">
        <v>295422650</v>
      </c>
      <c r="Q15" s="13">
        <v>984742.16666666698</v>
      </c>
      <c r="R15" s="13">
        <v>28156.9</v>
      </c>
      <c r="S15" s="14">
        <v>43771040</v>
      </c>
      <c r="T15" s="14">
        <v>13495112</v>
      </c>
      <c r="U15" s="14">
        <v>11358200</v>
      </c>
      <c r="V15" s="14">
        <v>18917728</v>
      </c>
      <c r="W15" s="15">
        <v>65.949674666666695</v>
      </c>
      <c r="X15" s="15">
        <v>67.738233999999906</v>
      </c>
      <c r="Y15" s="15">
        <v>29.509218333333401</v>
      </c>
      <c r="Z15" s="15">
        <v>43.190304333333302</v>
      </c>
      <c r="AA15" s="15">
        <v>43.413907666666702</v>
      </c>
      <c r="AB15" s="16">
        <v>24969.1</v>
      </c>
      <c r="AC15" s="16">
        <v>0</v>
      </c>
      <c r="AD15" s="16">
        <v>783.27200000000005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6.9684400000000002</v>
      </c>
      <c r="J16" s="21">
        <f t="shared" si="1"/>
        <v>0.21601557376425132</v>
      </c>
      <c r="K16" s="21">
        <f t="shared" si="2"/>
        <v>9.4314008236295099E-2</v>
      </c>
      <c r="L16" s="21">
        <f t="shared" si="3"/>
        <v>5.9104577001626808E-2</v>
      </c>
      <c r="M16" s="21">
        <f t="shared" si="4"/>
        <v>0.12170156552795622</v>
      </c>
      <c r="N16" s="18">
        <f t="shared" si="5"/>
        <v>30424728</v>
      </c>
      <c r="O16" s="21">
        <v>-12</v>
      </c>
      <c r="P16" s="22">
        <v>315923834</v>
      </c>
      <c r="Q16" s="22">
        <v>1053079.44666667</v>
      </c>
      <c r="R16" s="22">
        <v>35008.956666666701</v>
      </c>
      <c r="S16" s="23">
        <v>69684400</v>
      </c>
      <c r="T16" s="23">
        <v>19066528</v>
      </c>
      <c r="U16" s="23">
        <v>11358200</v>
      </c>
      <c r="V16" s="23">
        <v>39259672</v>
      </c>
      <c r="W16" s="24">
        <v>67.759123666666696</v>
      </c>
      <c r="X16" s="24">
        <v>69.811672000000002</v>
      </c>
      <c r="Y16" s="24">
        <v>31.9163483333333</v>
      </c>
      <c r="Z16" s="24">
        <v>44.056364333333299</v>
      </c>
      <c r="AA16" s="24">
        <v>44.366212666666698</v>
      </c>
      <c r="AB16" s="25">
        <v>26163</v>
      </c>
      <c r="AC16" s="25">
        <v>0</v>
      </c>
      <c r="AD16" s="25">
        <v>853.50199999999995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11.5816944</v>
      </c>
      <c r="J17" s="12">
        <f t="shared" si="1"/>
        <v>0.35902244418811335</v>
      </c>
      <c r="K17" s="12">
        <f t="shared" si="2"/>
        <v>0.12027649834726281</v>
      </c>
      <c r="L17" s="12">
        <f t="shared" si="3"/>
        <v>8.5067067112594513E-2</v>
      </c>
      <c r="M17" s="12">
        <f t="shared" si="4"/>
        <v>0.23874594584085052</v>
      </c>
      <c r="N17" s="54">
        <f t="shared" si="5"/>
        <v>38799960</v>
      </c>
      <c r="O17" s="12">
        <v>-12</v>
      </c>
      <c r="P17" s="13">
        <v>320026327</v>
      </c>
      <c r="Q17" s="13">
        <v>1066754.4233333301</v>
      </c>
      <c r="R17" s="13">
        <v>36813.6233333333</v>
      </c>
      <c r="S17" s="14">
        <v>115816944</v>
      </c>
      <c r="T17" s="14">
        <v>27441760</v>
      </c>
      <c r="U17" s="14">
        <v>11358200</v>
      </c>
      <c r="V17" s="14">
        <v>77016984</v>
      </c>
      <c r="W17" s="15">
        <v>69.147543999999996</v>
      </c>
      <c r="X17" s="15">
        <v>71.608294666666694</v>
      </c>
      <c r="Y17" s="15">
        <v>34.469015333333303</v>
      </c>
      <c r="Z17" s="15">
        <v>44.923260333333403</v>
      </c>
      <c r="AA17" s="15">
        <v>45.333474666666703</v>
      </c>
      <c r="AB17" s="16">
        <v>27292</v>
      </c>
      <c r="AC17" s="16">
        <v>0</v>
      </c>
      <c r="AD17" s="16">
        <v>857.05799999999999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19.950243199999999</v>
      </c>
      <c r="J18" s="21">
        <f t="shared" si="1"/>
        <v>0.61844017191571621</v>
      </c>
      <c r="K18" s="21">
        <f t="shared" si="2"/>
        <v>0.16343472636064044</v>
      </c>
      <c r="L18" s="21">
        <f t="shared" si="3"/>
        <v>0.12822529512597217</v>
      </c>
      <c r="M18" s="21">
        <f t="shared" si="4"/>
        <v>0.45500544555507577</v>
      </c>
      <c r="N18" s="18">
        <f t="shared" si="5"/>
        <v>52722360</v>
      </c>
      <c r="O18" s="21">
        <v>-12</v>
      </c>
      <c r="P18" s="22">
        <v>330647273</v>
      </c>
      <c r="Q18" s="22">
        <v>1102157.5766666699</v>
      </c>
      <c r="R18" s="22">
        <v>41264.550000000003</v>
      </c>
      <c r="S18" s="23">
        <v>199502432</v>
      </c>
      <c r="T18" s="23">
        <v>41364160</v>
      </c>
      <c r="U18" s="23">
        <v>11358200</v>
      </c>
      <c r="V18" s="23">
        <v>146780072</v>
      </c>
      <c r="W18" s="24">
        <v>70.362966</v>
      </c>
      <c r="X18" s="24">
        <v>72.955811999999995</v>
      </c>
      <c r="Y18" s="24">
        <v>37.1520473333333</v>
      </c>
      <c r="Z18" s="24">
        <v>46.291668000000001</v>
      </c>
      <c r="AA18" s="24">
        <v>46.797496000000002</v>
      </c>
      <c r="AB18" s="25">
        <v>29189.1</v>
      </c>
      <c r="AC18" s="25">
        <v>0</v>
      </c>
      <c r="AD18" s="25">
        <v>897.04899999999998</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35.289801600000004</v>
      </c>
      <c r="J19" s="30">
        <f t="shared" si="1"/>
        <v>1.0939531287706565</v>
      </c>
      <c r="K19" s="30">
        <f t="shared" si="2"/>
        <v>0.26317308626812219</v>
      </c>
      <c r="L19" s="30">
        <f t="shared" si="3"/>
        <v>0.19736476152382099</v>
      </c>
      <c r="M19" s="30">
        <f t="shared" si="4"/>
        <v>0.83078004250253445</v>
      </c>
      <c r="N19" s="27">
        <f t="shared" si="5"/>
        <v>84896928</v>
      </c>
      <c r="O19" s="30">
        <v>-12</v>
      </c>
      <c r="P19" s="31">
        <v>314349023</v>
      </c>
      <c r="Q19" s="31">
        <v>1047830.07666667</v>
      </c>
      <c r="R19" s="31">
        <v>18181.946666666699</v>
      </c>
      <c r="S19" s="32">
        <v>352898016</v>
      </c>
      <c r="T19" s="32">
        <v>63667840</v>
      </c>
      <c r="U19" s="32">
        <v>21229088</v>
      </c>
      <c r="V19" s="32">
        <v>268001088</v>
      </c>
      <c r="W19" s="33">
        <v>71.1514223333334</v>
      </c>
      <c r="X19" s="33">
        <v>75.004448666666704</v>
      </c>
      <c r="Y19" s="33">
        <v>39.631977333333303</v>
      </c>
      <c r="Z19" s="33">
        <v>48.063805333333299</v>
      </c>
      <c r="AA19" s="33">
        <v>48.6488363333333</v>
      </c>
      <c r="AB19" s="34">
        <v>30874.400000000001</v>
      </c>
      <c r="AC19" s="34">
        <v>0</v>
      </c>
      <c r="AD19" s="34">
        <v>788.31600000000003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4.8383184000000004</v>
      </c>
      <c r="J20" s="21">
        <f t="shared" si="1"/>
        <v>9.6533571115107367E-2</v>
      </c>
      <c r="K20" s="21">
        <f t="shared" si="2"/>
        <v>5.8069880766060275E-2</v>
      </c>
      <c r="L20" s="21">
        <f t="shared" si="3"/>
        <v>2.9233884616279227E-2</v>
      </c>
      <c r="M20" s="21">
        <f t="shared" si="4"/>
        <v>3.8463690349047092E-2</v>
      </c>
      <c r="N20" s="18">
        <f t="shared" si="5"/>
        <v>14552480</v>
      </c>
      <c r="O20" s="21">
        <v>-12</v>
      </c>
      <c r="P20" s="22">
        <v>234344951</v>
      </c>
      <c r="Q20" s="22">
        <v>937379.804</v>
      </c>
      <c r="R20" s="22">
        <v>27879.392</v>
      </c>
      <c r="S20" s="23">
        <v>24191592</v>
      </c>
      <c r="T20" s="23">
        <v>7326096</v>
      </c>
      <c r="U20" s="23">
        <v>7226384</v>
      </c>
      <c r="V20" s="23">
        <v>9639112</v>
      </c>
      <c r="W20" s="24">
        <v>67.283175999999997</v>
      </c>
      <c r="X20" s="24">
        <v>69.087839199999905</v>
      </c>
      <c r="Y20" s="24">
        <v>31.108772399999999</v>
      </c>
      <c r="Z20" s="24">
        <v>40.3095316</v>
      </c>
      <c r="AA20" s="24">
        <v>39.105474800000003</v>
      </c>
      <c r="AB20" s="25">
        <v>21219.200000000001</v>
      </c>
      <c r="AC20" s="25">
        <v>0</v>
      </c>
      <c r="AD20" s="25">
        <v>583.88800000000003</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7.1138672000000005</v>
      </c>
      <c r="J21" s="12">
        <f t="shared" si="1"/>
        <v>0.14193505852252916</v>
      </c>
      <c r="K21" s="12">
        <f t="shared" si="2"/>
        <v>6.9063081957821473E-2</v>
      </c>
      <c r="L21" s="12">
        <f t="shared" si="3"/>
        <v>4.0227085808040422E-2</v>
      </c>
      <c r="M21" s="12">
        <f t="shared" si="4"/>
        <v>7.2871976564707702E-2</v>
      </c>
      <c r="N21" s="54">
        <f t="shared" si="5"/>
        <v>17307408</v>
      </c>
      <c r="O21" s="12">
        <v>-12</v>
      </c>
      <c r="P21" s="13">
        <v>244418623</v>
      </c>
      <c r="Q21" s="13">
        <v>977674.49199999997</v>
      </c>
      <c r="R21" s="13">
        <v>33388.767999999996</v>
      </c>
      <c r="S21" s="14">
        <v>35569336</v>
      </c>
      <c r="T21" s="14">
        <v>10081024</v>
      </c>
      <c r="U21" s="14">
        <v>7226384</v>
      </c>
      <c r="V21" s="14">
        <v>18261928</v>
      </c>
      <c r="W21" s="15">
        <v>68.882727199999906</v>
      </c>
      <c r="X21" s="15">
        <v>71.012206800000001</v>
      </c>
      <c r="Y21" s="15">
        <v>32.865431200000003</v>
      </c>
      <c r="Z21" s="15">
        <v>41.5023208</v>
      </c>
      <c r="AA21" s="15">
        <v>40.435036799999999</v>
      </c>
      <c r="AB21" s="16">
        <v>21935.599999999999</v>
      </c>
      <c r="AC21" s="16">
        <v>0</v>
      </c>
      <c r="AD21" s="16">
        <v>626.43200000000002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11.500953599999999</v>
      </c>
      <c r="J22" s="21">
        <f t="shared" si="1"/>
        <v>0.22946570077677197</v>
      </c>
      <c r="K22" s="21">
        <f t="shared" si="2"/>
        <v>8.5935129934315083E-2</v>
      </c>
      <c r="L22" s="21">
        <f t="shared" si="3"/>
        <v>5.7099133784534031E-2</v>
      </c>
      <c r="M22" s="21">
        <f t="shared" si="4"/>
        <v>0.14353057084245688</v>
      </c>
      <c r="N22" s="18">
        <f t="shared" si="5"/>
        <v>21535592</v>
      </c>
      <c r="O22" s="21">
        <v>-12</v>
      </c>
      <c r="P22" s="22">
        <v>255501856</v>
      </c>
      <c r="Q22" s="22">
        <v>1022007.424</v>
      </c>
      <c r="R22" s="22">
        <v>35824.023999999998</v>
      </c>
      <c r="S22" s="23">
        <v>57504768</v>
      </c>
      <c r="T22" s="23">
        <v>14309208</v>
      </c>
      <c r="U22" s="23">
        <v>7226384</v>
      </c>
      <c r="V22" s="23">
        <v>35969176</v>
      </c>
      <c r="W22" s="24">
        <v>70.037562399999999</v>
      </c>
      <c r="X22" s="24">
        <v>72.449156799999997</v>
      </c>
      <c r="Y22" s="24">
        <v>34.7699304</v>
      </c>
      <c r="Z22" s="24">
        <v>42.602234000000003</v>
      </c>
      <c r="AA22" s="24">
        <v>41.609101199999998</v>
      </c>
      <c r="AB22" s="25">
        <v>22570.400000000001</v>
      </c>
      <c r="AC22" s="25">
        <v>0</v>
      </c>
      <c r="AD22" s="25">
        <v>660.41099999999994</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20.236398399999999</v>
      </c>
      <c r="J23" s="12">
        <f t="shared" si="1"/>
        <v>0.40375428869254343</v>
      </c>
      <c r="K23" s="12">
        <f t="shared" si="2"/>
        <v>0.11539065604793841</v>
      </c>
      <c r="L23" s="12">
        <f t="shared" si="3"/>
        <v>8.655465989815736E-2</v>
      </c>
      <c r="M23" s="12">
        <f t="shared" si="4"/>
        <v>0.28836363264460507</v>
      </c>
      <c r="N23" s="54">
        <f t="shared" si="5"/>
        <v>28917232</v>
      </c>
      <c r="O23" s="12">
        <v>-12</v>
      </c>
      <c r="P23" s="13">
        <v>255604397</v>
      </c>
      <c r="Q23" s="13">
        <v>1022417.588</v>
      </c>
      <c r="R23" s="13">
        <v>37908.771999999997</v>
      </c>
      <c r="S23" s="14">
        <v>101181992</v>
      </c>
      <c r="T23" s="14">
        <v>21690848</v>
      </c>
      <c r="U23" s="14">
        <v>7226384</v>
      </c>
      <c r="V23" s="14">
        <v>72264760</v>
      </c>
      <c r="W23" s="15">
        <v>71.075855599999997</v>
      </c>
      <c r="X23" s="15">
        <v>73.823894000000095</v>
      </c>
      <c r="Y23" s="15">
        <v>36.323972400000002</v>
      </c>
      <c r="Z23" s="15">
        <v>43.931924799999997</v>
      </c>
      <c r="AA23" s="15">
        <v>42.863043599999997</v>
      </c>
      <c r="AB23" s="16">
        <v>23582.9</v>
      </c>
      <c r="AC23" s="16">
        <v>0</v>
      </c>
      <c r="AD23" s="16">
        <v>666.37300000000005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35.405724799999994</v>
      </c>
      <c r="J24" s="40">
        <f t="shared" si="1"/>
        <v>0.70641094080594624</v>
      </c>
      <c r="K24" s="40">
        <f t="shared" si="2"/>
        <v>0.19151108675757456</v>
      </c>
      <c r="L24" s="40">
        <f t="shared" si="3"/>
        <v>0.13632455660697065</v>
      </c>
      <c r="M24" s="40">
        <f t="shared" si="4"/>
        <v>0.51489985404837169</v>
      </c>
      <c r="N24" s="37">
        <f t="shared" si="5"/>
        <v>47993232</v>
      </c>
      <c r="O24" s="40">
        <v>-12</v>
      </c>
      <c r="P24" s="41">
        <v>245205918</v>
      </c>
      <c r="Q24" s="41">
        <v>980823.67200000002</v>
      </c>
      <c r="R24" s="41">
        <v>19016.876</v>
      </c>
      <c r="S24" s="42">
        <v>177028624</v>
      </c>
      <c r="T24" s="42">
        <v>34163328</v>
      </c>
      <c r="U24" s="42">
        <v>13829904</v>
      </c>
      <c r="V24" s="42">
        <v>129035392</v>
      </c>
      <c r="W24" s="43">
        <v>71.9153728</v>
      </c>
      <c r="X24" s="43">
        <v>75.797576800000002</v>
      </c>
      <c r="Y24" s="43">
        <v>37.196370799999997</v>
      </c>
      <c r="Z24" s="43">
        <v>44.905498399999999</v>
      </c>
      <c r="AA24" s="43">
        <v>43.526711599999999</v>
      </c>
      <c r="AB24" s="44">
        <v>25164.3</v>
      </c>
      <c r="AC24" s="44">
        <v>0</v>
      </c>
      <c r="AD24" s="44">
        <v>643.05899999999997</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4.6418439999999999</v>
      </c>
      <c r="J25" s="12">
        <f t="shared" si="1"/>
        <v>0.18545523290631996</v>
      </c>
      <c r="K25" s="12">
        <f t="shared" si="2"/>
        <v>6.4000458467774579E-2</v>
      </c>
      <c r="L25" s="12">
        <f t="shared" si="3"/>
        <v>3.6510834261686095E-2</v>
      </c>
      <c r="M25" s="12">
        <f t="shared" si="4"/>
        <v>0.12145477443854538</v>
      </c>
      <c r="N25" s="54">
        <f t="shared" si="5"/>
        <v>16018968</v>
      </c>
      <c r="O25" s="12">
        <v>-12</v>
      </c>
      <c r="P25" s="13">
        <v>229549745</v>
      </c>
      <c r="Q25" s="13">
        <v>765165.816666667</v>
      </c>
      <c r="R25" s="13">
        <v>15668.2166666667</v>
      </c>
      <c r="S25" s="14">
        <v>46418440</v>
      </c>
      <c r="T25" s="14">
        <v>9138464</v>
      </c>
      <c r="U25" s="14">
        <v>6880504</v>
      </c>
      <c r="V25" s="14">
        <v>30399472</v>
      </c>
      <c r="W25" s="15">
        <v>66.280959666666703</v>
      </c>
      <c r="X25" s="15">
        <v>68.083962333333304</v>
      </c>
      <c r="Y25" s="15">
        <v>27.2838833333333</v>
      </c>
      <c r="Z25" s="15">
        <v>33.101353666666697</v>
      </c>
      <c r="AA25" s="15">
        <v>32.535156000000001</v>
      </c>
      <c r="AB25" s="16">
        <v>18995.7</v>
      </c>
      <c r="AC25" s="16">
        <v>0</v>
      </c>
      <c r="AD25" s="16">
        <v>628.95600000000002</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7.9759247999999996</v>
      </c>
      <c r="J26" s="21">
        <f t="shared" si="1"/>
        <v>0.31866150422704714</v>
      </c>
      <c r="K26" s="21">
        <f t="shared" si="2"/>
        <v>7.9095503553488822E-2</v>
      </c>
      <c r="L26" s="21">
        <f t="shared" si="3"/>
        <v>5.1605879347400338E-2</v>
      </c>
      <c r="M26" s="21">
        <f t="shared" si="4"/>
        <v>0.23956600067355832</v>
      </c>
      <c r="N26" s="18">
        <f t="shared" si="5"/>
        <v>19797176</v>
      </c>
      <c r="O26" s="21">
        <v>-12</v>
      </c>
      <c r="P26" s="22">
        <v>243582465</v>
      </c>
      <c r="Q26" s="22">
        <v>811941.55</v>
      </c>
      <c r="R26" s="22">
        <v>19479.483333333301</v>
      </c>
      <c r="S26" s="23">
        <v>79759248</v>
      </c>
      <c r="T26" s="23">
        <v>12916672</v>
      </c>
      <c r="U26" s="23">
        <v>6880504</v>
      </c>
      <c r="V26" s="23">
        <v>59962072</v>
      </c>
      <c r="W26" s="24">
        <v>68.012913333333401</v>
      </c>
      <c r="X26" s="24">
        <v>70.047618999999997</v>
      </c>
      <c r="Y26" s="24">
        <v>29.676307666666698</v>
      </c>
      <c r="Z26" s="24">
        <v>34.2711786666667</v>
      </c>
      <c r="AA26" s="24">
        <v>33.846210333333303</v>
      </c>
      <c r="AB26" s="25">
        <v>19736.599999999999</v>
      </c>
      <c r="AC26" s="25">
        <v>0</v>
      </c>
      <c r="AD26" s="25">
        <v>651.69299999999998</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14.050274400000001</v>
      </c>
      <c r="J27" s="12">
        <f t="shared" si="1"/>
        <v>0.56134952214027545</v>
      </c>
      <c r="K27" s="12">
        <f t="shared" si="2"/>
        <v>0.10182114129821636</v>
      </c>
      <c r="L27" s="12">
        <f t="shared" si="3"/>
        <v>7.4331517092127861E-2</v>
      </c>
      <c r="M27" s="12">
        <f t="shared" si="4"/>
        <v>0.45952838084205916</v>
      </c>
      <c r="N27" s="54">
        <f t="shared" si="5"/>
        <v>25485280</v>
      </c>
      <c r="O27" s="12">
        <v>-12</v>
      </c>
      <c r="P27" s="13">
        <v>246324575</v>
      </c>
      <c r="Q27" s="13">
        <v>821081.91666666698</v>
      </c>
      <c r="R27" s="13">
        <v>20471.919999999998</v>
      </c>
      <c r="S27" s="14">
        <v>140502744</v>
      </c>
      <c r="T27" s="14">
        <v>18604776</v>
      </c>
      <c r="U27" s="14">
        <v>6880504</v>
      </c>
      <c r="V27" s="14">
        <v>115017464</v>
      </c>
      <c r="W27" s="15">
        <v>69.319557666666697</v>
      </c>
      <c r="X27" s="15">
        <v>71.739876666666703</v>
      </c>
      <c r="Y27" s="15">
        <v>32.184531333333297</v>
      </c>
      <c r="Z27" s="15">
        <v>35.538517666666699</v>
      </c>
      <c r="AA27" s="15">
        <v>35.188724999999998</v>
      </c>
      <c r="AB27" s="16">
        <v>21112.3</v>
      </c>
      <c r="AC27" s="16">
        <v>0</v>
      </c>
      <c r="AD27" s="16">
        <v>687.98099999999999</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25.974388000000001</v>
      </c>
      <c r="J28" s="21">
        <f t="shared" si="1"/>
        <v>1.0377527069283505</v>
      </c>
      <c r="K28" s="21">
        <f t="shared" si="2"/>
        <v>0.13957997700485583</v>
      </c>
      <c r="L28" s="21">
        <f t="shared" si="3"/>
        <v>0.11209035279876733</v>
      </c>
      <c r="M28" s="21">
        <f t="shared" si="4"/>
        <v>0.89817272992349473</v>
      </c>
      <c r="N28" s="18">
        <f t="shared" si="5"/>
        <v>34936112</v>
      </c>
      <c r="O28" s="21">
        <v>-12</v>
      </c>
      <c r="P28" s="22">
        <v>252954006</v>
      </c>
      <c r="Q28" s="22">
        <v>843180.02</v>
      </c>
      <c r="R28" s="22">
        <v>22921.383333333299</v>
      </c>
      <c r="S28" s="23">
        <v>259743880</v>
      </c>
      <c r="T28" s="23">
        <v>28055608</v>
      </c>
      <c r="U28" s="23">
        <v>6880504</v>
      </c>
      <c r="V28" s="23">
        <v>224807768</v>
      </c>
      <c r="W28" s="24">
        <v>70.464837000000003</v>
      </c>
      <c r="X28" s="24">
        <v>73.030774333333397</v>
      </c>
      <c r="Y28" s="24">
        <v>34.863075666666703</v>
      </c>
      <c r="Z28" s="24">
        <v>37.363215666666697</v>
      </c>
      <c r="AA28" s="24">
        <v>36.933240333333401</v>
      </c>
      <c r="AB28" s="25">
        <v>23378.6</v>
      </c>
      <c r="AC28" s="25">
        <v>0</v>
      </c>
      <c r="AD28" s="25">
        <v>718.64400000000001</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46.778920799999995</v>
      </c>
      <c r="J29" s="30">
        <f t="shared" si="1"/>
        <v>1.8689545904753144</v>
      </c>
      <c r="K29" s="30">
        <f t="shared" si="2"/>
        <v>0.22587240821697052</v>
      </c>
      <c r="L29" s="30">
        <f t="shared" si="3"/>
        <v>0.17329126205376671</v>
      </c>
      <c r="M29" s="30">
        <f t="shared" si="4"/>
        <v>1.6430821822583439</v>
      </c>
      <c r="N29" s="27">
        <f t="shared" si="5"/>
        <v>56534640</v>
      </c>
      <c r="O29" s="30">
        <v>-12</v>
      </c>
      <c r="P29" s="31">
        <v>243390697</v>
      </c>
      <c r="Q29" s="31">
        <v>811302.32333333301</v>
      </c>
      <c r="R29" s="31">
        <v>10619.64</v>
      </c>
      <c r="S29" s="32">
        <v>467789208</v>
      </c>
      <c r="T29" s="32">
        <v>43373864</v>
      </c>
      <c r="U29" s="32">
        <v>13160776</v>
      </c>
      <c r="V29" s="32">
        <v>411254568</v>
      </c>
      <c r="W29" s="33">
        <v>71.193378333333399</v>
      </c>
      <c r="X29" s="33">
        <v>74.956125</v>
      </c>
      <c r="Y29" s="33">
        <v>37.254650666666599</v>
      </c>
      <c r="Z29" s="33">
        <v>39.405225333333398</v>
      </c>
      <c r="AA29" s="33">
        <v>38.758076000000003</v>
      </c>
      <c r="AB29" s="34">
        <v>25778</v>
      </c>
      <c r="AC29" s="34">
        <v>0</v>
      </c>
      <c r="AD29" s="34">
        <v>697.90700000000004</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5.8360275000000001</v>
      </c>
      <c r="J30" s="21">
        <f t="shared" si="1"/>
        <v>3.316314474129109E-2</v>
      </c>
      <c r="K30" s="21">
        <f t="shared" si="2"/>
        <v>2.0177350087124096E-2</v>
      </c>
      <c r="L30" s="21">
        <f t="shared" si="3"/>
        <v>1.2599925440278374E-2</v>
      </c>
      <c r="M30" s="21">
        <f t="shared" si="4"/>
        <v>1.2985794654166995E-2</v>
      </c>
      <c r="N30" s="18">
        <f t="shared" si="5"/>
        <v>7575032</v>
      </c>
      <c r="O30" s="21">
        <v>-12</v>
      </c>
      <c r="P30" s="22">
        <v>169467345</v>
      </c>
      <c r="Q30" s="22">
        <v>2647927.265625</v>
      </c>
      <c r="R30" s="22">
        <v>31706.875</v>
      </c>
      <c r="S30" s="23">
        <v>12450192</v>
      </c>
      <c r="T30" s="23">
        <v>4730296</v>
      </c>
      <c r="U30" s="23">
        <v>2844736</v>
      </c>
      <c r="V30" s="23">
        <v>4875160</v>
      </c>
      <c r="W30" s="24">
        <v>73.426517187499996</v>
      </c>
      <c r="X30" s="24">
        <v>75.645079687500001</v>
      </c>
      <c r="Y30" s="24">
        <v>34.756176562500002</v>
      </c>
      <c r="Z30" s="24">
        <v>42.242481249999997</v>
      </c>
      <c r="AA30" s="24">
        <v>43.855589062500002</v>
      </c>
      <c r="AB30" s="25">
        <v>13219.9</v>
      </c>
      <c r="AC30" s="25">
        <v>0</v>
      </c>
      <c r="AD30" s="25">
        <v>455.88799999999998</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8.3161574999999992</v>
      </c>
      <c r="J31" s="12">
        <f t="shared" si="1"/>
        <v>4.7256448819659173E-2</v>
      </c>
      <c r="K31" s="12">
        <f t="shared" si="2"/>
        <v>2.4821674332131668E-2</v>
      </c>
      <c r="L31" s="12">
        <f t="shared" si="3"/>
        <v>1.7244249685285942E-2</v>
      </c>
      <c r="M31" s="12">
        <f t="shared" si="4"/>
        <v>2.2434774487527506E-2</v>
      </c>
      <c r="N31" s="54">
        <f t="shared" si="5"/>
        <v>9318616</v>
      </c>
      <c r="O31" s="12">
        <v>-12</v>
      </c>
      <c r="P31" s="13">
        <v>180443510</v>
      </c>
      <c r="Q31" s="13">
        <v>2819429.84375</v>
      </c>
      <c r="R31" s="13">
        <v>39863.4375</v>
      </c>
      <c r="S31" s="14">
        <v>17741136</v>
      </c>
      <c r="T31" s="14">
        <v>6473880</v>
      </c>
      <c r="U31" s="14">
        <v>2844736</v>
      </c>
      <c r="V31" s="14">
        <v>8422520</v>
      </c>
      <c r="W31" s="15">
        <v>75.127545312500004</v>
      </c>
      <c r="X31" s="15">
        <v>77.550109375000005</v>
      </c>
      <c r="Y31" s="15">
        <v>36.698226562499997</v>
      </c>
      <c r="Z31" s="15">
        <v>42.773429687499998</v>
      </c>
      <c r="AA31" s="15">
        <v>45.071959374999999</v>
      </c>
      <c r="AB31" s="16">
        <v>13570.8</v>
      </c>
      <c r="AC31" s="16">
        <v>0</v>
      </c>
      <c r="AD31" s="16">
        <v>477.50299999999999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12.814905</v>
      </c>
      <c r="J32" s="21">
        <f t="shared" si="1"/>
        <v>7.2820518642329038E-2</v>
      </c>
      <c r="K32" s="21">
        <f t="shared" si="2"/>
        <v>3.1522561302586044E-2</v>
      </c>
      <c r="L32" s="21">
        <f t="shared" si="3"/>
        <v>2.3945136655740322E-2</v>
      </c>
      <c r="M32" s="21">
        <f t="shared" si="4"/>
        <v>4.1297957339742994E-2</v>
      </c>
      <c r="N32" s="18">
        <f t="shared" si="5"/>
        <v>11834280</v>
      </c>
      <c r="O32" s="21">
        <v>-12</v>
      </c>
      <c r="P32" s="22">
        <v>184144045</v>
      </c>
      <c r="Q32" s="22">
        <v>2877250.703125</v>
      </c>
      <c r="R32" s="22">
        <v>42856.84375</v>
      </c>
      <c r="S32" s="23">
        <v>27338464</v>
      </c>
      <c r="T32" s="23">
        <v>8989544</v>
      </c>
      <c r="U32" s="23">
        <v>2844736</v>
      </c>
      <c r="V32" s="23">
        <v>15504184</v>
      </c>
      <c r="W32" s="24">
        <v>76.421289062499994</v>
      </c>
      <c r="X32" s="24">
        <v>79.129990625000005</v>
      </c>
      <c r="Y32" s="24">
        <v>38.446987499999999</v>
      </c>
      <c r="Z32" s="24">
        <v>43.3095984375</v>
      </c>
      <c r="AA32" s="24">
        <v>46.2941734375</v>
      </c>
      <c r="AB32" s="25">
        <v>13942.5</v>
      </c>
      <c r="AC32" s="25">
        <v>0</v>
      </c>
      <c r="AD32" s="25">
        <v>494.47699999999998</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21.350429999999999</v>
      </c>
      <c r="J33" s="12">
        <f t="shared" si="1"/>
        <v>0.1213235202162436</v>
      </c>
      <c r="K33" s="12">
        <f t="shared" si="2"/>
        <v>4.2693313093809748E-2</v>
      </c>
      <c r="L33" s="12">
        <f t="shared" si="3"/>
        <v>3.5115888446964019E-2</v>
      </c>
      <c r="M33" s="12">
        <f t="shared" si="4"/>
        <v>7.8630207122433848E-2</v>
      </c>
      <c r="N33" s="54">
        <f t="shared" si="5"/>
        <v>16028032</v>
      </c>
      <c r="O33" s="12">
        <v>-12</v>
      </c>
      <c r="P33" s="13">
        <v>188717930</v>
      </c>
      <c r="Q33" s="13">
        <v>2948717.65625</v>
      </c>
      <c r="R33" s="13">
        <v>47696.953125</v>
      </c>
      <c r="S33" s="14">
        <v>45547584</v>
      </c>
      <c r="T33" s="14">
        <v>13183296</v>
      </c>
      <c r="U33" s="14">
        <v>2844736</v>
      </c>
      <c r="V33" s="14">
        <v>29519552</v>
      </c>
      <c r="W33" s="15">
        <v>77.574853125000004</v>
      </c>
      <c r="X33" s="15">
        <v>80.321349999999995</v>
      </c>
      <c r="Y33" s="15">
        <v>40.048462499999999</v>
      </c>
      <c r="Z33" s="15">
        <v>44.015973437500001</v>
      </c>
      <c r="AA33" s="15">
        <v>47.882385937499997</v>
      </c>
      <c r="AB33" s="16">
        <v>14359.9</v>
      </c>
      <c r="AC33" s="16">
        <v>0</v>
      </c>
      <c r="AD33" s="16">
        <v>487.214</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40.011367499999999</v>
      </c>
      <c r="J34" s="40">
        <f t="shared" si="1"/>
        <v>0.22736403687259704</v>
      </c>
      <c r="K34" s="40">
        <f t="shared" si="2"/>
        <v>6.8606067362407347E-2</v>
      </c>
      <c r="L34" s="40">
        <f t="shared" si="3"/>
        <v>5.3374355342048339E-2</v>
      </c>
      <c r="M34" s="40">
        <f t="shared" si="4"/>
        <v>0.15875796951018969</v>
      </c>
      <c r="N34" s="37">
        <f t="shared" si="5"/>
        <v>25756264</v>
      </c>
      <c r="O34" s="40">
        <v>-12</v>
      </c>
      <c r="P34" s="41">
        <v>184975250</v>
      </c>
      <c r="Q34" s="41">
        <v>2890238.28125</v>
      </c>
      <c r="R34" s="41">
        <v>19017.921875</v>
      </c>
      <c r="S34" s="42">
        <v>85357584</v>
      </c>
      <c r="T34" s="42">
        <v>20037936</v>
      </c>
      <c r="U34" s="42">
        <v>5718328</v>
      </c>
      <c r="V34" s="42">
        <v>59601320</v>
      </c>
      <c r="W34" s="43">
        <v>78.495978124999993</v>
      </c>
      <c r="X34" s="43">
        <v>81.989742187499999</v>
      </c>
      <c r="Y34" s="43">
        <v>41.535765625000003</v>
      </c>
      <c r="Z34" s="43">
        <v>44.804067187500003</v>
      </c>
      <c r="AA34" s="43">
        <v>49.268604687500002</v>
      </c>
      <c r="AB34" s="44">
        <v>15402.9</v>
      </c>
      <c r="AC34" s="44">
        <v>0</v>
      </c>
      <c r="AD34" s="44">
        <v>492.70100000000002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6.0268387499999996</v>
      </c>
      <c r="J35" s="12">
        <f t="shared" si="1"/>
        <v>3.8588281198938305E-2</v>
      </c>
      <c r="K35" s="12">
        <f t="shared" si="2"/>
        <v>2.292539453285863E-2</v>
      </c>
      <c r="L35" s="12">
        <f t="shared" si="3"/>
        <v>1.4052877690108561E-2</v>
      </c>
      <c r="M35" s="12">
        <f t="shared" si="4"/>
        <v>1.5662886666079675E-2</v>
      </c>
      <c r="N35" s="54">
        <f t="shared" si="5"/>
        <v>7638528</v>
      </c>
      <c r="O35" s="12">
        <v>-12</v>
      </c>
      <c r="P35" s="13">
        <v>149545538</v>
      </c>
      <c r="Q35" s="13">
        <v>2336649.03125</v>
      </c>
      <c r="R35" s="13">
        <v>31152.765625</v>
      </c>
      <c r="S35" s="14">
        <v>12857256</v>
      </c>
      <c r="T35" s="14">
        <v>4682288</v>
      </c>
      <c r="U35" s="14">
        <v>2956240</v>
      </c>
      <c r="V35" s="14">
        <v>5218728</v>
      </c>
      <c r="W35" s="15">
        <v>73.2070171875</v>
      </c>
      <c r="X35" s="15">
        <v>75.42889375</v>
      </c>
      <c r="Y35" s="15">
        <v>34.0914984375</v>
      </c>
      <c r="Z35" s="15">
        <v>42.537112499999999</v>
      </c>
      <c r="AA35" s="15">
        <v>44.052021875000001</v>
      </c>
      <c r="AB35" s="16">
        <v>12277.2</v>
      </c>
      <c r="AC35" s="16">
        <v>0</v>
      </c>
      <c r="AD35" s="16">
        <v>407.73700000000002</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8.6064862499999997</v>
      </c>
      <c r="J36" s="21">
        <f t="shared" si="1"/>
        <v>5.5105093287885966E-2</v>
      </c>
      <c r="K36" s="21">
        <f t="shared" si="2"/>
        <v>2.8111685918089987E-2</v>
      </c>
      <c r="L36" s="21">
        <f t="shared" si="3"/>
        <v>1.9239169075339919E-2</v>
      </c>
      <c r="M36" s="21">
        <f t="shared" si="4"/>
        <v>2.6993407369795979E-2</v>
      </c>
      <c r="N36" s="18">
        <f t="shared" si="5"/>
        <v>9366552</v>
      </c>
      <c r="O36" s="21">
        <v>-12</v>
      </c>
      <c r="P36" s="22">
        <v>159586642</v>
      </c>
      <c r="Q36" s="22">
        <v>2493541.28125</v>
      </c>
      <c r="R36" s="22">
        <v>39248.171875</v>
      </c>
      <c r="S36" s="23">
        <v>18360504</v>
      </c>
      <c r="T36" s="23">
        <v>6410312</v>
      </c>
      <c r="U36" s="23">
        <v>2956240</v>
      </c>
      <c r="V36" s="23">
        <v>8993952</v>
      </c>
      <c r="W36" s="24">
        <v>74.931009375000002</v>
      </c>
      <c r="X36" s="24">
        <v>77.379592187499995</v>
      </c>
      <c r="Y36" s="24">
        <v>36.168960937500003</v>
      </c>
      <c r="Z36" s="24">
        <v>43.160814062500002</v>
      </c>
      <c r="AA36" s="24">
        <v>45.339751562499998</v>
      </c>
      <c r="AB36" s="25">
        <v>13220.3</v>
      </c>
      <c r="AC36" s="25">
        <v>0</v>
      </c>
      <c r="AD36" s="25">
        <v>453.98700000000002</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13.162856250000001</v>
      </c>
      <c r="J37" s="12">
        <f t="shared" si="1"/>
        <v>8.4278345485218523E-2</v>
      </c>
      <c r="K37" s="12">
        <f t="shared" si="2"/>
        <v>3.5607645686641619E-2</v>
      </c>
      <c r="L37" s="12">
        <f t="shared" si="3"/>
        <v>2.6735128843891554E-2</v>
      </c>
      <c r="M37" s="12">
        <f t="shared" si="4"/>
        <v>4.8670699798576904E-2</v>
      </c>
      <c r="N37" s="54">
        <f t="shared" si="5"/>
        <v>11864136</v>
      </c>
      <c r="O37" s="12">
        <v>-12</v>
      </c>
      <c r="P37" s="13">
        <v>163066851</v>
      </c>
      <c r="Q37" s="13">
        <v>2547919.546875</v>
      </c>
      <c r="R37" s="13">
        <v>42178.46875</v>
      </c>
      <c r="S37" s="14">
        <v>28080760</v>
      </c>
      <c r="T37" s="14">
        <v>8907896</v>
      </c>
      <c r="U37" s="14">
        <v>2956240</v>
      </c>
      <c r="V37" s="14">
        <v>16216624</v>
      </c>
      <c r="W37" s="15">
        <v>76.234851562499998</v>
      </c>
      <c r="X37" s="15">
        <v>78.986576562500005</v>
      </c>
      <c r="Y37" s="15">
        <v>38.020762499999996</v>
      </c>
      <c r="Z37" s="15">
        <v>43.7403609375</v>
      </c>
      <c r="AA37" s="15">
        <v>46.521048437499999</v>
      </c>
      <c r="AB37" s="16">
        <v>13498.2</v>
      </c>
      <c r="AC37" s="16">
        <v>0</v>
      </c>
      <c r="AD37" s="16">
        <v>462.38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22.103103749999999</v>
      </c>
      <c r="J38" s="21">
        <f t="shared" si="1"/>
        <v>0.14152042526014286</v>
      </c>
      <c r="K38" s="21">
        <f t="shared" si="2"/>
        <v>4.8226461694432281E-2</v>
      </c>
      <c r="L38" s="21">
        <f t="shared" si="3"/>
        <v>3.9353944851682213E-2</v>
      </c>
      <c r="M38" s="21">
        <f t="shared" si="4"/>
        <v>9.3293963565710569E-2</v>
      </c>
      <c r="N38" s="18">
        <f t="shared" si="5"/>
        <v>16068608</v>
      </c>
      <c r="O38" s="21">
        <v>-12</v>
      </c>
      <c r="P38" s="22">
        <v>167198468</v>
      </c>
      <c r="Q38" s="22">
        <v>2612476.0625</v>
      </c>
      <c r="R38" s="22">
        <v>47014.421875</v>
      </c>
      <c r="S38" s="23">
        <v>47153288</v>
      </c>
      <c r="T38" s="23">
        <v>13112368</v>
      </c>
      <c r="U38" s="23">
        <v>2956240</v>
      </c>
      <c r="V38" s="23">
        <v>31084680</v>
      </c>
      <c r="W38" s="24">
        <v>77.427510937500003</v>
      </c>
      <c r="X38" s="24">
        <v>80.210454687500004</v>
      </c>
      <c r="Y38" s="24">
        <v>39.781779687499998</v>
      </c>
      <c r="Z38" s="24">
        <v>44.509001562500004</v>
      </c>
      <c r="AA38" s="24">
        <v>47.852315625000003</v>
      </c>
      <c r="AB38" s="25">
        <v>14125.6</v>
      </c>
      <c r="AC38" s="25">
        <v>0</v>
      </c>
      <c r="AD38" s="25">
        <v>468.25</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40.55718375</v>
      </c>
      <c r="J39" s="30">
        <f t="shared" si="1"/>
        <v>0.25967710040060571</v>
      </c>
      <c r="K39" s="30">
        <f t="shared" si="2"/>
        <v>7.7490520751016548E-2</v>
      </c>
      <c r="L39" s="30">
        <f t="shared" si="3"/>
        <v>5.9756579812468888E-2</v>
      </c>
      <c r="M39" s="30">
        <f t="shared" si="4"/>
        <v>0.18218657964958918</v>
      </c>
      <c r="N39" s="27">
        <f t="shared" si="5"/>
        <v>25819120</v>
      </c>
      <c r="O39" s="30">
        <v>-12</v>
      </c>
      <c r="P39" s="31">
        <v>163661760</v>
      </c>
      <c r="Q39" s="31">
        <v>2557215</v>
      </c>
      <c r="R39" s="31">
        <v>18597.78125</v>
      </c>
      <c r="S39" s="32">
        <v>86521992</v>
      </c>
      <c r="T39" s="32">
        <v>19910336</v>
      </c>
      <c r="U39" s="32">
        <v>5908784</v>
      </c>
      <c r="V39" s="32">
        <v>60702872</v>
      </c>
      <c r="W39" s="33">
        <v>78.299709375000006</v>
      </c>
      <c r="X39" s="33">
        <v>81.903595312500002</v>
      </c>
      <c r="Y39" s="33">
        <v>41.362353124999998</v>
      </c>
      <c r="Z39" s="33">
        <v>45.497612500000002</v>
      </c>
      <c r="AA39" s="33">
        <v>49.192414062499999</v>
      </c>
      <c r="AB39" s="34">
        <v>15031.1</v>
      </c>
      <c r="AC39" s="34">
        <v>0</v>
      </c>
      <c r="AD39" s="34">
        <v>472.67200000000003</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0.39678064406946179</v>
      </c>
      <c r="K40" s="48">
        <f>AVERAGE(K5:K24)</f>
        <v>0.12860449339119992</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0.79443471133546151</v>
      </c>
      <c r="K41" s="48">
        <f>AVERAGE(K25:K29)</f>
        <v>0.12207389770826123</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0.10810969149249113</v>
      </c>
      <c r="K42" s="48">
        <f>AVERAGE(K30:K39)</f>
        <v>4.0018267476109801E-2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0.37111095294261293</v>
      </c>
      <c r="K43" s="48">
        <f>AVERAGE(K5:K39)</f>
        <v>0.10236120088932579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733386.80000000016</v>
      </c>
      <c r="AC44" s="49">
        <f>SUM(AC5:AC24,AC25:AC29,AC30:AC39)</f>
        <v>0</v>
      </c>
      <c r="AD44" s="49">
        <f>SUM(AD5:AD24,AD25:AD29,AD30:AD39)</f>
        <v>21784.44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20284.96578934127</v>
      </c>
      <c r="AC46" s="49" t="e">
        <f>GEOMEAN(AC5:AC24,AC25:AC29,AC30:AC39)</f>
        <v>#NUM!</v>
      </c>
      <c r="AD46" s="49">
        <f>GEOMEAN(AD5:AD24,AD25:AD29,AD30:AD39)</f>
        <v>610.534109719757</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74" t="str">
        <f>Summary!$C$1</f>
        <v>r19.0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53850</v>
      </c>
      <c r="AA5" s="16">
        <v>0</v>
      </c>
      <c r="AB5" s="16">
        <v>554.39499999999998</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53890</v>
      </c>
      <c r="AA6" s="25">
        <v>0</v>
      </c>
      <c r="AB6" s="25">
        <v>538.02300000000002</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72975</v>
      </c>
      <c r="AA7" s="16">
        <v>0</v>
      </c>
      <c r="AB7" s="16">
        <v>691.74699999999996</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52966.400000000001</v>
      </c>
      <c r="AA8" s="44">
        <v>0</v>
      </c>
      <c r="AB8" s="44">
        <v>526.14800000000002</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57759.8</v>
      </c>
      <c r="AA9" s="34">
        <v>0</v>
      </c>
      <c r="AB9" s="34">
        <v>587.19000000000005</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8.5654751300177842E-2</v>
      </c>
      <c r="I10" s="20">
        <f t="shared" si="1"/>
        <v>859.18747499999995</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40533.5</v>
      </c>
      <c r="AA10" s="25">
        <v>0</v>
      </c>
      <c r="AB10" s="25">
        <v>462.40800000000002</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8.7000766077777333E-2</v>
      </c>
      <c r="I11" s="29">
        <f t="shared" si="1"/>
        <v>774.51898874999995</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36458.300000000003</v>
      </c>
      <c r="AA11" s="34">
        <v>0</v>
      </c>
      <c r="AB11" s="34">
        <v>409.11599999999999</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368433</v>
      </c>
      <c r="AA16" s="49">
        <f>SUM(AA5:AA8,AA9:AA9,AA10:AA11)</f>
        <v>0</v>
      </c>
      <c r="AB16" s="49">
        <f>SUM(AB5:AB8,AB9:AB9,AB10:AB11)</f>
        <v>3769.027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51473.817548528481</v>
      </c>
      <c r="AA18" s="49" t="e">
        <f>GEOMEAN(AA5:AA8,AA9:AA9,AA10:AA11)</f>
        <v>#NUM!</v>
      </c>
      <c r="AB18" s="49">
        <f>GEOMEAN(AB5:AB8,AB9:AB9,AB10:AB11)</f>
        <v>531.99026734028109</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74" t="str">
        <f>Summary!$C$1</f>
        <v>r19.0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78234.3</v>
      </c>
      <c r="AA5" s="16">
        <v>0</v>
      </c>
      <c r="AB5" s="16">
        <v>550.28200000000004</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89361.1</v>
      </c>
      <c r="AA6" s="25">
        <v>0</v>
      </c>
      <c r="AB6" s="25">
        <v>531.31299999999999</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96578.3</v>
      </c>
      <c r="AA7" s="16">
        <v>0</v>
      </c>
      <c r="AB7" s="16">
        <v>715.06500000000005</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66818.100000000006</v>
      </c>
      <c r="AA8" s="44">
        <v>0</v>
      </c>
      <c r="AB8" s="44">
        <v>519.61099999999999</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90732.800000000003</v>
      </c>
      <c r="AA9" s="34">
        <v>0</v>
      </c>
      <c r="AB9" s="34">
        <v>629.23800000000006</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8.5608999062982957E-2</v>
      </c>
      <c r="I10" s="20">
        <f t="shared" si="1"/>
        <v>858.7285425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69663</v>
      </c>
      <c r="AA10" s="25">
        <v>0</v>
      </c>
      <c r="AB10" s="25">
        <v>446.15600000000001</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8.6982594090858137E-2</v>
      </c>
      <c r="I11" s="29">
        <f t="shared" si="1"/>
        <v>774.35721375000003</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68444</v>
      </c>
      <c r="AA11" s="34">
        <v>0</v>
      </c>
      <c r="AB11" s="34">
        <v>444.77300000000002</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559831.60000000009</v>
      </c>
      <c r="AA16" s="49">
        <f>SUM(AA5:AA8,AA9:AA9,AA10:AA11)</f>
        <v>0</v>
      </c>
      <c r="AB16" s="49">
        <f>SUM(AB5:AB8,AB9:AB9,AB10:AB11)</f>
        <v>3836.4380000000001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79182.9372901897</v>
      </c>
      <c r="AA18" s="49" t="e">
        <f>GEOMEAN(AA5:AA8,AA9:AA9,AA10:AA11)</f>
        <v>#NUM!</v>
      </c>
      <c r="AB18" s="49">
        <f>GEOMEAN(AB5:AB8,AB9:AB9,AB10:AB11)</f>
        <v>541.00335388484029</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74" t="str">
        <f>Summary!$C$1</f>
        <v>r19.0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1.2502712</v>
      </c>
      <c r="J5" s="12">
        <f t="shared" ref="J5:J39" si="1">IF(ISBLANK(S5),"·",S5/D5)</f>
        <v>5.2500111160618007E-2</v>
      </c>
      <c r="K5" s="12">
        <f t="shared" ref="K5:K39" si="2">IF(N5="","·",N5/D5)</f>
        <v>4.4687672802062324E-2</v>
      </c>
      <c r="L5" s="12">
        <f t="shared" ref="L5:L39" si="3">IF(T5="","·",T5/D5)</f>
        <v>2.8122937206300137E-2</v>
      </c>
      <c r="M5" s="12">
        <f t="shared" ref="M5:M39" si="4">IF(ISBLANK(V5),"·",V5/D5)</f>
        <v>7.8124383585556831E-3</v>
      </c>
      <c r="N5" s="54">
        <f t="shared" ref="N5:N39" si="5">IF(OR(ISBLANK(T5),ISBLANK(U5)),"",T5+U5)</f>
        <v>10642208</v>
      </c>
      <c r="O5" s="12">
        <v>-12</v>
      </c>
      <c r="P5" s="13">
        <v>222480528</v>
      </c>
      <c r="Q5" s="13">
        <v>741601.76</v>
      </c>
      <c r="R5" s="13">
        <v>16854.09</v>
      </c>
      <c r="S5" s="14">
        <v>12502712</v>
      </c>
      <c r="T5" s="14">
        <v>6697376</v>
      </c>
      <c r="U5" s="14">
        <v>3944832</v>
      </c>
      <c r="V5" s="14">
        <v>1860504</v>
      </c>
      <c r="W5" s="15">
        <v>66.613609999999895</v>
      </c>
      <c r="X5" s="15">
        <v>68.404904999999999</v>
      </c>
      <c r="Y5" s="15">
        <v>31.604634999999998</v>
      </c>
      <c r="Z5" s="15">
        <v>44.315839333333301</v>
      </c>
      <c r="AA5" s="15">
        <v>43.810914333333301</v>
      </c>
      <c r="AB5" s="16">
        <v>48159.8</v>
      </c>
      <c r="AC5" s="16">
        <v>0</v>
      </c>
      <c r="AD5" s="16">
        <v>602.36599999999999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1.6530824</v>
      </c>
      <c r="J6" s="21">
        <f t="shared" si="1"/>
        <v>6.9414547625876052E-2</v>
      </c>
      <c r="K6" s="21">
        <f t="shared" si="2"/>
        <v>5.4945296231677931E-2</v>
      </c>
      <c r="L6" s="21">
        <f t="shared" si="3"/>
        <v>3.8380560635915745E-2</v>
      </c>
      <c r="M6" s="21">
        <f t="shared" si="4"/>
        <v>1.4469251394198118E-2</v>
      </c>
      <c r="N6" s="18">
        <f t="shared" si="5"/>
        <v>13085024</v>
      </c>
      <c r="O6" s="21">
        <v>-12</v>
      </c>
      <c r="P6" s="22">
        <v>234624232</v>
      </c>
      <c r="Q6" s="22">
        <v>782080.77333333297</v>
      </c>
      <c r="R6" s="22">
        <v>20388.456666666701</v>
      </c>
      <c r="S6" s="23">
        <v>16530824</v>
      </c>
      <c r="T6" s="23">
        <v>9140192</v>
      </c>
      <c r="U6" s="23">
        <v>3944832</v>
      </c>
      <c r="V6" s="23">
        <v>3445800</v>
      </c>
      <c r="W6" s="24">
        <v>68.323657666666705</v>
      </c>
      <c r="X6" s="24">
        <v>70.403802333333303</v>
      </c>
      <c r="Y6" s="24">
        <v>33.6531916666667</v>
      </c>
      <c r="Z6" s="24">
        <v>45.411709333333299</v>
      </c>
      <c r="AA6" s="24">
        <v>45.033916666666599</v>
      </c>
      <c r="AB6" s="25">
        <v>50861</v>
      </c>
      <c r="AC6" s="25">
        <v>0</v>
      </c>
      <c r="AD6" s="25">
        <v>626.89099999999996</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2.3378359999999998</v>
      </c>
      <c r="J7" s="12">
        <f t="shared" si="1"/>
        <v>9.816802136632001E-2</v>
      </c>
      <c r="K7" s="12">
        <f t="shared" si="2"/>
        <v>6.9017682489255106E-2</v>
      </c>
      <c r="L7" s="12">
        <f t="shared" si="3"/>
        <v>5.2452946893492919E-2</v>
      </c>
      <c r="M7" s="12">
        <f t="shared" si="4"/>
        <v>2.9150338877064905E-2</v>
      </c>
      <c r="N7" s="54">
        <f t="shared" si="5"/>
        <v>16436312</v>
      </c>
      <c r="O7" s="12">
        <v>-12</v>
      </c>
      <c r="P7" s="13">
        <v>237199047</v>
      </c>
      <c r="Q7" s="13">
        <v>790663.49</v>
      </c>
      <c r="R7" s="13">
        <v>21739.403333333299</v>
      </c>
      <c r="S7" s="14">
        <v>23378360</v>
      </c>
      <c r="T7" s="14">
        <v>12491480</v>
      </c>
      <c r="U7" s="14">
        <v>3944832</v>
      </c>
      <c r="V7" s="14">
        <v>6942048</v>
      </c>
      <c r="W7" s="15">
        <v>69.651400333333299</v>
      </c>
      <c r="X7" s="15">
        <v>72.072477000000006</v>
      </c>
      <c r="Y7" s="15">
        <v>36.036795333333302</v>
      </c>
      <c r="Z7" s="15">
        <v>46.717066000000003</v>
      </c>
      <c r="AA7" s="15">
        <v>46.480288666666702</v>
      </c>
      <c r="AB7" s="16">
        <v>53664.4</v>
      </c>
      <c r="AC7" s="16">
        <v>0</v>
      </c>
      <c r="AD7" s="16">
        <v>634.1</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3.873456</v>
      </c>
      <c r="J8" s="21">
        <f t="shared" si="1"/>
        <v>0.16265020787151044</v>
      </c>
      <c r="K8" s="21">
        <f t="shared" si="2"/>
        <v>9.9363823657525011E-2</v>
      </c>
      <c r="L8" s="21">
        <f t="shared" si="3"/>
        <v>8.2799088061762824E-2</v>
      </c>
      <c r="M8" s="21">
        <f t="shared" si="4"/>
        <v>6.3286384213985428E-2</v>
      </c>
      <c r="N8" s="18">
        <f t="shared" si="5"/>
        <v>23663136</v>
      </c>
      <c r="O8" s="21">
        <v>-12</v>
      </c>
      <c r="P8" s="22">
        <v>246300421</v>
      </c>
      <c r="Q8" s="22">
        <v>821001.40333333297</v>
      </c>
      <c r="R8" s="22">
        <v>24976.016666666699</v>
      </c>
      <c r="S8" s="23">
        <v>38734560</v>
      </c>
      <c r="T8" s="23">
        <v>19718304</v>
      </c>
      <c r="U8" s="23">
        <v>3944832</v>
      </c>
      <c r="V8" s="23">
        <v>15071424</v>
      </c>
      <c r="W8" s="24">
        <v>70.736514</v>
      </c>
      <c r="X8" s="24">
        <v>73.3102636666667</v>
      </c>
      <c r="Y8" s="24">
        <v>38.506507999999997</v>
      </c>
      <c r="Z8" s="24">
        <v>47.939310333333303</v>
      </c>
      <c r="AA8" s="24">
        <v>47.965738333333299</v>
      </c>
      <c r="AB8" s="25">
        <v>57587</v>
      </c>
      <c r="AC8" s="25">
        <v>0</v>
      </c>
      <c r="AD8" s="25">
        <v>648.70500000000004</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7.7068064000000005</v>
      </c>
      <c r="J9" s="30">
        <f t="shared" si="1"/>
        <v>0.32361634235305292</v>
      </c>
      <c r="K9" s="30">
        <f t="shared" si="2"/>
        <v>0.17096270839561034</v>
      </c>
      <c r="L9" s="30">
        <f t="shared" si="3"/>
        <v>0.13463920181767525</v>
      </c>
      <c r="M9" s="30">
        <f t="shared" si="4"/>
        <v>0.15265363395744258</v>
      </c>
      <c r="N9" s="27">
        <f t="shared" si="5"/>
        <v>40714152</v>
      </c>
      <c r="O9" s="30">
        <v>-12</v>
      </c>
      <c r="P9" s="31">
        <v>236683423</v>
      </c>
      <c r="Q9" s="31">
        <v>788944.74333333306</v>
      </c>
      <c r="R9" s="31">
        <v>10914.45</v>
      </c>
      <c r="S9" s="32">
        <v>77068064</v>
      </c>
      <c r="T9" s="32">
        <v>32063840</v>
      </c>
      <c r="U9" s="32">
        <v>8650312</v>
      </c>
      <c r="V9" s="32">
        <v>36353912</v>
      </c>
      <c r="W9" s="33">
        <v>71.772390000000001</v>
      </c>
      <c r="X9" s="33">
        <v>75.151272333333296</v>
      </c>
      <c r="Y9" s="33">
        <v>41.028247666666701</v>
      </c>
      <c r="Z9" s="33">
        <v>49.432590666666698</v>
      </c>
      <c r="AA9" s="33">
        <v>49.486609333333298</v>
      </c>
      <c r="AB9" s="34">
        <v>62641.4</v>
      </c>
      <c r="AC9" s="34">
        <v>0</v>
      </c>
      <c r="AD9" s="34">
        <v>660.31899999999996</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2.1155560000000002</v>
      </c>
      <c r="J10" s="21">
        <f t="shared" si="1"/>
        <v>9.6989911693240768E-2</v>
      </c>
      <c r="K10" s="21">
        <f t="shared" si="2"/>
        <v>7.2513689427827488E-2</v>
      </c>
      <c r="L10" s="21">
        <f t="shared" si="3"/>
        <v>4.1379335259790977E-2</v>
      </c>
      <c r="M10" s="21">
        <f t="shared" si="4"/>
        <v>2.4476222265413287E-2</v>
      </c>
      <c r="N10" s="18">
        <f t="shared" si="5"/>
        <v>15816776</v>
      </c>
      <c r="O10" s="21">
        <v>-12</v>
      </c>
      <c r="P10" s="22">
        <v>203423665</v>
      </c>
      <c r="Q10" s="22">
        <v>678078.88333333295</v>
      </c>
      <c r="R10" s="22">
        <v>20690.483333333301</v>
      </c>
      <c r="S10" s="23">
        <v>21155560</v>
      </c>
      <c r="T10" s="23">
        <v>9025712</v>
      </c>
      <c r="U10" s="23">
        <v>6791064</v>
      </c>
      <c r="V10" s="23">
        <v>5338784</v>
      </c>
      <c r="W10" s="24">
        <v>65.918392999999995</v>
      </c>
      <c r="X10" s="24">
        <v>67.697318999999993</v>
      </c>
      <c r="Y10" s="24">
        <v>30.8753286666667</v>
      </c>
      <c r="Z10" s="24">
        <v>38.660013999999997</v>
      </c>
      <c r="AA10" s="24">
        <v>29.9092076666666</v>
      </c>
      <c r="AB10" s="25">
        <v>56897.7</v>
      </c>
      <c r="AC10" s="25">
        <v>0</v>
      </c>
      <c r="AD10" s="25">
        <v>595.13800000000003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2.8934832000000004</v>
      </c>
      <c r="J11" s="12">
        <f t="shared" si="1"/>
        <v>0.13265481039210295</v>
      </c>
      <c r="K11" s="12">
        <f t="shared" si="2"/>
        <v>8.9276146703767628E-2</v>
      </c>
      <c r="L11" s="12">
        <f t="shared" si="3"/>
        <v>5.8141792535731117E-2</v>
      </c>
      <c r="M11" s="12">
        <f t="shared" si="4"/>
        <v>4.3378663688335317E-2</v>
      </c>
      <c r="N11" s="54">
        <f t="shared" si="5"/>
        <v>19473024</v>
      </c>
      <c r="O11" s="12">
        <v>-12</v>
      </c>
      <c r="P11" s="13">
        <v>214721626</v>
      </c>
      <c r="Q11" s="13">
        <v>715738.75333333295</v>
      </c>
      <c r="R11" s="13">
        <v>25171.793333333299</v>
      </c>
      <c r="S11" s="14">
        <v>28934832</v>
      </c>
      <c r="T11" s="14">
        <v>12681960</v>
      </c>
      <c r="U11" s="14">
        <v>6791064</v>
      </c>
      <c r="V11" s="14">
        <v>9461808</v>
      </c>
      <c r="W11" s="15">
        <v>67.582183000000001</v>
      </c>
      <c r="X11" s="15">
        <v>69.613675999999998</v>
      </c>
      <c r="Y11" s="15">
        <v>32.672547333333398</v>
      </c>
      <c r="Z11" s="15">
        <v>39.622247666666702</v>
      </c>
      <c r="AA11" s="15">
        <v>32.105570999999998</v>
      </c>
      <c r="AB11" s="16">
        <v>60486.3</v>
      </c>
      <c r="AC11" s="16">
        <v>0</v>
      </c>
      <c r="AD11" s="16">
        <v>606.76300000000003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4.1300775999999999</v>
      </c>
      <c r="J12" s="21">
        <f t="shared" si="1"/>
        <v>0.18934779401265284</v>
      </c>
      <c r="K12" s="21">
        <f t="shared" si="2"/>
        <v>0.11429691015604981</v>
      </c>
      <c r="L12" s="21">
        <f t="shared" si="3"/>
        <v>8.3162555988013309E-2</v>
      </c>
      <c r="M12" s="21">
        <f t="shared" si="4"/>
        <v>7.5050883856603023E-2</v>
      </c>
      <c r="N12" s="18">
        <f t="shared" si="5"/>
        <v>24930584</v>
      </c>
      <c r="O12" s="21">
        <v>-12</v>
      </c>
      <c r="P12" s="22">
        <v>217488686</v>
      </c>
      <c r="Q12" s="22">
        <v>724962.28666666697</v>
      </c>
      <c r="R12" s="22">
        <v>26597.72</v>
      </c>
      <c r="S12" s="23">
        <v>41300776</v>
      </c>
      <c r="T12" s="23">
        <v>18139520</v>
      </c>
      <c r="U12" s="23">
        <v>6791064</v>
      </c>
      <c r="V12" s="23">
        <v>16370192</v>
      </c>
      <c r="W12" s="24">
        <v>68.905238666666705</v>
      </c>
      <c r="X12" s="24">
        <v>71.260606666666703</v>
      </c>
      <c r="Y12" s="24">
        <v>34.683140999999999</v>
      </c>
      <c r="Z12" s="24">
        <v>40.569273666666703</v>
      </c>
      <c r="AA12" s="24">
        <v>33.986041333333297</v>
      </c>
      <c r="AB12" s="25">
        <v>64038</v>
      </c>
      <c r="AC12" s="25">
        <v>0</v>
      </c>
      <c r="AD12" s="25">
        <v>663.85900000000004</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6.7137560000000001</v>
      </c>
      <c r="J13" s="12">
        <f t="shared" si="1"/>
        <v>0.30779927431368653</v>
      </c>
      <c r="K13" s="12">
        <f t="shared" si="2"/>
        <v>0.1615344185505784</v>
      </c>
      <c r="L13" s="12">
        <f t="shared" si="3"/>
        <v>0.1304000643825419</v>
      </c>
      <c r="M13" s="12">
        <f t="shared" si="4"/>
        <v>0.1462648557631081</v>
      </c>
      <c r="N13" s="54">
        <f t="shared" si="5"/>
        <v>35234088</v>
      </c>
      <c r="O13" s="12">
        <v>-12</v>
      </c>
      <c r="P13" s="13">
        <v>225229598</v>
      </c>
      <c r="Q13" s="13">
        <v>750765.32666666701</v>
      </c>
      <c r="R13" s="13">
        <v>30236.0766666667</v>
      </c>
      <c r="S13" s="14">
        <v>67137560</v>
      </c>
      <c r="T13" s="14">
        <v>28443024</v>
      </c>
      <c r="U13" s="14">
        <v>6791064</v>
      </c>
      <c r="V13" s="14">
        <v>31903472</v>
      </c>
      <c r="W13" s="15">
        <v>69.956116000000094</v>
      </c>
      <c r="X13" s="15">
        <v>72.486503999999996</v>
      </c>
      <c r="Y13" s="15">
        <v>36.871490999999999</v>
      </c>
      <c r="Z13" s="15">
        <v>41.617722666666701</v>
      </c>
      <c r="AA13" s="15">
        <v>35.921081333333298</v>
      </c>
      <c r="AB13" s="16">
        <v>68000.5</v>
      </c>
      <c r="AC13" s="16">
        <v>0</v>
      </c>
      <c r="AD13" s="16">
        <v>686.13699999999994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13.216663199999999</v>
      </c>
      <c r="J14" s="40">
        <f t="shared" si="1"/>
        <v>0.60593196145472161</v>
      </c>
      <c r="K14" s="40">
        <f t="shared" si="2"/>
        <v>0.27233129362063691</v>
      </c>
      <c r="L14" s="40">
        <f t="shared" si="3"/>
        <v>0.21063558770676724</v>
      </c>
      <c r="M14" s="40">
        <f t="shared" si="4"/>
        <v>0.33360066783408465</v>
      </c>
      <c r="N14" s="37">
        <f t="shared" si="5"/>
        <v>59401240</v>
      </c>
      <c r="O14" s="40">
        <v>-12</v>
      </c>
      <c r="P14" s="41">
        <v>213009264</v>
      </c>
      <c r="Q14" s="41">
        <v>710030.88</v>
      </c>
      <c r="R14" s="41">
        <v>14270.0133333333</v>
      </c>
      <c r="S14" s="42">
        <v>132166632</v>
      </c>
      <c r="T14" s="42">
        <v>45944096</v>
      </c>
      <c r="U14" s="42">
        <v>13457144</v>
      </c>
      <c r="V14" s="42">
        <v>72765392</v>
      </c>
      <c r="W14" s="43">
        <v>70.811936666666696</v>
      </c>
      <c r="X14" s="43">
        <v>74.587800333333306</v>
      </c>
      <c r="Y14" s="43">
        <v>39.259962000000002</v>
      </c>
      <c r="Z14" s="43">
        <v>42.902484000000001</v>
      </c>
      <c r="AA14" s="43">
        <v>38.032774666666697</v>
      </c>
      <c r="AB14" s="44">
        <v>74039.3</v>
      </c>
      <c r="AC14" s="44">
        <v>0</v>
      </c>
      <c r="AD14" s="44">
        <v>597.35299999999995</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1.8744479999999999</v>
      </c>
      <c r="J15" s="12">
        <f t="shared" si="1"/>
        <v>5.8106256236869852E-2</v>
      </c>
      <c r="K15" s="12">
        <f t="shared" si="2"/>
        <v>4.8231843134088369E-2</v>
      </c>
      <c r="L15" s="12">
        <f t="shared" si="3"/>
        <v>2.6924455096682193E-2</v>
      </c>
      <c r="M15" s="12">
        <f t="shared" si="4"/>
        <v>9.8744131027814833E-3</v>
      </c>
      <c r="N15" s="54">
        <f t="shared" si="5"/>
        <v>15559096</v>
      </c>
      <c r="O15" s="12">
        <v>-12</v>
      </c>
      <c r="P15" s="13">
        <v>308568020</v>
      </c>
      <c r="Q15" s="13">
        <v>1028560.06666667</v>
      </c>
      <c r="R15" s="13">
        <v>31474.01</v>
      </c>
      <c r="S15" s="14">
        <v>18744480</v>
      </c>
      <c r="T15" s="14">
        <v>8685552</v>
      </c>
      <c r="U15" s="14">
        <v>6873544</v>
      </c>
      <c r="V15" s="14">
        <v>3185384</v>
      </c>
      <c r="W15" s="15">
        <v>66.292670333333405</v>
      </c>
      <c r="X15" s="15">
        <v>67.882902666666595</v>
      </c>
      <c r="Y15" s="15">
        <v>29.027573</v>
      </c>
      <c r="Z15" s="15">
        <v>43.392187</v>
      </c>
      <c r="AA15" s="15">
        <v>43.601365333333298</v>
      </c>
      <c r="AB15" s="16">
        <v>55894.3</v>
      </c>
      <c r="AC15" s="16">
        <v>0</v>
      </c>
      <c r="AD15" s="16">
        <v>832.14</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2.4999720000000001</v>
      </c>
      <c r="J16" s="21">
        <f t="shared" si="1"/>
        <v>7.7496955699491263E-2</v>
      </c>
      <c r="K16" s="21">
        <f t="shared" si="2"/>
        <v>5.8524521290983296E-2</v>
      </c>
      <c r="L16" s="21">
        <f t="shared" si="3"/>
        <v>3.7217133253577117E-2</v>
      </c>
      <c r="M16" s="21">
        <f t="shared" si="4"/>
        <v>1.8972434408507967E-2</v>
      </c>
      <c r="N16" s="18">
        <f t="shared" si="5"/>
        <v>18879408</v>
      </c>
      <c r="O16" s="21">
        <v>-12</v>
      </c>
      <c r="P16" s="22">
        <v>320786351</v>
      </c>
      <c r="Q16" s="22">
        <v>1069287.8366666699</v>
      </c>
      <c r="R16" s="22">
        <v>36368.023333333302</v>
      </c>
      <c r="S16" s="23">
        <v>24999720</v>
      </c>
      <c r="T16" s="23">
        <v>12005864</v>
      </c>
      <c r="U16" s="23">
        <v>6873544</v>
      </c>
      <c r="V16" s="23">
        <v>6120312</v>
      </c>
      <c r="W16" s="24">
        <v>68.004283000000001</v>
      </c>
      <c r="X16" s="24">
        <v>70.007956333333297</v>
      </c>
      <c r="Y16" s="24">
        <v>31.341947666666702</v>
      </c>
      <c r="Z16" s="24">
        <v>44.0194823333334</v>
      </c>
      <c r="AA16" s="24">
        <v>44.367089333333297</v>
      </c>
      <c r="AB16" s="25">
        <v>58908.800000000003</v>
      </c>
      <c r="AC16" s="25">
        <v>0</v>
      </c>
      <c r="AD16" s="25">
        <v>850.697</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3.5934767999999999</v>
      </c>
      <c r="J17" s="12">
        <f t="shared" si="1"/>
        <v>0.11139465257080865</v>
      </c>
      <c r="K17" s="12">
        <f t="shared" si="2"/>
        <v>7.2553065735786779E-2</v>
      </c>
      <c r="L17" s="12">
        <f t="shared" si="3"/>
        <v>5.12456776983806E-2</v>
      </c>
      <c r="M17" s="12">
        <f t="shared" si="4"/>
        <v>3.8841586835021862E-2</v>
      </c>
      <c r="N17" s="54">
        <f t="shared" si="5"/>
        <v>23404872</v>
      </c>
      <c r="O17" s="12">
        <v>-12</v>
      </c>
      <c r="P17" s="13">
        <v>321801817</v>
      </c>
      <c r="Q17" s="13">
        <v>1072672.7233333299</v>
      </c>
      <c r="R17" s="13">
        <v>37373.223333333299</v>
      </c>
      <c r="S17" s="14">
        <v>35934768</v>
      </c>
      <c r="T17" s="14">
        <v>16531328</v>
      </c>
      <c r="U17" s="14">
        <v>6873544</v>
      </c>
      <c r="V17" s="14">
        <v>12529896</v>
      </c>
      <c r="W17" s="15">
        <v>69.316821666666698</v>
      </c>
      <c r="X17" s="15">
        <v>71.769333333333293</v>
      </c>
      <c r="Y17" s="15">
        <v>33.744161333333302</v>
      </c>
      <c r="Z17" s="15">
        <v>45.1935753333333</v>
      </c>
      <c r="AA17" s="15">
        <v>45.614869333333303</v>
      </c>
      <c r="AB17" s="16">
        <v>62000</v>
      </c>
      <c r="AC17" s="16">
        <v>0</v>
      </c>
      <c r="AD17" s="16">
        <v>901.16800000000001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6.2400264000000005</v>
      </c>
      <c r="J18" s="21">
        <f t="shared" si="1"/>
        <v>0.19343538627010862</v>
      </c>
      <c r="K18" s="21">
        <f t="shared" si="2"/>
        <v>0.10652297817911759</v>
      </c>
      <c r="L18" s="21">
        <f t="shared" si="3"/>
        <v>8.52155901417114E-2</v>
      </c>
      <c r="M18" s="21">
        <f t="shared" si="4"/>
        <v>8.6912408090991031E-2</v>
      </c>
      <c r="N18" s="18">
        <f t="shared" si="5"/>
        <v>34363216</v>
      </c>
      <c r="O18" s="21">
        <v>-12</v>
      </c>
      <c r="P18" s="22">
        <v>331409396</v>
      </c>
      <c r="Q18" s="22">
        <v>1104697.9866666701</v>
      </c>
      <c r="R18" s="22">
        <v>41617.916666666701</v>
      </c>
      <c r="S18" s="23">
        <v>62400264</v>
      </c>
      <c r="T18" s="23">
        <v>27489672</v>
      </c>
      <c r="U18" s="23">
        <v>6873544</v>
      </c>
      <c r="V18" s="23">
        <v>28037048</v>
      </c>
      <c r="W18" s="24">
        <v>70.477661666666705</v>
      </c>
      <c r="X18" s="24">
        <v>73.080996333333303</v>
      </c>
      <c r="Y18" s="24">
        <v>36.1626196666667</v>
      </c>
      <c r="Z18" s="24">
        <v>46.509220333333403</v>
      </c>
      <c r="AA18" s="24">
        <v>47.0031446666666</v>
      </c>
      <c r="AB18" s="25">
        <v>65390.400000000001</v>
      </c>
      <c r="AC18" s="25">
        <v>0</v>
      </c>
      <c r="AD18" s="25">
        <v>787.26900000000001</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13.090874400000001</v>
      </c>
      <c r="J19" s="30">
        <f t="shared" si="1"/>
        <v>0.4058057104017182</v>
      </c>
      <c r="K19" s="30">
        <f t="shared" si="2"/>
        <v>0.18423486944270237</v>
      </c>
      <c r="L19" s="30">
        <f t="shared" si="3"/>
        <v>0.13908359579882934</v>
      </c>
      <c r="M19" s="30">
        <f t="shared" si="4"/>
        <v>0.22157084095901586</v>
      </c>
      <c r="N19" s="27">
        <f t="shared" si="5"/>
        <v>59432272</v>
      </c>
      <c r="O19" s="30">
        <v>-12</v>
      </c>
      <c r="P19" s="31">
        <v>314100769</v>
      </c>
      <c r="Q19" s="31">
        <v>1047002.56333333</v>
      </c>
      <c r="R19" s="31">
        <v>18131.233333333301</v>
      </c>
      <c r="S19" s="32">
        <v>130908744</v>
      </c>
      <c r="T19" s="32">
        <v>44866936</v>
      </c>
      <c r="U19" s="32">
        <v>14565336</v>
      </c>
      <c r="V19" s="32">
        <v>71476472</v>
      </c>
      <c r="W19" s="33">
        <v>71.164477666666599</v>
      </c>
      <c r="X19" s="33">
        <v>75.029448666666696</v>
      </c>
      <c r="Y19" s="33">
        <v>38.638706333333303</v>
      </c>
      <c r="Z19" s="33">
        <v>48.278673666666698</v>
      </c>
      <c r="AA19" s="33">
        <v>48.831350333333397</v>
      </c>
      <c r="AB19" s="34">
        <v>71871.3</v>
      </c>
      <c r="AC19" s="34">
        <v>0</v>
      </c>
      <c r="AD19" s="34">
        <v>753.43100000000004</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2.1705327999999997</v>
      </c>
      <c r="J20" s="21">
        <f t="shared" si="1"/>
        <v>4.3306220278201017E-2</v>
      </c>
      <c r="K20" s="21">
        <f t="shared" si="2"/>
        <v>3.4841992305667376E-2</v>
      </c>
      <c r="L20" s="21">
        <f t="shared" si="3"/>
        <v>2.0288704490643725E-2</v>
      </c>
      <c r="M20" s="21">
        <f t="shared" si="4"/>
        <v>8.4642279725336451E-3</v>
      </c>
      <c r="N20" s="18">
        <f t="shared" si="5"/>
        <v>8731504</v>
      </c>
      <c r="O20" s="21">
        <v>-12</v>
      </c>
      <c r="P20" s="22">
        <v>237018345</v>
      </c>
      <c r="Q20" s="22">
        <v>948073.38</v>
      </c>
      <c r="R20" s="22">
        <v>29222.799999999999</v>
      </c>
      <c r="S20" s="23">
        <v>10852664</v>
      </c>
      <c r="T20" s="23">
        <v>5084408</v>
      </c>
      <c r="U20" s="23">
        <v>3647096</v>
      </c>
      <c r="V20" s="23">
        <v>2121160</v>
      </c>
      <c r="W20" s="24">
        <v>67.5032736</v>
      </c>
      <c r="X20" s="24">
        <v>69.260535599999997</v>
      </c>
      <c r="Y20" s="24">
        <v>30.353034000000001</v>
      </c>
      <c r="Z20" s="24">
        <v>40.308235199999999</v>
      </c>
      <c r="AA20" s="24">
        <v>38.863080799999999</v>
      </c>
      <c r="AB20" s="25">
        <v>42763.7</v>
      </c>
      <c r="AC20" s="25">
        <v>0</v>
      </c>
      <c r="AD20" s="25">
        <v>584.35599999999999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2.8902800000000002</v>
      </c>
      <c r="J21" s="12">
        <f t="shared" si="1"/>
        <v>5.7666533463893679E-2</v>
      </c>
      <c r="K21" s="12">
        <f t="shared" si="2"/>
        <v>4.1706717581322716E-2</v>
      </c>
      <c r="L21" s="12">
        <f t="shared" si="3"/>
        <v>2.7153429766299066E-2</v>
      </c>
      <c r="M21" s="12">
        <f t="shared" si="4"/>
        <v>1.5959815882570963E-2</v>
      </c>
      <c r="N21" s="54">
        <f t="shared" si="5"/>
        <v>10451824</v>
      </c>
      <c r="O21" s="12">
        <v>-12</v>
      </c>
      <c r="P21" s="13">
        <v>245886783</v>
      </c>
      <c r="Q21" s="13">
        <v>983547.13199999998</v>
      </c>
      <c r="R21" s="13">
        <v>33605.892</v>
      </c>
      <c r="S21" s="14">
        <v>14451400</v>
      </c>
      <c r="T21" s="14">
        <v>6804728</v>
      </c>
      <c r="U21" s="14">
        <v>3647096</v>
      </c>
      <c r="V21" s="14">
        <v>3999576</v>
      </c>
      <c r="W21" s="15">
        <v>69.0686848</v>
      </c>
      <c r="X21" s="15">
        <v>71.224064799999994</v>
      </c>
      <c r="Y21" s="15">
        <v>31.882514400000002</v>
      </c>
      <c r="Z21" s="15">
        <v>41.403127599999998</v>
      </c>
      <c r="AA21" s="15">
        <v>40.156720399999998</v>
      </c>
      <c r="AB21" s="16">
        <v>44520.6</v>
      </c>
      <c r="AC21" s="16">
        <v>0</v>
      </c>
      <c r="AD21" s="16">
        <v>599.48299999999995</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4.2673312000000001</v>
      </c>
      <c r="J22" s="21">
        <f t="shared" si="1"/>
        <v>8.5141300305270617E-2</v>
      </c>
      <c r="K22" s="21">
        <f t="shared" si="2"/>
        <v>4.9405495485684563E-2</v>
      </c>
      <c r="L22" s="21">
        <f t="shared" si="3"/>
        <v>3.4852207670660912E-2</v>
      </c>
      <c r="M22" s="21">
        <f t="shared" si="4"/>
        <v>3.5735804819586062E-2</v>
      </c>
      <c r="N22" s="18">
        <f t="shared" si="5"/>
        <v>12381160</v>
      </c>
      <c r="O22" s="21">
        <v>-12</v>
      </c>
      <c r="P22" s="22">
        <v>252684195</v>
      </c>
      <c r="Q22" s="22">
        <v>1010736.78</v>
      </c>
      <c r="R22" s="22">
        <v>35728.872000000003</v>
      </c>
      <c r="S22" s="23">
        <v>21336656</v>
      </c>
      <c r="T22" s="23">
        <v>8734064</v>
      </c>
      <c r="U22" s="23">
        <v>3647096</v>
      </c>
      <c r="V22" s="23">
        <v>8955496</v>
      </c>
      <c r="W22" s="24">
        <v>70.264227199999993</v>
      </c>
      <c r="X22" s="24">
        <v>72.745652800000002</v>
      </c>
      <c r="Y22" s="24">
        <v>33.747084800000003</v>
      </c>
      <c r="Z22" s="24">
        <v>42.659627200000003</v>
      </c>
      <c r="AA22" s="24">
        <v>41.462639199999998</v>
      </c>
      <c r="AB22" s="25">
        <v>46407.8</v>
      </c>
      <c r="AC22" s="25">
        <v>0</v>
      </c>
      <c r="AD22" s="25">
        <v>608.36800000000005</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7.8583759999999998</v>
      </c>
      <c r="J23" s="12">
        <f t="shared" si="1"/>
        <v>0.15678941229772167</v>
      </c>
      <c r="K23" s="12">
        <f t="shared" si="2"/>
        <v>7.2384544039438073E-2</v>
      </c>
      <c r="L23" s="12">
        <f t="shared" si="3"/>
        <v>5.7831256224414429E-2</v>
      </c>
      <c r="M23" s="12">
        <f t="shared" si="4"/>
        <v>8.4404868258283583E-2</v>
      </c>
      <c r="N23" s="54">
        <f t="shared" si="5"/>
        <v>18139776</v>
      </c>
      <c r="O23" s="12">
        <v>-12</v>
      </c>
      <c r="P23" s="13">
        <v>255752821</v>
      </c>
      <c r="Q23" s="13">
        <v>1023011.284</v>
      </c>
      <c r="R23" s="13">
        <v>38087.656000000003</v>
      </c>
      <c r="S23" s="14">
        <v>39291880</v>
      </c>
      <c r="T23" s="14">
        <v>14492680</v>
      </c>
      <c r="U23" s="14">
        <v>3647096</v>
      </c>
      <c r="V23" s="14">
        <v>21152104</v>
      </c>
      <c r="W23" s="15">
        <v>71.207263600000005</v>
      </c>
      <c r="X23" s="15">
        <v>73.987683599999997</v>
      </c>
      <c r="Y23" s="15">
        <v>35.653225200000001</v>
      </c>
      <c r="Z23" s="15">
        <v>43.816416400000001</v>
      </c>
      <c r="AA23" s="15">
        <v>42.613813200000003</v>
      </c>
      <c r="AB23" s="16">
        <v>49500.3</v>
      </c>
      <c r="AC23" s="16">
        <v>0</v>
      </c>
      <c r="AD23" s="16">
        <v>634.98199999999997</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15.772195199999999</v>
      </c>
      <c r="J24" s="40">
        <f t="shared" si="1"/>
        <v>0.3146850209321807</v>
      </c>
      <c r="K24" s="40">
        <f t="shared" si="2"/>
        <v>0.12520318450755621</v>
      </c>
      <c r="L24" s="40">
        <f t="shared" si="3"/>
        <v>9.2969206807753862E-2</v>
      </c>
      <c r="M24" s="40">
        <f t="shared" si="4"/>
        <v>0.18948183642462449</v>
      </c>
      <c r="N24" s="37">
        <f t="shared" si="5"/>
        <v>31376280</v>
      </c>
      <c r="O24" s="40">
        <v>-12</v>
      </c>
      <c r="P24" s="41">
        <v>244609621</v>
      </c>
      <c r="Q24" s="41">
        <v>978438.48400000005</v>
      </c>
      <c r="R24" s="41">
        <v>18826.132000000001</v>
      </c>
      <c r="S24" s="42">
        <v>78860976</v>
      </c>
      <c r="T24" s="42">
        <v>23298352</v>
      </c>
      <c r="U24" s="42">
        <v>8077928</v>
      </c>
      <c r="V24" s="42">
        <v>47484696</v>
      </c>
      <c r="W24" s="43">
        <v>71.975529199999997</v>
      </c>
      <c r="X24" s="43">
        <v>75.962815599999999</v>
      </c>
      <c r="Y24" s="43">
        <v>36.874413599999997</v>
      </c>
      <c r="Z24" s="43">
        <v>44.784684800000001</v>
      </c>
      <c r="AA24" s="43">
        <v>43.3640264</v>
      </c>
      <c r="AB24" s="44">
        <v>53823.7</v>
      </c>
      <c r="AC24" s="44">
        <v>0</v>
      </c>
      <c r="AD24" s="44">
        <v>639.16999999999996</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2.1614327999999996</v>
      </c>
      <c r="J25" s="12">
        <f t="shared" si="1"/>
        <v>8.6355556829432287E-2</v>
      </c>
      <c r="K25" s="12">
        <f t="shared" si="2"/>
        <v>5.5657872770094562E-2</v>
      </c>
      <c r="L25" s="12">
        <f t="shared" si="3"/>
        <v>3.4247645040914231E-2</v>
      </c>
      <c r="M25" s="12">
        <f t="shared" si="4"/>
        <v>3.0697684059337729E-2</v>
      </c>
      <c r="N25" s="54">
        <f t="shared" si="5"/>
        <v>13930864</v>
      </c>
      <c r="O25" s="12">
        <v>-12</v>
      </c>
      <c r="P25" s="13">
        <v>232261685</v>
      </c>
      <c r="Q25" s="13">
        <v>774205.61666666705</v>
      </c>
      <c r="R25" s="13">
        <v>16147.07</v>
      </c>
      <c r="S25" s="14">
        <v>21614328</v>
      </c>
      <c r="T25" s="14">
        <v>8572000</v>
      </c>
      <c r="U25" s="14">
        <v>5358864</v>
      </c>
      <c r="V25" s="14">
        <v>7683464</v>
      </c>
      <c r="W25" s="15">
        <v>66.374413333333393</v>
      </c>
      <c r="X25" s="15">
        <v>68.133944999999997</v>
      </c>
      <c r="Y25" s="15">
        <v>25.855201666666701</v>
      </c>
      <c r="Z25" s="15">
        <v>32.413240999999999</v>
      </c>
      <c r="AA25" s="15">
        <v>31.576485000000002</v>
      </c>
      <c r="AB25" s="16">
        <v>52010.5</v>
      </c>
      <c r="AC25" s="16">
        <v>0</v>
      </c>
      <c r="AD25" s="16">
        <v>648.57600000000002</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3.3307704</v>
      </c>
      <c r="J26" s="21">
        <f t="shared" si="1"/>
        <v>0.13307401116657011</v>
      </c>
      <c r="K26" s="21">
        <f t="shared" si="2"/>
        <v>6.9723730575997844E-2</v>
      </c>
      <c r="L26" s="21">
        <f t="shared" si="3"/>
        <v>4.8313502846817513E-2</v>
      </c>
      <c r="M26" s="21">
        <f t="shared" si="4"/>
        <v>6.3350280590572267E-2</v>
      </c>
      <c r="N26" s="18">
        <f t="shared" si="5"/>
        <v>17451472</v>
      </c>
      <c r="O26" s="21">
        <v>-12</v>
      </c>
      <c r="P26" s="22">
        <v>244017051</v>
      </c>
      <c r="Q26" s="22">
        <v>813390.17</v>
      </c>
      <c r="R26" s="22">
        <v>19452.830000000002</v>
      </c>
      <c r="S26" s="23">
        <v>33307704</v>
      </c>
      <c r="T26" s="23">
        <v>12092608</v>
      </c>
      <c r="U26" s="23">
        <v>5358864</v>
      </c>
      <c r="V26" s="23">
        <v>15856232</v>
      </c>
      <c r="W26" s="24">
        <v>68.073436000000001</v>
      </c>
      <c r="X26" s="24">
        <v>70.121058999999903</v>
      </c>
      <c r="Y26" s="24">
        <v>27.8821053333333</v>
      </c>
      <c r="Z26" s="24">
        <v>33.601266333333299</v>
      </c>
      <c r="AA26" s="24">
        <v>32.965452333333403</v>
      </c>
      <c r="AB26" s="25">
        <v>55989.8</v>
      </c>
      <c r="AC26" s="25">
        <v>0</v>
      </c>
      <c r="AD26" s="25">
        <v>656.97299999999996</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5.6178495999999996</v>
      </c>
      <c r="J27" s="12">
        <f t="shared" si="1"/>
        <v>0.22444950885912504</v>
      </c>
      <c r="K27" s="12">
        <f t="shared" si="2"/>
        <v>9.0402564127416873E-2</v>
      </c>
      <c r="L27" s="12">
        <f t="shared" si="3"/>
        <v>6.8992336398236542E-2</v>
      </c>
      <c r="M27" s="12">
        <f t="shared" si="4"/>
        <v>0.13404694473170817</v>
      </c>
      <c r="N27" s="54">
        <f t="shared" si="5"/>
        <v>22627272</v>
      </c>
      <c r="O27" s="12">
        <v>-12</v>
      </c>
      <c r="P27" s="13">
        <v>246258006</v>
      </c>
      <c r="Q27" s="13">
        <v>820860.02</v>
      </c>
      <c r="R27" s="13">
        <v>20381.416666666701</v>
      </c>
      <c r="S27" s="14">
        <v>56178496</v>
      </c>
      <c r="T27" s="14">
        <v>17268408</v>
      </c>
      <c r="U27" s="14">
        <v>5358864</v>
      </c>
      <c r="V27" s="14">
        <v>33551224</v>
      </c>
      <c r="W27" s="15">
        <v>69.364096000000004</v>
      </c>
      <c r="X27" s="15">
        <v>71.800466333333304</v>
      </c>
      <c r="Y27" s="15">
        <v>30.184962333333299</v>
      </c>
      <c r="Z27" s="15">
        <v>34.850964666666698</v>
      </c>
      <c r="AA27" s="15">
        <v>34.304518666666702</v>
      </c>
      <c r="AB27" s="16">
        <v>59863.5</v>
      </c>
      <c r="AC27" s="16">
        <v>0</v>
      </c>
      <c r="AD27" s="16">
        <v>662.505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10.853866400000001</v>
      </c>
      <c r="J28" s="21">
        <f t="shared" si="1"/>
        <v>0.43364368150805599</v>
      </c>
      <c r="K28" s="21">
        <f t="shared" si="2"/>
        <v>0.12778970980682275</v>
      </c>
      <c r="L28" s="21">
        <f t="shared" si="3"/>
        <v>0.10637948207764242</v>
      </c>
      <c r="M28" s="21">
        <f t="shared" si="4"/>
        <v>0.30585397170123324</v>
      </c>
      <c r="N28" s="18">
        <f t="shared" si="5"/>
        <v>31985072</v>
      </c>
      <c r="O28" s="21">
        <v>-12</v>
      </c>
      <c r="P28" s="22">
        <v>253130702</v>
      </c>
      <c r="Q28" s="22">
        <v>843769.00666666694</v>
      </c>
      <c r="R28" s="22">
        <v>22971.599999999999</v>
      </c>
      <c r="S28" s="23">
        <v>108538664</v>
      </c>
      <c r="T28" s="23">
        <v>26626208</v>
      </c>
      <c r="U28" s="23">
        <v>5358864</v>
      </c>
      <c r="V28" s="23">
        <v>76553592</v>
      </c>
      <c r="W28" s="24">
        <v>70.489875999999995</v>
      </c>
      <c r="X28" s="24">
        <v>73.051126666666605</v>
      </c>
      <c r="Y28" s="24">
        <v>32.697090000000003</v>
      </c>
      <c r="Z28" s="24">
        <v>36.405289666666597</v>
      </c>
      <c r="AA28" s="24">
        <v>35.851776666666701</v>
      </c>
      <c r="AB28" s="25">
        <v>64137.3</v>
      </c>
      <c r="AC28" s="25">
        <v>0</v>
      </c>
      <c r="AD28" s="25">
        <v>699.846</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25.0572008</v>
      </c>
      <c r="J29" s="30">
        <f t="shared" si="1"/>
        <v>1.0011083979436679</v>
      </c>
      <c r="K29" s="30">
        <f t="shared" si="2"/>
        <v>0.21113754671685223</v>
      </c>
      <c r="L29" s="30">
        <f t="shared" si="3"/>
        <v>0.1675664557533251</v>
      </c>
      <c r="M29" s="30">
        <f t="shared" si="4"/>
        <v>0.78997085122681565</v>
      </c>
      <c r="N29" s="27">
        <f t="shared" si="5"/>
        <v>52846584</v>
      </c>
      <c r="O29" s="30">
        <v>-12</v>
      </c>
      <c r="P29" s="31">
        <v>243606103</v>
      </c>
      <c r="Q29" s="31">
        <v>812020.34333333303</v>
      </c>
      <c r="R29" s="31">
        <v>10652.176666666701</v>
      </c>
      <c r="S29" s="32">
        <v>250572008</v>
      </c>
      <c r="T29" s="32">
        <v>41940976</v>
      </c>
      <c r="U29" s="32">
        <v>10905608</v>
      </c>
      <c r="V29" s="32">
        <v>197725424</v>
      </c>
      <c r="W29" s="33">
        <v>71.188857333333303</v>
      </c>
      <c r="X29" s="33">
        <v>74.930261666666595</v>
      </c>
      <c r="Y29" s="33">
        <v>35.698859333333303</v>
      </c>
      <c r="Z29" s="33">
        <v>38.379231333333301</v>
      </c>
      <c r="AA29" s="33">
        <v>37.764484000000003</v>
      </c>
      <c r="AB29" s="34">
        <v>71194.2</v>
      </c>
      <c r="AC29" s="34">
        <v>0</v>
      </c>
      <c r="AD29" s="34">
        <v>642.08399999999995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3.9568687499999999</v>
      </c>
      <c r="J30" s="21">
        <f t="shared" si="1"/>
        <v>2.2484851395669667E-2</v>
      </c>
      <c r="K30" s="21">
        <f t="shared" si="2"/>
        <v>1.7551253096181312E-2</v>
      </c>
      <c r="L30" s="21">
        <f t="shared" si="3"/>
        <v>1.1208618457508221E-2</v>
      </c>
      <c r="M30" s="21">
        <f t="shared" si="4"/>
        <v>4.9335982994883534E-3</v>
      </c>
      <c r="N30" s="18">
        <f t="shared" si="5"/>
        <v>6589136</v>
      </c>
      <c r="O30" s="21">
        <v>-12</v>
      </c>
      <c r="P30" s="22">
        <v>172279877</v>
      </c>
      <c r="Q30" s="22">
        <v>2691873.078125</v>
      </c>
      <c r="R30" s="22">
        <v>32633.046875</v>
      </c>
      <c r="S30" s="23">
        <v>8441320</v>
      </c>
      <c r="T30" s="23">
        <v>4207968</v>
      </c>
      <c r="U30" s="23">
        <v>2381168</v>
      </c>
      <c r="V30" s="23">
        <v>1852184</v>
      </c>
      <c r="W30" s="24">
        <v>73.543334375000001</v>
      </c>
      <c r="X30" s="24">
        <v>75.641967187500001</v>
      </c>
      <c r="Y30" s="24">
        <v>32.978206249999999</v>
      </c>
      <c r="Z30" s="24">
        <v>41.915018750000002</v>
      </c>
      <c r="AA30" s="24">
        <v>43.292015624999998</v>
      </c>
      <c r="AB30" s="25">
        <v>43115.9</v>
      </c>
      <c r="AC30" s="25">
        <v>0</v>
      </c>
      <c r="AD30" s="25">
        <v>481.65300000000002</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5.30293875</v>
      </c>
      <c r="J31" s="12">
        <f t="shared" si="1"/>
        <v>3.0133875366497375E-2</v>
      </c>
      <c r="K31" s="12">
        <f t="shared" si="2"/>
        <v>2.1718141968029257E-2</v>
      </c>
      <c r="L31" s="12">
        <f t="shared" si="3"/>
        <v>1.5375507329356164E-2</v>
      </c>
      <c r="M31" s="12">
        <f t="shared" si="4"/>
        <v>8.4157333984681195E-3</v>
      </c>
      <c r="N31" s="54">
        <f t="shared" si="5"/>
        <v>8153480</v>
      </c>
      <c r="O31" s="12">
        <v>-12</v>
      </c>
      <c r="P31" s="13">
        <v>181511850</v>
      </c>
      <c r="Q31" s="13">
        <v>2836122.65625</v>
      </c>
      <c r="R31" s="13">
        <v>39904.75</v>
      </c>
      <c r="S31" s="14">
        <v>11312936</v>
      </c>
      <c r="T31" s="14">
        <v>5772312</v>
      </c>
      <c r="U31" s="14">
        <v>2381168</v>
      </c>
      <c r="V31" s="14">
        <v>3159456</v>
      </c>
      <c r="W31" s="15">
        <v>75.180518750000005</v>
      </c>
      <c r="X31" s="15">
        <v>77.545082812499999</v>
      </c>
      <c r="Y31" s="15">
        <v>35.004396874999998</v>
      </c>
      <c r="Z31" s="15">
        <v>42.569007812499997</v>
      </c>
      <c r="AA31" s="15">
        <v>44.483912500000002</v>
      </c>
      <c r="AB31" s="16">
        <v>45020.7</v>
      </c>
      <c r="AC31" s="16">
        <v>0</v>
      </c>
      <c r="AD31" s="16">
        <v>485.71899999999999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7.6457924999999998</v>
      </c>
      <c r="J32" s="21">
        <f t="shared" si="1"/>
        <v>4.3447109071946266E-2</v>
      </c>
      <c r="K32" s="21">
        <f t="shared" si="2"/>
        <v>2.7805554849758236E-2</v>
      </c>
      <c r="L32" s="21">
        <f t="shared" si="3"/>
        <v>2.1462920211085142E-2</v>
      </c>
      <c r="M32" s="21">
        <f t="shared" si="4"/>
        <v>1.564155422218803E-2</v>
      </c>
      <c r="N32" s="18">
        <f t="shared" si="5"/>
        <v>10438832</v>
      </c>
      <c r="O32" s="21">
        <v>-12</v>
      </c>
      <c r="P32" s="22">
        <v>184180151</v>
      </c>
      <c r="Q32" s="22">
        <v>2877814.859375</v>
      </c>
      <c r="R32" s="22">
        <v>42774.359375</v>
      </c>
      <c r="S32" s="23">
        <v>16311024</v>
      </c>
      <c r="T32" s="23">
        <v>8057664</v>
      </c>
      <c r="U32" s="23">
        <v>2381168</v>
      </c>
      <c r="V32" s="23">
        <v>5872192</v>
      </c>
      <c r="W32" s="24">
        <v>76.420257812499997</v>
      </c>
      <c r="X32" s="24">
        <v>79.110500000000002</v>
      </c>
      <c r="Y32" s="24">
        <v>36.886706250000003</v>
      </c>
      <c r="Z32" s="24">
        <v>43.160054687500001</v>
      </c>
      <c r="AA32" s="24">
        <v>45.947653125000002</v>
      </c>
      <c r="AB32" s="25">
        <v>47006.9</v>
      </c>
      <c r="AC32" s="25">
        <v>0</v>
      </c>
      <c r="AD32" s="25">
        <v>487.39800000000002</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12.639255</v>
      </c>
      <c r="J33" s="12">
        <f t="shared" si="1"/>
        <v>7.1822389971104003E-2</v>
      </c>
      <c r="K33" s="12">
        <f t="shared" si="2"/>
        <v>3.8652596721157437E-2</v>
      </c>
      <c r="L33" s="12">
        <f t="shared" si="3"/>
        <v>3.2309962082484343E-2</v>
      </c>
      <c r="M33" s="12">
        <f t="shared" si="4"/>
        <v>3.3169793249946559E-2</v>
      </c>
      <c r="N33" s="54">
        <f t="shared" si="5"/>
        <v>14511056</v>
      </c>
      <c r="O33" s="12">
        <v>-12</v>
      </c>
      <c r="P33" s="13">
        <v>188808885</v>
      </c>
      <c r="Q33" s="13">
        <v>2950138.828125</v>
      </c>
      <c r="R33" s="13">
        <v>47745.578125</v>
      </c>
      <c r="S33" s="14">
        <v>26963744</v>
      </c>
      <c r="T33" s="14">
        <v>12129888</v>
      </c>
      <c r="U33" s="14">
        <v>2381168</v>
      </c>
      <c r="V33" s="14">
        <v>12452688</v>
      </c>
      <c r="W33" s="15">
        <v>77.551310937500006</v>
      </c>
      <c r="X33" s="15">
        <v>80.269495312499998</v>
      </c>
      <c r="Y33" s="15">
        <v>38.694698437500001</v>
      </c>
      <c r="Z33" s="15">
        <v>43.74609375</v>
      </c>
      <c r="AA33" s="15">
        <v>47.272504687500003</v>
      </c>
      <c r="AB33" s="16">
        <v>52643</v>
      </c>
      <c r="AC33" s="16">
        <v>0</v>
      </c>
      <c r="AD33" s="16">
        <v>524.31799999999998</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64</v>
      </c>
      <c r="G34" s="38">
        <v>30</v>
      </c>
      <c r="I34" s="39">
        <f t="shared" si="0"/>
        <v>25.566806249999999</v>
      </c>
      <c r="J34" s="40">
        <f t="shared" si="1"/>
        <v>0.14528301935542554</v>
      </c>
      <c r="K34" s="40">
        <f t="shared" si="2"/>
        <v>6.4246243883615092E-2</v>
      </c>
      <c r="L34" s="40">
        <f t="shared" si="3"/>
        <v>5.1118401284905274E-2</v>
      </c>
      <c r="M34" s="40">
        <f t="shared" si="4"/>
        <v>8.1036775471810443E-2</v>
      </c>
      <c r="N34" s="37">
        <f t="shared" si="5"/>
        <v>24119488</v>
      </c>
      <c r="O34" s="40">
        <v>-12</v>
      </c>
      <c r="P34" s="41">
        <v>185077129</v>
      </c>
      <c r="Q34" s="41">
        <v>2891830.140625</v>
      </c>
      <c r="R34" s="41">
        <v>18985.5625</v>
      </c>
      <c r="S34" s="42">
        <v>54542520</v>
      </c>
      <c r="T34" s="42">
        <v>19191000</v>
      </c>
      <c r="U34" s="42">
        <v>4928488</v>
      </c>
      <c r="V34" s="42">
        <v>30423032</v>
      </c>
      <c r="W34" s="43">
        <v>78.459995312499998</v>
      </c>
      <c r="X34" s="43">
        <v>81.912453124999999</v>
      </c>
      <c r="Y34" s="43">
        <v>40.515956250000002</v>
      </c>
      <c r="Z34" s="43">
        <v>44.455745312499999</v>
      </c>
      <c r="AA34" s="43">
        <v>48.740454687499998</v>
      </c>
      <c r="AB34" s="44">
        <v>56563.199999999997</v>
      </c>
      <c r="AC34" s="44">
        <v>0</v>
      </c>
      <c r="AD34" s="44">
        <v>507.53199999999998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4.35312375</v>
      </c>
      <c r="J35" s="12">
        <f t="shared" si="1"/>
        <v>2.7871919314047817E-2</v>
      </c>
      <c r="K35" s="12">
        <f t="shared" si="2"/>
        <v>2.1403071080416655E-2</v>
      </c>
      <c r="L35" s="12">
        <f t="shared" si="3"/>
        <v>1.374441768989529E-2</v>
      </c>
      <c r="M35" s="12">
        <f t="shared" si="4"/>
        <v>6.4688482336311623E-3</v>
      </c>
      <c r="N35" s="54">
        <f t="shared" si="5"/>
        <v>7131304</v>
      </c>
      <c r="O35" s="12">
        <v>-12</v>
      </c>
      <c r="P35" s="13">
        <v>149783644</v>
      </c>
      <c r="Q35" s="13">
        <v>2340369.4375</v>
      </c>
      <c r="R35" s="13">
        <v>30839.203125</v>
      </c>
      <c r="S35" s="14">
        <v>9286664</v>
      </c>
      <c r="T35" s="14">
        <v>4579512</v>
      </c>
      <c r="U35" s="14">
        <v>2551792</v>
      </c>
      <c r="V35" s="14">
        <v>2155360</v>
      </c>
      <c r="W35" s="15">
        <v>73.210621875000001</v>
      </c>
      <c r="X35" s="15">
        <v>75.410435937499997</v>
      </c>
      <c r="Y35" s="15">
        <v>31.882476562499999</v>
      </c>
      <c r="Z35" s="15">
        <v>42.072773437499997</v>
      </c>
      <c r="AA35" s="15">
        <v>43.235689062500001</v>
      </c>
      <c r="AB35" s="16">
        <v>40951.4</v>
      </c>
      <c r="AC35" s="16">
        <v>0</v>
      </c>
      <c r="AD35" s="16">
        <v>441.28199999999998</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5.8636350000000004</v>
      </c>
      <c r="J36" s="21">
        <f t="shared" si="1"/>
        <v>3.7543330029849664E-2</v>
      </c>
      <c r="K36" s="21">
        <f t="shared" si="2"/>
        <v>2.6543814974373428E-2</v>
      </c>
      <c r="L36" s="21">
        <f t="shared" si="3"/>
        <v>1.8885161583852061E-2</v>
      </c>
      <c r="M36" s="21">
        <f t="shared" si="4"/>
        <v>1.0999515055476234E-2</v>
      </c>
      <c r="N36" s="18">
        <f t="shared" si="5"/>
        <v>8844152</v>
      </c>
      <c r="O36" s="21">
        <v>-12</v>
      </c>
      <c r="P36" s="22">
        <v>159875215</v>
      </c>
      <c r="Q36" s="22">
        <v>2498050.234375</v>
      </c>
      <c r="R36" s="22">
        <v>38977.515625</v>
      </c>
      <c r="S36" s="23">
        <v>12509088</v>
      </c>
      <c r="T36" s="23">
        <v>6292360</v>
      </c>
      <c r="U36" s="23">
        <v>2551792</v>
      </c>
      <c r="V36" s="23">
        <v>3664936</v>
      </c>
      <c r="W36" s="24">
        <v>74.944845312499993</v>
      </c>
      <c r="X36" s="24">
        <v>77.366623437499996</v>
      </c>
      <c r="Y36" s="24">
        <v>34.096942187499998</v>
      </c>
      <c r="Z36" s="24">
        <v>42.914271874999997</v>
      </c>
      <c r="AA36" s="24">
        <v>44.878378124999998</v>
      </c>
      <c r="AB36" s="25">
        <v>43655</v>
      </c>
      <c r="AC36" s="25">
        <v>0</v>
      </c>
      <c r="AD36" s="25">
        <v>469.666</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8.4475837499999997</v>
      </c>
      <c r="J37" s="12">
        <f t="shared" si="1"/>
        <v>5.4087681903980216E-2</v>
      </c>
      <c r="K37" s="12">
        <f t="shared" si="2"/>
        <v>3.3975547257864697E-2</v>
      </c>
      <c r="L37" s="12">
        <f t="shared" si="3"/>
        <v>2.6316893867343333E-2</v>
      </c>
      <c r="M37" s="12">
        <f t="shared" si="4"/>
        <v>2.0112134646115516E-2</v>
      </c>
      <c r="N37" s="54">
        <f t="shared" si="5"/>
        <v>11320336</v>
      </c>
      <c r="O37" s="12">
        <v>-12</v>
      </c>
      <c r="P37" s="13">
        <v>163075557</v>
      </c>
      <c r="Q37" s="13">
        <v>2548055.578125</v>
      </c>
      <c r="R37" s="13">
        <v>41994.140625</v>
      </c>
      <c r="S37" s="14">
        <v>18021512</v>
      </c>
      <c r="T37" s="14">
        <v>8768544</v>
      </c>
      <c r="U37" s="14">
        <v>2551792</v>
      </c>
      <c r="V37" s="14">
        <v>6701176</v>
      </c>
      <c r="W37" s="15">
        <v>76.243348437500003</v>
      </c>
      <c r="X37" s="15">
        <v>78.984892187499995</v>
      </c>
      <c r="Y37" s="15">
        <v>36.188376562499997</v>
      </c>
      <c r="Z37" s="15">
        <v>43.480804687499997</v>
      </c>
      <c r="AA37" s="15">
        <v>46.125068749999997</v>
      </c>
      <c r="AB37" s="16">
        <v>42722.9</v>
      </c>
      <c r="AC37" s="16">
        <v>0</v>
      </c>
      <c r="AD37" s="16">
        <v>445.18599999999998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13.78877625</v>
      </c>
      <c r="J38" s="21">
        <f t="shared" si="1"/>
        <v>8.8285948470786954E-2</v>
      </c>
      <c r="K38" s="21">
        <f t="shared" si="2"/>
        <v>4.6499810803536587E-2</v>
      </c>
      <c r="L38" s="21">
        <f t="shared" si="3"/>
        <v>3.884115741301522E-2</v>
      </c>
      <c r="M38" s="21">
        <f t="shared" si="4"/>
        <v>4.178613766725036E-2</v>
      </c>
      <c r="N38" s="18">
        <f t="shared" si="5"/>
        <v>15493304</v>
      </c>
      <c r="O38" s="21">
        <v>-12</v>
      </c>
      <c r="P38" s="22">
        <v>167304628</v>
      </c>
      <c r="Q38" s="22">
        <v>2614134.8125</v>
      </c>
      <c r="R38" s="22">
        <v>47006.4375</v>
      </c>
      <c r="S38" s="23">
        <v>29416056</v>
      </c>
      <c r="T38" s="23">
        <v>12941512</v>
      </c>
      <c r="U38" s="23">
        <v>2551792</v>
      </c>
      <c r="V38" s="23">
        <v>13922752</v>
      </c>
      <c r="W38" s="24">
        <v>77.419457812499999</v>
      </c>
      <c r="X38" s="24">
        <v>80.179710937500005</v>
      </c>
      <c r="Y38" s="24">
        <v>38.161626562499997</v>
      </c>
      <c r="Z38" s="24">
        <v>44.155389062499999</v>
      </c>
      <c r="AA38" s="24">
        <v>47.278684374999997</v>
      </c>
      <c r="AB38" s="25">
        <v>44540.9</v>
      </c>
      <c r="AC38" s="25">
        <v>0</v>
      </c>
      <c r="AD38" s="25">
        <v>461.40699999999998</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64</v>
      </c>
      <c r="G39" s="28">
        <v>30</v>
      </c>
      <c r="I39" s="29">
        <f t="shared" si="0"/>
        <v>27.482542500000001</v>
      </c>
      <c r="J39" s="30">
        <f t="shared" si="1"/>
        <v>0.17596357261952178</v>
      </c>
      <c r="K39" s="30">
        <f t="shared" si="2"/>
        <v>7.5636399311266464E-2</v>
      </c>
      <c r="L39" s="30">
        <f t="shared" si="3"/>
        <v>6.0025398849005651E-2</v>
      </c>
      <c r="M39" s="30">
        <f t="shared" si="4"/>
        <v>0.10032717330825532</v>
      </c>
      <c r="N39" s="27">
        <f t="shared" si="5"/>
        <v>25201344</v>
      </c>
      <c r="O39" s="30">
        <v>-12</v>
      </c>
      <c r="P39" s="31">
        <v>163695879</v>
      </c>
      <c r="Q39" s="31">
        <v>2557748.109375</v>
      </c>
      <c r="R39" s="31">
        <v>18545.546875</v>
      </c>
      <c r="S39" s="32">
        <v>58629424</v>
      </c>
      <c r="T39" s="32">
        <v>19999904</v>
      </c>
      <c r="U39" s="32">
        <v>5201440</v>
      </c>
      <c r="V39" s="32">
        <v>33428080</v>
      </c>
      <c r="W39" s="33">
        <v>78.291479687500001</v>
      </c>
      <c r="X39" s="33">
        <v>81.883870312499994</v>
      </c>
      <c r="Y39" s="33">
        <v>40.24405625</v>
      </c>
      <c r="Z39" s="33">
        <v>45.056265625000002</v>
      </c>
      <c r="AA39" s="33">
        <v>48.672990624999997</v>
      </c>
      <c r="AB39" s="34">
        <v>48192.5</v>
      </c>
      <c r="AC39" s="34">
        <v>0</v>
      </c>
      <c r="AD39" s="34">
        <v>474.13299999999998</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0.17714502153500233</v>
      </c>
      <c r="K40" s="48">
        <f>AVERAGE(K5:K24)</f>
        <v>9.7126942686866918E-2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0.37572623126137028</v>
      </c>
      <c r="K41" s="48">
        <f>AVERAGE(K25:K29)</f>
        <v>0.11094228479943687</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6.9692369749882938E-2</v>
      </c>
      <c r="K42" s="48">
        <f>AVERAGE(K30:K39)</f>
        <v>3.7403243394619916E-2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0.17481300812873513</v>
      </c>
      <c r="K43" s="48">
        <f>AVERAGE(K5:K39)</f>
        <v>8.2036648905163462E-2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1915063.9999999995</v>
      </c>
      <c r="AC44" s="49">
        <f>SUM(AC5:AC24,AC25:AC29,AC30:AC39)</f>
        <v>0</v>
      </c>
      <c r="AD44" s="49">
        <f>SUM(AD5:AD24,AD25:AD29,AD30:AD39)</f>
        <v>21600.973000000002</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53967.492335009854</v>
      </c>
      <c r="AC46" s="49" t="e">
        <f>GEOMEAN(AC5:AC24,AC25:AC29,AC30:AC39)</f>
        <v>#NUM!</v>
      </c>
      <c r="AD46" s="49">
        <f>GEOMEAN(AD5:AD24,AD25:AD29,AD30:AD39)</f>
        <v>606.88373383279372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2022-10-10T07:59:09Z</dcterms:modified>
</cp:coreProperties>
</file>