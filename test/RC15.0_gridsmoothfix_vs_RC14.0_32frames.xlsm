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1" defaultThemeVersion="124226"/>
  <bookViews>
    <workbookView xWindow="0" yWindow="460" windowWidth="28800" windowHeight="1632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state="hidden" r:id="rId5"/>
    <sheet name="CW losslG,losslA,interLD" sheetId="6" state="hidden" r:id="rId6"/>
    <sheet name="C2 lossyG,lossyA,interRA" sheetId="7" r:id="rId7"/>
  </sheets>
  <functionGroups builtInGroupCount="17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45621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S25" i="3"/>
  <c r="BP15" i="3"/>
  <c r="BR15" i="3"/>
  <c r="BQ20" i="3"/>
  <c r="BR25" i="3"/>
  <c r="BL20" i="3"/>
  <c r="BM15" i="3"/>
  <c r="BP20" i="3"/>
  <c r="BK15" i="3"/>
  <c r="BO10" i="3"/>
  <c r="BQ15" i="3"/>
  <c r="BR20" i="3"/>
  <c r="BL10" i="3"/>
  <c r="BM5" i="3"/>
  <c r="BK20" i="3"/>
  <c r="BR5" i="3"/>
  <c r="BP25" i="3"/>
  <c r="BK10" i="3"/>
  <c r="BK25" i="3"/>
  <c r="BQ10" i="3"/>
  <c r="BP5" i="3"/>
  <c r="BQ5" i="3"/>
  <c r="BO25" i="3"/>
  <c r="BL15" i="3"/>
  <c r="BL5" i="3"/>
  <c r="BM25" i="3"/>
  <c r="BM20" i="3"/>
  <c r="BO20" i="3"/>
  <c r="BO5" i="3"/>
  <c r="BO15" i="3"/>
  <c r="BS10" i="3"/>
  <c r="BM10" i="3"/>
  <c r="BS20" i="3"/>
  <c r="BP10" i="3"/>
  <c r="BJ15" i="3"/>
  <c r="BS15" i="3"/>
  <c r="BL25" i="3"/>
  <c r="BQ25" i="3"/>
  <c r="BS5" i="3"/>
  <c r="BK5" i="3"/>
  <c r="BR10" i="3"/>
  <c r="BO5" i="7"/>
  <c r="BS5" i="7"/>
  <c r="BP10" i="7"/>
  <c r="BL20" i="7"/>
  <c r="BR25" i="7"/>
  <c r="BS20" i="7"/>
  <c r="BQ5" i="7"/>
  <c r="BS15" i="7"/>
  <c r="BR20" i="7"/>
  <c r="BL5" i="7"/>
  <c r="BK10" i="7"/>
  <c r="BK20" i="7"/>
  <c r="BM25" i="7"/>
  <c r="BQ20" i="7"/>
  <c r="BM20" i="7"/>
  <c r="BR5" i="7"/>
  <c r="BO25" i="7"/>
  <c r="BQ25" i="7"/>
  <c r="BR15" i="7"/>
  <c r="BP15" i="7"/>
  <c r="BJ25" i="7"/>
  <c r="BO20" i="7"/>
  <c r="BS10" i="7"/>
  <c r="BL10" i="7"/>
  <c r="BL25" i="7"/>
  <c r="BK5" i="7"/>
  <c r="BO15" i="7"/>
  <c r="BP25" i="7"/>
  <c r="BM15" i="7"/>
  <c r="BS25" i="7"/>
  <c r="BK25" i="7"/>
  <c r="BO10" i="7"/>
  <c r="BL15" i="7"/>
  <c r="BP20" i="7"/>
  <c r="BQ10" i="7"/>
  <c r="BM5" i="7"/>
  <c r="BM10" i="7"/>
  <c r="BK15" i="7"/>
  <c r="BP5" i="7"/>
  <c r="BR10" i="7"/>
  <c r="BQ15" i="7"/>
  <c r="BC34" i="3" l="1"/>
  <c r="BF7" i="6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3"/>
  <c r="BI20" i="3"/>
  <c r="BJ25" i="3"/>
  <c r="BJ5" i="3"/>
  <c r="BI15" i="3"/>
  <c r="BI25" i="3"/>
  <c r="BI5" i="3"/>
  <c r="BJ10" i="3"/>
  <c r="BJ20" i="3"/>
  <c r="BI20" i="7"/>
  <c r="BJ5" i="7"/>
  <c r="BI10" i="7"/>
  <c r="BJ20" i="7"/>
  <c r="BJ10" i="7"/>
  <c r="BI15" i="7"/>
  <c r="BJ15" i="7"/>
  <c r="BI5" i="7"/>
  <c r="BI25" i="7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<sst xmlns="http://schemas.openxmlformats.org/spreadsheetml/2006/main" count="1411" uniqueCount="556">
  <si>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</si>
  <si>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</si>
  <si>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</si>
  <si>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</si>
  <si>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</si>
  <si>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</si>
  <si>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</si>
  <si>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</si>
  <si>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</si>
  <si>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</si>
  <si>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</si>
  <si>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</si>
  <si>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</si>
  <si>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</si>
  <si>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</si>
  <si>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</si>
  <si>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</si>
  <si>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</si>
  <si>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</si>
  <si>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</si>
  <si>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</si>
  <si>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</si>
  <si>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</si>
  <si>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</si>
  <si>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</si>
  <si>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</si>
  <si>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</si>
  <si>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</si>
  <si>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</si>
  <si>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</si>
  <si>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</si>
  <si>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</si>
  <si>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</si>
  <si>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</si>
  <si>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</si>
  <si>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</si>
  <si>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</si>
  <si>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</si>
  <si>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</si>
  <si>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</si>
  <si>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</si>
  <si>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</si>
  <si>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</si>
  <si>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</si>
  <si>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</si>
  <si>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</si>
  <si>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</si>
  <si>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</si>
  <si>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</si>
  <si>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</si>
  <si>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</si>
  <si>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</si>
  <si>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</si>
  <si>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</si>
  <si>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</si>
  <si>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</si>
  <si>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</si>
  <si>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</si>
  <si>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</si>
  <si>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</si>
  <si>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</si>
  <si>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</si>
  <si>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</si>
  <si>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</si>
  <si>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</si>
  <si>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</si>
  <si>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</si>
  <si>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</si>
  <si>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</si>
  <si>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</si>
  <si>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</si>
  <si>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</si>
  <si>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</si>
  <si>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</si>
  <si>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</si>
  <si>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</si>
  <si>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</si>
  <si>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</si>
  <si>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</si>
  <si>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</si>
  <si>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</si>
  <si>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</si>
  <si>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</si>
  <si>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</si>
  <si>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</si>
  <si>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</si>
  <si>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</si>
  <si>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</si>
  <si>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</si>
  <si>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</si>
  <si>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</si>
  <si>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</si>
  <si>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</si>
  <si>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</si>
  <si>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</si>
  <si>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</si>
  <si>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</si>
  <si>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</si>
  <si>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</si>
  <si>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</si>
  <si>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</si>
  <si>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</si>
  <si>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</si>
  <si>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</si>
  <si>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</si>
  <si>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</si>
  <si>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</si>
  <si>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</si>
  <si>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</si>
  <si>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</si>
  <si>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</si>
  <si>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</si>
  <si>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</si>
  <si>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</si>
  <si>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</si>
  <si>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</si>
  <si>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</si>
  <si>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</si>
  <si>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</si>
  <si>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</si>
  <si>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</si>
  <si>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</si>
  <si>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</si>
  <si>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</si>
  <si>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</si>
  <si>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</si>
  <si>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</si>
  <si>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</si>
  <si>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</si>
  <si>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</si>
  <si>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</si>
  <si>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</si>
  <si>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</si>
  <si>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</si>
  <si>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</si>
  <si>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</si>
  <si>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</si>
  <si>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</si>
  <si>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</si>
  <si>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</si>
  <si>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</si>
  <si>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</si>
  <si>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</si>
  <si>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</si>
  <si>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</si>
  <si>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</si>
  <si>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</si>
  <si>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</si>
  <si>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</si>
  <si>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</si>
  <si>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</si>
  <si>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</si>
  <si>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</si>
  <si>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</si>
  <si>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</si>
  <si>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</si>
  <si>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</si>
  <si>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</si>
  <si>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</si>
  <si>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</si>
  <si>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</si>
  <si>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</si>
  <si>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</si>
  <si>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</si>
  <si>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</si>
  <si>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</si>
  <si>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</si>
  <si>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</si>
  <si>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</si>
  <si>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</si>
  <si>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</si>
  <si>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</si>
  <si>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</si>
  <si>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</si>
  <si>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</si>
  <si>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</si>
  <si>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</si>
  <si>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</si>
  <si>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</si>
  <si>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</si>
  <si>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</si>
  <si>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</si>
  <si>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</si>
  <si>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</si>
  <si>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</si>
  <si>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</si>
  <si>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</si>
  <si>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</si>
  <si>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</si>
  <si>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</si>
  <si>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</si>
  <si>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</si>
  <si>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</si>
  <si>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</si>
  <si>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</si>
  <si>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</si>
  <si>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</si>
  <si>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</si>
  <si>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</si>
  <si>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</si>
  <si>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</si>
  <si>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</si>
  <si>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</si>
  <si>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</si>
  <si>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</si>
  <si>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</si>
  <si>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</si>
  <si>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</si>
  <si>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</si>
  <si>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</si>
  <si>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</si>
  <si>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</si>
  <si>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</si>
  <si>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</si>
  <si>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</si>
  <si>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</si>
  <si>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</si>
  <si>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</si>
  <si>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</si>
  <si>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</si>
  <si>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</si>
  <si>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</si>
  <si>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</si>
  <si>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</si>
  <si>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</si>
  <si>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</si>
  <si>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</si>
  <si>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</si>
  <si>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</si>
  <si>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</si>
  <si>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</si>
  <si>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</si>
  <si>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</si>
  <si>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</si>
  <si>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</si>
  <si>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</si>
  <si>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</si>
  <si>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</si>
  <si>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</si>
  <si>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</si>
  <si>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</si>
  <si>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</si>
  <si>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</si>
  <si>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</si>
  <si>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</si>
  <si>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</si>
  <si>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</si>
  <si>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</si>
  <si>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</si>
  <si>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</si>
  <si>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</si>
  <si>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</si>
  <si>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</si>
  <si>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</si>
  <si>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</si>
  <si>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</si>
  <si>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</si>
  <si>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</si>
  <si>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</si>
  <si>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</si>
  <si>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</si>
  <si>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</si>
  <si>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</si>
  <si>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</si>
  <si>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</si>
  <si>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</si>
  <si>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</si>
  <si>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</si>
  <si>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</si>
  <si>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</si>
  <si>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</si>
  <si>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</si>
  <si>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</si>
  <si>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</si>
  <si>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</si>
  <si>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</si>
  <si>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</si>
  <si>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</si>
  <si>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</si>
  <si>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</si>
  <si>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</si>
  <si>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</si>
  <si>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</si>
  <si>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</si>
  <si>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</si>
  <si>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</si>
  <si>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</si>
  <si>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</si>
  <si>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</si>
  <si>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</si>
  <si>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</si>
  <si>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</si>
  <si>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</si>
  <si>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</si>
  <si>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</si>
  <si>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</si>
  <si>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</si>
  <si>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</si>
  <si>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</si>
  <si>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</si>
  <si>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</si>
  <si>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</si>
  <si>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</si>
  <si>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</si>
  <si>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</si>
  <si>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</si>
  <si>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</si>
  <si>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</si>
  <si>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</si>
  <si>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</si>
  <si>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</si>
  <si>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</si>
  <si>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</si>
  <si>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</si>
  <si>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</si>
  <si>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</si>
  <si>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</si>
  <si>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</si>
  <si>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</si>
  <si>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</si>
  <si>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</si>
  <si>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</si>
  <si>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</si>
  <si>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</si>
  <si>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</si>
  <si>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</si>
  <si>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</si>
  <si>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</si>
  <si>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</si>
  <si>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</si>
  <si>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</si>
  <si>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</si>
  <si>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</si>
  <si>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</si>
  <si>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</si>
  <si>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</si>
  <si>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</si>
  <si>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</si>
  <si>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</si>
  <si>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</si>
  <si>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</si>
  <si>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</si>
  <si>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</si>
  <si>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</si>
  <si>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</si>
  <si>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</si>
  <si>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</si>
  <si>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</si>
  <si>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</si>
  <si>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</si>
  <si>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</si>
  <si>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</si>
  <si>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</si>
  <si>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</si>
  <si>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</si>
  <si>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</si>
  <si>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</si>
  <si>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</si>
  <si>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</si>
  <si>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</si>
  <si>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</si>
  <si>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</si>
  <si>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</si>
  <si>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</si>
  <si>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</si>
  <si>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</si>
  <si>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</si>
  <si>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</si>
  <si>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</si>
  <si>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</si>
  <si>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</si>
  <si>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</si>
  <si>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</si>
  <si>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</si>
  <si>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</si>
  <si>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</si>
  <si>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</si>
  <si>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</si>
  <si>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</si>
  <si>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</si>
  <si>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</si>
  <si>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</si>
  <si>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</si>
  <si>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</si>
  <si>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</si>
  <si>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</si>
  <si>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</si>
  <si>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</si>
  <si>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</si>
  <si>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</si>
  <si>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</si>
  <si>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</si>
  <si>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</si>
  <si>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</si>
  <si>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</si>
  <si>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</si>
  <si>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</si>
  <si>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</si>
  <si>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</si>
  <si>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</si>
  <si>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</si>
  <si>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</si>
  <si>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</si>
  <si>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</si>
  <si>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</si>
  <si>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</si>
  <si>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</si>
  <si>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</si>
  <si>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</si>
  <si>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</si>
  <si>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</si>
  <si>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</si>
  <si>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</si>
  <si>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</si>
  <si>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</si>
  <si>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</si>
  <si>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</si>
  <si>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</si>
  <si>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</si>
  <si>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</si>
  <si>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</si>
  <si>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</si>
  <si>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</si>
  <si>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</si>
  <si>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</si>
  <si>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</si>
  <si>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</si>
  <si>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</si>
  <si>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</si>
  <si>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</si>
  <si>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</si>
  <si>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</si>
  <si>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</si>
  <si>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</si>
  <si>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</si>
  <si>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</si>
  <si>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</si>
  <si>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</si>
  <si>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</si>
  <si>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</si>
  <si>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</si>
  <si>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</si>
  <si>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</si>
  <si>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</si>
  <si>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</si>
  <si>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</si>
  <si>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</si>
  <si>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</si>
  <si>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</si>
  <si>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</si>
  <si>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</si>
  <si>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</si>
  <si>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</si>
  <si>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</si>
  <si>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</si>
  <si>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</si>
  <si>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</si>
  <si>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</si>
  <si>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</si>
  <si>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</si>
  <si>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</si>
  <si>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</si>
  <si>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</si>
  <si>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</si>
  <si>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</si>
  <si>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</si>
  <si>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</si>
  <si>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</si>
  <si>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</si>
  <si>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</si>
  <si>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</si>
  <si>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</si>
  <si>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</si>
  <si>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</si>
  <si>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</si>
  <si>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</si>
  <si>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</si>
  <si>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</si>
  <si>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</si>
  <si>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</si>
  <si>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</si>
  <si>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</si>
  <si>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</si>
  <si>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</si>
  <si>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</si>
  <si>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</si>
  <si>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</si>
  <si>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</si>
  <si>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</si>
  <si>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</si>
  <si>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</si>
  <si>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</si>
  <si>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</si>
  <si>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</si>
  <si>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</si>
  <si>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</si>
  <si>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</si>
  <si>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</si>
  <si>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</si>
  <si>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</si>
  <si>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</si>
  <si>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</si>
  <si>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</si>
  <si>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</si>
  <si>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</si>
  <si>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</si>
  <si>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</si>
  <si>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</si>
  <si>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</si>
  <si>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</si>
  <si>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</si>
  <si>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</si>
  <si>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</si>
  <si>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</si>
  <si>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</si>
  <si>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</si>
  <si>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</si>
  <si>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</si>
  <si>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</si>
  <si>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</si>
  <si>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</si>
  <si>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</si>
  <si>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</si>
  <si>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</si>
  <si>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</si>
  <si>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</si>
  <si>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</si>
  <si>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</si>
  <si>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</si>
  <si>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</si>
  <si>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</si>
  <si>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</si>
  <si>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</si>
  <si>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</si>
  <si>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</si>
  <si>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</si>
  <si>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</si>
  <si>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</si>
  <si>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</si>
  <si>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</si>
  <si>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</si>
  <si>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</si>
  <si>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</si>
  <si>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</si>
  <si>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</si>
  <si>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</si>
  <si>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</si>
  <si>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</si>
  <si>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</si>
  <si>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</si>
  <si>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</si>
  <si>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tested (TMC2v5.0-RC6.0)</t>
  </si>
  <si>
    <t>reference (TMC2v5.0-RC5.0, lossy-missed-points-patch tool OFF)</t>
  </si>
  <si>
    <t>RC15.0</t>
    <phoneticPr fontId="3"/>
  </si>
  <si>
    <t>RC14.0Xcheck</t>
    <phoneticPr fontId="3"/>
  </si>
  <si>
    <t>w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</si>
</sst>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0.000"/>
    <numFmt numFmtId="178" formatCode="[&gt;1000]0;[&gt;100]0.0;0.00"/>
  </numFmts>
  <fonts count="4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11"/>
      <color rgb="FF000000"/>
      <name val="Menlo"/>
      <family val="2"/>
    </font>
    <font>
      <sz val="6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1" fontId="0" fillId="11" borderId="0" xfId="0" applyNumberFormat="1" applyFill="1"/>
    <xf numFmtId="11" fontId="0" fillId="9" borderId="0" xfId="0" applyNumberFormat="1" applyFill="1"/>
    <xf numFmtId="11" fontId="0" fillId="9" borderId="3" xfId="0" applyNumberFormat="1" applyFill="1" applyBorder="1"/>
  </cellXfs>
  <cellStyles count="1">
    <cellStyle name="標準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RC14.0Xcheck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5"/>
                <c:pt idx="0">
                  <c:v>66.315200000000004</c:v>
                </c:pt>
                <c:pt idx="1">
                  <c:v>68.236999999999995</c:v>
                </c:pt>
                <c:pt idx="2">
                  <c:v>69.661199999999994</c:v>
                </c:pt>
                <c:pt idx="3">
                  <c:v>70.739699999999999</c:v>
                </c:pt>
                <c:pt idx="4">
                  <c:v>72.147400000000005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RC15.0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9.6573268246896646E-2</c:v>
                </c:pt>
                <c:pt idx="1">
                  <c:v>0.14965666427966193</c:v>
                </c:pt>
                <c:pt idx="2">
                  <c:v>0.24443184781044291</c:v>
                </c:pt>
                <c:pt idx="3">
                  <c:v>0.42491744524720282</c:v>
                </c:pt>
                <c:pt idx="4">
                  <c:v>0.77274284949079974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68.236999999999995</c:v>
                </c:pt>
                <c:pt idx="2">
                  <c:v>69.661199999999994</c:v>
                </c:pt>
                <c:pt idx="3">
                  <c:v>70.739699999999999</c:v>
                </c:pt>
                <c:pt idx="4">
                  <c:v>72.0715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08384"/>
        <c:axId val="185857152"/>
      </c:scatterChart>
      <c:valAx>
        <c:axId val="167808384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185857152"/>
        <c:crosses val="autoZero"/>
        <c:crossBetween val="midCat"/>
      </c:valAx>
      <c:valAx>
        <c:axId val="18585715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1678083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RC14.0Xcheck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5"/>
                <c:pt idx="0">
                  <c:v>68.412700000000001</c:v>
                </c:pt>
                <c:pt idx="1">
                  <c:v>70.346699999999998</c:v>
                </c:pt>
                <c:pt idx="2">
                  <c:v>72.0304</c:v>
                </c:pt>
                <c:pt idx="3">
                  <c:v>73.278400000000005</c:v>
                </c:pt>
                <c:pt idx="4">
                  <c:v>75.316299999999998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RC15.0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9.6573268246896646E-2</c:v>
                </c:pt>
                <c:pt idx="1">
                  <c:v>0.14965666427966193</c:v>
                </c:pt>
                <c:pt idx="2">
                  <c:v>0.24443184781044291</c:v>
                </c:pt>
                <c:pt idx="3">
                  <c:v>0.42491744524720282</c:v>
                </c:pt>
                <c:pt idx="4">
                  <c:v>0.77274284949079974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68.412700000000001</c:v>
                </c:pt>
                <c:pt idx="1">
                  <c:v>70.346699999999998</c:v>
                </c:pt>
                <c:pt idx="2">
                  <c:v>72.0304</c:v>
                </c:pt>
                <c:pt idx="3">
                  <c:v>73.278400000000005</c:v>
                </c:pt>
                <c:pt idx="4">
                  <c:v>75.303899999999999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37312"/>
        <c:axId val="253839616"/>
      </c:scatterChart>
      <c:valAx>
        <c:axId val="253837312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253839616"/>
        <c:crosses val="autoZero"/>
        <c:crossBetween val="midCat"/>
      </c:valAx>
      <c:valAx>
        <c:axId val="253839616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2538373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RC14.0Xcheck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5"/>
                <c:pt idx="0">
                  <c:v>32.179000000000002</c:v>
                </c:pt>
                <c:pt idx="1">
                  <c:v>34.471600000000002</c:v>
                </c:pt>
                <c:pt idx="2">
                  <c:v>37.006399999999999</c:v>
                </c:pt>
                <c:pt idx="3">
                  <c:v>39.627499999999998</c:v>
                </c:pt>
                <c:pt idx="4">
                  <c:v>42.0672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RC15.0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9.6573268246896646E-2</c:v>
                </c:pt>
                <c:pt idx="1">
                  <c:v>0.14965666427966193</c:v>
                </c:pt>
                <c:pt idx="2">
                  <c:v>0.24443184781044291</c:v>
                </c:pt>
                <c:pt idx="3">
                  <c:v>0.42491744524720282</c:v>
                </c:pt>
                <c:pt idx="4">
                  <c:v>0.77274284949079974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32.179000000000002</c:v>
                </c:pt>
                <c:pt idx="1">
                  <c:v>34.471600000000002</c:v>
                </c:pt>
                <c:pt idx="2">
                  <c:v>37.006399999999999</c:v>
                </c:pt>
                <c:pt idx="3">
                  <c:v>39.627499999999998</c:v>
                </c:pt>
                <c:pt idx="4">
                  <c:v>42.046399999999998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96320"/>
        <c:axId val="167339520"/>
      </c:scatterChart>
      <c:valAx>
        <c:axId val="275496320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167339520"/>
        <c:crosses val="autoZero"/>
        <c:crossBetween val="midCat"/>
      </c:valAx>
      <c:valAx>
        <c:axId val="167339520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2754963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RC14.0Xcheck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5"/>
                <c:pt idx="0">
                  <c:v>44.135399999999997</c:v>
                </c:pt>
                <c:pt idx="1">
                  <c:v>45.462899999999998</c:v>
                </c:pt>
                <c:pt idx="2">
                  <c:v>46.569600000000001</c:v>
                </c:pt>
                <c:pt idx="3">
                  <c:v>47.914700000000003</c:v>
                </c:pt>
                <c:pt idx="4">
                  <c:v>49.445300000000003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RC15.0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9.6573268246896646E-2</c:v>
                </c:pt>
                <c:pt idx="1">
                  <c:v>0.14965666427966193</c:v>
                </c:pt>
                <c:pt idx="2">
                  <c:v>0.24443184781044291</c:v>
                </c:pt>
                <c:pt idx="3">
                  <c:v>0.42491744524720282</c:v>
                </c:pt>
                <c:pt idx="4">
                  <c:v>0.77274284949079974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44.135399999999997</c:v>
                </c:pt>
                <c:pt idx="1">
                  <c:v>45.462899999999998</c:v>
                </c:pt>
                <c:pt idx="2">
                  <c:v>46.569600000000001</c:v>
                </c:pt>
                <c:pt idx="3">
                  <c:v>47.914700000000003</c:v>
                </c:pt>
                <c:pt idx="4">
                  <c:v>49.444499999999998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61920"/>
        <c:axId val="167364096"/>
      </c:scatterChart>
      <c:valAx>
        <c:axId val="167361920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167364096"/>
        <c:crosses val="autoZero"/>
        <c:crossBetween val="midCat"/>
      </c:valAx>
      <c:valAx>
        <c:axId val="167364096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1673619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RC14.0Xcheck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5"/>
                <c:pt idx="0">
                  <c:v>43.688600000000001</c:v>
                </c:pt>
                <c:pt idx="1">
                  <c:v>45.183900000000001</c:v>
                </c:pt>
                <c:pt idx="2">
                  <c:v>46.451900000000002</c:v>
                </c:pt>
                <c:pt idx="3">
                  <c:v>47.954300000000003</c:v>
                </c:pt>
                <c:pt idx="4">
                  <c:v>49.630699999999997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RC15.0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9.6573268246896646E-2</c:v>
                </c:pt>
                <c:pt idx="1">
                  <c:v>0.14965666427966193</c:v>
                </c:pt>
                <c:pt idx="2">
                  <c:v>0.24443184781044291</c:v>
                </c:pt>
                <c:pt idx="3">
                  <c:v>0.42491744524720282</c:v>
                </c:pt>
                <c:pt idx="4">
                  <c:v>0.77274284949079974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43.688600000000001</c:v>
                </c:pt>
                <c:pt idx="1">
                  <c:v>45.183900000000001</c:v>
                </c:pt>
                <c:pt idx="2">
                  <c:v>46.451900000000002</c:v>
                </c:pt>
                <c:pt idx="3">
                  <c:v>47.954300000000003</c:v>
                </c:pt>
                <c:pt idx="4">
                  <c:v>49.6038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2672"/>
        <c:axId val="167374848"/>
      </c:scatterChart>
      <c:valAx>
        <c:axId val="167372672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167374848"/>
        <c:crosses val="autoZero"/>
        <c:crossBetween val="midCat"/>
      </c:valAx>
      <c:valAx>
        <c:axId val="167374848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1673726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RC14.0Xcheck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RC15.0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9.6573268246896646E-2</c:v>
                </c:pt>
                <c:pt idx="1">
                  <c:v>0.14965666427966193</c:v>
                </c:pt>
                <c:pt idx="2">
                  <c:v>0.24443184781044291</c:v>
                </c:pt>
                <c:pt idx="3">
                  <c:v>0.42491744524720282</c:v>
                </c:pt>
                <c:pt idx="4">
                  <c:v>0.77274284949079974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20128"/>
        <c:axId val="167530496"/>
      </c:scatterChart>
      <c:valAx>
        <c:axId val="167520128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167530496"/>
        <c:crosses val="autoZero"/>
        <c:crossBetween val="midCat"/>
      </c:valAx>
      <c:valAx>
        <c:axId val="167530496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167520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ColWidth="8.81640625" defaultRowHeight="13"/>
  <cols>
    <col min="2" max="2" width="16.6328125" customWidth="1"/>
    <col min="3" max="12" width="24.6328125" customWidth="1"/>
  </cols>
  <sheetData>
    <row r="1" spans="2:12">
      <c r="B1" t="s">
        <v>0</v>
      </c>
      <c r="C1" s="65" t="s">
        <v>2</v>
      </c>
      <c r="D1" s="65"/>
      <c r="E1" s="65"/>
    </row>
    <row r="2" spans="2:12">
      <c r="B2" t="s">
        <v>1</v>
      </c>
      <c r="C2" s="66" t="s">
        <v>3</v>
      </c>
      <c r="D2" s="66"/>
      <c r="E2" s="66"/>
    </row>
    <row r="4" spans="2:12" s="1" customFormat="1">
      <c r="B4" s="1" t="s">
        <v>296</v>
      </c>
    </row>
    <row r="6" spans="2:12">
      <c r="B6" s="61" t="s">
        <v>297</v>
      </c>
      <c r="C6" s="62" t="s">
        <v>298</v>
      </c>
      <c r="D6" s="62"/>
      <c r="E6" s="62"/>
      <c r="F6" s="62"/>
      <c r="G6" s="62"/>
      <c r="H6" s="62"/>
      <c r="I6" s="62"/>
      <c r="J6" s="62"/>
      <c r="K6" s="62"/>
      <c r="L6" s="62"/>
    </row>
    <row r="7" spans="2:12">
      <c r="B7" s="61"/>
      <c r="C7" s="63" t="s">
        <v>237</v>
      </c>
      <c r="D7" s="63"/>
      <c r="E7" s="64" t="s">
        <v>242</v>
      </c>
      <c r="F7" s="64"/>
      <c r="G7" s="64"/>
      <c r="H7" s="63" t="s">
        <v>249</v>
      </c>
      <c r="I7" s="63"/>
      <c r="J7" s="64" t="s">
        <v>254</v>
      </c>
      <c r="K7" s="64"/>
      <c r="L7" s="64"/>
    </row>
    <row r="8" spans="2:12">
      <c r="B8" s="61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>
      <c r="B9" s="4" t="s">
        <v>288</v>
      </c>
      <c r="C9" s="5">
        <f>'C2 lossyG,lossyA,intra'!$BI$30:$BI$30</f>
        <v>6.1151716617063312E-3</v>
      </c>
      <c r="D9" s="5">
        <f>'C2 lossyG,lossyA,intra'!$BJ$30:$BJ$30</f>
        <v>2.9200054860797353E-3</v>
      </c>
      <c r="E9" s="5">
        <f>'C2 lossyG,lossyA,intra'!$BK$30:$BK$30</f>
        <v>2.9029077497540468E-3</v>
      </c>
      <c r="F9" s="5">
        <f>'C2 lossyG,lossyA,intra'!$BL$30:$BL$30</f>
        <v>3.4059210554555075E-3</v>
      </c>
      <c r="G9" s="5">
        <f>'C2 lossyG,lossyA,intra'!$BM$30:$BM$30</f>
        <v>3.6266091484860596E-3</v>
      </c>
      <c r="H9" s="5">
        <f>'C2 lossyG,lossyA,intra'!$BO$30:$BO$30</f>
        <v>6.3162481715031138E-3</v>
      </c>
      <c r="I9" s="5">
        <f>'C2 lossyG,lossyA,intra'!$BP$30:$BP$30</f>
        <v>3.4300953574371573E-3</v>
      </c>
      <c r="J9" s="5">
        <f>'C2 lossyG,lossyA,intra'!$BQ$30:$BQ$30</f>
        <v>2.8239653150760047E-3</v>
      </c>
      <c r="K9" s="5">
        <f>'C2 lossyG,lossyA,intra'!$BR$30:$BR$30</f>
        <v>3.2980126877307225E-3</v>
      </c>
      <c r="L9" s="5">
        <f>'C2 lossyG,lossyA,intra'!$BS$30:$BS$30</f>
        <v>3.6190555636594346E-3</v>
      </c>
    </row>
    <row r="10" spans="2:12">
      <c r="B10" s="4" t="s">
        <v>289</v>
      </c>
      <c r="C10" s="5">
        <f>'C2 lossyG,lossyA,intra'!$BI$31:$BI$31</f>
        <v>6.7688081471439787E-3</v>
      </c>
      <c r="D10" s="5">
        <f>'C2 lossyG,lossyA,intra'!$BJ$31:$BJ$31</f>
        <v>4.7690362488610472E-3</v>
      </c>
      <c r="E10" s="5">
        <f>'C2 lossyG,lossyA,intra'!$BK$31:$BK$31</f>
        <v>7.5995797136263477E-4</v>
      </c>
      <c r="F10" s="5">
        <f>'C2 lossyG,lossyA,intra'!$BL$31:$BL$31</f>
        <v>1.6687594540705231E-3</v>
      </c>
      <c r="G10" s="5">
        <f>'C2 lossyG,lossyA,intra'!$BM$31:$BM$31</f>
        <v>2.5805599048041028E-3</v>
      </c>
      <c r="H10" s="5">
        <f>'C2 lossyG,lossyA,intra'!$BO$31:$BO$31</f>
        <v>6.0630955903202555E-3</v>
      </c>
      <c r="I10" s="5">
        <f>'C2 lossyG,lossyA,intra'!$BP$31:$BP$31</f>
        <v>3.9928699971134574E-3</v>
      </c>
      <c r="J10" s="5">
        <f>'C2 lossyG,lossyA,intra'!$BQ$31:$BQ$31</f>
        <v>7.7374324809653672E-4</v>
      </c>
      <c r="K10" s="5">
        <f>'C2 lossyG,lossyA,intra'!$BR$31:$BR$31</f>
        <v>1.5953590779500537E-3</v>
      </c>
      <c r="L10" s="5">
        <f>'C2 lossyG,lossyA,intra'!$BS$31:$BS$31</f>
        <v>2.4125664757004284E-3</v>
      </c>
    </row>
    <row r="11" spans="2:12">
      <c r="B11" s="6" t="s">
        <v>290</v>
      </c>
      <c r="C11" s="7">
        <f>'C2 lossyG,lossyA,intra'!$BI$32:$BI$32</f>
        <v>6.2458989587938609E-3</v>
      </c>
      <c r="D11" s="7">
        <f>'C2 lossyG,lossyA,intra'!$BJ$32:$BJ$32</f>
        <v>3.2898116386359975E-3</v>
      </c>
      <c r="E11" s="7">
        <f>'C2 lossyG,lossyA,intra'!$BK$32:$BK$32</f>
        <v>2.4743177940757645E-3</v>
      </c>
      <c r="F11" s="7">
        <f>'C2 lossyG,lossyA,intra'!$BL$32:$BL$32</f>
        <v>3.0584887351785108E-3</v>
      </c>
      <c r="G11" s="7">
        <f>'C2 lossyG,lossyA,intra'!$BM$32:$BM$32</f>
        <v>3.4173992997496684E-3</v>
      </c>
      <c r="H11" s="7">
        <f>'C2 lossyG,lossyA,intra'!$BO$32:$BO$32</f>
        <v>6.2656176552665418E-3</v>
      </c>
      <c r="I11" s="7">
        <f>'C2 lossyG,lossyA,intra'!$BP$32:$BP$32</f>
        <v>3.5426502853724172E-3</v>
      </c>
      <c r="J11" s="7">
        <f>'C2 lossyG,lossyA,intra'!$BQ$32:$BQ$32</f>
        <v>2.4139209016801112E-3</v>
      </c>
      <c r="K11" s="7">
        <f>'C2 lossyG,lossyA,intra'!$BR$32:$BR$32</f>
        <v>2.9574819657745889E-3</v>
      </c>
      <c r="L11" s="7">
        <f>'C2 lossyG,lossyA,intra'!$BS$32:$BS$32</f>
        <v>3.3777577460676333E-3</v>
      </c>
    </row>
    <row r="12" spans="2:12">
      <c r="B12" t="s">
        <v>299</v>
      </c>
      <c r="C12" s="59">
        <f>'C2 lossyG,lossyA,intra'!AZ36</f>
        <v>0.9862539680384963</v>
      </c>
      <c r="D12" s="59"/>
      <c r="E12" s="59"/>
      <c r="F12" s="59"/>
      <c r="G12" s="59"/>
      <c r="H12" s="59"/>
      <c r="I12" s="59"/>
      <c r="J12" s="59"/>
      <c r="K12" s="59"/>
      <c r="L12" s="59"/>
    </row>
    <row r="13" spans="2:12">
      <c r="B13" s="9" t="s">
        <v>300</v>
      </c>
      <c r="C13" s="60">
        <f>'C2 lossyG,lossyA,intra'!BB36</f>
        <v>0.96016899272435441</v>
      </c>
      <c r="D13" s="60"/>
      <c r="E13" s="60"/>
      <c r="F13" s="60"/>
      <c r="G13" s="60"/>
      <c r="H13" s="60"/>
      <c r="I13" s="60"/>
      <c r="J13" s="60"/>
      <c r="K13" s="60"/>
      <c r="L13" s="60"/>
    </row>
    <row r="15" spans="2:12">
      <c r="B15" s="61" t="s">
        <v>381</v>
      </c>
      <c r="C15" s="62" t="s">
        <v>382</v>
      </c>
      <c r="D15" s="62"/>
      <c r="E15" s="62"/>
    </row>
    <row r="16" spans="2:12">
      <c r="B16" s="61"/>
      <c r="C16" s="63" t="s">
        <v>357</v>
      </c>
      <c r="D16" s="63"/>
      <c r="E16" s="63"/>
    </row>
    <row r="17" spans="2:5">
      <c r="B17" s="61"/>
      <c r="C17" s="2" t="s">
        <v>124</v>
      </c>
      <c r="D17" s="2" t="s">
        <v>118</v>
      </c>
      <c r="E17" s="2" t="s">
        <v>150</v>
      </c>
    </row>
    <row r="18" spans="2:5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>
      <c r="B21" t="s">
        <v>299</v>
      </c>
      <c r="C21" s="59">
        <f>'CW losslG,losslA,intra'!AW16</f>
        <v>1.2520438438889336</v>
      </c>
      <c r="D21" s="59"/>
      <c r="E21" s="59"/>
    </row>
    <row r="22" spans="2:5">
      <c r="B22" s="9" t="s">
        <v>300</v>
      </c>
      <c r="C22" s="60">
        <f>'CW losslG,losslA,intra'!AY16</f>
        <v>1.0203816590679531</v>
      </c>
      <c r="D22" s="60"/>
      <c r="E22" s="60"/>
    </row>
    <row r="24" spans="2:5" s="1" customFormat="1">
      <c r="B24" s="1" t="s">
        <v>456</v>
      </c>
    </row>
    <row r="26" spans="2:5">
      <c r="B26" s="61" t="s">
        <v>457</v>
      </c>
      <c r="C26" s="62" t="s">
        <v>458</v>
      </c>
      <c r="D26" s="62"/>
      <c r="E26" s="62"/>
    </row>
    <row r="27" spans="2:5">
      <c r="B27" s="61"/>
      <c r="C27" s="63" t="s">
        <v>357</v>
      </c>
      <c r="D27" s="63"/>
      <c r="E27" s="63"/>
    </row>
    <row r="28" spans="2:5">
      <c r="B28" s="61"/>
      <c r="C28" s="2" t="s">
        <v>118</v>
      </c>
      <c r="D28" s="2" t="s">
        <v>124</v>
      </c>
      <c r="E28" s="2" t="s">
        <v>150</v>
      </c>
    </row>
    <row r="29" spans="2:5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>
      <c r="B32" t="s">
        <v>299</v>
      </c>
      <c r="C32" s="59">
        <f>'CW losslG,losslA,interLD'!AW16</f>
        <v>1.3973042577887946</v>
      </c>
      <c r="D32" s="59"/>
      <c r="E32" s="59"/>
    </row>
    <row r="33" spans="2:12">
      <c r="B33" s="9" t="s">
        <v>300</v>
      </c>
      <c r="C33" s="60">
        <f>'CW losslG,losslA,interLD'!AY16</f>
        <v>1.6139076615127825</v>
      </c>
      <c r="D33" s="60"/>
      <c r="E33" s="60"/>
    </row>
    <row r="35" spans="2:12" s="1" customFormat="1">
      <c r="B35" s="1" t="s">
        <v>543</v>
      </c>
    </row>
    <row r="37" spans="2:12">
      <c r="B37" s="61" t="s">
        <v>544</v>
      </c>
      <c r="C37" s="62" t="s">
        <v>545</v>
      </c>
      <c r="D37" s="62"/>
      <c r="E37" s="62"/>
      <c r="F37" s="62"/>
      <c r="G37" s="62"/>
      <c r="H37" s="62"/>
      <c r="I37" s="62"/>
      <c r="J37" s="62"/>
      <c r="K37" s="62"/>
      <c r="L37" s="62"/>
    </row>
    <row r="38" spans="2:12">
      <c r="B38" s="61"/>
      <c r="C38" s="63" t="s">
        <v>237</v>
      </c>
      <c r="D38" s="63"/>
      <c r="E38" s="64" t="s">
        <v>242</v>
      </c>
      <c r="F38" s="64"/>
      <c r="G38" s="64"/>
      <c r="H38" s="63" t="s">
        <v>249</v>
      </c>
      <c r="I38" s="63"/>
      <c r="J38" s="64" t="s">
        <v>254</v>
      </c>
      <c r="K38" s="64"/>
      <c r="L38" s="64"/>
    </row>
    <row r="39" spans="2:12">
      <c r="B39" s="61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>
      <c r="B40" s="4" t="s">
        <v>288</v>
      </c>
      <c r="C40" s="5">
        <f>'C2 lossyG,lossyA,interRA'!$BI$30:$BI$30</f>
        <v>6.5987546753100701E-3</v>
      </c>
      <c r="D40" s="5">
        <f>'C2 lossyG,lossyA,interRA'!$BJ$30:$BJ$30</f>
        <v>3.0245722702447186E-3</v>
      </c>
      <c r="E40" s="5">
        <f>'C2 lossyG,lossyA,interRA'!$BK$30:$BK$30</f>
        <v>6.1362038370586514E-3</v>
      </c>
      <c r="F40" s="5">
        <f>'C2 lossyG,lossyA,interRA'!$BL$30:$BL$30</f>
        <v>6.8506915727420958E-3</v>
      </c>
      <c r="G40" s="5">
        <f>'C2 lossyG,lossyA,interRA'!$BM$30:$BM$30</f>
        <v>7.4407478602241395E-3</v>
      </c>
      <c r="H40" s="5">
        <f>'C2 lossyG,lossyA,interRA'!$BO$30:$BO$30</f>
        <v>9.6994617344171585E-3</v>
      </c>
      <c r="I40" s="5">
        <f>'C2 lossyG,lossyA,interRA'!$BP$30:$BP$30</f>
        <v>5.8031925009136565E-3</v>
      </c>
      <c r="J40" s="5">
        <f>'C2 lossyG,lossyA,interRA'!$BQ$30:$BQ$30</f>
        <v>4.8741740985132065E-3</v>
      </c>
      <c r="K40" s="5">
        <f>'C2 lossyG,lossyA,interRA'!$BR$30:$BR$30</f>
        <v>5.5465111521200705E-3</v>
      </c>
      <c r="L40" s="5">
        <f>'C2 lossyG,lossyA,interRA'!$BS$30:$BS$30</f>
        <v>6.0622607530752548E-3</v>
      </c>
    </row>
    <row r="41" spans="2:12">
      <c r="B41" s="4" t="s">
        <v>289</v>
      </c>
      <c r="C41" s="5">
        <f>'C2 lossyG,lossyA,interRA'!$BI$31:$BI$31</f>
        <v>7.0638586609865772E-3</v>
      </c>
      <c r="D41" s="5">
        <f>'C2 lossyG,lossyA,interRA'!$BJ$31:$BJ$31</f>
        <v>4.803852506363171E-3</v>
      </c>
      <c r="E41" s="5">
        <f>'C2 lossyG,lossyA,interRA'!$BK$31:$BK$31</f>
        <v>1.6037291577448709E-3</v>
      </c>
      <c r="F41" s="5">
        <f>'C2 lossyG,lossyA,interRA'!$BL$31:$BL$31</f>
        <v>1.0837230619999971E-3</v>
      </c>
      <c r="G41" s="5">
        <f>'C2 lossyG,lossyA,interRA'!$BM$31:$BM$31</f>
        <v>1.8265989676042871E-3</v>
      </c>
      <c r="H41" s="5">
        <f>'C2 lossyG,lossyA,interRA'!$BO$31:$BO$31</f>
        <v>1.0774983263371674E-2</v>
      </c>
      <c r="I41" s="5">
        <f>'C2 lossyG,lossyA,interRA'!$BP$31:$BP$31</f>
        <v>7.2298080571306933E-3</v>
      </c>
      <c r="J41" s="5">
        <f>'C2 lossyG,lossyA,interRA'!$BQ$31:$BQ$31</f>
        <v>1.3947295364318268E-3</v>
      </c>
      <c r="K41" s="5">
        <f>'C2 lossyG,lossyA,interRA'!$BR$31:$BR$31</f>
        <v>9.976029994864799E-4</v>
      </c>
      <c r="L41" s="5">
        <f>'C2 lossyG,lossyA,interRA'!$BS$31:$BS$31</f>
        <v>1.8088144497523384E-3</v>
      </c>
    </row>
    <row r="42" spans="2:12">
      <c r="B42" s="6" t="s">
        <v>290</v>
      </c>
      <c r="C42" s="7">
        <f>'C2 lossyG,lossyA,interRA'!$BI$32:$BI$32</f>
        <v>6.6917754724453715E-3</v>
      </c>
      <c r="D42" s="7">
        <f>'C2 lossyG,lossyA,interRA'!$BJ$32:$BJ$32</f>
        <v>3.3804283174684092E-3</v>
      </c>
      <c r="E42" s="7">
        <f>'C2 lossyG,lossyA,interRA'!$BK$32:$BK$32</f>
        <v>5.2297089011958953E-3</v>
      </c>
      <c r="F42" s="7">
        <f>'C2 lossyG,lossyA,interRA'!$BL$32:$BL$32</f>
        <v>5.6972978705936757E-3</v>
      </c>
      <c r="G42" s="7">
        <f>'C2 lossyG,lossyA,interRA'!$BM$32:$BM$32</f>
        <v>6.3179180817001688E-3</v>
      </c>
      <c r="H42" s="7">
        <f>'C2 lossyG,lossyA,interRA'!$BO$32:$BO$32</f>
        <v>9.9145660402080622E-3</v>
      </c>
      <c r="I42" s="7">
        <f>'C2 lossyG,lossyA,interRA'!$BP$32:$BP$32</f>
        <v>6.0885156121570638E-3</v>
      </c>
      <c r="J42" s="7">
        <f>'C2 lossyG,lossyA,interRA'!$BQ$32:$BQ$32</f>
        <v>4.1782851860969307E-3</v>
      </c>
      <c r="K42" s="7">
        <f>'C2 lossyG,lossyA,interRA'!$BR$32:$BR$32</f>
        <v>4.6367295215933527E-3</v>
      </c>
      <c r="L42" s="7">
        <f>'C2 lossyG,lossyA,interRA'!$BS$32:$BS$32</f>
        <v>5.2115714924106712E-3</v>
      </c>
    </row>
    <row r="43" spans="2:12">
      <c r="B43" t="s">
        <v>299</v>
      </c>
      <c r="C43" s="59">
        <f>'C2 lossyG,lossyA,interRA'!AZ36</f>
        <v>0.99246761957992047</v>
      </c>
      <c r="D43" s="59"/>
      <c r="E43" s="59"/>
      <c r="F43" s="59"/>
      <c r="G43" s="59"/>
      <c r="H43" s="59"/>
      <c r="I43" s="59"/>
      <c r="J43" s="59"/>
      <c r="K43" s="59"/>
      <c r="L43" s="59"/>
    </row>
    <row r="44" spans="2:12">
      <c r="B44" s="9" t="s">
        <v>300</v>
      </c>
      <c r="C44" s="60">
        <f>'C2 lossyG,lossyA,interRA'!BB36</f>
        <v>0.95228835180738658</v>
      </c>
      <c r="D44" s="60"/>
      <c r="E44" s="60"/>
      <c r="F44" s="60"/>
      <c r="G44" s="60"/>
      <c r="H44" s="60"/>
      <c r="I44" s="60"/>
      <c r="J44" s="60"/>
      <c r="K44" s="60"/>
      <c r="L44" s="60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phoneticPr fontId="3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81640625" defaultRowHeight="13"/>
  <cols>
    <col min="1" max="1" width="12.6328125" customWidth="1"/>
    <col min="2" max="2" width="24.6328125" customWidth="1"/>
    <col min="4" max="4" width="24.6328125" customWidth="1"/>
    <col min="9" max="9" width="16.6328125" customWidth="1"/>
  </cols>
  <sheetData>
    <row r="1" spans="1:16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>
      <c r="I10" t="s">
        <v>21</v>
      </c>
      <c r="J10" t="s">
        <v>22</v>
      </c>
    </row>
    <row r="11" spans="1:16">
      <c r="I11" t="s">
        <v>23</v>
      </c>
      <c r="J11" t="s">
        <v>24</v>
      </c>
    </row>
    <row r="12" spans="1:16">
      <c r="I12" t="s">
        <v>25</v>
      </c>
      <c r="J12" t="s">
        <v>26</v>
      </c>
    </row>
    <row r="13" spans="1:16">
      <c r="I13" t="s">
        <v>27</v>
      </c>
      <c r="J13" t="s">
        <v>28</v>
      </c>
    </row>
    <row r="14" spans="1:16">
      <c r="I14" t="s">
        <v>29</v>
      </c>
      <c r="J14" t="s">
        <v>30</v>
      </c>
    </row>
    <row r="15" spans="1:16">
      <c r="I15" t="s">
        <v>31</v>
      </c>
      <c r="J15" t="s">
        <v>32</v>
      </c>
    </row>
    <row r="16" spans="1:16">
      <c r="I16" t="s">
        <v>33</v>
      </c>
      <c r="J16" t="s">
        <v>34</v>
      </c>
    </row>
    <row r="17" spans="9:10">
      <c r="I17" t="s">
        <v>35</v>
      </c>
      <c r="J17" t="s">
        <v>36</v>
      </c>
    </row>
    <row r="18" spans="9:10">
      <c r="I18" t="s">
        <v>37</v>
      </c>
      <c r="J18" t="s">
        <v>38</v>
      </c>
    </row>
    <row r="19" spans="9:10">
      <c r="I19" t="s">
        <v>39</v>
      </c>
      <c r="J19" t="s">
        <v>40</v>
      </c>
    </row>
    <row r="20" spans="9:10">
      <c r="I20" t="s">
        <v>41</v>
      </c>
      <c r="J20" t="s">
        <v>42</v>
      </c>
    </row>
    <row r="21" spans="9:10">
      <c r="I21" t="s">
        <v>43</v>
      </c>
      <c r="J21" t="s">
        <v>44</v>
      </c>
    </row>
    <row r="22" spans="9:10">
      <c r="I22" t="s">
        <v>45</v>
      </c>
      <c r="J22" t="s">
        <v>46</v>
      </c>
    </row>
    <row r="23" spans="9:10">
      <c r="I23" t="s">
        <v>47</v>
      </c>
      <c r="J23" t="s">
        <v>48</v>
      </c>
    </row>
    <row r="24" spans="9:10">
      <c r="I24" t="s">
        <v>49</v>
      </c>
      <c r="J24" t="s">
        <v>50</v>
      </c>
    </row>
    <row r="25" spans="9:10">
      <c r="I25" t="s">
        <v>51</v>
      </c>
      <c r="J25" t="s">
        <v>52</v>
      </c>
    </row>
    <row r="26" spans="9:10">
      <c r="I26" t="s">
        <v>53</v>
      </c>
      <c r="J26" t="s">
        <v>54</v>
      </c>
    </row>
    <row r="27" spans="9:10">
      <c r="I27" t="s">
        <v>55</v>
      </c>
      <c r="J27" t="s">
        <v>56</v>
      </c>
    </row>
    <row r="28" spans="9:10">
      <c r="I28" t="s">
        <v>57</v>
      </c>
      <c r="J28" t="s">
        <v>58</v>
      </c>
    </row>
    <row r="29" spans="9:10">
      <c r="I29" t="s">
        <v>59</v>
      </c>
      <c r="J29" t="s">
        <v>60</v>
      </c>
    </row>
    <row r="30" spans="9:10">
      <c r="I30" t="s">
        <v>61</v>
      </c>
      <c r="J30" t="s">
        <v>62</v>
      </c>
    </row>
    <row r="31" spans="9:10">
      <c r="I31" t="s">
        <v>63</v>
      </c>
      <c r="J31" t="s">
        <v>64</v>
      </c>
    </row>
    <row r="32" spans="9:10">
      <c r="I32" t="s">
        <v>65</v>
      </c>
      <c r="J32" t="s">
        <v>66</v>
      </c>
    </row>
    <row r="33" spans="9:10">
      <c r="I33" t="s">
        <v>67</v>
      </c>
      <c r="J33" t="s">
        <v>68</v>
      </c>
    </row>
    <row r="34" spans="9:10">
      <c r="I34" t="s">
        <v>69</v>
      </c>
      <c r="J34" t="s">
        <v>70</v>
      </c>
    </row>
    <row r="35" spans="9:10">
      <c r="I35" t="s">
        <v>71</v>
      </c>
      <c r="J35" t="s">
        <v>72</v>
      </c>
    </row>
    <row r="36" spans="9:10">
      <c r="I36" t="s">
        <v>73</v>
      </c>
      <c r="J36" t="s">
        <v>74</v>
      </c>
    </row>
    <row r="37" spans="9:10">
      <c r="I37" t="s">
        <v>75</v>
      </c>
      <c r="J37" t="s">
        <v>76</v>
      </c>
    </row>
    <row r="38" spans="9:10">
      <c r="I38" t="s">
        <v>77</v>
      </c>
      <c r="J38" t="s">
        <v>78</v>
      </c>
    </row>
    <row r="39" spans="9:10">
      <c r="I39" t="s">
        <v>79</v>
      </c>
      <c r="J39" t="s">
        <v>80</v>
      </c>
    </row>
  </sheetData>
  <phoneticPr fontId="3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94"/>
  <sheetViews>
    <sheetView zoomScale="55" zoomScaleNormal="55" workbookViewId="0">
      <pane xSplit="2" topLeftCell="Y1" activePane="topRight" state="frozen"/>
      <selection pane="topRight" activeCell="BL87" sqref="BL87"/>
    </sheetView>
  </sheetViews>
  <sheetFormatPr defaultColWidth="8.81640625" defaultRowHeight="13" outlineLevelRow="2"/>
  <cols>
    <col min="1" max="1" width="9.1796875"/>
    <col min="2" max="2" width="24.6328125" customWidth="1"/>
    <col min="3" max="3" width="9.1796875"/>
    <col min="4" max="5" width="10.6328125" customWidth="1"/>
    <col min="6" max="7" width="9.1796875"/>
    <col min="8" max="8" width="1.6328125" customWidth="1"/>
    <col min="9" max="9" width="9.1796875"/>
    <col min="10" max="13" width="10.6328125" customWidth="1"/>
    <col min="14" max="14" width="24.6328125" hidden="1" customWidth="1"/>
    <col min="15" max="15" width="12.6328125" customWidth="1"/>
    <col min="16" max="16" width="10.6328125" customWidth="1"/>
    <col min="17" max="18" width="9.1796875"/>
    <col min="19" max="22" width="12.6328125" customWidth="1"/>
    <col min="23" max="27" width="11.6328125" customWidth="1"/>
    <col min="28" max="31" width="9.1796875"/>
    <col min="32" max="32" width="1.6328125" customWidth="1"/>
    <col min="33" max="33" width="9.1796875"/>
    <col min="34" max="37" width="10.6328125" customWidth="1"/>
    <col min="38" max="38" width="24.6328125" hidden="1" customWidth="1"/>
    <col min="39" max="39" width="12.6328125" customWidth="1"/>
    <col min="40" max="40" width="10.6328125" customWidth="1"/>
    <col min="41" max="42" width="9.1796875"/>
    <col min="43" max="46" width="12.6328125" customWidth="1"/>
    <col min="47" max="51" width="11.6328125" customWidth="1"/>
    <col min="52" max="55" width="9.1796875"/>
    <col min="56" max="56" width="1.6328125" customWidth="1"/>
    <col min="57" max="59" width="9.1796875"/>
    <col min="60" max="60" width="1.6328125" customWidth="1"/>
    <col min="61" max="62" width="9.1796875"/>
    <col min="63" max="65" width="11.6328125" customWidth="1"/>
    <col min="66" max="66" width="1.6328125" customWidth="1"/>
    <col min="67" max="68" width="9.1796875"/>
    <col min="69" max="71" width="11.6328125" customWidth="1"/>
    <col min="72" max="72" width="1.6328125" customWidth="1"/>
  </cols>
  <sheetData>
    <row r="1" spans="1:73">
      <c r="A1" s="69" t="s">
        <v>261</v>
      </c>
      <c r="B1" s="69"/>
      <c r="C1" s="69"/>
      <c r="D1" s="69"/>
      <c r="E1" s="69"/>
      <c r="F1" s="69"/>
      <c r="G1" s="69"/>
      <c r="I1" s="65" t="s">
        <v>554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G1" s="66" t="s">
        <v>553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</row>
    <row r="2" spans="1:73" ht="30" customHeight="1">
      <c r="A2" s="71" t="s">
        <v>93</v>
      </c>
      <c r="B2" s="70" t="s">
        <v>96</v>
      </c>
      <c r="C2" s="71" t="s">
        <v>99</v>
      </c>
      <c r="D2" s="70" t="s">
        <v>102</v>
      </c>
      <c r="E2" s="71" t="s">
        <v>105</v>
      </c>
      <c r="F2" s="70" t="s">
        <v>108</v>
      </c>
      <c r="G2" s="71" t="s">
        <v>111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70" t="s">
        <v>26</v>
      </c>
      <c r="R2" s="71" t="s">
        <v>22</v>
      </c>
      <c r="S2" s="67" t="s">
        <v>142</v>
      </c>
      <c r="T2" s="67"/>
      <c r="U2" s="67"/>
      <c r="V2" s="67"/>
      <c r="W2" s="68" t="s">
        <v>153</v>
      </c>
      <c r="X2" s="68"/>
      <c r="Y2" s="67" t="s">
        <v>160</v>
      </c>
      <c r="Z2" s="67"/>
      <c r="AA2" s="67"/>
      <c r="AB2" s="68" t="s">
        <v>170</v>
      </c>
      <c r="AC2" s="68"/>
      <c r="AD2" s="67" t="s">
        <v>177</v>
      </c>
      <c r="AE2" s="67"/>
      <c r="AG2" s="71" t="s">
        <v>114</v>
      </c>
      <c r="AH2" s="67" t="s">
        <v>117</v>
      </c>
      <c r="AI2" s="67"/>
      <c r="AJ2" s="67"/>
      <c r="AK2" s="67"/>
      <c r="AL2" s="70" t="s">
        <v>192</v>
      </c>
      <c r="AM2" s="71" t="s">
        <v>133</v>
      </c>
      <c r="AN2" s="70" t="s">
        <v>24</v>
      </c>
      <c r="AO2" s="71" t="s">
        <v>26</v>
      </c>
      <c r="AP2" s="70" t="s">
        <v>22</v>
      </c>
      <c r="AQ2" s="68" t="s">
        <v>142</v>
      </c>
      <c r="AR2" s="68"/>
      <c r="AS2" s="68"/>
      <c r="AT2" s="68"/>
      <c r="AU2" s="67" t="s">
        <v>153</v>
      </c>
      <c r="AV2" s="67"/>
      <c r="AW2" s="68" t="s">
        <v>160</v>
      </c>
      <c r="AX2" s="68"/>
      <c r="AY2" s="68"/>
      <c r="AZ2" s="67" t="s">
        <v>170</v>
      </c>
      <c r="BA2" s="67"/>
      <c r="BB2" s="68" t="s">
        <v>177</v>
      </c>
      <c r="BC2" s="68"/>
      <c r="BE2" s="70" t="s">
        <v>229</v>
      </c>
      <c r="BF2" s="71" t="s">
        <v>232</v>
      </c>
      <c r="BG2" s="70" t="s">
        <v>232</v>
      </c>
      <c r="BI2" s="68" t="s">
        <v>237</v>
      </c>
      <c r="BJ2" s="68"/>
      <c r="BK2" s="67" t="s">
        <v>242</v>
      </c>
      <c r="BL2" s="67"/>
      <c r="BM2" s="67"/>
      <c r="BO2" s="68" t="s">
        <v>249</v>
      </c>
      <c r="BP2" s="68"/>
      <c r="BQ2" s="67" t="s">
        <v>254</v>
      </c>
      <c r="BR2" s="67"/>
      <c r="BS2" s="67"/>
      <c r="BU2" t="s">
        <v>549</v>
      </c>
    </row>
    <row r="3" spans="1:73" ht="13.5" thickBot="1">
      <c r="A3" s="71"/>
      <c r="B3" s="70"/>
      <c r="C3" s="71"/>
      <c r="D3" s="70"/>
      <c r="E3" s="71"/>
      <c r="F3" s="70"/>
      <c r="G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70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0"/>
      <c r="AM3" s="71"/>
      <c r="AN3" s="70"/>
      <c r="AO3" s="71"/>
      <c r="AP3" s="70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0"/>
      <c r="BF3" s="71"/>
      <c r="BG3" s="70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2.2602150000000001</v>
      </c>
      <c r="J5" s="18">
        <f t="shared" ref="J5:J29" si="1">IF(ISBLANK(S5),"·",S5/D5)</f>
        <v>9.6573588703983818E-2</v>
      </c>
      <c r="K5" s="18">
        <f t="shared" ref="K5:K29" si="2">IF(N5="","·",N5/D5)</f>
        <v>6.1326193228974077E-2</v>
      </c>
      <c r="L5" s="18">
        <f t="shared" ref="L5:L29" si="3">IF(T5="","·",T5/D5)</f>
        <v>3.3651198723811698E-2</v>
      </c>
      <c r="M5" s="18">
        <f t="shared" ref="M5:M29" si="4">IF(ISBLANK(V5),"·",V5/D5)</f>
        <v>3.522752713560514E-2</v>
      </c>
      <c r="N5" s="15">
        <f t="shared" ref="N5:N29" si="5">IF(OR(ISBLANK(T5),ISBLANK(U5)),"",T5+U5)</f>
        <v>1530968</v>
      </c>
      <c r="O5" s="18">
        <f t="shared" ref="O5:O29" si="6">IF(ISBLANK(S5),"·",S5/P5)</f>
        <v>0.1118295642067616</v>
      </c>
      <c r="P5" s="19">
        <v>21558664</v>
      </c>
      <c r="Q5" s="19">
        <v>673708</v>
      </c>
      <c r="R5" s="19">
        <v>13654.3</v>
      </c>
      <c r="S5" s="19">
        <v>2410896</v>
      </c>
      <c r="T5" s="19">
        <v>840080</v>
      </c>
      <c r="U5" s="19">
        <v>690888</v>
      </c>
      <c r="V5" s="19">
        <v>879432</v>
      </c>
      <c r="W5" s="19">
        <v>66.315200000000004</v>
      </c>
      <c r="X5" s="19">
        <v>68.412700000000001</v>
      </c>
      <c r="Y5" s="19">
        <v>32.179000000000002</v>
      </c>
      <c r="Z5" s="19">
        <v>44.135399999999997</v>
      </c>
      <c r="AA5" s="19">
        <v>43.688600000000001</v>
      </c>
      <c r="AB5" s="19">
        <v>2959.64</v>
      </c>
      <c r="AC5" s="19">
        <v>926.23800000000006</v>
      </c>
      <c r="AD5" s="19">
        <v>4.6630000000000003</v>
      </c>
      <c r="AE5" s="19">
        <v>16.652000000000001</v>
      </c>
      <c r="AF5" s="4">
        <v>32</v>
      </c>
      <c r="AG5" s="17">
        <f t="shared" ref="AG5:AG29" si="7">IF(OR(ISBLANK(AQ5),ISBLANK(G5)),"·",AQ5*G5/F5/1000000)</f>
        <v>2.2602074999999999</v>
      </c>
      <c r="AH5" s="18">
        <f t="shared" ref="AH5:AH29" si="8">IF(ISBLANK(AQ5),"·",AQ5/D5)</f>
        <v>9.6573268246896646E-2</v>
      </c>
      <c r="AI5" s="18">
        <f t="shared" ref="AI5:AI29" si="9">IF(AL5="","·",AL5/D5)</f>
        <v>6.1326193228974077E-2</v>
      </c>
      <c r="AJ5" s="18">
        <f t="shared" ref="AJ5:AJ29" si="10">IF(AR5="","·",AR5/D5)</f>
        <v>3.3651198723811698E-2</v>
      </c>
      <c r="AK5" s="18">
        <f t="shared" ref="AK5:AK29" si="11">IF(ISBLANK(AT5),"·",AT5/D5)</f>
        <v>3.522752713560514E-2</v>
      </c>
      <c r="AL5" s="15">
        <f t="shared" ref="AL5:AL29" si="12">IF(OR(ISBLANK(AR5),ISBLANK(AS5)),"",AR5+AS5)</f>
        <v>1530968</v>
      </c>
      <c r="AM5" s="18">
        <f t="shared" ref="AM5:AM29" si="13">IF(ISBLANK(AQ5),"·",AQ5/AN5)</f>
        <v>0.1118291931262531</v>
      </c>
      <c r="AN5" s="19">
        <v>21558664</v>
      </c>
      <c r="AO5" s="19">
        <v>673708</v>
      </c>
      <c r="AP5" s="19">
        <v>13654.3</v>
      </c>
      <c r="AQ5" s="20">
        <v>2410888</v>
      </c>
      <c r="AR5" s="20">
        <v>840080</v>
      </c>
      <c r="AS5" s="20">
        <v>690888</v>
      </c>
      <c r="AT5" s="20">
        <v>879432</v>
      </c>
      <c r="AU5" s="21">
        <v>66.315200000000004</v>
      </c>
      <c r="AV5" s="21">
        <v>68.412700000000001</v>
      </c>
      <c r="AW5" s="21">
        <v>32.179000000000002</v>
      </c>
      <c r="AX5" s="21">
        <v>44.135399999999997</v>
      </c>
      <c r="AY5" s="21">
        <v>43.688600000000001</v>
      </c>
      <c r="AZ5" s="22">
        <v>3271.47</v>
      </c>
      <c r="BA5" s="22">
        <v>930.41399999999999</v>
      </c>
      <c r="BB5" s="22">
        <v>5.0670000000000002</v>
      </c>
      <c r="BC5" s="22">
        <v>17.673999999999999</v>
      </c>
      <c r="BD5" s="4">
        <v>32</v>
      </c>
      <c r="BE5" s="23">
        <f t="shared" ref="BE5:BE29" si="14">(AP5/AO5) - (R5/Q5)</f>
        <v>0</v>
      </c>
      <c r="BF5" s="23">
        <f t="shared" ref="BF5:BF29" si="15">(AL5/AQ5) - (N5/S5)</f>
        <v>2.1071749196632794E-6</v>
      </c>
      <c r="BG5" s="23">
        <f t="array" ref="BG5">AVERAGE(AL5:AL9/AQ5:AQ9) - AVERAGE(N5:N9/S5:S9)</f>
        <v>-2.2036435269201515E-4</v>
      </c>
      <c r="BI5" s="24">
        <f>IF( OR(ISBLANK(N5:N9),ISBLANK(AL5:AL9), ISBLANK(W5:W9),ISBLANK(AU5:AU9)), "·", bdRateExtend( N5:N9,W5:W9, AL5:AL9,AU5:AU9))</f>
        <v>2.5348375172811188E-3</v>
      </c>
      <c r="BJ5" s="24">
        <f>IF( OR(ISBLANK(N5:N9),ISBLANK(AL5:AL9), ISBLANK(X5:X9),ISBLANK(AV5:AV9)), "·", bdRateExtend( N5:N9,X5:X9, AL5:AL9,AV5:AV9))</f>
        <v>3.3586937375296166E-4</v>
      </c>
      <c r="BK5" s="24">
        <f>IF( OR(ISBLANK(V5:V9),ISBLANK(AT5:AT9), ISBLANK(Y5:Y9),ISBLANK(AW5:AW9)), "·", bdRateExtend( V5:V9,Y5:Y9, AT5:AT9,AW5:AW9))</f>
        <v>1.0203167076616726E-3</v>
      </c>
      <c r="BL5" s="24">
        <f>IF( OR(ISBLANK(V5:V9),ISBLANK(AT5:AT9), ISBLANK(Z5:Z9),ISBLANK(AX5:AX9)), "·", bdRateExtend( V5:V9,Z5:Z9, AT5:AT9,AX5:AX9))</f>
        <v>6.7772821770839542E-4</v>
      </c>
      <c r="BM5" s="24">
        <f>IF( OR(ISBLANK(V5:V9),ISBLANK(AT5:AT9), ISBLANK(AA5:AA9),ISBLANK(AY5:AY9)), "·", bdRateExtend( V5:V9,AA5:AA9, AT5:AT9,AY5:AY9))</f>
        <v>1.6035104252358767E-3</v>
      </c>
      <c r="BO5" s="24">
        <f>IF( OR(ISBLANK(S5:S9),ISBLANK(AQ5:AQ9), ISBLANK(W5:W9),ISBLANK(AU5:AU9)), "·", bdRateExtend( S5:S9,W5:W9, AQ5:AQ9,AU5:AU9))</f>
        <v>2.9622339307513457E-3</v>
      </c>
      <c r="BP5" s="24">
        <f>IF( OR(ISBLANK(S5:S9),ISBLANK(AQ5:AQ9), ISBLANK(X5:X9),ISBLANK(AV5:AV9)), "·", bdRateExtend( S5:S9,X5:X9, AQ5:AQ9,AV5:AV9))</f>
        <v>8.2711842825000659E-4</v>
      </c>
      <c r="BQ5" s="24">
        <f>IF( OR(ISBLANK(S5:S9),ISBLANK(AQ5:AQ9), ISBLANK(Y5:Y9),ISBLANK(AW5:AW9)), "·", bdRateExtend( S5:S9,Y5:Y9, AQ5:AQ9,AW5:AW9))</f>
        <v>8.843657373835967E-4</v>
      </c>
      <c r="BR5" s="24">
        <f>IF( OR(ISBLANK(S5:S9),ISBLANK(AQ5:AQ9), ISBLANK(Z5:Z9),ISBLANK(AX5:AX9)), "·", bdRateExtend( S5:S9,Z5:Z9, AQ5:AQ9,AX5:AX9))</f>
        <v>5.1084595554184986E-4</v>
      </c>
      <c r="BS5" s="24">
        <f>IF( OR(ISBLANK(S5:S9),ISBLANK(AQ5:AQ9), ISBLANK(AA5:AA9),ISBLANK(AY5:AY9)), "·", bdRateExtend( S5:S9,AA5:AA9, AQ5:AQ9,AY5:AY9))</f>
        <v>1.4512449882033707E-3</v>
      </c>
      <c r="BU5">
        <f>AQ5-S5</f>
        <v>-8</v>
      </c>
    </row>
    <row r="6" spans="1:73" outlineLevel="1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3.5025824999999999</v>
      </c>
      <c r="J6" s="28">
        <f t="shared" si="1"/>
        <v>0.1496569847367491</v>
      </c>
      <c r="K6" s="28">
        <f t="shared" si="2"/>
        <v>7.417267693947939E-2</v>
      </c>
      <c r="L6" s="28">
        <f t="shared" si="3"/>
        <v>4.6497682434317011E-2</v>
      </c>
      <c r="M6" s="28">
        <f t="shared" si="4"/>
        <v>7.5464439457865115E-2</v>
      </c>
      <c r="N6" s="25">
        <f t="shared" si="5"/>
        <v>1851672</v>
      </c>
      <c r="O6" s="28">
        <f t="shared" si="6"/>
        <v>0.15473447344883587</v>
      </c>
      <c r="P6" s="29">
        <v>24145156</v>
      </c>
      <c r="Q6" s="29">
        <v>754536</v>
      </c>
      <c r="R6" s="29">
        <v>19085.900000000001</v>
      </c>
      <c r="S6" s="29">
        <v>3736088</v>
      </c>
      <c r="T6" s="29">
        <v>1160784</v>
      </c>
      <c r="U6" s="29">
        <v>690888</v>
      </c>
      <c r="V6" s="29">
        <v>1883920</v>
      </c>
      <c r="W6" s="29">
        <v>68.236999999999995</v>
      </c>
      <c r="X6" s="29">
        <v>70.346699999999998</v>
      </c>
      <c r="Y6" s="29">
        <v>34.471600000000002</v>
      </c>
      <c r="Z6" s="29">
        <v>45.462899999999998</v>
      </c>
      <c r="AA6" s="29">
        <v>45.183900000000001</v>
      </c>
      <c r="AB6" s="29">
        <v>3186.84</v>
      </c>
      <c r="AC6" s="29">
        <v>1165.77</v>
      </c>
      <c r="AD6" s="29">
        <v>5.51</v>
      </c>
      <c r="AE6" s="29">
        <v>18.733000000000001</v>
      </c>
      <c r="AF6" s="4">
        <v>32</v>
      </c>
      <c r="AG6" s="27">
        <f t="shared" si="7"/>
        <v>3.5025750000000002</v>
      </c>
      <c r="AH6" s="28">
        <f t="shared" si="8"/>
        <v>0.14965666427966193</v>
      </c>
      <c r="AI6" s="28">
        <f t="shared" si="9"/>
        <v>7.417267693947939E-2</v>
      </c>
      <c r="AJ6" s="28">
        <f t="shared" si="10"/>
        <v>4.6497682434317011E-2</v>
      </c>
      <c r="AK6" s="28">
        <f t="shared" si="11"/>
        <v>7.5464439457865115E-2</v>
      </c>
      <c r="AL6" s="25">
        <f t="shared" si="12"/>
        <v>1851672</v>
      </c>
      <c r="AM6" s="28">
        <f t="shared" si="13"/>
        <v>0.15473414211943795</v>
      </c>
      <c r="AN6" s="29">
        <v>24145156</v>
      </c>
      <c r="AO6" s="29">
        <v>754536</v>
      </c>
      <c r="AP6" s="29">
        <v>19085.900000000001</v>
      </c>
      <c r="AQ6" s="30">
        <v>3736080</v>
      </c>
      <c r="AR6" s="30">
        <v>1160784</v>
      </c>
      <c r="AS6" s="30">
        <v>690888</v>
      </c>
      <c r="AT6" s="30">
        <v>1883920</v>
      </c>
      <c r="AU6" s="31">
        <v>68.236999999999995</v>
      </c>
      <c r="AV6" s="31">
        <v>70.346699999999998</v>
      </c>
      <c r="AW6" s="31">
        <v>34.471600000000002</v>
      </c>
      <c r="AX6" s="31">
        <v>45.462899999999998</v>
      </c>
      <c r="AY6" s="31">
        <v>45.183900000000001</v>
      </c>
      <c r="AZ6" s="32">
        <v>3185.46</v>
      </c>
      <c r="BA6" s="32">
        <v>1157.97</v>
      </c>
      <c r="BB6" s="32">
        <v>5.2930000000000001</v>
      </c>
      <c r="BC6" s="32">
        <v>18.561</v>
      </c>
      <c r="BD6" s="4">
        <v>32</v>
      </c>
      <c r="BE6" s="33">
        <f t="shared" si="14"/>
        <v>0</v>
      </c>
      <c r="BF6" s="33">
        <f t="shared" si="15"/>
        <v>1.0612575239155042E-6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-8</v>
      </c>
    </row>
    <row r="7" spans="1:73" outlineLevel="1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5.7207074999999996</v>
      </c>
      <c r="J7" s="18">
        <f t="shared" si="1"/>
        <v>0.24443216826753009</v>
      </c>
      <c r="K7" s="18">
        <f t="shared" si="2"/>
        <v>9.1931126882139613E-2</v>
      </c>
      <c r="L7" s="18">
        <f t="shared" si="3"/>
        <v>6.4256132376977221E-2</v>
      </c>
      <c r="M7" s="18">
        <f t="shared" si="4"/>
        <v>0.15248117304598588</v>
      </c>
      <c r="N7" s="15">
        <f t="shared" si="5"/>
        <v>2295000</v>
      </c>
      <c r="O7" s="18">
        <f t="shared" si="6"/>
        <v>0.24609445623971724</v>
      </c>
      <c r="P7" s="19">
        <v>24795715</v>
      </c>
      <c r="Q7" s="19">
        <v>774866</v>
      </c>
      <c r="R7" s="19">
        <v>21114.2</v>
      </c>
      <c r="S7" s="19">
        <v>6102088</v>
      </c>
      <c r="T7" s="19">
        <v>1604112</v>
      </c>
      <c r="U7" s="19">
        <v>690888</v>
      </c>
      <c r="V7" s="19">
        <v>3806592</v>
      </c>
      <c r="W7" s="19">
        <v>69.661199999999994</v>
      </c>
      <c r="X7" s="19">
        <v>72.0304</v>
      </c>
      <c r="Y7" s="19">
        <v>37.006399999999999</v>
      </c>
      <c r="Z7" s="19">
        <v>46.569600000000001</v>
      </c>
      <c r="AA7" s="19">
        <v>46.451900000000002</v>
      </c>
      <c r="AB7" s="19">
        <v>3142.45</v>
      </c>
      <c r="AC7" s="19">
        <v>1233.04</v>
      </c>
      <c r="AD7" s="19">
        <v>5.5350000000000001</v>
      </c>
      <c r="AE7" s="19">
        <v>19.114999999999998</v>
      </c>
      <c r="AF7" s="4">
        <v>32</v>
      </c>
      <c r="AG7" s="17">
        <f t="shared" si="7"/>
        <v>5.7206999999999999</v>
      </c>
      <c r="AH7" s="18">
        <f t="shared" si="8"/>
        <v>0.24443184781044291</v>
      </c>
      <c r="AI7" s="18">
        <f t="shared" si="9"/>
        <v>9.1931126882139613E-2</v>
      </c>
      <c r="AJ7" s="18">
        <f t="shared" si="10"/>
        <v>6.4256132376977221E-2</v>
      </c>
      <c r="AK7" s="18">
        <f t="shared" si="11"/>
        <v>0.15248117304598588</v>
      </c>
      <c r="AL7" s="15">
        <f t="shared" si="12"/>
        <v>2295000</v>
      </c>
      <c r="AM7" s="18">
        <f t="shared" si="13"/>
        <v>0.24609413360332622</v>
      </c>
      <c r="AN7" s="19">
        <v>24795715</v>
      </c>
      <c r="AO7" s="19">
        <v>774866</v>
      </c>
      <c r="AP7" s="19">
        <v>21114.2</v>
      </c>
      <c r="AQ7" s="20">
        <v>6102080</v>
      </c>
      <c r="AR7" s="20">
        <v>1604112</v>
      </c>
      <c r="AS7" s="20">
        <v>690888</v>
      </c>
      <c r="AT7" s="20">
        <v>3806592</v>
      </c>
      <c r="AU7" s="21">
        <v>69.661199999999994</v>
      </c>
      <c r="AV7" s="21">
        <v>72.0304</v>
      </c>
      <c r="AW7" s="21">
        <v>37.006399999999999</v>
      </c>
      <c r="AX7" s="21">
        <v>46.569600000000001</v>
      </c>
      <c r="AY7" s="21">
        <v>46.451900000000002</v>
      </c>
      <c r="AZ7" s="22">
        <v>3114.58</v>
      </c>
      <c r="BA7" s="22">
        <v>1226.03</v>
      </c>
      <c r="BB7" s="22">
        <v>5.5030000000000001</v>
      </c>
      <c r="BC7" s="22">
        <v>19.358000000000001</v>
      </c>
      <c r="BD7" s="4">
        <v>32</v>
      </c>
      <c r="BE7" s="23">
        <f t="shared" si="14"/>
        <v>0</v>
      </c>
      <c r="BF7" s="23">
        <f t="shared" si="15"/>
        <v>4.9307878063897803E-7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-8</v>
      </c>
    </row>
    <row r="8" spans="1:73" outlineLevel="1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9.9448050000000006</v>
      </c>
      <c r="J8" s="28">
        <f t="shared" si="1"/>
        <v>0.42491776570428996</v>
      </c>
      <c r="K8" s="28">
        <f t="shared" si="2"/>
        <v>0.12183233677187794</v>
      </c>
      <c r="L8" s="28">
        <f t="shared" si="3"/>
        <v>9.4157342266715557E-2</v>
      </c>
      <c r="M8" s="28">
        <f t="shared" si="4"/>
        <v>0.30306556059300743</v>
      </c>
      <c r="N8" s="25">
        <f t="shared" si="5"/>
        <v>3041464</v>
      </c>
      <c r="O8" s="28">
        <f t="shared" si="6"/>
        <v>0.40859148227978953</v>
      </c>
      <c r="P8" s="29">
        <v>25961853</v>
      </c>
      <c r="Q8" s="29">
        <v>811308</v>
      </c>
      <c r="R8" s="29">
        <v>24718.400000000001</v>
      </c>
      <c r="S8" s="29">
        <v>10607792</v>
      </c>
      <c r="T8" s="29">
        <v>2350576</v>
      </c>
      <c r="U8" s="29">
        <v>690888</v>
      </c>
      <c r="V8" s="29">
        <v>7565832</v>
      </c>
      <c r="W8" s="29">
        <v>70.739699999999999</v>
      </c>
      <c r="X8" s="29">
        <v>73.278400000000005</v>
      </c>
      <c r="Y8" s="29">
        <v>39.627499999999998</v>
      </c>
      <c r="Z8" s="29">
        <v>47.914700000000003</v>
      </c>
      <c r="AA8" s="29">
        <v>47.954300000000003</v>
      </c>
      <c r="AB8" s="29">
        <v>3164.14</v>
      </c>
      <c r="AC8" s="29">
        <v>1354.01</v>
      </c>
      <c r="AD8" s="29">
        <v>5.6929999999999996</v>
      </c>
      <c r="AE8" s="29">
        <v>19.699000000000002</v>
      </c>
      <c r="AF8" s="4">
        <v>32</v>
      </c>
      <c r="AG8" s="27">
        <f t="shared" si="7"/>
        <v>9.9447975</v>
      </c>
      <c r="AH8" s="28">
        <f t="shared" si="8"/>
        <v>0.42491744524720282</v>
      </c>
      <c r="AI8" s="28">
        <f t="shared" si="9"/>
        <v>0.12183233677187794</v>
      </c>
      <c r="AJ8" s="28">
        <f t="shared" si="10"/>
        <v>9.4157342266715557E-2</v>
      </c>
      <c r="AK8" s="28">
        <f t="shared" si="11"/>
        <v>0.30306556059300743</v>
      </c>
      <c r="AL8" s="25">
        <f t="shared" si="12"/>
        <v>3041464</v>
      </c>
      <c r="AM8" s="28">
        <f t="shared" si="13"/>
        <v>0.40859117413537471</v>
      </c>
      <c r="AN8" s="29">
        <v>25961853</v>
      </c>
      <c r="AO8" s="29">
        <v>811308</v>
      </c>
      <c r="AP8" s="29">
        <v>24718.400000000001</v>
      </c>
      <c r="AQ8" s="30">
        <v>10607784</v>
      </c>
      <c r="AR8" s="30">
        <v>2350576</v>
      </c>
      <c r="AS8" s="30">
        <v>690888</v>
      </c>
      <c r="AT8" s="30">
        <v>7565832</v>
      </c>
      <c r="AU8" s="31">
        <v>70.739699999999999</v>
      </c>
      <c r="AV8" s="31">
        <v>73.278400000000005</v>
      </c>
      <c r="AW8" s="31">
        <v>39.627499999999998</v>
      </c>
      <c r="AX8" s="31">
        <v>47.914700000000003</v>
      </c>
      <c r="AY8" s="31">
        <v>47.954300000000003</v>
      </c>
      <c r="AZ8" s="32">
        <v>3058</v>
      </c>
      <c r="BA8" s="32">
        <v>1338.58</v>
      </c>
      <c r="BB8" s="32">
        <v>5.5270000000000001</v>
      </c>
      <c r="BC8" s="32">
        <v>19.39</v>
      </c>
      <c r="BD8" s="4">
        <v>32</v>
      </c>
      <c r="BE8" s="33">
        <f t="shared" si="14"/>
        <v>0</v>
      </c>
      <c r="BF8" s="33">
        <f t="shared" si="15"/>
        <v>2.1623351298405424E-7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-8</v>
      </c>
    </row>
    <row r="9" spans="1:73" ht="13.5" outlineLevel="1" thickBot="1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18.0068175</v>
      </c>
      <c r="J9" s="38">
        <f t="shared" si="1"/>
        <v>0.76938830470229513</v>
      </c>
      <c r="K9" s="38">
        <f t="shared" si="2"/>
        <v>0.19596752023215835</v>
      </c>
      <c r="L9" s="38">
        <f t="shared" si="3"/>
        <v>0.14397528058120981</v>
      </c>
      <c r="M9" s="38">
        <f t="shared" si="4"/>
        <v>0.57340091613073219</v>
      </c>
      <c r="N9" s="35">
        <f t="shared" si="5"/>
        <v>4892200</v>
      </c>
      <c r="O9" s="38">
        <f t="shared" si="6"/>
        <v>0.76770601085269197</v>
      </c>
      <c r="P9" s="39">
        <v>25019046</v>
      </c>
      <c r="Q9" s="39">
        <v>781845</v>
      </c>
      <c r="R9" s="39">
        <v>7631.81</v>
      </c>
      <c r="S9" s="39">
        <v>19207272</v>
      </c>
      <c r="T9" s="39">
        <v>3594248</v>
      </c>
      <c r="U9" s="39">
        <v>1297952</v>
      </c>
      <c r="V9" s="39">
        <v>14314576</v>
      </c>
      <c r="W9" s="39">
        <v>72.147400000000005</v>
      </c>
      <c r="X9" s="39">
        <v>75.316299999999998</v>
      </c>
      <c r="Y9" s="39">
        <v>42.0672</v>
      </c>
      <c r="Z9" s="39">
        <v>49.445300000000003</v>
      </c>
      <c r="AA9" s="39">
        <v>49.630699999999997</v>
      </c>
      <c r="AB9" s="39">
        <v>3288.1</v>
      </c>
      <c r="AC9" s="39">
        <v>1542.81</v>
      </c>
      <c r="AD9" s="39">
        <v>6.3019999999999996</v>
      </c>
      <c r="AE9" s="39">
        <v>20.905999999999999</v>
      </c>
      <c r="AF9" s="4">
        <v>32</v>
      </c>
      <c r="AG9" s="37">
        <f t="shared" si="7"/>
        <v>18.085327499999998</v>
      </c>
      <c r="AH9" s="38">
        <f t="shared" si="8"/>
        <v>0.77274284949079974</v>
      </c>
      <c r="AI9" s="38">
        <f t="shared" si="9"/>
        <v>0.19596752023215835</v>
      </c>
      <c r="AJ9" s="38">
        <f t="shared" si="10"/>
        <v>0.14397528058120981</v>
      </c>
      <c r="AK9" s="38">
        <f t="shared" si="11"/>
        <v>0.57675578137632388</v>
      </c>
      <c r="AL9" s="35">
        <f t="shared" si="12"/>
        <v>4892200</v>
      </c>
      <c r="AM9" s="38">
        <f t="shared" si="13"/>
        <v>0.77105322081425487</v>
      </c>
      <c r="AN9" s="39">
        <v>25019046</v>
      </c>
      <c r="AO9" s="39">
        <v>781845</v>
      </c>
      <c r="AP9" s="39">
        <v>10463.799999999999</v>
      </c>
      <c r="AQ9" s="40">
        <v>19291016</v>
      </c>
      <c r="AR9" s="40">
        <v>3594248</v>
      </c>
      <c r="AS9" s="40">
        <v>1297952</v>
      </c>
      <c r="AT9" s="40">
        <v>14398328</v>
      </c>
      <c r="AU9" s="41">
        <v>72.0715</v>
      </c>
      <c r="AV9" s="41">
        <v>75.303899999999999</v>
      </c>
      <c r="AW9" s="41">
        <v>42.046399999999998</v>
      </c>
      <c r="AX9" s="41">
        <v>49.444499999999998</v>
      </c>
      <c r="AY9" s="41">
        <v>49.6038</v>
      </c>
      <c r="AZ9" s="42">
        <v>3125.62</v>
      </c>
      <c r="BA9" s="42">
        <v>1537.2</v>
      </c>
      <c r="BB9" s="42">
        <v>5.5270000000000001</v>
      </c>
      <c r="BC9" s="42">
        <v>20.594999999999999</v>
      </c>
      <c r="BD9" s="4">
        <v>32</v>
      </c>
      <c r="BE9" s="43">
        <f t="shared" si="14"/>
        <v>3.6221885412070151E-3</v>
      </c>
      <c r="BF9" s="43">
        <f t="shared" si="15"/>
        <v>-1.1056995081973331E-3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83744</v>
      </c>
    </row>
    <row r="10" spans="1:7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3.28416</v>
      </c>
      <c r="J10" s="28">
        <f t="shared" si="1"/>
        <v>0.15462973413700742</v>
      </c>
      <c r="K10" s="28">
        <f t="shared" si="2"/>
        <v>7.9413143066571934E-2</v>
      </c>
      <c r="L10" s="28">
        <f t="shared" si="3"/>
        <v>4.0193885716613822E-2</v>
      </c>
      <c r="M10" s="28">
        <f t="shared" si="4"/>
        <v>7.5194697244807707E-2</v>
      </c>
      <c r="N10" s="25">
        <f t="shared" si="5"/>
        <v>1799088</v>
      </c>
      <c r="O10" s="28">
        <f t="shared" si="6"/>
        <v>0.16991675975109172</v>
      </c>
      <c r="P10" s="29">
        <v>20616589</v>
      </c>
      <c r="Q10" s="29">
        <v>644268</v>
      </c>
      <c r="R10" s="29">
        <v>18740</v>
      </c>
      <c r="S10" s="29">
        <v>3503104</v>
      </c>
      <c r="T10" s="29">
        <v>910584</v>
      </c>
      <c r="U10" s="29">
        <v>888504</v>
      </c>
      <c r="V10" s="29">
        <v>1703520</v>
      </c>
      <c r="W10" s="29">
        <v>65.9114</v>
      </c>
      <c r="X10" s="29">
        <v>67.863600000000005</v>
      </c>
      <c r="Y10" s="29">
        <v>32.553699999999999</v>
      </c>
      <c r="Z10" s="29">
        <v>39.252899999999997</v>
      </c>
      <c r="AA10" s="29">
        <v>32.228999999999999</v>
      </c>
      <c r="AB10" s="29">
        <v>3246.82</v>
      </c>
      <c r="AC10" s="29">
        <v>1080.3599999999999</v>
      </c>
      <c r="AD10" s="29">
        <v>4.907</v>
      </c>
      <c r="AE10" s="29">
        <v>17.591000000000001</v>
      </c>
      <c r="AF10" s="4">
        <v>32</v>
      </c>
      <c r="AG10" s="27">
        <f t="shared" si="7"/>
        <v>3.2841524999999998</v>
      </c>
      <c r="AH10" s="28">
        <f t="shared" si="8"/>
        <v>0.1546293810107876</v>
      </c>
      <c r="AI10" s="28">
        <f t="shared" si="9"/>
        <v>7.9413143066571934E-2</v>
      </c>
      <c r="AJ10" s="28">
        <f t="shared" si="10"/>
        <v>4.0193885716613822E-2</v>
      </c>
      <c r="AK10" s="28">
        <f t="shared" si="11"/>
        <v>7.5194697244807707E-2</v>
      </c>
      <c r="AL10" s="25">
        <f t="shared" si="12"/>
        <v>1799088</v>
      </c>
      <c r="AM10" s="28">
        <f t="shared" si="13"/>
        <v>0.16991637171405996</v>
      </c>
      <c r="AN10" s="29">
        <v>20616589</v>
      </c>
      <c r="AO10" s="29">
        <v>644268</v>
      </c>
      <c r="AP10" s="29">
        <v>18740</v>
      </c>
      <c r="AQ10" s="30">
        <v>3503096</v>
      </c>
      <c r="AR10" s="30">
        <v>910584</v>
      </c>
      <c r="AS10" s="30">
        <v>888504</v>
      </c>
      <c r="AT10" s="30">
        <v>1703520</v>
      </c>
      <c r="AU10" s="31">
        <v>65.9114</v>
      </c>
      <c r="AV10" s="31">
        <v>67.863600000000005</v>
      </c>
      <c r="AW10" s="31">
        <v>32.553699999999999</v>
      </c>
      <c r="AX10" s="31">
        <v>39.252899999999997</v>
      </c>
      <c r="AY10" s="31">
        <v>32.228999999999999</v>
      </c>
      <c r="AZ10" s="32">
        <v>3161.99</v>
      </c>
      <c r="BA10" s="32">
        <v>929.64599999999996</v>
      </c>
      <c r="BB10" s="32">
        <v>4.5990000000000002</v>
      </c>
      <c r="BC10" s="32">
        <v>16.419</v>
      </c>
      <c r="BD10" s="4">
        <v>32</v>
      </c>
      <c r="BE10" s="33">
        <f t="shared" si="14"/>
        <v>0</v>
      </c>
      <c r="BF10" s="33">
        <f t="shared" si="15"/>
        <v>1.1728360967966367E-6</v>
      </c>
      <c r="BG10" s="33">
        <f t="array" ref="BG10">AVERAGE(AL10:AL14/AQ10:AQ14) - AVERAGE(N10:N14/S10:S14)</f>
        <v>-2.2808152405806581E-4</v>
      </c>
      <c r="BI10" s="34">
        <f>IF( OR(ISBLANK(N10:N14),ISBLANK(AL10:AL14), ISBLANK(W10:W14),ISBLANK(AU10:AU14)), "·", bdRateExtend( N10:N14,W10:W14, AL10:AL14,AU10:AU14))</f>
        <v>6.4922254867347817E-3</v>
      </c>
      <c r="BJ10" s="34">
        <f>IF( OR(ISBLANK(N10:N14),ISBLANK(AL10:AL14), ISBLANK(X10:X14),ISBLANK(AV10:AV14)), "·", bdRateExtend( N10:N14,X10:X14, AL10:AL14,AV10:AV14))</f>
        <v>1.8833719121369441E-3</v>
      </c>
      <c r="BK10" s="34">
        <f>IF( OR(ISBLANK(V10:V14),ISBLANK(AT10:AT14), ISBLANK(Y10:Y14),ISBLANK(AW10:AW14)), "·", bdRateExtend( V10:V14,Y10:Y14, AT10:AT14,AW10:AW14))</f>
        <v>2.3256775933024887E-3</v>
      </c>
      <c r="BL10" s="34">
        <f>IF( OR(ISBLANK(V10:V14),ISBLANK(AT10:AT14), ISBLANK(Z10:Z14),ISBLANK(AX10:AX14)), "·", bdRateExtend( V10:V14,Z10:Z14, AT10:AT14,AX10:AX14))</f>
        <v>1.4914240871974904E-3</v>
      </c>
      <c r="BM10" s="34">
        <f>IF( OR(ISBLANK(V10:V14),ISBLANK(AT10:AT14), ISBLANK(AA10:AA14),ISBLANK(AY10:AY14)), "·", bdRateExtend( V10:V14,AA10:AA14, AT10:AT14,AY10:AY14))</f>
        <v>2.5091599197437642E-3</v>
      </c>
      <c r="BO10" s="34">
        <f>IF( OR(ISBLANK(S10:S14),ISBLANK(AQ10:AQ14), ISBLANK(W10:W14),ISBLANK(AU10:AU14)), "·", bdRateExtend( S10:S14,W10:W14, AQ10:AQ14,AU10:AU14))</f>
        <v>6.7271973384368522E-3</v>
      </c>
      <c r="BP10" s="34">
        <f>IF( OR(ISBLANK(S10:S14),ISBLANK(AQ10:AQ14), ISBLANK(X10:X14),ISBLANK(AV10:AV14)), "·", bdRateExtend( S10:S14,X10:X14, AQ10:AQ14,AV10:AV14))</f>
        <v>2.2270288124546234E-3</v>
      </c>
      <c r="BQ10" s="34">
        <f>IF( OR(ISBLANK(S10:S14),ISBLANK(AQ10:AQ14), ISBLANK(Y10:Y14),ISBLANK(AW10:AW14)), "·", bdRateExtend( S10:S14,Y10:Y14, AQ10:AQ14,AW10:AW14))</f>
        <v>2.1973039600671207E-3</v>
      </c>
      <c r="BR10" s="34">
        <f>IF( OR(ISBLANK(S10:S14),ISBLANK(AQ10:AQ14), ISBLANK(Z10:Z14),ISBLANK(AX10:AX14)), "·", bdRateExtend( S10:S14,Z10:Z14, AQ10:AQ14,AX10:AX14))</f>
        <v>1.3251082401195546E-3</v>
      </c>
      <c r="BS10" s="34">
        <f>IF( OR(ISBLANK(S10:S14),ISBLANK(AQ10:AQ14), ISBLANK(AA10:AA14),ISBLANK(AY10:AY14)), "·", bdRateExtend( S10:S14,AA10:AA14, AQ10:AQ14,AY10:AY14))</f>
        <v>2.390636327536777E-3</v>
      </c>
      <c r="BU10" s="4">
        <f t="shared" si="16"/>
        <v>-8</v>
      </c>
    </row>
    <row r="11" spans="1:73" outlineLevel="1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4.7411775</v>
      </c>
      <c r="J11" s="18">
        <f t="shared" si="1"/>
        <v>0.2232312117318771</v>
      </c>
      <c r="K11" s="18">
        <f t="shared" si="2"/>
        <v>9.547614855296159E-2</v>
      </c>
      <c r="L11" s="18">
        <f t="shared" si="3"/>
        <v>5.6256891203003478E-2</v>
      </c>
      <c r="M11" s="18">
        <f t="shared" si="4"/>
        <v>0.12773316935328774</v>
      </c>
      <c r="N11" s="15">
        <f t="shared" si="5"/>
        <v>2162992</v>
      </c>
      <c r="O11" s="18">
        <f t="shared" si="6"/>
        <v>0.22622560587661161</v>
      </c>
      <c r="P11" s="19">
        <v>22354923</v>
      </c>
      <c r="Q11" s="19">
        <v>698591</v>
      </c>
      <c r="R11" s="19">
        <v>24804.2</v>
      </c>
      <c r="S11" s="19">
        <v>5057256</v>
      </c>
      <c r="T11" s="19">
        <v>1274488</v>
      </c>
      <c r="U11" s="19">
        <v>888504</v>
      </c>
      <c r="V11" s="19">
        <v>2893768</v>
      </c>
      <c r="W11" s="19">
        <v>67.647400000000005</v>
      </c>
      <c r="X11" s="19">
        <v>69.7119</v>
      </c>
      <c r="Y11" s="19">
        <v>34.4208</v>
      </c>
      <c r="Z11" s="19">
        <v>40.133800000000001</v>
      </c>
      <c r="AA11" s="19">
        <v>34.021799999999999</v>
      </c>
      <c r="AB11" s="19">
        <v>3152.94</v>
      </c>
      <c r="AC11" s="19">
        <v>974.726</v>
      </c>
      <c r="AD11" s="19">
        <v>4.585</v>
      </c>
      <c r="AE11" s="19">
        <v>16.399000000000001</v>
      </c>
      <c r="AF11" s="4">
        <v>32</v>
      </c>
      <c r="AG11" s="17">
        <f t="shared" si="7"/>
        <v>4.7411700000000003</v>
      </c>
      <c r="AH11" s="18">
        <f t="shared" si="8"/>
        <v>0.22323085860565728</v>
      </c>
      <c r="AI11" s="18">
        <f t="shared" si="9"/>
        <v>9.547614855296159E-2</v>
      </c>
      <c r="AJ11" s="18">
        <f t="shared" si="10"/>
        <v>5.6256891203003478E-2</v>
      </c>
      <c r="AK11" s="18">
        <f t="shared" si="11"/>
        <v>0.12773316935328774</v>
      </c>
      <c r="AL11" s="15">
        <f t="shared" si="12"/>
        <v>2162992</v>
      </c>
      <c r="AM11" s="18">
        <f t="shared" si="13"/>
        <v>0.22622524801360308</v>
      </c>
      <c r="AN11" s="19">
        <v>22354923</v>
      </c>
      <c r="AO11" s="19">
        <v>698591</v>
      </c>
      <c r="AP11" s="19">
        <v>24804.2</v>
      </c>
      <c r="AQ11" s="20">
        <v>5057248</v>
      </c>
      <c r="AR11" s="20">
        <v>1274488</v>
      </c>
      <c r="AS11" s="20">
        <v>888504</v>
      </c>
      <c r="AT11" s="20">
        <v>2893768</v>
      </c>
      <c r="AU11" s="21">
        <v>67.647400000000005</v>
      </c>
      <c r="AV11" s="21">
        <v>69.7119</v>
      </c>
      <c r="AW11" s="21">
        <v>34.4208</v>
      </c>
      <c r="AX11" s="21">
        <v>40.133800000000001</v>
      </c>
      <c r="AY11" s="21">
        <v>34.021799999999999</v>
      </c>
      <c r="AZ11" s="22">
        <v>3186.74</v>
      </c>
      <c r="BA11" s="22">
        <v>994.23599999999999</v>
      </c>
      <c r="BB11" s="22">
        <v>4.7290000000000001</v>
      </c>
      <c r="BC11" s="22">
        <v>16.777999999999999</v>
      </c>
      <c r="BD11" s="4">
        <v>32</v>
      </c>
      <c r="BE11" s="23">
        <f t="shared" si="14"/>
        <v>0</v>
      </c>
      <c r="BF11" s="23">
        <f t="shared" si="15"/>
        <v>6.7657463287407182E-7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-8</v>
      </c>
    </row>
    <row r="12" spans="1:73" outlineLevel="1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7.3449299999999997</v>
      </c>
      <c r="J12" s="28">
        <f t="shared" si="1"/>
        <v>0.3458249820821549</v>
      </c>
      <c r="K12" s="28">
        <f t="shared" si="2"/>
        <v>0.11914054904682626</v>
      </c>
      <c r="L12" s="28">
        <f t="shared" si="3"/>
        <v>7.9921291696868152E-2</v>
      </c>
      <c r="M12" s="28">
        <f t="shared" si="4"/>
        <v>0.22666253920970086</v>
      </c>
      <c r="N12" s="25">
        <f t="shared" si="5"/>
        <v>2699104</v>
      </c>
      <c r="O12" s="28">
        <f t="shared" si="6"/>
        <v>0.34446573242636447</v>
      </c>
      <c r="P12" s="29">
        <v>22744184</v>
      </c>
      <c r="Q12" s="29">
        <v>710756</v>
      </c>
      <c r="R12" s="29">
        <v>26442.5</v>
      </c>
      <c r="S12" s="29">
        <v>7834592</v>
      </c>
      <c r="T12" s="29">
        <v>1810600</v>
      </c>
      <c r="U12" s="29">
        <v>888504</v>
      </c>
      <c r="V12" s="29">
        <v>5134992</v>
      </c>
      <c r="W12" s="29">
        <v>69.019000000000005</v>
      </c>
      <c r="X12" s="29">
        <v>71.354100000000003</v>
      </c>
      <c r="Y12" s="29">
        <v>36.533200000000001</v>
      </c>
      <c r="Z12" s="29">
        <v>41.055399999999999</v>
      </c>
      <c r="AA12" s="29">
        <v>35.828499999999998</v>
      </c>
      <c r="AB12" s="29">
        <v>3181.37</v>
      </c>
      <c r="AC12" s="29">
        <v>1027.5</v>
      </c>
      <c r="AD12" s="29">
        <v>4.718</v>
      </c>
      <c r="AE12" s="29">
        <v>16.911000000000001</v>
      </c>
      <c r="AF12" s="4">
        <v>32</v>
      </c>
      <c r="AG12" s="27">
        <f t="shared" si="7"/>
        <v>7.3449225</v>
      </c>
      <c r="AH12" s="28">
        <f t="shared" si="8"/>
        <v>0.34582462895593508</v>
      </c>
      <c r="AI12" s="28">
        <f t="shared" si="9"/>
        <v>0.11914054904682626</v>
      </c>
      <c r="AJ12" s="28">
        <f t="shared" si="10"/>
        <v>7.9921291696868152E-2</v>
      </c>
      <c r="AK12" s="28">
        <f t="shared" si="11"/>
        <v>0.22666253920970086</v>
      </c>
      <c r="AL12" s="25">
        <f t="shared" si="12"/>
        <v>2699104</v>
      </c>
      <c r="AM12" s="28">
        <f t="shared" si="13"/>
        <v>0.34446538068809152</v>
      </c>
      <c r="AN12" s="29">
        <v>22744184</v>
      </c>
      <c r="AO12" s="29">
        <v>710756</v>
      </c>
      <c r="AP12" s="29">
        <v>26442.5</v>
      </c>
      <c r="AQ12" s="30">
        <v>7834584</v>
      </c>
      <c r="AR12" s="30">
        <v>1810600</v>
      </c>
      <c r="AS12" s="30">
        <v>888504</v>
      </c>
      <c r="AT12" s="30">
        <v>5134992</v>
      </c>
      <c r="AU12" s="31">
        <v>69.019000000000005</v>
      </c>
      <c r="AV12" s="31">
        <v>71.354100000000003</v>
      </c>
      <c r="AW12" s="31">
        <v>36.533200000000001</v>
      </c>
      <c r="AX12" s="31">
        <v>41.055399999999999</v>
      </c>
      <c r="AY12" s="31">
        <v>35.828499999999998</v>
      </c>
      <c r="AZ12" s="32">
        <v>3237.27</v>
      </c>
      <c r="BA12" s="32">
        <v>1210.33</v>
      </c>
      <c r="BB12" s="32">
        <v>5.1429999999999998</v>
      </c>
      <c r="BC12" s="32">
        <v>18.312999999999999</v>
      </c>
      <c r="BD12" s="4">
        <v>32</v>
      </c>
      <c r="BE12" s="33">
        <f t="shared" si="14"/>
        <v>0</v>
      </c>
      <c r="BF12" s="33">
        <f t="shared" si="15"/>
        <v>3.5178496954335614E-7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-8</v>
      </c>
    </row>
    <row r="13" spans="1:73" outlineLevel="1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12.714952500000001</v>
      </c>
      <c r="J13" s="18">
        <f t="shared" si="1"/>
        <v>0.59866441483961741</v>
      </c>
      <c r="K13" s="18">
        <f t="shared" si="2"/>
        <v>0.16078613665304939</v>
      </c>
      <c r="L13" s="18">
        <f t="shared" si="3"/>
        <v>0.12156687930309128</v>
      </c>
      <c r="M13" s="18">
        <f t="shared" si="4"/>
        <v>0.43785638436094021</v>
      </c>
      <c r="N13" s="15">
        <f t="shared" si="5"/>
        <v>3642576</v>
      </c>
      <c r="O13" s="18">
        <f t="shared" si="6"/>
        <v>0.57167731027630753</v>
      </c>
      <c r="P13" s="19">
        <v>23724251</v>
      </c>
      <c r="Q13" s="19">
        <v>741383</v>
      </c>
      <c r="R13" s="19">
        <v>30299.8</v>
      </c>
      <c r="S13" s="19">
        <v>13562616</v>
      </c>
      <c r="T13" s="19">
        <v>2754072</v>
      </c>
      <c r="U13" s="19">
        <v>888504</v>
      </c>
      <c r="V13" s="19">
        <v>9919544</v>
      </c>
      <c r="W13" s="19">
        <v>70.047799999999995</v>
      </c>
      <c r="X13" s="19">
        <v>72.594899999999996</v>
      </c>
      <c r="Y13" s="19">
        <v>38.872300000000003</v>
      </c>
      <c r="Z13" s="19">
        <v>42.220199999999998</v>
      </c>
      <c r="AA13" s="19">
        <v>37.913200000000003</v>
      </c>
      <c r="AB13" s="19">
        <v>3318.17</v>
      </c>
      <c r="AC13" s="19">
        <v>1356.36</v>
      </c>
      <c r="AD13" s="19">
        <v>5.3220000000000001</v>
      </c>
      <c r="AE13" s="19">
        <v>19.331</v>
      </c>
      <c r="AF13" s="4">
        <v>32</v>
      </c>
      <c r="AG13" s="17">
        <f t="shared" si="7"/>
        <v>12.714945</v>
      </c>
      <c r="AH13" s="18">
        <f t="shared" si="8"/>
        <v>0.59866406171339759</v>
      </c>
      <c r="AI13" s="18">
        <f t="shared" si="9"/>
        <v>0.16078613665304939</v>
      </c>
      <c r="AJ13" s="18">
        <f t="shared" si="10"/>
        <v>0.12156687930309128</v>
      </c>
      <c r="AK13" s="18">
        <f t="shared" si="11"/>
        <v>0.43785638436094021</v>
      </c>
      <c r="AL13" s="15">
        <f t="shared" si="12"/>
        <v>3642576</v>
      </c>
      <c r="AM13" s="18">
        <f t="shared" si="13"/>
        <v>0.57167697306861232</v>
      </c>
      <c r="AN13" s="19">
        <v>23724251</v>
      </c>
      <c r="AO13" s="19">
        <v>741383</v>
      </c>
      <c r="AP13" s="19">
        <v>30299.8</v>
      </c>
      <c r="AQ13" s="20">
        <v>13562608</v>
      </c>
      <c r="AR13" s="20">
        <v>2754072</v>
      </c>
      <c r="AS13" s="20">
        <v>888504</v>
      </c>
      <c r="AT13" s="20">
        <v>9919544</v>
      </c>
      <c r="AU13" s="21">
        <v>70.047799999999995</v>
      </c>
      <c r="AV13" s="21">
        <v>72.594899999999996</v>
      </c>
      <c r="AW13" s="21">
        <v>38.872300000000003</v>
      </c>
      <c r="AX13" s="21">
        <v>42.220199999999998</v>
      </c>
      <c r="AY13" s="21">
        <v>37.913200000000003</v>
      </c>
      <c r="AZ13" s="22">
        <v>3308.64</v>
      </c>
      <c r="BA13" s="22">
        <v>1353.05</v>
      </c>
      <c r="BB13" s="22">
        <v>5.266</v>
      </c>
      <c r="BC13" s="22">
        <v>19.669</v>
      </c>
      <c r="BD13" s="4">
        <v>32</v>
      </c>
      <c r="BE13" s="23">
        <f t="shared" si="14"/>
        <v>0</v>
      </c>
      <c r="BF13" s="23">
        <f t="shared" si="15"/>
        <v>1.5842070211213866E-7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-8</v>
      </c>
    </row>
    <row r="14" spans="1:73" ht="13.5" outlineLevel="1" thickBot="1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22.8675225</v>
      </c>
      <c r="J14" s="48">
        <f t="shared" si="1"/>
        <v>1.076682903557389</v>
      </c>
      <c r="K14" s="48">
        <f t="shared" si="2"/>
        <v>0.26419738449119962</v>
      </c>
      <c r="L14" s="48">
        <f t="shared" si="3"/>
        <v>0.19096183151385784</v>
      </c>
      <c r="M14" s="48">
        <f t="shared" si="4"/>
        <v>0.8124636252405617</v>
      </c>
      <c r="N14" s="45">
        <f t="shared" si="5"/>
        <v>5985336</v>
      </c>
      <c r="O14" s="48">
        <f t="shared" si="6"/>
        <v>1.0848596272991367</v>
      </c>
      <c r="P14" s="49">
        <v>22484037</v>
      </c>
      <c r="Q14" s="49">
        <v>702626</v>
      </c>
      <c r="R14" s="49">
        <v>8241</v>
      </c>
      <c r="S14" s="49">
        <v>24392024</v>
      </c>
      <c r="T14" s="49">
        <v>4326200</v>
      </c>
      <c r="U14" s="49">
        <v>1659136</v>
      </c>
      <c r="V14" s="49">
        <v>18406192</v>
      </c>
      <c r="W14" s="49">
        <v>71.405100000000004</v>
      </c>
      <c r="X14" s="49">
        <v>74.817300000000003</v>
      </c>
      <c r="Y14" s="49">
        <v>41.202300000000001</v>
      </c>
      <c r="Z14" s="49">
        <v>43.569800000000001</v>
      </c>
      <c r="AA14" s="49">
        <v>39.829700000000003</v>
      </c>
      <c r="AB14" s="49">
        <v>3245.86</v>
      </c>
      <c r="AC14" s="49">
        <v>1346.17</v>
      </c>
      <c r="AD14" s="49">
        <v>5.24</v>
      </c>
      <c r="AE14" s="49">
        <v>18.832999999999998</v>
      </c>
      <c r="AF14" s="4">
        <v>32</v>
      </c>
      <c r="AG14" s="47">
        <f t="shared" si="7"/>
        <v>22.974517500000001</v>
      </c>
      <c r="AH14" s="48">
        <f t="shared" si="8"/>
        <v>1.0817206022090959</v>
      </c>
      <c r="AI14" s="48">
        <f t="shared" si="9"/>
        <v>0.26419738449119962</v>
      </c>
      <c r="AJ14" s="48">
        <f t="shared" si="10"/>
        <v>0.19096183151385784</v>
      </c>
      <c r="AK14" s="48">
        <f t="shared" si="11"/>
        <v>0.81750167701848819</v>
      </c>
      <c r="AL14" s="45">
        <f t="shared" si="12"/>
        <v>5985336</v>
      </c>
      <c r="AM14" s="48">
        <f t="shared" si="13"/>
        <v>1.0899355840768274</v>
      </c>
      <c r="AN14" s="49">
        <v>22484037</v>
      </c>
      <c r="AO14" s="49">
        <v>702626</v>
      </c>
      <c r="AP14" s="49">
        <v>14049.2</v>
      </c>
      <c r="AQ14" s="50">
        <v>24506152</v>
      </c>
      <c r="AR14" s="50">
        <v>4326200</v>
      </c>
      <c r="AS14" s="50">
        <v>1659136</v>
      </c>
      <c r="AT14" s="50">
        <v>18520328</v>
      </c>
      <c r="AU14" s="51">
        <v>71.211699999999993</v>
      </c>
      <c r="AV14" s="51">
        <v>74.745199999999997</v>
      </c>
      <c r="AW14" s="51">
        <v>41.134500000000003</v>
      </c>
      <c r="AX14" s="51">
        <v>43.554200000000002</v>
      </c>
      <c r="AY14" s="51">
        <v>39.763199999999998</v>
      </c>
      <c r="AZ14" s="52">
        <v>3549.69</v>
      </c>
      <c r="BA14" s="52">
        <v>1316.39</v>
      </c>
      <c r="BB14" s="52">
        <v>4.7729999999999997</v>
      </c>
      <c r="BC14" s="52">
        <v>19.364000000000001</v>
      </c>
      <c r="BD14" s="4">
        <v>32</v>
      </c>
      <c r="BE14" s="53">
        <f t="shared" si="14"/>
        <v>8.2664176959008056E-3</v>
      </c>
      <c r="BF14" s="53">
        <f t="shared" si="15"/>
        <v>-1.1427672366918495E-3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114128</v>
      </c>
    </row>
    <row r="15" spans="1:7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4.5230100000000002</v>
      </c>
      <c r="J15" s="18">
        <f t="shared" si="1"/>
        <v>0.14211688691416607</v>
      </c>
      <c r="K15" s="18">
        <f t="shared" si="2"/>
        <v>7.8552555432444673E-2</v>
      </c>
      <c r="L15" s="18">
        <f t="shared" si="3"/>
        <v>4.1034864258033488E-2</v>
      </c>
      <c r="M15" s="18">
        <f t="shared" si="4"/>
        <v>6.3549720779464469E-2</v>
      </c>
      <c r="N15" s="15">
        <f t="shared" si="5"/>
        <v>2666680</v>
      </c>
      <c r="O15" s="18">
        <f t="shared" si="6"/>
        <v>0.15553484785400457</v>
      </c>
      <c r="P15" s="19">
        <v>31019055</v>
      </c>
      <c r="Q15" s="19">
        <v>969345</v>
      </c>
      <c r="R15" s="19">
        <v>30632.6</v>
      </c>
      <c r="S15" s="19">
        <v>4824544</v>
      </c>
      <c r="T15" s="19">
        <v>1393040</v>
      </c>
      <c r="U15" s="19">
        <v>1273640</v>
      </c>
      <c r="V15" s="19">
        <v>2157368</v>
      </c>
      <c r="W15" s="19">
        <v>65.993700000000004</v>
      </c>
      <c r="X15" s="19">
        <v>67.834500000000006</v>
      </c>
      <c r="Y15" s="19">
        <v>29.619800000000001</v>
      </c>
      <c r="Z15" s="19">
        <v>43.190899999999999</v>
      </c>
      <c r="AA15" s="19">
        <v>43.488199999999999</v>
      </c>
      <c r="AB15" s="19">
        <v>3858.15</v>
      </c>
      <c r="AC15" s="19">
        <v>1331.08</v>
      </c>
      <c r="AD15" s="19">
        <v>7.0170000000000003</v>
      </c>
      <c r="AE15" s="19">
        <v>21.602</v>
      </c>
      <c r="AF15" s="4">
        <v>32</v>
      </c>
      <c r="AG15" s="17">
        <f t="shared" si="7"/>
        <v>4.5230024999999996</v>
      </c>
      <c r="AH15" s="18">
        <f t="shared" si="8"/>
        <v>0.14211665125767806</v>
      </c>
      <c r="AI15" s="18">
        <f t="shared" si="9"/>
        <v>7.8552555432444673E-2</v>
      </c>
      <c r="AJ15" s="18">
        <f t="shared" si="10"/>
        <v>4.1034864258033488E-2</v>
      </c>
      <c r="AK15" s="18">
        <f t="shared" si="11"/>
        <v>6.3549720779464469E-2</v>
      </c>
      <c r="AL15" s="15">
        <f t="shared" si="12"/>
        <v>2666680</v>
      </c>
      <c r="AM15" s="18">
        <f t="shared" si="13"/>
        <v>0.15553458994801744</v>
      </c>
      <c r="AN15" s="19">
        <v>31019055</v>
      </c>
      <c r="AO15" s="19">
        <v>969345</v>
      </c>
      <c r="AP15" s="19">
        <v>30632.6</v>
      </c>
      <c r="AQ15" s="20">
        <v>4824536</v>
      </c>
      <c r="AR15" s="20">
        <v>1393040</v>
      </c>
      <c r="AS15" s="20">
        <v>1273640</v>
      </c>
      <c r="AT15" s="20">
        <v>2157368</v>
      </c>
      <c r="AU15" s="21">
        <v>65.993700000000004</v>
      </c>
      <c r="AV15" s="21">
        <v>67.834500000000006</v>
      </c>
      <c r="AW15" s="21">
        <v>29.619800000000001</v>
      </c>
      <c r="AX15" s="21">
        <v>43.190899999999999</v>
      </c>
      <c r="AY15" s="21">
        <v>43.488199999999999</v>
      </c>
      <c r="AZ15" s="22">
        <v>3700.34</v>
      </c>
      <c r="BA15" s="22">
        <v>1113.03</v>
      </c>
      <c r="BB15" s="22">
        <v>6.3209999999999997</v>
      </c>
      <c r="BC15" s="22">
        <v>20.026</v>
      </c>
      <c r="BD15" s="4">
        <v>32</v>
      </c>
      <c r="BE15" s="23">
        <f t="shared" si="14"/>
        <v>0</v>
      </c>
      <c r="BF15" s="23">
        <f t="shared" si="15"/>
        <v>9.1653502887201199E-7</v>
      </c>
      <c r="BG15" s="23">
        <f t="array" ref="BG15">AVERAGE(AL15:AL19/AQ15:AQ19) - AVERAGE(N15:N19/S15:S19)</f>
        <v>-3.8570115374181313E-4</v>
      </c>
      <c r="BI15" s="24">
        <f>IF( OR(ISBLANK(N15:N19),ISBLANK(AL15:AL19), ISBLANK(W15:W19),ISBLANK(AU15:AU19)), "·", bdRateExtend( N15:N19,W15:W19, AL15:AL19,AU15:AU19))</f>
        <v>5.705388804504441E-3</v>
      </c>
      <c r="BJ15" s="24">
        <f>IF( OR(ISBLANK(N15:N19),ISBLANK(AL15:AL19), ISBLANK(X15:X19),ISBLANK(AV15:AV19)), "·", bdRateExtend( N15:N19,X15:X19, AL15:AL19,AV15:AV19))</f>
        <v>2.4640281703136591E-3</v>
      </c>
      <c r="BK15" s="24">
        <f>IF( OR(ISBLANK(V15:V19),ISBLANK(AT15:AT19), ISBLANK(Y15:Y19),ISBLANK(AW15:AW19)), "·", bdRateExtend( V15:V19,Y15:Y19, AT15:AT19,AW15:AW19))</f>
        <v>1.690146569088613E-3</v>
      </c>
      <c r="BL15" s="24">
        <f>IF( OR(ISBLANK(V15:V19),ISBLANK(AT15:AT19), ISBLANK(Z15:Z19),ISBLANK(AX15:AX19)), "·", bdRateExtend( V15:V19,Z15:Z19, AT15:AT19,AX15:AX19))</f>
        <v>1.5954715315826817E-3</v>
      </c>
      <c r="BM15" s="24">
        <f>IF( OR(ISBLANK(V15:V19),ISBLANK(AT15:AT19), ISBLANK(AA15:AA19),ISBLANK(AY15:AY19)), "·", bdRateExtend( V15:V19,AA15:AA19, AT15:AT19,AY15:AY19))</f>
        <v>1.3555667728928356E-3</v>
      </c>
      <c r="BO15" s="24">
        <f>IF( OR(ISBLANK(S15:S19),ISBLANK(AQ15:AQ19), ISBLANK(W15:W19),ISBLANK(AU15:AU19)), "·", bdRateExtend( S15:S19,W15:W19, AQ15:AQ19,AU15:AU19))</f>
        <v>6.2974037387573123E-3</v>
      </c>
      <c r="BP15" s="24">
        <f>IF( OR(ISBLANK(S15:S19),ISBLANK(AQ15:AQ19), ISBLANK(X15:X19),ISBLANK(AV15:AV19)), "·", bdRateExtend( S15:S19,X15:X19, AQ15:AQ19,AV15:AV19))</f>
        <v>3.2316206017881655E-3</v>
      </c>
      <c r="BQ15" s="24">
        <f>IF( OR(ISBLANK(S15:S19),ISBLANK(AQ15:AQ19), ISBLANK(Y15:Y19),ISBLANK(AW15:AW19)), "·", bdRateExtend( S15:S19,Y15:Y19, AQ15:AQ19,AW15:AW19))</f>
        <v>1.5190592572809081E-3</v>
      </c>
      <c r="BR15" s="24">
        <f>IF( OR(ISBLANK(S15:S19),ISBLANK(AQ15:AQ19), ISBLANK(Z15:Z19),ISBLANK(AX15:AX19)), "·", bdRateExtend( S15:S19,Z15:Z19, AQ15:AQ19,AX15:AX19))</f>
        <v>1.2295560153281482E-3</v>
      </c>
      <c r="BS15" s="24">
        <f>IF( OR(ISBLANK(S15:S19),ISBLANK(AQ15:AQ19), ISBLANK(AA15:AA19),ISBLANK(AY15:AY19)), "·", bdRateExtend( S15:S19,AA15:AA19, AQ15:AQ19,AY15:AY19))</f>
        <v>1.0017942617579489E-3</v>
      </c>
      <c r="BU15" s="4">
        <f t="shared" si="16"/>
        <v>-8</v>
      </c>
    </row>
    <row r="16" spans="1:73" outlineLevel="1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7.223535</v>
      </c>
      <c r="J16" s="28">
        <f t="shared" si="1"/>
        <v>0.22696971855368894</v>
      </c>
      <c r="K16" s="28">
        <f t="shared" si="2"/>
        <v>9.4459839686426045E-2</v>
      </c>
      <c r="L16" s="28">
        <f t="shared" si="3"/>
        <v>5.6942148512014859E-2</v>
      </c>
      <c r="M16" s="28">
        <f t="shared" si="4"/>
        <v>0.13249526816500595</v>
      </c>
      <c r="N16" s="25">
        <f t="shared" si="5"/>
        <v>3206696</v>
      </c>
      <c r="O16" s="28">
        <f t="shared" si="6"/>
        <v>0.22978563124064225</v>
      </c>
      <c r="P16" s="29">
        <v>33531705</v>
      </c>
      <c r="Q16" s="72">
        <v>1047870</v>
      </c>
      <c r="R16" s="29">
        <v>38886.5</v>
      </c>
      <c r="S16" s="29">
        <v>7705104</v>
      </c>
      <c r="T16" s="29">
        <v>1933056</v>
      </c>
      <c r="U16" s="29">
        <v>1273640</v>
      </c>
      <c r="V16" s="29">
        <v>4497912</v>
      </c>
      <c r="W16" s="29">
        <v>67.824299999999994</v>
      </c>
      <c r="X16" s="29">
        <v>69.877099999999999</v>
      </c>
      <c r="Y16" s="29">
        <v>32.069299999999998</v>
      </c>
      <c r="Z16" s="29">
        <v>44.040399999999998</v>
      </c>
      <c r="AA16" s="29">
        <v>44.46</v>
      </c>
      <c r="AB16" s="29">
        <v>3936.68</v>
      </c>
      <c r="AC16" s="29">
        <v>1433.57</v>
      </c>
      <c r="AD16" s="29">
        <v>7.4729999999999999</v>
      </c>
      <c r="AE16" s="29">
        <v>22.209</v>
      </c>
      <c r="AF16" s="4">
        <v>32</v>
      </c>
      <c r="AG16" s="27">
        <f t="shared" si="7"/>
        <v>7.2235275000000003</v>
      </c>
      <c r="AH16" s="28">
        <f t="shared" si="8"/>
        <v>0.22696948289720092</v>
      </c>
      <c r="AI16" s="28">
        <f t="shared" si="9"/>
        <v>9.4459839686426045E-2</v>
      </c>
      <c r="AJ16" s="28">
        <f t="shared" si="10"/>
        <v>5.6942148512014859E-2</v>
      </c>
      <c r="AK16" s="28">
        <f t="shared" si="11"/>
        <v>0.13249526816500595</v>
      </c>
      <c r="AL16" s="25">
        <f t="shared" si="12"/>
        <v>3206696</v>
      </c>
      <c r="AM16" s="28">
        <f t="shared" si="13"/>
        <v>0.22978539266046866</v>
      </c>
      <c r="AN16" s="29">
        <v>33531705</v>
      </c>
      <c r="AO16" s="72">
        <v>1047870</v>
      </c>
      <c r="AP16" s="29">
        <v>38886.5</v>
      </c>
      <c r="AQ16" s="30">
        <v>7705096</v>
      </c>
      <c r="AR16" s="30">
        <v>1933056</v>
      </c>
      <c r="AS16" s="30">
        <v>1273640</v>
      </c>
      <c r="AT16" s="30">
        <v>4497912</v>
      </c>
      <c r="AU16" s="31">
        <v>67.824299999999994</v>
      </c>
      <c r="AV16" s="31">
        <v>69.877099999999999</v>
      </c>
      <c r="AW16" s="31">
        <v>32.069299999999998</v>
      </c>
      <c r="AX16" s="31">
        <v>44.040399999999998</v>
      </c>
      <c r="AY16" s="31">
        <v>44.46</v>
      </c>
      <c r="AZ16" s="32">
        <v>3846.66</v>
      </c>
      <c r="BA16" s="32">
        <v>1421.2</v>
      </c>
      <c r="BB16" s="32">
        <v>7.3810000000000002</v>
      </c>
      <c r="BC16" s="32">
        <v>22.178000000000001</v>
      </c>
      <c r="BD16" s="4">
        <v>32</v>
      </c>
      <c r="BE16" s="33">
        <f t="shared" si="14"/>
        <v>0</v>
      </c>
      <c r="BF16" s="33">
        <f t="shared" si="15"/>
        <v>4.3210691658135403E-7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-8</v>
      </c>
    </row>
    <row r="17" spans="1:73" outlineLevel="1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12.1654125</v>
      </c>
      <c r="J17" s="18">
        <f t="shared" si="1"/>
        <v>0.38224778466699882</v>
      </c>
      <c r="K17" s="18">
        <f t="shared" si="2"/>
        <v>0.11806413615194988</v>
      </c>
      <c r="L17" s="18">
        <f t="shared" si="3"/>
        <v>8.0546444977538698E-2</v>
      </c>
      <c r="M17" s="18">
        <f t="shared" si="4"/>
        <v>0.264169037812792</v>
      </c>
      <c r="N17" s="15">
        <f t="shared" si="5"/>
        <v>4008008</v>
      </c>
      <c r="O17" s="18">
        <f t="shared" si="6"/>
        <v>0.3812197024560075</v>
      </c>
      <c r="P17" s="19">
        <v>34039269</v>
      </c>
      <c r="Q17" s="73">
        <v>1063730</v>
      </c>
      <c r="R17" s="19">
        <v>40807.300000000003</v>
      </c>
      <c r="S17" s="19">
        <v>12976440</v>
      </c>
      <c r="T17" s="19">
        <v>2734368</v>
      </c>
      <c r="U17" s="19">
        <v>1273640</v>
      </c>
      <c r="V17" s="19">
        <v>8967936</v>
      </c>
      <c r="W17" s="19">
        <v>69.261200000000002</v>
      </c>
      <c r="X17" s="19">
        <v>71.672799999999995</v>
      </c>
      <c r="Y17" s="19">
        <v>34.620100000000001</v>
      </c>
      <c r="Z17" s="19">
        <v>44.856699999999996</v>
      </c>
      <c r="AA17" s="19">
        <v>45.372</v>
      </c>
      <c r="AB17" s="19">
        <v>3798.5</v>
      </c>
      <c r="AC17" s="19">
        <v>1386.79</v>
      </c>
      <c r="AD17" s="19">
        <v>7.2080000000000002</v>
      </c>
      <c r="AE17" s="19">
        <v>22.041</v>
      </c>
      <c r="AF17" s="4">
        <v>32</v>
      </c>
      <c r="AG17" s="17">
        <f t="shared" si="7"/>
        <v>12.165405</v>
      </c>
      <c r="AH17" s="18">
        <f t="shared" si="8"/>
        <v>0.38224754901051083</v>
      </c>
      <c r="AI17" s="18">
        <f t="shared" si="9"/>
        <v>0.11806413615194988</v>
      </c>
      <c r="AJ17" s="18">
        <f t="shared" si="10"/>
        <v>8.0546444977538698E-2</v>
      </c>
      <c r="AK17" s="18">
        <f t="shared" si="11"/>
        <v>0.264169037812792</v>
      </c>
      <c r="AL17" s="15">
        <f t="shared" si="12"/>
        <v>4008008</v>
      </c>
      <c r="AM17" s="18">
        <f t="shared" si="13"/>
        <v>0.38121946743333412</v>
      </c>
      <c r="AN17" s="19">
        <v>34039269</v>
      </c>
      <c r="AO17" s="73">
        <v>1063730</v>
      </c>
      <c r="AP17" s="19">
        <v>40807.300000000003</v>
      </c>
      <c r="AQ17" s="20">
        <v>12976432</v>
      </c>
      <c r="AR17" s="20">
        <v>2734368</v>
      </c>
      <c r="AS17" s="20">
        <v>1273640</v>
      </c>
      <c r="AT17" s="20">
        <v>8967936</v>
      </c>
      <c r="AU17" s="21">
        <v>69.261200000000002</v>
      </c>
      <c r="AV17" s="21">
        <v>71.672799999999995</v>
      </c>
      <c r="AW17" s="21">
        <v>34.620100000000001</v>
      </c>
      <c r="AX17" s="21">
        <v>44.856699999999996</v>
      </c>
      <c r="AY17" s="21">
        <v>45.372</v>
      </c>
      <c r="AZ17" s="22">
        <v>3874.84</v>
      </c>
      <c r="BA17" s="22">
        <v>1298.24</v>
      </c>
      <c r="BB17" s="22">
        <v>7.0369999999999999</v>
      </c>
      <c r="BC17" s="22">
        <v>21.552</v>
      </c>
      <c r="BD17" s="4">
        <v>32</v>
      </c>
      <c r="BE17" s="23">
        <f t="shared" si="14"/>
        <v>0</v>
      </c>
      <c r="BF17" s="23">
        <f t="shared" si="15"/>
        <v>1.9041787246987241E-7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-8</v>
      </c>
    </row>
    <row r="18" spans="1:73" outlineLevel="1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21.973485</v>
      </c>
      <c r="J18" s="28">
        <f t="shared" si="1"/>
        <v>0.6904259072730603</v>
      </c>
      <c r="K18" s="28">
        <f t="shared" si="2"/>
        <v>0.15696772313237667</v>
      </c>
      <c r="L18" s="28">
        <f t="shared" si="3"/>
        <v>0.11945003195796548</v>
      </c>
      <c r="M18" s="28">
        <f t="shared" si="4"/>
        <v>0.53344357343842674</v>
      </c>
      <c r="N18" s="25">
        <f t="shared" si="5"/>
        <v>5328696</v>
      </c>
      <c r="O18" s="28">
        <f t="shared" si="6"/>
        <v>0.65917191275066989</v>
      </c>
      <c r="P18" s="29">
        <v>35557316</v>
      </c>
      <c r="Q18" s="72">
        <v>1111170</v>
      </c>
      <c r="R18" s="29">
        <v>46580.5</v>
      </c>
      <c r="S18" s="29">
        <v>23438384</v>
      </c>
      <c r="T18" s="29">
        <v>4055056</v>
      </c>
      <c r="U18" s="29">
        <v>1273640</v>
      </c>
      <c r="V18" s="29">
        <v>18109192</v>
      </c>
      <c r="W18" s="29">
        <v>70.382000000000005</v>
      </c>
      <c r="X18" s="29">
        <v>73.005499999999998</v>
      </c>
      <c r="Y18" s="29">
        <v>37.274700000000003</v>
      </c>
      <c r="Z18" s="29">
        <v>46.213700000000003</v>
      </c>
      <c r="AA18" s="29">
        <v>46.780200000000001</v>
      </c>
      <c r="AB18" s="29">
        <v>4087.39</v>
      </c>
      <c r="AC18" s="29">
        <v>1790.01</v>
      </c>
      <c r="AD18" s="29">
        <v>7.9420000000000002</v>
      </c>
      <c r="AE18" s="29">
        <v>24.198</v>
      </c>
      <c r="AF18" s="4">
        <v>32</v>
      </c>
      <c r="AG18" s="27">
        <f t="shared" si="7"/>
        <v>21.973477500000001</v>
      </c>
      <c r="AH18" s="28">
        <f t="shared" si="8"/>
        <v>0.69042567161657231</v>
      </c>
      <c r="AI18" s="28">
        <f t="shared" si="9"/>
        <v>0.15696772313237667</v>
      </c>
      <c r="AJ18" s="28">
        <f t="shared" si="10"/>
        <v>0.11945003195796548</v>
      </c>
      <c r="AK18" s="28">
        <f t="shared" si="11"/>
        <v>0.53344357343842674</v>
      </c>
      <c r="AL18" s="25">
        <f t="shared" si="12"/>
        <v>5328696</v>
      </c>
      <c r="AM18" s="28">
        <f t="shared" si="13"/>
        <v>0.65917168776180968</v>
      </c>
      <c r="AN18" s="29">
        <v>35557316</v>
      </c>
      <c r="AO18" s="72">
        <v>1111170</v>
      </c>
      <c r="AP18" s="29">
        <v>46580.5</v>
      </c>
      <c r="AQ18" s="30">
        <v>23438376</v>
      </c>
      <c r="AR18" s="30">
        <v>4055056</v>
      </c>
      <c r="AS18" s="30">
        <v>1273640</v>
      </c>
      <c r="AT18" s="30">
        <v>18109192</v>
      </c>
      <c r="AU18" s="31">
        <v>70.382000000000005</v>
      </c>
      <c r="AV18" s="31">
        <v>73.005499999999998</v>
      </c>
      <c r="AW18" s="31">
        <v>37.274700000000003</v>
      </c>
      <c r="AX18" s="31">
        <v>46.213700000000003</v>
      </c>
      <c r="AY18" s="31">
        <v>46.780200000000001</v>
      </c>
      <c r="AZ18" s="32">
        <v>3866.4</v>
      </c>
      <c r="BA18" s="32">
        <v>1784.12</v>
      </c>
      <c r="BB18" s="32">
        <v>7.7690000000000001</v>
      </c>
      <c r="BC18" s="32">
        <v>23.843</v>
      </c>
      <c r="BD18" s="4">
        <v>32</v>
      </c>
      <c r="BE18" s="33">
        <f t="shared" si="14"/>
        <v>0</v>
      </c>
      <c r="BF18" s="33">
        <f t="shared" si="15"/>
        <v>7.7598932973765855E-8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-8</v>
      </c>
    </row>
    <row r="19" spans="1:73" ht="13.5" outlineLevel="1" thickBot="1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39.4071675</v>
      </c>
      <c r="J19" s="38">
        <f t="shared" si="1"/>
        <v>1.2382072927552892</v>
      </c>
      <c r="K19" s="38">
        <f t="shared" si="2"/>
        <v>0.25350840960797422</v>
      </c>
      <c r="L19" s="38">
        <f t="shared" si="3"/>
        <v>0.18329267375203245</v>
      </c>
      <c r="M19" s="38">
        <f t="shared" si="4"/>
        <v>0.98468427244505796</v>
      </c>
      <c r="N19" s="35">
        <f t="shared" si="5"/>
        <v>8606032</v>
      </c>
      <c r="O19" s="38">
        <f t="shared" si="6"/>
        <v>1.245438659949474</v>
      </c>
      <c r="P19" s="39">
        <v>33750608</v>
      </c>
      <c r="Q19" s="74">
        <v>1054710</v>
      </c>
      <c r="R19" s="39">
        <v>12599.8</v>
      </c>
      <c r="S19" s="39">
        <v>42034312</v>
      </c>
      <c r="T19" s="39">
        <v>6222368</v>
      </c>
      <c r="U19" s="39">
        <v>2383664</v>
      </c>
      <c r="V19" s="39">
        <v>33427784</v>
      </c>
      <c r="W19" s="39">
        <v>71.713800000000006</v>
      </c>
      <c r="X19" s="39">
        <v>75.179699999999997</v>
      </c>
      <c r="Y19" s="39">
        <v>39.3889</v>
      </c>
      <c r="Z19" s="39">
        <v>47.9803</v>
      </c>
      <c r="AA19" s="39">
        <v>48.576500000000003</v>
      </c>
      <c r="AB19" s="39">
        <v>3917.07</v>
      </c>
      <c r="AC19" s="39">
        <v>2159.27</v>
      </c>
      <c r="AD19" s="39">
        <v>8.2379999999999995</v>
      </c>
      <c r="AE19" s="39">
        <v>25.713000000000001</v>
      </c>
      <c r="AF19" s="4">
        <v>32</v>
      </c>
      <c r="AG19" s="37">
        <f t="shared" si="7"/>
        <v>39.782204999999998</v>
      </c>
      <c r="AH19" s="38">
        <f t="shared" si="8"/>
        <v>1.249991295438474</v>
      </c>
      <c r="AI19" s="38">
        <f t="shared" si="9"/>
        <v>0.25350840960797422</v>
      </c>
      <c r="AJ19" s="38">
        <f t="shared" si="10"/>
        <v>0.18329267375203245</v>
      </c>
      <c r="AK19" s="38">
        <f t="shared" si="11"/>
        <v>0.99646851078473075</v>
      </c>
      <c r="AL19" s="35">
        <f t="shared" si="12"/>
        <v>8606032</v>
      </c>
      <c r="AM19" s="38">
        <f t="shared" si="13"/>
        <v>1.2572914834600906</v>
      </c>
      <c r="AN19" s="39">
        <v>33750608</v>
      </c>
      <c r="AO19" s="74">
        <v>1054710</v>
      </c>
      <c r="AP19" s="39">
        <v>20504</v>
      </c>
      <c r="AQ19" s="40">
        <v>42434352</v>
      </c>
      <c r="AR19" s="40">
        <v>6222368</v>
      </c>
      <c r="AS19" s="40">
        <v>2383664</v>
      </c>
      <c r="AT19" s="40">
        <v>33827832</v>
      </c>
      <c r="AU19" s="41">
        <v>71.537800000000004</v>
      </c>
      <c r="AV19" s="41">
        <v>75.080699999999993</v>
      </c>
      <c r="AW19" s="41">
        <v>39.354700000000001</v>
      </c>
      <c r="AX19" s="41">
        <v>47.983600000000003</v>
      </c>
      <c r="AY19" s="41">
        <v>48.584200000000003</v>
      </c>
      <c r="AZ19" s="42">
        <v>3733.62</v>
      </c>
      <c r="BA19" s="42">
        <v>1865.53</v>
      </c>
      <c r="BB19" s="42">
        <v>7.1059999999999999</v>
      </c>
      <c r="BC19" s="42">
        <v>24.497</v>
      </c>
      <c r="BD19" s="4">
        <v>32</v>
      </c>
      <c r="BE19" s="43">
        <f t="shared" si="14"/>
        <v>7.4941927164813085E-3</v>
      </c>
      <c r="BF19" s="43">
        <f t="shared" si="15"/>
        <v>-1.9301224274599349E-3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400040</v>
      </c>
    </row>
    <row r="20" spans="1:7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5.3381499999999997</v>
      </c>
      <c r="J20" s="28">
        <f t="shared" si="1"/>
        <v>0.10606811134168734</v>
      </c>
      <c r="K20" s="28">
        <f t="shared" si="2"/>
        <v>5.9300750399499925E-2</v>
      </c>
      <c r="L20" s="28">
        <f t="shared" si="3"/>
        <v>2.9250619139119301E-2</v>
      </c>
      <c r="M20" s="28">
        <f t="shared" si="4"/>
        <v>4.6751961827083896E-2</v>
      </c>
      <c r="N20" s="25">
        <f t="shared" si="5"/>
        <v>1910056</v>
      </c>
      <c r="O20" s="28">
        <f t="shared" si="6"/>
        <v>0.11301245453340769</v>
      </c>
      <c r="P20" s="29">
        <v>30230438</v>
      </c>
      <c r="Q20" s="29">
        <v>944701</v>
      </c>
      <c r="R20" s="29">
        <v>27161</v>
      </c>
      <c r="S20" s="29">
        <v>3416416</v>
      </c>
      <c r="T20" s="29">
        <v>942152</v>
      </c>
      <c r="U20" s="29">
        <v>967904</v>
      </c>
      <c r="V20" s="29">
        <v>1505864</v>
      </c>
      <c r="W20" s="29">
        <v>67.065799999999996</v>
      </c>
      <c r="X20" s="29">
        <v>68.733999999999995</v>
      </c>
      <c r="Y20" s="29">
        <v>30.891400000000001</v>
      </c>
      <c r="Z20" s="29">
        <v>39.585900000000002</v>
      </c>
      <c r="AA20" s="29">
        <v>38.404600000000002</v>
      </c>
      <c r="AB20" s="29">
        <v>4084</v>
      </c>
      <c r="AC20" s="29">
        <v>1147.19</v>
      </c>
      <c r="AD20" s="29">
        <v>6.2069999999999999</v>
      </c>
      <c r="AE20" s="29">
        <v>18.068999999999999</v>
      </c>
      <c r="AF20" s="4">
        <v>32</v>
      </c>
      <c r="AG20" s="27">
        <f t="shared" si="7"/>
        <v>5.3381375000000002</v>
      </c>
      <c r="AH20" s="28">
        <f t="shared" si="8"/>
        <v>0.10606786296886309</v>
      </c>
      <c r="AI20" s="28">
        <f t="shared" si="9"/>
        <v>5.9300750399499925E-2</v>
      </c>
      <c r="AJ20" s="28">
        <f t="shared" si="10"/>
        <v>2.9250619139119301E-2</v>
      </c>
      <c r="AK20" s="28">
        <f t="shared" si="11"/>
        <v>4.6751961827083896E-2</v>
      </c>
      <c r="AL20" s="25">
        <f t="shared" si="12"/>
        <v>1910056</v>
      </c>
      <c r="AM20" s="28">
        <f t="shared" si="13"/>
        <v>0.1130121898994649</v>
      </c>
      <c r="AN20" s="29">
        <v>30230438</v>
      </c>
      <c r="AO20" s="29">
        <v>944701</v>
      </c>
      <c r="AP20" s="29">
        <v>27161</v>
      </c>
      <c r="AQ20" s="30">
        <v>3416408</v>
      </c>
      <c r="AR20" s="30">
        <v>942152</v>
      </c>
      <c r="AS20" s="30">
        <v>967904</v>
      </c>
      <c r="AT20" s="30">
        <v>1505864</v>
      </c>
      <c r="AU20" s="31">
        <v>67.065799999999996</v>
      </c>
      <c r="AV20" s="31">
        <v>68.733999999999995</v>
      </c>
      <c r="AW20" s="31">
        <v>30.891400000000001</v>
      </c>
      <c r="AX20" s="31">
        <v>39.585900000000002</v>
      </c>
      <c r="AY20" s="31">
        <v>38.404600000000002</v>
      </c>
      <c r="AZ20" s="32">
        <v>4025.86</v>
      </c>
      <c r="BA20" s="32">
        <v>1134.79</v>
      </c>
      <c r="BB20" s="32">
        <v>6.0960000000000001</v>
      </c>
      <c r="BC20" s="32">
        <v>17.895</v>
      </c>
      <c r="BD20" s="4">
        <v>32</v>
      </c>
      <c r="BE20" s="33">
        <f t="shared" si="14"/>
        <v>0</v>
      </c>
      <c r="BF20" s="33">
        <f t="shared" si="15"/>
        <v>1.309168689456186E-6</v>
      </c>
      <c r="BG20" s="33">
        <f t="array" ref="BG20">AVERAGE(AL20:AL24/AQ20:AQ24) - AVERAGE(N20:N24/S20:S24)</f>
        <v>-1.1286805970910363E-3</v>
      </c>
      <c r="BI20" s="34">
        <f>IF( OR(ISBLANK(N20:N24),ISBLANK(AL20:AL24), ISBLANK(W20:W24),ISBLANK(AU20:AU24)), "·", bdRateExtend( N20:N24,W20:W24, AL20:AL24,AU20:AU24))</f>
        <v>9.7282348383049833E-3</v>
      </c>
      <c r="BJ20" s="34">
        <f>IF( OR(ISBLANK(N20:N24),ISBLANK(AL20:AL24), ISBLANK(X20:X24),ISBLANK(AV20:AV24)), "·", bdRateExtend( N20:N24,X20:X24, AL20:AL24,AV20:AV24))</f>
        <v>6.9967524881153764E-3</v>
      </c>
      <c r="BK20" s="34">
        <f>IF( OR(ISBLANK(V20:V24),ISBLANK(AT20:AT24), ISBLANK(Y20:Y24),ISBLANK(AW20:AW24)), "·", bdRateExtend( V20:V24,Y20:Y24, AT20:AT24,AW20:AW24))</f>
        <v>6.5754901289634127E-3</v>
      </c>
      <c r="BL20" s="34">
        <f>IF( OR(ISBLANK(V20:V24),ISBLANK(AT20:AT24), ISBLANK(Z20:Z24),ISBLANK(AX20:AX24)), "·", bdRateExtend( V20:V24,Z20:Z24, AT20:AT24,AX20:AX24))</f>
        <v>9.8590603853334624E-3</v>
      </c>
      <c r="BM20" s="34">
        <f>IF( OR(ISBLANK(V20:V24),ISBLANK(AT20:AT24), ISBLANK(AA20:AA24),ISBLANK(AY20:AY24)), "·", bdRateExtend( V20:V24,AA20:AA24, AT20:AT24,AY20:AY24))</f>
        <v>9.0381994760717621E-3</v>
      </c>
      <c r="BO20" s="34">
        <f>IF( OR(ISBLANK(S20:S24),ISBLANK(AQ20:AQ24), ISBLANK(W20:W24),ISBLANK(AU20:AU24)), "·", bdRateExtend( S20:S24,W20:W24, AQ20:AQ24,AU20:AU24))</f>
        <v>9.278157678066945E-3</v>
      </c>
      <c r="BP20" s="34">
        <f>IF( OR(ISBLANK(S20:S24),ISBLANK(AQ20:AQ24), ISBLANK(X20:X24),ISBLANK(AV20:AV24)), "·", bdRateExtend( S20:S24,X20:X24, AQ20:AQ24,AV20:AV24))</f>
        <v>7.4346135872558339E-3</v>
      </c>
      <c r="BQ20" s="34">
        <f>IF( OR(ISBLANK(S20:S24),ISBLANK(AQ20:AQ24), ISBLANK(Y20:Y24),ISBLANK(AW20:AW24)), "·", bdRateExtend( S20:S24,Y20:Y24, AQ20:AQ24,AW20:AW24))</f>
        <v>6.6951323055723932E-3</v>
      </c>
      <c r="BR20" s="34">
        <f>IF( OR(ISBLANK(S20:S24),ISBLANK(AQ20:AQ24), ISBLANK(Z20:Z24),ISBLANK(AX20:AX24)), "·", bdRateExtend( S20:S24,Z20:Z24, AQ20:AQ24,AX20:AX24))</f>
        <v>1.0126540539933337E-2</v>
      </c>
      <c r="BS20" s="34">
        <f>IF( OR(ISBLANK(S20:S24),ISBLANK(AQ20:AQ24), ISBLANK(AA20:AA24),ISBLANK(AY20:AY24)), "·", bdRateExtend( S20:S24,AA20:AA24, AQ20:AQ24,AY20:AY24))</f>
        <v>9.6325466771396417E-3</v>
      </c>
      <c r="BU20" s="4">
        <f t="shared" si="16"/>
        <v>-8</v>
      </c>
    </row>
    <row r="21" spans="1:73" outlineLevel="1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8.3959875000000004</v>
      </c>
      <c r="J21" s="18">
        <f t="shared" si="1"/>
        <v>0.1668268102195358</v>
      </c>
      <c r="K21" s="18">
        <f t="shared" si="2"/>
        <v>7.0274855266169819E-2</v>
      </c>
      <c r="L21" s="18">
        <f t="shared" si="3"/>
        <v>4.0224724005789199E-2</v>
      </c>
      <c r="M21" s="18">
        <f t="shared" si="4"/>
        <v>9.6536555838262469E-2</v>
      </c>
      <c r="N21" s="15">
        <f t="shared" si="5"/>
        <v>2263528</v>
      </c>
      <c r="O21" s="18">
        <f t="shared" si="6"/>
        <v>0.17013866658864918</v>
      </c>
      <c r="P21" s="19">
        <v>31582662</v>
      </c>
      <c r="Q21" s="19">
        <v>986958</v>
      </c>
      <c r="R21" s="19">
        <v>32537.8</v>
      </c>
      <c r="S21" s="19">
        <v>5373432</v>
      </c>
      <c r="T21" s="19">
        <v>1295624</v>
      </c>
      <c r="U21" s="19">
        <v>967904</v>
      </c>
      <c r="V21" s="19">
        <v>3109408</v>
      </c>
      <c r="W21" s="19">
        <v>68.659700000000001</v>
      </c>
      <c r="X21" s="19">
        <v>70.740399999999994</v>
      </c>
      <c r="Y21" s="19">
        <v>32.783700000000003</v>
      </c>
      <c r="Z21" s="19">
        <v>40.733400000000003</v>
      </c>
      <c r="AA21" s="19">
        <v>39.702199999999998</v>
      </c>
      <c r="AB21" s="19">
        <v>3970.79</v>
      </c>
      <c r="AC21" s="19">
        <v>1225.55</v>
      </c>
      <c r="AD21" s="19">
        <v>6.2709999999999999</v>
      </c>
      <c r="AE21" s="19">
        <v>18.207000000000001</v>
      </c>
      <c r="AF21" s="4">
        <v>32</v>
      </c>
      <c r="AG21" s="17">
        <f t="shared" si="7"/>
        <v>8.395975</v>
      </c>
      <c r="AH21" s="18">
        <f t="shared" si="8"/>
        <v>0.16682656184671155</v>
      </c>
      <c r="AI21" s="18">
        <f t="shared" si="9"/>
        <v>7.0274855266169819E-2</v>
      </c>
      <c r="AJ21" s="18">
        <f t="shared" si="10"/>
        <v>4.0224724005789199E-2</v>
      </c>
      <c r="AK21" s="18">
        <f t="shared" si="11"/>
        <v>9.6536555838262469E-2</v>
      </c>
      <c r="AL21" s="15">
        <f t="shared" si="12"/>
        <v>2263528</v>
      </c>
      <c r="AM21" s="18">
        <f t="shared" si="13"/>
        <v>0.17013841328511195</v>
      </c>
      <c r="AN21" s="19">
        <v>31582662</v>
      </c>
      <c r="AO21" s="19">
        <v>986958</v>
      </c>
      <c r="AP21" s="19">
        <v>32537.8</v>
      </c>
      <c r="AQ21" s="20">
        <v>5373424</v>
      </c>
      <c r="AR21" s="20">
        <v>1295624</v>
      </c>
      <c r="AS21" s="20">
        <v>967904</v>
      </c>
      <c r="AT21" s="20">
        <v>3109408</v>
      </c>
      <c r="AU21" s="21">
        <v>68.659700000000001</v>
      </c>
      <c r="AV21" s="21">
        <v>70.740399999999994</v>
      </c>
      <c r="AW21" s="21">
        <v>32.783700000000003</v>
      </c>
      <c r="AX21" s="21">
        <v>40.733400000000003</v>
      </c>
      <c r="AY21" s="21">
        <v>39.702199999999998</v>
      </c>
      <c r="AZ21" s="22">
        <v>3736.12</v>
      </c>
      <c r="BA21" s="22">
        <v>1024.31</v>
      </c>
      <c r="BB21" s="22">
        <v>5.66</v>
      </c>
      <c r="BC21" s="22">
        <v>16.640999999999998</v>
      </c>
      <c r="BD21" s="4">
        <v>32</v>
      </c>
      <c r="BE21" s="23">
        <f t="shared" si="14"/>
        <v>0</v>
      </c>
      <c r="BF21" s="23">
        <f t="shared" si="15"/>
        <v>6.2715225773724015E-7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-8</v>
      </c>
    </row>
    <row r="22" spans="1:73" outlineLevel="1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13.905637499999999</v>
      </c>
      <c r="J22" s="28">
        <f t="shared" si="1"/>
        <v>0.27630259670993557</v>
      </c>
      <c r="K22" s="28">
        <f t="shared" si="2"/>
        <v>8.6776497336527453E-2</v>
      </c>
      <c r="L22" s="28">
        <f t="shared" si="3"/>
        <v>5.6726366076146825E-2</v>
      </c>
      <c r="M22" s="28">
        <f t="shared" si="4"/>
        <v>0.18951070025830463</v>
      </c>
      <c r="N22" s="25">
        <f t="shared" si="5"/>
        <v>2795040</v>
      </c>
      <c r="O22" s="28">
        <f t="shared" si="6"/>
        <v>0.27041804673303138</v>
      </c>
      <c r="P22" s="29">
        <v>32910555</v>
      </c>
      <c r="Q22" s="72">
        <v>1028450</v>
      </c>
      <c r="R22" s="29">
        <v>34769.599999999999</v>
      </c>
      <c r="S22" s="29">
        <v>8899608</v>
      </c>
      <c r="T22" s="29">
        <v>1827136</v>
      </c>
      <c r="U22" s="29">
        <v>967904</v>
      </c>
      <c r="V22" s="29">
        <v>6104072</v>
      </c>
      <c r="W22" s="29">
        <v>69.831599999999995</v>
      </c>
      <c r="X22" s="29">
        <v>72.240399999999994</v>
      </c>
      <c r="Y22" s="29">
        <v>34.627800000000001</v>
      </c>
      <c r="Z22" s="29">
        <v>41.7699</v>
      </c>
      <c r="AA22" s="29">
        <v>40.774099999999997</v>
      </c>
      <c r="AB22" s="29">
        <v>3796.32</v>
      </c>
      <c r="AC22" s="29">
        <v>1147.01</v>
      </c>
      <c r="AD22" s="29">
        <v>5.8789999999999996</v>
      </c>
      <c r="AE22" s="29">
        <v>17.399999999999999</v>
      </c>
      <c r="AF22" s="4">
        <v>32</v>
      </c>
      <c r="AG22" s="27">
        <f t="shared" si="7"/>
        <v>13.905625000000001</v>
      </c>
      <c r="AH22" s="28">
        <f t="shared" si="8"/>
        <v>0.27630234833711137</v>
      </c>
      <c r="AI22" s="28">
        <f t="shared" si="9"/>
        <v>8.6776497336527453E-2</v>
      </c>
      <c r="AJ22" s="28">
        <f t="shared" si="10"/>
        <v>5.6726366076146825E-2</v>
      </c>
      <c r="AK22" s="28">
        <f t="shared" si="11"/>
        <v>0.18951070025830463</v>
      </c>
      <c r="AL22" s="25">
        <f t="shared" si="12"/>
        <v>2795040</v>
      </c>
      <c r="AM22" s="28">
        <f t="shared" si="13"/>
        <v>0.27041780364992324</v>
      </c>
      <c r="AN22" s="29">
        <v>32910555</v>
      </c>
      <c r="AO22" s="72">
        <v>1028450</v>
      </c>
      <c r="AP22" s="29">
        <v>34769.599999999999</v>
      </c>
      <c r="AQ22" s="30">
        <v>8899600</v>
      </c>
      <c r="AR22" s="30">
        <v>1827136</v>
      </c>
      <c r="AS22" s="30">
        <v>967904</v>
      </c>
      <c r="AT22" s="30">
        <v>6104072</v>
      </c>
      <c r="AU22" s="31">
        <v>69.831599999999995</v>
      </c>
      <c r="AV22" s="31">
        <v>72.240399999999994</v>
      </c>
      <c r="AW22" s="31">
        <v>34.627800000000001</v>
      </c>
      <c r="AX22" s="31">
        <v>41.7699</v>
      </c>
      <c r="AY22" s="31">
        <v>40.774099999999997</v>
      </c>
      <c r="AZ22" s="32">
        <v>4033.75</v>
      </c>
      <c r="BA22" s="32">
        <v>1331.12</v>
      </c>
      <c r="BB22" s="32">
        <v>6.3789999999999996</v>
      </c>
      <c r="BC22" s="32">
        <v>19.254999999999999</v>
      </c>
      <c r="BD22" s="4">
        <v>32</v>
      </c>
      <c r="BE22" s="33">
        <f t="shared" si="14"/>
        <v>0</v>
      </c>
      <c r="BF22" s="33">
        <f t="shared" si="15"/>
        <v>2.8231675230916409E-7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-8</v>
      </c>
    </row>
    <row r="23" spans="1:73" outlineLevel="1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24.242312500000001</v>
      </c>
      <c r="J23" s="18">
        <f t="shared" si="1"/>
        <v>0.48169052975843291</v>
      </c>
      <c r="K23" s="18">
        <f t="shared" si="2"/>
        <v>0.11521593083164566</v>
      </c>
      <c r="L23" s="18">
        <f t="shared" si="3"/>
        <v>8.5165799571265036E-2</v>
      </c>
      <c r="M23" s="18">
        <f t="shared" si="4"/>
        <v>0.36645919981168373</v>
      </c>
      <c r="N23" s="15">
        <f t="shared" si="5"/>
        <v>3711064</v>
      </c>
      <c r="O23" s="18">
        <f t="shared" si="6"/>
        <v>0.47079999111508047</v>
      </c>
      <c r="P23" s="19">
        <v>32954716</v>
      </c>
      <c r="Q23" s="73">
        <v>1029830</v>
      </c>
      <c r="R23" s="19">
        <v>36665.5</v>
      </c>
      <c r="S23" s="19">
        <v>15515080</v>
      </c>
      <c r="T23" s="19">
        <v>2743160</v>
      </c>
      <c r="U23" s="19">
        <v>967904</v>
      </c>
      <c r="V23" s="19">
        <v>11803520</v>
      </c>
      <c r="W23" s="19">
        <v>70.837199999999996</v>
      </c>
      <c r="X23" s="19">
        <v>73.567999999999998</v>
      </c>
      <c r="Y23" s="19">
        <v>36.2759</v>
      </c>
      <c r="Z23" s="19">
        <v>42.959899999999998</v>
      </c>
      <c r="AA23" s="19">
        <v>41.8523</v>
      </c>
      <c r="AB23" s="19">
        <v>4152.58</v>
      </c>
      <c r="AC23" s="19">
        <v>1272.3</v>
      </c>
      <c r="AD23" s="19">
        <v>6.024</v>
      </c>
      <c r="AE23" s="19">
        <v>18.459</v>
      </c>
      <c r="AF23" s="4">
        <v>32</v>
      </c>
      <c r="AG23" s="17">
        <f t="shared" si="7"/>
        <v>24.2423</v>
      </c>
      <c r="AH23" s="18">
        <f t="shared" si="8"/>
        <v>0.48169028138560865</v>
      </c>
      <c r="AI23" s="18">
        <f t="shared" si="9"/>
        <v>0.11521593083164566</v>
      </c>
      <c r="AJ23" s="18">
        <f t="shared" si="10"/>
        <v>8.5165799571265036E-2</v>
      </c>
      <c r="AK23" s="18">
        <f t="shared" si="11"/>
        <v>0.36645919981168373</v>
      </c>
      <c r="AL23" s="15">
        <f t="shared" si="12"/>
        <v>3711064</v>
      </c>
      <c r="AM23" s="18">
        <f t="shared" si="13"/>
        <v>0.4707997483577161</v>
      </c>
      <c r="AN23" s="19">
        <v>32954716</v>
      </c>
      <c r="AO23" s="73">
        <v>1029830</v>
      </c>
      <c r="AP23" s="19">
        <v>36665.5</v>
      </c>
      <c r="AQ23" s="20">
        <v>15515072</v>
      </c>
      <c r="AR23" s="20">
        <v>2743160</v>
      </c>
      <c r="AS23" s="20">
        <v>967904</v>
      </c>
      <c r="AT23" s="20">
        <v>11803520</v>
      </c>
      <c r="AU23" s="21">
        <v>70.837199999999996</v>
      </c>
      <c r="AV23" s="21">
        <v>73.567999999999998</v>
      </c>
      <c r="AW23" s="21">
        <v>36.2759</v>
      </c>
      <c r="AX23" s="21">
        <v>42.959899999999998</v>
      </c>
      <c r="AY23" s="21">
        <v>41.8523</v>
      </c>
      <c r="AZ23" s="22">
        <v>3841.94</v>
      </c>
      <c r="BA23" s="22">
        <v>1277.42</v>
      </c>
      <c r="BB23" s="22">
        <v>5.7329999999999997</v>
      </c>
      <c r="BC23" s="22">
        <v>17.952000000000002</v>
      </c>
      <c r="BD23" s="4">
        <v>32</v>
      </c>
      <c r="BE23" s="23">
        <f t="shared" si="14"/>
        <v>0</v>
      </c>
      <c r="BF23" s="23">
        <f t="shared" si="15"/>
        <v>1.2333337515157972E-7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-8</v>
      </c>
    </row>
    <row r="24" spans="1:73" ht="13.5" outlineLevel="1" thickBot="1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40.182237499999999</v>
      </c>
      <c r="J24" s="48">
        <f t="shared" si="1"/>
        <v>0.79841406500531531</v>
      </c>
      <c r="K24" s="48">
        <f t="shared" si="2"/>
        <v>0.19028860394385619</v>
      </c>
      <c r="L24" s="48">
        <f t="shared" si="3"/>
        <v>0.13218525893006638</v>
      </c>
      <c r="M24" s="48">
        <f t="shared" si="4"/>
        <v>0.60811006194635564</v>
      </c>
      <c r="N24" s="45">
        <f t="shared" si="5"/>
        <v>6129128</v>
      </c>
      <c r="O24" s="48">
        <f t="shared" si="6"/>
        <v>0.81420614872637775</v>
      </c>
      <c r="P24" s="49">
        <v>31584915</v>
      </c>
      <c r="Q24" s="49">
        <v>987029</v>
      </c>
      <c r="R24" s="49">
        <v>10420.4</v>
      </c>
      <c r="S24" s="49">
        <v>25716632</v>
      </c>
      <c r="T24" s="49">
        <v>4257640</v>
      </c>
      <c r="U24" s="49">
        <v>1871488</v>
      </c>
      <c r="V24" s="49">
        <v>19587008</v>
      </c>
      <c r="W24" s="49">
        <v>72.174999999999997</v>
      </c>
      <c r="X24" s="49">
        <v>75.995599999999996</v>
      </c>
      <c r="Y24" s="49">
        <v>37.5426</v>
      </c>
      <c r="Z24" s="49">
        <v>44.079500000000003</v>
      </c>
      <c r="AA24" s="49">
        <v>42.783099999999997</v>
      </c>
      <c r="AB24" s="49">
        <v>3903.11</v>
      </c>
      <c r="AC24" s="49">
        <v>1495.16</v>
      </c>
      <c r="AD24" s="49">
        <v>6.3920000000000003</v>
      </c>
      <c r="AE24" s="49">
        <v>19.181999999999999</v>
      </c>
      <c r="AF24" s="4">
        <v>32</v>
      </c>
      <c r="AG24" s="47">
        <f t="shared" si="7"/>
        <v>41.157187499999999</v>
      </c>
      <c r="AH24" s="48">
        <f t="shared" si="8"/>
        <v>0.81778615180553227</v>
      </c>
      <c r="AI24" s="48">
        <f t="shared" si="9"/>
        <v>0.19028860394385619</v>
      </c>
      <c r="AJ24" s="48">
        <f t="shared" si="10"/>
        <v>0.13218525893006638</v>
      </c>
      <c r="AK24" s="48">
        <f t="shared" si="11"/>
        <v>0.6274823971193968</v>
      </c>
      <c r="AL24" s="45">
        <f t="shared" si="12"/>
        <v>6129128</v>
      </c>
      <c r="AM24" s="48">
        <f t="shared" si="13"/>
        <v>0.83396140214402981</v>
      </c>
      <c r="AN24" s="49">
        <v>31584915</v>
      </c>
      <c r="AO24" s="49">
        <v>987029</v>
      </c>
      <c r="AP24" s="49">
        <v>18072.7</v>
      </c>
      <c r="AQ24" s="50">
        <v>26340600</v>
      </c>
      <c r="AR24" s="50">
        <v>4257640</v>
      </c>
      <c r="AS24" s="50">
        <v>1871488</v>
      </c>
      <c r="AT24" s="50">
        <v>20210984</v>
      </c>
      <c r="AU24" s="51">
        <v>71.893799999999999</v>
      </c>
      <c r="AV24" s="51">
        <v>75.707499999999996</v>
      </c>
      <c r="AW24" s="51">
        <v>37.304600000000001</v>
      </c>
      <c r="AX24" s="51">
        <v>43.805100000000003</v>
      </c>
      <c r="AY24" s="51">
        <v>42.436</v>
      </c>
      <c r="AZ24" s="52">
        <v>3547.7</v>
      </c>
      <c r="BA24" s="52">
        <v>1338.43</v>
      </c>
      <c r="BB24" s="52">
        <v>4.9459999999999997</v>
      </c>
      <c r="BC24" s="52">
        <v>17.161000000000001</v>
      </c>
      <c r="BD24" s="4">
        <v>32</v>
      </c>
      <c r="BE24" s="53">
        <f t="shared" si="14"/>
        <v>7.7528623779037891E-3</v>
      </c>
      <c r="BF24" s="53">
        <f t="shared" si="15"/>
        <v>-5.6457449565299467E-3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623968</v>
      </c>
    </row>
    <row r="25" spans="1:7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4.7430374999999998</v>
      </c>
      <c r="J25" s="18">
        <f t="shared" si="1"/>
        <v>0.19987193632466732</v>
      </c>
      <c r="K25" s="18">
        <f t="shared" si="2"/>
        <v>6.9763098003161134E-2</v>
      </c>
      <c r="L25" s="18">
        <f t="shared" si="3"/>
        <v>3.7842626430484215E-2</v>
      </c>
      <c r="M25" s="18">
        <f t="shared" si="4"/>
        <v>0.13008924318855797</v>
      </c>
      <c r="N25" s="15">
        <f t="shared" si="5"/>
        <v>1765872</v>
      </c>
      <c r="O25" s="18">
        <f t="shared" si="6"/>
        <v>0.21950595583952728</v>
      </c>
      <c r="P25" s="19">
        <v>23048304</v>
      </c>
      <c r="Q25" s="19">
        <v>720260</v>
      </c>
      <c r="R25" s="19">
        <v>17695.400000000001</v>
      </c>
      <c r="S25" s="19">
        <v>5059240</v>
      </c>
      <c r="T25" s="19">
        <v>957888</v>
      </c>
      <c r="U25" s="19">
        <v>807984</v>
      </c>
      <c r="V25" s="19">
        <v>3292872</v>
      </c>
      <c r="W25" s="19">
        <v>66.198800000000006</v>
      </c>
      <c r="X25" s="19">
        <v>68.019900000000007</v>
      </c>
      <c r="Y25" s="19">
        <v>27.514900000000001</v>
      </c>
      <c r="Z25" s="19">
        <v>33.295200000000001</v>
      </c>
      <c r="AA25" s="19">
        <v>32.7393</v>
      </c>
      <c r="AB25" s="19">
        <v>3083.55</v>
      </c>
      <c r="AC25" s="19">
        <v>1538.64</v>
      </c>
      <c r="AD25" s="19">
        <v>5.5789999999999997</v>
      </c>
      <c r="AE25" s="19">
        <v>25.158999999999999</v>
      </c>
      <c r="AF25" s="4">
        <v>32</v>
      </c>
      <c r="AG25" s="17">
        <f t="shared" si="7"/>
        <v>4.7408175000000004</v>
      </c>
      <c r="AH25" s="18">
        <f t="shared" si="8"/>
        <v>0.19977838536736608</v>
      </c>
      <c r="AI25" s="18">
        <f t="shared" si="9"/>
        <v>6.9763098003161134E-2</v>
      </c>
      <c r="AJ25" s="18">
        <f t="shared" si="10"/>
        <v>3.7842626430484215E-2</v>
      </c>
      <c r="AK25" s="18">
        <f t="shared" si="11"/>
        <v>0.12999600828178812</v>
      </c>
      <c r="AL25" s="15">
        <f t="shared" si="12"/>
        <v>1765872</v>
      </c>
      <c r="AM25" s="18">
        <f t="shared" si="13"/>
        <v>0.21940321509122754</v>
      </c>
      <c r="AN25" s="19">
        <v>23048304</v>
      </c>
      <c r="AO25" s="19">
        <v>720260</v>
      </c>
      <c r="AP25" s="19">
        <v>17692.5</v>
      </c>
      <c r="AQ25" s="20">
        <v>5056872</v>
      </c>
      <c r="AR25" s="20">
        <v>957888</v>
      </c>
      <c r="AS25" s="20">
        <v>807984</v>
      </c>
      <c r="AT25" s="20">
        <v>3290512</v>
      </c>
      <c r="AU25" s="21">
        <v>66.198800000000006</v>
      </c>
      <c r="AV25" s="21">
        <v>68.0197</v>
      </c>
      <c r="AW25" s="21">
        <v>27.513000000000002</v>
      </c>
      <c r="AX25" s="21">
        <v>33.296799999999998</v>
      </c>
      <c r="AY25" s="21">
        <v>32.741300000000003</v>
      </c>
      <c r="AZ25" s="22">
        <v>3115.43</v>
      </c>
      <c r="BA25" s="22">
        <v>1542.03</v>
      </c>
      <c r="BB25" s="22">
        <v>5.6520000000000001</v>
      </c>
      <c r="BC25" s="22">
        <v>26.276</v>
      </c>
      <c r="BD25" s="4">
        <v>32</v>
      </c>
      <c r="BE25" s="23">
        <f t="shared" si="14"/>
        <v>-4.0263238275072E-6</v>
      </c>
      <c r="BF25" s="23">
        <f t="shared" si="15"/>
        <v>1.6344576628946061E-4</v>
      </c>
      <c r="BG25" s="23">
        <f t="array" ref="BG25">AVERAGE(AL25:AL29/AQ25:AQ29) - AVERAGE(N25:N29/S25:S29)</f>
        <v>-5.3337955045806851E-5</v>
      </c>
      <c r="BI25" s="24">
        <f>IF( OR(ISBLANK(N25:N29),ISBLANK(AL25:AL29), ISBLANK(W25:W29),ISBLANK(AU25:AU29)), "·", bdRateExtend( N25:N29,W25:W29, AL25:AL29,AU25:AU29))</f>
        <v>6.7688081471439787E-3</v>
      </c>
      <c r="BJ25" s="24">
        <f>IF( OR(ISBLANK(N25:N29),ISBLANK(AL25:AL29), ISBLANK(X25:X29),ISBLANK(AV25:AV29)), "·", bdRateExtend( N25:N29,X25:X29, AL25:AL29,AV25:AV29))</f>
        <v>4.7690362488610472E-3</v>
      </c>
      <c r="BK25" s="24">
        <f>IF( OR(ISBLANK(V25:V29),ISBLANK(AT25:AT29), ISBLANK(Y25:Y29),ISBLANK(AW25:AW29)), "·", bdRateExtend( V25:V29,Y25:Y29, AT25:AT29,AW25:AW29))</f>
        <v>7.5995797136263477E-4</v>
      </c>
      <c r="BL25" s="24">
        <f>IF( OR(ISBLANK(V25:V29),ISBLANK(AT25:AT29), ISBLANK(Z25:Z29),ISBLANK(AX25:AX29)), "·", bdRateExtend( V25:V29,Z25:Z29, AT25:AT29,AX25:AX29))</f>
        <v>1.6687594540705231E-3</v>
      </c>
      <c r="BM25" s="24">
        <f>IF( OR(ISBLANK(V25:V29),ISBLANK(AT25:AT29), ISBLANK(AA25:AA29),ISBLANK(AY25:AY29)), "·", bdRateExtend( V25:V29,AA25:AA29, AT25:AT29,AY25:AY29))</f>
        <v>2.5805599048041028E-3</v>
      </c>
      <c r="BO25" s="24">
        <f>IF( OR(ISBLANK(S25:S29),ISBLANK(AQ25:AQ29), ISBLANK(W25:W29),ISBLANK(AU25:AU29)), "·", bdRateExtend( S25:S29,W25:W29, AQ25:AQ29,AU25:AU29))</f>
        <v>6.0630955903202555E-3</v>
      </c>
      <c r="BP25" s="24">
        <f>IF( OR(ISBLANK(S25:S29),ISBLANK(AQ25:AQ29), ISBLANK(X25:X29),ISBLANK(AV25:AV29)), "·", bdRateExtend( S25:S29,X25:X29, AQ25:AQ29,AV25:AV29))</f>
        <v>3.9928699971134574E-3</v>
      </c>
      <c r="BQ25" s="24">
        <f>IF( OR(ISBLANK(S25:S29),ISBLANK(AQ25:AQ29), ISBLANK(Y25:Y29),ISBLANK(AW25:AW29)), "·", bdRateExtend( S25:S29,Y25:Y29, AQ25:AQ29,AW25:AW29))</f>
        <v>7.7374324809653672E-4</v>
      </c>
      <c r="BR25" s="24">
        <f>IF( OR(ISBLANK(S25:S29),ISBLANK(AQ25:AQ29), ISBLANK(Z25:Z29),ISBLANK(AX25:AX29)), "·", bdRateExtend( S25:S29,Z25:Z29, AQ25:AQ29,AX25:AX29))</f>
        <v>1.5953590779500537E-3</v>
      </c>
      <c r="BS25" s="24">
        <f>IF( OR(ISBLANK(S25:S29),ISBLANK(AQ25:AQ29), ISBLANK(AA25:AA29),ISBLANK(AY25:AY29)), "·", bdRateExtend( S25:S29,AA25:AA29, AQ25:AQ29,AY25:AY29))</f>
        <v>2.4125664757004284E-3</v>
      </c>
      <c r="BU25" s="4">
        <f t="shared" si="16"/>
        <v>-2368</v>
      </c>
    </row>
    <row r="26" spans="1:73" outlineLevel="1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8.1527250000000002</v>
      </c>
      <c r="J26" s="28">
        <f t="shared" si="1"/>
        <v>0.34355640917292418</v>
      </c>
      <c r="K26" s="28">
        <f t="shared" si="2"/>
        <v>8.4498637980234825E-2</v>
      </c>
      <c r="L26" s="28">
        <f t="shared" si="3"/>
        <v>5.2578166407557907E-2</v>
      </c>
      <c r="M26" s="28">
        <f t="shared" si="4"/>
        <v>0.25903817605974111</v>
      </c>
      <c r="N26" s="25">
        <f t="shared" si="5"/>
        <v>2138864</v>
      </c>
      <c r="O26" s="28">
        <f t="shared" si="6"/>
        <v>0.34839383297436594</v>
      </c>
      <c r="P26" s="29">
        <v>24960947</v>
      </c>
      <c r="Q26" s="29">
        <v>780030</v>
      </c>
      <c r="R26" s="29">
        <v>23056.6</v>
      </c>
      <c r="S26" s="29">
        <v>8696240</v>
      </c>
      <c r="T26" s="29">
        <v>1330880</v>
      </c>
      <c r="U26" s="29">
        <v>807984</v>
      </c>
      <c r="V26" s="29">
        <v>6556880</v>
      </c>
      <c r="W26" s="29">
        <v>68.025300000000001</v>
      </c>
      <c r="X26" s="29">
        <v>69.988</v>
      </c>
      <c r="Y26" s="29">
        <v>29.930199999999999</v>
      </c>
      <c r="Z26" s="29">
        <v>34.4803</v>
      </c>
      <c r="AA26" s="29">
        <v>34.073500000000003</v>
      </c>
      <c r="AB26" s="29">
        <v>3250.57</v>
      </c>
      <c r="AC26" s="29">
        <v>1380.7</v>
      </c>
      <c r="AD26" s="29">
        <v>5.431</v>
      </c>
      <c r="AE26" s="29">
        <v>24.442</v>
      </c>
      <c r="AF26" s="4">
        <v>32</v>
      </c>
      <c r="AG26" s="27">
        <f t="shared" si="7"/>
        <v>8.1511125</v>
      </c>
      <c r="AH26" s="28">
        <f t="shared" si="8"/>
        <v>0.3434884583086682</v>
      </c>
      <c r="AI26" s="28">
        <f t="shared" si="9"/>
        <v>8.4498637980234825E-2</v>
      </c>
      <c r="AJ26" s="28">
        <f t="shared" si="10"/>
        <v>5.2578166407557907E-2</v>
      </c>
      <c r="AK26" s="28">
        <f t="shared" si="11"/>
        <v>0.25897054124601659</v>
      </c>
      <c r="AL26" s="25">
        <f t="shared" si="12"/>
        <v>2138864</v>
      </c>
      <c r="AM26" s="28">
        <f t="shared" si="13"/>
        <v>0.3483249253323602</v>
      </c>
      <c r="AN26" s="29">
        <v>24960947</v>
      </c>
      <c r="AO26" s="29">
        <v>780030</v>
      </c>
      <c r="AP26" s="29">
        <v>23053.8</v>
      </c>
      <c r="AQ26" s="30">
        <v>8694520</v>
      </c>
      <c r="AR26" s="30">
        <v>1330880</v>
      </c>
      <c r="AS26" s="30">
        <v>807984</v>
      </c>
      <c r="AT26" s="30">
        <v>6555168</v>
      </c>
      <c r="AU26" s="31">
        <v>68.025099999999995</v>
      </c>
      <c r="AV26" s="31">
        <v>69.987700000000004</v>
      </c>
      <c r="AW26" s="31">
        <v>29.930700000000002</v>
      </c>
      <c r="AX26" s="31">
        <v>34.477499999999999</v>
      </c>
      <c r="AY26" s="31">
        <v>34.066600000000001</v>
      </c>
      <c r="AZ26" s="32">
        <v>2995.93</v>
      </c>
      <c r="BA26" s="32">
        <v>1378.13</v>
      </c>
      <c r="BB26" s="32">
        <v>5.2329999999999997</v>
      </c>
      <c r="BC26" s="32">
        <v>23.908000000000001</v>
      </c>
      <c r="BD26" s="4">
        <v>32</v>
      </c>
      <c r="BE26" s="33">
        <f t="shared" si="14"/>
        <v>-3.5896055279906192E-6</v>
      </c>
      <c r="BF26" s="33">
        <f t="shared" si="15"/>
        <v>4.8655785688411779E-5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-1720</v>
      </c>
    </row>
    <row r="27" spans="1:73" outlineLevel="1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14.7292275</v>
      </c>
      <c r="J27" s="18">
        <f t="shared" si="1"/>
        <v>0.62069069051036152</v>
      </c>
      <c r="K27" s="18">
        <f t="shared" si="2"/>
        <v>0.10577895236201945</v>
      </c>
      <c r="L27" s="18">
        <f t="shared" si="3"/>
        <v>7.3858480789342526E-2</v>
      </c>
      <c r="M27" s="18">
        <f t="shared" si="4"/>
        <v>0.51489214301539388</v>
      </c>
      <c r="N27" s="15">
        <f t="shared" si="5"/>
        <v>2677520</v>
      </c>
      <c r="O27" s="18">
        <f t="shared" si="6"/>
        <v>0.62017078643453671</v>
      </c>
      <c r="P27" s="19">
        <v>25333628</v>
      </c>
      <c r="Q27" s="19">
        <v>791676</v>
      </c>
      <c r="R27" s="19">
        <v>24569.200000000001</v>
      </c>
      <c r="S27" s="19">
        <v>15711176</v>
      </c>
      <c r="T27" s="19">
        <v>1869536</v>
      </c>
      <c r="U27" s="19">
        <v>807984</v>
      </c>
      <c r="V27" s="19">
        <v>13033160</v>
      </c>
      <c r="W27" s="19">
        <v>69.401200000000003</v>
      </c>
      <c r="X27" s="19">
        <v>71.728999999999999</v>
      </c>
      <c r="Y27" s="19">
        <v>32.428400000000003</v>
      </c>
      <c r="Z27" s="19">
        <v>35.743600000000001</v>
      </c>
      <c r="AA27" s="19">
        <v>35.411499999999997</v>
      </c>
      <c r="AB27" s="19">
        <v>2963.42</v>
      </c>
      <c r="AC27" s="19">
        <v>1488.17</v>
      </c>
      <c r="AD27" s="19">
        <v>5.2880000000000003</v>
      </c>
      <c r="AE27" s="19">
        <v>24.56</v>
      </c>
      <c r="AF27" s="4">
        <v>32</v>
      </c>
      <c r="AG27" s="17">
        <f t="shared" si="7"/>
        <v>14.730255</v>
      </c>
      <c r="AH27" s="18">
        <f t="shared" si="8"/>
        <v>0.62073398943316649</v>
      </c>
      <c r="AI27" s="18">
        <f t="shared" si="9"/>
        <v>0.10577895236201945</v>
      </c>
      <c r="AJ27" s="18">
        <f t="shared" si="10"/>
        <v>7.3858480789342526E-2</v>
      </c>
      <c r="AK27" s="18">
        <f t="shared" si="11"/>
        <v>0.51493575798873026</v>
      </c>
      <c r="AL27" s="15">
        <f t="shared" si="12"/>
        <v>2677520</v>
      </c>
      <c r="AM27" s="18">
        <f t="shared" si="13"/>
        <v>0.62021404908921851</v>
      </c>
      <c r="AN27" s="19">
        <v>25333628</v>
      </c>
      <c r="AO27" s="19">
        <v>791676</v>
      </c>
      <c r="AP27" s="19">
        <v>24565.9</v>
      </c>
      <c r="AQ27" s="20">
        <v>15712272</v>
      </c>
      <c r="AR27" s="20">
        <v>1869536</v>
      </c>
      <c r="AS27" s="20">
        <v>807984</v>
      </c>
      <c r="AT27" s="20">
        <v>13034264</v>
      </c>
      <c r="AU27" s="21">
        <v>69.4011</v>
      </c>
      <c r="AV27" s="21">
        <v>71.728700000000003</v>
      </c>
      <c r="AW27" s="21">
        <v>32.427700000000002</v>
      </c>
      <c r="AX27" s="21">
        <v>35.742899999999999</v>
      </c>
      <c r="AY27" s="21">
        <v>35.4084</v>
      </c>
      <c r="AZ27" s="22">
        <v>3178.49</v>
      </c>
      <c r="BA27" s="22">
        <v>1752.82</v>
      </c>
      <c r="BB27" s="22">
        <v>5.86</v>
      </c>
      <c r="BC27" s="22">
        <v>27.413</v>
      </c>
      <c r="BD27" s="4">
        <v>32</v>
      </c>
      <c r="BE27" s="23">
        <f t="shared" si="14"/>
        <v>-4.1683719097206084E-6</v>
      </c>
      <c r="BF27" s="23">
        <f t="shared" si="15"/>
        <v>-1.1887638648150345E-5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1096</v>
      </c>
    </row>
    <row r="28" spans="1:73" outlineLevel="1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27.910852500000001</v>
      </c>
      <c r="J28" s="28">
        <f t="shared" si="1"/>
        <v>1.1761653020131471</v>
      </c>
      <c r="K28" s="28">
        <f t="shared" si="2"/>
        <v>0.14075468442196412</v>
      </c>
      <c r="L28" s="28">
        <f t="shared" si="3"/>
        <v>0.1088342128492872</v>
      </c>
      <c r="M28" s="28">
        <f t="shared" si="4"/>
        <v>1.0353910224582348</v>
      </c>
      <c r="N28" s="25">
        <f t="shared" si="5"/>
        <v>3562840</v>
      </c>
      <c r="O28" s="28">
        <f t="shared" si="6"/>
        <v>1.1321628421084176</v>
      </c>
      <c r="P28" s="29">
        <v>26296196</v>
      </c>
      <c r="Q28" s="29">
        <v>821756</v>
      </c>
      <c r="R28" s="29">
        <v>28036.400000000001</v>
      </c>
      <c r="S28" s="29">
        <v>29771576</v>
      </c>
      <c r="T28" s="29">
        <v>2754856</v>
      </c>
      <c r="U28" s="29">
        <v>807984</v>
      </c>
      <c r="V28" s="29">
        <v>26208240</v>
      </c>
      <c r="W28" s="29">
        <v>70.4422</v>
      </c>
      <c r="X28" s="29">
        <v>73.004199999999997</v>
      </c>
      <c r="Y28" s="29">
        <v>34.886699999999998</v>
      </c>
      <c r="Z28" s="29">
        <v>37.569000000000003</v>
      </c>
      <c r="AA28" s="29">
        <v>37.1783</v>
      </c>
      <c r="AB28" s="29">
        <v>3595.29</v>
      </c>
      <c r="AC28" s="29">
        <v>2219.19</v>
      </c>
      <c r="AD28" s="29">
        <v>6.6689999999999996</v>
      </c>
      <c r="AE28" s="29">
        <v>30.873000000000001</v>
      </c>
      <c r="AF28" s="4">
        <v>32</v>
      </c>
      <c r="AG28" s="27">
        <f t="shared" si="7"/>
        <v>27.906007500000001</v>
      </c>
      <c r="AH28" s="28">
        <f t="shared" si="8"/>
        <v>1.1759611333698476</v>
      </c>
      <c r="AI28" s="28">
        <f t="shared" si="9"/>
        <v>0.14075468442196412</v>
      </c>
      <c r="AJ28" s="28">
        <f t="shared" si="10"/>
        <v>0.1088342128492872</v>
      </c>
      <c r="AK28" s="28">
        <f t="shared" si="11"/>
        <v>1.0351871698654667</v>
      </c>
      <c r="AL28" s="25">
        <f t="shared" si="12"/>
        <v>3562840</v>
      </c>
      <c r="AM28" s="28">
        <f t="shared" si="13"/>
        <v>1.1319663117813694</v>
      </c>
      <c r="AN28" s="29">
        <v>26296196</v>
      </c>
      <c r="AO28" s="29">
        <v>821756</v>
      </c>
      <c r="AP28" s="29">
        <v>28034.5</v>
      </c>
      <c r="AQ28" s="30">
        <v>29766408</v>
      </c>
      <c r="AR28" s="30">
        <v>2754856</v>
      </c>
      <c r="AS28" s="30">
        <v>807984</v>
      </c>
      <c r="AT28" s="30">
        <v>26203080</v>
      </c>
      <c r="AU28" s="31">
        <v>70.441999999999993</v>
      </c>
      <c r="AV28" s="31">
        <v>73.004000000000005</v>
      </c>
      <c r="AW28" s="31">
        <v>34.886800000000001</v>
      </c>
      <c r="AX28" s="31">
        <v>37.567700000000002</v>
      </c>
      <c r="AY28" s="31">
        <v>37.177599999999998</v>
      </c>
      <c r="AZ28" s="32">
        <v>3090.05</v>
      </c>
      <c r="BA28" s="32">
        <v>2002.17</v>
      </c>
      <c r="BB28" s="32">
        <v>5.8879999999999999</v>
      </c>
      <c r="BC28" s="32">
        <v>27.821999999999999</v>
      </c>
      <c r="BD28" s="4">
        <v>32</v>
      </c>
      <c r="BE28" s="33">
        <f t="shared" si="14"/>
        <v>-2.3121218463845183E-6</v>
      </c>
      <c r="BF28" s="33">
        <f t="shared" si="15"/>
        <v>2.0777369776611709E-5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-5168</v>
      </c>
    </row>
    <row r="29" spans="1:73" ht="13.5" outlineLevel="1" thickBot="1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48.560782500000002</v>
      </c>
      <c r="J29" s="38">
        <f t="shared" si="1"/>
        <v>2.0463548153933044</v>
      </c>
      <c r="K29" s="38">
        <f t="shared" si="2"/>
        <v>0.22623560745386215</v>
      </c>
      <c r="L29" s="38">
        <f t="shared" si="3"/>
        <v>0.16645212103091891</v>
      </c>
      <c r="M29" s="38">
        <f t="shared" si="4"/>
        <v>1.8200996128064939</v>
      </c>
      <c r="N29" s="35">
        <f t="shared" si="5"/>
        <v>5726568</v>
      </c>
      <c r="O29" s="38">
        <f t="shared" si="6"/>
        <v>2.0600598687297742</v>
      </c>
      <c r="P29" s="39">
        <v>25144011</v>
      </c>
      <c r="Q29" s="39">
        <v>785750</v>
      </c>
      <c r="R29" s="39">
        <v>7357.28</v>
      </c>
      <c r="S29" s="39">
        <v>51798168</v>
      </c>
      <c r="T29" s="39">
        <v>4213304</v>
      </c>
      <c r="U29" s="39">
        <v>1513264</v>
      </c>
      <c r="V29" s="39">
        <v>46071104</v>
      </c>
      <c r="W29" s="39">
        <v>71.735100000000003</v>
      </c>
      <c r="X29" s="39">
        <v>75.106899999999996</v>
      </c>
      <c r="Y29" s="39">
        <v>36.584899999999998</v>
      </c>
      <c r="Z29" s="39">
        <v>39.675199999999997</v>
      </c>
      <c r="AA29" s="39">
        <v>39.083399999999997</v>
      </c>
      <c r="AB29" s="39">
        <v>3066.13</v>
      </c>
      <c r="AC29" s="39">
        <v>2288.87</v>
      </c>
      <c r="AD29" s="39">
        <v>6.3529999999999998</v>
      </c>
      <c r="AE29" s="39">
        <v>29.097000000000001</v>
      </c>
      <c r="AF29" s="4">
        <v>32</v>
      </c>
      <c r="AG29" s="37">
        <f t="shared" si="7"/>
        <v>48.775942499999999</v>
      </c>
      <c r="AH29" s="38">
        <f t="shared" si="8"/>
        <v>2.0554216730387722</v>
      </c>
      <c r="AI29" s="38">
        <f t="shared" si="9"/>
        <v>0.22623560745386215</v>
      </c>
      <c r="AJ29" s="38">
        <f t="shared" si="10"/>
        <v>0.16645212103091891</v>
      </c>
      <c r="AK29" s="38">
        <f t="shared" si="11"/>
        <v>1.8291667865024932</v>
      </c>
      <c r="AL29" s="35">
        <f t="shared" si="12"/>
        <v>5726568</v>
      </c>
      <c r="AM29" s="38">
        <f t="shared" si="13"/>
        <v>2.0691874498464067</v>
      </c>
      <c r="AN29" s="39">
        <v>25144011</v>
      </c>
      <c r="AO29" s="39">
        <v>785750</v>
      </c>
      <c r="AP29" s="39">
        <v>12609.3</v>
      </c>
      <c r="AQ29" s="40">
        <v>52027672</v>
      </c>
      <c r="AR29" s="40">
        <v>4213304</v>
      </c>
      <c r="AS29" s="40">
        <v>1513264</v>
      </c>
      <c r="AT29" s="40">
        <v>46300616</v>
      </c>
      <c r="AU29" s="41">
        <v>71.520899999999997</v>
      </c>
      <c r="AV29" s="41">
        <v>74.912300000000002</v>
      </c>
      <c r="AW29" s="41">
        <v>36.559100000000001</v>
      </c>
      <c r="AX29" s="41">
        <v>39.6496</v>
      </c>
      <c r="AY29" s="41">
        <v>39.048000000000002</v>
      </c>
      <c r="AZ29" s="42">
        <v>3219.31</v>
      </c>
      <c r="BA29" s="42">
        <v>1953.82</v>
      </c>
      <c r="BB29" s="42">
        <v>5.5270000000000001</v>
      </c>
      <c r="BC29" s="42">
        <v>28.893999999999998</v>
      </c>
      <c r="BD29" s="4">
        <v>32</v>
      </c>
      <c r="BE29" s="43">
        <f t="shared" si="14"/>
        <v>6.6840852688514127E-3</v>
      </c>
      <c r="BF29" s="43">
        <f t="shared" si="15"/>
        <v>-4.8768105833554842E-4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229504</v>
      </c>
    </row>
    <row r="30" spans="1:73">
      <c r="B30" s="55" t="s">
        <v>288</v>
      </c>
      <c r="J30" s="56">
        <f>AVERAGE(J5:J24)</f>
        <v>0.42966358808305022</v>
      </c>
      <c r="K30" s="56">
        <f>AVERAGE(K5:K24)</f>
        <v>0.12438262588270543</v>
      </c>
      <c r="L30" s="56">
        <f>AVERAGE(L5:L24)</f>
        <v>8.481286734982188E-2</v>
      </c>
      <c r="M30" s="56">
        <f>AVERAGE(M5:M24)</f>
        <v>0.30526301920474658</v>
      </c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H30" s="56">
        <f>AVERAGE(AH5:AH24)</f>
        <v>0.43164077320670702</v>
      </c>
      <c r="AI30" s="56">
        <f>AVERAGE(AI5:AI24)</f>
        <v>0.12438262588270543</v>
      </c>
      <c r="AJ30" s="56">
        <f>AVERAGE(AJ5:AJ24)</f>
        <v>8.481286734982188E-2</v>
      </c>
      <c r="AK30" s="56">
        <f>AVERAGE(AK5:AK24)</f>
        <v>0.30724049373155815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G30" s="8">
        <f>AVERAGE(BG5:BG24)</f>
        <v>-4.907069068957326E-4</v>
      </c>
      <c r="BI30" s="5">
        <f>AVERAGE(BI5:BI24)</f>
        <v>6.1151716617063312E-3</v>
      </c>
      <c r="BJ30" s="5">
        <f>AVERAGE(BJ5:BJ24)</f>
        <v>2.9200054860797353E-3</v>
      </c>
      <c r="BK30" s="5">
        <f>AVERAGE(BK5:BK24)</f>
        <v>2.9029077497540468E-3</v>
      </c>
      <c r="BL30" s="5">
        <f>AVERAGE(BL5:BL24)</f>
        <v>3.4059210554555075E-3</v>
      </c>
      <c r="BM30" s="5">
        <f>AVERAGE(BM5:BM24)</f>
        <v>3.6266091484860596E-3</v>
      </c>
      <c r="BO30" s="5">
        <f>AVERAGE(BO5:BO24)</f>
        <v>6.3162481715031138E-3</v>
      </c>
      <c r="BP30" s="5">
        <f>AVERAGE(BP5:BP24)</f>
        <v>3.4300953574371573E-3</v>
      </c>
      <c r="BQ30" s="5">
        <f>AVERAGE(BQ5:BQ24)</f>
        <v>2.8239653150760047E-3</v>
      </c>
      <c r="BR30" s="5">
        <f>AVERAGE(BR5:BR24)</f>
        <v>3.2980126877307225E-3</v>
      </c>
      <c r="BS30" s="5">
        <f>AVERAGE(BS5:BS24)</f>
        <v>3.6190555636594346E-3</v>
      </c>
    </row>
    <row r="31" spans="1:73">
      <c r="B31" s="55" t="s">
        <v>289</v>
      </c>
      <c r="J31" s="56">
        <f>AVERAGE(J25:J29)</f>
        <v>0.87732783068288089</v>
      </c>
      <c r="K31" s="56">
        <f>AVERAGE(K25:K29)</f>
        <v>0.12540619604424835</v>
      </c>
      <c r="L31" s="56">
        <f>AVERAGE(L25:L29)</f>
        <v>8.7913121501518157E-2</v>
      </c>
      <c r="M31" s="56">
        <f>AVERAGE(M25:M29)</f>
        <v>0.75190203950568435</v>
      </c>
      <c r="AH31" s="56">
        <f>AVERAGE(AH25:AH29)</f>
        <v>0.87907672790356417</v>
      </c>
      <c r="AI31" s="56">
        <f>AVERAGE(AI25:AI29)</f>
        <v>0.12540619604424835</v>
      </c>
      <c r="AJ31" s="56">
        <f>AVERAGE(AJ25:AJ29)</f>
        <v>8.7913121501518157E-2</v>
      </c>
      <c r="AK31" s="56">
        <f>AVERAGE(AK25:AK29)</f>
        <v>0.75365125277689893</v>
      </c>
      <c r="BG31" s="8">
        <f>AVERAGE(BG25:BG29)</f>
        <v>-5.3337955045806851E-5</v>
      </c>
      <c r="BI31" s="5">
        <f>AVERAGE(BI25:BI29)</f>
        <v>6.7688081471439787E-3</v>
      </c>
      <c r="BJ31" s="5">
        <f>AVERAGE(BJ25:BJ29)</f>
        <v>4.7690362488610472E-3</v>
      </c>
      <c r="BK31" s="5">
        <f>AVERAGE(BK25:BK29)</f>
        <v>7.5995797136263477E-4</v>
      </c>
      <c r="BL31" s="5">
        <f>AVERAGE(BL25:BL29)</f>
        <v>1.6687594540705231E-3</v>
      </c>
      <c r="BM31" s="5">
        <f>AVERAGE(BM25:BM29)</f>
        <v>2.5805599048041028E-3</v>
      </c>
      <c r="BO31" s="5">
        <f>AVERAGE(BO25:BO29)</f>
        <v>6.0630955903202555E-3</v>
      </c>
      <c r="BP31" s="5">
        <f>AVERAGE(BP25:BP29)</f>
        <v>3.9928699971134574E-3</v>
      </c>
      <c r="BQ31" s="5">
        <f>AVERAGE(BQ25:BQ29)</f>
        <v>7.7374324809653672E-4</v>
      </c>
      <c r="BR31" s="5">
        <f>AVERAGE(BR25:BR29)</f>
        <v>1.5953590779500537E-3</v>
      </c>
      <c r="BS31" s="5">
        <f>AVERAGE(BS25:BS29)</f>
        <v>2.4125664757004284E-3</v>
      </c>
    </row>
    <row r="32" spans="1:73" collapsed="1">
      <c r="B32" s="55" t="s">
        <v>290</v>
      </c>
      <c r="J32" s="56">
        <f>AVERAGE(J5:J29)</f>
        <v>0.51919643660301629</v>
      </c>
      <c r="K32" s="56">
        <f>AVERAGE(K5:K29)</f>
        <v>0.12458733991501403</v>
      </c>
      <c r="L32" s="56">
        <f>AVERAGE(L5:L29)</f>
        <v>8.5432918180161133E-2</v>
      </c>
      <c r="M32" s="56">
        <f>AVERAGE(M5:M29)</f>
        <v>0.39459082326493417</v>
      </c>
      <c r="AH32" s="56">
        <f>AVERAGE(AH5:AH29)</f>
        <v>0.52112796414607843</v>
      </c>
      <c r="AI32" s="56">
        <f>AVERAGE(AI5:AI29)</f>
        <v>0.12458733991501403</v>
      </c>
      <c r="AJ32" s="56">
        <f>AVERAGE(AJ5:AJ29)</f>
        <v>8.5432918180161133E-2</v>
      </c>
      <c r="AK32" s="56">
        <f>AVERAGE(AK5:AK29)</f>
        <v>0.39652264554062627</v>
      </c>
      <c r="BG32" s="8">
        <f>AVERAGE(BG5:BG29)</f>
        <v>-4.0323311652574746E-4</v>
      </c>
      <c r="BI32" s="5">
        <f>AVERAGE(BI5:BI29)</f>
        <v>6.2458989587938609E-3</v>
      </c>
      <c r="BJ32" s="5">
        <f>AVERAGE(BJ5:BJ29)</f>
        <v>3.2898116386359975E-3</v>
      </c>
      <c r="BK32" s="5">
        <f>AVERAGE(BK5:BK29)</f>
        <v>2.4743177940757645E-3</v>
      </c>
      <c r="BL32" s="5">
        <f>AVERAGE(BL5:BL29)</f>
        <v>3.0584887351785108E-3</v>
      </c>
      <c r="BM32" s="5">
        <f>AVERAGE(BM5:BM29)</f>
        <v>3.4173992997496684E-3</v>
      </c>
      <c r="BO32" s="5">
        <f>AVERAGE(BO5:BO29)</f>
        <v>6.2656176552665418E-3</v>
      </c>
      <c r="BP32" s="5">
        <f>AVERAGE(BP5:BP29)</f>
        <v>3.5426502853724172E-3</v>
      </c>
      <c r="BQ32" s="5">
        <f>AVERAGE(BQ5:BQ29)</f>
        <v>2.4139209016801112E-3</v>
      </c>
      <c r="BR32" s="5">
        <f>AVERAGE(BR5:BR29)</f>
        <v>2.9574819657745889E-3</v>
      </c>
      <c r="BS32" s="5">
        <f>AVERAGE(BS5:BS29)</f>
        <v>3.3777577460676333E-3</v>
      </c>
    </row>
    <row r="33" spans="1:55" hidden="1" outlineLevel="2">
      <c r="A33" s="55" t="s">
        <v>291</v>
      </c>
      <c r="B33" s="55" t="s">
        <v>292</v>
      </c>
      <c r="AB33" s="57">
        <f>SUM(AB5:AB24,AB25:AB29)</f>
        <v>87349.88</v>
      </c>
      <c r="AC33" s="57">
        <f>SUM(AC5:AC24,AC25:AC29)</f>
        <v>35310.483999999997</v>
      </c>
      <c r="AD33" s="57">
        <f>SUM(AD5:AD24,AD25:AD29)</f>
        <v>150.44600000000003</v>
      </c>
      <c r="AE33" s="57">
        <f>SUM(AE5:AE24,AE25:AE29)</f>
        <v>525.38099999999997</v>
      </c>
      <c r="AZ33" s="57">
        <f>SUM(AZ5:AZ24,AZ25:AZ29)</f>
        <v>86005.9</v>
      </c>
      <c r="BA33" s="57">
        <f>SUM(BA5:BA24,BA25:BA29)</f>
        <v>34211.006000000001</v>
      </c>
      <c r="BB33" s="57">
        <f>SUM(BB5:BB24,BB25:BB29)</f>
        <v>144.01500000000001</v>
      </c>
      <c r="BC33" s="57">
        <f>SUM(BC5:BC24,BC25:BC29)</f>
        <v>521.43400000000008</v>
      </c>
    </row>
    <row r="34" spans="1:55" hidden="1" outlineLevel="2">
      <c r="B34" s="55" t="s">
        <v>293</v>
      </c>
      <c r="AZ34" s="8">
        <f>AZ33/AB33</f>
        <v>0.98461383118099288</v>
      </c>
      <c r="BA34" s="8">
        <f>BA33/AC33</f>
        <v>0.96886256217841715</v>
      </c>
      <c r="BB34" s="8">
        <f>BB33/AD33</f>
        <v>0.9572537654706671</v>
      </c>
      <c r="BC34" s="8">
        <f>BC33/AE33</f>
        <v>0.9924873567944027</v>
      </c>
    </row>
    <row r="35" spans="1:55" hidden="1" outlineLevel="2">
      <c r="B35" s="55" t="s">
        <v>294</v>
      </c>
      <c r="AB35" s="57">
        <f>GEOMEAN(AB5:AB24,AB25:AB29)</f>
        <v>3471.7771444469258</v>
      </c>
      <c r="AC35" s="57">
        <f>GEOMEAN(AC5:AC24,AC25:AC29)</f>
        <v>1373.0635772048743</v>
      </c>
      <c r="AD35" s="57">
        <f>GEOMEAN(AD5:AD24,AD25:AD29)</f>
        <v>5.9424276333559076</v>
      </c>
      <c r="AE35" s="57">
        <f>GEOMEAN(AE5:AE24,AE25:AE29)</f>
        <v>20.695903937305122</v>
      </c>
      <c r="AZ35" s="57">
        <f>GEOMEAN(AZ5:AZ24,AZ25:AZ29)</f>
        <v>3424.0539848561402</v>
      </c>
      <c r="BA35" s="57">
        <f>GEOMEAN(BA5:BA24,BA25:BA29)</f>
        <v>1337.137452944716</v>
      </c>
      <c r="BB35" s="57">
        <f>GEOMEAN(BB5:BB24,BB25:BB29)</f>
        <v>5.705734755056711</v>
      </c>
      <c r="BC35" s="57">
        <f>GEOMEAN(BC5:BC24,BC25:BC29)</f>
        <v>20.556261194919625</v>
      </c>
    </row>
    <row r="36" spans="1:55" outlineLevel="2" collapsed="1">
      <c r="B36" s="55" t="s">
        <v>295</v>
      </c>
      <c r="AZ36" s="8">
        <f>AZ35/AB35</f>
        <v>0.9862539680384963</v>
      </c>
      <c r="BA36" s="8">
        <f>BA35/AC35</f>
        <v>0.97383506134996856</v>
      </c>
      <c r="BB36" s="8">
        <f>BB35/AD35</f>
        <v>0.96016899272435441</v>
      </c>
      <c r="BC36" s="8">
        <f>BC35/AE35</f>
        <v>0.99325263864731295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>
      <c r="AQ65" s="4"/>
      <c r="AR65" s="4"/>
      <c r="AS65" s="4"/>
      <c r="AT65" s="4"/>
      <c r="AU65" s="4"/>
      <c r="AV65" s="4"/>
      <c r="AW65" s="4"/>
      <c r="AX65" s="4"/>
      <c r="AY65" s="4"/>
    </row>
    <row r="66" spans="40:51">
      <c r="AQ66" s="4"/>
      <c r="AR66" s="4"/>
      <c r="AS66" s="4"/>
      <c r="AT66" s="4"/>
      <c r="AU66" s="4"/>
      <c r="AV66" s="4"/>
      <c r="AW66" s="4"/>
      <c r="AX66" s="4"/>
      <c r="AY66" s="4"/>
    </row>
    <row r="67" spans="40:51">
      <c r="AQ67" s="4"/>
      <c r="AR67" s="4"/>
      <c r="AS67" s="4"/>
      <c r="AT67" s="4"/>
      <c r="AU67" s="4"/>
      <c r="AV67" s="4"/>
      <c r="AW67" s="4"/>
      <c r="AX67" s="4"/>
      <c r="AY67" s="4"/>
    </row>
    <row r="68" spans="40:51">
      <c r="AQ68" s="4"/>
      <c r="AR68" s="4"/>
      <c r="AS68" s="4"/>
      <c r="AT68" s="4"/>
      <c r="AU68" s="4"/>
      <c r="AV68" s="4"/>
      <c r="AW68" s="4"/>
      <c r="AX68" s="4"/>
      <c r="AY68" s="4"/>
    </row>
    <row r="69" spans="40:51">
      <c r="AQ69" s="4"/>
      <c r="AR69" s="4"/>
      <c r="AS69" s="4"/>
      <c r="AT69" s="4"/>
      <c r="AU69" s="4"/>
      <c r="AV69" s="4"/>
      <c r="AW69" s="4"/>
      <c r="AX69" s="4"/>
      <c r="AY69" s="4"/>
    </row>
    <row r="70" spans="40:51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phoneticPr fontId="3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81640625" defaultRowHeight="13"/>
  <sheetData>
    <row r="1" spans="1:2">
      <c r="A1" t="s">
        <v>95</v>
      </c>
      <c r="B1">
        <v>1</v>
      </c>
    </row>
    <row r="2" spans="1:2">
      <c r="A2" t="s">
        <v>98</v>
      </c>
      <c r="B2">
        <v>2</v>
      </c>
    </row>
    <row r="3" spans="1:2">
      <c r="A3" t="s">
        <v>101</v>
      </c>
      <c r="B3">
        <v>3</v>
      </c>
    </row>
    <row r="4" spans="1:2">
      <c r="A4" t="s">
        <v>104</v>
      </c>
      <c r="B4">
        <v>4</v>
      </c>
    </row>
    <row r="5" spans="1:2">
      <c r="A5" t="s">
        <v>107</v>
      </c>
      <c r="B5">
        <v>5</v>
      </c>
    </row>
    <row r="6" spans="1:2">
      <c r="A6" t="s">
        <v>110</v>
      </c>
      <c r="B6">
        <v>6</v>
      </c>
    </row>
    <row r="7" spans="1:2">
      <c r="A7" t="s">
        <v>113</v>
      </c>
      <c r="B7">
        <v>7</v>
      </c>
    </row>
    <row r="8" spans="1:2">
      <c r="A8" t="s">
        <v>116</v>
      </c>
      <c r="B8">
        <v>9</v>
      </c>
    </row>
    <row r="9" spans="1:2">
      <c r="A9" t="s">
        <v>120</v>
      </c>
      <c r="B9">
        <v>10</v>
      </c>
    </row>
    <row r="10" spans="1:2">
      <c r="A10" t="s">
        <v>123</v>
      </c>
      <c r="B10">
        <v>11</v>
      </c>
    </row>
    <row r="11" spans="1:2">
      <c r="A11" t="s">
        <v>126</v>
      </c>
      <c r="B11">
        <v>12</v>
      </c>
    </row>
    <row r="12" spans="1:2">
      <c r="A12" t="s">
        <v>129</v>
      </c>
      <c r="B12">
        <v>13</v>
      </c>
    </row>
    <row r="13" spans="1:2">
      <c r="A13" t="s">
        <v>132</v>
      </c>
      <c r="B13">
        <v>14</v>
      </c>
    </row>
    <row r="14" spans="1:2">
      <c r="A14" t="s">
        <v>135</v>
      </c>
      <c r="B14">
        <v>15</v>
      </c>
    </row>
    <row r="15" spans="1:2">
      <c r="A15" t="s">
        <v>137</v>
      </c>
      <c r="B15">
        <v>16</v>
      </c>
    </row>
    <row r="16" spans="1:2">
      <c r="A16" t="s">
        <v>139</v>
      </c>
      <c r="B16">
        <v>17</v>
      </c>
    </row>
    <row r="17" spans="1:2">
      <c r="A17" t="s">
        <v>141</v>
      </c>
      <c r="B17">
        <v>18</v>
      </c>
    </row>
    <row r="18" spans="1:2">
      <c r="A18" t="s">
        <v>144</v>
      </c>
      <c r="B18">
        <v>19</v>
      </c>
    </row>
    <row r="19" spans="1:2">
      <c r="A19" t="s">
        <v>146</v>
      </c>
      <c r="B19">
        <v>20</v>
      </c>
    </row>
    <row r="20" spans="1:2">
      <c r="A20" t="s">
        <v>149</v>
      </c>
      <c r="B20">
        <v>21</v>
      </c>
    </row>
    <row r="21" spans="1:2">
      <c r="A21" t="s">
        <v>152</v>
      </c>
      <c r="B21">
        <v>22</v>
      </c>
    </row>
    <row r="22" spans="1:2">
      <c r="A22" t="s">
        <v>156</v>
      </c>
      <c r="B22">
        <v>23</v>
      </c>
    </row>
    <row r="23" spans="1:2">
      <c r="A23" t="s">
        <v>159</v>
      </c>
      <c r="B23">
        <v>24</v>
      </c>
    </row>
    <row r="24" spans="1:2">
      <c r="A24" t="s">
        <v>163</v>
      </c>
      <c r="B24">
        <v>25</v>
      </c>
    </row>
    <row r="25" spans="1:2">
      <c r="A25" t="s">
        <v>166</v>
      </c>
      <c r="B25">
        <v>26</v>
      </c>
    </row>
    <row r="26" spans="1:2">
      <c r="A26" t="s">
        <v>169</v>
      </c>
      <c r="B26">
        <v>27</v>
      </c>
    </row>
    <row r="27" spans="1:2">
      <c r="A27" t="s">
        <v>173</v>
      </c>
      <c r="B27">
        <v>28</v>
      </c>
    </row>
    <row r="28" spans="1:2">
      <c r="A28" t="s">
        <v>176</v>
      </c>
      <c r="B28">
        <v>29</v>
      </c>
    </row>
    <row r="29" spans="1:2">
      <c r="A29" t="s">
        <v>179</v>
      </c>
      <c r="B29">
        <v>30</v>
      </c>
    </row>
    <row r="30" spans="1:2">
      <c r="A30" t="s">
        <v>181</v>
      </c>
      <c r="B30">
        <v>31</v>
      </c>
    </row>
    <row r="31" spans="1:2">
      <c r="A31" t="s">
        <v>183</v>
      </c>
      <c r="B31">
        <v>33</v>
      </c>
    </row>
    <row r="32" spans="1:2">
      <c r="A32" t="s">
        <v>185</v>
      </c>
      <c r="B32">
        <v>34</v>
      </c>
    </row>
    <row r="33" spans="1:2">
      <c r="A33" t="s">
        <v>187</v>
      </c>
      <c r="B33">
        <v>35</v>
      </c>
    </row>
    <row r="34" spans="1:2">
      <c r="A34" t="s">
        <v>189</v>
      </c>
      <c r="B34">
        <v>36</v>
      </c>
    </row>
    <row r="35" spans="1:2">
      <c r="A35" t="s">
        <v>191</v>
      </c>
      <c r="B35">
        <v>37</v>
      </c>
    </row>
    <row r="36" spans="1:2">
      <c r="A36" t="s">
        <v>194</v>
      </c>
      <c r="B36">
        <v>38</v>
      </c>
    </row>
    <row r="37" spans="1:2">
      <c r="A37" t="s">
        <v>196</v>
      </c>
      <c r="B37">
        <v>39</v>
      </c>
    </row>
    <row r="38" spans="1:2">
      <c r="A38" t="s">
        <v>198</v>
      </c>
      <c r="B38">
        <v>40</v>
      </c>
    </row>
    <row r="39" spans="1:2">
      <c r="A39" t="s">
        <v>200</v>
      </c>
      <c r="B39">
        <v>41</v>
      </c>
    </row>
    <row r="40" spans="1:2">
      <c r="A40" t="s">
        <v>202</v>
      </c>
      <c r="B40">
        <v>42</v>
      </c>
    </row>
    <row r="41" spans="1:2">
      <c r="A41" t="s">
        <v>204</v>
      </c>
      <c r="B41">
        <v>43</v>
      </c>
    </row>
    <row r="42" spans="1:2">
      <c r="A42" t="s">
        <v>206</v>
      </c>
      <c r="B42">
        <v>44</v>
      </c>
    </row>
    <row r="43" spans="1:2">
      <c r="A43" t="s">
        <v>208</v>
      </c>
      <c r="B43">
        <v>45</v>
      </c>
    </row>
    <row r="44" spans="1:2">
      <c r="A44" t="s">
        <v>210</v>
      </c>
      <c r="B44">
        <v>46</v>
      </c>
    </row>
    <row r="45" spans="1:2">
      <c r="A45" t="s">
        <v>212</v>
      </c>
      <c r="B45">
        <v>47</v>
      </c>
    </row>
    <row r="46" spans="1:2">
      <c r="A46" t="s">
        <v>214</v>
      </c>
      <c r="B46">
        <v>48</v>
      </c>
    </row>
    <row r="47" spans="1:2">
      <c r="A47" t="s">
        <v>216</v>
      </c>
      <c r="B47">
        <v>49</v>
      </c>
    </row>
    <row r="48" spans="1:2">
      <c r="A48" t="s">
        <v>218</v>
      </c>
      <c r="B48">
        <v>50</v>
      </c>
    </row>
    <row r="49" spans="1:2">
      <c r="A49" t="s">
        <v>220</v>
      </c>
      <c r="B49">
        <v>51</v>
      </c>
    </row>
    <row r="50" spans="1:2">
      <c r="A50" t="s">
        <v>222</v>
      </c>
      <c r="B50">
        <v>52</v>
      </c>
    </row>
    <row r="51" spans="1:2">
      <c r="A51" t="s">
        <v>224</v>
      </c>
      <c r="B51">
        <v>53</v>
      </c>
    </row>
    <row r="52" spans="1:2">
      <c r="A52" t="s">
        <v>226</v>
      </c>
      <c r="B52">
        <v>54</v>
      </c>
    </row>
    <row r="53" spans="1:2">
      <c r="A53" t="s">
        <v>228</v>
      </c>
      <c r="B53">
        <v>55</v>
      </c>
    </row>
    <row r="54" spans="1:2">
      <c r="A54" t="s">
        <v>231</v>
      </c>
      <c r="B54">
        <v>57</v>
      </c>
    </row>
    <row r="55" spans="1:2">
      <c r="A55" t="s">
        <v>234</v>
      </c>
      <c r="B55">
        <v>58</v>
      </c>
    </row>
    <row r="56" spans="1:2">
      <c r="A56" t="s">
        <v>236</v>
      </c>
      <c r="B56">
        <v>59</v>
      </c>
    </row>
    <row r="57" spans="1:2">
      <c r="A57" t="s">
        <v>239</v>
      </c>
      <c r="B57">
        <v>61</v>
      </c>
    </row>
    <row r="58" spans="1:2">
      <c r="A58" t="s">
        <v>241</v>
      </c>
      <c r="B58">
        <v>62</v>
      </c>
    </row>
    <row r="59" spans="1:2">
      <c r="A59" t="s">
        <v>244</v>
      </c>
      <c r="B59">
        <v>63</v>
      </c>
    </row>
    <row r="60" spans="1:2">
      <c r="A60" t="s">
        <v>246</v>
      </c>
      <c r="B60">
        <v>64</v>
      </c>
    </row>
    <row r="61" spans="1:2">
      <c r="A61" t="s">
        <v>248</v>
      </c>
      <c r="B61">
        <v>65</v>
      </c>
    </row>
    <row r="62" spans="1:2">
      <c r="A62" t="s">
        <v>251</v>
      </c>
      <c r="B62">
        <v>67</v>
      </c>
    </row>
    <row r="63" spans="1:2">
      <c r="A63" t="s">
        <v>253</v>
      </c>
      <c r="B63">
        <v>68</v>
      </c>
    </row>
    <row r="64" spans="1:2">
      <c r="A64" t="s">
        <v>256</v>
      </c>
      <c r="B64">
        <v>69</v>
      </c>
    </row>
    <row r="65" spans="1:24">
      <c r="A65" t="s">
        <v>258</v>
      </c>
      <c r="B65">
        <v>70</v>
      </c>
    </row>
    <row r="66" spans="1:24">
      <c r="A66" t="s">
        <v>260</v>
      </c>
      <c r="B66">
        <v>71</v>
      </c>
    </row>
    <row r="67" spans="1:24">
      <c r="A67" t="s">
        <v>262</v>
      </c>
      <c r="B67" t="s">
        <v>263</v>
      </c>
    </row>
    <row r="68" spans="1:24">
      <c r="A68" t="s">
        <v>264</v>
      </c>
      <c r="B68" t="s">
        <v>265</v>
      </c>
    </row>
    <row r="69" spans="1:24">
      <c r="A69" t="s">
        <v>273</v>
      </c>
      <c r="B69" t="s">
        <v>274</v>
      </c>
    </row>
    <row r="70" spans="1:24">
      <c r="A70" t="s">
        <v>276</v>
      </c>
      <c r="B70" t="s">
        <v>277</v>
      </c>
    </row>
    <row r="71" spans="1:24">
      <c r="A71" t="s">
        <v>279</v>
      </c>
      <c r="B71" t="s">
        <v>280</v>
      </c>
    </row>
    <row r="72" spans="1:24">
      <c r="A72" t="s">
        <v>282</v>
      </c>
      <c r="B72" t="s">
        <v>283</v>
      </c>
    </row>
    <row r="73" spans="1:24">
      <c r="A73" t="s">
        <v>286</v>
      </c>
      <c r="B73" t="s">
        <v>287</v>
      </c>
    </row>
    <row r="74" spans="1:24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>
      <c r="A75" t="s">
        <v>304</v>
      </c>
      <c r="B75">
        <v>1</v>
      </c>
    </row>
    <row r="76" spans="1:24">
      <c r="A76" t="s">
        <v>305</v>
      </c>
      <c r="B76">
        <v>2</v>
      </c>
    </row>
    <row r="77" spans="1:24">
      <c r="A77" t="s">
        <v>306</v>
      </c>
      <c r="B77">
        <v>3</v>
      </c>
    </row>
    <row r="78" spans="1:24">
      <c r="A78" t="s">
        <v>307</v>
      </c>
      <c r="B78">
        <v>4</v>
      </c>
    </row>
    <row r="79" spans="1:24">
      <c r="A79" t="s">
        <v>308</v>
      </c>
      <c r="B79">
        <v>5</v>
      </c>
    </row>
    <row r="80" spans="1:24">
      <c r="A80" t="s">
        <v>309</v>
      </c>
      <c r="B80">
        <v>6</v>
      </c>
    </row>
    <row r="81" spans="1:2">
      <c r="A81" t="s">
        <v>312</v>
      </c>
      <c r="B81">
        <v>8</v>
      </c>
    </row>
    <row r="82" spans="1:2">
      <c r="A82" t="s">
        <v>313</v>
      </c>
      <c r="B82">
        <v>9</v>
      </c>
    </row>
    <row r="83" spans="1:2">
      <c r="A83" t="s">
        <v>314</v>
      </c>
      <c r="B83">
        <v>10</v>
      </c>
    </row>
    <row r="84" spans="1:2">
      <c r="A84" t="s">
        <v>315</v>
      </c>
      <c r="B84">
        <v>11</v>
      </c>
    </row>
    <row r="85" spans="1:2">
      <c r="A85" t="s">
        <v>316</v>
      </c>
      <c r="B85">
        <v>12</v>
      </c>
    </row>
    <row r="86" spans="1:2">
      <c r="A86" t="s">
        <v>317</v>
      </c>
      <c r="B86">
        <v>13</v>
      </c>
    </row>
    <row r="87" spans="1:2">
      <c r="A87" t="s">
        <v>318</v>
      </c>
      <c r="B87">
        <v>14</v>
      </c>
    </row>
    <row r="88" spans="1:2">
      <c r="A88" t="s">
        <v>319</v>
      </c>
      <c r="B88">
        <v>15</v>
      </c>
    </row>
    <row r="89" spans="1:2">
      <c r="A89" t="s">
        <v>320</v>
      </c>
      <c r="B89">
        <v>16</v>
      </c>
    </row>
    <row r="90" spans="1:2">
      <c r="A90" t="s">
        <v>321</v>
      </c>
      <c r="B90">
        <v>17</v>
      </c>
    </row>
    <row r="91" spans="1:2">
      <c r="A91" t="s">
        <v>322</v>
      </c>
      <c r="B91">
        <v>18</v>
      </c>
    </row>
    <row r="92" spans="1:2">
      <c r="A92" t="s">
        <v>323</v>
      </c>
      <c r="B92">
        <v>19</v>
      </c>
    </row>
    <row r="93" spans="1:2">
      <c r="A93" t="s">
        <v>324</v>
      </c>
      <c r="B93">
        <v>20</v>
      </c>
    </row>
    <row r="94" spans="1:2">
      <c r="A94" t="s">
        <v>325</v>
      </c>
      <c r="B94">
        <v>21</v>
      </c>
    </row>
    <row r="95" spans="1:2">
      <c r="A95" t="s">
        <v>326</v>
      </c>
      <c r="B95">
        <v>22</v>
      </c>
    </row>
    <row r="96" spans="1:2">
      <c r="A96" t="s">
        <v>327</v>
      </c>
      <c r="B96">
        <v>23</v>
      </c>
    </row>
    <row r="97" spans="1:2">
      <c r="A97" t="s">
        <v>328</v>
      </c>
      <c r="B97">
        <v>24</v>
      </c>
    </row>
    <row r="98" spans="1:2">
      <c r="A98" t="s">
        <v>329</v>
      </c>
      <c r="B98">
        <v>25</v>
      </c>
    </row>
    <row r="99" spans="1:2">
      <c r="A99" t="s">
        <v>330</v>
      </c>
      <c r="B99">
        <v>26</v>
      </c>
    </row>
    <row r="100" spans="1:2">
      <c r="A100" t="s">
        <v>331</v>
      </c>
      <c r="B100">
        <v>27</v>
      </c>
    </row>
    <row r="101" spans="1:2">
      <c r="A101" t="s">
        <v>332</v>
      </c>
      <c r="B101">
        <v>28</v>
      </c>
    </row>
    <row r="102" spans="1:2">
      <c r="A102" t="s">
        <v>333</v>
      </c>
      <c r="B102">
        <v>29</v>
      </c>
    </row>
    <row r="103" spans="1:2">
      <c r="A103" t="s">
        <v>335</v>
      </c>
      <c r="B103">
        <v>31</v>
      </c>
    </row>
    <row r="104" spans="1:2">
      <c r="A104" t="s">
        <v>336</v>
      </c>
      <c r="B104">
        <v>32</v>
      </c>
    </row>
    <row r="105" spans="1:2">
      <c r="A105" t="s">
        <v>337</v>
      </c>
      <c r="B105">
        <v>33</v>
      </c>
    </row>
    <row r="106" spans="1:2">
      <c r="A106" t="s">
        <v>338</v>
      </c>
      <c r="B106">
        <v>34</v>
      </c>
    </row>
    <row r="107" spans="1:2">
      <c r="A107" t="s">
        <v>339</v>
      </c>
      <c r="B107">
        <v>35</v>
      </c>
    </row>
    <row r="108" spans="1:2">
      <c r="A108" t="s">
        <v>340</v>
      </c>
      <c r="B108">
        <v>36</v>
      </c>
    </row>
    <row r="109" spans="1:2">
      <c r="A109" t="s">
        <v>341</v>
      </c>
      <c r="B109">
        <v>37</v>
      </c>
    </row>
    <row r="110" spans="1:2">
      <c r="A110" t="s">
        <v>342</v>
      </c>
      <c r="B110">
        <v>38</v>
      </c>
    </row>
    <row r="111" spans="1:2">
      <c r="A111" t="s">
        <v>343</v>
      </c>
      <c r="B111">
        <v>39</v>
      </c>
    </row>
    <row r="112" spans="1:2">
      <c r="A112" t="s">
        <v>344</v>
      </c>
      <c r="B112">
        <v>40</v>
      </c>
    </row>
    <row r="113" spans="1:2">
      <c r="A113" t="s">
        <v>345</v>
      </c>
      <c r="B113">
        <v>41</v>
      </c>
    </row>
    <row r="114" spans="1:2">
      <c r="A114" t="s">
        <v>346</v>
      </c>
      <c r="B114">
        <v>42</v>
      </c>
    </row>
    <row r="115" spans="1:2">
      <c r="A115" t="s">
        <v>347</v>
      </c>
      <c r="B115">
        <v>43</v>
      </c>
    </row>
    <row r="116" spans="1:2">
      <c r="A116" t="s">
        <v>348</v>
      </c>
      <c r="B116">
        <v>44</v>
      </c>
    </row>
    <row r="117" spans="1:2">
      <c r="A117" t="s">
        <v>349</v>
      </c>
      <c r="B117">
        <v>45</v>
      </c>
    </row>
    <row r="118" spans="1:2">
      <c r="A118" t="s">
        <v>350</v>
      </c>
      <c r="B118">
        <v>46</v>
      </c>
    </row>
    <row r="119" spans="1:2">
      <c r="A119" t="s">
        <v>351</v>
      </c>
      <c r="B119">
        <v>47</v>
      </c>
    </row>
    <row r="120" spans="1:2">
      <c r="A120" t="s">
        <v>352</v>
      </c>
      <c r="B120">
        <v>48</v>
      </c>
    </row>
    <row r="121" spans="1:2">
      <c r="A121" t="s">
        <v>353</v>
      </c>
      <c r="B121">
        <v>49</v>
      </c>
    </row>
    <row r="122" spans="1:2">
      <c r="A122" t="s">
        <v>354</v>
      </c>
      <c r="B122">
        <v>50</v>
      </c>
    </row>
    <row r="123" spans="1:2">
      <c r="A123" t="s">
        <v>355</v>
      </c>
      <c r="B123">
        <v>51</v>
      </c>
    </row>
    <row r="124" spans="1:2">
      <c r="A124" t="s">
        <v>356</v>
      </c>
      <c r="B124">
        <v>52</v>
      </c>
    </row>
    <row r="125" spans="1:2">
      <c r="A125" t="s">
        <v>359</v>
      </c>
      <c r="B125">
        <v>54</v>
      </c>
    </row>
    <row r="126" spans="1:2">
      <c r="A126" t="s">
        <v>361</v>
      </c>
      <c r="B126">
        <v>55</v>
      </c>
    </row>
    <row r="127" spans="1:2">
      <c r="A127" t="s">
        <v>363</v>
      </c>
      <c r="B127">
        <v>56</v>
      </c>
    </row>
    <row r="128" spans="1:2">
      <c r="A128" t="s">
        <v>364</v>
      </c>
      <c r="B128">
        <v>57</v>
      </c>
    </row>
    <row r="129" spans="1:23">
      <c r="A129" t="s">
        <v>365</v>
      </c>
      <c r="B129">
        <v>58</v>
      </c>
    </row>
    <row r="130" spans="1:23">
      <c r="A130" t="s">
        <v>367</v>
      </c>
      <c r="B130" t="s">
        <v>368</v>
      </c>
    </row>
    <row r="131" spans="1:23">
      <c r="A131" t="s">
        <v>369</v>
      </c>
      <c r="B131" t="s">
        <v>370</v>
      </c>
    </row>
    <row r="132" spans="1:23">
      <c r="A132" t="s">
        <v>371</v>
      </c>
      <c r="B132" t="s">
        <v>372</v>
      </c>
    </row>
    <row r="133" spans="1:23">
      <c r="A133" t="s">
        <v>373</v>
      </c>
      <c r="B133" t="s">
        <v>374</v>
      </c>
    </row>
    <row r="134" spans="1:23">
      <c r="A134" t="s">
        <v>375</v>
      </c>
      <c r="B134" t="s">
        <v>376</v>
      </c>
    </row>
    <row r="135" spans="1:23">
      <c r="A135" t="s">
        <v>377</v>
      </c>
      <c r="B135" t="s">
        <v>378</v>
      </c>
    </row>
    <row r="136" spans="1:23">
      <c r="A136" t="s">
        <v>379</v>
      </c>
      <c r="B136" t="s">
        <v>380</v>
      </c>
    </row>
    <row r="137" spans="1:2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>
      <c r="A138" t="s">
        <v>386</v>
      </c>
      <c r="B138">
        <v>1</v>
      </c>
    </row>
    <row r="139" spans="1:23">
      <c r="A139" t="s">
        <v>387</v>
      </c>
      <c r="B139">
        <v>2</v>
      </c>
    </row>
    <row r="140" spans="1:23">
      <c r="A140" t="s">
        <v>388</v>
      </c>
      <c r="B140">
        <v>3</v>
      </c>
    </row>
    <row r="141" spans="1:23">
      <c r="A141" t="s">
        <v>389</v>
      </c>
      <c r="B141">
        <v>4</v>
      </c>
    </row>
    <row r="142" spans="1:23">
      <c r="A142" t="s">
        <v>390</v>
      </c>
      <c r="B142">
        <v>5</v>
      </c>
    </row>
    <row r="143" spans="1:23">
      <c r="A143" t="s">
        <v>391</v>
      </c>
      <c r="B143">
        <v>6</v>
      </c>
    </row>
    <row r="144" spans="1:23">
      <c r="A144" t="s">
        <v>392</v>
      </c>
      <c r="B144">
        <v>8</v>
      </c>
    </row>
    <row r="145" spans="1:2">
      <c r="A145" t="s">
        <v>393</v>
      </c>
      <c r="B145">
        <v>9</v>
      </c>
    </row>
    <row r="146" spans="1:2">
      <c r="A146" t="s">
        <v>394</v>
      </c>
      <c r="B146">
        <v>10</v>
      </c>
    </row>
    <row r="147" spans="1:2">
      <c r="A147" t="s">
        <v>395</v>
      </c>
      <c r="B147">
        <v>11</v>
      </c>
    </row>
    <row r="148" spans="1:2">
      <c r="A148" t="s">
        <v>396</v>
      </c>
      <c r="B148">
        <v>12</v>
      </c>
    </row>
    <row r="149" spans="1:2">
      <c r="A149" t="s">
        <v>397</v>
      </c>
      <c r="B149">
        <v>13</v>
      </c>
    </row>
    <row r="150" spans="1:2">
      <c r="A150" t="s">
        <v>398</v>
      </c>
      <c r="B150">
        <v>14</v>
      </c>
    </row>
    <row r="151" spans="1:2">
      <c r="A151" t="s">
        <v>399</v>
      </c>
      <c r="B151">
        <v>15</v>
      </c>
    </row>
    <row r="152" spans="1:2">
      <c r="A152" t="s">
        <v>400</v>
      </c>
      <c r="B152">
        <v>16</v>
      </c>
    </row>
    <row r="153" spans="1:2">
      <c r="A153" t="s">
        <v>401</v>
      </c>
      <c r="B153">
        <v>17</v>
      </c>
    </row>
    <row r="154" spans="1:2">
      <c r="A154" t="s">
        <v>402</v>
      </c>
      <c r="B154">
        <v>18</v>
      </c>
    </row>
    <row r="155" spans="1:2">
      <c r="A155" t="s">
        <v>403</v>
      </c>
      <c r="B155">
        <v>19</v>
      </c>
    </row>
    <row r="156" spans="1:2">
      <c r="A156" t="s">
        <v>404</v>
      </c>
      <c r="B156">
        <v>20</v>
      </c>
    </row>
    <row r="157" spans="1:2">
      <c r="A157" t="s">
        <v>405</v>
      </c>
      <c r="B157">
        <v>21</v>
      </c>
    </row>
    <row r="158" spans="1:2">
      <c r="A158" t="s">
        <v>406</v>
      </c>
      <c r="B158">
        <v>22</v>
      </c>
    </row>
    <row r="159" spans="1:2">
      <c r="A159" t="s">
        <v>407</v>
      </c>
      <c r="B159">
        <v>23</v>
      </c>
    </row>
    <row r="160" spans="1:2">
      <c r="A160" t="s">
        <v>408</v>
      </c>
      <c r="B160">
        <v>24</v>
      </c>
    </row>
    <row r="161" spans="1:2">
      <c r="A161" t="s">
        <v>409</v>
      </c>
      <c r="B161">
        <v>25</v>
      </c>
    </row>
    <row r="162" spans="1:2">
      <c r="A162" t="s">
        <v>410</v>
      </c>
      <c r="B162">
        <v>26</v>
      </c>
    </row>
    <row r="163" spans="1:2">
      <c r="A163" t="s">
        <v>411</v>
      </c>
      <c r="B163">
        <v>27</v>
      </c>
    </row>
    <row r="164" spans="1:2">
      <c r="A164" t="s">
        <v>412</v>
      </c>
      <c r="B164">
        <v>28</v>
      </c>
    </row>
    <row r="165" spans="1:2">
      <c r="A165" t="s">
        <v>413</v>
      </c>
      <c r="B165">
        <v>29</v>
      </c>
    </row>
    <row r="166" spans="1:2">
      <c r="A166" t="s">
        <v>414</v>
      </c>
      <c r="B166">
        <v>31</v>
      </c>
    </row>
    <row r="167" spans="1:2">
      <c r="A167" t="s">
        <v>415</v>
      </c>
      <c r="B167">
        <v>32</v>
      </c>
    </row>
    <row r="168" spans="1:2">
      <c r="A168" t="s">
        <v>416</v>
      </c>
      <c r="B168">
        <v>33</v>
      </c>
    </row>
    <row r="169" spans="1:2">
      <c r="A169" t="s">
        <v>417</v>
      </c>
      <c r="B169">
        <v>34</v>
      </c>
    </row>
    <row r="170" spans="1:2">
      <c r="A170" t="s">
        <v>418</v>
      </c>
      <c r="B170">
        <v>35</v>
      </c>
    </row>
    <row r="171" spans="1:2">
      <c r="A171" t="s">
        <v>419</v>
      </c>
      <c r="B171">
        <v>36</v>
      </c>
    </row>
    <row r="172" spans="1:2">
      <c r="A172" t="s">
        <v>420</v>
      </c>
      <c r="B172">
        <v>37</v>
      </c>
    </row>
    <row r="173" spans="1:2">
      <c r="A173" t="s">
        <v>421</v>
      </c>
      <c r="B173">
        <v>38</v>
      </c>
    </row>
    <row r="174" spans="1:2">
      <c r="A174" t="s">
        <v>422</v>
      </c>
      <c r="B174">
        <v>39</v>
      </c>
    </row>
    <row r="175" spans="1:2">
      <c r="A175" t="s">
        <v>423</v>
      </c>
      <c r="B175">
        <v>40</v>
      </c>
    </row>
    <row r="176" spans="1:2">
      <c r="A176" t="s">
        <v>424</v>
      </c>
      <c r="B176">
        <v>41</v>
      </c>
    </row>
    <row r="177" spans="1:2">
      <c r="A177" t="s">
        <v>425</v>
      </c>
      <c r="B177">
        <v>42</v>
      </c>
    </row>
    <row r="178" spans="1:2">
      <c r="A178" t="s">
        <v>426</v>
      </c>
      <c r="B178">
        <v>43</v>
      </c>
    </row>
    <row r="179" spans="1:2">
      <c r="A179" t="s">
        <v>427</v>
      </c>
      <c r="B179">
        <v>44</v>
      </c>
    </row>
    <row r="180" spans="1:2">
      <c r="A180" t="s">
        <v>428</v>
      </c>
      <c r="B180">
        <v>45</v>
      </c>
    </row>
    <row r="181" spans="1:2">
      <c r="A181" t="s">
        <v>429</v>
      </c>
      <c r="B181">
        <v>46</v>
      </c>
    </row>
    <row r="182" spans="1:2">
      <c r="A182" t="s">
        <v>430</v>
      </c>
      <c r="B182">
        <v>47</v>
      </c>
    </row>
    <row r="183" spans="1:2">
      <c r="A183" t="s">
        <v>431</v>
      </c>
      <c r="B183">
        <v>48</v>
      </c>
    </row>
    <row r="184" spans="1:2">
      <c r="A184" t="s">
        <v>432</v>
      </c>
      <c r="B184">
        <v>49</v>
      </c>
    </row>
    <row r="185" spans="1:2">
      <c r="A185" t="s">
        <v>433</v>
      </c>
      <c r="B185">
        <v>50</v>
      </c>
    </row>
    <row r="186" spans="1:2">
      <c r="A186" t="s">
        <v>434</v>
      </c>
      <c r="B186">
        <v>51</v>
      </c>
    </row>
    <row r="187" spans="1:2">
      <c r="A187" t="s">
        <v>435</v>
      </c>
      <c r="B187">
        <v>52</v>
      </c>
    </row>
    <row r="188" spans="1:2">
      <c r="A188" t="s">
        <v>436</v>
      </c>
      <c r="B188">
        <v>54</v>
      </c>
    </row>
    <row r="189" spans="1:2">
      <c r="A189" t="s">
        <v>437</v>
      </c>
      <c r="B189">
        <v>55</v>
      </c>
    </row>
    <row r="190" spans="1:2">
      <c r="A190" t="s">
        <v>438</v>
      </c>
      <c r="B190">
        <v>56</v>
      </c>
    </row>
    <row r="191" spans="1:2">
      <c r="A191" t="s">
        <v>439</v>
      </c>
      <c r="B191">
        <v>57</v>
      </c>
    </row>
    <row r="192" spans="1:2">
      <c r="A192" t="s">
        <v>440</v>
      </c>
      <c r="B192">
        <v>58</v>
      </c>
    </row>
    <row r="193" spans="1:23">
      <c r="A193" t="s">
        <v>442</v>
      </c>
      <c r="B193" t="s">
        <v>443</v>
      </c>
    </row>
    <row r="194" spans="1:23">
      <c r="A194" t="s">
        <v>444</v>
      </c>
      <c r="B194" t="s">
        <v>445</v>
      </c>
    </row>
    <row r="195" spans="1:23">
      <c r="A195" t="s">
        <v>446</v>
      </c>
      <c r="B195" t="s">
        <v>447</v>
      </c>
    </row>
    <row r="196" spans="1:23">
      <c r="A196" t="s">
        <v>448</v>
      </c>
      <c r="B196" t="s">
        <v>449</v>
      </c>
    </row>
    <row r="197" spans="1:23">
      <c r="A197" t="s">
        <v>450</v>
      </c>
      <c r="B197" t="s">
        <v>451</v>
      </c>
    </row>
    <row r="198" spans="1:23">
      <c r="A198" t="s">
        <v>452</v>
      </c>
      <c r="B198" t="s">
        <v>453</v>
      </c>
    </row>
    <row r="199" spans="1:23">
      <c r="A199" t="s">
        <v>454</v>
      </c>
      <c r="B199" t="s">
        <v>455</v>
      </c>
    </row>
    <row r="200" spans="1:2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>
      <c r="A201" t="s">
        <v>462</v>
      </c>
      <c r="B201">
        <v>1</v>
      </c>
    </row>
    <row r="202" spans="1:23">
      <c r="A202" t="s">
        <v>463</v>
      </c>
      <c r="B202">
        <v>2</v>
      </c>
    </row>
    <row r="203" spans="1:23">
      <c r="A203" t="s">
        <v>464</v>
      </c>
      <c r="B203">
        <v>3</v>
      </c>
    </row>
    <row r="204" spans="1:23">
      <c r="A204" t="s">
        <v>465</v>
      </c>
      <c r="B204">
        <v>4</v>
      </c>
    </row>
    <row r="205" spans="1:23">
      <c r="A205" t="s">
        <v>466</v>
      </c>
      <c r="B205">
        <v>5</v>
      </c>
    </row>
    <row r="206" spans="1:23">
      <c r="A206" t="s">
        <v>467</v>
      </c>
      <c r="B206">
        <v>6</v>
      </c>
    </row>
    <row r="207" spans="1:23">
      <c r="A207" t="s">
        <v>468</v>
      </c>
      <c r="B207">
        <v>7</v>
      </c>
    </row>
    <row r="208" spans="1:23">
      <c r="A208" t="s">
        <v>469</v>
      </c>
      <c r="B208">
        <v>9</v>
      </c>
    </row>
    <row r="209" spans="1:2">
      <c r="A209" t="s">
        <v>470</v>
      </c>
      <c r="B209">
        <v>10</v>
      </c>
    </row>
    <row r="210" spans="1:2">
      <c r="A210" t="s">
        <v>471</v>
      </c>
      <c r="B210">
        <v>11</v>
      </c>
    </row>
    <row r="211" spans="1:2">
      <c r="A211" t="s">
        <v>472</v>
      </c>
      <c r="B211">
        <v>12</v>
      </c>
    </row>
    <row r="212" spans="1:2">
      <c r="A212" t="s">
        <v>473</v>
      </c>
      <c r="B212">
        <v>13</v>
      </c>
    </row>
    <row r="213" spans="1:2">
      <c r="A213" t="s">
        <v>474</v>
      </c>
      <c r="B213">
        <v>14</v>
      </c>
    </row>
    <row r="214" spans="1:2">
      <c r="A214" t="s">
        <v>475</v>
      </c>
      <c r="B214">
        <v>15</v>
      </c>
    </row>
    <row r="215" spans="1:2">
      <c r="A215" t="s">
        <v>476</v>
      </c>
      <c r="B215">
        <v>16</v>
      </c>
    </row>
    <row r="216" spans="1:2">
      <c r="A216" t="s">
        <v>477</v>
      </c>
      <c r="B216">
        <v>17</v>
      </c>
    </row>
    <row r="217" spans="1:2">
      <c r="A217" t="s">
        <v>478</v>
      </c>
      <c r="B217">
        <v>18</v>
      </c>
    </row>
    <row r="218" spans="1:2">
      <c r="A218" t="s">
        <v>479</v>
      </c>
      <c r="B218">
        <v>19</v>
      </c>
    </row>
    <row r="219" spans="1:2">
      <c r="A219" t="s">
        <v>480</v>
      </c>
      <c r="B219">
        <v>20</v>
      </c>
    </row>
    <row r="220" spans="1:2">
      <c r="A220" t="s">
        <v>481</v>
      </c>
      <c r="B220">
        <v>21</v>
      </c>
    </row>
    <row r="221" spans="1:2">
      <c r="A221" t="s">
        <v>482</v>
      </c>
      <c r="B221">
        <v>22</v>
      </c>
    </row>
    <row r="222" spans="1:2">
      <c r="A222" t="s">
        <v>483</v>
      </c>
      <c r="B222">
        <v>23</v>
      </c>
    </row>
    <row r="223" spans="1:2">
      <c r="A223" t="s">
        <v>484</v>
      </c>
      <c r="B223">
        <v>24</v>
      </c>
    </row>
    <row r="224" spans="1:2">
      <c r="A224" t="s">
        <v>485</v>
      </c>
      <c r="B224">
        <v>25</v>
      </c>
    </row>
    <row r="225" spans="1:2">
      <c r="A225" t="s">
        <v>486</v>
      </c>
      <c r="B225">
        <v>26</v>
      </c>
    </row>
    <row r="226" spans="1:2">
      <c r="A226" t="s">
        <v>487</v>
      </c>
      <c r="B226">
        <v>27</v>
      </c>
    </row>
    <row r="227" spans="1:2">
      <c r="A227" t="s">
        <v>488</v>
      </c>
      <c r="B227">
        <v>28</v>
      </c>
    </row>
    <row r="228" spans="1:2">
      <c r="A228" t="s">
        <v>489</v>
      </c>
      <c r="B228">
        <v>29</v>
      </c>
    </row>
    <row r="229" spans="1:2">
      <c r="A229" t="s">
        <v>490</v>
      </c>
      <c r="B229">
        <v>30</v>
      </c>
    </row>
    <row r="230" spans="1:2">
      <c r="A230" t="s">
        <v>491</v>
      </c>
      <c r="B230">
        <v>31</v>
      </c>
    </row>
    <row r="231" spans="1:2">
      <c r="A231" t="s">
        <v>492</v>
      </c>
      <c r="B231">
        <v>33</v>
      </c>
    </row>
    <row r="232" spans="1:2">
      <c r="A232" t="s">
        <v>493</v>
      </c>
      <c r="B232">
        <v>34</v>
      </c>
    </row>
    <row r="233" spans="1:2">
      <c r="A233" t="s">
        <v>494</v>
      </c>
      <c r="B233">
        <v>35</v>
      </c>
    </row>
    <row r="234" spans="1:2">
      <c r="A234" t="s">
        <v>495</v>
      </c>
      <c r="B234">
        <v>36</v>
      </c>
    </row>
    <row r="235" spans="1:2">
      <c r="A235" t="s">
        <v>496</v>
      </c>
      <c r="B235">
        <v>37</v>
      </c>
    </row>
    <row r="236" spans="1:2">
      <c r="A236" t="s">
        <v>497</v>
      </c>
      <c r="B236">
        <v>38</v>
      </c>
    </row>
    <row r="237" spans="1:2">
      <c r="A237" t="s">
        <v>498</v>
      </c>
      <c r="B237">
        <v>39</v>
      </c>
    </row>
    <row r="238" spans="1:2">
      <c r="A238" t="s">
        <v>499</v>
      </c>
      <c r="B238">
        <v>40</v>
      </c>
    </row>
    <row r="239" spans="1:2">
      <c r="A239" t="s">
        <v>500</v>
      </c>
      <c r="B239">
        <v>41</v>
      </c>
    </row>
    <row r="240" spans="1:2">
      <c r="A240" t="s">
        <v>501</v>
      </c>
      <c r="B240">
        <v>42</v>
      </c>
    </row>
    <row r="241" spans="1:2">
      <c r="A241" t="s">
        <v>502</v>
      </c>
      <c r="B241">
        <v>43</v>
      </c>
    </row>
    <row r="242" spans="1:2">
      <c r="A242" t="s">
        <v>503</v>
      </c>
      <c r="B242">
        <v>44</v>
      </c>
    </row>
    <row r="243" spans="1:2">
      <c r="A243" t="s">
        <v>504</v>
      </c>
      <c r="B243">
        <v>45</v>
      </c>
    </row>
    <row r="244" spans="1:2">
      <c r="A244" t="s">
        <v>505</v>
      </c>
      <c r="B244">
        <v>46</v>
      </c>
    </row>
    <row r="245" spans="1:2">
      <c r="A245" t="s">
        <v>506</v>
      </c>
      <c r="B245">
        <v>47</v>
      </c>
    </row>
    <row r="246" spans="1:2">
      <c r="A246" t="s">
        <v>507</v>
      </c>
      <c r="B246">
        <v>48</v>
      </c>
    </row>
    <row r="247" spans="1:2">
      <c r="A247" t="s">
        <v>508</v>
      </c>
      <c r="B247">
        <v>49</v>
      </c>
    </row>
    <row r="248" spans="1:2">
      <c r="A248" t="s">
        <v>509</v>
      </c>
      <c r="B248">
        <v>50</v>
      </c>
    </row>
    <row r="249" spans="1:2">
      <c r="A249" t="s">
        <v>510</v>
      </c>
      <c r="B249">
        <v>51</v>
      </c>
    </row>
    <row r="250" spans="1:2">
      <c r="A250" t="s">
        <v>511</v>
      </c>
      <c r="B250">
        <v>52</v>
      </c>
    </row>
    <row r="251" spans="1:2">
      <c r="A251" t="s">
        <v>512</v>
      </c>
      <c r="B251">
        <v>53</v>
      </c>
    </row>
    <row r="252" spans="1:2">
      <c r="A252" t="s">
        <v>513</v>
      </c>
      <c r="B252">
        <v>54</v>
      </c>
    </row>
    <row r="253" spans="1:2">
      <c r="A253" t="s">
        <v>514</v>
      </c>
      <c r="B253">
        <v>55</v>
      </c>
    </row>
    <row r="254" spans="1:2">
      <c r="A254" t="s">
        <v>515</v>
      </c>
      <c r="B254">
        <v>57</v>
      </c>
    </row>
    <row r="255" spans="1:2">
      <c r="A255" t="s">
        <v>516</v>
      </c>
      <c r="B255">
        <v>58</v>
      </c>
    </row>
    <row r="256" spans="1:2">
      <c r="A256" t="s">
        <v>517</v>
      </c>
      <c r="B256">
        <v>59</v>
      </c>
    </row>
    <row r="257" spans="1:2">
      <c r="A257" t="s">
        <v>518</v>
      </c>
      <c r="B257">
        <v>61</v>
      </c>
    </row>
    <row r="258" spans="1:2">
      <c r="A258" t="s">
        <v>519</v>
      </c>
      <c r="B258">
        <v>62</v>
      </c>
    </row>
    <row r="259" spans="1:2">
      <c r="A259" t="s">
        <v>520</v>
      </c>
      <c r="B259">
        <v>63</v>
      </c>
    </row>
    <row r="260" spans="1:2">
      <c r="A260" t="s">
        <v>521</v>
      </c>
      <c r="B260">
        <v>64</v>
      </c>
    </row>
    <row r="261" spans="1:2">
      <c r="A261" t="s">
        <v>522</v>
      </c>
      <c r="B261">
        <v>65</v>
      </c>
    </row>
    <row r="262" spans="1:2">
      <c r="A262" t="s">
        <v>523</v>
      </c>
      <c r="B262">
        <v>67</v>
      </c>
    </row>
    <row r="263" spans="1:2">
      <c r="A263" t="s">
        <v>524</v>
      </c>
      <c r="B263">
        <v>68</v>
      </c>
    </row>
    <row r="264" spans="1:2">
      <c r="A264" t="s">
        <v>525</v>
      </c>
      <c r="B264">
        <v>69</v>
      </c>
    </row>
    <row r="265" spans="1:2">
      <c r="A265" t="s">
        <v>526</v>
      </c>
      <c r="B265">
        <v>70</v>
      </c>
    </row>
    <row r="266" spans="1:2">
      <c r="A266" t="s">
        <v>527</v>
      </c>
      <c r="B266">
        <v>71</v>
      </c>
    </row>
    <row r="267" spans="1:2">
      <c r="A267" t="s">
        <v>529</v>
      </c>
      <c r="B267" t="s">
        <v>530</v>
      </c>
    </row>
    <row r="268" spans="1:2">
      <c r="A268" t="s">
        <v>531</v>
      </c>
      <c r="B268" t="s">
        <v>532</v>
      </c>
    </row>
    <row r="269" spans="1:2">
      <c r="A269" t="s">
        <v>533</v>
      </c>
      <c r="B269" t="s">
        <v>534</v>
      </c>
    </row>
    <row r="270" spans="1:2">
      <c r="A270" t="s">
        <v>535</v>
      </c>
      <c r="B270" t="s">
        <v>536</v>
      </c>
    </row>
    <row r="271" spans="1:2">
      <c r="A271" t="s">
        <v>537</v>
      </c>
      <c r="B271" t="s">
        <v>538</v>
      </c>
    </row>
    <row r="272" spans="1:2">
      <c r="A272" t="s">
        <v>539</v>
      </c>
      <c r="B272" t="s">
        <v>540</v>
      </c>
    </row>
    <row r="273" spans="1:24">
      <c r="A273" t="s">
        <v>541</v>
      </c>
      <c r="B273" t="s">
        <v>542</v>
      </c>
    </row>
    <row r="274" spans="1:24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AO1" activePane="topRight" state="frozen"/>
      <selection pane="topRight" activeCell="AV31" sqref="AV31"/>
    </sheetView>
  </sheetViews>
  <sheetFormatPr defaultColWidth="8.81640625" defaultRowHeight="13" outlineLevelRow="2"/>
  <cols>
    <col min="1" max="1" width="9.1796875"/>
    <col min="2" max="2" width="24.6328125" customWidth="1"/>
    <col min="3" max="4" width="10.6328125" customWidth="1"/>
    <col min="5" max="6" width="9.1796875"/>
    <col min="7" max="7" width="1.6328125" customWidth="1"/>
    <col min="8" max="9" width="9.1796875"/>
    <col min="10" max="13" width="10.6328125" customWidth="1"/>
    <col min="14" max="14" width="24.6328125" hidden="1" customWidth="1"/>
    <col min="15" max="15" width="12.6328125" customWidth="1"/>
    <col min="16" max="16" width="10.6328125" customWidth="1"/>
    <col min="17" max="20" width="12.6328125" customWidth="1"/>
    <col min="21" max="25" width="11.6328125" customWidth="1"/>
    <col min="26" max="29" width="9.1796875"/>
    <col min="30" max="30" width="1.6328125" customWidth="1"/>
    <col min="31" max="32" width="9.1796875"/>
    <col min="33" max="36" width="10.6328125" customWidth="1"/>
    <col min="37" max="37" width="24.6328125" hidden="1" customWidth="1"/>
    <col min="38" max="38" width="12.6328125" customWidth="1"/>
    <col min="39" max="39" width="10.6328125" customWidth="1"/>
    <col min="40" max="43" width="12.6328125" customWidth="1"/>
    <col min="44" max="48" width="11.6328125" customWidth="1"/>
    <col min="49" max="52" width="9.1796875"/>
    <col min="53" max="53" width="1.6328125" customWidth="1"/>
    <col min="54" max="58" width="9.1796875"/>
    <col min="59" max="59" width="1.6328125" customWidth="1"/>
  </cols>
  <sheetData>
    <row r="1" spans="1:60">
      <c r="A1" s="69" t="s">
        <v>366</v>
      </c>
      <c r="B1" s="69"/>
      <c r="C1" s="69"/>
      <c r="D1" s="69"/>
      <c r="E1" s="69"/>
      <c r="F1" s="69"/>
      <c r="H1" s="65" t="s">
        <v>552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551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0" ht="30" customHeight="1">
      <c r="A2" s="71" t="s">
        <v>93</v>
      </c>
      <c r="B2" s="70" t="s">
        <v>96</v>
      </c>
      <c r="C2" s="71" t="s">
        <v>102</v>
      </c>
      <c r="D2" s="70" t="s">
        <v>105</v>
      </c>
      <c r="E2" s="71" t="s">
        <v>108</v>
      </c>
      <c r="F2" s="70" t="s">
        <v>111</v>
      </c>
      <c r="H2" s="71" t="s">
        <v>310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67" t="s">
        <v>142</v>
      </c>
      <c r="R2" s="67"/>
      <c r="S2" s="67"/>
      <c r="T2" s="67"/>
      <c r="U2" s="68" t="s">
        <v>153</v>
      </c>
      <c r="V2" s="68"/>
      <c r="W2" s="67" t="s">
        <v>160</v>
      </c>
      <c r="X2" s="67"/>
      <c r="Y2" s="67"/>
      <c r="Z2" s="68" t="s">
        <v>170</v>
      </c>
      <c r="AA2" s="68"/>
      <c r="AB2" s="67" t="s">
        <v>177</v>
      </c>
      <c r="AC2" s="67"/>
      <c r="AE2" s="71" t="s">
        <v>310</v>
      </c>
      <c r="AF2" s="70" t="s">
        <v>114</v>
      </c>
      <c r="AG2" s="68" t="s">
        <v>117</v>
      </c>
      <c r="AH2" s="68"/>
      <c r="AI2" s="68"/>
      <c r="AJ2" s="68"/>
      <c r="AK2" s="71" t="s">
        <v>192</v>
      </c>
      <c r="AL2" s="70" t="s">
        <v>133</v>
      </c>
      <c r="AM2" s="71" t="s">
        <v>24</v>
      </c>
      <c r="AN2" s="67" t="s">
        <v>142</v>
      </c>
      <c r="AO2" s="67"/>
      <c r="AP2" s="67"/>
      <c r="AQ2" s="67"/>
      <c r="AR2" s="68" t="s">
        <v>153</v>
      </c>
      <c r="AS2" s="68"/>
      <c r="AT2" s="67" t="s">
        <v>160</v>
      </c>
      <c r="AU2" s="67"/>
      <c r="AV2" s="67"/>
      <c r="AW2" s="68" t="s">
        <v>170</v>
      </c>
      <c r="AX2" s="68"/>
      <c r="AY2" s="67" t="s">
        <v>177</v>
      </c>
      <c r="AZ2" s="67"/>
      <c r="BB2" s="68" t="s">
        <v>357</v>
      </c>
      <c r="BC2" s="68"/>
      <c r="BD2" s="68"/>
      <c r="BE2" s="70" t="s">
        <v>232</v>
      </c>
      <c r="BF2" s="71" t="s">
        <v>232</v>
      </c>
      <c r="BH2" t="s">
        <v>549</v>
      </c>
    </row>
    <row r="3" spans="1:60" ht="26.5" thickBot="1">
      <c r="A3" s="71"/>
      <c r="B3" s="70"/>
      <c r="C3" s="71"/>
      <c r="D3" s="70"/>
      <c r="E3" s="71"/>
      <c r="F3" s="70"/>
      <c r="H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0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0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0"/>
      <c r="BF3" s="71"/>
    </row>
    <row r="4" spans="1:60" ht="121" hidden="1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0.30036788874178572</v>
      </c>
      <c r="I5" s="17">
        <f>IF(OR(ISBLANK(Q5),ISBLANK(F5)),"·",Q5*F5/E5/1000000)</f>
        <v>210.89492999999999</v>
      </c>
      <c r="J5" s="18">
        <f>IF(ISBLANK(Q5),"·",Q5/C5)</f>
        <v>9.0110366622535718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7.643998774091413</v>
      </c>
      <c r="N5" s="15">
        <f>IF(OR(ISBLANK(R5),ISBLANK(S5)),"",R5+S5)</f>
        <v>34124656</v>
      </c>
      <c r="O5" s="18">
        <f>IF(ISBLANK(Q5),"·",Q5/P5)</f>
        <v>9.0110366622535718</v>
      </c>
      <c r="P5" s="19">
        <v>24964341</v>
      </c>
      <c r="Q5" s="20">
        <v>224954592</v>
      </c>
      <c r="R5" s="20">
        <v>32084232</v>
      </c>
      <c r="S5" s="20">
        <v>2040424</v>
      </c>
      <c r="T5" s="20">
        <v>190827392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0.30036788874178572</v>
      </c>
      <c r="AF5" s="17">
        <f>IF(OR(ISBLANK(AN5),ISBLANK(F5)),"·",AN5*F5/E5/1000000)</f>
        <v>210.89492999999999</v>
      </c>
      <c r="AG5" s="18">
        <f>IF(ISBLANK(AN5),"·",AN5/C5)</f>
        <v>9.0110366622535718</v>
      </c>
      <c r="AH5" s="18">
        <f>IF(AK5="","·",AK5/C5)</f>
        <v>1.3669359828084386</v>
      </c>
      <c r="AI5" s="18">
        <f>IF(AO5="","·",AO5/C5)</f>
        <v>1.28520244135425</v>
      </c>
      <c r="AJ5" s="18">
        <f>IF(ISBLANK(AQ5),"·",AQ5/C5)</f>
        <v>7.643998774091413</v>
      </c>
      <c r="AK5" s="15">
        <f>IF(OR(ISBLANK(AO5),ISBLANK(AP5)),"",AO5+AP5)</f>
        <v>34124656</v>
      </c>
      <c r="AL5" s="18">
        <f>IF(ISBLANK(AN5),"·",AN5/AM5)</f>
        <v>9.0110366622535718</v>
      </c>
      <c r="AM5" s="19">
        <v>24964341</v>
      </c>
      <c r="AN5" s="20">
        <v>224954592</v>
      </c>
      <c r="AO5" s="20">
        <v>32084232</v>
      </c>
      <c r="AP5" s="20">
        <v>2040424</v>
      </c>
      <c r="AQ5" s="20">
        <v>190827392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0.42926508239236599</v>
      </c>
      <c r="I6" s="27">
        <f>IF(OR(ISBLANK(Q6),ISBLANK(F6)),"·",Q6*F6/E6/1000000)</f>
        <v>273.51308999999998</v>
      </c>
      <c r="J6" s="28">
        <f>IF(ISBLANK(Q6),"·",Q6/C6)</f>
        <v>12.87795247177098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11.209918044259869</v>
      </c>
      <c r="N6" s="25">
        <f>IF(OR(ISBLANK(R6),ISBLANK(S6)),"",R6+S6)</f>
        <v>37786424</v>
      </c>
      <c r="O6" s="28">
        <f>IF(ISBLANK(Q6),"·",Q6/P6)</f>
        <v>12.87795247177098</v>
      </c>
      <c r="P6" s="29">
        <v>22654789</v>
      </c>
      <c r="Q6" s="30">
        <v>291747296</v>
      </c>
      <c r="R6" s="30">
        <v>34560952</v>
      </c>
      <c r="S6" s="30">
        <v>3225472</v>
      </c>
      <c r="T6" s="30">
        <v>253958328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0.42926508239236599</v>
      </c>
      <c r="AF6" s="27">
        <f>IF(OR(ISBLANK(AN6),ISBLANK(F6)),"·",AN6*F6/E6/1000000)</f>
        <v>273.51308999999998</v>
      </c>
      <c r="AG6" s="28">
        <f>IF(ISBLANK(AN6),"·",AN6/C6)</f>
        <v>12.87795247177098</v>
      </c>
      <c r="AH6" s="28">
        <f>IF(AK6="","·",AK6/C6)</f>
        <v>1.667922133373213</v>
      </c>
      <c r="AI6" s="28">
        <f>IF(AO6="","·",AO6/C6)</f>
        <v>1.525547291568242</v>
      </c>
      <c r="AJ6" s="28">
        <f>IF(ISBLANK(AQ6),"·",AQ6/C6)</f>
        <v>11.209918044259869</v>
      </c>
      <c r="AK6" s="25">
        <f>IF(OR(ISBLANK(AO6),ISBLANK(AP6)),"",AO6+AP6)</f>
        <v>37786424</v>
      </c>
      <c r="AL6" s="28">
        <f>IF(ISBLANK(AN6),"·",AN6/AM6)</f>
        <v>12.87795247177098</v>
      </c>
      <c r="AM6" s="29">
        <v>22654789</v>
      </c>
      <c r="AN6" s="30">
        <v>291747296</v>
      </c>
      <c r="AO6" s="30">
        <v>34560952</v>
      </c>
      <c r="AP6" s="30">
        <v>3225472</v>
      </c>
      <c r="AQ6" s="30">
        <v>253958328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0.34255221121686785</v>
      </c>
      <c r="I7" s="17">
        <f>IF(OR(ISBLANK(Q7),ISBLANK(F7)),"·",Q7*F7/E7/1000000)</f>
        <v>327.06185249999999</v>
      </c>
      <c r="J7" s="18">
        <f>IF(ISBLANK(Q7),"·",Q7/C7)</f>
        <v>10.276566336506036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8.7250280563777505</v>
      </c>
      <c r="N7" s="15">
        <f>IF(OR(ISBLANK(R7),ISBLANK(S7)),"",R7+S7)</f>
        <v>52668640</v>
      </c>
      <c r="O7" s="18">
        <f>IF(ISBLANK(Q7),"·",Q7/P7)</f>
        <v>10.276566336506036</v>
      </c>
      <c r="P7" s="19">
        <v>33947718</v>
      </c>
      <c r="Q7" s="20">
        <v>348865976</v>
      </c>
      <c r="R7" s="20">
        <v>48790512</v>
      </c>
      <c r="S7" s="20">
        <v>3878128</v>
      </c>
      <c r="T7" s="20">
        <v>296194792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0.34255221121686785</v>
      </c>
      <c r="AF7" s="17">
        <f>IF(OR(ISBLANK(AN7),ISBLANK(F7)),"·",AN7*F7/E7/1000000)</f>
        <v>327.06185249999999</v>
      </c>
      <c r="AG7" s="18">
        <f>IF(ISBLANK(AN7),"·",AN7/C7)</f>
        <v>10.276566336506036</v>
      </c>
      <c r="AH7" s="18">
        <f>IF(AK7="","·",AK7/C7)</f>
        <v>1.5514633413650956</v>
      </c>
      <c r="AI7" s="18">
        <f>IF(AO7="","·",AO7/C7)</f>
        <v>1.4372250882960675</v>
      </c>
      <c r="AJ7" s="18">
        <f>IF(ISBLANK(AQ7),"·",AQ7/C7)</f>
        <v>8.7250280563777505</v>
      </c>
      <c r="AK7" s="15">
        <f>IF(OR(ISBLANK(AO7),ISBLANK(AP7)),"",AO7+AP7)</f>
        <v>52668640</v>
      </c>
      <c r="AL7" s="18">
        <f>IF(ISBLANK(AN7),"·",AN7/AM7)</f>
        <v>10.276566336506036</v>
      </c>
      <c r="AM7" s="19">
        <v>33947718</v>
      </c>
      <c r="AN7" s="20">
        <v>348865976</v>
      </c>
      <c r="AO7" s="20">
        <v>48790512</v>
      </c>
      <c r="AP7" s="20">
        <v>3878128</v>
      </c>
      <c r="AQ7" s="20">
        <v>296194792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3.5" collapsed="1" thickBot="1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0.27155199453778484</v>
      </c>
      <c r="I8" s="47">
        <f>IF(OR(ISBLANK(Q8),ISBLANK(F8)),"·",Q8*F8/E8/1000000)</f>
        <v>409.99653749999999</v>
      </c>
      <c r="J8" s="48">
        <f>IF(ISBLANK(Q8),"·",Q8/C8)</f>
        <v>8.1465598361335463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7.0747136191481541</v>
      </c>
      <c r="N8" s="45">
        <f>IF(OR(ISBLANK(R8),ISBLANK(S8)),"",R8+S8)</f>
        <v>34521240</v>
      </c>
      <c r="O8" s="48">
        <f>IF(ISBLANK(Q8),"·",Q8/P8)</f>
        <v>8.1465598361335463</v>
      </c>
      <c r="P8" s="49">
        <v>32209643</v>
      </c>
      <c r="Q8" s="50">
        <v>262397784</v>
      </c>
      <c r="R8" s="50">
        <v>29608016</v>
      </c>
      <c r="S8" s="50">
        <v>4913224</v>
      </c>
      <c r="T8" s="50">
        <v>227874000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0.27155199453778484</v>
      </c>
      <c r="AF8" s="47">
        <f>IF(OR(ISBLANK(AN8),ISBLANK(F8)),"·",AN8*F8/E8/1000000)</f>
        <v>409.99653749999999</v>
      </c>
      <c r="AG8" s="48">
        <f>IF(ISBLANK(AN8),"·",AN8/C8)</f>
        <v>8.1465598361335463</v>
      </c>
      <c r="AH8" s="48">
        <f>IF(AK8="","·",AK8/C8)</f>
        <v>1.0717672344272799</v>
      </c>
      <c r="AI8" s="48">
        <f>IF(AO8="","·",AO8/C8)</f>
        <v>0.91922831929556004</v>
      </c>
      <c r="AJ8" s="48">
        <f>IF(ISBLANK(AQ8),"·",AQ8/C8)</f>
        <v>7.0747136191481541</v>
      </c>
      <c r="AK8" s="45">
        <f>IF(OR(ISBLANK(AO8),ISBLANK(AP8)),"",AO8+AP8)</f>
        <v>34521240</v>
      </c>
      <c r="AL8" s="48">
        <f>IF(ISBLANK(AN8),"·",AN8/AM8)</f>
        <v>8.1465598361335463</v>
      </c>
      <c r="AM8" s="49">
        <v>32209643</v>
      </c>
      <c r="AN8" s="50">
        <v>262397784</v>
      </c>
      <c r="AO8" s="50">
        <v>29608016</v>
      </c>
      <c r="AP8" s="50">
        <v>4913224</v>
      </c>
      <c r="AQ8" s="50">
        <v>227874000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3.5" collapsed="1" thickBot="1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0.50428603500175351</v>
      </c>
      <c r="I9" s="37">
        <f>IF(OR(ISBLANK(Q9),ISBLANK(F9)),"·",Q9*F9/E9/1000000)</f>
        <v>359.00701500000002</v>
      </c>
      <c r="J9" s="38">
        <f>IF(ISBLANK(Q9),"·",Q9/C9)</f>
        <v>15.128581050052606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13.619325668265144</v>
      </c>
      <c r="N9" s="35">
        <f>IF(OR(ISBLANK(R9),ISBLANK(S9)),"",R9+S9)</f>
        <v>38200344</v>
      </c>
      <c r="O9" s="38">
        <f>IF(ISBLANK(Q9),"·",Q9/P9)</f>
        <v>15.128581050052606</v>
      </c>
      <c r="P9" s="39">
        <v>25312408</v>
      </c>
      <c r="Q9" s="40">
        <v>382940816</v>
      </c>
      <c r="R9" s="40">
        <v>35666024</v>
      </c>
      <c r="S9" s="40">
        <v>2534320</v>
      </c>
      <c r="T9" s="40">
        <v>344737928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0.50428603500175351</v>
      </c>
      <c r="AF9" s="37">
        <f>IF(OR(ISBLANK(AN9),ISBLANK(F9)),"·",AN9*F9/E9/1000000)</f>
        <v>359.00701500000002</v>
      </c>
      <c r="AG9" s="38">
        <f>IF(ISBLANK(AN9),"·",AN9/C9)</f>
        <v>15.128581050052606</v>
      </c>
      <c r="AH9" s="38">
        <f>IF(AK9="","·",AK9/C9)</f>
        <v>1.5091548777184691</v>
      </c>
      <c r="AI9" s="38">
        <f>IF(AO9="","·",AO9/C9)</f>
        <v>1.4090332298689243</v>
      </c>
      <c r="AJ9" s="38">
        <f>IF(ISBLANK(AQ9),"·",AQ9/C9)</f>
        <v>13.619325668265144</v>
      </c>
      <c r="AK9" s="35">
        <f>IF(OR(ISBLANK(AO9),ISBLANK(AP9)),"",AO9+AP9)</f>
        <v>38200344</v>
      </c>
      <c r="AL9" s="38">
        <f>IF(ISBLANK(AN9),"·",AN9/AM9)</f>
        <v>15.128581050052606</v>
      </c>
      <c r="AM9" s="39">
        <v>25312408</v>
      </c>
      <c r="AN9" s="40">
        <v>382940816</v>
      </c>
      <c r="AO9" s="40">
        <v>35666024</v>
      </c>
      <c r="AP9" s="40">
        <v>2534320</v>
      </c>
      <c r="AQ9" s="40">
        <v>344737928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>
      <c r="B10" s="55" t="s">
        <v>288</v>
      </c>
      <c r="J10" s="56">
        <f>AVERAGE(J5:J8)</f>
        <v>10.078028826666035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8.663414623469297</v>
      </c>
      <c r="AG10" s="56">
        <f>AVERAGE(AG5:AG8)</f>
        <v>10.078028826666035</v>
      </c>
      <c r="AH10" s="56">
        <f>AVERAGE(AH5:AH8)</f>
        <v>1.4145221729935067</v>
      </c>
      <c r="AI10" s="56">
        <f>AVERAGE(AI5:AI8)</f>
        <v>1.2918007851285298</v>
      </c>
      <c r="AJ10" s="56">
        <f>AVERAGE(AJ5:AJ8)</f>
        <v>8.663414623469297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>
      <c r="B11" s="55" t="s">
        <v>289</v>
      </c>
      <c r="J11" s="56">
        <f>AVERAGE(J9:J9)</f>
        <v>15.128581050052606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13.619325668265144</v>
      </c>
      <c r="AG11" s="56">
        <f>AVERAGE(AG9:AG9)</f>
        <v>15.128581050052606</v>
      </c>
      <c r="AH11" s="56">
        <f>AVERAGE(AH9:AH9)</f>
        <v>1.5091548777184691</v>
      </c>
      <c r="AI11" s="56">
        <f>AVERAGE(AI9:AI9)</f>
        <v>1.4090332298689243</v>
      </c>
      <c r="AJ11" s="56">
        <f>AVERAGE(AJ9:AJ9)</f>
        <v>13.619325668265144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collapsed="1">
      <c r="B12" s="55" t="s">
        <v>290</v>
      </c>
      <c r="J12" s="56">
        <f>AVERAGE(J5:J9)</f>
        <v>11.088139271343348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9.6545968324284672</v>
      </c>
      <c r="AG12" s="56">
        <f>AVERAGE(AG5:AG9)</f>
        <v>11.088139271343348</v>
      </c>
      <c r="AH12" s="56">
        <f>AVERAGE(AH5:AH9)</f>
        <v>1.4334487139384993</v>
      </c>
      <c r="AI12" s="56">
        <f>AVERAGE(AI5:AI9)</f>
        <v>1.3152472740766086</v>
      </c>
      <c r="AJ12" s="56">
        <f>AVERAGE(AJ5:AJ9)</f>
        <v>9.6545968324284672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idden="1" outlineLevel="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idden="1" outlineLevel="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idden="1" outlineLevel="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outlineLevel="2" collapsed="1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>
      <c r="AO23" s="4"/>
    </row>
    <row r="24" spans="41:41">
      <c r="AO24" s="4"/>
    </row>
    <row r="25" spans="41:41">
      <c r="AO25" s="4"/>
    </row>
    <row r="26" spans="41:41">
      <c r="AO26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3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AL1" activePane="topRight" state="frozen"/>
      <selection pane="topRight" activeCell="AP28" sqref="AP28"/>
    </sheetView>
  </sheetViews>
  <sheetFormatPr defaultColWidth="8.81640625" defaultRowHeight="13" outlineLevelRow="2"/>
  <cols>
    <col min="1" max="1" width="9.1796875"/>
    <col min="2" max="2" width="24.6328125" customWidth="1"/>
    <col min="3" max="4" width="10.6328125" customWidth="1"/>
    <col min="5" max="6" width="9.1796875"/>
    <col min="7" max="7" width="1.6328125" customWidth="1"/>
    <col min="8" max="9" width="9.1796875"/>
    <col min="10" max="13" width="10.6328125" customWidth="1"/>
    <col min="14" max="14" width="24.6328125" hidden="1" customWidth="1"/>
    <col min="15" max="15" width="12.6328125" customWidth="1"/>
    <col min="16" max="16" width="10.6328125" customWidth="1"/>
    <col min="17" max="20" width="12.6328125" customWidth="1"/>
    <col min="21" max="25" width="11.6328125" customWidth="1"/>
    <col min="26" max="29" width="9.1796875"/>
    <col min="30" max="30" width="1.6328125" customWidth="1"/>
    <col min="31" max="32" width="9.1796875"/>
    <col min="33" max="36" width="10.6328125" customWidth="1"/>
    <col min="37" max="37" width="24.6328125" hidden="1" customWidth="1"/>
    <col min="38" max="38" width="12.6328125" customWidth="1"/>
    <col min="39" max="39" width="10.6328125" customWidth="1"/>
    <col min="40" max="43" width="12.6328125" customWidth="1"/>
    <col min="44" max="48" width="11.6328125" customWidth="1"/>
    <col min="49" max="52" width="9.1796875"/>
    <col min="53" max="53" width="1.6328125" customWidth="1"/>
    <col min="54" max="58" width="9.1796875"/>
    <col min="59" max="59" width="1.6328125" customWidth="1"/>
  </cols>
  <sheetData>
    <row r="1" spans="1:60">
      <c r="A1" s="69" t="s">
        <v>441</v>
      </c>
      <c r="B1" s="69"/>
      <c r="C1" s="69"/>
      <c r="D1" s="69"/>
      <c r="E1" s="69"/>
      <c r="F1" s="69"/>
      <c r="H1" s="65" t="s">
        <v>552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551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0" ht="30" customHeight="1">
      <c r="A2" s="71" t="s">
        <v>93</v>
      </c>
      <c r="B2" s="70" t="s">
        <v>96</v>
      </c>
      <c r="C2" s="71" t="s">
        <v>102</v>
      </c>
      <c r="D2" s="70" t="s">
        <v>105</v>
      </c>
      <c r="E2" s="71" t="s">
        <v>108</v>
      </c>
      <c r="F2" s="70" t="s">
        <v>111</v>
      </c>
      <c r="H2" s="71" t="s">
        <v>310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67" t="s">
        <v>142</v>
      </c>
      <c r="R2" s="67"/>
      <c r="S2" s="67"/>
      <c r="T2" s="67"/>
      <c r="U2" s="68" t="s">
        <v>153</v>
      </c>
      <c r="V2" s="68"/>
      <c r="W2" s="67" t="s">
        <v>160</v>
      </c>
      <c r="X2" s="67"/>
      <c r="Y2" s="67"/>
      <c r="Z2" s="68" t="s">
        <v>170</v>
      </c>
      <c r="AA2" s="68"/>
      <c r="AB2" s="67" t="s">
        <v>177</v>
      </c>
      <c r="AC2" s="67"/>
      <c r="AE2" s="71" t="s">
        <v>310</v>
      </c>
      <c r="AF2" s="70" t="s">
        <v>114</v>
      </c>
      <c r="AG2" s="68" t="s">
        <v>117</v>
      </c>
      <c r="AH2" s="68"/>
      <c r="AI2" s="68"/>
      <c r="AJ2" s="68"/>
      <c r="AK2" s="71" t="s">
        <v>192</v>
      </c>
      <c r="AL2" s="70" t="s">
        <v>133</v>
      </c>
      <c r="AM2" s="71" t="s">
        <v>24</v>
      </c>
      <c r="AN2" s="67" t="s">
        <v>142</v>
      </c>
      <c r="AO2" s="67"/>
      <c r="AP2" s="67"/>
      <c r="AQ2" s="67"/>
      <c r="AR2" s="68" t="s">
        <v>153</v>
      </c>
      <c r="AS2" s="68"/>
      <c r="AT2" s="67" t="s">
        <v>160</v>
      </c>
      <c r="AU2" s="67"/>
      <c r="AV2" s="67"/>
      <c r="AW2" s="68" t="s">
        <v>170</v>
      </c>
      <c r="AX2" s="68"/>
      <c r="AY2" s="67" t="s">
        <v>177</v>
      </c>
      <c r="AZ2" s="67"/>
      <c r="BB2" s="68" t="s">
        <v>357</v>
      </c>
      <c r="BC2" s="68"/>
      <c r="BD2" s="68"/>
      <c r="BE2" s="70" t="s">
        <v>232</v>
      </c>
      <c r="BF2" s="71" t="s">
        <v>232</v>
      </c>
      <c r="BH2" t="s">
        <v>549</v>
      </c>
    </row>
    <row r="3" spans="1:60" ht="26.5" thickBot="1">
      <c r="A3" s="71"/>
      <c r="B3" s="70"/>
      <c r="C3" s="71"/>
      <c r="D3" s="70"/>
      <c r="E3" s="71"/>
      <c r="F3" s="70"/>
      <c r="H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0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0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0"/>
      <c r="BF3" s="71"/>
    </row>
    <row r="4" spans="1:60" ht="121" hidden="1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0.29415612720026002</v>
      </c>
      <c r="I5" s="17">
        <f>IF(OR(ISBLANK(Q5),ISBLANK(F5)),"·",Q5*F5/E5/1000000)</f>
        <v>206.53351499999999</v>
      </c>
      <c r="J5" s="18">
        <f>IF(ISBLANK(Q5),"·",Q5/C5)</f>
        <v>8.8246838160078003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7.4604951118076777</v>
      </c>
      <c r="N5" s="15">
        <f>IF(OR(ISBLANK(R5),ISBLANK(S5)),"",R5+S5)</f>
        <v>34053528</v>
      </c>
      <c r="O5" s="18">
        <f>IF(ISBLANK(Q5),"·",Q5/P5)</f>
        <v>8.8246838160078003</v>
      </c>
      <c r="P5" s="19">
        <v>24964341</v>
      </c>
      <c r="Q5" s="20">
        <v>220302416</v>
      </c>
      <c r="R5" s="20">
        <v>31949088</v>
      </c>
      <c r="S5" s="20">
        <v>2104440</v>
      </c>
      <c r="T5" s="20">
        <v>186246344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0.29415612720026002</v>
      </c>
      <c r="AF5" s="17">
        <f>IF(OR(ISBLANK(AN5),ISBLANK(F5)),"·",AN5*F5/E5/1000000)</f>
        <v>206.53351499999999</v>
      </c>
      <c r="AG5" s="18">
        <f>IF(ISBLANK(AN5),"·",AN5/C5)</f>
        <v>8.8246838160078003</v>
      </c>
      <c r="AH5" s="18">
        <f>IF(AK5="","·",AK5/C5)</f>
        <v>1.3640867988464025</v>
      </c>
      <c r="AI5" s="18">
        <f>IF(AO5="","·",AO5/C5)</f>
        <v>1.2797889597806729</v>
      </c>
      <c r="AJ5" s="18">
        <f>IF(ISBLANK(AQ5),"·",AQ5/C5)</f>
        <v>7.4604951118076777</v>
      </c>
      <c r="AK5" s="15">
        <f>IF(OR(ISBLANK(AO5),ISBLANK(AP5)),"",AO5+AP5)</f>
        <v>34053528</v>
      </c>
      <c r="AL5" s="18">
        <f>IF(ISBLANK(AN5),"·",AN5/AM5)</f>
        <v>8.8246838160078003</v>
      </c>
      <c r="AM5" s="19">
        <v>24964341</v>
      </c>
      <c r="AN5" s="20">
        <v>220302416</v>
      </c>
      <c r="AO5" s="20">
        <v>31949088</v>
      </c>
      <c r="AP5" s="20">
        <v>2104440</v>
      </c>
      <c r="AQ5" s="20">
        <v>186246344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0.42340266922518383</v>
      </c>
      <c r="I6" s="27">
        <f>IF(OR(ISBLANK(Q6),ISBLANK(F6)),"·",Q6*F6/E6/1000000)</f>
        <v>269.77776</v>
      </c>
      <c r="J6" s="28">
        <f>IF(ISBLANK(Q6),"·",Q6/C6)</f>
        <v>12.702080076755514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11.026280050544722</v>
      </c>
      <c r="N6" s="25">
        <f>IF(OR(ISBLANK(R6),ISBLANK(S6)),"",R6+S6)</f>
        <v>37962352</v>
      </c>
      <c r="O6" s="28">
        <f>IF(ISBLANK(Q6),"·",Q6/P6)</f>
        <v>12.702080076755514</v>
      </c>
      <c r="P6" s="29">
        <v>22654789</v>
      </c>
      <c r="Q6" s="30">
        <v>287762944</v>
      </c>
      <c r="R6" s="30">
        <v>34544160</v>
      </c>
      <c r="S6" s="30">
        <v>3418192</v>
      </c>
      <c r="T6" s="30">
        <v>249798048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0.42340266922518383</v>
      </c>
      <c r="AF6" s="27">
        <f>IF(OR(ISBLANK(AN6),ISBLANK(F6)),"·",AN6*F6/E6/1000000)</f>
        <v>269.77776</v>
      </c>
      <c r="AG6" s="28">
        <f>IF(ISBLANK(AN6),"·",AN6/C6)</f>
        <v>12.702080076755514</v>
      </c>
      <c r="AH6" s="28">
        <f>IF(AK6="","·",AK6/C6)</f>
        <v>1.6756877320728965</v>
      </c>
      <c r="AI6" s="28">
        <f>IF(AO6="","·",AO6/C6)</f>
        <v>1.524806079632876</v>
      </c>
      <c r="AJ6" s="28">
        <f>IF(ISBLANK(AQ6),"·",AQ6/C6)</f>
        <v>11.026280050544722</v>
      </c>
      <c r="AK6" s="25">
        <f>IF(OR(ISBLANK(AO6),ISBLANK(AP6)),"",AO6+AP6)</f>
        <v>37962352</v>
      </c>
      <c r="AL6" s="28">
        <f>IF(ISBLANK(AN6),"·",AN6/AM6)</f>
        <v>12.702080076755514</v>
      </c>
      <c r="AM6" s="29">
        <v>22654789</v>
      </c>
      <c r="AN6" s="30">
        <v>287762944</v>
      </c>
      <c r="AO6" s="30">
        <v>34544160</v>
      </c>
      <c r="AP6" s="30">
        <v>3418192</v>
      </c>
      <c r="AQ6" s="30">
        <v>249798048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0.32390894728181729</v>
      </c>
      <c r="I7" s="17">
        <f>IF(OR(ISBLANK(Q7),ISBLANK(F7)),"·",Q7*F7/E7/1000000)</f>
        <v>309.26164499999999</v>
      </c>
      <c r="J7" s="18">
        <f>IF(ISBLANK(Q7),"·",Q7/C7)</f>
        <v>9.7172684184545179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8.2032676246456386</v>
      </c>
      <c r="N7" s="15">
        <f>IF(OR(ISBLANK(R7),ISBLANK(S7)),"",R7+S7)</f>
        <v>51394328</v>
      </c>
      <c r="O7" s="18">
        <f>IF(ISBLANK(Q7),"·",Q7/P7)</f>
        <v>9.7172684184545179</v>
      </c>
      <c r="P7" s="19">
        <v>33947718</v>
      </c>
      <c r="Q7" s="20">
        <v>329879088</v>
      </c>
      <c r="R7" s="20">
        <v>47429256</v>
      </c>
      <c r="S7" s="20">
        <v>3965072</v>
      </c>
      <c r="T7" s="20">
        <v>278482216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0.32390894728181729</v>
      </c>
      <c r="AF7" s="17">
        <f>IF(OR(ISBLANK(AN7),ISBLANK(F7)),"·",AN7*F7/E7/1000000)</f>
        <v>309.26164499999999</v>
      </c>
      <c r="AG7" s="18">
        <f>IF(ISBLANK(AN7),"·",AN7/C7)</f>
        <v>9.7172684184545179</v>
      </c>
      <c r="AH7" s="18">
        <f>IF(AK7="","·",AK7/C7)</f>
        <v>1.5139258550456911</v>
      </c>
      <c r="AI7" s="18">
        <f>IF(AO7="","·",AO7/C7)</f>
        <v>1.3971264872649172</v>
      </c>
      <c r="AJ7" s="18">
        <f>IF(ISBLANK(AQ7),"·",AQ7/C7)</f>
        <v>8.2032676246456386</v>
      </c>
      <c r="AK7" s="15">
        <f>IF(OR(ISBLANK(AO7),ISBLANK(AP7)),"",AO7+AP7)</f>
        <v>51394328</v>
      </c>
      <c r="AL7" s="18">
        <f>IF(ISBLANK(AN7),"·",AN7/AM7)</f>
        <v>9.7172684184545179</v>
      </c>
      <c r="AM7" s="19">
        <v>33947718</v>
      </c>
      <c r="AN7" s="20">
        <v>329879088</v>
      </c>
      <c r="AO7" s="20">
        <v>47429256</v>
      </c>
      <c r="AP7" s="20">
        <v>3965072</v>
      </c>
      <c r="AQ7" s="20">
        <v>278482216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3.5" collapsed="1" thickBot="1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0.2437920262988737</v>
      </c>
      <c r="I8" s="47">
        <f>IF(OR(ISBLANK(Q8),ISBLANK(F8)),"·",Q8*F8/E8/1000000)</f>
        <v>368.08378750000003</v>
      </c>
      <c r="J8" s="48">
        <f>IF(ISBLANK(Q8),"·",Q8/C8)</f>
        <v>7.3137607889662108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6.3742195466121743</v>
      </c>
      <c r="N8" s="45">
        <f>IF(OR(ISBLANK(R8),ISBLANK(S8)),"",R8+S8)</f>
        <v>30259744</v>
      </c>
      <c r="O8" s="48">
        <f>IF(ISBLANK(Q8),"·",Q8/P8)</f>
        <v>7.3137607889662108</v>
      </c>
      <c r="P8" s="49">
        <v>32209643</v>
      </c>
      <c r="Q8" s="50">
        <v>235573624</v>
      </c>
      <c r="R8" s="50">
        <v>26933800</v>
      </c>
      <c r="S8" s="50">
        <v>3325944</v>
      </c>
      <c r="T8" s="50">
        <v>205311336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0.2437920262988737</v>
      </c>
      <c r="AF8" s="47">
        <f>IF(OR(ISBLANK(AN8),ISBLANK(F8)),"·",AN8*F8/E8/1000000)</f>
        <v>368.08378750000003</v>
      </c>
      <c r="AG8" s="48">
        <f>IF(ISBLANK(AN8),"·",AN8/C8)</f>
        <v>7.3137607889662108</v>
      </c>
      <c r="AH8" s="48">
        <f>IF(AK8="","·",AK8/C8)</f>
        <v>0.93946225979592513</v>
      </c>
      <c r="AI8" s="48">
        <f>IF(AO8="","·",AO8/C8)</f>
        <v>0.83620299672368303</v>
      </c>
      <c r="AJ8" s="48">
        <f>IF(ISBLANK(AQ8),"·",AQ8/C8)</f>
        <v>6.3742195466121743</v>
      </c>
      <c r="AK8" s="45">
        <f>IF(OR(ISBLANK(AO8),ISBLANK(AP8)),"",AO8+AP8)</f>
        <v>30259744</v>
      </c>
      <c r="AL8" s="48">
        <f>IF(ISBLANK(AN8),"·",AN8/AM8)</f>
        <v>7.3137607889662108</v>
      </c>
      <c r="AM8" s="49">
        <v>32209643</v>
      </c>
      <c r="AN8" s="50">
        <v>235573624</v>
      </c>
      <c r="AO8" s="50">
        <v>26933800</v>
      </c>
      <c r="AP8" s="50">
        <v>3325944</v>
      </c>
      <c r="AQ8" s="50">
        <v>205311336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3.5" collapsed="1" thickBot="1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0.49740031581876104</v>
      </c>
      <c r="I9" s="37">
        <f>IF(OR(ISBLANK(Q9),ISBLANK(F9)),"·",Q9*F9/E9/1000000)</f>
        <v>354.10499249999998</v>
      </c>
      <c r="J9" s="38">
        <f>IF(ISBLANK(Q9),"·",Q9/C9)</f>
        <v>14.922009474562831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13.406857854061139</v>
      </c>
      <c r="N9" s="35">
        <f>IF(OR(ISBLANK(R9),ISBLANK(S9)),"",R9+S9)</f>
        <v>38349592</v>
      </c>
      <c r="O9" s="38">
        <f>IF(ISBLANK(Q9),"·",Q9/P9)</f>
        <v>14.922009474562831</v>
      </c>
      <c r="P9" s="39">
        <v>25312408</v>
      </c>
      <c r="Q9" s="40">
        <v>377711992</v>
      </c>
      <c r="R9" s="40">
        <v>35646928</v>
      </c>
      <c r="S9" s="40">
        <v>2702664</v>
      </c>
      <c r="T9" s="40">
        <v>339359856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0.49740031581876104</v>
      </c>
      <c r="AF9" s="37">
        <f>IF(OR(ISBLANK(AN9),ISBLANK(F9)),"·",AN9*F9/E9/1000000)</f>
        <v>354.10499249999998</v>
      </c>
      <c r="AG9" s="38">
        <f>IF(ISBLANK(AN9),"·",AN9/C9)</f>
        <v>14.922009474562831</v>
      </c>
      <c r="AH9" s="38">
        <f>IF(AK9="","·",AK9/C9)</f>
        <v>1.5150511164326996</v>
      </c>
      <c r="AI9" s="38">
        <f>IF(AO9="","·",AO9/C9)</f>
        <v>1.4082788172504173</v>
      </c>
      <c r="AJ9" s="38">
        <f>IF(ISBLANK(AQ9),"·",AQ9/C9)</f>
        <v>13.406857854061139</v>
      </c>
      <c r="AK9" s="35">
        <f>IF(OR(ISBLANK(AO9),ISBLANK(AP9)),"",AO9+AP9)</f>
        <v>38349592</v>
      </c>
      <c r="AL9" s="38">
        <f>IF(ISBLANK(AN9),"·",AN9/AM9)</f>
        <v>14.922009474562831</v>
      </c>
      <c r="AM9" s="39">
        <v>25312408</v>
      </c>
      <c r="AN9" s="40">
        <v>377711992</v>
      </c>
      <c r="AO9" s="40">
        <v>35646928</v>
      </c>
      <c r="AP9" s="40">
        <v>2702664</v>
      </c>
      <c r="AQ9" s="40">
        <v>339359856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>
      <c r="B10" s="55" t="s">
        <v>288</v>
      </c>
      <c r="J10" s="56">
        <f>AVERAGE(J5:J8)</f>
        <v>9.6394482750460107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8.266065583402554</v>
      </c>
      <c r="AG10" s="56">
        <f>AVERAGE(AG5:AG8)</f>
        <v>9.6394482750460107</v>
      </c>
      <c r="AH10" s="56">
        <f>AVERAGE(AH5:AH8)</f>
        <v>1.3732906614402289</v>
      </c>
      <c r="AI10" s="56">
        <f>AVERAGE(AI5:AI8)</f>
        <v>1.2594811308505374</v>
      </c>
      <c r="AJ10" s="56">
        <f>AVERAGE(AJ5:AJ8)</f>
        <v>8.266065583402554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>
      <c r="B11" s="55" t="s">
        <v>289</v>
      </c>
      <c r="J11" s="56">
        <f>AVERAGE(J9:J9)</f>
        <v>14.922009474562831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13.406857854061139</v>
      </c>
      <c r="AG11" s="56">
        <f>AVERAGE(AG9:AG9)</f>
        <v>14.922009474562831</v>
      </c>
      <c r="AH11" s="56">
        <f>AVERAGE(AH9:AH9)</f>
        <v>1.5150511164326996</v>
      </c>
      <c r="AI11" s="56">
        <f>AVERAGE(AI9:AI9)</f>
        <v>1.4082788172504173</v>
      </c>
      <c r="AJ11" s="56">
        <f>AVERAGE(AJ9:AJ9)</f>
        <v>13.406857854061139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collapsed="1">
      <c r="B12" s="55" t="s">
        <v>290</v>
      </c>
      <c r="J12" s="56">
        <f>AVERAGE(J5:J9)</f>
        <v>10.695960514949373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9.2942240375342706</v>
      </c>
      <c r="AG12" s="56">
        <f>AVERAGE(AG5:AG9)</f>
        <v>10.695960514949373</v>
      </c>
      <c r="AH12" s="56">
        <f>AVERAGE(AH5:AH9)</f>
        <v>1.4016427524387232</v>
      </c>
      <c r="AI12" s="56">
        <f>AVERAGE(AI5:AI9)</f>
        <v>1.2892406681305133</v>
      </c>
      <c r="AJ12" s="56">
        <f>AVERAGE(AJ5:AJ9)</f>
        <v>9.2942240375342706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idden="1" outlineLevel="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idden="1" outlineLevel="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idden="1" outlineLevel="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outlineLevel="2" collapsed="1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3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94"/>
  <sheetViews>
    <sheetView tabSelected="1" zoomScale="55" zoomScaleNormal="55" workbookViewId="0">
      <pane xSplit="2" topLeftCell="Y1" activePane="topRight" state="frozen"/>
      <selection pane="topRight" activeCell="AN5" sqref="AN5:BD30"/>
    </sheetView>
  </sheetViews>
  <sheetFormatPr defaultColWidth="8.81640625" defaultRowHeight="13" outlineLevelRow="2"/>
  <cols>
    <col min="1" max="1" width="9.1796875"/>
    <col min="2" max="2" width="24.6328125" customWidth="1"/>
    <col min="3" max="3" width="9.1796875"/>
    <col min="4" max="5" width="10.6328125" customWidth="1"/>
    <col min="6" max="7" width="9.1796875"/>
    <col min="8" max="8" width="1.6328125" customWidth="1"/>
    <col min="9" max="9" width="9.1796875"/>
    <col min="10" max="13" width="10.6328125" customWidth="1"/>
    <col min="14" max="14" width="24.6328125" hidden="1" customWidth="1"/>
    <col min="15" max="15" width="12.6328125" customWidth="1"/>
    <col min="16" max="16" width="10.6328125" customWidth="1"/>
    <col min="17" max="18" width="9.1796875"/>
    <col min="19" max="22" width="12.6328125" customWidth="1"/>
    <col min="23" max="27" width="11.6328125" customWidth="1"/>
    <col min="28" max="31" width="9.1796875"/>
    <col min="32" max="32" width="1.6328125" customWidth="1"/>
    <col min="33" max="33" width="9.1796875"/>
    <col min="34" max="37" width="10.6328125" customWidth="1"/>
    <col min="38" max="38" width="24.6328125" hidden="1" customWidth="1"/>
    <col min="39" max="39" width="12.6328125" customWidth="1"/>
    <col min="40" max="40" width="10.6328125" customWidth="1"/>
    <col min="41" max="42" width="9.1796875"/>
    <col min="43" max="46" width="12.6328125" customWidth="1"/>
    <col min="47" max="51" width="11.6328125" customWidth="1"/>
    <col min="52" max="55" width="9.1796875"/>
    <col min="56" max="56" width="1.6328125" customWidth="1"/>
    <col min="57" max="59" width="9.1796875"/>
    <col min="60" max="60" width="1.6328125" customWidth="1"/>
    <col min="61" max="62" width="9.1796875"/>
    <col min="63" max="65" width="11.6328125" customWidth="1"/>
    <col min="66" max="66" width="1.6328125" customWidth="1"/>
    <col min="67" max="68" width="9.1796875"/>
    <col min="69" max="71" width="11.6328125" customWidth="1"/>
    <col min="72" max="72" width="1.6328125" customWidth="1"/>
  </cols>
  <sheetData>
    <row r="1" spans="1:73">
      <c r="A1" s="69" t="s">
        <v>528</v>
      </c>
      <c r="B1" s="69"/>
      <c r="C1" s="69"/>
      <c r="D1" s="69"/>
      <c r="E1" s="69"/>
      <c r="F1" s="69"/>
      <c r="G1" s="69"/>
      <c r="I1" s="65" t="s">
        <v>554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G1" s="66" t="s">
        <v>553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</row>
    <row r="2" spans="1:73" ht="30" customHeight="1">
      <c r="A2" s="71" t="s">
        <v>93</v>
      </c>
      <c r="B2" s="70" t="s">
        <v>96</v>
      </c>
      <c r="C2" s="71" t="s">
        <v>99</v>
      </c>
      <c r="D2" s="70" t="s">
        <v>102</v>
      </c>
      <c r="E2" s="71" t="s">
        <v>105</v>
      </c>
      <c r="F2" s="70" t="s">
        <v>108</v>
      </c>
      <c r="G2" s="71" t="s">
        <v>111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70" t="s">
        <v>26</v>
      </c>
      <c r="R2" s="71" t="s">
        <v>22</v>
      </c>
      <c r="S2" s="67" t="s">
        <v>142</v>
      </c>
      <c r="T2" s="67"/>
      <c r="U2" s="67"/>
      <c r="V2" s="67"/>
      <c r="W2" s="68" t="s">
        <v>153</v>
      </c>
      <c r="X2" s="68"/>
      <c r="Y2" s="67" t="s">
        <v>160</v>
      </c>
      <c r="Z2" s="67"/>
      <c r="AA2" s="67"/>
      <c r="AB2" s="68" t="s">
        <v>170</v>
      </c>
      <c r="AC2" s="68"/>
      <c r="AD2" s="67" t="s">
        <v>177</v>
      </c>
      <c r="AE2" s="67"/>
      <c r="AG2" s="71" t="s">
        <v>114</v>
      </c>
      <c r="AH2" s="67" t="s">
        <v>117</v>
      </c>
      <c r="AI2" s="67"/>
      <c r="AJ2" s="67"/>
      <c r="AK2" s="67"/>
      <c r="AL2" s="70" t="s">
        <v>192</v>
      </c>
      <c r="AM2" s="71" t="s">
        <v>133</v>
      </c>
      <c r="AN2" s="70" t="s">
        <v>24</v>
      </c>
      <c r="AO2" s="71" t="s">
        <v>26</v>
      </c>
      <c r="AP2" s="70" t="s">
        <v>22</v>
      </c>
      <c r="AQ2" s="68" t="s">
        <v>142</v>
      </c>
      <c r="AR2" s="68"/>
      <c r="AS2" s="68"/>
      <c r="AT2" s="68"/>
      <c r="AU2" s="67" t="s">
        <v>153</v>
      </c>
      <c r="AV2" s="67"/>
      <c r="AW2" s="68" t="s">
        <v>160</v>
      </c>
      <c r="AX2" s="68"/>
      <c r="AY2" s="68"/>
      <c r="AZ2" s="67" t="s">
        <v>170</v>
      </c>
      <c r="BA2" s="67"/>
      <c r="BB2" s="68" t="s">
        <v>177</v>
      </c>
      <c r="BC2" s="68"/>
      <c r="BE2" s="70" t="s">
        <v>229</v>
      </c>
      <c r="BF2" s="71" t="s">
        <v>232</v>
      </c>
      <c r="BG2" s="70" t="s">
        <v>232</v>
      </c>
      <c r="BI2" s="68" t="s">
        <v>237</v>
      </c>
      <c r="BJ2" s="68"/>
      <c r="BK2" s="67" t="s">
        <v>242</v>
      </c>
      <c r="BL2" s="67"/>
      <c r="BM2" s="67"/>
      <c r="BO2" s="68" t="s">
        <v>249</v>
      </c>
      <c r="BP2" s="68"/>
      <c r="BQ2" s="67" t="s">
        <v>254</v>
      </c>
      <c r="BR2" s="67"/>
      <c r="BS2" s="67"/>
      <c r="BU2" t="s">
        <v>549</v>
      </c>
    </row>
    <row r="3" spans="1:73" ht="13.5" thickBot="1">
      <c r="A3" s="71"/>
      <c r="B3" s="70"/>
      <c r="C3" s="71"/>
      <c r="D3" s="70"/>
      <c r="E3" s="71"/>
      <c r="F3" s="70"/>
      <c r="G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70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0"/>
      <c r="AM3" s="71"/>
      <c r="AN3" s="70"/>
      <c r="AO3" s="71"/>
      <c r="AP3" s="70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0"/>
      <c r="BF3" s="71"/>
      <c r="BG3" s="70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1.2289049999999999</v>
      </c>
      <c r="J5" s="18">
        <f t="shared" ref="J5:J29" si="1">IF(ISBLANK(S5),"·",S5/D5)</f>
        <v>5.2508175561293606E-2</v>
      </c>
      <c r="K5" s="18">
        <f t="shared" ref="K5:K29" si="2">IF(N5="","·",N5/D5)</f>
        <v>4.3744956055519348E-2</v>
      </c>
      <c r="L5" s="18">
        <f t="shared" ref="L5:L29" si="3">IF(T5="","·",T5/D5)</f>
        <v>2.6164359796238962E-2</v>
      </c>
      <c r="M5" s="18">
        <f t="shared" ref="M5:M29" si="4">IF(ISBLANK(V5),"·",V5/D5)</f>
        <v>8.7433511663696627E-3</v>
      </c>
      <c r="N5" s="15">
        <f t="shared" ref="N5:N29" si="5">IF(OR(ISBLANK(T5),ISBLANK(U5)),"",T5+U5)</f>
        <v>1092064</v>
      </c>
      <c r="O5" s="18">
        <f t="shared" ref="O5:O29" si="6">IF(ISBLANK(S5),"·",S5/P5)</f>
        <v>5.6279470812434951E-2</v>
      </c>
      <c r="P5" s="19">
        <v>23291477</v>
      </c>
      <c r="Q5" s="19">
        <v>727859</v>
      </c>
      <c r="R5" s="19">
        <v>16263.4</v>
      </c>
      <c r="S5" s="19">
        <v>1310832</v>
      </c>
      <c r="T5" s="19">
        <v>653176</v>
      </c>
      <c r="U5" s="19">
        <v>438888</v>
      </c>
      <c r="V5" s="19">
        <v>218272</v>
      </c>
      <c r="W5" s="19">
        <v>66.755200000000002</v>
      </c>
      <c r="X5" s="19">
        <v>68.481999999999999</v>
      </c>
      <c r="Y5" s="19">
        <v>31.7119</v>
      </c>
      <c r="Z5" s="19">
        <v>44.206600000000002</v>
      </c>
      <c r="AA5" s="19">
        <v>43.811500000000002</v>
      </c>
      <c r="AB5" s="19">
        <v>3317.67</v>
      </c>
      <c r="AC5" s="19">
        <v>3580.25</v>
      </c>
      <c r="AD5" s="19">
        <v>5.4429999999999996</v>
      </c>
      <c r="AE5" s="19">
        <v>19.609000000000002</v>
      </c>
      <c r="AF5" s="4">
        <v>32</v>
      </c>
      <c r="AG5" s="17">
        <f t="shared" ref="AG5:AG29" si="7">IF(OR(ISBLANK(AQ5),ISBLANK(G5)),"·",AQ5*G5/F5/1000000)</f>
        <v>1.2288975</v>
      </c>
      <c r="AH5" s="18">
        <f t="shared" ref="AH5:AH29" si="8">IF(ISBLANK(AQ5),"·",AQ5/D5)</f>
        <v>5.2507855104206434E-2</v>
      </c>
      <c r="AI5" s="18">
        <f t="shared" ref="AI5:AI29" si="9">IF(AL5="","·",AL5/D5)</f>
        <v>4.3744956055519348E-2</v>
      </c>
      <c r="AJ5" s="18">
        <f t="shared" ref="AJ5:AJ29" si="10">IF(AR5="","·",AR5/D5)</f>
        <v>2.6164359796238962E-2</v>
      </c>
      <c r="AK5" s="18">
        <f t="shared" ref="AK5:AK29" si="11">IF(ISBLANK(AT5),"·",AT5/D5)</f>
        <v>8.7433511663696627E-3</v>
      </c>
      <c r="AL5" s="15">
        <f t="shared" ref="AL5:AL29" si="12">IF(OR(ISBLANK(AR5),ISBLANK(AS5)),"",AR5+AS5)</f>
        <v>1092064</v>
      </c>
      <c r="AM5" s="18">
        <f t="shared" ref="AM5:AM29" si="13">IF(ISBLANK(AQ5),"·",AQ5/AN5)</f>
        <v>5.6279127339155008E-2</v>
      </c>
      <c r="AN5" s="19">
        <v>23291477</v>
      </c>
      <c r="AO5" s="19">
        <v>727859</v>
      </c>
      <c r="AP5" s="19">
        <v>16263.4</v>
      </c>
      <c r="AQ5" s="20">
        <v>1310824</v>
      </c>
      <c r="AR5" s="20">
        <v>653176</v>
      </c>
      <c r="AS5" s="20">
        <v>438888</v>
      </c>
      <c r="AT5" s="20">
        <v>218272</v>
      </c>
      <c r="AU5" s="21">
        <v>66.755200000000002</v>
      </c>
      <c r="AV5" s="21">
        <v>68.481999999999999</v>
      </c>
      <c r="AW5" s="21">
        <v>31.7119</v>
      </c>
      <c r="AX5" s="21">
        <v>44.206600000000002</v>
      </c>
      <c r="AY5" s="21">
        <v>43.811500000000002</v>
      </c>
      <c r="AZ5" s="22">
        <v>3269.07</v>
      </c>
      <c r="BA5" s="22">
        <v>3594.89</v>
      </c>
      <c r="BB5" s="22">
        <v>5.399</v>
      </c>
      <c r="BC5" s="22">
        <v>19.39</v>
      </c>
      <c r="BD5" s="4">
        <v>32</v>
      </c>
      <c r="BE5" s="23">
        <f t="shared" ref="BE5:BE29" si="14">(AP5/AO5) - (R5/Q5)</f>
        <v>0</v>
      </c>
      <c r="BF5" s="23">
        <f t="shared" ref="BF5:BF29" si="15">(AL5/AQ5) - (N5/S5)</f>
        <v>5.0844813493933216E-6</v>
      </c>
      <c r="BG5" s="23">
        <f t="array" ref="BG5">AVERAGE(AL5:AL9/AQ5:AQ9) - AVERAGE(N5:N9/S5:S9)</f>
        <v>-1.1729497649828335E-3</v>
      </c>
      <c r="BI5" s="24">
        <f>IF( OR(ISBLANK(N5:N9),ISBLANK(AL5:AL9), ISBLANK(W5:W9),ISBLANK(AU5:AU9)), "·", bdRateExtend( N5:N9,W5:W9, AL5:AL9,AU5:AU9))</f>
        <v>2.9685080066053082E-3</v>
      </c>
      <c r="BJ5" s="24">
        <f>IF( OR(ISBLANK(N5:N9),ISBLANK(AL5:AL9), ISBLANK(X5:X9),ISBLANK(AV5:AV9)), "·", bdRateExtend( N5:N9,X5:X9, AL5:AL9,AV5:AV9))</f>
        <v>3.3200548494716209E-4</v>
      </c>
      <c r="BK5" s="24">
        <f>IF( OR(ISBLANK(V5:V9),ISBLANK(AT5:AT9), ISBLANK(Y5:Y9),ISBLANK(AW5:AW9)), "·", bdRateExtend( V5:V9,Y5:Y9, AT5:AT9,AW5:AW9))</f>
        <v>3.7987634905258805E-3</v>
      </c>
      <c r="BL5" s="24">
        <f>IF( OR(ISBLANK(V5:V9),ISBLANK(AT5:AT9), ISBLANK(Z5:Z9),ISBLANK(AX5:AX9)), "·", bdRateExtend( V5:V9,Z5:Z9, AT5:AT9,AX5:AX9))</f>
        <v>6.5176630103787048E-3</v>
      </c>
      <c r="BM5" s="24">
        <f>IF( OR(ISBLANK(V5:V9),ISBLANK(AT5:AT9), ISBLANK(AA5:AA9),ISBLANK(AY5:AY9)), "·", bdRateExtend( V5:V9,AA5:AA9, AT5:AT9,AY5:AY9))</f>
        <v>1.0941841198536473E-2</v>
      </c>
      <c r="BO5" s="24">
        <f>IF( OR(ISBLANK(S5:S9),ISBLANK(AQ5:AQ9), ISBLANK(W5:W9),ISBLANK(AU5:AU9)), "·", bdRateExtend( S5:S9,W5:W9, AQ5:AQ9,AU5:AU9))</f>
        <v>5.0648487076929705E-3</v>
      </c>
      <c r="BP5" s="24">
        <f>IF( OR(ISBLANK(S5:S9),ISBLANK(AQ5:AQ9), ISBLANK(X5:X9),ISBLANK(AV5:AV9)), "·", bdRateExtend( S5:S9,X5:X9, AQ5:AQ9,AV5:AV9))</f>
        <v>1.7922530096332601E-3</v>
      </c>
      <c r="BQ5" s="24">
        <f>IF( OR(ISBLANK(S5:S9),ISBLANK(AQ5:AQ9), ISBLANK(Y5:Y9),ISBLANK(AW5:AW9)), "·", bdRateExtend( S5:S9,Y5:Y9, AQ5:AQ9,AW5:AW9))</f>
        <v>2.426078621389216E-3</v>
      </c>
      <c r="BR5" s="24">
        <f>IF( OR(ISBLANK(S5:S9),ISBLANK(AQ5:AQ9), ISBLANK(Z5:Z9),ISBLANK(AX5:AX9)), "·", bdRateExtend( S5:S9,Z5:Z9, AQ5:AQ9,AX5:AX9))</f>
        <v>4.6320482723585243E-3</v>
      </c>
      <c r="BS5" s="24">
        <f>IF( OR(ISBLANK(S5:S9),ISBLANK(AQ5:AQ9), ISBLANK(AA5:AA9),ISBLANK(AY5:AY9)), "·", bdRateExtend( S5:S9,AA5:AA9, AQ5:AQ9,AY5:AY9))</f>
        <v>8.2482662177796318E-3</v>
      </c>
      <c r="BU5">
        <f>AQ5-S5</f>
        <v>-8</v>
      </c>
    </row>
    <row r="6" spans="1:73" outlineLevel="1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1.59093</v>
      </c>
      <c r="J6" s="28">
        <f t="shared" si="1"/>
        <v>6.7976639159030877E-2</v>
      </c>
      <c r="K6" s="28">
        <f t="shared" si="2"/>
        <v>5.2830234933900315E-2</v>
      </c>
      <c r="L6" s="28">
        <f t="shared" si="3"/>
        <v>3.5249638674619929E-2</v>
      </c>
      <c r="M6" s="28">
        <f t="shared" si="4"/>
        <v>1.5126535885725965E-2</v>
      </c>
      <c r="N6" s="25">
        <f t="shared" si="5"/>
        <v>1318872</v>
      </c>
      <c r="O6" s="28">
        <f t="shared" si="6"/>
        <v>6.8505104199297909E-2</v>
      </c>
      <c r="P6" s="29">
        <v>24771760</v>
      </c>
      <c r="Q6" s="29">
        <v>774118</v>
      </c>
      <c r="R6" s="29">
        <v>20008.400000000001</v>
      </c>
      <c r="S6" s="29">
        <v>1696992</v>
      </c>
      <c r="T6" s="29">
        <v>879984</v>
      </c>
      <c r="U6" s="29">
        <v>438888</v>
      </c>
      <c r="V6" s="29">
        <v>377624</v>
      </c>
      <c r="W6" s="29">
        <v>68.484099999999998</v>
      </c>
      <c r="X6" s="29">
        <v>70.470200000000006</v>
      </c>
      <c r="Y6" s="29">
        <v>33.7988</v>
      </c>
      <c r="Z6" s="29">
        <v>45.365099999999998</v>
      </c>
      <c r="AA6" s="29">
        <v>44.907200000000003</v>
      </c>
      <c r="AB6" s="29">
        <v>3119.32</v>
      </c>
      <c r="AC6" s="29">
        <v>3443.98</v>
      </c>
      <c r="AD6" s="29">
        <v>5.0519999999999996</v>
      </c>
      <c r="AE6" s="29">
        <v>18.079999999999998</v>
      </c>
      <c r="AF6" s="4">
        <v>32</v>
      </c>
      <c r="AG6" s="27">
        <f t="shared" si="7"/>
        <v>1.5909225</v>
      </c>
      <c r="AH6" s="28">
        <f t="shared" si="8"/>
        <v>6.7976318701943705E-2</v>
      </c>
      <c r="AI6" s="28">
        <f t="shared" si="9"/>
        <v>5.2830234933900315E-2</v>
      </c>
      <c r="AJ6" s="28">
        <f t="shared" si="10"/>
        <v>3.5249638674619929E-2</v>
      </c>
      <c r="AK6" s="28">
        <f t="shared" si="11"/>
        <v>1.5126535885725965E-2</v>
      </c>
      <c r="AL6" s="25">
        <f t="shared" si="12"/>
        <v>1318872</v>
      </c>
      <c r="AM6" s="28">
        <f t="shared" si="13"/>
        <v>6.8504781250908295E-2</v>
      </c>
      <c r="AN6" s="29">
        <v>24771760</v>
      </c>
      <c r="AO6" s="29">
        <v>774118</v>
      </c>
      <c r="AP6" s="29">
        <v>20008.400000000001</v>
      </c>
      <c r="AQ6" s="30">
        <v>1696984</v>
      </c>
      <c r="AR6" s="30">
        <v>879984</v>
      </c>
      <c r="AS6" s="30">
        <v>438888</v>
      </c>
      <c r="AT6" s="30">
        <v>377624</v>
      </c>
      <c r="AU6" s="31">
        <v>68.484099999999998</v>
      </c>
      <c r="AV6" s="31">
        <v>70.470200000000006</v>
      </c>
      <c r="AW6" s="31">
        <v>33.7988</v>
      </c>
      <c r="AX6" s="31">
        <v>45.365099999999998</v>
      </c>
      <c r="AY6" s="31">
        <v>44.907200000000003</v>
      </c>
      <c r="AZ6" s="32">
        <v>3239.03</v>
      </c>
      <c r="BA6" s="32">
        <v>3844.39</v>
      </c>
      <c r="BB6" s="32">
        <v>5.6230000000000002</v>
      </c>
      <c r="BC6" s="32">
        <v>19.832000000000001</v>
      </c>
      <c r="BD6" s="4">
        <v>32</v>
      </c>
      <c r="BE6" s="33">
        <f t="shared" si="14"/>
        <v>0</v>
      </c>
      <c r="BF6" s="33">
        <f t="shared" si="15"/>
        <v>3.6638281287748597E-6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-8</v>
      </c>
    </row>
    <row r="7" spans="1:73" outlineLevel="1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2.1844725</v>
      </c>
      <c r="J7" s="18">
        <f t="shared" si="1"/>
        <v>9.3337292580645326E-2</v>
      </c>
      <c r="K7" s="18">
        <f t="shared" si="2"/>
        <v>6.4598060088988524E-2</v>
      </c>
      <c r="L7" s="18">
        <f t="shared" si="3"/>
        <v>4.7017463829708145E-2</v>
      </c>
      <c r="M7" s="18">
        <f t="shared" si="4"/>
        <v>2.8719364152252208E-2</v>
      </c>
      <c r="N7" s="15">
        <f t="shared" si="5"/>
        <v>1612648</v>
      </c>
      <c r="O7" s="18">
        <f t="shared" si="6"/>
        <v>9.338971789828647E-2</v>
      </c>
      <c r="P7" s="19">
        <v>24950327</v>
      </c>
      <c r="Q7" s="19">
        <v>779698</v>
      </c>
      <c r="R7" s="19">
        <v>21339</v>
      </c>
      <c r="S7" s="19">
        <v>2330104</v>
      </c>
      <c r="T7" s="19">
        <v>1173760</v>
      </c>
      <c r="U7" s="19">
        <v>438888</v>
      </c>
      <c r="V7" s="19">
        <v>716960</v>
      </c>
      <c r="W7" s="19">
        <v>69.813800000000001</v>
      </c>
      <c r="X7" s="19">
        <v>72.148799999999994</v>
      </c>
      <c r="Y7" s="19">
        <v>36.263199999999998</v>
      </c>
      <c r="Z7" s="19">
        <v>46.865099999999998</v>
      </c>
      <c r="AA7" s="19">
        <v>46.5929</v>
      </c>
      <c r="AB7" s="19">
        <v>3281.6</v>
      </c>
      <c r="AC7" s="19">
        <v>4118.2299999999996</v>
      </c>
      <c r="AD7" s="19">
        <v>5.63</v>
      </c>
      <c r="AE7" s="19">
        <v>20.324000000000002</v>
      </c>
      <c r="AF7" s="4">
        <v>32</v>
      </c>
      <c r="AG7" s="17">
        <f t="shared" si="7"/>
        <v>2.1844649999999999</v>
      </c>
      <c r="AH7" s="18">
        <f t="shared" si="8"/>
        <v>9.3336972123558154E-2</v>
      </c>
      <c r="AI7" s="18">
        <f t="shared" si="9"/>
        <v>6.4598060088988524E-2</v>
      </c>
      <c r="AJ7" s="18">
        <f t="shared" si="10"/>
        <v>4.7017463829708145E-2</v>
      </c>
      <c r="AK7" s="18">
        <f t="shared" si="11"/>
        <v>2.8719364152252208E-2</v>
      </c>
      <c r="AL7" s="15">
        <f t="shared" si="12"/>
        <v>1612648</v>
      </c>
      <c r="AM7" s="18">
        <f t="shared" si="13"/>
        <v>9.3389397261206236E-2</v>
      </c>
      <c r="AN7" s="19">
        <v>24950327</v>
      </c>
      <c r="AO7" s="19">
        <v>779698</v>
      </c>
      <c r="AP7" s="19">
        <v>21339</v>
      </c>
      <c r="AQ7" s="20">
        <v>2330096</v>
      </c>
      <c r="AR7" s="20">
        <v>1173760</v>
      </c>
      <c r="AS7" s="20">
        <v>438888</v>
      </c>
      <c r="AT7" s="20">
        <v>716960</v>
      </c>
      <c r="AU7" s="21">
        <v>69.813800000000001</v>
      </c>
      <c r="AV7" s="21">
        <v>72.148799999999994</v>
      </c>
      <c r="AW7" s="21">
        <v>36.263199999999998</v>
      </c>
      <c r="AX7" s="21">
        <v>46.865099999999998</v>
      </c>
      <c r="AY7" s="21">
        <v>46.5929</v>
      </c>
      <c r="AZ7" s="22">
        <v>3211.87</v>
      </c>
      <c r="BA7" s="22">
        <v>4096.3999999999996</v>
      </c>
      <c r="BB7" s="22">
        <v>5.5350000000000001</v>
      </c>
      <c r="BC7" s="22">
        <v>20.361999999999998</v>
      </c>
      <c r="BD7" s="4">
        <v>32</v>
      </c>
      <c r="BE7" s="23">
        <f t="shared" si="14"/>
        <v>0</v>
      </c>
      <c r="BF7" s="23">
        <f t="shared" si="15"/>
        <v>2.3761860917792532E-6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-8</v>
      </c>
    </row>
    <row r="8" spans="1:73" outlineLevel="1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3.5804174999999998</v>
      </c>
      <c r="J8" s="28">
        <f t="shared" si="1"/>
        <v>0.15298268838740825</v>
      </c>
      <c r="K8" s="28">
        <f t="shared" si="2"/>
        <v>9.0028252698519065E-2</v>
      </c>
      <c r="L8" s="28">
        <f t="shared" si="3"/>
        <v>7.2447656439238672E-2</v>
      </c>
      <c r="M8" s="28">
        <f t="shared" si="4"/>
        <v>6.2934567349484605E-2</v>
      </c>
      <c r="N8" s="25">
        <f t="shared" si="5"/>
        <v>2247496</v>
      </c>
      <c r="O8" s="28">
        <f t="shared" si="6"/>
        <v>0.14664121785972381</v>
      </c>
      <c r="P8" s="29">
        <v>26043919</v>
      </c>
      <c r="Q8" s="29">
        <v>813872</v>
      </c>
      <c r="R8" s="29">
        <v>24933.7</v>
      </c>
      <c r="S8" s="29">
        <v>3819112</v>
      </c>
      <c r="T8" s="29">
        <v>1808608</v>
      </c>
      <c r="U8" s="29">
        <v>438888</v>
      </c>
      <c r="V8" s="29">
        <v>1571120</v>
      </c>
      <c r="W8" s="29">
        <v>70.797700000000006</v>
      </c>
      <c r="X8" s="29">
        <v>73.331199999999995</v>
      </c>
      <c r="Y8" s="29">
        <v>38.726199999999999</v>
      </c>
      <c r="Z8" s="29">
        <v>48.146500000000003</v>
      </c>
      <c r="AA8" s="29">
        <v>48.046900000000001</v>
      </c>
      <c r="AB8" s="29">
        <v>3290.94</v>
      </c>
      <c r="AC8" s="29">
        <v>4511.12</v>
      </c>
      <c r="AD8" s="29">
        <v>5.7560000000000002</v>
      </c>
      <c r="AE8" s="29">
        <v>20.916</v>
      </c>
      <c r="AF8" s="4">
        <v>32</v>
      </c>
      <c r="AG8" s="27">
        <f t="shared" si="7"/>
        <v>3.5804100000000001</v>
      </c>
      <c r="AH8" s="28">
        <f t="shared" si="8"/>
        <v>0.15298236793032111</v>
      </c>
      <c r="AI8" s="28">
        <f t="shared" si="9"/>
        <v>9.0028252698519065E-2</v>
      </c>
      <c r="AJ8" s="28">
        <f t="shared" si="10"/>
        <v>7.2447656439238672E-2</v>
      </c>
      <c r="AK8" s="28">
        <f t="shared" si="11"/>
        <v>6.2934567349484605E-2</v>
      </c>
      <c r="AL8" s="25">
        <f t="shared" si="12"/>
        <v>2247496</v>
      </c>
      <c r="AM8" s="28">
        <f t="shared" si="13"/>
        <v>0.14664091068629112</v>
      </c>
      <c r="AN8" s="29">
        <v>26043919</v>
      </c>
      <c r="AO8" s="29">
        <v>813872</v>
      </c>
      <c r="AP8" s="29">
        <v>24933.7</v>
      </c>
      <c r="AQ8" s="30">
        <v>3819104</v>
      </c>
      <c r="AR8" s="30">
        <v>1808608</v>
      </c>
      <c r="AS8" s="30">
        <v>438888</v>
      </c>
      <c r="AT8" s="30">
        <v>1571120</v>
      </c>
      <c r="AU8" s="31">
        <v>70.797700000000006</v>
      </c>
      <c r="AV8" s="31">
        <v>73.331199999999995</v>
      </c>
      <c r="AW8" s="31">
        <v>38.726199999999999</v>
      </c>
      <c r="AX8" s="31">
        <v>48.146500000000003</v>
      </c>
      <c r="AY8" s="31">
        <v>48.046900000000001</v>
      </c>
      <c r="AZ8" s="32">
        <v>3205.15</v>
      </c>
      <c r="BA8" s="32">
        <v>4405.47</v>
      </c>
      <c r="BB8" s="32">
        <v>5.7009999999999996</v>
      </c>
      <c r="BC8" s="32">
        <v>20.756</v>
      </c>
      <c r="BD8" s="4">
        <v>32</v>
      </c>
      <c r="BE8" s="33">
        <f t="shared" si="14"/>
        <v>0</v>
      </c>
      <c r="BF8" s="33">
        <f t="shared" si="15"/>
        <v>1.2327216817320519E-6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-8</v>
      </c>
    </row>
    <row r="9" spans="1:73" ht="13.5" outlineLevel="1" thickBot="1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7.4982300000000004</v>
      </c>
      <c r="J9" s="38">
        <f t="shared" si="1"/>
        <v>0.32038145929828471</v>
      </c>
      <c r="K9" s="38">
        <f t="shared" si="2"/>
        <v>0.15414947264179735</v>
      </c>
      <c r="L9" s="38">
        <f t="shared" si="3"/>
        <v>0.11731164864315866</v>
      </c>
      <c r="M9" s="38">
        <f t="shared" si="4"/>
        <v>0.16621211831708274</v>
      </c>
      <c r="N9" s="35">
        <f t="shared" si="5"/>
        <v>3848240</v>
      </c>
      <c r="O9" s="38">
        <f t="shared" si="6"/>
        <v>0.31940521655134813</v>
      </c>
      <c r="P9" s="39">
        <v>25040643</v>
      </c>
      <c r="Q9" s="39">
        <v>782520</v>
      </c>
      <c r="R9" s="39">
        <v>7638.72</v>
      </c>
      <c r="S9" s="39">
        <v>7998112</v>
      </c>
      <c r="T9" s="39">
        <v>2928608</v>
      </c>
      <c r="U9" s="39">
        <v>919632</v>
      </c>
      <c r="V9" s="39">
        <v>4149376</v>
      </c>
      <c r="W9" s="39">
        <v>72.121099999999998</v>
      </c>
      <c r="X9" s="39">
        <v>75.250799999999998</v>
      </c>
      <c r="Y9" s="39">
        <v>41.194800000000001</v>
      </c>
      <c r="Z9" s="39">
        <v>49.626600000000003</v>
      </c>
      <c r="AA9" s="39">
        <v>49.746499999999997</v>
      </c>
      <c r="AB9" s="39">
        <v>3328.65</v>
      </c>
      <c r="AC9" s="39">
        <v>5013.6000000000004</v>
      </c>
      <c r="AD9" s="39">
        <v>6.2889999999999997</v>
      </c>
      <c r="AE9" s="39">
        <v>22.236999999999998</v>
      </c>
      <c r="AF9" s="4">
        <v>32</v>
      </c>
      <c r="AG9" s="37">
        <f t="shared" si="7"/>
        <v>7.5909525000000002</v>
      </c>
      <c r="AH9" s="38">
        <f t="shared" si="8"/>
        <v>0.32434327026697801</v>
      </c>
      <c r="AI9" s="38">
        <f t="shared" si="9"/>
        <v>0.15414947264179735</v>
      </c>
      <c r="AJ9" s="38">
        <f t="shared" si="10"/>
        <v>0.11731164864315866</v>
      </c>
      <c r="AK9" s="38">
        <f t="shared" si="11"/>
        <v>0.17017424974286324</v>
      </c>
      <c r="AL9" s="35">
        <f t="shared" si="12"/>
        <v>3848240</v>
      </c>
      <c r="AM9" s="38">
        <f t="shared" si="13"/>
        <v>0.32335495538193648</v>
      </c>
      <c r="AN9" s="39">
        <v>25040643</v>
      </c>
      <c r="AO9" s="39">
        <v>782520</v>
      </c>
      <c r="AP9" s="39">
        <v>10525.3</v>
      </c>
      <c r="AQ9" s="40">
        <v>8097016</v>
      </c>
      <c r="AR9" s="40">
        <v>2928608</v>
      </c>
      <c r="AS9" s="40">
        <v>919632</v>
      </c>
      <c r="AT9" s="40">
        <v>4248288</v>
      </c>
      <c r="AU9" s="41">
        <v>72.046899999999994</v>
      </c>
      <c r="AV9" s="41">
        <v>75.239999999999995</v>
      </c>
      <c r="AW9" s="41">
        <v>41.158299999999997</v>
      </c>
      <c r="AX9" s="41">
        <v>49.566099999999999</v>
      </c>
      <c r="AY9" s="41">
        <v>49.604300000000002</v>
      </c>
      <c r="AZ9" s="42">
        <v>3360.58</v>
      </c>
      <c r="BA9" s="42">
        <v>4411.49</v>
      </c>
      <c r="BB9" s="42">
        <v>5.1790000000000003</v>
      </c>
      <c r="BC9" s="42">
        <v>20.956</v>
      </c>
      <c r="BD9" s="4">
        <v>32</v>
      </c>
      <c r="BE9" s="43">
        <f t="shared" si="14"/>
        <v>3.6888258447068424E-3</v>
      </c>
      <c r="BF9" s="43">
        <f t="shared" si="15"/>
        <v>-5.8771060421655141E-3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98904</v>
      </c>
    </row>
    <row r="10" spans="1:7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2.0947049999999998</v>
      </c>
      <c r="J10" s="28">
        <f t="shared" si="1"/>
        <v>9.8626034433602544E-2</v>
      </c>
      <c r="K10" s="28">
        <f t="shared" si="2"/>
        <v>7.1739710310257138E-2</v>
      </c>
      <c r="L10" s="28">
        <f t="shared" si="3"/>
        <v>3.9494695801404286E-2</v>
      </c>
      <c r="M10" s="28">
        <f t="shared" si="4"/>
        <v>2.6864430297717627E-2</v>
      </c>
      <c r="N10" s="25">
        <f t="shared" si="5"/>
        <v>1625248</v>
      </c>
      <c r="O10" s="28">
        <f t="shared" si="6"/>
        <v>0.10679355731943752</v>
      </c>
      <c r="P10" s="29">
        <v>20922161</v>
      </c>
      <c r="Q10" s="29">
        <v>653818</v>
      </c>
      <c r="R10" s="29">
        <v>19494.900000000001</v>
      </c>
      <c r="S10" s="29">
        <v>2234352</v>
      </c>
      <c r="T10" s="29">
        <v>894744</v>
      </c>
      <c r="U10" s="29">
        <v>730504</v>
      </c>
      <c r="V10" s="29">
        <v>608608</v>
      </c>
      <c r="W10" s="29">
        <v>65.964299999999994</v>
      </c>
      <c r="X10" s="29">
        <v>67.864999999999995</v>
      </c>
      <c r="Y10" s="29">
        <v>31.11</v>
      </c>
      <c r="Z10" s="29">
        <v>38.609400000000001</v>
      </c>
      <c r="AA10" s="29">
        <v>30.0793</v>
      </c>
      <c r="AB10" s="29">
        <v>3275.46</v>
      </c>
      <c r="AC10" s="29">
        <v>4453.9799999999996</v>
      </c>
      <c r="AD10" s="29">
        <v>4.6440000000000001</v>
      </c>
      <c r="AE10" s="29">
        <v>22.6</v>
      </c>
      <c r="AF10" s="4">
        <v>32</v>
      </c>
      <c r="AG10" s="27">
        <f t="shared" si="7"/>
        <v>2.0946975000000001</v>
      </c>
      <c r="AH10" s="28">
        <f t="shared" si="8"/>
        <v>9.8625681307382737E-2</v>
      </c>
      <c r="AI10" s="28">
        <f t="shared" si="9"/>
        <v>7.1739710310257138E-2</v>
      </c>
      <c r="AJ10" s="28">
        <f t="shared" si="10"/>
        <v>3.9494695801404286E-2</v>
      </c>
      <c r="AK10" s="28">
        <f t="shared" si="11"/>
        <v>2.6864430297717627E-2</v>
      </c>
      <c r="AL10" s="25">
        <f t="shared" si="12"/>
        <v>1625248</v>
      </c>
      <c r="AM10" s="28">
        <f t="shared" si="13"/>
        <v>0.10679317494975782</v>
      </c>
      <c r="AN10" s="29">
        <v>20922161</v>
      </c>
      <c r="AO10" s="29">
        <v>653818</v>
      </c>
      <c r="AP10" s="29">
        <v>19494.900000000001</v>
      </c>
      <c r="AQ10" s="30">
        <v>2234344</v>
      </c>
      <c r="AR10" s="30">
        <v>894744</v>
      </c>
      <c r="AS10" s="30">
        <v>730504</v>
      </c>
      <c r="AT10" s="30">
        <v>608608</v>
      </c>
      <c r="AU10" s="31">
        <v>65.964299999999994</v>
      </c>
      <c r="AV10" s="31">
        <v>67.864999999999995</v>
      </c>
      <c r="AW10" s="31">
        <v>31.11</v>
      </c>
      <c r="AX10" s="31">
        <v>38.609400000000001</v>
      </c>
      <c r="AY10" s="31">
        <v>30.0793</v>
      </c>
      <c r="AZ10" s="32">
        <v>3788.9</v>
      </c>
      <c r="BA10" s="32">
        <v>4544.93</v>
      </c>
      <c r="BB10" s="32">
        <v>5.109</v>
      </c>
      <c r="BC10" s="32">
        <v>24.082000000000001</v>
      </c>
      <c r="BD10" s="4">
        <v>32</v>
      </c>
      <c r="BE10" s="33">
        <f t="shared" si="14"/>
        <v>0</v>
      </c>
      <c r="BF10" s="33">
        <f t="shared" si="15"/>
        <v>2.6044018569537641E-6</v>
      </c>
      <c r="BG10" s="33">
        <f t="array" ref="BG10">AVERAGE(AL10:AL14/AQ10:AQ14) - AVERAGE(N10:N14/S10:S14)</f>
        <v>-4.0396643239593022E-4</v>
      </c>
      <c r="BI10" s="34">
        <f>IF( OR(ISBLANK(N10:N14),ISBLANK(AL10:AL14), ISBLANK(W10:W14),ISBLANK(AU10:AU14)), "·", bdRateExtend( N10:N14,W10:W14, AL10:AL14,AU10:AU14))</f>
        <v>6.7263660082395038E-3</v>
      </c>
      <c r="BJ10" s="34">
        <f>IF( OR(ISBLANK(N10:N14),ISBLANK(AL10:AL14), ISBLANK(X10:X14),ISBLANK(AV10:AV14)), "·", bdRateExtend( N10:N14,X10:X14, AL10:AL14,AV10:AV14))</f>
        <v>1.9033874435969711E-3</v>
      </c>
      <c r="BK10" s="34">
        <f>IF( OR(ISBLANK(V10:V14),ISBLANK(AT10:AT14), ISBLANK(Y10:Y14),ISBLANK(AW10:AW14)), "·", bdRateExtend( V10:V14,Y10:Y14, AT10:AT14,AW10:AW14))</f>
        <v>3.4673275787868718E-3</v>
      </c>
      <c r="BL10" s="34">
        <f>IF( OR(ISBLANK(V10:V14),ISBLANK(AT10:AT14), ISBLANK(Z10:Z14),ISBLANK(AX10:AX14)), "·", bdRateExtend( V10:V14,Z10:Z14, AT10:AT14,AX10:AX14))</f>
        <v>1.6004611653153145E-3</v>
      </c>
      <c r="BM10" s="34">
        <f>IF( OR(ISBLANK(V10:V14),ISBLANK(AT10:AT14), ISBLANK(AA10:AA14),ISBLANK(AY10:AY14)), "·", bdRateExtend( V10:V14,AA10:AA14, AT10:AT14,AY10:AY14))</f>
        <v>2.4021428657627908E-3</v>
      </c>
      <c r="BO10" s="34">
        <f>IF( OR(ISBLANK(S10:S14),ISBLANK(AQ10:AQ14), ISBLANK(W10:W14),ISBLANK(AU10:AU14)), "·", bdRateExtend( S10:S14,W10:W14, AQ10:AQ14,AU10:AU14))</f>
        <v>9.0085765305809584E-3</v>
      </c>
      <c r="BP10" s="34">
        <f>IF( OR(ISBLANK(S10:S14),ISBLANK(AQ10:AQ14), ISBLANK(X10:X14),ISBLANK(AV10:AV14)), "·", bdRateExtend( S10:S14,X10:X14, AQ10:AQ14,AV10:AV14))</f>
        <v>2.9803462758863919E-3</v>
      </c>
      <c r="BQ10" s="34">
        <f>IF( OR(ISBLANK(S10:S14),ISBLANK(AQ10:AQ14), ISBLANK(Y10:Y14),ISBLANK(AW10:AW14)), "·", bdRateExtend( S10:S14,Y10:Y14, AQ10:AQ14,AW10:AW14))</f>
        <v>2.7911859971283537E-3</v>
      </c>
      <c r="BR10" s="34">
        <f>IF( OR(ISBLANK(S10:S14),ISBLANK(AQ10:AQ14), ISBLANK(Z10:Z14),ISBLANK(AX10:AX14)), "·", bdRateExtend( S10:S14,Z10:Z14, AQ10:AQ14,AX10:AX14))</f>
        <v>1.1401819686471804E-3</v>
      </c>
      <c r="BS10" s="34">
        <f>IF( OR(ISBLANK(S10:S14),ISBLANK(AQ10:AQ14), ISBLANK(AA10:AA14),ISBLANK(AY10:AY14)), "·", bdRateExtend( S10:S14,AA10:AA14, AQ10:AQ14,AY10:AY14))</f>
        <v>1.8711417191712432E-3</v>
      </c>
      <c r="BU10" s="4">
        <f t="shared" si="16"/>
        <v>-8</v>
      </c>
    </row>
    <row r="11" spans="1:73" outlineLevel="1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2.8417875000000001</v>
      </c>
      <c r="J11" s="18">
        <f t="shared" si="1"/>
        <v>0.13380129031437901</v>
      </c>
      <c r="K11" s="18">
        <f t="shared" si="2"/>
        <v>8.668860257316896E-2</v>
      </c>
      <c r="L11" s="18">
        <f t="shared" si="3"/>
        <v>5.4443588064316116E-2</v>
      </c>
      <c r="M11" s="18">
        <f t="shared" si="4"/>
        <v>4.7090793915582262E-2</v>
      </c>
      <c r="N11" s="15">
        <f t="shared" si="5"/>
        <v>1963912</v>
      </c>
      <c r="O11" s="18">
        <f t="shared" si="6"/>
        <v>0.13519881930063454</v>
      </c>
      <c r="P11" s="19">
        <v>22420610</v>
      </c>
      <c r="Q11" s="19">
        <v>700644</v>
      </c>
      <c r="R11" s="19">
        <v>24865.200000000001</v>
      </c>
      <c r="S11" s="19">
        <v>3031240</v>
      </c>
      <c r="T11" s="19">
        <v>1233408</v>
      </c>
      <c r="U11" s="19">
        <v>730504</v>
      </c>
      <c r="V11" s="19">
        <v>1066832</v>
      </c>
      <c r="W11" s="19">
        <v>67.688400000000001</v>
      </c>
      <c r="X11" s="19">
        <v>69.747299999999996</v>
      </c>
      <c r="Y11" s="19">
        <v>32.9726</v>
      </c>
      <c r="Z11" s="19">
        <v>39.677</v>
      </c>
      <c r="AA11" s="19">
        <v>32.356900000000003</v>
      </c>
      <c r="AB11" s="19">
        <v>3447.44</v>
      </c>
      <c r="AC11" s="19">
        <v>5365.69</v>
      </c>
      <c r="AD11" s="19">
        <v>5.4260000000000002</v>
      </c>
      <c r="AE11" s="19">
        <v>25.474</v>
      </c>
      <c r="AF11" s="4">
        <v>32</v>
      </c>
      <c r="AG11" s="17">
        <f t="shared" si="7"/>
        <v>2.84178</v>
      </c>
      <c r="AH11" s="18">
        <f t="shared" si="8"/>
        <v>0.13380093718815919</v>
      </c>
      <c r="AI11" s="18">
        <f t="shared" si="9"/>
        <v>8.668860257316896E-2</v>
      </c>
      <c r="AJ11" s="18">
        <f t="shared" si="10"/>
        <v>5.4443588064316116E-2</v>
      </c>
      <c r="AK11" s="18">
        <f t="shared" si="11"/>
        <v>4.7090793915582262E-2</v>
      </c>
      <c r="AL11" s="15">
        <f t="shared" si="12"/>
        <v>1963912</v>
      </c>
      <c r="AM11" s="18">
        <f t="shared" si="13"/>
        <v>0.13519846248607867</v>
      </c>
      <c r="AN11" s="19">
        <v>22420610</v>
      </c>
      <c r="AO11" s="19">
        <v>700644</v>
      </c>
      <c r="AP11" s="19">
        <v>24865.200000000001</v>
      </c>
      <c r="AQ11" s="20">
        <v>3031232</v>
      </c>
      <c r="AR11" s="20">
        <v>1233408</v>
      </c>
      <c r="AS11" s="20">
        <v>730504</v>
      </c>
      <c r="AT11" s="20">
        <v>1066832</v>
      </c>
      <c r="AU11" s="21">
        <v>67.688400000000001</v>
      </c>
      <c r="AV11" s="21">
        <v>69.747299999999996</v>
      </c>
      <c r="AW11" s="21">
        <v>32.9726</v>
      </c>
      <c r="AX11" s="21">
        <v>39.677</v>
      </c>
      <c r="AY11" s="21">
        <v>32.356900000000003</v>
      </c>
      <c r="AZ11" s="22">
        <v>3236.33</v>
      </c>
      <c r="BA11" s="22">
        <v>4773.82</v>
      </c>
      <c r="BB11" s="22">
        <v>4.9000000000000004</v>
      </c>
      <c r="BC11" s="22">
        <v>23.536999999999999</v>
      </c>
      <c r="BD11" s="4">
        <v>32</v>
      </c>
      <c r="BE11" s="23">
        <f t="shared" si="14"/>
        <v>0</v>
      </c>
      <c r="BF11" s="23">
        <f t="shared" si="15"/>
        <v>1.7099070799275751E-6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-8</v>
      </c>
    </row>
    <row r="12" spans="1:73" outlineLevel="1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4.0162199999999997</v>
      </c>
      <c r="J12" s="28">
        <f t="shared" si="1"/>
        <v>0.18909767819951886</v>
      </c>
      <c r="K12" s="28">
        <f t="shared" si="2"/>
        <v>0.10842493390691037</v>
      </c>
      <c r="L12" s="28">
        <f t="shared" si="3"/>
        <v>7.6179919398057516E-2</v>
      </c>
      <c r="M12" s="28">
        <f t="shared" si="4"/>
        <v>8.0650850466980728E-2</v>
      </c>
      <c r="N12" s="25">
        <f t="shared" si="5"/>
        <v>2456344</v>
      </c>
      <c r="O12" s="28">
        <f t="shared" si="6"/>
        <v>0.18798531421778131</v>
      </c>
      <c r="P12" s="29">
        <v>22788844</v>
      </c>
      <c r="Q12" s="29">
        <v>712151</v>
      </c>
      <c r="R12" s="29">
        <v>26439.4</v>
      </c>
      <c r="S12" s="29">
        <v>4283968</v>
      </c>
      <c r="T12" s="29">
        <v>1725840</v>
      </c>
      <c r="U12" s="29">
        <v>730504</v>
      </c>
      <c r="V12" s="29">
        <v>1827128</v>
      </c>
      <c r="W12" s="29">
        <v>69.049499999999995</v>
      </c>
      <c r="X12" s="29">
        <v>71.393299999999996</v>
      </c>
      <c r="Y12" s="29">
        <v>35.0197</v>
      </c>
      <c r="Z12" s="29">
        <v>40.725099999999998</v>
      </c>
      <c r="AA12" s="29">
        <v>34.284599999999998</v>
      </c>
      <c r="AB12" s="29">
        <v>3299.72</v>
      </c>
      <c r="AC12" s="29">
        <v>5069.8100000000004</v>
      </c>
      <c r="AD12" s="29">
        <v>5.0620000000000003</v>
      </c>
      <c r="AE12" s="29">
        <v>24.032</v>
      </c>
      <c r="AF12" s="4">
        <v>32</v>
      </c>
      <c r="AG12" s="27">
        <f t="shared" si="7"/>
        <v>4.0162125</v>
      </c>
      <c r="AH12" s="28">
        <f t="shared" si="8"/>
        <v>0.18909732507329907</v>
      </c>
      <c r="AI12" s="28">
        <f t="shared" si="9"/>
        <v>0.10842493390691037</v>
      </c>
      <c r="AJ12" s="28">
        <f t="shared" si="10"/>
        <v>7.6179919398057516E-2</v>
      </c>
      <c r="AK12" s="28">
        <f t="shared" si="11"/>
        <v>8.0650850466980728E-2</v>
      </c>
      <c r="AL12" s="25">
        <f t="shared" si="12"/>
        <v>2456344</v>
      </c>
      <c r="AM12" s="28">
        <f t="shared" si="13"/>
        <v>0.18798496316882068</v>
      </c>
      <c r="AN12" s="29">
        <v>22788844</v>
      </c>
      <c r="AO12" s="29">
        <v>712151</v>
      </c>
      <c r="AP12" s="29">
        <v>26439.4</v>
      </c>
      <c r="AQ12" s="30">
        <v>4283960</v>
      </c>
      <c r="AR12" s="30">
        <v>1725840</v>
      </c>
      <c r="AS12" s="30">
        <v>730504</v>
      </c>
      <c r="AT12" s="30">
        <v>1827128</v>
      </c>
      <c r="AU12" s="31">
        <v>69.049499999999995</v>
      </c>
      <c r="AV12" s="31">
        <v>71.393299999999996</v>
      </c>
      <c r="AW12" s="31">
        <v>35.0197</v>
      </c>
      <c r="AX12" s="31">
        <v>40.725099999999998</v>
      </c>
      <c r="AY12" s="31">
        <v>34.284599999999998</v>
      </c>
      <c r="AZ12" s="32">
        <v>2938.66</v>
      </c>
      <c r="BA12" s="32">
        <v>4708.21</v>
      </c>
      <c r="BB12" s="32">
        <v>4.4050000000000002</v>
      </c>
      <c r="BC12" s="32">
        <v>21.795999999999999</v>
      </c>
      <c r="BD12" s="4">
        <v>32</v>
      </c>
      <c r="BE12" s="33">
        <f t="shared" si="14"/>
        <v>0</v>
      </c>
      <c r="BF12" s="33">
        <f t="shared" si="15"/>
        <v>1.070748684495193E-6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-8</v>
      </c>
    </row>
    <row r="13" spans="1:73" outlineLevel="1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6.5089649999999999</v>
      </c>
      <c r="J13" s="18">
        <f t="shared" si="1"/>
        <v>0.30646482737049546</v>
      </c>
      <c r="K13" s="18">
        <f t="shared" si="2"/>
        <v>0.14831830921047201</v>
      </c>
      <c r="L13" s="18">
        <f t="shared" si="3"/>
        <v>0.11607329470161916</v>
      </c>
      <c r="M13" s="18">
        <f t="shared" si="4"/>
        <v>0.1581246243343957</v>
      </c>
      <c r="N13" s="15">
        <f t="shared" si="5"/>
        <v>3360120</v>
      </c>
      <c r="O13" s="18">
        <f t="shared" si="6"/>
        <v>0.29230117770131719</v>
      </c>
      <c r="P13" s="19">
        <v>23752542</v>
      </c>
      <c r="Q13" s="19">
        <v>742267</v>
      </c>
      <c r="R13" s="19">
        <v>30458.2</v>
      </c>
      <c r="S13" s="19">
        <v>6942896</v>
      </c>
      <c r="T13" s="19">
        <v>2629616</v>
      </c>
      <c r="U13" s="19">
        <v>730504</v>
      </c>
      <c r="V13" s="19">
        <v>3582280</v>
      </c>
      <c r="W13" s="19">
        <v>70.030600000000007</v>
      </c>
      <c r="X13" s="19">
        <v>72.561199999999999</v>
      </c>
      <c r="Y13" s="19">
        <v>37.2136</v>
      </c>
      <c r="Z13" s="19">
        <v>41.784300000000002</v>
      </c>
      <c r="AA13" s="19">
        <v>36.286200000000001</v>
      </c>
      <c r="AB13" s="19">
        <v>3554.44</v>
      </c>
      <c r="AC13" s="19">
        <v>6119.15</v>
      </c>
      <c r="AD13" s="19">
        <v>5.7380000000000004</v>
      </c>
      <c r="AE13" s="19">
        <v>26.984000000000002</v>
      </c>
      <c r="AF13" s="4">
        <v>32</v>
      </c>
      <c r="AG13" s="17">
        <f t="shared" si="7"/>
        <v>6.5089575000000002</v>
      </c>
      <c r="AH13" s="18">
        <f t="shared" si="8"/>
        <v>0.3064644742442757</v>
      </c>
      <c r="AI13" s="18">
        <f t="shared" si="9"/>
        <v>0.14831830921047201</v>
      </c>
      <c r="AJ13" s="18">
        <f t="shared" si="10"/>
        <v>0.11607329470161916</v>
      </c>
      <c r="AK13" s="18">
        <f t="shared" si="11"/>
        <v>0.1581246243343957</v>
      </c>
      <c r="AL13" s="15">
        <f t="shared" si="12"/>
        <v>3360120</v>
      </c>
      <c r="AM13" s="18">
        <f t="shared" si="13"/>
        <v>0.29230084089526082</v>
      </c>
      <c r="AN13" s="19">
        <v>23752542</v>
      </c>
      <c r="AO13" s="19">
        <v>742267</v>
      </c>
      <c r="AP13" s="19">
        <v>30458.2</v>
      </c>
      <c r="AQ13" s="20">
        <v>6942888</v>
      </c>
      <c r="AR13" s="20">
        <v>2629616</v>
      </c>
      <c r="AS13" s="20">
        <v>730504</v>
      </c>
      <c r="AT13" s="20">
        <v>3582280</v>
      </c>
      <c r="AU13" s="21">
        <v>70.030600000000007</v>
      </c>
      <c r="AV13" s="21">
        <v>72.561199999999999</v>
      </c>
      <c r="AW13" s="21">
        <v>37.2136</v>
      </c>
      <c r="AX13" s="21">
        <v>41.784300000000002</v>
      </c>
      <c r="AY13" s="21">
        <v>36.286200000000001</v>
      </c>
      <c r="AZ13" s="22">
        <v>3433.01</v>
      </c>
      <c r="BA13" s="22">
        <v>6123.91</v>
      </c>
      <c r="BB13" s="22">
        <v>5.5359999999999996</v>
      </c>
      <c r="BC13" s="22">
        <v>26.565000000000001</v>
      </c>
      <c r="BD13" s="4">
        <v>32</v>
      </c>
      <c r="BE13" s="23">
        <f t="shared" si="14"/>
        <v>0</v>
      </c>
      <c r="BF13" s="23">
        <f t="shared" si="15"/>
        <v>5.5765288753395481E-7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-8</v>
      </c>
    </row>
    <row r="14" spans="1:73" ht="13.5" outlineLevel="1" thickBot="1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13.114635</v>
      </c>
      <c r="J14" s="48">
        <f t="shared" si="1"/>
        <v>0.61748286421912824</v>
      </c>
      <c r="K14" s="48">
        <f t="shared" si="2"/>
        <v>0.2497527564701662</v>
      </c>
      <c r="L14" s="48">
        <f t="shared" si="3"/>
        <v>0.1869545551715357</v>
      </c>
      <c r="M14" s="48">
        <f t="shared" si="4"/>
        <v>0.36770821392333425</v>
      </c>
      <c r="N14" s="45">
        <f t="shared" si="5"/>
        <v>5658096</v>
      </c>
      <c r="O14" s="48">
        <f t="shared" si="6"/>
        <v>0.62149683017132396</v>
      </c>
      <c r="P14" s="49">
        <v>22508472</v>
      </c>
      <c r="Q14" s="49">
        <v>703390</v>
      </c>
      <c r="R14" s="49">
        <v>8254.25</v>
      </c>
      <c r="S14" s="49">
        <v>13988944</v>
      </c>
      <c r="T14" s="49">
        <v>4235416</v>
      </c>
      <c r="U14" s="49">
        <v>1422680</v>
      </c>
      <c r="V14" s="49">
        <v>8330352</v>
      </c>
      <c r="W14" s="49">
        <v>71.409700000000001</v>
      </c>
      <c r="X14" s="49">
        <v>74.802499999999995</v>
      </c>
      <c r="Y14" s="49">
        <v>39.712800000000001</v>
      </c>
      <c r="Z14" s="49">
        <v>43.097499999999997</v>
      </c>
      <c r="AA14" s="49">
        <v>38.567300000000003</v>
      </c>
      <c r="AB14" s="49">
        <v>3972.25</v>
      </c>
      <c r="AC14" s="49">
        <v>7574.83</v>
      </c>
      <c r="AD14" s="49">
        <v>6.8419999999999996</v>
      </c>
      <c r="AE14" s="49">
        <v>31.341999999999999</v>
      </c>
      <c r="AF14" s="4">
        <v>32</v>
      </c>
      <c r="AG14" s="47">
        <f t="shared" si="7"/>
        <v>13.18065</v>
      </c>
      <c r="AH14" s="48">
        <f t="shared" si="8"/>
        <v>0.62059108120583251</v>
      </c>
      <c r="AI14" s="48">
        <f t="shared" si="9"/>
        <v>0.2497527564701662</v>
      </c>
      <c r="AJ14" s="48">
        <f t="shared" si="10"/>
        <v>0.1869545551715357</v>
      </c>
      <c r="AK14" s="48">
        <f t="shared" si="11"/>
        <v>0.37081678403625828</v>
      </c>
      <c r="AL14" s="45">
        <f t="shared" si="12"/>
        <v>5658096</v>
      </c>
      <c r="AM14" s="48">
        <f t="shared" si="13"/>
        <v>0.62462525221614329</v>
      </c>
      <c r="AN14" s="49">
        <v>22508472</v>
      </c>
      <c r="AO14" s="49">
        <v>703390</v>
      </c>
      <c r="AP14" s="49">
        <v>13989.7</v>
      </c>
      <c r="AQ14" s="50">
        <v>14059360</v>
      </c>
      <c r="AR14" s="50">
        <v>4235416</v>
      </c>
      <c r="AS14" s="50">
        <v>1422680</v>
      </c>
      <c r="AT14" s="50">
        <v>8400776</v>
      </c>
      <c r="AU14" s="51">
        <v>71.218100000000007</v>
      </c>
      <c r="AV14" s="51">
        <v>74.730699999999999</v>
      </c>
      <c r="AW14" s="51">
        <v>39.646099999999997</v>
      </c>
      <c r="AX14" s="51">
        <v>43.0884</v>
      </c>
      <c r="AY14" s="51">
        <v>38.5276</v>
      </c>
      <c r="AZ14" s="52">
        <v>3005.96</v>
      </c>
      <c r="BA14" s="52">
        <v>5487.66</v>
      </c>
      <c r="BB14" s="52">
        <v>4.3369999999999997</v>
      </c>
      <c r="BC14" s="52">
        <v>23.395</v>
      </c>
      <c r="BD14" s="4">
        <v>32</v>
      </c>
      <c r="BE14" s="53">
        <f t="shared" si="14"/>
        <v>8.1540112881900544E-3</v>
      </c>
      <c r="BF14" s="53">
        <f t="shared" si="15"/>
        <v>-2.0257748724887281E-3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70416</v>
      </c>
    </row>
    <row r="15" spans="1:7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2.0009250000000001</v>
      </c>
      <c r="J15" s="18">
        <f t="shared" si="1"/>
        <v>6.2870794437493563E-2</v>
      </c>
      <c r="K15" s="18">
        <f t="shared" si="2"/>
        <v>5.0764649335192424E-2</v>
      </c>
      <c r="L15" s="18">
        <f t="shared" si="3"/>
        <v>2.6397297161476364E-2</v>
      </c>
      <c r="M15" s="18">
        <f t="shared" si="4"/>
        <v>1.2091534400044209E-2</v>
      </c>
      <c r="N15" s="15">
        <f t="shared" si="5"/>
        <v>1723344</v>
      </c>
      <c r="O15" s="18">
        <f t="shared" si="6"/>
        <v>6.5623537989040359E-2</v>
      </c>
      <c r="P15" s="19">
        <v>32523696</v>
      </c>
      <c r="Q15" s="73">
        <v>1016370</v>
      </c>
      <c r="R15" s="19">
        <v>34573</v>
      </c>
      <c r="S15" s="19">
        <v>2134320</v>
      </c>
      <c r="T15" s="19">
        <v>896128</v>
      </c>
      <c r="U15" s="19">
        <v>827216</v>
      </c>
      <c r="V15" s="19">
        <v>410480</v>
      </c>
      <c r="W15" s="19">
        <v>66.386899999999997</v>
      </c>
      <c r="X15" s="19">
        <v>67.997500000000002</v>
      </c>
      <c r="Y15" s="19">
        <v>29.264900000000001</v>
      </c>
      <c r="Z15" s="19">
        <v>43.246699999999997</v>
      </c>
      <c r="AA15" s="19">
        <v>43.583300000000001</v>
      </c>
      <c r="AB15" s="19">
        <v>4017.16</v>
      </c>
      <c r="AC15" s="19">
        <v>4288.09</v>
      </c>
      <c r="AD15" s="19">
        <v>6.8959999999999999</v>
      </c>
      <c r="AE15" s="19">
        <v>22.417999999999999</v>
      </c>
      <c r="AF15" s="4">
        <v>32</v>
      </c>
      <c r="AG15" s="17">
        <f t="shared" si="7"/>
        <v>2.0009174999999999</v>
      </c>
      <c r="AH15" s="18">
        <f t="shared" si="8"/>
        <v>6.2870558781005545E-2</v>
      </c>
      <c r="AI15" s="18">
        <f t="shared" si="9"/>
        <v>5.0764649335192424E-2</v>
      </c>
      <c r="AJ15" s="18">
        <f t="shared" si="10"/>
        <v>2.6397297161476364E-2</v>
      </c>
      <c r="AK15" s="18">
        <f t="shared" si="11"/>
        <v>1.2091534400044209E-2</v>
      </c>
      <c r="AL15" s="15">
        <f t="shared" si="12"/>
        <v>1723344</v>
      </c>
      <c r="AM15" s="18">
        <f t="shared" si="13"/>
        <v>6.5623292014536108E-2</v>
      </c>
      <c r="AN15" s="19">
        <v>32523696</v>
      </c>
      <c r="AO15" s="73">
        <v>1016370</v>
      </c>
      <c r="AP15" s="19">
        <v>34573</v>
      </c>
      <c r="AQ15" s="20">
        <v>2134312</v>
      </c>
      <c r="AR15" s="20">
        <v>896128</v>
      </c>
      <c r="AS15" s="20">
        <v>827216</v>
      </c>
      <c r="AT15" s="20">
        <v>410480</v>
      </c>
      <c r="AU15" s="21">
        <v>66.386899999999997</v>
      </c>
      <c r="AV15" s="21">
        <v>67.997500000000002</v>
      </c>
      <c r="AW15" s="21">
        <v>29.264900000000001</v>
      </c>
      <c r="AX15" s="21">
        <v>43.246699999999997</v>
      </c>
      <c r="AY15" s="21">
        <v>43.583300000000001</v>
      </c>
      <c r="AZ15" s="22">
        <v>4627.21</v>
      </c>
      <c r="BA15" s="22">
        <v>4882.97</v>
      </c>
      <c r="BB15" s="22">
        <v>8.2449999999999992</v>
      </c>
      <c r="BC15" s="22">
        <v>26.088999999999999</v>
      </c>
      <c r="BD15" s="4">
        <v>32</v>
      </c>
      <c r="BE15" s="23">
        <f t="shared" si="14"/>
        <v>0</v>
      </c>
      <c r="BF15" s="23">
        <f t="shared" si="15"/>
        <v>3.0265267950690955E-6</v>
      </c>
      <c r="BG15" s="23">
        <f t="array" ref="BG15">AVERAGE(AL15:AL19/AQ15:AQ19) - AVERAGE(N15:N19/S15:S19)</f>
        <v>-1.7725554642856745E-3</v>
      </c>
      <c r="BI15" s="24">
        <f>IF( OR(ISBLANK(N15:N19),ISBLANK(AL15:AL19), ISBLANK(W15:W19),ISBLANK(AU15:AU19)), "·", bdRateExtend( N15:N19,W15:W19, AL15:AL19,AU15:AU19))</f>
        <v>6.9293711377642619E-3</v>
      </c>
      <c r="BJ15" s="24">
        <f>IF( OR(ISBLANK(N15:N19),ISBLANK(AL15:AL19), ISBLANK(X15:X19),ISBLANK(AV15:AV19)), "·", bdRateExtend( N15:N19,X15:X19, AL15:AL19,AV15:AV19))</f>
        <v>3.0314473593850977E-3</v>
      </c>
      <c r="BK15" s="24">
        <f>IF( OR(ISBLANK(V15:V19),ISBLANK(AT15:AT19), ISBLANK(Y15:Y19),ISBLANK(AW15:AW19)), "·", bdRateExtend( V15:V19,Y15:Y19, AT15:AT19,AW15:AW19))</f>
        <v>5.8684234976229543E-3</v>
      </c>
      <c r="BL15" s="24">
        <f>IF( OR(ISBLANK(V15:V19),ISBLANK(AT15:AT19), ISBLANK(Z15:Z19),ISBLANK(AX15:AX19)), "·", bdRateExtend( V15:V19,Z15:Z19, AT15:AT19,AX15:AX19))</f>
        <v>4.446468978696716E-3</v>
      </c>
      <c r="BM15" s="24">
        <f>IF( OR(ISBLANK(V15:V19),ISBLANK(AT15:AT19), ISBLANK(AA15:AA19),ISBLANK(AY15:AY19)), "·", bdRateExtend( V15:V19,AA15:AA19, AT15:AT19,AY15:AY19))</f>
        <v>2.5985879421783764E-3</v>
      </c>
      <c r="BO15" s="24">
        <f>IF( OR(ISBLANK(S15:S19),ISBLANK(AQ15:AQ19), ISBLANK(W15:W19),ISBLANK(AU15:AU19)), "·", bdRateExtend( S15:S19,W15:W19, AQ15:AQ19,AU15:AU19))</f>
        <v>1.1624244508259718E-2</v>
      </c>
      <c r="BP15" s="24">
        <f>IF( OR(ISBLANK(S15:S19),ISBLANK(AQ15:AQ19), ISBLANK(X15:X19),ISBLANK(AV15:AV19)), "·", bdRateExtend( S15:S19,X15:X19, AQ15:AQ19,AV15:AV19))</f>
        <v>6.835413794994416E-3</v>
      </c>
      <c r="BQ15" s="24">
        <f>IF( OR(ISBLANK(S15:S19),ISBLANK(AQ15:AQ19), ISBLANK(Y15:Y19),ISBLANK(AW15:AW19)), "·", bdRateExtend( S15:S19,Y15:Y19, AQ15:AQ19,AW15:AW19))</f>
        <v>4.2825869712999065E-3</v>
      </c>
      <c r="BR15" s="24">
        <f>IF( OR(ISBLANK(S15:S19),ISBLANK(AQ15:AQ19), ISBLANK(Z15:Z19),ISBLANK(AX15:AX19)), "·", bdRateExtend( S15:S19,Z15:Z19, AQ15:AQ19,AX15:AX19))</f>
        <v>2.5948182046477974E-3</v>
      </c>
      <c r="BS15" s="24">
        <f>IF( OR(ISBLANK(S15:S19),ISBLANK(AQ15:AQ19), ISBLANK(AA15:AA19),ISBLANK(AY15:AY19)), "·", bdRateExtend( S15:S19,AA15:AA19, AQ15:AQ19,AY15:AY19))</f>
        <v>1.0156071162683578E-3</v>
      </c>
      <c r="BU15" s="4">
        <f t="shared" si="16"/>
        <v>-8</v>
      </c>
    </row>
    <row r="16" spans="1:73" outlineLevel="1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2.5723124999999998</v>
      </c>
      <c r="J16" s="28">
        <f t="shared" si="1"/>
        <v>8.0824283976908259E-2</v>
      </c>
      <c r="K16" s="28">
        <f t="shared" si="2"/>
        <v>5.907790326289384E-2</v>
      </c>
      <c r="L16" s="28">
        <f t="shared" si="3"/>
        <v>3.4710551089177775E-2</v>
      </c>
      <c r="M16" s="28">
        <f t="shared" si="4"/>
        <v>2.1731770011757492E-2</v>
      </c>
      <c r="N16" s="25">
        <f t="shared" si="5"/>
        <v>2005560</v>
      </c>
      <c r="O16" s="28">
        <f t="shared" si="6"/>
        <v>8.046709981298833E-2</v>
      </c>
      <c r="P16" s="29">
        <v>34098408</v>
      </c>
      <c r="Q16" s="72">
        <v>1065580</v>
      </c>
      <c r="R16" s="29">
        <v>40281.5</v>
      </c>
      <c r="S16" s="29">
        <v>2743800</v>
      </c>
      <c r="T16" s="29">
        <v>1178344</v>
      </c>
      <c r="U16" s="29">
        <v>827216</v>
      </c>
      <c r="V16" s="29">
        <v>737744</v>
      </c>
      <c r="W16" s="29">
        <v>68.101600000000005</v>
      </c>
      <c r="X16" s="29">
        <v>70.121399999999994</v>
      </c>
      <c r="Y16" s="29">
        <v>31.679600000000001</v>
      </c>
      <c r="Z16" s="29">
        <v>43.969499999999996</v>
      </c>
      <c r="AA16" s="29">
        <v>44.250599999999999</v>
      </c>
      <c r="AB16" s="29">
        <v>4025.69</v>
      </c>
      <c r="AC16" s="29">
        <v>4556.8500000000004</v>
      </c>
      <c r="AD16" s="29">
        <v>7.8230000000000004</v>
      </c>
      <c r="AE16" s="29">
        <v>23.972000000000001</v>
      </c>
      <c r="AF16" s="4">
        <v>32</v>
      </c>
      <c r="AG16" s="27">
        <f t="shared" si="7"/>
        <v>2.5723050000000001</v>
      </c>
      <c r="AH16" s="28">
        <f t="shared" si="8"/>
        <v>8.0824048320420241E-2</v>
      </c>
      <c r="AI16" s="28">
        <f t="shared" si="9"/>
        <v>5.907790326289384E-2</v>
      </c>
      <c r="AJ16" s="28">
        <f t="shared" si="10"/>
        <v>3.4710551089177775E-2</v>
      </c>
      <c r="AK16" s="28">
        <f t="shared" si="11"/>
        <v>2.1731770011757492E-2</v>
      </c>
      <c r="AL16" s="25">
        <f t="shared" si="12"/>
        <v>2005560</v>
      </c>
      <c r="AM16" s="28">
        <f t="shared" si="13"/>
        <v>8.0466865197929477E-2</v>
      </c>
      <c r="AN16" s="29">
        <v>34098408</v>
      </c>
      <c r="AO16" s="72">
        <v>1065580</v>
      </c>
      <c r="AP16" s="29">
        <v>40281.5</v>
      </c>
      <c r="AQ16" s="30">
        <v>2743792</v>
      </c>
      <c r="AR16" s="30">
        <v>1178344</v>
      </c>
      <c r="AS16" s="30">
        <v>827216</v>
      </c>
      <c r="AT16" s="30">
        <v>737744</v>
      </c>
      <c r="AU16" s="31">
        <v>68.101600000000005</v>
      </c>
      <c r="AV16" s="31">
        <v>70.121399999999994</v>
      </c>
      <c r="AW16" s="31">
        <v>31.679600000000001</v>
      </c>
      <c r="AX16" s="31">
        <v>43.969499999999996</v>
      </c>
      <c r="AY16" s="31">
        <v>44.250599999999999</v>
      </c>
      <c r="AZ16" s="32">
        <v>3700.9</v>
      </c>
      <c r="BA16" s="32">
        <v>3967.16</v>
      </c>
      <c r="BB16" s="32">
        <v>6.7889999999999997</v>
      </c>
      <c r="BC16" s="32">
        <v>21.126000000000001</v>
      </c>
      <c r="BD16" s="4">
        <v>32</v>
      </c>
      <c r="BE16" s="33">
        <f t="shared" si="14"/>
        <v>0</v>
      </c>
      <c r="BF16" s="33">
        <f t="shared" si="15"/>
        <v>2.1311892111075537E-6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-8</v>
      </c>
    </row>
    <row r="17" spans="1:73" outlineLevel="1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3.5621174999999998</v>
      </c>
      <c r="J17" s="18">
        <f t="shared" si="1"/>
        <v>0.11192481332618587</v>
      </c>
      <c r="K17" s="18">
        <f t="shared" si="2"/>
        <v>6.9147976308746292E-2</v>
      </c>
      <c r="L17" s="18">
        <f t="shared" si="3"/>
        <v>4.4780624135030228E-2</v>
      </c>
      <c r="M17" s="18">
        <f t="shared" si="4"/>
        <v>4.2762226315182658E-2</v>
      </c>
      <c r="N17" s="15">
        <f t="shared" si="5"/>
        <v>2347416</v>
      </c>
      <c r="O17" s="18">
        <f t="shared" si="6"/>
        <v>0.11095622943329561</v>
      </c>
      <c r="P17" s="19">
        <v>34244062</v>
      </c>
      <c r="Q17" s="73">
        <v>1070130</v>
      </c>
      <c r="R17" s="19">
        <v>41416.800000000003</v>
      </c>
      <c r="S17" s="19">
        <v>3799592</v>
      </c>
      <c r="T17" s="19">
        <v>1520200</v>
      </c>
      <c r="U17" s="19">
        <v>827216</v>
      </c>
      <c r="V17" s="19">
        <v>1451680</v>
      </c>
      <c r="W17" s="19">
        <v>69.444699999999997</v>
      </c>
      <c r="X17" s="19">
        <v>71.8596</v>
      </c>
      <c r="Y17" s="19">
        <v>34.128799999999998</v>
      </c>
      <c r="Z17" s="19">
        <v>45.224299999999999</v>
      </c>
      <c r="AA17" s="19">
        <v>45.659100000000002</v>
      </c>
      <c r="AB17" s="19">
        <v>3715.64</v>
      </c>
      <c r="AC17" s="19">
        <v>4306.0600000000004</v>
      </c>
      <c r="AD17" s="19">
        <v>7.0439999999999996</v>
      </c>
      <c r="AE17" s="19">
        <v>22.126000000000001</v>
      </c>
      <c r="AF17" s="4">
        <v>32</v>
      </c>
      <c r="AG17" s="17">
        <f t="shared" si="7"/>
        <v>3.5621100000000001</v>
      </c>
      <c r="AH17" s="18">
        <f t="shared" si="8"/>
        <v>0.11192457766969786</v>
      </c>
      <c r="AI17" s="18">
        <f t="shared" si="9"/>
        <v>6.9147976308746292E-2</v>
      </c>
      <c r="AJ17" s="18">
        <f t="shared" si="10"/>
        <v>4.4780624135030228E-2</v>
      </c>
      <c r="AK17" s="18">
        <f t="shared" si="11"/>
        <v>4.2762226315182658E-2</v>
      </c>
      <c r="AL17" s="15">
        <f t="shared" si="12"/>
        <v>2347416</v>
      </c>
      <c r="AM17" s="18">
        <f t="shared" si="13"/>
        <v>0.11095599581615055</v>
      </c>
      <c r="AN17" s="19">
        <v>34244062</v>
      </c>
      <c r="AO17" s="73">
        <v>1070130</v>
      </c>
      <c r="AP17" s="19">
        <v>41416.800000000003</v>
      </c>
      <c r="AQ17" s="20">
        <v>3799584</v>
      </c>
      <c r="AR17" s="20">
        <v>1520200</v>
      </c>
      <c r="AS17" s="20">
        <v>827216</v>
      </c>
      <c r="AT17" s="20">
        <v>1451680</v>
      </c>
      <c r="AU17" s="21">
        <v>69.444699999999997</v>
      </c>
      <c r="AV17" s="21">
        <v>71.8596</v>
      </c>
      <c r="AW17" s="21">
        <v>34.128799999999998</v>
      </c>
      <c r="AX17" s="21">
        <v>45.224299999999999</v>
      </c>
      <c r="AY17" s="21">
        <v>45.659100000000002</v>
      </c>
      <c r="AZ17" s="22">
        <v>3772.17</v>
      </c>
      <c r="BA17" s="22">
        <v>4341.93</v>
      </c>
      <c r="BB17" s="22">
        <v>7.1980000000000004</v>
      </c>
      <c r="BC17" s="22">
        <v>22.187000000000001</v>
      </c>
      <c r="BD17" s="4">
        <v>32</v>
      </c>
      <c r="BE17" s="23">
        <f t="shared" si="14"/>
        <v>0</v>
      </c>
      <c r="BF17" s="23">
        <f t="shared" si="15"/>
        <v>1.3007895299788075E-6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-8</v>
      </c>
    </row>
    <row r="18" spans="1:73" outlineLevel="1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6.3922875000000001</v>
      </c>
      <c r="J18" s="28">
        <f t="shared" si="1"/>
        <v>0.2008512030175342</v>
      </c>
      <c r="K18" s="28">
        <f t="shared" si="2"/>
        <v>9.6967696031880546E-2</v>
      </c>
      <c r="L18" s="28">
        <f t="shared" si="3"/>
        <v>7.2600343858164482E-2</v>
      </c>
      <c r="M18" s="28">
        <f t="shared" si="4"/>
        <v>0.10386889628339672</v>
      </c>
      <c r="N18" s="25">
        <f t="shared" si="5"/>
        <v>3291832</v>
      </c>
      <c r="O18" s="28">
        <f t="shared" si="6"/>
        <v>0.19143664633623506</v>
      </c>
      <c r="P18" s="29">
        <v>35617214</v>
      </c>
      <c r="Q18" s="72">
        <v>1113040</v>
      </c>
      <c r="R18" s="29">
        <v>46682.6</v>
      </c>
      <c r="S18" s="29">
        <v>6818440</v>
      </c>
      <c r="T18" s="29">
        <v>2464616</v>
      </c>
      <c r="U18" s="29">
        <v>827216</v>
      </c>
      <c r="V18" s="29">
        <v>3526112</v>
      </c>
      <c r="W18" s="29">
        <v>70.503600000000006</v>
      </c>
      <c r="X18" s="29">
        <v>73.141300000000001</v>
      </c>
      <c r="Y18" s="29">
        <v>36.484900000000003</v>
      </c>
      <c r="Z18" s="29">
        <v>46.496299999999998</v>
      </c>
      <c r="AA18" s="29">
        <v>47.021099999999997</v>
      </c>
      <c r="AB18" s="29">
        <v>3922.78</v>
      </c>
      <c r="AC18" s="29">
        <v>5313.87</v>
      </c>
      <c r="AD18" s="29">
        <v>7.8940000000000001</v>
      </c>
      <c r="AE18" s="29">
        <v>24.963999999999999</v>
      </c>
      <c r="AF18" s="4">
        <v>32</v>
      </c>
      <c r="AG18" s="27">
        <f t="shared" si="7"/>
        <v>6.3922800000000004</v>
      </c>
      <c r="AH18" s="28">
        <f t="shared" si="8"/>
        <v>0.20085096736104618</v>
      </c>
      <c r="AI18" s="28">
        <f t="shared" si="9"/>
        <v>9.6967696031880546E-2</v>
      </c>
      <c r="AJ18" s="28">
        <f t="shared" si="10"/>
        <v>7.2600343858164482E-2</v>
      </c>
      <c r="AK18" s="28">
        <f t="shared" si="11"/>
        <v>0.10386889628339672</v>
      </c>
      <c r="AL18" s="25">
        <f t="shared" si="12"/>
        <v>3291832</v>
      </c>
      <c r="AM18" s="28">
        <f t="shared" si="13"/>
        <v>0.19143642172574193</v>
      </c>
      <c r="AN18" s="29">
        <v>35617214</v>
      </c>
      <c r="AO18" s="72">
        <v>1113040</v>
      </c>
      <c r="AP18" s="29">
        <v>46682.6</v>
      </c>
      <c r="AQ18" s="30">
        <v>6818432</v>
      </c>
      <c r="AR18" s="30">
        <v>2464616</v>
      </c>
      <c r="AS18" s="30">
        <v>827216</v>
      </c>
      <c r="AT18" s="30">
        <v>3526112</v>
      </c>
      <c r="AU18" s="31">
        <v>70.503600000000006</v>
      </c>
      <c r="AV18" s="31">
        <v>73.141300000000001</v>
      </c>
      <c r="AW18" s="31">
        <v>36.484900000000003</v>
      </c>
      <c r="AX18" s="31">
        <v>46.496299999999998</v>
      </c>
      <c r="AY18" s="31">
        <v>47.021099999999997</v>
      </c>
      <c r="AZ18" s="32">
        <v>3760.7</v>
      </c>
      <c r="BA18" s="32">
        <v>4699.8100000000004</v>
      </c>
      <c r="BB18" s="32">
        <v>7.0860000000000003</v>
      </c>
      <c r="BC18" s="32">
        <v>22.963000000000001</v>
      </c>
      <c r="BD18" s="4">
        <v>32</v>
      </c>
      <c r="BE18" s="33">
        <f t="shared" si="14"/>
        <v>0</v>
      </c>
      <c r="BF18" s="33">
        <f t="shared" si="15"/>
        <v>5.6644547635764653E-7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-8</v>
      </c>
    </row>
    <row r="19" spans="1:73" ht="13.5" outlineLevel="1" thickBot="1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14.460794999999999</v>
      </c>
      <c r="J19" s="38">
        <f t="shared" si="1"/>
        <v>0.45437068848044515</v>
      </c>
      <c r="K19" s="38">
        <f t="shared" si="2"/>
        <v>0.16800516606153026</v>
      </c>
      <c r="L19" s="38">
        <f t="shared" si="3"/>
        <v>0.11774057979390544</v>
      </c>
      <c r="M19" s="38">
        <f t="shared" si="4"/>
        <v>0.28635091171665794</v>
      </c>
      <c r="N19" s="35">
        <f t="shared" si="5"/>
        <v>5703392</v>
      </c>
      <c r="O19" s="38">
        <f t="shared" si="6"/>
        <v>0.45809418527079482</v>
      </c>
      <c r="P19" s="39">
        <v>33671783</v>
      </c>
      <c r="Q19" s="74">
        <v>1052240</v>
      </c>
      <c r="R19" s="39">
        <v>12620.1</v>
      </c>
      <c r="S19" s="39">
        <v>15424848</v>
      </c>
      <c r="T19" s="39">
        <v>3997024</v>
      </c>
      <c r="U19" s="39">
        <v>1706368</v>
      </c>
      <c r="V19" s="39">
        <v>9720960</v>
      </c>
      <c r="W19" s="39">
        <v>71.727699999999999</v>
      </c>
      <c r="X19" s="39">
        <v>75.248099999999994</v>
      </c>
      <c r="Y19" s="39">
        <v>38.865099999999998</v>
      </c>
      <c r="Z19" s="39">
        <v>48.2348</v>
      </c>
      <c r="AA19" s="39">
        <v>48.802700000000002</v>
      </c>
      <c r="AB19" s="39">
        <v>4031.18</v>
      </c>
      <c r="AC19" s="39">
        <v>6185.71</v>
      </c>
      <c r="AD19" s="39">
        <v>8.3379999999999992</v>
      </c>
      <c r="AE19" s="39">
        <v>27.684000000000001</v>
      </c>
      <c r="AF19" s="4">
        <v>32</v>
      </c>
      <c r="AG19" s="37">
        <f t="shared" si="7"/>
        <v>14.816212500000001</v>
      </c>
      <c r="AH19" s="38">
        <f t="shared" si="8"/>
        <v>0.46553821379098292</v>
      </c>
      <c r="AI19" s="38">
        <f t="shared" si="9"/>
        <v>0.16800516606153026</v>
      </c>
      <c r="AJ19" s="38">
        <f t="shared" si="10"/>
        <v>0.11774057979390544</v>
      </c>
      <c r="AK19" s="38">
        <f t="shared" si="11"/>
        <v>0.29751867268368376</v>
      </c>
      <c r="AL19" s="35">
        <f t="shared" si="12"/>
        <v>5703392</v>
      </c>
      <c r="AM19" s="38">
        <f t="shared" si="13"/>
        <v>0.46935322670617113</v>
      </c>
      <c r="AN19" s="39">
        <v>33671783</v>
      </c>
      <c r="AO19" s="74">
        <v>1052240</v>
      </c>
      <c r="AP19" s="39">
        <v>20401.5</v>
      </c>
      <c r="AQ19" s="40">
        <v>15803960</v>
      </c>
      <c r="AR19" s="40">
        <v>3997024</v>
      </c>
      <c r="AS19" s="40">
        <v>1706368</v>
      </c>
      <c r="AT19" s="40">
        <v>10100080</v>
      </c>
      <c r="AU19" s="41">
        <v>71.5501</v>
      </c>
      <c r="AV19" s="41">
        <v>75.140699999999995</v>
      </c>
      <c r="AW19" s="41">
        <v>38.807499999999997</v>
      </c>
      <c r="AX19" s="41">
        <v>48.244999999999997</v>
      </c>
      <c r="AY19" s="41">
        <v>48.8371</v>
      </c>
      <c r="AZ19" s="42">
        <v>4707.57</v>
      </c>
      <c r="BA19" s="42">
        <v>7061.79</v>
      </c>
      <c r="BB19" s="42">
        <v>8.6489999999999991</v>
      </c>
      <c r="BC19" s="42">
        <v>30.312999999999999</v>
      </c>
      <c r="BD19" s="4">
        <v>32</v>
      </c>
      <c r="BE19" s="43">
        <f t="shared" si="14"/>
        <v>7.3950809701208847E-3</v>
      </c>
      <c r="BF19" s="43">
        <f t="shared" si="15"/>
        <v>-8.8698022724405523E-3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379112</v>
      </c>
    </row>
    <row r="20" spans="1:7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2.2681874999999998</v>
      </c>
      <c r="J20" s="28">
        <f t="shared" si="1"/>
        <v>4.5068490824316181E-2</v>
      </c>
      <c r="K20" s="28">
        <f t="shared" si="2"/>
        <v>3.3365411718472009E-2</v>
      </c>
      <c r="L20" s="28">
        <f t="shared" si="3"/>
        <v>1.8870125322407331E-2</v>
      </c>
      <c r="M20" s="28">
        <f t="shared" si="4"/>
        <v>1.1687679990740661E-2</v>
      </c>
      <c r="N20" s="25">
        <f t="shared" si="5"/>
        <v>1074688</v>
      </c>
      <c r="O20" s="28">
        <f t="shared" si="6"/>
        <v>4.7128405392852617E-2</v>
      </c>
      <c r="P20" s="29">
        <v>30801806</v>
      </c>
      <c r="Q20" s="29">
        <v>962556</v>
      </c>
      <c r="R20" s="29">
        <v>28246.1</v>
      </c>
      <c r="S20" s="29">
        <v>1451640</v>
      </c>
      <c r="T20" s="29">
        <v>607800</v>
      </c>
      <c r="U20" s="29">
        <v>466888</v>
      </c>
      <c r="V20" s="29">
        <v>376456</v>
      </c>
      <c r="W20" s="29">
        <v>67.130600000000001</v>
      </c>
      <c r="X20" s="29">
        <v>68.790599999999998</v>
      </c>
      <c r="Y20" s="29">
        <v>30.040600000000001</v>
      </c>
      <c r="Z20" s="29">
        <v>39.3855</v>
      </c>
      <c r="AA20" s="29">
        <v>38.0092</v>
      </c>
      <c r="AB20" s="29">
        <v>4397.6899999999996</v>
      </c>
      <c r="AC20" s="29">
        <v>3324.46</v>
      </c>
      <c r="AD20" s="29">
        <v>6.3449999999999998</v>
      </c>
      <c r="AE20" s="29">
        <v>19.010000000000002</v>
      </c>
      <c r="AF20" s="4">
        <v>32</v>
      </c>
      <c r="AG20" s="27">
        <f t="shared" si="7"/>
        <v>2.2681749999999998</v>
      </c>
      <c r="AH20" s="28">
        <f t="shared" si="8"/>
        <v>4.5068242451491936E-2</v>
      </c>
      <c r="AI20" s="28">
        <f t="shared" si="9"/>
        <v>3.3365411718472009E-2</v>
      </c>
      <c r="AJ20" s="28">
        <f t="shared" si="10"/>
        <v>1.8870125322407331E-2</v>
      </c>
      <c r="AK20" s="28">
        <f t="shared" si="11"/>
        <v>1.1687679990740661E-2</v>
      </c>
      <c r="AL20" s="25">
        <f t="shared" si="12"/>
        <v>1074688</v>
      </c>
      <c r="AM20" s="28">
        <f t="shared" si="13"/>
        <v>4.7128145667822204E-2</v>
      </c>
      <c r="AN20" s="29">
        <v>30801806</v>
      </c>
      <c r="AO20" s="29">
        <v>962556</v>
      </c>
      <c r="AP20" s="29">
        <v>28246.1</v>
      </c>
      <c r="AQ20" s="30">
        <v>1451632</v>
      </c>
      <c r="AR20" s="30">
        <v>607800</v>
      </c>
      <c r="AS20" s="30">
        <v>466888</v>
      </c>
      <c r="AT20" s="30">
        <v>376456</v>
      </c>
      <c r="AU20" s="31">
        <v>67.130600000000001</v>
      </c>
      <c r="AV20" s="31">
        <v>68.790599999999998</v>
      </c>
      <c r="AW20" s="31">
        <v>30.040600000000001</v>
      </c>
      <c r="AX20" s="31">
        <v>39.3855</v>
      </c>
      <c r="AY20" s="31">
        <v>38.0092</v>
      </c>
      <c r="AZ20" s="32">
        <v>3982.28</v>
      </c>
      <c r="BA20" s="32">
        <v>2967.5</v>
      </c>
      <c r="BB20" s="32">
        <v>5.6820000000000004</v>
      </c>
      <c r="BC20" s="32">
        <v>17.225000000000001</v>
      </c>
      <c r="BD20" s="4">
        <v>32</v>
      </c>
      <c r="BE20" s="33">
        <f t="shared" si="14"/>
        <v>0</v>
      </c>
      <c r="BF20" s="33">
        <f t="shared" si="15"/>
        <v>4.0799695943949388E-6</v>
      </c>
      <c r="BG20" s="33">
        <f t="array" ref="BG20">AVERAGE(AL20:AL24/AQ20:AQ24) - AVERAGE(N20:N24/S20:S24)</f>
        <v>-2.9588507813588794E-3</v>
      </c>
      <c r="BI20" s="34">
        <f>IF( OR(ISBLANK(N20:N24),ISBLANK(AL20:AL24), ISBLANK(W20:W24),ISBLANK(AU20:AU24)), "·", bdRateExtend( N20:N24,W20:W24, AL20:AL24,AU20:AU24))</f>
        <v>9.7707735486312064E-3</v>
      </c>
      <c r="BJ20" s="34">
        <f>IF( OR(ISBLANK(N20:N24),ISBLANK(AL20:AL24), ISBLANK(X20:X24),ISBLANK(AV20:AV24)), "·", bdRateExtend( N20:N24,X20:X24, AL20:AL24,AV20:AV24))</f>
        <v>6.8314487930496437E-3</v>
      </c>
      <c r="BK20" s="34">
        <f>IF( OR(ISBLANK(V20:V24),ISBLANK(AT20:AT24), ISBLANK(Y20:Y24),ISBLANK(AW20:AW24)), "·", bdRateExtend( V20:V24,Y20:Y24, AT20:AT24,AW20:AW24))</f>
        <v>1.1410300781298899E-2</v>
      </c>
      <c r="BL20" s="34">
        <f>IF( OR(ISBLANK(V20:V24),ISBLANK(AT20:AT24), ISBLANK(Z20:Z24),ISBLANK(AX20:AX24)), "·", bdRateExtend( V20:V24,Z20:Z24, AT20:AT24,AX20:AX24))</f>
        <v>1.4838173136577648E-2</v>
      </c>
      <c r="BM20" s="34">
        <f>IF( OR(ISBLANK(V20:V24),ISBLANK(AT20:AT24), ISBLANK(AA20:AA24),ISBLANK(AY20:AY24)), "·", bdRateExtend( V20:V24,AA20:AA24, AT20:AT24,AY20:AY24))</f>
        <v>1.3820419434418918E-2</v>
      </c>
      <c r="BO20" s="34">
        <f>IF( OR(ISBLANK(S20:S24),ISBLANK(AQ20:AQ24), ISBLANK(W20:W24),ISBLANK(AU20:AU24)), "·", bdRateExtend( S20:S24,W20:W24, AQ20:AQ24,AU20:AU24))</f>
        <v>1.3100177191134987E-2</v>
      </c>
      <c r="BP20" s="34">
        <f>IF( OR(ISBLANK(S20:S24),ISBLANK(AQ20:AQ24), ISBLANK(X20:X24),ISBLANK(AV20:AV24)), "·", bdRateExtend( S20:S24,X20:X24, AQ20:AQ24,AV20:AV24))</f>
        <v>1.1604756923140558E-2</v>
      </c>
      <c r="BQ20" s="34">
        <f>IF( OR(ISBLANK(S20:S24),ISBLANK(AQ20:AQ24), ISBLANK(Y20:Y24),ISBLANK(AW20:AW24)), "·", bdRateExtend( S20:S24,Y20:Y24, AQ20:AQ24,AW20:AW24))</f>
        <v>9.9968448042353497E-3</v>
      </c>
      <c r="BR20" s="34">
        <f>IF( OR(ISBLANK(S20:S24),ISBLANK(AQ20:AQ24), ISBLANK(Z20:Z24),ISBLANK(AX20:AX24)), "·", bdRateExtend( S20:S24,Z20:Z24, AQ20:AQ24,AX20:AX24))</f>
        <v>1.381899616282678E-2</v>
      </c>
      <c r="BS20" s="34">
        <f>IF( OR(ISBLANK(S20:S24),ISBLANK(AQ20:AQ24), ISBLANK(AA20:AA24),ISBLANK(AY20:AY24)), "·", bdRateExtend( S20:S24,AA20:AA24, AQ20:AQ24,AY20:AY24))</f>
        <v>1.3114027959081787E-2</v>
      </c>
      <c r="BU20" s="4">
        <f t="shared" si="16"/>
        <v>-8</v>
      </c>
    </row>
    <row r="21" spans="1:73" outlineLevel="1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3.1077625000000002</v>
      </c>
      <c r="J21" s="18">
        <f t="shared" si="1"/>
        <v>6.1750699937903691E-2</v>
      </c>
      <c r="K21" s="18">
        <f t="shared" si="2"/>
        <v>3.8931446709918514E-2</v>
      </c>
      <c r="L21" s="18">
        <f t="shared" si="3"/>
        <v>2.4436160313853837E-2</v>
      </c>
      <c r="M21" s="18">
        <f t="shared" si="4"/>
        <v>2.2803854112881661E-2</v>
      </c>
      <c r="N21" s="15">
        <f t="shared" si="5"/>
        <v>1253968</v>
      </c>
      <c r="O21" s="18">
        <f t="shared" si="6"/>
        <v>6.2887052877796099E-2</v>
      </c>
      <c r="P21" s="19">
        <v>31627623</v>
      </c>
      <c r="Q21" s="19">
        <v>988363</v>
      </c>
      <c r="R21" s="19">
        <v>32273</v>
      </c>
      <c r="S21" s="19">
        <v>1988968</v>
      </c>
      <c r="T21" s="19">
        <v>787080</v>
      </c>
      <c r="U21" s="19">
        <v>466888</v>
      </c>
      <c r="V21" s="19">
        <v>734504</v>
      </c>
      <c r="W21" s="19">
        <v>68.790999999999997</v>
      </c>
      <c r="X21" s="19">
        <v>70.898099999999999</v>
      </c>
      <c r="Y21" s="19">
        <v>31.5626</v>
      </c>
      <c r="Z21" s="19">
        <v>40.4925</v>
      </c>
      <c r="AA21" s="19">
        <v>39.2956</v>
      </c>
      <c r="AB21" s="19">
        <v>4295.0600000000004</v>
      </c>
      <c r="AC21" s="19">
        <v>3560.84</v>
      </c>
      <c r="AD21" s="19">
        <v>6.3810000000000002</v>
      </c>
      <c r="AE21" s="19">
        <v>19.375</v>
      </c>
      <c r="AF21" s="4">
        <v>32</v>
      </c>
      <c r="AG21" s="17">
        <f t="shared" si="7"/>
        <v>3.1077499999999998</v>
      </c>
      <c r="AH21" s="18">
        <f t="shared" si="8"/>
        <v>6.1750451565079439E-2</v>
      </c>
      <c r="AI21" s="18">
        <f t="shared" si="9"/>
        <v>3.8931446709918514E-2</v>
      </c>
      <c r="AJ21" s="18">
        <f t="shared" si="10"/>
        <v>2.4436160313853837E-2</v>
      </c>
      <c r="AK21" s="18">
        <f t="shared" si="11"/>
        <v>2.2803854112881661E-2</v>
      </c>
      <c r="AL21" s="15">
        <f t="shared" si="12"/>
        <v>1253968</v>
      </c>
      <c r="AM21" s="18">
        <f t="shared" si="13"/>
        <v>6.2886799934348522E-2</v>
      </c>
      <c r="AN21" s="19">
        <v>31627623</v>
      </c>
      <c r="AO21" s="19">
        <v>988363</v>
      </c>
      <c r="AP21" s="19">
        <v>32273</v>
      </c>
      <c r="AQ21" s="20">
        <v>1988960</v>
      </c>
      <c r="AR21" s="20">
        <v>787080</v>
      </c>
      <c r="AS21" s="20">
        <v>466888</v>
      </c>
      <c r="AT21" s="20">
        <v>734504</v>
      </c>
      <c r="AU21" s="21">
        <v>68.790999999999997</v>
      </c>
      <c r="AV21" s="21">
        <v>70.898099999999999</v>
      </c>
      <c r="AW21" s="21">
        <v>31.5626</v>
      </c>
      <c r="AX21" s="21">
        <v>40.4925</v>
      </c>
      <c r="AY21" s="21">
        <v>39.2956</v>
      </c>
      <c r="AZ21" s="22">
        <v>4447.3500000000004</v>
      </c>
      <c r="BA21" s="22">
        <v>3582.32</v>
      </c>
      <c r="BB21" s="22">
        <v>6.45</v>
      </c>
      <c r="BC21" s="22">
        <v>19.818000000000001</v>
      </c>
      <c r="BD21" s="4">
        <v>32</v>
      </c>
      <c r="BE21" s="23">
        <f t="shared" si="14"/>
        <v>0</v>
      </c>
      <c r="BF21" s="23">
        <f t="shared" si="15"/>
        <v>2.535844366269302E-6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-8</v>
      </c>
    </row>
    <row r="22" spans="1:73" outlineLevel="1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5.0993500000000003</v>
      </c>
      <c r="J22" s="28">
        <f t="shared" si="1"/>
        <v>0.10132319690721192</v>
      </c>
      <c r="K22" s="28">
        <f t="shared" si="2"/>
        <v>4.5931089642937052E-2</v>
      </c>
      <c r="L22" s="28">
        <f t="shared" si="3"/>
        <v>3.1435803246872375E-2</v>
      </c>
      <c r="M22" s="28">
        <f t="shared" si="4"/>
        <v>5.5376708149171353E-2</v>
      </c>
      <c r="N22" s="25">
        <f t="shared" si="5"/>
        <v>1479424</v>
      </c>
      <c r="O22" s="28">
        <f t="shared" si="6"/>
        <v>9.966170554396149E-2</v>
      </c>
      <c r="P22" s="29">
        <v>32746620</v>
      </c>
      <c r="Q22" s="72">
        <v>1023330</v>
      </c>
      <c r="R22" s="29">
        <v>34640.199999999997</v>
      </c>
      <c r="S22" s="29">
        <v>3263584</v>
      </c>
      <c r="T22" s="29">
        <v>1012536</v>
      </c>
      <c r="U22" s="29">
        <v>466888</v>
      </c>
      <c r="V22" s="29">
        <v>1783664</v>
      </c>
      <c r="W22" s="29">
        <v>70.003500000000003</v>
      </c>
      <c r="X22" s="29">
        <v>72.4499</v>
      </c>
      <c r="Y22" s="29">
        <v>33.5807</v>
      </c>
      <c r="Z22" s="29">
        <v>41.718600000000002</v>
      </c>
      <c r="AA22" s="29">
        <v>40.583100000000002</v>
      </c>
      <c r="AB22" s="29">
        <v>4258.3</v>
      </c>
      <c r="AC22" s="29">
        <v>3744.73</v>
      </c>
      <c r="AD22" s="29">
        <v>6.476</v>
      </c>
      <c r="AE22" s="29">
        <v>19.733000000000001</v>
      </c>
      <c r="AF22" s="4">
        <v>32</v>
      </c>
      <c r="AG22" s="27">
        <f t="shared" si="7"/>
        <v>5.0993374999999999</v>
      </c>
      <c r="AH22" s="28">
        <f t="shared" si="8"/>
        <v>0.10132294853438767</v>
      </c>
      <c r="AI22" s="28">
        <f t="shared" si="9"/>
        <v>4.5931089642937052E-2</v>
      </c>
      <c r="AJ22" s="28">
        <f t="shared" si="10"/>
        <v>3.1435803246872375E-2</v>
      </c>
      <c r="AK22" s="28">
        <f t="shared" si="11"/>
        <v>5.5376708149171353E-2</v>
      </c>
      <c r="AL22" s="25">
        <f t="shared" si="12"/>
        <v>1479424</v>
      </c>
      <c r="AM22" s="28">
        <f t="shared" si="13"/>
        <v>9.966146124393907E-2</v>
      </c>
      <c r="AN22" s="29">
        <v>32746620</v>
      </c>
      <c r="AO22" s="72">
        <v>1023330</v>
      </c>
      <c r="AP22" s="29">
        <v>34640.199999999997</v>
      </c>
      <c r="AQ22" s="30">
        <v>3263576</v>
      </c>
      <c r="AR22" s="30">
        <v>1012536</v>
      </c>
      <c r="AS22" s="30">
        <v>466888</v>
      </c>
      <c r="AT22" s="30">
        <v>1783664</v>
      </c>
      <c r="AU22" s="31">
        <v>70.003500000000003</v>
      </c>
      <c r="AV22" s="31">
        <v>72.4499</v>
      </c>
      <c r="AW22" s="31">
        <v>33.5807</v>
      </c>
      <c r="AX22" s="31">
        <v>41.718600000000002</v>
      </c>
      <c r="AY22" s="31">
        <v>40.583100000000002</v>
      </c>
      <c r="AZ22" s="32">
        <v>4883.3</v>
      </c>
      <c r="BA22" s="32">
        <v>4278.88</v>
      </c>
      <c r="BB22" s="32">
        <v>7.3310000000000004</v>
      </c>
      <c r="BC22" s="32">
        <v>22.016999999999999</v>
      </c>
      <c r="BD22" s="4">
        <v>32</v>
      </c>
      <c r="BE22" s="33">
        <f t="shared" si="14"/>
        <v>0</v>
      </c>
      <c r="BF22" s="33">
        <f t="shared" si="15"/>
        <v>1.1112048307615474E-6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-8</v>
      </c>
    </row>
    <row r="23" spans="1:73" outlineLevel="1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9.4624625000000009</v>
      </c>
      <c r="J23" s="18">
        <f t="shared" si="1"/>
        <v>0.18801748283891256</v>
      </c>
      <c r="K23" s="18">
        <f t="shared" si="2"/>
        <v>6.5459651322431603E-2</v>
      </c>
      <c r="L23" s="18">
        <f t="shared" si="3"/>
        <v>5.0964364926366926E-2</v>
      </c>
      <c r="M23" s="18">
        <f t="shared" si="4"/>
        <v>0.12254243240137744</v>
      </c>
      <c r="N23" s="15">
        <f t="shared" si="5"/>
        <v>2108432</v>
      </c>
      <c r="O23" s="18">
        <f t="shared" si="6"/>
        <v>0.18323559519247923</v>
      </c>
      <c r="P23" s="19">
        <v>33050216</v>
      </c>
      <c r="Q23" s="73">
        <v>1032820</v>
      </c>
      <c r="R23" s="19">
        <v>36820.699999999997</v>
      </c>
      <c r="S23" s="19">
        <v>6055976</v>
      </c>
      <c r="T23" s="19">
        <v>1641544</v>
      </c>
      <c r="U23" s="19">
        <v>466888</v>
      </c>
      <c r="V23" s="19">
        <v>3947048</v>
      </c>
      <c r="W23" s="19">
        <v>70.935599999999994</v>
      </c>
      <c r="X23" s="19">
        <v>73.669300000000007</v>
      </c>
      <c r="Y23" s="19">
        <v>35.489100000000001</v>
      </c>
      <c r="Z23" s="19">
        <v>42.832900000000002</v>
      </c>
      <c r="AA23" s="19">
        <v>41.608600000000003</v>
      </c>
      <c r="AB23" s="19">
        <v>5039.91</v>
      </c>
      <c r="AC23" s="19">
        <v>4664.68</v>
      </c>
      <c r="AD23" s="19">
        <v>7.4779999999999998</v>
      </c>
      <c r="AE23" s="19">
        <v>22.533000000000001</v>
      </c>
      <c r="AF23" s="4">
        <v>32</v>
      </c>
      <c r="AG23" s="17">
        <f t="shared" si="7"/>
        <v>9.4624500000000005</v>
      </c>
      <c r="AH23" s="18">
        <f t="shared" si="8"/>
        <v>0.18801723446608831</v>
      </c>
      <c r="AI23" s="18">
        <f t="shared" si="9"/>
        <v>6.5459651322431603E-2</v>
      </c>
      <c r="AJ23" s="18">
        <f t="shared" si="10"/>
        <v>5.0964364926366926E-2</v>
      </c>
      <c r="AK23" s="18">
        <f t="shared" si="11"/>
        <v>0.12254243240137744</v>
      </c>
      <c r="AL23" s="15">
        <f t="shared" si="12"/>
        <v>2108432</v>
      </c>
      <c r="AM23" s="18">
        <f t="shared" si="13"/>
        <v>0.18323535313657255</v>
      </c>
      <c r="AN23" s="19">
        <v>33050216</v>
      </c>
      <c r="AO23" s="73">
        <v>1032820</v>
      </c>
      <c r="AP23" s="19">
        <v>36820.699999999997</v>
      </c>
      <c r="AQ23" s="20">
        <v>6055968</v>
      </c>
      <c r="AR23" s="20">
        <v>1641544</v>
      </c>
      <c r="AS23" s="20">
        <v>466888</v>
      </c>
      <c r="AT23" s="20">
        <v>3947048</v>
      </c>
      <c r="AU23" s="21">
        <v>70.935599999999994</v>
      </c>
      <c r="AV23" s="21">
        <v>73.669300000000007</v>
      </c>
      <c r="AW23" s="21">
        <v>35.489100000000001</v>
      </c>
      <c r="AX23" s="21">
        <v>42.832900000000002</v>
      </c>
      <c r="AY23" s="21">
        <v>41.608600000000003</v>
      </c>
      <c r="AZ23" s="22">
        <v>4955.67</v>
      </c>
      <c r="BA23" s="22">
        <v>4678.62</v>
      </c>
      <c r="BB23" s="22">
        <v>7.3860000000000001</v>
      </c>
      <c r="BC23" s="22">
        <v>22.773</v>
      </c>
      <c r="BD23" s="4">
        <v>32</v>
      </c>
      <c r="BE23" s="23">
        <f t="shared" si="14"/>
        <v>0</v>
      </c>
      <c r="BF23" s="23">
        <f t="shared" si="15"/>
        <v>4.5991954811253066E-7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-8</v>
      </c>
    </row>
    <row r="24" spans="1:73" ht="13.5" outlineLevel="1" thickBot="1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17.533000000000001</v>
      </c>
      <c r="J24" s="48">
        <f t="shared" si="1"/>
        <v>0.3483776582062707</v>
      </c>
      <c r="K24" s="48">
        <f t="shared" si="2"/>
        <v>0.11173573081825217</v>
      </c>
      <c r="L24" s="48">
        <f t="shared" si="3"/>
        <v>8.0884845572488956E-2</v>
      </c>
      <c r="M24" s="48">
        <f t="shared" si="4"/>
        <v>0.23662652827291503</v>
      </c>
      <c r="N24" s="45">
        <f t="shared" si="5"/>
        <v>3598968</v>
      </c>
      <c r="O24" s="48">
        <f t="shared" si="6"/>
        <v>0.35631017750509397</v>
      </c>
      <c r="P24" s="49">
        <v>31492561</v>
      </c>
      <c r="Q24" s="49">
        <v>984143</v>
      </c>
      <c r="R24" s="49">
        <v>10237.1</v>
      </c>
      <c r="S24" s="49">
        <v>11221120</v>
      </c>
      <c r="T24" s="49">
        <v>2605272</v>
      </c>
      <c r="U24" s="49">
        <v>993696</v>
      </c>
      <c r="V24" s="49">
        <v>7621656</v>
      </c>
      <c r="W24" s="49">
        <v>72.228800000000007</v>
      </c>
      <c r="X24" s="49">
        <v>76.166499999999999</v>
      </c>
      <c r="Y24" s="49">
        <v>37.177700000000002</v>
      </c>
      <c r="Z24" s="49">
        <v>43.905999999999999</v>
      </c>
      <c r="AA24" s="49">
        <v>42.582999999999998</v>
      </c>
      <c r="AB24" s="49">
        <v>4104.1099999999997</v>
      </c>
      <c r="AC24" s="49">
        <v>4098.09</v>
      </c>
      <c r="AD24" s="49">
        <v>6.3970000000000002</v>
      </c>
      <c r="AE24" s="49">
        <v>20.193999999999999</v>
      </c>
      <c r="AF24" s="4">
        <v>32</v>
      </c>
      <c r="AG24" s="47">
        <f t="shared" si="7"/>
        <v>18.381337500000001</v>
      </c>
      <c r="AH24" s="48">
        <f t="shared" si="8"/>
        <v>0.36523397666965757</v>
      </c>
      <c r="AI24" s="48">
        <f t="shared" si="9"/>
        <v>0.11173573081825217</v>
      </c>
      <c r="AJ24" s="48">
        <f t="shared" si="10"/>
        <v>8.0884845572488956E-2</v>
      </c>
      <c r="AK24" s="48">
        <f t="shared" si="11"/>
        <v>0.25348309510912614</v>
      </c>
      <c r="AL24" s="45">
        <f t="shared" si="12"/>
        <v>3598968</v>
      </c>
      <c r="AM24" s="48">
        <f t="shared" si="13"/>
        <v>0.37355031240552333</v>
      </c>
      <c r="AN24" s="49">
        <v>31492561</v>
      </c>
      <c r="AO24" s="49">
        <v>984143</v>
      </c>
      <c r="AP24" s="49">
        <v>17732.5</v>
      </c>
      <c r="AQ24" s="50">
        <v>11764056</v>
      </c>
      <c r="AR24" s="50">
        <v>2605272</v>
      </c>
      <c r="AS24" s="50">
        <v>993696</v>
      </c>
      <c r="AT24" s="50">
        <v>8164600</v>
      </c>
      <c r="AU24" s="51">
        <v>71.941299999999998</v>
      </c>
      <c r="AV24" s="51">
        <v>75.855599999999995</v>
      </c>
      <c r="AW24" s="51">
        <v>36.9587</v>
      </c>
      <c r="AX24" s="51">
        <v>43.624099999999999</v>
      </c>
      <c r="AY24" s="51">
        <v>42.268900000000002</v>
      </c>
      <c r="AZ24" s="52">
        <v>4307.07</v>
      </c>
      <c r="BA24" s="52">
        <v>4569.1000000000004</v>
      </c>
      <c r="BB24" s="52">
        <v>6.2770000000000001</v>
      </c>
      <c r="BC24" s="52">
        <v>21.373999999999999</v>
      </c>
      <c r="BD24" s="4">
        <v>32</v>
      </c>
      <c r="BE24" s="53">
        <f t="shared" si="14"/>
        <v>7.6161696013689051E-3</v>
      </c>
      <c r="BF24" s="53">
        <f t="shared" si="15"/>
        <v>-1.4802440845133769E-2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542936</v>
      </c>
    </row>
    <row r="25" spans="1:7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2.2948200000000001</v>
      </c>
      <c r="J25" s="18">
        <f t="shared" si="1"/>
        <v>9.6703877402734659E-2</v>
      </c>
      <c r="K25" s="18">
        <f t="shared" si="2"/>
        <v>6.1812530834679975E-2</v>
      </c>
      <c r="L25" s="18">
        <f t="shared" si="3"/>
        <v>3.6407757017823041E-2</v>
      </c>
      <c r="M25" s="18">
        <f t="shared" si="4"/>
        <v>3.487175143510645E-2</v>
      </c>
      <c r="N25" s="15">
        <f t="shared" si="5"/>
        <v>1564624</v>
      </c>
      <c r="O25" s="18">
        <f t="shared" si="6"/>
        <v>0.10524888735073576</v>
      </c>
      <c r="P25" s="19">
        <v>23257329</v>
      </c>
      <c r="Q25" s="19">
        <v>726792</v>
      </c>
      <c r="R25" s="19">
        <v>18232.3</v>
      </c>
      <c r="S25" s="19">
        <v>2447808</v>
      </c>
      <c r="T25" s="19">
        <v>921568</v>
      </c>
      <c r="U25" s="19">
        <v>643056</v>
      </c>
      <c r="V25" s="19">
        <v>882688</v>
      </c>
      <c r="W25" s="19">
        <v>66.245500000000007</v>
      </c>
      <c r="X25" s="19">
        <v>68.005799999999994</v>
      </c>
      <c r="Y25" s="19">
        <v>26.015999999999998</v>
      </c>
      <c r="Z25" s="19">
        <v>32.499000000000002</v>
      </c>
      <c r="AA25" s="19">
        <v>31.714099999999998</v>
      </c>
      <c r="AB25" s="19">
        <v>3115.98</v>
      </c>
      <c r="AC25" s="19">
        <v>4624.37</v>
      </c>
      <c r="AD25" s="19">
        <v>5.2720000000000002</v>
      </c>
      <c r="AE25" s="19">
        <v>23.391999999999999</v>
      </c>
      <c r="AF25" s="4">
        <v>32</v>
      </c>
      <c r="AG25" s="17">
        <f t="shared" si="7"/>
        <v>2.2950225</v>
      </c>
      <c r="AH25" s="18">
        <f t="shared" si="8"/>
        <v>9.671241076708309E-2</v>
      </c>
      <c r="AI25" s="18">
        <f t="shared" si="9"/>
        <v>6.1812530834679975E-2</v>
      </c>
      <c r="AJ25" s="18">
        <f t="shared" si="10"/>
        <v>3.6407757017823041E-2</v>
      </c>
      <c r="AK25" s="18">
        <f t="shared" si="11"/>
        <v>3.4880600849986301E-2</v>
      </c>
      <c r="AL25" s="15">
        <f t="shared" si="12"/>
        <v>1564624</v>
      </c>
      <c r="AM25" s="18">
        <f t="shared" si="13"/>
        <v>0.10525817474568984</v>
      </c>
      <c r="AN25" s="19">
        <v>23257329</v>
      </c>
      <c r="AO25" s="19">
        <v>726792</v>
      </c>
      <c r="AP25" s="19">
        <v>18230.2</v>
      </c>
      <c r="AQ25" s="20">
        <v>2448024</v>
      </c>
      <c r="AR25" s="20">
        <v>921568</v>
      </c>
      <c r="AS25" s="20">
        <v>643056</v>
      </c>
      <c r="AT25" s="20">
        <v>882912</v>
      </c>
      <c r="AU25" s="21">
        <v>66.245500000000007</v>
      </c>
      <c r="AV25" s="21">
        <v>68.005600000000001</v>
      </c>
      <c r="AW25" s="21">
        <v>26.014399999999998</v>
      </c>
      <c r="AX25" s="21">
        <v>32.497399999999999</v>
      </c>
      <c r="AY25" s="21">
        <v>31.713699999999999</v>
      </c>
      <c r="AZ25" s="22">
        <v>3187.44</v>
      </c>
      <c r="BA25" s="22">
        <v>5006.82</v>
      </c>
      <c r="BB25" s="22">
        <v>5.5460000000000003</v>
      </c>
      <c r="BC25" s="22">
        <v>24.506</v>
      </c>
      <c r="BD25" s="4">
        <v>32</v>
      </c>
      <c r="BE25" s="23">
        <f t="shared" si="14"/>
        <v>-2.8894098999428242E-6</v>
      </c>
      <c r="BF25" s="23">
        <f t="shared" si="15"/>
        <v>-5.6398910925903323E-5</v>
      </c>
      <c r="BG25" s="23">
        <f t="array" ref="BG25">AVERAGE(AL25:AL29/AQ25:AQ29) - AVERAGE(N25:N29/S25:S29)</f>
        <v>-1.8532229482132179E-4</v>
      </c>
      <c r="BI25" s="24">
        <f>IF( OR(ISBLANK(N25:N29),ISBLANK(AL25:AL29), ISBLANK(W25:W29),ISBLANK(AU25:AU29)), "·", bdRateExtend( N25:N29,W25:W29, AL25:AL29,AU25:AU29))</f>
        <v>7.0638586609865772E-3</v>
      </c>
      <c r="BJ25" s="24">
        <f>IF( OR(ISBLANK(N25:N29),ISBLANK(AL25:AL29), ISBLANK(X25:X29),ISBLANK(AV25:AV29)), "·", bdRateExtend( N25:N29,X25:X29, AL25:AL29,AV25:AV29))</f>
        <v>4.803852506363171E-3</v>
      </c>
      <c r="BK25" s="24">
        <f>IF( OR(ISBLANK(V25:V29),ISBLANK(AT25:AT29), ISBLANK(Y25:Y29),ISBLANK(AW25:AW29)), "·", bdRateExtend( V25:V29,Y25:Y29, AT25:AT29,AW25:AW29))</f>
        <v>1.6037291577448709E-3</v>
      </c>
      <c r="BL25" s="24">
        <f>IF( OR(ISBLANK(V25:V29),ISBLANK(AT25:AT29), ISBLANK(Z25:Z29),ISBLANK(AX25:AX29)), "·", bdRateExtend( V25:V29,Z25:Z29, AT25:AT29,AX25:AX29))</f>
        <v>1.0837230619999971E-3</v>
      </c>
      <c r="BM25" s="24">
        <f>IF( OR(ISBLANK(V25:V29),ISBLANK(AT25:AT29), ISBLANK(AA25:AA29),ISBLANK(AY25:AY29)), "·", bdRateExtend( V25:V29,AA25:AA29, AT25:AT29,AY25:AY29))</f>
        <v>1.8265989676042871E-3</v>
      </c>
      <c r="BO25" s="24">
        <f>IF( OR(ISBLANK(S25:S29),ISBLANK(AQ25:AQ29), ISBLANK(W25:W29),ISBLANK(AU25:AU29)), "·", bdRateExtend( S25:S29,W25:W29, AQ25:AQ29,AU25:AU29))</f>
        <v>1.0774983263371674E-2</v>
      </c>
      <c r="BP25" s="24">
        <f>IF( OR(ISBLANK(S25:S29),ISBLANK(AQ25:AQ29), ISBLANK(X25:X29),ISBLANK(AV25:AV29)), "·", bdRateExtend( S25:S29,X25:X29, AQ25:AQ29,AV25:AV29))</f>
        <v>7.2298080571306933E-3</v>
      </c>
      <c r="BQ25" s="24">
        <f>IF( OR(ISBLANK(S25:S29),ISBLANK(AQ25:AQ29), ISBLANK(Y25:Y29),ISBLANK(AW25:AW29)), "·", bdRateExtend( S25:S29,Y25:Y29, AQ25:AQ29,AW25:AW29))</f>
        <v>1.3947295364318268E-3</v>
      </c>
      <c r="BR25" s="24">
        <f>IF( OR(ISBLANK(S25:S29),ISBLANK(AQ25:AQ29), ISBLANK(Z25:Z29),ISBLANK(AX25:AX29)), "·", bdRateExtend( S25:S29,Z25:Z29, AQ25:AQ29,AX25:AX29))</f>
        <v>9.976029994864799E-4</v>
      </c>
      <c r="BS25" s="24">
        <f>IF( OR(ISBLANK(S25:S29),ISBLANK(AQ25:AQ29), ISBLANK(AA25:AA29),ISBLANK(AY25:AY29)), "·", bdRateExtend( S25:S29,AA25:AA29, AQ25:AQ29,AY25:AY29))</f>
        <v>1.8088144497523384E-3</v>
      </c>
      <c r="BU25" s="4">
        <f t="shared" si="16"/>
        <v>216</v>
      </c>
    </row>
    <row r="26" spans="1:73" outlineLevel="1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3.4924274999999998</v>
      </c>
      <c r="J26" s="28">
        <f t="shared" si="1"/>
        <v>0.14717114231091724</v>
      </c>
      <c r="K26" s="28">
        <f t="shared" si="2"/>
        <v>7.5544610374485108E-2</v>
      </c>
      <c r="L26" s="28">
        <f t="shared" si="3"/>
        <v>5.013983655762818E-2</v>
      </c>
      <c r="M26" s="28">
        <f t="shared" si="4"/>
        <v>7.1606936803483887E-2</v>
      </c>
      <c r="N26" s="25">
        <f t="shared" si="5"/>
        <v>1912216</v>
      </c>
      <c r="O26" s="28">
        <f t="shared" si="6"/>
        <v>0.14906998725089016</v>
      </c>
      <c r="P26" s="29">
        <v>24989980</v>
      </c>
      <c r="Q26" s="29">
        <v>780937</v>
      </c>
      <c r="R26" s="29">
        <v>23156.6</v>
      </c>
      <c r="S26" s="29">
        <v>3725256</v>
      </c>
      <c r="T26" s="29">
        <v>1269160</v>
      </c>
      <c r="U26" s="29">
        <v>643056</v>
      </c>
      <c r="V26" s="29">
        <v>1812544</v>
      </c>
      <c r="W26" s="29">
        <v>68.037099999999995</v>
      </c>
      <c r="X26" s="29">
        <v>70.009299999999996</v>
      </c>
      <c r="Y26" s="29">
        <v>28.059899999999999</v>
      </c>
      <c r="Z26" s="29">
        <v>33.7532</v>
      </c>
      <c r="AA26" s="29">
        <v>33.158000000000001</v>
      </c>
      <c r="AB26" s="29">
        <v>3192.66</v>
      </c>
      <c r="AC26" s="29">
        <v>5334.31</v>
      </c>
      <c r="AD26" s="29">
        <v>5.7729999999999997</v>
      </c>
      <c r="AE26" s="29">
        <v>25.007000000000001</v>
      </c>
      <c r="AF26" s="4">
        <v>32</v>
      </c>
      <c r="AG26" s="27">
        <f t="shared" si="7"/>
        <v>3.4917674999999999</v>
      </c>
      <c r="AH26" s="28">
        <f t="shared" si="8"/>
        <v>0.14714332986415199</v>
      </c>
      <c r="AI26" s="28">
        <f t="shared" si="9"/>
        <v>7.5544610374485108E-2</v>
      </c>
      <c r="AJ26" s="28">
        <f t="shared" si="10"/>
        <v>5.013983655762818E-2</v>
      </c>
      <c r="AK26" s="28">
        <f t="shared" si="11"/>
        <v>7.1579440407250075E-2</v>
      </c>
      <c r="AL26" s="25">
        <f t="shared" si="12"/>
        <v>1912216</v>
      </c>
      <c r="AM26" s="28">
        <f t="shared" si="13"/>
        <v>0.1490418159598367</v>
      </c>
      <c r="AN26" s="29">
        <v>24989980</v>
      </c>
      <c r="AO26" s="29">
        <v>780937</v>
      </c>
      <c r="AP26" s="29">
        <v>23153.5</v>
      </c>
      <c r="AQ26" s="30">
        <v>3724552</v>
      </c>
      <c r="AR26" s="30">
        <v>1269160</v>
      </c>
      <c r="AS26" s="30">
        <v>643056</v>
      </c>
      <c r="AT26" s="30">
        <v>1811848</v>
      </c>
      <c r="AU26" s="31">
        <v>68.037000000000006</v>
      </c>
      <c r="AV26" s="31">
        <v>70.009100000000004</v>
      </c>
      <c r="AW26" s="31">
        <v>28.056699999999999</v>
      </c>
      <c r="AX26" s="31">
        <v>33.753999999999998</v>
      </c>
      <c r="AY26" s="31">
        <v>33.161700000000003</v>
      </c>
      <c r="AZ26" s="32">
        <v>3096.31</v>
      </c>
      <c r="BA26" s="32">
        <v>4864.38</v>
      </c>
      <c r="BB26" s="32">
        <v>5.2990000000000004</v>
      </c>
      <c r="BC26" s="32">
        <v>23.503</v>
      </c>
      <c r="BD26" s="4">
        <v>32</v>
      </c>
      <c r="BE26" s="33">
        <f t="shared" si="14"/>
        <v>-3.9695903766880092E-6</v>
      </c>
      <c r="BF26" s="33">
        <f t="shared" si="15"/>
        <v>9.702405958178506E-5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-704</v>
      </c>
    </row>
    <row r="27" spans="1:73" outlineLevel="1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5.9349974999999997</v>
      </c>
      <c r="J27" s="18">
        <f t="shared" si="1"/>
        <v>0.25010121518268824</v>
      </c>
      <c r="K27" s="18">
        <f t="shared" si="2"/>
        <v>9.5430193761099305E-2</v>
      </c>
      <c r="L27" s="18">
        <f t="shared" si="3"/>
        <v>7.002541994424237E-2</v>
      </c>
      <c r="M27" s="18">
        <f t="shared" si="4"/>
        <v>0.15465142628864073</v>
      </c>
      <c r="N27" s="15">
        <f t="shared" si="5"/>
        <v>2415568</v>
      </c>
      <c r="O27" s="18">
        <f t="shared" si="6"/>
        <v>0.25038556519225735</v>
      </c>
      <c r="P27" s="19">
        <v>25283662</v>
      </c>
      <c r="Q27" s="19">
        <v>790114</v>
      </c>
      <c r="R27" s="19">
        <v>24410</v>
      </c>
      <c r="S27" s="19">
        <v>6330664</v>
      </c>
      <c r="T27" s="19">
        <v>1772512</v>
      </c>
      <c r="U27" s="19">
        <v>643056</v>
      </c>
      <c r="V27" s="19">
        <v>3914600</v>
      </c>
      <c r="W27" s="19">
        <v>69.410399999999996</v>
      </c>
      <c r="X27" s="19">
        <v>71.751900000000006</v>
      </c>
      <c r="Y27" s="19">
        <v>30.354299999999999</v>
      </c>
      <c r="Z27" s="19">
        <v>35.029899999999998</v>
      </c>
      <c r="AA27" s="19">
        <v>34.506799999999998</v>
      </c>
      <c r="AB27" s="19">
        <v>3178</v>
      </c>
      <c r="AC27" s="19">
        <v>5661.07</v>
      </c>
      <c r="AD27" s="19">
        <v>5.7910000000000004</v>
      </c>
      <c r="AE27" s="19">
        <v>25.49</v>
      </c>
      <c r="AF27" s="4">
        <v>32</v>
      </c>
      <c r="AG27" s="17">
        <f t="shared" si="7"/>
        <v>5.9363099999999998</v>
      </c>
      <c r="AH27" s="18">
        <f t="shared" si="8"/>
        <v>0.25015652402568733</v>
      </c>
      <c r="AI27" s="18">
        <f t="shared" si="9"/>
        <v>9.5430193761099305E-2</v>
      </c>
      <c r="AJ27" s="18">
        <f t="shared" si="10"/>
        <v>7.002541994424237E-2</v>
      </c>
      <c r="AK27" s="18">
        <f t="shared" si="11"/>
        <v>0.15470705118217121</v>
      </c>
      <c r="AL27" s="15">
        <f t="shared" si="12"/>
        <v>2415568</v>
      </c>
      <c r="AM27" s="18">
        <f t="shared" si="13"/>
        <v>0.25044093691807778</v>
      </c>
      <c r="AN27" s="19">
        <v>25283662</v>
      </c>
      <c r="AO27" s="19">
        <v>790114</v>
      </c>
      <c r="AP27" s="19">
        <v>24406.400000000001</v>
      </c>
      <c r="AQ27" s="20">
        <v>6332064</v>
      </c>
      <c r="AR27" s="20">
        <v>1772512</v>
      </c>
      <c r="AS27" s="20">
        <v>643056</v>
      </c>
      <c r="AT27" s="20">
        <v>3916008</v>
      </c>
      <c r="AU27" s="21">
        <v>69.410399999999996</v>
      </c>
      <c r="AV27" s="21">
        <v>71.7517</v>
      </c>
      <c r="AW27" s="21">
        <v>30.356200000000001</v>
      </c>
      <c r="AX27" s="21">
        <v>35.031300000000002</v>
      </c>
      <c r="AY27" s="21">
        <v>34.506399999999999</v>
      </c>
      <c r="AZ27" s="22">
        <v>3482.09</v>
      </c>
      <c r="BA27" s="22">
        <v>5084.82</v>
      </c>
      <c r="BB27" s="22">
        <v>5.49</v>
      </c>
      <c r="BC27" s="22">
        <v>24.614000000000001</v>
      </c>
      <c r="BD27" s="4">
        <v>32</v>
      </c>
      <c r="BE27" s="23">
        <f t="shared" si="14"/>
        <v>-4.5563045332659702E-6</v>
      </c>
      <c r="BF27" s="23">
        <f t="shared" si="15"/>
        <v>-8.4363141523879914E-5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1400</v>
      </c>
    </row>
    <row r="28" spans="1:73" outlineLevel="1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11.9379975</v>
      </c>
      <c r="J28" s="28">
        <f t="shared" si="1"/>
        <v>0.50306806053379038</v>
      </c>
      <c r="K28" s="28">
        <f t="shared" si="2"/>
        <v>0.1295456362745101</v>
      </c>
      <c r="L28" s="28">
        <f t="shared" si="3"/>
        <v>0.10414086245765318</v>
      </c>
      <c r="M28" s="28">
        <f t="shared" si="4"/>
        <v>0.37350282912633204</v>
      </c>
      <c r="N28" s="25">
        <f t="shared" si="5"/>
        <v>3279112</v>
      </c>
      <c r="O28" s="28">
        <f t="shared" si="6"/>
        <v>0.48414720346113815</v>
      </c>
      <c r="P28" s="29">
        <v>26301637</v>
      </c>
      <c r="Q28" s="29">
        <v>821926</v>
      </c>
      <c r="R28" s="29">
        <v>28154.400000000001</v>
      </c>
      <c r="S28" s="29">
        <v>12733864</v>
      </c>
      <c r="T28" s="29">
        <v>2636056</v>
      </c>
      <c r="U28" s="29">
        <v>643056</v>
      </c>
      <c r="V28" s="29">
        <v>9454256</v>
      </c>
      <c r="W28" s="29">
        <v>70.4345</v>
      </c>
      <c r="X28" s="29">
        <v>72.984399999999994</v>
      </c>
      <c r="Y28" s="29">
        <v>32.841700000000003</v>
      </c>
      <c r="Z28" s="29">
        <v>36.576900000000002</v>
      </c>
      <c r="AA28" s="29">
        <v>36.067999999999998</v>
      </c>
      <c r="AB28" s="29">
        <v>3727.48</v>
      </c>
      <c r="AC28" s="29">
        <v>7043.48</v>
      </c>
      <c r="AD28" s="29">
        <v>6.7469999999999999</v>
      </c>
      <c r="AE28" s="29">
        <v>29.904</v>
      </c>
      <c r="AF28" s="4">
        <v>32</v>
      </c>
      <c r="AG28" s="27">
        <f t="shared" si="7"/>
        <v>11.934127500000001</v>
      </c>
      <c r="AH28" s="28">
        <f t="shared" si="8"/>
        <v>0.50290497845957605</v>
      </c>
      <c r="AI28" s="28">
        <f t="shared" si="9"/>
        <v>0.1295456362745101</v>
      </c>
      <c r="AJ28" s="28">
        <f t="shared" si="10"/>
        <v>0.10414086245765318</v>
      </c>
      <c r="AK28" s="28">
        <f t="shared" si="11"/>
        <v>0.37334006310264911</v>
      </c>
      <c r="AL28" s="25">
        <f t="shared" si="12"/>
        <v>3279112</v>
      </c>
      <c r="AM28" s="28">
        <f t="shared" si="13"/>
        <v>0.48399025505522719</v>
      </c>
      <c r="AN28" s="29">
        <v>26301637</v>
      </c>
      <c r="AO28" s="29">
        <v>821926</v>
      </c>
      <c r="AP28" s="29">
        <v>28152.5</v>
      </c>
      <c r="AQ28" s="30">
        <v>12729736</v>
      </c>
      <c r="AR28" s="30">
        <v>2636056</v>
      </c>
      <c r="AS28" s="30">
        <v>643056</v>
      </c>
      <c r="AT28" s="30">
        <v>9450136</v>
      </c>
      <c r="AU28" s="31">
        <v>70.434299999999993</v>
      </c>
      <c r="AV28" s="31">
        <v>72.984200000000001</v>
      </c>
      <c r="AW28" s="31">
        <v>32.841999999999999</v>
      </c>
      <c r="AX28" s="31">
        <v>36.576599999999999</v>
      </c>
      <c r="AY28" s="31">
        <v>36.066800000000001</v>
      </c>
      <c r="AZ28" s="32">
        <v>3194.66</v>
      </c>
      <c r="BA28" s="32">
        <v>6194.78</v>
      </c>
      <c r="BB28" s="32">
        <v>5.9119999999999999</v>
      </c>
      <c r="BC28" s="32">
        <v>26.986000000000001</v>
      </c>
      <c r="BD28" s="4">
        <v>32</v>
      </c>
      <c r="BE28" s="33">
        <f t="shared" si="14"/>
        <v>-2.3116436272882512E-6</v>
      </c>
      <c r="BF28" s="33">
        <f t="shared" si="15"/>
        <v>8.3505741150458057E-5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-4128</v>
      </c>
    </row>
    <row r="29" spans="1:73" ht="13.5" outlineLevel="1" thickBot="1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27.441825000000001</v>
      </c>
      <c r="J29" s="38">
        <f t="shared" si="1"/>
        <v>1.1564004499295366</v>
      </c>
      <c r="K29" s="38">
        <f t="shared" si="2"/>
        <v>0.21309896711525825</v>
      </c>
      <c r="L29" s="38">
        <f t="shared" si="3"/>
        <v>0.16276128292495917</v>
      </c>
      <c r="M29" s="38">
        <f t="shared" si="4"/>
        <v>0.94328188768133003</v>
      </c>
      <c r="N29" s="35">
        <f t="shared" si="5"/>
        <v>5394048</v>
      </c>
      <c r="O29" s="38">
        <f t="shared" si="6"/>
        <v>1.1640134127293358</v>
      </c>
      <c r="P29" s="39">
        <v>25146858</v>
      </c>
      <c r="Q29" s="39">
        <v>785839</v>
      </c>
      <c r="R29" s="39">
        <v>7368.78</v>
      </c>
      <c r="S29" s="39">
        <v>29271280</v>
      </c>
      <c r="T29" s="39">
        <v>4119880</v>
      </c>
      <c r="U29" s="39">
        <v>1274168</v>
      </c>
      <c r="V29" s="39">
        <v>23876736</v>
      </c>
      <c r="W29" s="39">
        <v>71.723299999999995</v>
      </c>
      <c r="X29" s="39">
        <v>75.086399999999998</v>
      </c>
      <c r="Y29" s="39">
        <v>35.557499999999997</v>
      </c>
      <c r="Z29" s="39">
        <v>38.595399999999998</v>
      </c>
      <c r="AA29" s="39">
        <v>38.051000000000002</v>
      </c>
      <c r="AB29" s="39">
        <v>3276.6</v>
      </c>
      <c r="AC29" s="39">
        <v>7004.25</v>
      </c>
      <c r="AD29" s="39">
        <v>6.4989999999999997</v>
      </c>
      <c r="AE29" s="39">
        <v>28.841999999999999</v>
      </c>
      <c r="AF29" s="4">
        <v>32</v>
      </c>
      <c r="AG29" s="37">
        <f t="shared" si="7"/>
        <v>27.586492499999999</v>
      </c>
      <c r="AH29" s="38">
        <f t="shared" si="8"/>
        <v>1.1624967486301581</v>
      </c>
      <c r="AI29" s="38">
        <f t="shared" si="9"/>
        <v>0.21309896711525825</v>
      </c>
      <c r="AJ29" s="38">
        <f t="shared" si="10"/>
        <v>0.16276128292495917</v>
      </c>
      <c r="AK29" s="38">
        <f t="shared" si="11"/>
        <v>0.9493785024324829</v>
      </c>
      <c r="AL29" s="35">
        <f t="shared" si="12"/>
        <v>5394048</v>
      </c>
      <c r="AM29" s="38">
        <f t="shared" si="13"/>
        <v>1.1701498453604025</v>
      </c>
      <c r="AN29" s="39">
        <v>25146858</v>
      </c>
      <c r="AO29" s="39">
        <v>785839</v>
      </c>
      <c r="AP29" s="39">
        <v>12625.6</v>
      </c>
      <c r="AQ29" s="40">
        <v>29425592</v>
      </c>
      <c r="AR29" s="40">
        <v>4119880</v>
      </c>
      <c r="AS29" s="40">
        <v>1274168</v>
      </c>
      <c r="AT29" s="40">
        <v>24031056</v>
      </c>
      <c r="AU29" s="41">
        <v>71.510199999999998</v>
      </c>
      <c r="AV29" s="41">
        <v>74.895200000000003</v>
      </c>
      <c r="AW29" s="41">
        <v>35.532299999999999</v>
      </c>
      <c r="AX29" s="41">
        <v>38.584499999999998</v>
      </c>
      <c r="AY29" s="41">
        <v>38.022300000000001</v>
      </c>
      <c r="AZ29" s="42">
        <v>3132.29</v>
      </c>
      <c r="BA29" s="42">
        <v>6339.81</v>
      </c>
      <c r="BB29" s="42">
        <v>5.2009999999999996</v>
      </c>
      <c r="BC29" s="42">
        <v>26.68</v>
      </c>
      <c r="BD29" s="4">
        <v>32</v>
      </c>
      <c r="BE29" s="43">
        <f t="shared" si="14"/>
        <v>6.6894363858245771E-3</v>
      </c>
      <c r="BF29" s="43">
        <f t="shared" si="15"/>
        <v>-9.6637922238895779E-4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154312</v>
      </c>
    </row>
    <row r="30" spans="1:73">
      <c r="B30" s="55" t="s">
        <v>288</v>
      </c>
      <c r="J30" s="56">
        <f>AVERAGE(J5:J24)</f>
        <v>0.18440191307384843</v>
      </c>
      <c r="K30" s="56">
        <f>AVERAGE(K5:K24)</f>
        <v>9.0483100505097711E-2</v>
      </c>
      <c r="L30" s="56">
        <f>AVERAGE(L5:L24)</f>
        <v>6.3707875796982033E-2</v>
      </c>
      <c r="M30" s="56">
        <f>AVERAGE(M5:M24)</f>
        <v>9.3900869573152551E-2</v>
      </c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H30" s="56">
        <f>AVERAGE(AH5:AH24)</f>
        <v>0.18615637513779071</v>
      </c>
      <c r="AI30" s="56">
        <f>AVERAGE(AI5:AI24)</f>
        <v>9.0483100505097711E-2</v>
      </c>
      <c r="AJ30" s="56">
        <f>AVERAGE(AJ5:AJ24)</f>
        <v>6.3707875796982033E-2</v>
      </c>
      <c r="AK30" s="56">
        <f>AVERAGE(AK5:AK24)</f>
        <v>9.5655621040249605E-2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G30" s="8">
        <f>AVERAGE(BG5:BG24)</f>
        <v>-1.5770806107558294E-3</v>
      </c>
      <c r="BI30" s="5">
        <f>AVERAGE(BI5:BI24)</f>
        <v>6.5987546753100701E-3</v>
      </c>
      <c r="BJ30" s="5">
        <f>AVERAGE(BJ5:BJ24)</f>
        <v>3.0245722702447186E-3</v>
      </c>
      <c r="BK30" s="5">
        <f>AVERAGE(BK5:BK24)</f>
        <v>6.1362038370586514E-3</v>
      </c>
      <c r="BL30" s="5">
        <f>AVERAGE(BL5:BL24)</f>
        <v>6.8506915727420958E-3</v>
      </c>
      <c r="BM30" s="5">
        <f>AVERAGE(BM5:BM24)</f>
        <v>7.4407478602241395E-3</v>
      </c>
      <c r="BO30" s="5">
        <f>AVERAGE(BO5:BO24)</f>
        <v>9.6994617344171585E-3</v>
      </c>
      <c r="BP30" s="5">
        <f>AVERAGE(BP5:BP24)</f>
        <v>5.8031925009136565E-3</v>
      </c>
      <c r="BQ30" s="5">
        <f>AVERAGE(BQ5:BQ24)</f>
        <v>4.8741740985132065E-3</v>
      </c>
      <c r="BR30" s="5">
        <f>AVERAGE(BR5:BR24)</f>
        <v>5.5465111521200705E-3</v>
      </c>
      <c r="BS30" s="5">
        <f>AVERAGE(BS5:BS24)</f>
        <v>6.0622607530752548E-3</v>
      </c>
    </row>
    <row r="31" spans="1:73">
      <c r="B31" s="55" t="s">
        <v>289</v>
      </c>
      <c r="J31" s="56">
        <f>AVERAGE(J25:J29)</f>
        <v>0.43068894907193345</v>
      </c>
      <c r="K31" s="56">
        <f>AVERAGE(K25:K29)</f>
        <v>0.11508638767200655</v>
      </c>
      <c r="L31" s="56">
        <f>AVERAGE(L25:L29)</f>
        <v>8.46950317804612E-2</v>
      </c>
      <c r="M31" s="56">
        <f>AVERAGE(M25:M29)</f>
        <v>0.31558296626697863</v>
      </c>
      <c r="AH31" s="56">
        <f>AVERAGE(AH25:AH29)</f>
        <v>0.4318827983493313</v>
      </c>
      <c r="AI31" s="56">
        <f>AVERAGE(AI25:AI29)</f>
        <v>0.11508638767200655</v>
      </c>
      <c r="AJ31" s="56">
        <f>AVERAGE(AJ25:AJ29)</f>
        <v>8.46950317804612E-2</v>
      </c>
      <c r="AK31" s="56">
        <f>AVERAGE(AK25:AK29)</f>
        <v>0.31677713159490795</v>
      </c>
      <c r="BD31" t="s">
        <v>555</v>
      </c>
      <c r="BG31" s="8">
        <f>AVERAGE(BG25:BG29)</f>
        <v>-1.8532229482132179E-4</v>
      </c>
      <c r="BI31" s="5">
        <f>AVERAGE(BI25:BI29)</f>
        <v>7.0638586609865772E-3</v>
      </c>
      <c r="BJ31" s="5">
        <f>AVERAGE(BJ25:BJ29)</f>
        <v>4.803852506363171E-3</v>
      </c>
      <c r="BK31" s="5">
        <f>AVERAGE(BK25:BK29)</f>
        <v>1.6037291577448709E-3</v>
      </c>
      <c r="BL31" s="5">
        <f>AVERAGE(BL25:BL29)</f>
        <v>1.0837230619999971E-3</v>
      </c>
      <c r="BM31" s="5">
        <f>AVERAGE(BM25:BM29)</f>
        <v>1.8265989676042871E-3</v>
      </c>
      <c r="BO31" s="5">
        <f>AVERAGE(BO25:BO29)</f>
        <v>1.0774983263371674E-2</v>
      </c>
      <c r="BP31" s="5">
        <f>AVERAGE(BP25:BP29)</f>
        <v>7.2298080571306933E-3</v>
      </c>
      <c r="BQ31" s="5">
        <f>AVERAGE(BQ25:BQ29)</f>
        <v>1.3947295364318268E-3</v>
      </c>
      <c r="BR31" s="5">
        <f>AVERAGE(BR25:BR29)</f>
        <v>9.976029994864799E-4</v>
      </c>
      <c r="BS31" s="5">
        <f>AVERAGE(BS25:BS29)</f>
        <v>1.8088144497523384E-3</v>
      </c>
    </row>
    <row r="32" spans="1:73" collapsed="1">
      <c r="B32" s="55" t="s">
        <v>290</v>
      </c>
      <c r="J32" s="56">
        <f>AVERAGE(J5:J29)</f>
        <v>0.23365932027346545</v>
      </c>
      <c r="K32" s="56">
        <f>AVERAGE(K5:K29)</f>
        <v>9.540375793847948E-2</v>
      </c>
      <c r="L32" s="56">
        <f>AVERAGE(L5:L29)</f>
        <v>6.7905306993677861E-2</v>
      </c>
      <c r="M32" s="56">
        <f>AVERAGE(M5:M29)</f>
        <v>0.13823728891191778</v>
      </c>
      <c r="AH32" s="56">
        <f>AVERAGE(AH5:AH29)</f>
        <v>0.23530165978009884</v>
      </c>
      <c r="AI32" s="56">
        <f>AVERAGE(AI5:AI29)</f>
        <v>9.540375793847948E-2</v>
      </c>
      <c r="AJ32" s="56">
        <f>AVERAGE(AJ5:AJ29)</f>
        <v>6.7905306993677861E-2</v>
      </c>
      <c r="AK32" s="56">
        <f>AVERAGE(AK5:AK29)</f>
        <v>0.13987992315118128</v>
      </c>
      <c r="BG32" s="8">
        <f>AVERAGE(BG5:BG29)</f>
        <v>-1.2987289475689279E-3</v>
      </c>
      <c r="BI32" s="5">
        <f>AVERAGE(BI5:BI29)</f>
        <v>6.6917754724453715E-3</v>
      </c>
      <c r="BJ32" s="5">
        <f>AVERAGE(BJ5:BJ29)</f>
        <v>3.3804283174684092E-3</v>
      </c>
      <c r="BK32" s="5">
        <f>AVERAGE(BK5:BK29)</f>
        <v>5.2297089011958953E-3</v>
      </c>
      <c r="BL32" s="5">
        <f>AVERAGE(BL5:BL29)</f>
        <v>5.6972978705936757E-3</v>
      </c>
      <c r="BM32" s="5">
        <f>AVERAGE(BM5:BM29)</f>
        <v>6.3179180817001688E-3</v>
      </c>
      <c r="BO32" s="5">
        <f>AVERAGE(BO5:BO29)</f>
        <v>9.9145660402080622E-3</v>
      </c>
      <c r="BP32" s="5">
        <f>AVERAGE(BP5:BP29)</f>
        <v>6.0885156121570638E-3</v>
      </c>
      <c r="BQ32" s="5">
        <f>AVERAGE(BQ5:BQ29)</f>
        <v>4.1782851860969307E-3</v>
      </c>
      <c r="BR32" s="5">
        <f>AVERAGE(BR5:BR29)</f>
        <v>4.6367295215933527E-3</v>
      </c>
      <c r="BS32" s="5">
        <f>AVERAGE(BS5:BS29)</f>
        <v>5.2115714924106712E-3</v>
      </c>
    </row>
    <row r="33" spans="1:55" hidden="1" outlineLevel="2">
      <c r="A33" s="55" t="s">
        <v>291</v>
      </c>
      <c r="B33" s="55" t="s">
        <v>292</v>
      </c>
      <c r="AB33" s="57">
        <f>SUM(AB5:AB24,AB25:AB29)</f>
        <v>92185.73</v>
      </c>
      <c r="AC33" s="57">
        <f>SUM(AC5:AC24,AC25:AC29)</f>
        <v>122961.49999999999</v>
      </c>
      <c r="AD33" s="57">
        <f>SUM(AD5:AD24,AD25:AD29)</f>
        <v>157.03599999999997</v>
      </c>
      <c r="AE33" s="57">
        <f>SUM(AE5:AE24,AE25:AE29)</f>
        <v>586.24199999999996</v>
      </c>
      <c r="AZ33" s="57">
        <f>SUM(AZ5:AZ24,AZ25:AZ29)</f>
        <v>91925.569999999992</v>
      </c>
      <c r="BA33" s="57">
        <f>SUM(BA5:BA24,BA25:BA29)</f>
        <v>118511.86000000002</v>
      </c>
      <c r="BB33" s="57">
        <f>SUM(BB5:BB24,BB25:BB29)</f>
        <v>150.26500000000001</v>
      </c>
      <c r="BC33" s="57">
        <f>SUM(BC5:BC24,BC25:BC29)</f>
        <v>572.84500000000003</v>
      </c>
    </row>
    <row r="34" spans="1:55" hidden="1" outlineLevel="2">
      <c r="B34" s="55" t="s">
        <v>293</v>
      </c>
      <c r="AZ34" s="8">
        <f>AZ33/AB33</f>
        <v>0.99717787123885659</v>
      </c>
      <c r="BA34" s="8">
        <f>BA33/AC33</f>
        <v>0.96381273813348101</v>
      </c>
      <c r="BB34" s="8">
        <f>BB33/AD33</f>
        <v>0.95688249828064931</v>
      </c>
      <c r="BC34" s="8">
        <f>BC33/AE33</f>
        <v>0.97714766256938268</v>
      </c>
    </row>
    <row r="35" spans="1:55" hidden="1" outlineLevel="2">
      <c r="B35" s="55" t="s">
        <v>294</v>
      </c>
      <c r="AB35" s="57">
        <f>GEOMEAN(AB5:AB24,AB25:AB29)</f>
        <v>3656.7062336216313</v>
      </c>
      <c r="AC35" s="57">
        <f>GEOMEAN(AC5:AC24,AC25:AC29)</f>
        <v>4794.0804911388859</v>
      </c>
      <c r="AD35" s="57">
        <f>GEOMEAN(AD5:AD24,AD25:AD29)</f>
        <v>6.2131385420798937</v>
      </c>
      <c r="AE35" s="57">
        <f>GEOMEAN(AE5:AE24,AE25:AE29)</f>
        <v>23.199370955414615</v>
      </c>
      <c r="AZ35" s="57">
        <f>GEOMEAN(AZ5:AZ24,AZ25:AZ29)</f>
        <v>3629.1625311855169</v>
      </c>
      <c r="BA35" s="57">
        <f>GEOMEAN(BA5:BA24,BA25:BA29)</f>
        <v>4654.9178539920758</v>
      </c>
      <c r="BB35" s="57">
        <f>GEOMEAN(BB5:BB24,BB25:BB29)</f>
        <v>5.9166994617882107</v>
      </c>
      <c r="BC35" s="57">
        <f>GEOMEAN(BC5:BC24,BC25:BC29)</f>
        <v>22.73984287595384</v>
      </c>
    </row>
    <row r="36" spans="1:55" outlineLevel="2" collapsed="1">
      <c r="B36" s="55" t="s">
        <v>295</v>
      </c>
      <c r="AZ36" s="8">
        <f>AZ35/AB35</f>
        <v>0.99246761957992047</v>
      </c>
      <c r="BA36" s="8">
        <f>BA35/AC35</f>
        <v>0.97097198568025078</v>
      </c>
      <c r="BB36" s="8">
        <f>BB35/AD35</f>
        <v>0.95228835180738658</v>
      </c>
      <c r="BC36" s="8">
        <f>BC35/AE35</f>
        <v>0.98019221812764179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ht="14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ht="14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ht="14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ht="14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ht="14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 ht="14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 ht="14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 ht="14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 ht="14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 ht="14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 ht="14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 ht="14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 ht="14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 ht="14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 ht="14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 ht="14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 ht="14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 ht="14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 ht="14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 ht="14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 ht="14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 ht="14">
      <c r="P65" s="4"/>
      <c r="Q65" s="4"/>
      <c r="R65" s="4"/>
      <c r="S65" s="4"/>
      <c r="T65" s="4"/>
      <c r="U65" s="58"/>
      <c r="V65" s="4"/>
    </row>
    <row r="66" spans="16:51" ht="14">
      <c r="P66" s="4"/>
      <c r="Q66" s="4"/>
      <c r="R66" s="4"/>
      <c r="S66" s="4"/>
      <c r="T66" s="4"/>
      <c r="U66" s="58"/>
      <c r="V66" s="4"/>
    </row>
    <row r="67" spans="16:51" ht="14">
      <c r="P67" s="4"/>
      <c r="Q67" s="4"/>
      <c r="R67" s="4"/>
      <c r="S67" s="4"/>
      <c r="T67" s="4"/>
      <c r="U67" s="58"/>
      <c r="V67" s="4"/>
    </row>
    <row r="68" spans="16:51" ht="14">
      <c r="P68" s="4"/>
      <c r="Q68" s="4"/>
      <c r="R68" s="4"/>
      <c r="S68" s="4"/>
      <c r="T68" s="4"/>
      <c r="U68" s="58"/>
      <c r="V68" s="4"/>
    </row>
    <row r="69" spans="16:51" ht="14">
      <c r="P69" s="4"/>
      <c r="Q69" s="4"/>
      <c r="R69" s="4"/>
      <c r="S69" s="4"/>
      <c r="U69" s="58"/>
    </row>
    <row r="70" spans="16:51" ht="14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 ht="14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 ht="14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 ht="14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 ht="14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 ht="14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>
      <c r="S78" s="4"/>
      <c r="T78" s="4"/>
      <c r="U78" s="4"/>
      <c r="V78" s="4"/>
      <c r="W78" s="4"/>
      <c r="X78" s="4"/>
      <c r="Y78" s="4"/>
      <c r="Z78" s="4"/>
      <c r="AA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>
      <c r="S79" s="4"/>
      <c r="T79" s="4"/>
      <c r="U79" s="4"/>
      <c r="V79" s="4"/>
      <c r="W79" s="4"/>
      <c r="X79" s="4"/>
      <c r="Y79" s="4"/>
      <c r="Z79" s="4"/>
      <c r="AA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>
      <c r="S80" s="4"/>
      <c r="T80" s="4"/>
      <c r="U80" s="4"/>
      <c r="V80" s="4"/>
      <c r="W80" s="4"/>
      <c r="X80" s="4"/>
      <c r="Y80" s="4"/>
      <c r="Z80" s="4"/>
      <c r="AA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phoneticPr fontId="3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Nakagami, Ohji (SONY)</cp:lastModifiedBy>
  <dcterms:created xsi:type="dcterms:W3CDTF">2018-08-31T19:13:00Z</dcterms:created>
  <dcterms:modified xsi:type="dcterms:W3CDTF">2019-02-05T00:00:08Z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